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326"/>
  <workbookPr/>
  <mc:AlternateContent xmlns:mc="http://schemas.openxmlformats.org/markup-compatibility/2006">
    <mc:Choice Requires="x15">
      <x15ac:absPath xmlns:x15ac="http://schemas.microsoft.com/office/spreadsheetml/2010/11/ac" url="D:\11131697\Dropbox\MyDocuments\My Classes\MSc_AnalyseDecisions\AD_Automne2017\inClass\Seance5\"/>
    </mc:Choice>
  </mc:AlternateContent>
  <bookViews>
    <workbookView xWindow="66480" yWindow="-3345" windowWidth="25605" windowHeight="15540" activeTab="1" xr2:uid="{00000000-000D-0000-FFFF-FFFF00000000}"/>
  </bookViews>
  <sheets>
    <sheet name="description" sheetId="22" r:id="rId1"/>
    <sheet name="cash flows" sheetId="20" r:id="rId2"/>
    <sheet name="CB_DATA_" sheetId="8" state="hidden" r:id="rId3"/>
    <sheet name="Assumptions" sheetId="10" r:id="rId4"/>
    <sheet name="Analyse" sheetId="26" r:id="rId5"/>
    <sheet name="RiskSerializationData" sheetId="24" state="hidden" r:id="rId6"/>
    <sheet name="ro_HiddenInfo" sheetId="19" state="hidden" r:id="rId7"/>
  </sheets>
  <externalReferences>
    <externalReference r:id="rId8"/>
  </externalReferences>
  <definedNames>
    <definedName name="_AtRisk_FitDataRange_FIT_695A1_E7C80" hidden="1">#REF!</definedName>
    <definedName name="_AtRisk_FitDataRange_FIT_993F_68D9C" hidden="1">#REF!</definedName>
    <definedName name="_AtRisk_FitDataRange_FIT_AF31E_20165" hidden="1">#REF!</definedName>
    <definedName name="_AtRisk_SimSetting_AutomaticallyGenerateReports" localSheetId="4" hidden="1">FALSE</definedName>
    <definedName name="_AtRisk_SimSetting_AutomaticallyGenerateReports" hidden="1">FALSE</definedName>
    <definedName name="_AtRisk_SimSetting_AutomaticResultsDisplayMode" localSheetId="4" hidden="1">0</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localSheetId="4" hidden="1">TRUE</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256</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localSheetId="4" hidden="1">256</definedName>
    <definedName name="_AtRisk_SimSetting_ReportsList" hidden="1">256</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localSheetId="4" hidden="1">0</definedName>
    <definedName name="_AtRisk_SimSetting_StdRecalcBehavior" hidden="1">0</definedName>
    <definedName name="_AtRisk_SimSetting_StdRecalcWithoutRiskStatic" hidden="1">0</definedName>
    <definedName name="_AtRisk_SimSetting_StdRecalcWithoutRiskStaticPercentile" hidden="1">0.5</definedName>
    <definedName name="CB_0586a49258974a04a5e3e4ef56caa8a1" localSheetId="2" hidden="1">#N/A</definedName>
    <definedName name="CB_Block_00000000000000000000000000000000" localSheetId="2" hidden="1">"'7.0.0.0"</definedName>
    <definedName name="CB_Block_00000000000000000000000000000001" localSheetId="2" hidden="1">"'633389339899062500"</definedName>
    <definedName name="CB_Block_00000000000000000000000000000003" localSheetId="2" hidden="1">"'7.3.960.0"</definedName>
    <definedName name="CB_BlockExt_00000000000000000000000000000003" localSheetId="2" hidden="1">"'7.3.1"</definedName>
    <definedName name="CBWorkbookPriority" hidden="1">-1474084343</definedName>
    <definedName name="CBx_12678692a5f948458c394d3e4a231c9b" localSheetId="2" hidden="1">"'CB_DATA_'!$A$1"</definedName>
    <definedName name="CBx_aed80c88d725493e9a11647d35d79232" localSheetId="2" hidden="1">"'simulation'!$A$1"</definedName>
    <definedName name="CBx_Sheet_Guid" localSheetId="2" hidden="1">"'12678692-a5f9-4845-8c39-4d3e4a231c9b"</definedName>
    <definedName name="CBx_SheetRef" localSheetId="2" hidden="1">CB_DATA_!$A$14</definedName>
    <definedName name="CBx_StorageType" localSheetId="2" hidden="1">2</definedName>
    <definedName name="echantillon" localSheetId="4">Analyse!$B$7:$B$1006</definedName>
    <definedName name="OptimizationAdjustableCellAddresses" hidden="1">ro_HiddenInfo!$H$16</definedName>
    <definedName name="Pal_Workbook_GUID" localSheetId="4" hidden="1">"DVBKWYYT33EDD61VNRCB65NZ"</definedName>
    <definedName name="Pal_Workbook_GUID" hidden="1">"I8Z52SP3TZ9KWJ27RWK4V8C9"</definedName>
    <definedName name="PTree_PolicySuggestion_IncludeDecisionTable" hidden="1">FALSE</definedName>
    <definedName name="PTree_PolicySuggestion_IncludeOptimalDecisionTree" hidden="1">TRUE</definedName>
    <definedName name="PTree_PolicySuggestion_Model" localSheetId="4" hidden="1">PTreeObjectReference(PTDecisionTree_1,[1]treeCalc_1!$A$1)</definedName>
    <definedName name="PTree_PolicySuggestion_Model" hidden="1">PTreeObjectReference(PTDecisionTree_1,[1]treeCalc_1!$A$1)</definedName>
    <definedName name="PTree_PolicySuggestion_StartingNode" localSheetId="4" hidden="1">PTreeObjectReference(NULL,NULL)</definedName>
    <definedName name="PTree_PolicySuggestion_StartingNode" hidden="1">PTreeObjectReference(NULL,NULL)</definedName>
    <definedName name="PTree_RiskProfile_IncludeCumulativeChart" hidden="1">TRUE</definedName>
    <definedName name="PTree_RiskProfile_IncludeProbabilityChart" hidden="1">TRUE</definedName>
    <definedName name="PTree_RiskProfile_IncludeStatisticalSummary" hidden="1">TRUE</definedName>
    <definedName name="PTree_RiskProfile_Model" localSheetId="4" hidden="1">PTreeObjectReference(PTDecisionTree_1,[1]treeCalc_1!$A$1)</definedName>
    <definedName name="PTree_RiskProfile_Model" hidden="1">PTreeObjectReference(PTDecisionTree_1,[1]treeCalc_1!$A$1)</definedName>
    <definedName name="PTree_RiskProfile_PathsToAnalyze" hidden="1">0</definedName>
    <definedName name="PTree_RiskProfile_StartingNode" localSheetId="4" hidden="1">PTreeObjectReference(NULL,NULL)</definedName>
    <definedName name="PTree_RiskProfile_StartingNode" hidden="1">PTreeObjectReference(NULL,NULL)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localSheetId="4" hidden="1">1000</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localSheetId="4" hidden="1">3</definedName>
    <definedName name="RiskSamplingType" hidden="1">3</definedName>
    <definedName name="RiskStandardRecalc" localSheetId="4" hidden="1">1</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solver_adj" localSheetId="4" hidden="1">Analyse!#REF!</definedName>
    <definedName name="solver_corr" hidden="1">1</definedName>
    <definedName name="solver_ctp1" hidden="1">0</definedName>
    <definedName name="solver_ctp2" hidden="1">0</definedName>
    <definedName name="solver_cvg" localSheetId="4" hidden="1">0.0001</definedName>
    <definedName name="solver_disp" hidden="1">4</definedName>
    <definedName name="solver_drv" localSheetId="4" hidden="1">1</definedName>
    <definedName name="solver_est" localSheetId="4" hidden="1">1</definedName>
    <definedName name="solver_eval" hidden="1">0</definedName>
    <definedName name="solver_itr" localSheetId="4" hidden="1">100</definedName>
    <definedName name="solver_lcens" hidden="1">-1E+30</definedName>
    <definedName name="solver_lcut" hidden="1">-1E+30</definedName>
    <definedName name="solver_lin" localSheetId="4" hidden="1">2</definedName>
    <definedName name="solver_neg" localSheetId="4" hidden="1">1</definedName>
    <definedName name="solver_nsim" hidden="1">1</definedName>
    <definedName name="solver_nssim" hidden="1">-1</definedName>
    <definedName name="solver_ntri" hidden="1">10000</definedName>
    <definedName name="solver_num" localSheetId="4" hidden="1">0</definedName>
    <definedName name="solver_nwt" localSheetId="4" hidden="1">1</definedName>
    <definedName name="solver_opt" localSheetId="4" hidden="1">Analyse!#REF!</definedName>
    <definedName name="solver_pre" localSheetId="4" hidden="1">0.000001</definedName>
    <definedName name="solver_rgen" hidden="1">1</definedName>
    <definedName name="solver_rsmp" hidden="1">2</definedName>
    <definedName name="solver_scl" localSheetId="4" hidden="1">2</definedName>
    <definedName name="solver_seed" hidden="1">0</definedName>
    <definedName name="solver_sho" localSheetId="4" hidden="1">2</definedName>
    <definedName name="solver_strm" hidden="1">0</definedName>
    <definedName name="solver_tim" localSheetId="4" hidden="1">100</definedName>
    <definedName name="solver_tol" localSheetId="4" hidden="1">0.05</definedName>
    <definedName name="solver_typ" localSheetId="4" hidden="1">1</definedName>
    <definedName name="solver_ucens" hidden="1">1E+30</definedName>
    <definedName name="solver_ucut" hidden="1">1E+30</definedName>
    <definedName name="solver_val" localSheetId="4" hidden="1">0</definedName>
    <definedName name="solvero_CRMax" hidden="1">"System.Double:Infinity"</definedName>
    <definedName name="solvero_CRMin" hidden="1">"System.Double:-Infinity"</definedName>
    <definedName name="solvero_OSpPars" hidden="1">"RiskSolver.UI.Charts.OutDlgPars:-1000001;29;28;42;42;0;1;90;80;0;0;0;0;1;"</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"Active Workbook"</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s>
  <calcPr calcId="171027"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C24" i="20" l="1"/>
  <c r="C28" i="20"/>
  <c r="C27" i="20"/>
  <c r="C26" i="20"/>
  <c r="C25" i="20"/>
  <c r="C18" i="20"/>
  <c r="C11" i="20"/>
  <c r="C10" i="20"/>
  <c r="C8" i="20"/>
  <c r="C7" i="20"/>
  <c r="C5" i="20"/>
  <c r="C4" i="20"/>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B641" i="26"/>
  <c r="B642" i="26"/>
  <c r="B643" i="26"/>
  <c r="B644" i="26"/>
  <c r="B645" i="26"/>
  <c r="B646" i="26"/>
  <c r="B647" i="26"/>
  <c r="B648" i="26"/>
  <c r="B649" i="26"/>
  <c r="B650" i="26"/>
  <c r="B651" i="26"/>
  <c r="B652" i="26"/>
  <c r="B653" i="26"/>
  <c r="B654" i="26"/>
  <c r="B655" i="26"/>
  <c r="B656" i="26"/>
  <c r="B657" i="26"/>
  <c r="B658" i="26"/>
  <c r="B659" i="26"/>
  <c r="B660" i="26"/>
  <c r="B661" i="26"/>
  <c r="B662" i="26"/>
  <c r="B663" i="26"/>
  <c r="B664" i="26"/>
  <c r="B665" i="26"/>
  <c r="B666" i="26"/>
  <c r="B667" i="26"/>
  <c r="B668" i="26"/>
  <c r="B669" i="26"/>
  <c r="B670" i="26"/>
  <c r="B671" i="26"/>
  <c r="B672" i="26"/>
  <c r="B673" i="26"/>
  <c r="B674" i="26"/>
  <c r="B675" i="26"/>
  <c r="B676" i="26"/>
  <c r="B677" i="26"/>
  <c r="B678" i="26"/>
  <c r="B679" i="26"/>
  <c r="B680" i="26"/>
  <c r="B681" i="26"/>
  <c r="B682" i="26"/>
  <c r="B683" i="26"/>
  <c r="B684" i="26"/>
  <c r="B685" i="26"/>
  <c r="B686" i="26"/>
  <c r="B687" i="26"/>
  <c r="B688" i="26"/>
  <c r="B689" i="26"/>
  <c r="B690" i="26"/>
  <c r="B691" i="26"/>
  <c r="B692" i="26"/>
  <c r="B693" i="26"/>
  <c r="B694" i="26"/>
  <c r="B695" i="26"/>
  <c r="B696" i="26"/>
  <c r="B697" i="26"/>
  <c r="B698" i="26"/>
  <c r="B699" i="26"/>
  <c r="B700" i="26"/>
  <c r="B701" i="26"/>
  <c r="B702" i="26"/>
  <c r="B703" i="26"/>
  <c r="B704" i="26"/>
  <c r="B705" i="26"/>
  <c r="B706" i="26"/>
  <c r="B707" i="26"/>
  <c r="B708" i="26"/>
  <c r="B709" i="26"/>
  <c r="B710" i="26"/>
  <c r="B711" i="26"/>
  <c r="B712" i="26"/>
  <c r="B713" i="26"/>
  <c r="B714" i="26"/>
  <c r="B715" i="26"/>
  <c r="B716" i="26"/>
  <c r="B717" i="26"/>
  <c r="B718" i="26"/>
  <c r="B719" i="26"/>
  <c r="B720" i="26"/>
  <c r="B721" i="26"/>
  <c r="B722" i="26"/>
  <c r="B723" i="26"/>
  <c r="B724" i="26"/>
  <c r="B725" i="26"/>
  <c r="B726" i="26"/>
  <c r="B727" i="26"/>
  <c r="B728" i="26"/>
  <c r="B729" i="26"/>
  <c r="B730" i="26"/>
  <c r="B731" i="26"/>
  <c r="B732" i="26"/>
  <c r="B733" i="26"/>
  <c r="B734" i="26"/>
  <c r="B735" i="26"/>
  <c r="B736" i="26"/>
  <c r="B737" i="26"/>
  <c r="B738" i="26"/>
  <c r="B739" i="26"/>
  <c r="B740" i="26"/>
  <c r="B741" i="26"/>
  <c r="B742" i="26"/>
  <c r="B743" i="26"/>
  <c r="B744" i="26"/>
  <c r="B745" i="26"/>
  <c r="B746" i="26"/>
  <c r="B747" i="26"/>
  <c r="B748" i="26"/>
  <c r="B749" i="26"/>
  <c r="B750" i="26"/>
  <c r="B751" i="26"/>
  <c r="B752" i="26"/>
  <c r="B753" i="26"/>
  <c r="B754" i="26"/>
  <c r="B755" i="26"/>
  <c r="B756" i="26"/>
  <c r="B757" i="26"/>
  <c r="B758" i="26"/>
  <c r="B759" i="26"/>
  <c r="B760" i="26"/>
  <c r="B761" i="26"/>
  <c r="B762" i="26"/>
  <c r="B763" i="26"/>
  <c r="B764" i="26"/>
  <c r="B765" i="26"/>
  <c r="B766" i="26"/>
  <c r="B767" i="26"/>
  <c r="B768" i="26"/>
  <c r="B769" i="26"/>
  <c r="B770" i="26"/>
  <c r="B771" i="26"/>
  <c r="B772" i="26"/>
  <c r="B773" i="26"/>
  <c r="B774" i="26"/>
  <c r="B775" i="26"/>
  <c r="B776" i="26"/>
  <c r="B777" i="26"/>
  <c r="B778" i="26"/>
  <c r="B779" i="26"/>
  <c r="B780" i="26"/>
  <c r="B781" i="26"/>
  <c r="B782" i="26"/>
  <c r="B783" i="26"/>
  <c r="B784" i="26"/>
  <c r="B785" i="26"/>
  <c r="B786" i="26"/>
  <c r="B787" i="26"/>
  <c r="B788" i="26"/>
  <c r="B789" i="26"/>
  <c r="B790" i="26"/>
  <c r="B791" i="26"/>
  <c r="B792" i="26"/>
  <c r="B793" i="26"/>
  <c r="B794" i="26"/>
  <c r="B795" i="26"/>
  <c r="B796" i="26"/>
  <c r="B797" i="26"/>
  <c r="B798" i="26"/>
  <c r="B799" i="26"/>
  <c r="B800" i="26"/>
  <c r="B801" i="26"/>
  <c r="B802" i="26"/>
  <c r="B803" i="26"/>
  <c r="B804" i="26"/>
  <c r="B805" i="26"/>
  <c r="B806" i="26"/>
  <c r="B807" i="26"/>
  <c r="B808" i="26"/>
  <c r="B809" i="26"/>
  <c r="B810" i="26"/>
  <c r="B811" i="26"/>
  <c r="B812" i="26"/>
  <c r="B813" i="26"/>
  <c r="B814" i="26"/>
  <c r="B815" i="26"/>
  <c r="B816" i="26"/>
  <c r="B817" i="26"/>
  <c r="B818" i="26"/>
  <c r="B819" i="26"/>
  <c r="B820" i="26"/>
  <c r="B821" i="26"/>
  <c r="B822" i="26"/>
  <c r="B823" i="26"/>
  <c r="B824" i="26"/>
  <c r="B825" i="26"/>
  <c r="B826" i="26"/>
  <c r="B827" i="26"/>
  <c r="B828" i="26"/>
  <c r="B829" i="26"/>
  <c r="B830" i="26"/>
  <c r="B831" i="26"/>
  <c r="B832" i="26"/>
  <c r="B833" i="26"/>
  <c r="B834" i="26"/>
  <c r="B835" i="26"/>
  <c r="B836" i="26"/>
  <c r="B837" i="26"/>
  <c r="B838" i="26"/>
  <c r="B839" i="26"/>
  <c r="B840" i="26"/>
  <c r="B841" i="26"/>
  <c r="B842" i="26"/>
  <c r="B843" i="26"/>
  <c r="B844" i="26"/>
  <c r="B845" i="26"/>
  <c r="B846" i="26"/>
  <c r="B847" i="26"/>
  <c r="B848" i="26"/>
  <c r="B849" i="26"/>
  <c r="B850" i="26"/>
  <c r="B851" i="26"/>
  <c r="B852" i="26"/>
  <c r="B853" i="26"/>
  <c r="B854" i="26"/>
  <c r="B855" i="26"/>
  <c r="B856" i="26"/>
  <c r="B857" i="26"/>
  <c r="B858" i="26"/>
  <c r="B859" i="26"/>
  <c r="B860" i="26"/>
  <c r="B861" i="26"/>
  <c r="B862" i="26"/>
  <c r="B863" i="26"/>
  <c r="B864" i="26"/>
  <c r="B865" i="26"/>
  <c r="B866" i="26"/>
  <c r="B867" i="26"/>
  <c r="B868" i="26"/>
  <c r="B869" i="26"/>
  <c r="B870" i="26"/>
  <c r="B871" i="26"/>
  <c r="B872" i="26"/>
  <c r="B873" i="26"/>
  <c r="B874" i="26"/>
  <c r="B875" i="26"/>
  <c r="B876" i="26"/>
  <c r="B877" i="26"/>
  <c r="B878" i="26"/>
  <c r="B879" i="26"/>
  <c r="B880" i="26"/>
  <c r="B881" i="26"/>
  <c r="B882" i="26"/>
  <c r="B883" i="26"/>
  <c r="B884" i="26"/>
  <c r="B885" i="26"/>
  <c r="B886" i="26"/>
  <c r="B887" i="26"/>
  <c r="B888" i="26"/>
  <c r="B889" i="26"/>
  <c r="B890" i="26"/>
  <c r="B891" i="26"/>
  <c r="B892" i="26"/>
  <c r="B893" i="26"/>
  <c r="B894" i="26"/>
  <c r="B895" i="26"/>
  <c r="B896" i="26"/>
  <c r="B897" i="26"/>
  <c r="B898" i="26"/>
  <c r="B899" i="26"/>
  <c r="B900" i="26"/>
  <c r="B901" i="26"/>
  <c r="B902" i="26"/>
  <c r="B903" i="26"/>
  <c r="B904" i="26"/>
  <c r="B905" i="26"/>
  <c r="B906" i="26"/>
  <c r="B907" i="26"/>
  <c r="B908" i="26"/>
  <c r="B909" i="26"/>
  <c r="B910" i="26"/>
  <c r="B911" i="26"/>
  <c r="B912" i="26"/>
  <c r="B913" i="26"/>
  <c r="B914" i="26"/>
  <c r="B915" i="26"/>
  <c r="B916" i="26"/>
  <c r="B917" i="26"/>
  <c r="B918" i="26"/>
  <c r="B919" i="26"/>
  <c r="B920" i="26"/>
  <c r="B921" i="26"/>
  <c r="B922" i="26"/>
  <c r="B923" i="26"/>
  <c r="B924" i="26"/>
  <c r="B925" i="26"/>
  <c r="B926" i="26"/>
  <c r="B927" i="26"/>
  <c r="B928" i="26"/>
  <c r="B929" i="26"/>
  <c r="B930" i="26"/>
  <c r="B931" i="26"/>
  <c r="B932" i="26"/>
  <c r="B933" i="26"/>
  <c r="B934" i="26"/>
  <c r="B935" i="26"/>
  <c r="B936" i="26"/>
  <c r="B937" i="26"/>
  <c r="B938" i="26"/>
  <c r="B939" i="26"/>
  <c r="B940" i="26"/>
  <c r="B941" i="26"/>
  <c r="B942" i="26"/>
  <c r="B943" i="26"/>
  <c r="B944" i="26"/>
  <c r="B945" i="26"/>
  <c r="B946" i="26"/>
  <c r="B947" i="26"/>
  <c r="B948" i="26"/>
  <c r="B949" i="26"/>
  <c r="B950" i="26"/>
  <c r="B951" i="26"/>
  <c r="B952" i="26"/>
  <c r="B953" i="26"/>
  <c r="B954" i="26"/>
  <c r="B955" i="26"/>
  <c r="B956" i="26"/>
  <c r="B957" i="26"/>
  <c r="B958" i="26"/>
  <c r="B959" i="26"/>
  <c r="B960" i="26"/>
  <c r="B961" i="26"/>
  <c r="B962" i="26"/>
  <c r="B963" i="26"/>
  <c r="B964" i="26"/>
  <c r="B965" i="26"/>
  <c r="B966" i="26"/>
  <c r="B967" i="26"/>
  <c r="B968" i="26"/>
  <c r="B969" i="26"/>
  <c r="B970" i="26"/>
  <c r="B971" i="26"/>
  <c r="B972" i="26"/>
  <c r="B973" i="26"/>
  <c r="B974" i="26"/>
  <c r="B975" i="26"/>
  <c r="B976" i="26"/>
  <c r="B977" i="26"/>
  <c r="B978" i="26"/>
  <c r="B979" i="26"/>
  <c r="B980" i="26"/>
  <c r="B981" i="26"/>
  <c r="B982" i="26"/>
  <c r="B983" i="26"/>
  <c r="B984" i="26"/>
  <c r="B985" i="26"/>
  <c r="B986" i="26"/>
  <c r="B987" i="26"/>
  <c r="B988" i="26"/>
  <c r="B989" i="26"/>
  <c r="B990" i="26"/>
  <c r="B991" i="26"/>
  <c r="B992" i="26"/>
  <c r="B993" i="26"/>
  <c r="B994" i="26"/>
  <c r="B995" i="26"/>
  <c r="B996" i="26"/>
  <c r="B997" i="26"/>
  <c r="B998" i="26"/>
  <c r="B999" i="26"/>
  <c r="B1000" i="26"/>
  <c r="B1001" i="26"/>
  <c r="B1002" i="26"/>
  <c r="B1003" i="26"/>
  <c r="B1004" i="26"/>
  <c r="B1005" i="26"/>
  <c r="B1006" i="26"/>
  <c r="F29" i="26"/>
  <c r="G35" i="26"/>
  <c r="G37" i="26"/>
  <c r="F37" i="26"/>
  <c r="E37" i="26"/>
  <c r="H6" i="20"/>
  <c r="H2" i="20"/>
  <c r="H24" i="20"/>
  <c r="H25" i="20"/>
  <c r="H29" i="20"/>
  <c r="H31" i="20"/>
  <c r="H32" i="20"/>
  <c r="H33" i="20"/>
  <c r="H34" i="20"/>
  <c r="H28" i="20"/>
  <c r="H35" i="20"/>
  <c r="H36" i="20"/>
  <c r="H38" i="20"/>
  <c r="I6" i="20"/>
  <c r="I2" i="20"/>
  <c r="I1" i="20"/>
  <c r="I25" i="20"/>
  <c r="I24" i="20"/>
  <c r="I29" i="20"/>
  <c r="I31" i="20"/>
  <c r="I32" i="20"/>
  <c r="I33" i="20"/>
  <c r="I34" i="20"/>
  <c r="I28" i="20"/>
  <c r="I35" i="20"/>
  <c r="I36" i="20"/>
  <c r="I38" i="20"/>
  <c r="I40" i="20"/>
  <c r="J1" i="20"/>
  <c r="J6" i="20"/>
  <c r="J2" i="20"/>
  <c r="J25" i="20"/>
  <c r="J24" i="20"/>
  <c r="J29" i="20"/>
  <c r="J31" i="20"/>
  <c r="J32" i="20"/>
  <c r="J33" i="20"/>
  <c r="J34" i="20"/>
  <c r="J28" i="20"/>
  <c r="J35" i="20"/>
  <c r="J36" i="20"/>
  <c r="J38" i="20"/>
  <c r="J40" i="20"/>
  <c r="K1" i="20"/>
  <c r="K6" i="20"/>
  <c r="K2" i="20"/>
  <c r="K26" i="20"/>
  <c r="K24" i="20"/>
  <c r="K25" i="20"/>
  <c r="K29" i="20"/>
  <c r="K31" i="20"/>
  <c r="K32" i="20"/>
  <c r="K33" i="20"/>
  <c r="K34" i="20"/>
  <c r="K28" i="20"/>
  <c r="K35" i="20"/>
  <c r="K36" i="20"/>
  <c r="K38" i="20"/>
  <c r="K40" i="20"/>
  <c r="L1" i="20"/>
  <c r="L6" i="20"/>
  <c r="L2" i="20"/>
  <c r="L26" i="20"/>
  <c r="L24" i="20"/>
  <c r="L25" i="20"/>
  <c r="L29" i="20"/>
  <c r="L31" i="20"/>
  <c r="L32" i="20"/>
  <c r="L33" i="20"/>
  <c r="L34" i="20"/>
  <c r="L28" i="20"/>
  <c r="L35" i="20"/>
  <c r="L36" i="20"/>
  <c r="L38" i="20"/>
  <c r="L40" i="20"/>
  <c r="M1" i="20"/>
  <c r="M6" i="20"/>
  <c r="M2" i="20"/>
  <c r="M26" i="20"/>
  <c r="M24" i="20"/>
  <c r="M25" i="20"/>
  <c r="M29" i="20"/>
  <c r="M31" i="20"/>
  <c r="M32" i="20"/>
  <c r="M33" i="20"/>
  <c r="M34" i="20"/>
  <c r="M28" i="20"/>
  <c r="M35" i="20"/>
  <c r="M36" i="20"/>
  <c r="M38" i="20"/>
  <c r="M40" i="20"/>
  <c r="N1" i="20"/>
  <c r="N6" i="20"/>
  <c r="N2" i="20"/>
  <c r="N26" i="20"/>
  <c r="N24" i="20"/>
  <c r="N25" i="20"/>
  <c r="N29" i="20"/>
  <c r="N31" i="20"/>
  <c r="N32" i="20"/>
  <c r="N33" i="20"/>
  <c r="N34" i="20"/>
  <c r="N16" i="20"/>
  <c r="N28" i="20"/>
  <c r="N35" i="20"/>
  <c r="N36" i="20"/>
  <c r="N38" i="20"/>
  <c r="N40" i="20"/>
  <c r="O1" i="20"/>
  <c r="O6" i="20"/>
  <c r="O2" i="20"/>
  <c r="O27" i="20"/>
  <c r="O24" i="20"/>
  <c r="O25" i="20"/>
  <c r="O29" i="20"/>
  <c r="O31" i="20"/>
  <c r="O32" i="20"/>
  <c r="O33" i="20"/>
  <c r="O34" i="20"/>
  <c r="O16" i="20"/>
  <c r="H18" i="20"/>
  <c r="I18" i="20"/>
  <c r="J18" i="20"/>
  <c r="K18" i="20"/>
  <c r="L18" i="20"/>
  <c r="M18" i="20"/>
  <c r="N18" i="20"/>
  <c r="O18" i="20"/>
  <c r="O30" i="20"/>
  <c r="E19" i="20"/>
  <c r="O28" i="20"/>
  <c r="O35" i="20"/>
  <c r="O36" i="20"/>
  <c r="O38" i="20"/>
  <c r="O40" i="20"/>
  <c r="P1" i="20"/>
  <c r="P6" i="20"/>
  <c r="P2" i="20"/>
  <c r="P27" i="20"/>
  <c r="P24" i="20"/>
  <c r="P25" i="20"/>
  <c r="P29" i="20"/>
  <c r="P31" i="20"/>
  <c r="P32" i="20"/>
  <c r="P33" i="20"/>
  <c r="P34" i="20"/>
  <c r="P16" i="20"/>
  <c r="P18" i="20"/>
  <c r="P30" i="20"/>
  <c r="P28" i="20"/>
  <c r="P35" i="20"/>
  <c r="P36" i="20"/>
  <c r="P38" i="20"/>
  <c r="P40" i="20"/>
  <c r="Q1" i="20"/>
  <c r="Q6" i="20"/>
  <c r="Q2" i="20"/>
  <c r="Q27" i="20"/>
  <c r="Q24" i="20"/>
  <c r="Q25" i="20"/>
  <c r="Q29" i="20"/>
  <c r="Q31" i="20"/>
  <c r="Q32" i="20"/>
  <c r="Q33" i="20"/>
  <c r="Q34" i="20"/>
  <c r="Q16" i="20"/>
  <c r="Q18" i="20"/>
  <c r="Q30" i="20"/>
  <c r="Q28" i="20"/>
  <c r="Q35" i="20"/>
  <c r="Q36" i="20"/>
  <c r="Q38" i="20"/>
  <c r="Q40" i="20"/>
  <c r="R1" i="20"/>
  <c r="R6" i="20"/>
  <c r="R2" i="20"/>
  <c r="R27" i="20"/>
  <c r="R24" i="20"/>
  <c r="R25" i="20"/>
  <c r="R29" i="20"/>
  <c r="R31" i="20"/>
  <c r="R32" i="20"/>
  <c r="R18" i="20"/>
  <c r="R33" i="20"/>
  <c r="R34" i="20"/>
  <c r="R16" i="20"/>
  <c r="R30" i="20"/>
  <c r="R28" i="20"/>
  <c r="R35" i="20"/>
  <c r="R36" i="20"/>
  <c r="R38" i="20"/>
  <c r="R40" i="20"/>
  <c r="S1" i="20"/>
  <c r="S6" i="20"/>
  <c r="S2" i="20"/>
  <c r="S18" i="20"/>
  <c r="S30" i="20"/>
  <c r="S28" i="20"/>
  <c r="S24" i="20"/>
  <c r="S25" i="20"/>
  <c r="S29" i="20"/>
  <c r="S31" i="20"/>
  <c r="S32" i="20"/>
  <c r="S33" i="20"/>
  <c r="S34" i="20"/>
  <c r="S35" i="20"/>
  <c r="S36" i="20"/>
  <c r="S38" i="20"/>
  <c r="S40" i="20"/>
  <c r="T1" i="20"/>
  <c r="T6" i="20"/>
  <c r="T2" i="20"/>
  <c r="T18" i="20"/>
  <c r="T30" i="20"/>
  <c r="T28" i="20"/>
  <c r="T24" i="20"/>
  <c r="T25" i="20"/>
  <c r="T29" i="20"/>
  <c r="T31" i="20"/>
  <c r="T32" i="20"/>
  <c r="T33" i="20"/>
  <c r="T34" i="20"/>
  <c r="T35" i="20"/>
  <c r="T36" i="20"/>
  <c r="T38" i="20"/>
  <c r="T40" i="20"/>
  <c r="U1" i="20"/>
  <c r="U6" i="20"/>
  <c r="U2" i="20"/>
  <c r="U18" i="20"/>
  <c r="U30" i="20"/>
  <c r="U28" i="20"/>
  <c r="U24" i="20"/>
  <c r="U25" i="20"/>
  <c r="U29" i="20"/>
  <c r="U31" i="20"/>
  <c r="U32" i="20"/>
  <c r="U33" i="20"/>
  <c r="U34" i="20"/>
  <c r="U35" i="20"/>
  <c r="U36" i="20"/>
  <c r="U38" i="20"/>
  <c r="U40" i="20"/>
  <c r="V1" i="20"/>
  <c r="V6" i="20"/>
  <c r="V2" i="20"/>
  <c r="V18" i="20"/>
  <c r="V30" i="20"/>
  <c r="V28" i="20"/>
  <c r="V24" i="20"/>
  <c r="V25" i="20"/>
  <c r="V29" i="20"/>
  <c r="V31" i="20"/>
  <c r="V32" i="20"/>
  <c r="V33" i="20"/>
  <c r="V34" i="20"/>
  <c r="V35" i="20"/>
  <c r="V36" i="20"/>
  <c r="V38" i="20"/>
  <c r="V40" i="20"/>
  <c r="W1" i="20"/>
  <c r="W6" i="20"/>
  <c r="W2" i="20"/>
  <c r="W18" i="20"/>
  <c r="W30" i="20"/>
  <c r="W28" i="20"/>
  <c r="W24" i="20"/>
  <c r="W25" i="20"/>
  <c r="W29" i="20"/>
  <c r="W31" i="20"/>
  <c r="W32" i="20"/>
  <c r="W33" i="20"/>
  <c r="W34" i="20"/>
  <c r="W35" i="20"/>
  <c r="W36" i="20"/>
  <c r="W38" i="20"/>
  <c r="W40" i="20"/>
  <c r="X1" i="20"/>
  <c r="X6" i="20"/>
  <c r="X2" i="20"/>
  <c r="X18" i="20"/>
  <c r="X30" i="20"/>
  <c r="X28" i="20"/>
  <c r="X24" i="20"/>
  <c r="X25" i="20"/>
  <c r="X29" i="20"/>
  <c r="X31" i="20"/>
  <c r="X32" i="20"/>
  <c r="X33" i="20"/>
  <c r="X34" i="20"/>
  <c r="X35" i="20"/>
  <c r="X36" i="20"/>
  <c r="X38" i="20"/>
  <c r="X40" i="20"/>
  <c r="Y1" i="20"/>
  <c r="Y6" i="20"/>
  <c r="Y2" i="20"/>
  <c r="Y18" i="20"/>
  <c r="Y30" i="20"/>
  <c r="Y28" i="20"/>
  <c r="Y24" i="20"/>
  <c r="Y25" i="20"/>
  <c r="Y29" i="20"/>
  <c r="Y31" i="20"/>
  <c r="Y32" i="20"/>
  <c r="Y33" i="20"/>
  <c r="Y34" i="20"/>
  <c r="Y35" i="20"/>
  <c r="Y36" i="20"/>
  <c r="Y38" i="20"/>
  <c r="Y40" i="20"/>
  <c r="Z1" i="20"/>
  <c r="Z6" i="20"/>
  <c r="Z2" i="20"/>
  <c r="Z18" i="20"/>
  <c r="Z30" i="20"/>
  <c r="Z28" i="20"/>
  <c r="Z24" i="20"/>
  <c r="Z25" i="20"/>
  <c r="Z29" i="20"/>
  <c r="Z31" i="20"/>
  <c r="Z32" i="20"/>
  <c r="Z33" i="20"/>
  <c r="Z34" i="20"/>
  <c r="Z35" i="20"/>
  <c r="Z36" i="20"/>
  <c r="Z38" i="20"/>
  <c r="Z40" i="20"/>
  <c r="AA1" i="20"/>
  <c r="AA6" i="20"/>
  <c r="AA2" i="20"/>
  <c r="AA18" i="20"/>
  <c r="AA30" i="20"/>
  <c r="AA28" i="20"/>
  <c r="AA24" i="20"/>
  <c r="AA25" i="20"/>
  <c r="AA29" i="20"/>
  <c r="AA31" i="20"/>
  <c r="AA32" i="20"/>
  <c r="AA33" i="20"/>
  <c r="AA34" i="20"/>
  <c r="AA35" i="20"/>
  <c r="AA36" i="20"/>
  <c r="AA38" i="20"/>
  <c r="AA40" i="20"/>
  <c r="AB1" i="20"/>
  <c r="AB6" i="20"/>
  <c r="AB2" i="20"/>
  <c r="AB18" i="20"/>
  <c r="AB30" i="20"/>
  <c r="AB28" i="20"/>
  <c r="AB24" i="20"/>
  <c r="AB25" i="20"/>
  <c r="AB29" i="20"/>
  <c r="AB31" i="20"/>
  <c r="AB32" i="20"/>
  <c r="AB33" i="20"/>
  <c r="AB34" i="20"/>
  <c r="AB35" i="20"/>
  <c r="AB36" i="20"/>
  <c r="AB38" i="20"/>
  <c r="AB40" i="20"/>
  <c r="AC1" i="20"/>
  <c r="AC6" i="20"/>
  <c r="AC2" i="20"/>
  <c r="AC18" i="20"/>
  <c r="AC30" i="20"/>
  <c r="AC28" i="20"/>
  <c r="AC24" i="20"/>
  <c r="AC25" i="20"/>
  <c r="AC29" i="20"/>
  <c r="AC31" i="20"/>
  <c r="AC32" i="20"/>
  <c r="AC33" i="20"/>
  <c r="AC34" i="20"/>
  <c r="AC35" i="20"/>
  <c r="AC36" i="20"/>
  <c r="AC38" i="20"/>
  <c r="AC40" i="20"/>
  <c r="AD1" i="20"/>
  <c r="AD6" i="20"/>
  <c r="AD2" i="20"/>
  <c r="AD18" i="20"/>
  <c r="AD30" i="20"/>
  <c r="AD28" i="20"/>
  <c r="AD24" i="20"/>
  <c r="AD25" i="20"/>
  <c r="AD29" i="20"/>
  <c r="AD31" i="20"/>
  <c r="AD32" i="20"/>
  <c r="AD33" i="20"/>
  <c r="AD34" i="20"/>
  <c r="AD35" i="20"/>
  <c r="AD36" i="20"/>
  <c r="AD38" i="20"/>
  <c r="AD40" i="20"/>
  <c r="AE1" i="20"/>
  <c r="AE6" i="20"/>
  <c r="AE2" i="20"/>
  <c r="AE18" i="20"/>
  <c r="AE30" i="20"/>
  <c r="AE28" i="20"/>
  <c r="AE24" i="20"/>
  <c r="AE25" i="20"/>
  <c r="AE29" i="20"/>
  <c r="AE31" i="20"/>
  <c r="AE32" i="20"/>
  <c r="AE33" i="20"/>
  <c r="AE34" i="20"/>
  <c r="AE35" i="20"/>
  <c r="AE36" i="20"/>
  <c r="AE38" i="20"/>
  <c r="AE40" i="20"/>
  <c r="AF1" i="20"/>
  <c r="AF6" i="20"/>
  <c r="AF2" i="20"/>
  <c r="AF18" i="20"/>
  <c r="AF30" i="20"/>
  <c r="AF28" i="20"/>
  <c r="AF24" i="20"/>
  <c r="AF25" i="20"/>
  <c r="AF29" i="20"/>
  <c r="AF31" i="20"/>
  <c r="AF32" i="20"/>
  <c r="AF33" i="20"/>
  <c r="AF34" i="20"/>
  <c r="AF35" i="20"/>
  <c r="AF36" i="20"/>
  <c r="AF38" i="20"/>
  <c r="AF40" i="20"/>
  <c r="AG1" i="20"/>
  <c r="AG6" i="20"/>
  <c r="AG2" i="20"/>
  <c r="AG18" i="20"/>
  <c r="AG30" i="20"/>
  <c r="AG28" i="20"/>
  <c r="AG24" i="20"/>
  <c r="AG25" i="20"/>
  <c r="AG29" i="20"/>
  <c r="AG31" i="20"/>
  <c r="AG32" i="20"/>
  <c r="AG33" i="20"/>
  <c r="AG34" i="20"/>
  <c r="AG35" i="20"/>
  <c r="AG36" i="20"/>
  <c r="AG38" i="20"/>
  <c r="AG40" i="20"/>
  <c r="AH1" i="20"/>
  <c r="AH6" i="20"/>
  <c r="AH2" i="20"/>
  <c r="AH18" i="20"/>
  <c r="AH30" i="20"/>
  <c r="AH28" i="20"/>
  <c r="AH24" i="20"/>
  <c r="AH25" i="20"/>
  <c r="AH29" i="20"/>
  <c r="AH31" i="20"/>
  <c r="AH32" i="20"/>
  <c r="AH33" i="20"/>
  <c r="AH34" i="20"/>
  <c r="AH35" i="20"/>
  <c r="AH36" i="20"/>
  <c r="AH38" i="20"/>
  <c r="AH40" i="20"/>
  <c r="AI1" i="20"/>
  <c r="AI6" i="20"/>
  <c r="AI2" i="20"/>
  <c r="AI18" i="20"/>
  <c r="AI30" i="20"/>
  <c r="AI28" i="20"/>
  <c r="AI24" i="20"/>
  <c r="AI25" i="20"/>
  <c r="AI29" i="20"/>
  <c r="AI31" i="20"/>
  <c r="AI32" i="20"/>
  <c r="AI33" i="20"/>
  <c r="AI34" i="20"/>
  <c r="AI35" i="20"/>
  <c r="AI36" i="20"/>
  <c r="AI38" i="20"/>
  <c r="AI40" i="20"/>
  <c r="AJ1" i="20"/>
  <c r="AJ6" i="20"/>
  <c r="AJ2" i="20"/>
  <c r="AJ18" i="20"/>
  <c r="AJ30" i="20"/>
  <c r="AJ28" i="20"/>
  <c r="AJ24" i="20"/>
  <c r="AJ25" i="20"/>
  <c r="AJ29" i="20"/>
  <c r="AJ31" i="20"/>
  <c r="AJ32" i="20"/>
  <c r="AJ33" i="20"/>
  <c r="AJ34" i="20"/>
  <c r="AJ35" i="20"/>
  <c r="AJ36" i="20"/>
  <c r="AJ38" i="20"/>
  <c r="AJ40" i="20"/>
  <c r="AK1" i="20"/>
  <c r="AK6" i="20"/>
  <c r="AK2" i="20"/>
  <c r="AK18" i="20"/>
  <c r="AK30" i="20"/>
  <c r="AK28" i="20"/>
  <c r="AK24" i="20"/>
  <c r="AK25" i="20"/>
  <c r="AK29" i="20"/>
  <c r="AK31" i="20"/>
  <c r="AK32" i="20"/>
  <c r="AK33" i="20"/>
  <c r="AK34" i="20"/>
  <c r="AK35" i="20"/>
  <c r="AK36" i="20"/>
  <c r="AK38" i="20"/>
  <c r="AK40" i="20"/>
  <c r="AL1" i="20"/>
  <c r="AL6" i="20"/>
  <c r="AL2" i="20"/>
  <c r="AL18" i="20"/>
  <c r="AL30" i="20"/>
  <c r="AL28" i="20"/>
  <c r="AL24" i="20"/>
  <c r="AL25" i="20"/>
  <c r="AL29" i="20"/>
  <c r="AL31" i="20"/>
  <c r="AL32" i="20"/>
  <c r="AL33" i="20"/>
  <c r="AL34" i="20"/>
  <c r="AL35" i="20"/>
  <c r="AL36" i="20"/>
  <c r="AL38" i="20"/>
  <c r="AL40" i="20"/>
  <c r="AM1" i="20"/>
  <c r="AM6" i="20"/>
  <c r="AM2" i="20"/>
  <c r="AM18" i="20"/>
  <c r="AM30" i="20"/>
  <c r="AM28" i="20"/>
  <c r="AM24" i="20"/>
  <c r="AM25" i="20"/>
  <c r="AM29" i="20"/>
  <c r="AM31" i="20"/>
  <c r="AM32" i="20"/>
  <c r="AM33" i="20"/>
  <c r="AM34" i="20"/>
  <c r="AM35" i="20"/>
  <c r="AM36" i="20"/>
  <c r="AM38" i="20"/>
  <c r="AM40" i="20"/>
  <c r="AN1" i="20"/>
  <c r="AN6" i="20"/>
  <c r="AN2" i="20"/>
  <c r="AN18" i="20"/>
  <c r="AN30" i="20"/>
  <c r="AN28" i="20"/>
  <c r="AN24" i="20"/>
  <c r="AN25" i="20"/>
  <c r="AN29" i="20"/>
  <c r="AN31" i="20"/>
  <c r="AN32" i="20"/>
  <c r="AN33" i="20"/>
  <c r="AN34" i="20"/>
  <c r="AN35" i="20"/>
  <c r="AN36" i="20"/>
  <c r="AN38" i="20"/>
  <c r="AN40" i="20"/>
  <c r="AO1" i="20"/>
  <c r="AO6" i="20"/>
  <c r="AO2" i="20"/>
  <c r="AO18" i="20"/>
  <c r="AO30" i="20"/>
  <c r="AO28" i="20"/>
  <c r="AO24" i="20"/>
  <c r="AO25" i="20"/>
  <c r="AO29" i="20"/>
  <c r="AO31" i="20"/>
  <c r="AO32" i="20"/>
  <c r="AO33" i="20"/>
  <c r="AO34" i="20"/>
  <c r="AO35" i="20"/>
  <c r="AO36" i="20"/>
  <c r="AO38" i="20"/>
  <c r="AO40" i="20"/>
  <c r="AP1" i="20"/>
  <c r="AP6" i="20"/>
  <c r="AP2" i="20"/>
  <c r="AP18" i="20"/>
  <c r="AP30" i="20"/>
  <c r="AP28" i="20"/>
  <c r="AP24" i="20"/>
  <c r="AP25" i="20"/>
  <c r="AP29" i="20"/>
  <c r="AP31" i="20"/>
  <c r="AP32" i="20"/>
  <c r="AP33" i="20"/>
  <c r="AP34" i="20"/>
  <c r="AP35" i="20"/>
  <c r="AP36" i="20"/>
  <c r="AP38" i="20"/>
  <c r="AP40" i="20"/>
  <c r="AQ1" i="20"/>
  <c r="AQ6" i="20"/>
  <c r="AQ2" i="20"/>
  <c r="AQ18" i="20"/>
  <c r="AQ30" i="20"/>
  <c r="AQ28" i="20"/>
  <c r="AQ24" i="20"/>
  <c r="AQ25" i="20"/>
  <c r="AQ29" i="20"/>
  <c r="AQ31" i="20"/>
  <c r="AQ32" i="20"/>
  <c r="AQ33" i="20"/>
  <c r="AQ34" i="20"/>
  <c r="AQ35" i="20"/>
  <c r="AQ36" i="20"/>
  <c r="AQ38" i="20"/>
  <c r="AQ40" i="20"/>
  <c r="AR1" i="20"/>
  <c r="AR6" i="20"/>
  <c r="AR2" i="20"/>
  <c r="AR18" i="20"/>
  <c r="AR30" i="20"/>
  <c r="AR28" i="20"/>
  <c r="AR24" i="20"/>
  <c r="AR25" i="20"/>
  <c r="AR29" i="20"/>
  <c r="AR31" i="20"/>
  <c r="AR32" i="20"/>
  <c r="AR33" i="20"/>
  <c r="AR34" i="20"/>
  <c r="AR35" i="20"/>
  <c r="AR36" i="20"/>
  <c r="AR38" i="20"/>
  <c r="AR40" i="20"/>
  <c r="AS1" i="20"/>
  <c r="AS6" i="20"/>
  <c r="AS2" i="20"/>
  <c r="AS18" i="20"/>
  <c r="AS30" i="20"/>
  <c r="AS28" i="20"/>
  <c r="AS24" i="20"/>
  <c r="AS25" i="20"/>
  <c r="AS29" i="20"/>
  <c r="AS31" i="20"/>
  <c r="AS32" i="20"/>
  <c r="AS33" i="20"/>
  <c r="AS34" i="20"/>
  <c r="AS35" i="20"/>
  <c r="AS36" i="20"/>
  <c r="AS38" i="20"/>
  <c r="AS40" i="20"/>
  <c r="AT1" i="20"/>
  <c r="AT6" i="20"/>
  <c r="AT2" i="20"/>
  <c r="AT18" i="20"/>
  <c r="AT30" i="20"/>
  <c r="AT28" i="20"/>
  <c r="AT24" i="20"/>
  <c r="AT25" i="20"/>
  <c r="AT29" i="20"/>
  <c r="AT31" i="20"/>
  <c r="AT32" i="20"/>
  <c r="AT33" i="20"/>
  <c r="AT34" i="20"/>
  <c r="AT35" i="20"/>
  <c r="AT36" i="20"/>
  <c r="AT38" i="20"/>
  <c r="AT40" i="20"/>
  <c r="AU1" i="20"/>
  <c r="AU6" i="20"/>
  <c r="AU2" i="20"/>
  <c r="AU18" i="20"/>
  <c r="AU30" i="20"/>
  <c r="AU28" i="20"/>
  <c r="AU24" i="20"/>
  <c r="AU25" i="20"/>
  <c r="AU29" i="20"/>
  <c r="AU31" i="20"/>
  <c r="AU32" i="20"/>
  <c r="AU33" i="20"/>
  <c r="AU34" i="20"/>
  <c r="AU35" i="20"/>
  <c r="AU36" i="20"/>
  <c r="AU38" i="20"/>
  <c r="AU40" i="20"/>
  <c r="AV1" i="20"/>
  <c r="AV6" i="20"/>
  <c r="AV2" i="20"/>
  <c r="AV18" i="20"/>
  <c r="AV30" i="20"/>
  <c r="AV28" i="20"/>
  <c r="AV24" i="20"/>
  <c r="AV25" i="20"/>
  <c r="AV29" i="20"/>
  <c r="AV31" i="20"/>
  <c r="AV32" i="20"/>
  <c r="AV33" i="20"/>
  <c r="AV34" i="20"/>
  <c r="AV35" i="20"/>
  <c r="AV36" i="20"/>
  <c r="AV38" i="20"/>
  <c r="AV40" i="20"/>
  <c r="AW1" i="20"/>
  <c r="AW6" i="20"/>
  <c r="AW2" i="20"/>
  <c r="AW18" i="20"/>
  <c r="AW30" i="20"/>
  <c r="AW28" i="20"/>
  <c r="AW24" i="20"/>
  <c r="AW25" i="20"/>
  <c r="AW29" i="20"/>
  <c r="AW31" i="20"/>
  <c r="AW32" i="20"/>
  <c r="AW33" i="20"/>
  <c r="AW34" i="20"/>
  <c r="AW35" i="20"/>
  <c r="AW36" i="20"/>
  <c r="AW38" i="20"/>
  <c r="AW40" i="20"/>
  <c r="AX1" i="20"/>
  <c r="AX6" i="20"/>
  <c r="AX2" i="20"/>
  <c r="AX18" i="20"/>
  <c r="AX30" i="20"/>
  <c r="AX28" i="20"/>
  <c r="AX24" i="20"/>
  <c r="AX25" i="20"/>
  <c r="AX29" i="20"/>
  <c r="AX31" i="20"/>
  <c r="AX32" i="20"/>
  <c r="AX33" i="20"/>
  <c r="AX34" i="20"/>
  <c r="AX35" i="20"/>
  <c r="AX36" i="20"/>
  <c r="AX38" i="20"/>
  <c r="AX40" i="20"/>
  <c r="AY1" i="20"/>
  <c r="AY6" i="20"/>
  <c r="AY2" i="20"/>
  <c r="AY18" i="20"/>
  <c r="AY30" i="20"/>
  <c r="AY28" i="20"/>
  <c r="AY24" i="20"/>
  <c r="AY25" i="20"/>
  <c r="AY29" i="20"/>
  <c r="AY31" i="20"/>
  <c r="AY32" i="20"/>
  <c r="AY33" i="20"/>
  <c r="AY34" i="20"/>
  <c r="AY35" i="20"/>
  <c r="AY36" i="20"/>
  <c r="AY38" i="20"/>
  <c r="AY40" i="20"/>
  <c r="AZ1" i="20"/>
  <c r="AZ6" i="20"/>
  <c r="AZ2" i="20"/>
  <c r="AZ18" i="20"/>
  <c r="AZ30" i="20"/>
  <c r="AZ28" i="20"/>
  <c r="AZ24" i="20"/>
  <c r="AZ25" i="20"/>
  <c r="AZ29" i="20"/>
  <c r="AZ31" i="20"/>
  <c r="AZ32" i="20"/>
  <c r="AZ33" i="20"/>
  <c r="AZ34" i="20"/>
  <c r="AZ35" i="20"/>
  <c r="AZ36" i="20"/>
  <c r="AZ38" i="20"/>
  <c r="AZ40" i="20"/>
  <c r="BA1" i="20"/>
  <c r="BA6" i="20"/>
  <c r="BA2" i="20"/>
  <c r="BA18" i="20"/>
  <c r="BA30" i="20"/>
  <c r="BA28" i="20"/>
  <c r="BA24" i="20"/>
  <c r="BA25" i="20"/>
  <c r="BA29" i="20"/>
  <c r="BA31" i="20"/>
  <c r="BA32" i="20"/>
  <c r="BA33" i="20"/>
  <c r="BA34" i="20"/>
  <c r="BA35" i="20"/>
  <c r="BA36" i="20"/>
  <c r="BA38" i="20"/>
  <c r="BA40" i="20"/>
  <c r="BB1" i="20"/>
  <c r="BB6" i="20"/>
  <c r="BB2" i="20"/>
  <c r="BB18" i="20"/>
  <c r="BB30" i="20"/>
  <c r="BB28" i="20"/>
  <c r="BB24" i="20"/>
  <c r="BB25" i="20"/>
  <c r="BB29" i="20"/>
  <c r="BB31" i="20"/>
  <c r="BB32" i="20"/>
  <c r="BB33" i="20"/>
  <c r="BB34" i="20"/>
  <c r="BB35" i="20"/>
  <c r="BB36" i="20"/>
  <c r="BB38" i="20"/>
  <c r="BB40" i="20"/>
  <c r="BC1" i="20"/>
  <c r="BC6" i="20"/>
  <c r="BC2" i="20"/>
  <c r="BC24" i="20"/>
  <c r="BC25" i="20"/>
  <c r="BC29" i="20"/>
  <c r="BC31" i="20"/>
  <c r="BC32" i="20"/>
  <c r="BC33" i="20"/>
  <c r="BC34" i="20"/>
  <c r="BC28" i="20"/>
  <c r="BC35" i="20"/>
  <c r="BC36" i="20"/>
  <c r="BC38" i="20"/>
  <c r="BC40" i="20"/>
  <c r="BD1" i="20"/>
  <c r="BD6" i="20"/>
  <c r="BD2" i="20"/>
  <c r="BD24" i="20"/>
  <c r="BD25" i="20"/>
  <c r="BD29" i="20"/>
  <c r="BD31" i="20"/>
  <c r="BD32" i="20"/>
  <c r="BD33" i="20"/>
  <c r="BD34" i="20"/>
  <c r="BD28" i="20"/>
  <c r="BD35" i="20"/>
  <c r="BD36" i="20"/>
  <c r="BD38" i="20"/>
  <c r="BD40" i="20"/>
  <c r="BE1" i="20"/>
  <c r="BE6" i="20"/>
  <c r="BE2" i="20"/>
  <c r="BE24" i="20"/>
  <c r="BE25" i="20"/>
  <c r="BE29" i="20"/>
  <c r="BE31" i="20"/>
  <c r="BE32" i="20"/>
  <c r="BE33" i="20"/>
  <c r="BE34" i="20"/>
  <c r="BE28" i="20"/>
  <c r="BE35" i="20"/>
  <c r="BE36" i="20"/>
  <c r="BE38" i="20"/>
  <c r="BE40" i="20"/>
  <c r="BF1" i="20"/>
  <c r="BF6" i="20"/>
  <c r="BF2" i="20"/>
  <c r="BF24" i="20"/>
  <c r="BF25" i="20"/>
  <c r="BF29" i="20"/>
  <c r="BF31" i="20"/>
  <c r="BF32" i="20"/>
  <c r="BF33" i="20"/>
  <c r="BF34" i="20"/>
  <c r="BF28" i="20"/>
  <c r="BF35" i="20"/>
  <c r="BF36" i="20"/>
  <c r="BF38" i="20"/>
  <c r="BF40" i="20"/>
  <c r="BG1" i="20"/>
  <c r="BG6" i="20"/>
  <c r="BG2" i="20"/>
  <c r="BG24" i="20"/>
  <c r="BG25" i="20"/>
  <c r="BG29" i="20"/>
  <c r="BG31" i="20"/>
  <c r="BG32" i="20"/>
  <c r="BG33" i="20"/>
  <c r="BG34" i="20"/>
  <c r="BG28" i="20"/>
  <c r="BG35" i="20"/>
  <c r="BG36" i="20"/>
  <c r="BG38" i="20"/>
  <c r="BG40" i="20"/>
  <c r="BH1" i="20"/>
  <c r="BH6" i="20"/>
  <c r="BH2" i="20"/>
  <c r="BH24" i="20"/>
  <c r="BH25" i="20"/>
  <c r="BH29" i="20"/>
  <c r="BH31" i="20"/>
  <c r="BH32" i="20"/>
  <c r="BH33" i="20"/>
  <c r="BH34" i="20"/>
  <c r="BH28" i="20"/>
  <c r="BH35" i="20"/>
  <c r="BH36" i="20"/>
  <c r="BH38" i="20"/>
  <c r="BH40" i="20"/>
  <c r="BI1" i="20"/>
  <c r="BI6" i="20"/>
  <c r="BI2" i="20"/>
  <c r="BI24" i="20"/>
  <c r="BI25" i="20"/>
  <c r="BI29" i="20"/>
  <c r="BI31" i="20"/>
  <c r="BI32" i="20"/>
  <c r="BI33" i="20"/>
  <c r="BI34" i="20"/>
  <c r="BI28" i="20"/>
  <c r="BI35" i="20"/>
  <c r="BI36" i="20"/>
  <c r="BI38" i="20"/>
  <c r="BI40" i="20"/>
  <c r="BJ1" i="20"/>
  <c r="BJ6" i="20"/>
  <c r="BJ2" i="20"/>
  <c r="BJ24" i="20"/>
  <c r="BJ25" i="20"/>
  <c r="BJ29" i="20"/>
  <c r="BJ31" i="20"/>
  <c r="BJ32" i="20"/>
  <c r="BJ33" i="20"/>
  <c r="BJ34" i="20"/>
  <c r="BJ28" i="20"/>
  <c r="BJ35" i="20"/>
  <c r="BJ36" i="20"/>
  <c r="BJ38" i="20"/>
  <c r="BJ40" i="20"/>
  <c r="BK1" i="20"/>
  <c r="BK6" i="20"/>
  <c r="BK2" i="20"/>
  <c r="BK24" i="20"/>
  <c r="BK25" i="20"/>
  <c r="BK29" i="20"/>
  <c r="BK31" i="20"/>
  <c r="BK32" i="20"/>
  <c r="BK33" i="20"/>
  <c r="BK34" i="20"/>
  <c r="BK28" i="20"/>
  <c r="BK35" i="20"/>
  <c r="BK36" i="20"/>
  <c r="BK38" i="20"/>
  <c r="BK40" i="20"/>
  <c r="BL1" i="20"/>
  <c r="BL6" i="20"/>
  <c r="BL2" i="20"/>
  <c r="BL24" i="20"/>
  <c r="BL25" i="20"/>
  <c r="BL29" i="20"/>
  <c r="BL31" i="20"/>
  <c r="BL32" i="20"/>
  <c r="BL33" i="20"/>
  <c r="BL34" i="20"/>
  <c r="BL28" i="20"/>
  <c r="BL35" i="20"/>
  <c r="BL36" i="20"/>
  <c r="BL38" i="20"/>
  <c r="BL40" i="20"/>
  <c r="G40" i="20"/>
  <c r="E40" i="20"/>
  <c r="E33" i="26"/>
  <c r="E32" i="26"/>
  <c r="G32" i="26"/>
  <c r="F32" i="26"/>
  <c r="E3" i="26"/>
  <c r="D8" i="26"/>
  <c r="D9" i="26"/>
  <c r="D10" i="26"/>
  <c r="D11" i="26"/>
  <c r="D12" i="26"/>
  <c r="D13" i="26"/>
  <c r="D14" i="26"/>
  <c r="D15" i="26"/>
  <c r="D16" i="26"/>
  <c r="D17" i="26"/>
  <c r="D18" i="26"/>
  <c r="D19" i="26"/>
  <c r="D20" i="26"/>
  <c r="D21" i="26"/>
  <c r="D22" i="26"/>
  <c r="D23" i="26"/>
  <c r="D24" i="26"/>
  <c r="D25" i="26"/>
  <c r="D26" i="26"/>
  <c r="D27" i="26"/>
  <c r="E4" i="26"/>
  <c r="E27" i="26"/>
  <c r="F27" i="26"/>
  <c r="E26" i="26"/>
  <c r="F26" i="26"/>
  <c r="E25" i="26"/>
  <c r="F25" i="26"/>
  <c r="E24" i="26"/>
  <c r="F24" i="26"/>
  <c r="E23" i="26"/>
  <c r="F23" i="26"/>
  <c r="E22" i="26"/>
  <c r="F22" i="26"/>
  <c r="E21" i="26"/>
  <c r="F21" i="26"/>
  <c r="E20" i="26"/>
  <c r="F20" i="26"/>
  <c r="E19" i="26"/>
  <c r="F19" i="26"/>
  <c r="E18" i="26"/>
  <c r="F18" i="26"/>
  <c r="E17" i="26"/>
  <c r="F17" i="26"/>
  <c r="E16" i="26"/>
  <c r="F16" i="26"/>
  <c r="E15" i="26"/>
  <c r="F15" i="26"/>
  <c r="E14" i="26"/>
  <c r="F14" i="26"/>
  <c r="E13" i="26"/>
  <c r="F13" i="26"/>
  <c r="E12" i="26"/>
  <c r="F12" i="26"/>
  <c r="E11" i="26"/>
  <c r="F11" i="26"/>
  <c r="E10" i="26"/>
  <c r="F10" i="26"/>
  <c r="E9" i="26"/>
  <c r="F9" i="26"/>
  <c r="E8" i="26"/>
  <c r="F8" i="26"/>
  <c r="E7" i="26"/>
  <c r="F7" i="26"/>
  <c r="AN3" i="24"/>
  <c r="AG3" i="24"/>
  <c r="A3" i="24"/>
  <c r="C3" i="22"/>
  <c r="D3" i="22"/>
  <c r="E3" i="22"/>
  <c r="F3" i="22"/>
  <c r="G3" i="22"/>
  <c r="H3" i="22"/>
  <c r="I3" i="22"/>
  <c r="J3" i="22"/>
  <c r="K3" i="22"/>
  <c r="L3" i="22"/>
  <c r="H27" i="20"/>
  <c r="H26" i="20"/>
  <c r="G15" i="20"/>
  <c r="G14" i="20"/>
  <c r="H9" i="20"/>
  <c r="H3" i="20"/>
  <c r="H16" i="19"/>
  <c r="B11" i="8"/>
  <c r="A11" i="8"/>
  <c r="B1" i="19"/>
  <c r="I27" i="20"/>
  <c r="H30" i="20"/>
  <c r="I26" i="20"/>
  <c r="I9" i="20"/>
  <c r="I3" i="20"/>
  <c r="G16" i="20"/>
  <c r="J3" i="20"/>
  <c r="J9" i="20"/>
  <c r="J26" i="20"/>
  <c r="J27" i="20"/>
  <c r="I30" i="20"/>
  <c r="K27" i="20"/>
  <c r="K9" i="20"/>
  <c r="K3" i="20"/>
  <c r="L27" i="20"/>
  <c r="L3" i="20"/>
  <c r="L9" i="20"/>
  <c r="J30" i="20"/>
  <c r="K30" i="20"/>
  <c r="M27" i="20"/>
  <c r="M3" i="20"/>
  <c r="M9" i="20"/>
  <c r="N27" i="20"/>
  <c r="M30" i="20"/>
  <c r="N9" i="20"/>
  <c r="N3" i="20"/>
  <c r="L30" i="20"/>
  <c r="O26" i="20"/>
  <c r="O9" i="20"/>
  <c r="O3" i="20"/>
  <c r="N30" i="20"/>
  <c r="P9" i="20"/>
  <c r="P3" i="20"/>
  <c r="P26" i="20"/>
  <c r="Q26" i="20"/>
  <c r="Q9" i="20"/>
  <c r="Q3" i="20"/>
  <c r="R3" i="20"/>
  <c r="R9" i="20"/>
  <c r="R26" i="20"/>
  <c r="S27" i="20"/>
  <c r="S26" i="20"/>
  <c r="S3" i="20"/>
  <c r="S9" i="20"/>
  <c r="T3" i="20"/>
  <c r="T9" i="20"/>
  <c r="U9" i="20"/>
  <c r="U3" i="20"/>
  <c r="T27" i="20"/>
  <c r="T26" i="20"/>
  <c r="V9" i="20"/>
  <c r="V3" i="20"/>
  <c r="U27" i="20"/>
  <c r="U26" i="20"/>
  <c r="W9" i="20"/>
  <c r="W3" i="20"/>
  <c r="V27" i="20"/>
  <c r="V26" i="20"/>
  <c r="X9" i="20"/>
  <c r="X3" i="20"/>
  <c r="W26" i="20"/>
  <c r="W27" i="20"/>
  <c r="Y9" i="20"/>
  <c r="Y3" i="20"/>
  <c r="Z3" i="20"/>
  <c r="Z9" i="20"/>
  <c r="X26" i="20"/>
  <c r="X27" i="20"/>
  <c r="Y27" i="20"/>
  <c r="Y26" i="20"/>
  <c r="AA3" i="20"/>
  <c r="AA9" i="20"/>
  <c r="AB9" i="20"/>
  <c r="AB3" i="20"/>
  <c r="Z27" i="20"/>
  <c r="Z26" i="20"/>
  <c r="AA27" i="20"/>
  <c r="AA26" i="20"/>
  <c r="AC3" i="20"/>
  <c r="AC9" i="20"/>
  <c r="AD3" i="20"/>
  <c r="AD9" i="20"/>
  <c r="AB26" i="20"/>
  <c r="AB27" i="20"/>
  <c r="AE9" i="20"/>
  <c r="AE3" i="20"/>
  <c r="AF3" i="20"/>
  <c r="AF9" i="20"/>
  <c r="AC27" i="20"/>
  <c r="AC26" i="20"/>
  <c r="AG3" i="20"/>
  <c r="AG9" i="20"/>
  <c r="AH9" i="20"/>
  <c r="AH3" i="20"/>
  <c r="AD27" i="20"/>
  <c r="AD26" i="20"/>
  <c r="AE27" i="20"/>
  <c r="AE26" i="20"/>
  <c r="AI3" i="20"/>
  <c r="AI9" i="20"/>
  <c r="AF27" i="20"/>
  <c r="AF26" i="20"/>
  <c r="AJ3" i="20"/>
  <c r="AJ9" i="20"/>
  <c r="AK9" i="20"/>
  <c r="AK3" i="20"/>
  <c r="AG27" i="20"/>
  <c r="AG26" i="20"/>
  <c r="AH27" i="20"/>
  <c r="AH26" i="20"/>
  <c r="AL9" i="20"/>
  <c r="AL3" i="20"/>
  <c r="AM9" i="20"/>
  <c r="AM3" i="20"/>
  <c r="AN9" i="20"/>
  <c r="AN3" i="20"/>
  <c r="AI27" i="20"/>
  <c r="AI26" i="20"/>
  <c r="AO9" i="20"/>
  <c r="AO3" i="20"/>
  <c r="AJ26" i="20"/>
  <c r="AJ27" i="20"/>
  <c r="AP9" i="20"/>
  <c r="AP3" i="20"/>
  <c r="AK26" i="20"/>
  <c r="AK27" i="20"/>
  <c r="AQ9" i="20"/>
  <c r="AQ3" i="20"/>
  <c r="AR3" i="20"/>
  <c r="AR9" i="20"/>
  <c r="AL27" i="20"/>
  <c r="AL26" i="20"/>
  <c r="AS9" i="20"/>
  <c r="AS3" i="20"/>
  <c r="AT9" i="20"/>
  <c r="AT3" i="20"/>
  <c r="AM27" i="20"/>
  <c r="AM26" i="20"/>
  <c r="AU9" i="20"/>
  <c r="AU3" i="20"/>
  <c r="AN26" i="20"/>
  <c r="AN27" i="20"/>
  <c r="AV9" i="20"/>
  <c r="AV3" i="20"/>
  <c r="AW3" i="20"/>
  <c r="AW9" i="20"/>
  <c r="AO27" i="20"/>
  <c r="AO26" i="20"/>
  <c r="AP27" i="20"/>
  <c r="AP26" i="20"/>
  <c r="AX3" i="20"/>
  <c r="AX9" i="20"/>
  <c r="AY3" i="20"/>
  <c r="AY9" i="20"/>
  <c r="AQ27" i="20"/>
  <c r="AQ26" i="20"/>
  <c r="AZ3" i="20"/>
  <c r="AZ9" i="20"/>
  <c r="AR26" i="20"/>
  <c r="AR27" i="20"/>
  <c r="AS26" i="20"/>
  <c r="AS27" i="20"/>
  <c r="BA3" i="20"/>
  <c r="BA9" i="20"/>
  <c r="BB3" i="20"/>
  <c r="BB9" i="20"/>
  <c r="AT26" i="20"/>
  <c r="AT27" i="20"/>
  <c r="BC9" i="20"/>
  <c r="BC3" i="20"/>
  <c r="BC18" i="20"/>
  <c r="AU27" i="20"/>
  <c r="AU26" i="20"/>
  <c r="BC30" i="20"/>
  <c r="BD9" i="20"/>
  <c r="BD3" i="20"/>
  <c r="BD18" i="20"/>
  <c r="AV27" i="20"/>
  <c r="AV26" i="20"/>
  <c r="BD30" i="20"/>
  <c r="BE18" i="20"/>
  <c r="BE3" i="20"/>
  <c r="BE9" i="20"/>
  <c r="BF18" i="20"/>
  <c r="BF9" i="20"/>
  <c r="BF3" i="20"/>
  <c r="BE30" i="20"/>
  <c r="AW26" i="20"/>
  <c r="AW27" i="20"/>
  <c r="AX26" i="20"/>
  <c r="AX27" i="20"/>
  <c r="BF30" i="20"/>
  <c r="BG18" i="20"/>
  <c r="BG9" i="20"/>
  <c r="BG3" i="20"/>
  <c r="AY26" i="20"/>
  <c r="AY27" i="20"/>
  <c r="BH3" i="20"/>
  <c r="BH9" i="20"/>
  <c r="BH18" i="20"/>
  <c r="BG30" i="20"/>
  <c r="BI18" i="20"/>
  <c r="BI3" i="20"/>
  <c r="BI9" i="20"/>
  <c r="BH30" i="20"/>
  <c r="AZ26" i="20"/>
  <c r="AZ27" i="20"/>
  <c r="BA27" i="20"/>
  <c r="BA26" i="20"/>
  <c r="BI30" i="20"/>
  <c r="BJ18" i="20"/>
  <c r="BJ9" i="20"/>
  <c r="BJ3" i="20"/>
  <c r="BJ30" i="20"/>
  <c r="BK18" i="20"/>
  <c r="BK9" i="20"/>
  <c r="BK3" i="20"/>
  <c r="BB26" i="20"/>
  <c r="BB27" i="20"/>
  <c r="BL9" i="20"/>
  <c r="G9" i="20"/>
  <c r="BL3" i="20"/>
  <c r="G3" i="20"/>
  <c r="BL18" i="20"/>
  <c r="G18" i="20"/>
  <c r="BK30" i="20"/>
  <c r="BC26" i="20"/>
  <c r="BC27" i="20"/>
  <c r="BD26" i="20"/>
  <c r="BD27" i="20"/>
  <c r="G6" i="20"/>
  <c r="BE27" i="20"/>
  <c r="BE26" i="20"/>
  <c r="BL30" i="20"/>
  <c r="G30" i="20"/>
  <c r="G2" i="20"/>
  <c r="BF26" i="20"/>
  <c r="BF27" i="20"/>
  <c r="BG27" i="20"/>
  <c r="BG26" i="20"/>
  <c r="BH27" i="20"/>
  <c r="BH26" i="20"/>
  <c r="BI27" i="20"/>
  <c r="BI26" i="20"/>
  <c r="BJ27" i="20"/>
  <c r="BJ26" i="20"/>
  <c r="BK27" i="20"/>
  <c r="BK26" i="20"/>
  <c r="BL27" i="20"/>
  <c r="BL26" i="20"/>
  <c r="G35" i="20"/>
  <c r="G33" i="20"/>
  <c r="G31" i="20"/>
  <c r="G32" i="20"/>
  <c r="G34" i="20"/>
  <c r="G36" i="20"/>
  <c r="E37" i="20"/>
  <c r="E41" i="20"/>
  <c r="E3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Erick Delage</author>
  </authors>
  <commentList>
    <comment ref="B7" authorId="0" shapeId="0" xr:uid="{00000000-0006-0000-0400-000001000000}">
      <text>
        <r>
          <rPr>
            <b/>
            <sz val="9"/>
            <color indexed="81"/>
            <rFont val="Tahoma"/>
            <family val="2"/>
          </rPr>
          <t>Copier les valeurs simulées dans cette plage échantillon.
S'assurer que le nom "echantillon" réfère à la plage entière de données.</t>
        </r>
      </text>
    </comment>
  </commentList>
</comments>
</file>

<file path=xl/sharedStrings.xml><?xml version="1.0" encoding="utf-8"?>
<sst xmlns="http://schemas.openxmlformats.org/spreadsheetml/2006/main" count="276" uniqueCount="249">
  <si>
    <t>total</t>
  </si>
  <si>
    <t>Assumptions</t>
  </si>
  <si>
    <t>Triangular distribution with parameters:</t>
  </si>
  <si>
    <t>Minimum</t>
  </si>
  <si>
    <t>Likeliest</t>
  </si>
  <si>
    <t>Maximum</t>
  </si>
  <si>
    <t>Normal distribution with parameters:</t>
  </si>
  <si>
    <t>Mean</t>
  </si>
  <si>
    <t>Std. Dev.</t>
  </si>
  <si>
    <t>Uniform distribution with parameters:</t>
  </si>
  <si>
    <t>Custom distribution with parameters:</t>
  </si>
  <si>
    <t>Value</t>
  </si>
  <si>
    <t>Probability</t>
  </si>
  <si>
    <t>End of Assumptions</t>
  </si>
  <si>
    <t>Assumption: Abandonment cost</t>
  </si>
  <si>
    <t>Assumption: Capacity factor</t>
  </si>
  <si>
    <t>Assumption: Construction cost ($/W)</t>
  </si>
  <si>
    <t>Assumption: Electricity price scenario</t>
  </si>
  <si>
    <t>Assumption: Electricity price scenario (cont'd)</t>
  </si>
  <si>
    <t>Assumption: Fixed operating cost (M$)</t>
  </si>
  <si>
    <t>Assumption: Variable operating cost ($/MWhr)</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</si>
  <si>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</si>
  <si>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</si>
  <si>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</si>
  <si>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</si>
  <si>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</si>
  <si>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</si>
  <si>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</si>
  <si>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</si>
  <si>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</si>
  <si>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</si>
  <si>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</si>
  <si>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</si>
  <si>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12678692-a5f9-4845-8c39-4d3e4a231c9b</t>
  </si>
  <si>
    <t>CB_Block_0</t>
  </si>
  <si>
    <t>㜸〱敤㕣摦㙦ㅣ㐷ㅤ扦㍤晢捥户戶㉦㜶㘳㈷㙤晡㈳㜵㝦搲攲攸㥡㥦㙤愳㉡愴晥㔱㈷愶㑥敤收㥣㔴愸㉡挷晡㙥搶摥㘶㝦戸扢㝢㑥摣ち㕡愰㐸ㄵ㤴〷挴ぢ㔴〸㠴㠴㉡㜸㐱㉡て愸攵挷㈳㙦ㄴ㈱㈱昱㠲㤰捡ぢ㉦㔰ㄴ㠹㍦愰㝣㍥㌳扢㜷㝢㜷扥戵㜳㙤挱㐱ㅥ挷攳搹㤹敦捣捥捣昷攷㝣扦戳挹㘸㤹㑣收㈳㈴晥㘵敡㘷攱捥昲㘶㄰ち愷㌴攳搹戶愸㠶㤶攷〶愵㈹摦㌷㌶ㄷ慣㈰散〳㐰扥㘲愱㍤挸㔵〲敢㘵㔱愸㙣〸㍦〰㔰㉥㤳㈹ㄴ昴㉣摡㌹〸㝦㐷攳〷㥤扤㠶晢㤱㕤㥣㤹㕥㕣㜹ㄱ愳㤶㐳捦ㄷ㐷㈶㉥慢扥㘷ㅥ㉢㥤㈸㥤㝥昴㘸改攸㤱㠹㤹扡ㅤ搶㝤㜱挶ㄵ昵搰㌷散㈳ㄳ㑢昵ㄵ摢慡㍥㉤㌶㤷扤㉢挲㍤㈳㔶㡥㥥㔸㌱㑥㍥㝥散攴愹㔳收改搳㡦て攳挵㤹㠵㤹改㈵㕦㤸挱㈷㌲㘲㡥搳㍤㌹㉢慡ㄶ搷㈵㠴㙦戹慢愵㤹㘹晣㑢捣ㅤ㑦㡦㤵捡㙢㐲㠴㝣戱昰㠵㕢ㄵ㠱㡥㡥㐳捥㔴㄰搴㥤㜵㙥㥣敥捣㘱㤹㔵㈳〸㜳捥㡣戰㙤摤㠹㐷㉤㌸㡢搸㌷摢搸ㅣ㜶捡挲つ慣搰摡戰挲捤扣戳㡣㠱㙡㐵攷㔲㈰㉥ㅡ敥慡㜸挶㜰㐴捥㌹㔷户㙡晤㉡㘵晡㍥ㄳて㤱㥣㤸㕣㝣㘹㉡㜰㘶搶っ㕦捥㈸攰戶愴挰捥昹搵㔶搸晢扡㡦换愹换㌷㜰捣〷扡挳愱攵戲攱㌷㈰㈷扢㐳㐶㡢㙦㥤挱㈳摤攱ㄳ㝢搴摡攷攱敥㝤攴㔶戶㐲㙢㐳ㄱ㙤换ㅤ挵㘲昴㍣戳〱㘶〵㘶㐴愰㍥挸㙣㠸搹㌰㌲慤晦摦攰㤰㘴㐷㌶㘵㉢㐶戶戲㤲慤㔴戳㤵㕡戶㈲戲ㄵ㌳㕢㔹捤㔶搶戲ㄵ㉢㕢㜹㌱㕢戹〲㤸㌸ㄵ〶〶戲㔱晡㑢昱㜷摦攸晦搳㠷戳㙦扥㝢换㠷挱昷摥㍦㍣扣て㐰捦㐶㤳㥡昵㡤慢㈰戵㈶つㅦ㉦㠱㈳㜶挲ㄳ㘰〹昳㤴昹㤸㜹散㔸敤搴㔱攳㠴㤱攳戲㔲㤰摦㐲㈸愳㠰ㅤ㌶㥦戳摣㥡㜷㔵攲敥捥㘹㈳㄰捤㡤㥢㡣摡愶扤扡㕢ぢ敥搸扡戱ㅣㅡ愱戸扤扤慤㌹㐸㐷户㌲搸㑡〴昲㝤㠷摢扢㕤㌶散扡㤸扡㘶愹收扢摡㥡㥤㈵摦㕢改摥㍡攷㡢㤷ㅡ慤ㅤ㌳㥡㠲㐰摢㤰㘳㜷慣㔲㌵愹㜹㑤捣慣㜹㠱㜰攵昴㈶㥤㈵慢㝡㐵昸㘵㐱㜱㈸㙡㜲愹〷搸ㄴ㜱晤攴愲㡢㠵㠲㕢㙢昷㈶㙢捤愷慥㠵㘰㘶㔱挳㝣搷㠵ㅦ㙥㉥ㅢ㉢戶㌸搸〲愲摥㠹㠶㐳㉤搵㜳㕥戵ㅥ捣㜸㙥攸㝢㜶㙢换㔴㙤挳㠰愴愹㕤昰㙡愲扦㍦㈳㠵〲㠴㙤㕦㥦愶㘵㍥摢㥤ㄷ㈴㈲ㄲ㈸㈶㈳摦搶㑡㜶愵㡢㔸ㅤ㔶㘱ぢ搲㘴昶晥㙤〶攳㝣愵㡣㐹攱挰挴㥡愸㍢昸搲㠷戶ㄹ戶㠱戹㑦ㄷ㌸㥢ㅤ㡢㔶晦搴㠶㜰挳昳㠶㕢戳㠵㥦慡昹㌴捥㐸ㅦ㐱㤶扢づ㠱搰㜵昷愸收戴㙢摡㘶敥慡㔵ぢ搷昲㙢挲㕡㕤ぢ㔱〷敤㔸㈸㜰㙢㍢㤲㝥ぢ慡昴晤捣挶㤰つづ㘶昲攳〴捡て㈲㘵㜲㤴㑥㈹扣摣㈲挸搹慦㠵㤷㠷捤㌹换づ㠵ㄲ捡㈳㈶㌰愲戴㥡㐴㕦㤱㈴敡ㅢ㔵愵㌰挶捤ㄹ㔰愹㘱戹攱㘶㤳㙦㍢戸㐴ㄱ搱㥥㉣搸㜵戲㠰愲愰㔵ㅥ愴昰ㅡ㠸愶㑤ㅡ愴〳㈷㠸㠸㙣㤰愲搹㌱㜲㉢㤱ㄱ㍥㐵㐶〰㍥㐹㠴㠴㍥摡㕤㐶㤰搸㍢㠹㤴㥤扡昲攳㥥㌴摢捡㡥㔷搲散〰㌶㑥㍦挸散㔶㘶户㌱㍢㠴㑣晢㍢㈴ㅣ愵ㅣ捡慤㐹扦〳捦晡㥤捣敥㐲〶昹愴㔳收㐴愲㡡㌶搴㑥散㐸挲ㄵ㘱㈷㑢愳㔸㠹㈲㕡挶つ㍢戳攸㐸㐴㐷㔶攷敥搰戵晤㔲挷㍥搸㥤㌶㤳换㈱㐵愶㠰㈶搷扡つ㘸㜲㈳〸摡愳摥扡ㅢ㕤昵〹㘶昷㈰㔳㡡㠵挶敥捥慣㜹㥡㤳㌷㠵㐹愴っ愱ㅥ㤵㝢㐴挴㌴晦㔳〴㕣挷搱㘵捦㝥愶㈹㌸㘹摥昴昶昳㤱敥扣ㅤ㈱扤㑤㘷敥改ㅣ晡㠹㙥搰㠲扥ㄷ散愵晤戵慢㝥戹ㅦ捤晡〳捣ㅥ㐴搶愶㕦㜸昲扥㔱㉦㠱㌴㠹㥤〴收昶搳攳㈲㉤摣攵捤㜵㈱戵捦戰戹㙣昸慢㈲㠴昷㘲㝥ㄶ㜶戰攷晢挲挶㠱戶㈶㉢㜸㜶戹戵戵㌲㤸昳㍤㠷昵㝢昶㜱㜰㔳㈸㠶晥晥㙣㕦愶捤㍥㑥戱㌳ㄳ晥愶〴攵㔰晦㥥攸㉥㈴ㄲ㥤㕡挹㡢晤搲捦㤶㝢㤲愴〷㐹昲㄰戶㔵㝦ㄸㄹ愴㠴昶攷慥ㄲ㘵㤲㘰㐷㈴㔸慢戵㑡敦㕥捡挹愴捤㝦搸㈱㐷㠶㤴戳㜶ㅡ扥㠳愰攸㤴㉤愷㈱㉣㠶㥣㈵攱㔷攱㔷戰㙣㌱愸㕣戲ㄴ㌵㝢戲攲㈶㤱ㄵ㝤㝤ㅤ㘷改ㄴ摦㥡愴㤳㌶㈹㤱捡敤愹㡤㈹攷昰㈶㔱搱〵㐹愱㤲攲ㄶ㙡㐸㈰㔲ㅥ㘱昷㐴㑣て㈲愶㠴㡤搳ㅦ㘱㜶㤴搹㌱㘴戹㍦㐰搲散㜴攳ㄹ〶ㅢ搸愰㍢扢㔲挹ㄴ㠸〶改ㅥ㝣扦慢戰㍡挹搷㥣㘲昶㈸戲㌶昳㠷捥挷ㄴ㐲㤴㈸㑦㄰㈲慤㈵摤扣㙣㠹慢愴㠱㝤㈶㠲㑡㌳昵㈰昴ㅣ㐶㤵㡡收慣昷㡣ㄷ捥㕡挱㍡愲㔰㘳㘶㔴㜸㙥㑤戸愰㉥ㅦ戶㑦㕢㥤户扥㉥㙡扡㔹昶敡㄰㙤昳戳扢攱㔰㡥昵挱㤶㤴攷昲慣㠶搴摢搹ㄸ㐳㘸昲㐴っ㕦㉢㍤戱㍢昲㝣昳搰㌷搲摣搱㘵㉢戴挵㤰愹㤸㡥攵㠲㠹㕤㐴搴愰㌶㘰㉥慦昹㐲捣ㄶ捤㜳扥㔵戳㉤㔷㄰ㄹ戰㌱ㄹ愸㕢㄰慢㠸㄰㉣㜹㡣晦㜹㙥搱㕣昶つ㌷㔸㌷ㄸ㑣摣摣摦昲㈴㐳㈲㌹㜳摡㜲〳扣㐶㘲㤱攵ㄱ戳扣收㕤㐵愴戶敥戸攷㡣昵㘰㔷㘰㠵㐴慦㤲㐴㡤㤶搵戲㔹慤㤰㉤昴㡡ㅦㅥ挸㌳㤹攳昸敤㘷㈶㜱㤵挹搱㕦㥥愲扤㘹搷㐷昱ㄹ摡改㥣搳㌰㈲㐷㡤捡扥㔴㈹㑣㑥搵ㅦ㘷㥦搳挸捥㥦扢㌴摦㡣捡㝤㡣㔸㜵㡥晥晤ㄴ〹㉦㠹愲ㄱ〲愱㜷㙥㥦㈲ㄴ搶㤱㙥挰㝦挰㌷㥦摡㠹㙦搰㤴㌰愴扤㝤捤攲ㅣ㘲㐸挳收㠲戱㈲㙣㐴愲ㅤ㈳摣愷ㅥ㘸挴㍡㠶ㅤ㐴㙤㌳㥥攳ㄸ㈴㉣ㄲ㘵戹㙡㤰㝥愷敡愱㜷挱㜲㜵ㄳ㤹愴扥愸捡戸㠶㉡攳㥡慣ㅡ㌶㉦㌲㈸㈸换ㅣ换㕢㌵㝣㉢㕣㜳慣㙡㠱てっ摣敤ち㡡〴㡢㔳敥挶㈹㤶ㄸㄳ㙤戶晣㈵ㄸ㙣㐱〹挸㉥㐱㡡㜲敢㠸㝣搰㙤㔶换攳㐷敢搱慤〴昱㈲㝤愴晡ㄳㄸ㉤㈷敦㐴㐰攰挸㜴㍤扥㜹㜱晤㔵搴㈸慦ㅣ戱㥥㐲㈲昰〷㈶㐴㍣㥤摢㜹昳㤲㙢㠵挰ㅥ㌱㌶㘷㠵戳〱㔰㡥っ㐵㜹戸扤㕤㘲㌵搱㘹戲愱ㄳ敥敥㙣㙡㔱ㄲ㠷㍢摢㤳㕡攳晥㉤㥡㤵㍥㐹愸㤱敤㠰愴㕥搹㘲㡥扢㐹搱㘸㔲㙤挷扡㐶㑢㜳㥡㌶昷㥤㌲攴㘳愸㈵㐹㌳ㄹ晤㡣㈴ㄴ㠴㜸㐹ㅤ搰㔰昴搶愷㤳㐷㈲㔶㐳ぢ㘰㤰㕡㑡搵ㄵ愳㘰攰㍣㉥㥣搴挴㘰昴〴晥摥ㄷㄵㄷ敢㘱㑢㡢㜱㙤㉣㙡㤹戲敤㐵ㄷ㌶㐲搵昰㙢扢㠴愵戱㌶愵㕦㈴㜷昶慡晢搵昶㈶ㄸ㌱㘲㐳〶㐴㔲扣挰㘰㐳㌰㔷㈲㤶㑡摢慣挸慤㙥㔴ㄷ昸㜴㐱ㄸ慥挴㐰㌹慣捤㡡つ㘹㠴㌵敤昸㌱搹愱㜱㔶㤴㜲㔴㌷愷㔶〲㈸昴㤰㜲㍣㉡㐹〶搷捤㡢㜴㑡攱晡〲挴㙥㔴㕡慡㠶〸敡㌶〶攰戹㘰昷㘰〷㍢愲㠲㈶戴捤㈸㐱昳㈹㠴摢扡〸昲㑥㡦ㄸ㠵㈰㌵㘵晡搷㔹敤慤敦㌳晤散㙣㈶㉥㐴㑣挴㐰㔷㡡敤〰攴㈶㘳㤲攴愲戱㌸㔴慥㈴㥢ㄴ㕡挳㜱ㅤつ㡣㈲つ㍥㍦挴晤ㅤ㐶戱㐶挸㌶㌶㙥户㠵ㄶ戴愹扤戹捦㥣㜷慢㜶扤㈶愴㉡㡥㘵戵搴挸扢〲㕦昲攲㥦攲愶㤴㝤㠹㌶㘵ㅥ〷㈹㉥㤹㐸敡摤敡搶㍦㠷敥㔲挸㘱っ㈵摢ㄸ㝡㑣㜱捡挹㔰㔸挷つ〵㕡㠷晢㥢㔷ㄷ攴戵㌹㠸戴㡥㉡捡戲〵摣挴㙢挴㡦㈵户㈵挰ㄶ扣〵㡦ㄶ㝢愲敡扣愵慡㜶〵㡥戰㑥㈵昰昲㜹ㄸ㈳㍤㜲〷〷挹㕣㡦攲扡搷㕦㤵㡦㤹敢㘷㈳攳㐳㘳㜴㤷㘷愰っ㜶ㄵ㡣㐴㜳㍢摢戴戹㌵挶㝤㘹㜷敢㑦㈲搳ㄸ〰愶㐱ぢ㐸㘵攰㑣愳扣扤㠱挳㔰㘴㑡㙣㌴ㄹ㐶㘵㠴㜲っ敥㝡㈰つ摣挴㘳昴戲〷㈵ㄴ㡥换㉢㘱昱慤挴㐹〷〷㈰捦㍦搸㔶戹㘴㠴戸昸攲ㅥ㙡慢㥥慡搵㘸敥挲㍢户㉢戰㡡㑢ㅢ捡ㅣㅤ㙦扢㡥㈵搷㐴晢敥扥戶㠶攸㥡攰昱搹搲㜹㈳慣慥㤵挳㑤㜵㘵慢㔷㤲挸晤ㄶ摥㠸㉤摦㑥㥢戹摦攵ㄵ搴つ敥晤攰ㄵ搷扢敡捡㜹攵〲摥昷愳ㄵ慢てっ㜰㤲㠳㤹㡦昰㈳㔳㌶㤳晢つ㐶摣挹戴㌹㐰搳㍤挲㜱㘴㔲搲㘰〲攵ㄴ㍡㠱敤摥戸㉦㐰㍡ㄹ㙦愳ㄳ㈹〸昶〸挵㕤晤挴〸㐵晢㌵搰㑡㘲㔱〷㜲散昹摢㘰㝤敤㔷愸㈱挲昱ㅣ㠹㤱摣㍤㈸愵愰㑥ち昲攸㜲〷慦㠲晣晦㘰㈹收收㉤搹改扦挰捣摡㝢敤㈸㍡㑣ㄴ扤摢㠹㈲㠶㘱㙦㈸攰捤搹敦ㅤ㌵㍦昵㑢扤晦挳愳收攷㠱㘱㈶㘹㡤㈱愴挶㔰㝣挳ㄸ挸㜶ㄸ〳て愰㔹ㅡ〳㑦戳て愳昵捡ㄸ㠸扣ㅤㄷ㔰戱扤㌱挰ㄸ㕥㡡挹㤷〸愹㈶ㅣㄸ㍣㙢ㅤ㜴攸〹㍢㡦换戵㈲㐰摣ㅥ敡㈹㤸㠱敦改搶捥敡㈵挳㌷㥣㐳戲晥㥣㉦愰戶晣㘵摣搶㤶㕤搸攳昶㉤㕢㘴愷㉤扣ㄲ戱㌷㝤捦㜳戲戳㍢敡挰㤴㑡捡㑤慦ㄵ戴晣挷昰㠹㘸㍣㈱㘴㕥ㄹ晦昹戹扦扤晣晡㔹摥㑡㡢㘸㌵挷㌰㜰㉦愱㜹㕡づ〸摥㈶㉥㠴ㅣ攰挷㌷ㄷ昰ㄱ㤲戵㙥㡢㘹挳㤷昶㑥愰㍢㜱㔱ㄱ㕥㠲㌰ㄵ昱敤〶㘳ㄲ昷ㅢ㤴㌱㔹㙡㜳㙣捡㡦㤷愴㌳戰㤴㤸戸昴摥挵攱㐱慤慢捡敡搱慥捣晤〲㑡攷〶㈷搲㙡て昲㝣挹愴㘹敦戴㙢戵㔳搴㙡搲㑣搴㈶〱ㄱ㑢㈹挴ㄹ㐸㈱挹㈳ぢ〳晦㔲㑡㉤愱㤰㉢㈱㑢㠹愰戵㠷㜲㜹昲摦ㄳ〲愲㜱戹慦挷て㔵戰㡢挰㘲散㜵敦昵散㑡慢㌳㔶㑤っ挹捡搳挷戳㈸挸㘳ち㉢ㄸ愳㤵戵ㄷ㔱㠸㔳敥ㄸ㑡㍢㜶㍣昱㈵㐵㐷〵搸ㄴ㘳攷ㅣ㝡搵〶㥤愷摣㍡㙥㜸㐰捦攴愵挲㜰昷戳ㅡ㐷㑦ㄹ㡢㔳愰㠳慡㡡昹㠸㉡㌶㍡つ㐵㑤搰㔹敥㈱㥣㍦ㄱ攴攳搷㐰㙣㥦㙣づ㝤愰扤㠵㍡捥ㅤ挰〲昹ぢ晢敢㜰ち㘳攳慤攴ㄸ㐸搸ㅤ㐱ㄵ搴ㄵ昰㌲扡㐸㝢㕥搳㥢㐵扥㑢搳ㄸ㡢㡥㌹慢慦㔳晦㌳㑡㉤㌹㙢㤹搰っ㔷户攸晦换愸搸㔶晦㙢㡣戱㐹㤴㍤ㄷㄵ昸㤰㘳愴㘴摢攰っ㜷〴㍥㙣㠴㘹攴ㄱ㔸㤷㐵㠶戶㔵愹㡣㡦㔳㔵戳㤴攰昰㜰昵户㕦㠱㘸昴愵㙤㍢搴㔵〰㌲ち㤴晢㈹㐴㔰搷晥㥣㜴攷㌹㌶晦〵㔴㡦㕦戰慡扥ㄷ㜸㘶㌸㔱㐶㜰㜷㠲摦㤷㤹戰㜹愶戴户摢㠵摡㝤搸㠹攱攷搱㘷㘱ㄱ〲晢ㄹㄱ㝥㌲㌱㐷㐶㄰㜶ㄶ戱攰㤷㐶愳㠹㌰ㄲ㜵㐳㜰㡢昹㙣摤戰昱㜱敡㈲㝣㥡㈱慢㜶㠵慡㔳㥥攵昶㝢ㄸ摣㌸摣挴㝡ㅡ㝥ㅦ㘱㤷㄰〴㤳㑢㜸晥〵敥㙡晢ㅥ戴挲㐶㙢ぢ〸搹㥢㙦㙤㌰昷ㄳ㘰㜴㘷㙦㘹㈵ㄸ扥㤳摦ㅣ㉢扦〷晤愲㍢㜷挲㜲愴㌱㔰㜸昴愹㌶㥤㕤㤳㌶㕣㘴㍢㠸㙦扦㠰慥摡㤳捣昰慢㝦㌱㉡昰㐱愳㈷敦〹ㄶ㝥㡣㈵㤱昴㔱捥攴扦㠴慣㍢㍤晦〸㘰㉤摥〱搲戳挶㐳〵㈹㜰㔰晢㈱摡戹㐳㡤㤵㙡昲攰㠰㌶扤㡡㉣㑥ㅡてづ昲摤㍦〰㜰攳摤〲戵摤摦晤搶㤶敦愶捡㤷㙢㕢㡤〷挷摦搱㔸㘵攸㙢㜸搲㉤㘶㉦㌲扢挲挶㔸㜳㡣㔰ㄸ㔲挲攴㔵攸攰扤戳㈸㈳晤㌱晡晢挱搹昷㝦捦昴捦戳㥡ㄴ㝦㘸搲㙤〹愱㌲㡤攲㑦慥攲扢挹㔵戸愸敤扥㡡敦㙣戵㡡㔱㑡㐶㕥㌷搱搷㤱ㄵ㐷㌴㠹㌶㍥扦㠴㉣㑥愳㐴㥦㠴昲㔱㈸㡥㡣㜲㑢昹㕣ㅣㅤ攵敡㔵㌱挷㈵愷㝣愰㈳敤ㅦ㕥㘸愴㔷㈶慦摣慡㜹愵昵ち㑥攴㑦摤ㄵ摣ㅦ㜹挲扢㡡散㝣㡦戱㝡敤摢㌱ち捥㥦㡦扦㝥捡㐶搱㈳㤰㠰戲㌸㐹㌲摣㐸敤捤ㄸ昸㥤㕦㌶㥤㥦㘸㐰〲㥤㈸㘰㤲㤶〴晥㔶っ㝣ㅣ㕦㔶㐹㤸っ敦〲㌰㝤㄰〳㤳〴㈵昰㌷㘳攰㝦ㅣ㍦搴〰㡥㈹㑥㡤㍣㑡㜲㡢搰扡㡥㘲㡡㔹㉢つ晤挴〷搷㍣㍦攷㑣慡捡㈱㔳㔵㔳㑣捡㜸戰㉤㤵攵㌰㙥㜸昸昸攴㜹〱搷㤵㜰慦〳ㄲ㔵晤捦〷昳戸挶㌴㙢㠴〶扥㘸摥㐰〴搹搷攵ㄳ㍢攷捤㐵ㅦㄵ〳收㝣㠰攳㔳㙤㔷㔱ぢ㌴㝦扦摡敡㙤㍣敤㈹㔶㘲㜳㍦攲挸㔷㤶ㄷ㐳㝡搳ㄴ㌲㕡搲慦扤ㄱ㈳㌹昳㕡㤳㝣昴㑤㈰〷捥ㄷ攴㉣っ慡挸捡㌸ㅦ㐶挹昰ち攳ㅡ戹㥣㔸捦扦㠲㙣㈴晥㕦㈶㈶㌶愴㈳㈴慢扤ㅥて㥤愴ㅦ晤换散昰ㄵ㘴㝤昰挰㙡ㄱ昵戵扣㈲挷户敦㜸ㅢ㌸挹ㅥ㜵捦㙢攸慡㜱㍥㝣愱晥㔵㍥扤挶㡣㑦㕦㐳ㄶ㈷㑤㌶攱㐹晦㝡㕣㠵扦愳〴㔱㍢㌱捡㝡㔵ㅣ晡て㠸㙦搳㐵</t>
  </si>
  <si>
    <t>Decisioneering:7.0.0.0</t>
  </si>
  <si>
    <t>CB_Block_7.0.0.0:1</t>
  </si>
  <si>
    <t>㜸〱捤㔸〹㜰ㅢ搵ㄹ搶捡㕡㔹㉢㑢㡥ㄲ〲㙤㐲づ㘱㑣㠱㌸ㄵ捥㘱ㅣ〳㈱戶攴㌳搸㠹㠹散〴〶㌲㘲㉤㍤搹㑢戴㕡戳扢㜲散っ㈹㘷〲㈹愱㤰㑣〲つ㌴っ愱㠴搰っ㈴ㅣ㙤㠶愶搰㑥㍢敤戴搳搲㈹㌳㔰愰㥤㜶愰㌴㌳㥣ㅤ㘸戹愶敤㜴搲晦㝢扢㤲扣㡡ㄴ搲㤰捥攴搹晡㜷摦晢晦昷扤敢扦昶戹〴㤷换㜵㤴ち㥥㈸ㅥ扣捣㡡㑦ㄸ㈶㔳㈳㌱㉤㤳㘱㐹㔳搱戲㐶愴㑤搷攵㠹㕥挵㌰慢㐸挰㥢㔰㠸㙦㠸〹㐳搹挰㝣㠹㌱愶ㅢ㈴㈴扡㕣㍥㥦攴㈶㍥㐰昰ぢ攵㉢ㄲ㝡〵㍣㐴㔶挵愲㉢㠷慥㈷搴戸愹改㙣㝥㜸戵搵㜷㘹㜳㘴㔱愴攵攲挶㐸攳晣㜰㉣㤷㌱㜳㍡㕢㥡㘵㌹㔳㤷㌳昳挳晤戹愱㡣㤲扣㠲㑤っ㘸敢㔸㜶㈹ㅢ㙡㕣㌴㈴㉦㕥戲㘰㜱㔳㔳扡愵㘵㐹㠰〶㜶慤㠸㐵扢㔹㘶㤴搰㑥つ愶㤷㌰㝢㘳搱㝥㥤愵㑦つ愲㠸㉤㘸㘸㘷㐹〵㝢挵㤸慥㘴㠷㈳戱㈸晤㑦摡て慡㌵㐷㔶挶〷㜴㤶㑤㘱㔵㤲扡㌲㌹戴㕡捥攴㤸㔷攵㔳昱愹慢㘵㝤㠵慣戲愰㍡㘸戰㔵㜲㜶㤸愱㈶慡㕤㌹㈵攵愱搳慢扡戰摣㄰昶搶㐴㔶挶愲戱ㄱ㔹㌷㌹㈴〶㈸㉢捤㐷㡡昰㐹㜰㘹㕥挷㠶〸㌵戶㘶昰搱㌰扦㙡㄰ㅦㄱ慦㐴㈴挸晢㠴㜹愷昰〲挱昳ㄹ㘹搶攴㉥㌵㈴攳㑥挸敥挴㤰㍢㤱㜴㈷㔲敥〴㜳㈷搲敥挴戰㍢㌱攲㑥㈸敥挴昵敥挴㍡㤲挹ㄷ㕦㜵戵摢㉥摢ㅦ摤㉣摥㝦㤵㘷昹摥扦ㅥ昹㜰昵慦ㅦ摦ㄳ〰㔶㉦慤㈷戲㠲㤹愷攴挸㐵慣愵散㝥㤴摤扤〰㐹㡢慡戵昹敤捣㐸㑡㌸㤹㥥㙣㡡㡤㝢改㡤㑥㉣愰挶戴慣挹挶捤㜶搹㤴慢搵㝥㤹づ搵㤴㐸愸㠱昷戲摥搰㌳挸摢昲扤晤㜶㡤㄰㐲晣㜵ㄲ㑡つ㙦戰㤰〴㌲戰㉡㡦㐵㝤摥㜲㈶摢㉤ㅢ㈳愶㍣㤴㘱昵㈵㉡㠱㕤㈳扤ㅡ㌴㤵㡣ㄱ㈱挸㉥㕤换㡤㘲㍦㑦ㄵづ㔷㕤㈸㠴㌷㐸㠴㍢ㄸ㍣挹㈱戴㑡戵昴昰㑢㘰㑡㘰挲昹搰㠳㑡㥥ㄷ㤸㐶㤵㉢㙤㐵㙢搷攵昵㘴㈸挵〳㕥ㄸ㈱ㅦ㜱㈲㕥㠲㥣㐴扡㈹摤㥣㕥戰㈰搵搴㈸㉦㤲㐵㘸㘹搹攳㉤慢敥搳㐹㍡愰慥㔱戲㈹㙤㍤ㄷ愸㔱戹㜲㐷攵㙣捡〸慡㜱㠵ㅦ㜷㍢㍣㘲㡤摡捦昴㈴ㅤ慥㤲㘱㝥㤵㉢晦挰挴㈸㥢ㄵ㤵つ㔶戴㥦㠶戴〵ㄶ搵㜲㠴㜰㜶㜹㘶摣㤴㑤㌶戳㤴㔷〴㌹愶㕢㥣晣〸㌳昸〴攷㤴㜶攳㕡搸㌶慥㔸散搹㈵㙣昲㈷摡㔰㘵㙥愷捥㙥㈸㜰㡦㤹㔱ㅢ㐵㠵㌱〶晥㌱慢戴㔸搶扣挸ㄳ㘸〶换昲改㌵愸晤㑡㜲ㅤ搳攳っ㌱㠵愵昸㔲捦〴㡢㤱㘱㈴㤹搱戰㌲㑢ぢ㈵㠷㤶慡㥢摣㥡敥ㄸ㌷挹ㅢ戲ㄴ捤㤷摣扢㌹㌱〰㤵㍥换㈱㘲㡤㐹㡣ㄹ㡥收㑥㉤㤹㌳㘰㍥扡㤶㜱㜲摡㔲㘳㌲㡤㤹敡搳㔲捣㔳㔵攵昱㜸㕣昴㈳㑡づ戴㡡㙣㙡㕥㠹挵㜰㍦つ㙣挳㜲㡢㤳昴〲㝥戱㥣昵ㄵ〲收㜱㤹ㄷ㔴ㅥ愸愸㔴搸㉡っ㜳㝥㘵攱㠲搶㐱昳㈰晢㔵愷〱㐵㔶搱愶搳收㘶ㄸ慣换㕤敡ㄱ㈶慤慦愸㙣㠰㌹㡥挱㑣摡㙡㔸〱愴㡦戳ㅡづ㕢㔰愸晦慦戰摢㝤㠶扤晡㡥㌱㌲换㙥㌲搹っ搳㡦㝢づ〲㘶㈴㥤〱〲换㤷捥〴㌹㡢㠸昸㉥㌹愸ㄳ摤㜸攴㍣搵㘳㜰晥㠹〴㌹㔳慡㈱攵ㄱ摦㈱㠸㡡攷〱〹㘱㕣㤸㄰搷㉢㈹㜳挴㍢挲㤴攱ㄱ㤳摡㈸㤷昲昹㜰㔸ㅢ改㜷㠸㝥㌷㔳㌲戵㠹㐶㄰愴ㄹ㔴㤳㘶㠲㥣㑤挴敦户㍣愹搷㉦捤戶慡ㅥ昸搸㜲换㉤㐴〴㠴㍡㝦慦㈶愷㍡攵㈴攵㘱搵㜶ㄶ收㡢㘹敡㈸挵㈹㍤〴挹ㄸㄹ〷ㄹ摤㤸㤲㘲扡てつ㜱捡昶㍣㤴㠶ㄹ㕥敥㕡っち㐰㔵㉥㔱慣昱㤵ㅢ慢㈷㡦㔵㙦㥦挵攴㙣戲攷ㄸ晣て慥㕣戲っ搹愲摦㡦㐰㈴捤〱㤹㑢㐴挴㤹晣て收㠸摥㌳戹戲㑤戲搱㠶昴㙡㠵慤㠷㘹捣㍤㤶㐵㜹㔴㉣㘷㤸ㅡ㡦捡㜳㡥攵户㙢㉢㌴戳㕤㌱㐶㌳昲㐴㝤ㄹ戶挵㔹㌳挲戲㘴愷㍡㜹戶㉦ㄲ搲㐶㐷㔹慡捣ㅣ攳㕡㡥挲㐸㑦晢改攰ㄴ㘹ㄷ㐹搳戸㉦㜴ぢ㔴㑥捥愰晣〰昱愳戸〴㤸ㄵ散㐳ちㄳ㠱搲㈳㠱ㄲ㘰㘷扣昵ㅣ㝡㠱〸㝥㈲っ敦㌸扥挴改ㄹ㌱㐸㔰戵㡥搰搲㑢㔱㠵挷昴慢ㅤ搹㥣㤵㡡㜹搵昸㠸戶㍥㍢つ捤つづ㔱扦搵〴㍡挵㝡㉤㜴慡戱㔹攸㌹挳㔲㘶㐴ㅥ昰ㅢ㡡搰㘷㤶㜲昸㐸搵戴㐰晣㈸〳㥡㔳搹㘹㘳〰㌸〹㥦㜰㘲㔲㈴㐷搲㔲ㅤㄱ㉣㥡㍣㐱昱㤵搷㐵㜸㠶ㄳ昲敤㈱ㄲ㥣㤲㉥愸晥㠰㘲㘶㔸㑤㥡㙢㌷㝦昷愵㘹㜲ㄴ慥㔳搵改㠱ㄱ㥤戱昶㘰扡㑢㔷㔲ㄹ㈵换㘰㐶搳㉤搱㕥㌶㑣愱戹㕦㌳ㄴ㝣㈴〶搳〳扡㥣㌵攰㐰戲挹㠹㘹㡥ㅡ㍦ㄸ㌱ㅤ㔵戲〶つ挳捤つ敦㔳搲搸㉥昲っ㌹㌵摢㈵㡦ㅡ愷㠵敡㐳ㅦ慤挲昵㕦㜰ぢ㙥户攰㜳晢㑥搲〸㕣㍣搹㈵㕦改㜶㉤㈴㔸㌷〸戹㌹戲〹ㄱ㍥晣挴㈳㉣收ㄵ攰㥦㠱㜶挶㔴㔵捥敦ㄶ昲づ慥㉢昵攸㜳ㅥ㤱敥慥挱㥥㘲ㄶ晤㈵扥戶㐵挴㥣攳ㄸ㈷搷愱㐲愰㠷㝤搷㕡捡㠲㌶攸㡥挴捦ㅣ戵㔲〵昴愷戹っ㜴戱戶昸摡㐹〹㕣㈰摤㉢て戱㑣愷愶慢戲㔹㙢㔵㘰㔷慡㥣㌱㙣ㅥ搹愱㉡㐳戹昰㝤ㅢ㑦捡ㄹ收㑢户攵㑣慤㑦挹㑡㘹㈲㕣〳敤㈶㜹㥣㥡攴㜱摥ㄴ㐸慦㐲㐶㙥㜹づ挲搲㠶㘵㕤㌱㐷㔴㈵改㐳〵㔹昳㘹愱㤵㘴敥摣愱搰㠶愲攴㕤㜳戸挴扤㔸ㅦ㜵㜴搸ㄱ㡡㝦搸㍡ㅣ㍥改慥㕢昰搲㥦㜰㤲㤹㤱㑢㄰昸搷㥡㜴㍥愱㠹㠸搳ㄴㄳ㠸㔲昹㈸㝦㜷昴搱㑤搴㘲昹㝡攴㈱㘰㑢ㄷ搸㉦愸㠴㄰搳搱搵㝢㈱㤱愹戱㘸挲扡昸攸㐹攱搳挹㥣昰捥愳收㕡㙡㥥㤴㔸㠶㤰〲愰㡦搴〰㠲㑦戸㔰㤸〸㜶㐲晡㍡㐸〴攴㈲㤰㐶㈲愱㜳㠸㠴㔱㕢〰〲㔳㤳ㄶ㠱㉣〶㘹〲戹ㄸ愴ㄹ㘴〹㐸ぢ挸㈵㈰㤷㠲㕣〶戲ㄴ攴㜲㤰㘵㈰慤㈰㙤㈰㔱㤰ㄸ㐸㍢㤱㘰㘰㑡ㅤ㍤㌰ㄷ敦〳扢㔰㝥〸㜹㉡㉦搹捦㌷㤷晤昶㐵㤴て㤶〹昵搴㡣㕤㤰㍡㈰㘰ㄷㄱ摢昹㠵㈷㠸〱晣㘹㥣㘵摣㥣挸㤰晤攰ㄵㄷて搶ㅢ戲㌲㡢㑤㝥㔴搳改づ挸㔳㥡㙣ㄶ晡㈲㥦慣㤹㕥昲㘹挰扢㠱〳㔵ㄱて㤷㐹㔶ぢ晤戱㠲㘲㠲㡢㍥㈸摥㉥㈲搳晢㤴愴慥ㄹ㕡摡っ挷㈹ち㠴昱〵㤸㜶戹ㅡ摢挴攷〸戱散㤸㔸㤸㈷㡢敢慢㌱攴捣晥㜵㔹ち戵㝣㌶愲㐱愱㤱昱晤慡慥挶㌰㍣摥搱搳㜵㉥敤㘲〸㙡㠵〸㈶昵㄰〹㑥〹㉣愷㐷㕦㉣摡慥愹戲㤲㍤㌵㕥づ晡㔶昶戶捥ㅡ愴㜰㙤㤷搷㕥㤱攴〳戸慤愳㕢〲㝥㈵攷攳ㄵ昲㜷㐱㜵㡤愶慦ㅢ搲戴㜵㌸戳㕡㕥㌳㐶ㄸ㌳㜱㠹㔶愳㕡㐶㠰㜷㌲愹慡㉡挷㜵㤹㝤㔰㘰㘲㠹摥㉢㠸〴摢㌲㤹㜰ㅥ搱昰昶愲挹㜱慤攷敤愳愶愹搹㕣㌲挳㘴扡㤷㔵㜳㤹挸㜸挶ㄸㄷ㥥愱㘳挰㠵摣昶捤挳搳晥戹户愳㝢㙢㑢摦攵换捦㥤昵愰昰㜴㥥㔱㜲挵㈶挲挰捥㉤昱㉦㤳扥ㄴぢ昷㈱㌰㑢㉦摤㜶㤱昶搹㜷㕦㍥扡敥㌲㑤愶㘷㑦〷搷㐹㙡挶扤㘵㔹ㅤ㠴㜲㜹㑦搲㉢ち㑦搱捥㐱扢晤摤摤昹㕢㉣户慢攰ち㉣㕦〸〷㠵㡤ㄴづ收㠵㥦㍥攴㍡㑡つ㔴攰搹㔰挸㕦㔸挲㜰㘴㕣昸㐰㕥㜸攱搱㡦㑡㠴摦捣ぢ挳攱㜱攱㈷昳挲敦㉦㥣㔱㄰捥㝢ㅥㅢㄹ晥㤰晢搰㈰扤㜸〷㠹㔴㜵敡㐹敥搴㠵敦㔱㝦㘸挶㥤㠱搷て㥣昷摡攵㍤て㑣㑤㙤㙣㝡㙤晢㐲攱㜱㥢昱搲捦扡晦㉤晤昹捤慥㠳㜳㌷㍣户㙢㜱攸ㄵ㘱愱〳敤㙡〷摡摥㑡㘸㡦摡㡣慤攷㌷扥晢㠳㐳㤷戵敤晢㙣摥搱㙦㍥慢つぢ昰搰挵戹慤㜵愰敤愹㠴昶戰捤愸捦昶昹㥦㝡㝢㕡挷晥㑦㥦昸㕡摤慢㠹㐱〱慥扥㠸㈶㍢搰㜶㔷㐲晢㡥捤㤸慤ㅤ㙣摥搸晣㘴昴攰敦㍥晥㐶㙡㐵㙣扦㠰㤸㔱㐴㘳づ戴㕤㤵搰扥㙤㌳㘲㕢㜷㍣昸搶㝢㉤㉢ㅥ㝣㘹㐷攴㕦收㡣ぢ〵〴㥦㈲㥡攲㐰摢㔹〹㙤㠷捤昸昱搵慦扣㜲㥢敦晥摥挳㑦㡡㝦㌰㝡㘶ㅣㄱ㄰挵㡡㘸慡〳㙤㕢㈵戴㝢㙤挶晢㥦晡㉥㜸㙡攰㜰摦愱㌵㉦ㅦ昶捡つ敦〸〸㠷㐵戴ㅢㅣ㘸㜷㔷㐲摢㙡㌳㌶㙣㑦昶摤晢昷㕦㜴敥敢晣攵㥥㥢㥡㕦扣㔶㐰㕣㉤愲攵ㅣ㘸㕢㉡愱摤㘹㌳攲㑢㉦摥㝤愵愷㉥晡扣敦扥て㕥ㅥ㤸㕢㉢㈰㐰ㄷ搱㈶ㅣ㘸㥢㉡愱摤㙥㌳㌶㝦㜲晢攷慦捥扣慤攳戱戱挵㍤㡦㍣昰愷㡣㠰㐸㕦㐴摢攸㐰扢愵ㄲ摡捤㌶攳挰㌳㍦昹敥㍢㐷愲换㥦㕤晢搳㙤慡戶㘵㡢㠰㤴愱㠸㜶㡢〳㙤㘳㈵戴ㅢ㙤挶搴㐷愶搵㝤㝦昶捥摥ㄷ捣㠷晦昲摡㍤㉦て〸挸㍤㡡㘸㥢ㅣ㘸ㄳ㤵搰挶㙤挶㠶㘵扢㉦摤摦㌴戵㜵晦㝤㥢攷㑥晦捤摦收〹㐸㘲㡡㘸㕢ㅣ㘸戹㑡㘸愶捤攸㡤㝣扣㜲摦㠷て戵㝥敢摤晡㙢づ扥㍦扣㔶㐰㔶㔳㐴扢摢㠱㜶㐳㈵戴㔱㥢㌱㜸摥挰㡦づ㠷摥攸㍥㜰挷㡥换㘶摤愸〸㐲慢〳㙤㥢〳㑤慤㠴㤶戱ㄹ㍢昷摥晡㡦攷慦晦㔵敢摥㝢㕥㜴扢ㅥ敡晣扤搰收㐰摢改㐰㔳㉡愱㡤搸㡣摤敦㐵慦扢晢㍦晢扡昷㡣扤昰昳敤㌳攷摦㈵㈰搱㉢慥㜴㤷〳㡤㔵㐲㑢搹㡣㙤挶㐳㜵㥦敦㝤愳攷慥搰㤱晢扦㜲㤵㝡㤱㠰㡣戱㠸戶摢㠱㈶㔷㐲扢捥㘶㍣敡晡攳ぢ晤昲愱摥㝢挲㌳㔷慤㝦㘲晡㈷㐲扢〳㙤㡦〳㙤㙤㈵戴㙢㙤挶扤㙦㙤扥搵搳㜲昶昲㕢づ㜶摥搱昷昶ㄹ慦㠷㍡愸㍦㔲愹㘰㐸㐴㌲㜵㘹攵㜰㍦㈹㉤㙦㈸扤㤳敦愰㍢昶〹㐴戳㉡扡ㅥㄴ昹户㤴挷㝤挹挹㘱攵㙦戰昱晤㉡㕥㐳昳晥ㄲ㌸〲㘱ㄴ昳㔵㈰捥愵㥦昴ㄸ愰㐱㑡㔳〲攴搲㥤㔸㐷挹㙤㙣㑤つ昲㠴挱㕤㠷㕢㕤㡢搷戶搵晣ㄷ㔴㡣ㅢ㝦</t>
  </si>
  <si>
    <t>aed80c88-d725-493e-9a11-647d35d79232</t>
  </si>
  <si>
    <t>㜸〱敤㕣搹㙦㈴㐷ㄹ㥦ㅥ㝢挶搳㘳㝢敤慣扤㥢㙣㑥攷㑥昰㙡戲㘷㤲㔵戴㙣㝣挴㙢ㄳ㙦散散㜸㌷㐲㔱㌴㙡捦㔴摢㥤敤挳㜴昷㜸搷〹㈲㈰愱㍣㈰づ〹昱〲㠸㐳〸㐵㈰㈴愴昰㠰〸挷㝦㐰㄰㑦扣㈱㠵ㄷ㜸〰愱ㄵ晣〱攱昷慢敡㥥改㤹昱戴扤㤳〴㘶㤱换敢㜲㜵搵㔷搵㔵昵㥤昵㝤搵㥢搱㌲㤹捣㠷㐸晣换㌴挸挲扤攵㥤㈰ㄴ㑥㘹捥戳㙤㔱つ㉤捦つ㑡㌳扥㙦散㉣㕢㐱㌸〰㠰㝣挵㐲㝢㤰慢〴搶ㅢ愲㔰搹ㄶ㝥〰愰㕣㈶㔳㈸攸㔹戴㜳㄰晥㡥挷て㍡㝢㡤っ㈲扢㍣㌷扢戲晥㍡㐶㉤㠷㥥㉦㡥㑦㕤㔵㝤捦㍦㔳㍡㕤㍡昷昴㠹搲㠹攳㔳㜳㜵㍢慣晢攲扣㉢敡愱㙦搸挷愷㔶敢敢戶㔵㝤㔱散慣㜹搷㠴㝢㕥慣㥦㌸扤㙥㥣㜹昶攴㤹戳㘷捤㜳攷㥥ㅤ挱㡢㌳换㜳戳慢扥㌰㠳㡦㘵挴ㅣ愷㝢㘶㕥㔴㉤慥㑢〸摦㜲㌷㑡㜳戳昸㤷㤸㍢㥥㥥㈹㤵㌷㠵〸昹㘲攱ぢ户㉡〲ㅤㅤ㠷㥤㤹㈰愸㍢㕢摣㌸摤㔹挰㌲慢㐶㄰收㥣㌹㘱摢扡ㄳ㡦㕡㜰㔶戰㙦戶戱㌳攲㤴㠵ㅢ㔸愱戵㙤㠵㍢㜹㘷つ〳搵㐶㥤㉢㠱戸㙣戸ㅢ攲㈵挳ㄱ㌹攷㘲摤慡つ慡㤴ㄹ㜸㍣ㅥ㈲㌹㌱戹昸搲㑣攰捣㙤ㅡ扥㥣㔱挰㙤㐹㠱㕤昰慢慤戰て㜷ㅦ㤷㔳㤷㙦攰㤸㡦㜶㠷㐳换㔵挳㙦㐰㑥㜷㠷㡣ㄶ摦㍡㠳愷扡挳㈷昶愸戵捦㤳摤晢挸慤㙣㠵搶㠶㈳摡㤶㍢㡡挵攸㜹㘶㐳捣ち捣㠸㐰扤挸㙣㤸搹〸㌲㙤昰摦攰㤰㘴㐷㌶㘵㉢㐶戶戲㥥慤㔴戳㤵㕡戶㈲戲ㄵ㌳㕢搹挸㔶㌶戳ㄵ㉢㕢㜹㍤㕢戹〶㤸㌸ㄵ㠶㠶戲㔱㝡攸㕦戵㥦扤昳敡昸攲昷㥤愷ㅥ㝦晢挴摦扥㌴㜲〸㐰㉦㐷㤳㥡昷㡤敢㈰戵㈶つ㥦㉡㠱㈳昶挳ㄳ㘰〹昳慣昹㡣㜹昲㘴敤散〹攳戴㤱攳戲㔲㤰摦㐲㈸攳㠰ㅤ㌱㕦戱摣㥡㜷㕤攲敥摥㔹㈳㄰捤㡤㥢㡥摡㘶扤扡㕢ぢ敥搹扤戱ㅣㅡ愱戸扢扤慤㌹㐸㐷户㌲搸㑡〴昲㝤昷户㜷扢㙡搸㜵㌱㜳挳㔲捤昷戵㌵㍢慢扥户摥扤㜵挱ㄷ㥦㙢戴㜶捣㘸〶〲㙤㕢㡥摤戱㑡搵愴收㌵㌵户改〵挲㤵搳㥢㜶㔶慤敡㌵攱㤷〵挵愱愸挹愵ㅥ㘱㔳挴昵搳㉢㉥ㄶち㙥慤㍤㤴慣㌵㕦戸ㄱ㠲㤹㐵つ昳摤ㄲ㝥戸戳㘶慣摢攲㘸ぢ㠸㝡㈷ㅡ㡥戵㔴㉦㜸搵㝡㌰攷戹愱敦搹慤㉤㌳戵㙤〳㤲愶㜶挹慢㠹挱挱㡣ㄴち㄰戶〳〳㥡㤶昹㔴㜷㕥㤰㠸㐸愰㤸㡣㝣㔷㉢搹㤵㉥㘳㜵㔸㠵㉤㐸㤳搹㐷昶ㄸ㡣昳㤵㌲㈶㠵〳ㄳ㙢愲敥攰㑢㥦搸㘳搸〶收㍥㔹攰㙣㜶㈲㕡晤ぢ摢挲つㄷつ户㘶ぢ㍦㔵昳㘹㥣㤱㍥㠶㉣㜷ㄳ〲愱敢敥㔱捤㘹㌷戴㥤摣㜵慢ㄶ㙥收㌷㠵戵戱ㄹ愲づ摡戱㔰攰搶㜶㈴晤づ㔴改㠷㤹㑤㈰㉢ㄶ㌳昹㐹〲攵㡢㐸㤹ㅣ愵㔳ち㉦户〸㜲昶㙢攱攵ㄱ㜳挱戲㐳愱㠴昲㤸〹㡣㈸慤㈶搱㌷㑡ㄲ昵㡤慡㔲ㄸ㤳收ㅣ愸搴戰摣㜰愷挹户ㅤ㕣愲㠸攸㐰ㄶ昴㥤㉣愰㈸㘸㤵〷㈹扣〶愲㘹㤳〶改挰〹㈲㈲ㅢ愴㘸㜶㡣摣㑡㘴㠴㑦㤱ㄱ㠰㑦ㄲ㈱愱㑦㜴㤷ㄱ㈴昶㑥㈲㘵愷慥晣㜸㈰捤㜶戳攳㤵㌴㍢㠲㡤搳㡦㌲扢㤳搹㕤捣㡥㈱搳晥ち〹㐷㈹㠷㜲㙢搲敦挱戳㝥㉦戳晢㤰㐱㍥改㤴㌹㤱愸愲つ戵ㅦ㍢㤲㜰愳戰㤳愵㔱慣㐴ㄱ㉤攳㠶㥤㌹敡㐸㐴㐷㔶㘷㝦攸摡㐱愹㘳ㅦ敢㑥㥢挹攵㤰㈲㔳㐰㤳㙢摤〳㌴戹ㄱ〴敤㔱㙦㍤㠰慥晡ㄴ戳〷㤱㈹挵㐲㘳㜷㝦搶㍣捤挹摢挲㈴㔲㠶㔰㡦捡㍤㈲㘲㥡晦㈹〲慥攳攸㜲㘰㍦搳ㄴ㥣㌶㙦㝢晢昹㜸㜷摥㡥㤰摥愶㌳て㜴づ晤㐴户㘸㐱㍦〴昶搲晥摣㔵扦㍣㠲㘶晤㔱㘶㡦㈱㙢搳㉦㍣㜹摦慡㤷㐰㥡挴㑥〲㜳㠷改㜱㤱ㄶ敥摡捥㤶㤰摡㘷挴㕣㌳晣つㄱ挲㝢戱㌴て㍢搸昳㝤㘱攳㐰㕢㤳ㄵ㍣扢摣搹㕡ㄹ㉣昸㥥挳晡〳晢㌸戸㉤ㄴ挳攰㘰㜶㈰搳㘶ㅦ愷搸㤹〹㝦㔳㠲㜲愸㝦㑦㜷ㄷㄲ㠹㑥慤攴挵㝥改㘷换〳㐹搲㠳㈴㜹〲摢慡㍦㠹っ㔲㐲晢㔳㔷㠹㌲㑤戰攳ㄲ慣搵㕡愵㜷㉦攵㘴搲收㍦散㤰㈳挳捡㔹㍢ぢ摦㐱㌰敡㤴㉤愷㈱㉣㠶㥤㔵攱㔷攱㔷戰㙣㔱㔴㉥㔹㡡㥡〳㔹㜱㥢挸㡡㠱㠱㡥戳㜴㡡㙦㑤搲㐹㥢㤴㐸攵昶搴挶㤴㜳㜸㤳愸攸㠲愴㔰㐹㜱ぢ㌵㈴㄰㈹㡦戰〷㈲愶〷ㄱ㔳挲挶改㑦㌱㍢挱散㈴戲摣ㅦ㈰㘹昶扢昱っ㠳つ㙤搳㥤㕤愹㘴ち㐴㠳㜴て扥摦㔵㔸㥤攱㙢捥㌲㝢ㅡ㔹㥢昹㐳攷㘳ち㈱㑡㤴㈷〸㤱搶㤲㙥㕥戵挴㜵搲挰㈱ㄳ㐱愵戹㝡㄰㝡づ愳㑡愳收扣昷㤲ㄷ捥㕢挱ㄶ愲㔰ㄳ㘶㔴㜸㘵㔳戸愰㉥ㅦ戶㑦㕢㥤户戵㈵㙡扡㔹昶敡㄰㙤㑢昳晤㜰㈸挷晡㘰㑢捡㜳㜹㔶㐳敡敤㙣㡣㈱㌴㜹㈲㠶慦㤵㥥搸㝤㜹扥㜹攸ㅢ㙢敥攸㥡ㄵ摡㘲搸㔴㑣挷㜲挱挴㉥㈲㙡㔰ㅢ㌲搷㌶㝤㈱收㐷捤㡢扥㔵戳㉤㔷㄰ㄹ戰㌱ㄹ愸㕢ㄶㅢ㠸㄰慣㝡㡣晦㜹敥愸戹收ㅢ㙥戰㘵㌰㤸戸㜳戸攵㐹㠶㐴㜲收慣攵〶㜸㡤挴㈲换㘳㘶㜹搳扢㡥㐸㙤摤㜱㉦ㅡ㕢㐱㕦㘰㠵㐴慦㤲㐴㡤㤶搵戲㔹慤㤰㉤昴㡡ㅦㅥ挸㌳㤹㔳昸ㅤ㘴㈶㜱㤵挹搱㕦㥥愲扤㘹搷㐷昱ㄹ摡改㥣搳〸㈲㐷㡤捡㠱㔴㈹㑣㑥搵㥦㘵㥦㜳挸ㄶ㉦㕥㔹㙡㐶攵㍥㐲慣㍡㐷晦㝥㡡㠴㤷㐴搱〸㠱搰㍢㜷㐸ㄱち敢㐸㌷攰㍦攰㥢㑦敤挴㔷㌴㈵っ㘹敦㔰戳戸㠰ㄸ搲㠸戹㙣慣ぢㅢ㤱㘸挷〸て愹〷ㅡ戱㡥㘱〷㔱摢㥣攷㌸〶〹㡢㐴㔹慥ㅡ愴摦㤹㝡攸㕤戲㕣摤㐴㈶愹㉦慡㌲㙥愰捡戸㈱慢㐶捣换っち捡㌲挷昲㌶っ摦ち㌷ㅤ慢㕡攰〳〳㜷㝤㐱㤱㘰㜱捡摤㌸挵ㄲ㘳慡捤㤶扦〲㠳㉤㈸〱搹㈵㐸㔱㙥ㅤ㤱て扡捤㙡㜹晣㘸㍤扡㤵㈰㕥愴㡦㔴㝦づ愳攵攴㥤〸〸ㅣ㤹㙥挶㌷㉦㙥扥㠵ㅡ攵㤵㈳搶㔳㐸〴晥挰㠴㠸愷㜳㍢㙦㕥㜱慤㄰搸㈳挶ㄶ慣㜰㍥〰捡㤱愱㈸て户㜷㑢慣㈶㍡㑤㌷㜴挲〳㥤㑤㉤㑡攲晥捥昶愴搶㜸㘴㤷㘶愵㑦ㄲ㙡㘴㉦㈰愹㔷㜶㤹㘳㍦㈹ㅡ㑤慡敤㔸搷㘸㘹㑥搳收扥㔳㠶㝣〴戵㈴㘹㈶愳㥦㤷㠴㠲㄰㉦愹〳ㅡ㡡摥晡㜴昲㐸挴㙡㘸〱ㄴ愹愵㔴摤㘸ㄴっ㕣挲㠵㤳㥡㈸㐶㑦攰敦㐳㔱㜱愵ㅥ戶戴ㄸ㌷㈶愲㤶ㄹ摢㕥㜱㘱㈳㔴つ扦搶㈷㉣㡤戵㈹晤㈲戹戳㔷摤慦戶㌷挱㠸ㄱㅢ㌲㈰㤲攲〵〶ㅢ㠲戹ㄲ戱㔴摡㘶愳摣敡㐶㜵㠱㑦㤷㠴攱㑡っ㤴挳摡扣搸㤶㐶㔸搳㡥㥦㤰ㅤㅡ㘷㐵㈹㐷㜵㜳㘶㍤㠰㐲て㈹挷愳㤲㘴㜰摤扣㑣愷ㄴ慥㉦㐰散㐶愵搵㙡㠸愰㙥㘳〰㥥ぢ晡〷㍢搸ㄱㄵ㌴愱㙤㐶〹㥡㑦㈱摣搶㐵㤰㜷㝡挴㈸〴愹㈹搳㍦㉦㘸摦昹㌶搳㑦㉦㘴攲㐲挴㐴っ㜴愵搸づ㐰㙥㌲㈶㐹㉥㥡㠸㐳攵㑡戲㐹愱㌵ㄲ搷搱挰ㄸ愵挱攷㠷戸扦挳㈸搶ㄸ搹挶挶敤戶搰㠲㌶戵㜷づ㤹㑢㙥搵慥搷㠴㔴挵戱慣㤶ㅡ戹㉦昰㈵㉦晥㈹㙥㑡搹㤷㘸㔳㤶㜰㤰攲㤲㠹愴摥慤㙥晤搳攸㉥㠵ㅣ挶㔰戲㡤愱挷ㄴ愷㥣っ㠵㜵摣㔰愰㜵㜸戸㜹㜵㐱㕥㥢㠳㐸敢愸愲㉣㕢挶㑤扣㐶晣㔸㜲㕢〲㙣搹㕢昶㘸戱㈷慡ㄶ㉤㔵搵ㄷ㌸挲㍡㤵挰换攷㘱㡣昴挸ㅤㅣ㈴㜳㌳㡡敢摥㝣㑢㍥㘶㙥㕥㠸㡣て㡤搱㕤㥥㠱㌲搸㔵㌰ㄲ捤敤㙣搳收搶ㄸ昷愵摤慤㍦㡦㑣㘳〰㤸〶㉤㈰㤵㠱㌳㡢昲摥〶づ㐳㤱㈹戱搱㘴ㄸ㤵ㄱ捡〹戸敢㠱㌴㜰ㄳ㡦搱㙢ㅥ㤴㔰㌸㈹慦㠴挵户ㄲ愷ㅤㅣ㠰㍣晦㘸㕢攵慡ㄱ攲攲㡢㝢慣慤㝡愶㔶愳戹ぢ敦㕣㕦㘰ㄵ㤷㌶㤴㌹㍡搹㜶ㅤ㑢慥㠹昶摤挳㙤つ搱㌵挱㔳昳愵㐵㈳慣㙥㤶挳ㅤ㜵㘵慢㔷㤲挸晤づ摥㠸㕤摦㑥㥢㜹搰攵ㄵ搴㙤敥㝤昱㥡敢㕤㜷攵扣㜲〱敦晢搱㡡搵㠷㠶㌸挹㘲收㐳晣挸㤴捤攴㝥㡢ㄱ昷㌳㙤づ搰㜴㡦㜰ㅣ㤹㤴㌴㤸㐲㌹㠵㑥㘰扢㌷敥ぢ㤰㑥㈶摢攸㐴ち㠲〳㐲㜱㌷㍥㌶㐲搱㝥〳戴㤲㔸搴㠱ㅣ㝢晥づ㔸㕦晢㌵㙡㠸㜰㍣㐷㘲㈴昷㈰㑡㈹愸㤳㠲㍣扡摣挱慢㈰晦㍦㔸㡡戹㜹㔷㜶晡㉦㌰戳昶㕥㍢㡡敥㈷㡡㝥搵㠹㈲㠶㘱㙦㈹攰捤搹ㅦㅣ㌵㍦昱㑢扤晦挳愳收㘷㠰㘱㈶㘹㡤㈱愴挶㔰㝣挳ㄸ挸㜶ㄸ〳㡦愲㔹ㅡ〳㉦戲て愳昵捡ㄸ㠸扣ㅤ㤷㔰戱户㌱挰ㄸ㕥㡡挹㤷〸愹㈶ㅣㄸ㍣㙢ㅤ㜵攸〹㕢挴攵㕡ㄱ㈰㙥て昵ㄴ捣挱昷㜴㘷㘷昵慡攱ㅢ捥㌱㔹㝦搱ㄷ㔰㕢晥ㅡ㙥㙢换㉥散㜱昷慥㉤戲搳㉥㕥㠹搸㥢㝥攰㌹搹摦ㅤ㜵㘰㑡㈵攵愶搷ち㕡晥㈳昸㐴㌴㥥㄰㌲㙦㑥晥晣攲㕦摥昸昲〵摥㑡㡢㘸㌵挷㌰㜰㉦愱㜹㕡づ〸摥㈶㉥㠴ㅣ攱挷㌷㤷昰ㄱ㤲戵㘵㡢㔹挳㤷昶㑥愰㍢㜱㔱ㄱ㕥㠲㌰ㄵ昱昵㠳㌱㠹晢つ捡㤸㉣戵㌹㌶攵挷㑢搲ㄹ㔸㑡㑣㕣㝡敦攲昰愰搶㔵㘵昵㘸㔷收㝥〱愵㜳㡢ㄳ㘹戵〷㜹扥㘴搲戴㜷摢戵摡㔹㙡㌵㘹㈶㙡搳㠰㠸愵ㄴ攲っ愴㤰攴㤱㠵㠱㝦㈹愵㔶㔱挸㤵㤰愵㐴搰摡㐳戹㍣昹ㅦ〸〱搱戸摣搷攳㠷㉡搸㐵㘰㌱昶扡昷㝡㜶愵搵ㄹ慢㈶㠶㘴攵改攳㘵ㄴ攴㌱㠵ㄵ㡣搱捡摡换㈸挴㈹㜷ㄲ愵㝤㍢㥥昸㤲㔱㐷〵搸ㄴ㘳攷ㅣ㝡搵㡡捥ぢ㙥ㅤ㌷㍣愰㘷昲㔲㘱戸㠷㔹㡤愳愷㡣挵㈹搰愲慡㘲㍥愶㡡㡤㑥挳㔱ㄳ㜴㤶㝢っ攷㑦〴昹昸㌵㄰摢愷㥢㐳ㅦ㘹㙦愱㡥㜳㠷戰㐰晥挲晥扡㍦㠵戱昱㔶㜲っ㈴散扥愰ち敡ち㜸ㄹ㕤愴㍤慦改捤㈲摦愵㘹㡣㐵挷㥣㌵搰愹晦ㄹ愵㤶㥣戵㐶㘸㠶慢㕢昴晦㔵㔴散愹晦㌵挶搸㈴捡㕥㠹ち㝣挸㌱㔲戲㘷㜰㠶㍢〲ㅦ㌶挲㌴昲〸慣换㈲㐳摢慡㔴挶挷愹慡㔹㑡㜰㜸戸〶摢慦㐰㌴晡搲戶ㅤ敥㉡〰ㄹ〵捡晤〴㈲愸㙢㝦㑥扡昳ㅣ㥢晦㉣慡㈷㉦㔹㔵摦ぢ㍣㌳㥣㉡㈳戸㍢挵敦换㑣搸㍣㌳摡㍢敤㐲敤㘱散挴挸慢攸戳扣〲㠱晤㤲〸㍦㥥㤸㈳㈳〸晢㡢㔸昰㑢愳昱㐴ㄸ㠹扡㈱戸挳㝣戹㙥搸昸㌸㜵〵㍥捤㤰㔵㝤愱敡㤴㘷戹晤ㅥ〶㌷づ㌷戱㕥㠴摦㐷搸㈵〴挱攴ㄲ㕥㝤㡤扢摡扥〷慤戰搱摡〲㐲昶收㕢㉢收㝥っ㡣敥敦㉤慤〴挳㜷昲㥢㘳攵昷愰㕦㜴晦㑥㔸㡥㌴〱ち㡦㍥搵愶戳㙢摡㠶㡢㙣敦昸㜶㔱㝢ㅥ㝤搹㕦㝦㉤㉡昰㐱愳ㄷ敦㌹ㄶ㝥㠴攵㤰散㔱挶㌷摦挸扡搳昲て㜷愳㘵㡤〷ち㔲㕦㔱晢〱摡戹㍢㡤㔵㙡昲搰㠰㌶㝤ㅤ㔹㥣㌴ㅥㅡ攴扢扦〷攰挶扢㙢愸敤晥敥敦〲戴挵㉢㐱㍥搲愸敥攵摡挰㙣㡤㌴ㅥ慢ぢ㝤〳㜵晡㈶㌳㡢搹敢挸挶㘳慤㌱㐶㐱㐸改㤲㔷㘱㠳昷㉥愰㡣昴挷攸敦〷ㄷ摥晦㍤搳㍦㉥㘸㔲昴愱㐹扦㈶㈱㔴愶㔱昴挹㔵㝣㉢戹ち〷戵摤㔷昱捤摤㔶㌱㑥愹挸慢㈶扡㠷㙣㜴㙣㥣㠸㤲捦㕢敡㤹㥢挷攷搱昱㜱慥㔳ㄵ㜳㕣㕣捡㘷㌸搲捡攱戵㐵晡㕥昲捡㜹㥡㔷扡慤攰㐴㕥搳扥攰昱挸摦摤㔵㌰攷㝢㡣挸㙢摦㠸㌷㝢㜱㌱晥挶㈹ㅢ挵㠸㠰㙣㘵㔷㤲㌸戸㤱摡搷㘳攰㜷㝦搹㜴㜱愲〱〹ㄴ愱㠰㐹㐴ㄲ昸㙢㌱昰㈹㝣㍦㈵㘱㌲㔹昵㈷昳㐱っ㑣㘲㤳挰㕦㡤㠱晦㝥敡㔸〳㌸愶㉤㌵昲㌸〹㉢㐲㉢㘹㈰挵㜸㤵收㝣攲戳㙡㥥㤲㜳㈶ㄵ攲戰愹慡㈹っ㘵搴搷㤶㉡㜱〴昷㌸㝣㝣搸扣㡣㑢㐹戸扤〱戹愹晥㝦㠳㈵㕣㔶㥡㌷㐲〳摦㉤㙦㈳㑥散敢昲㠹㥤昳收㡡㡦㡡㈱㜳㈹挰㈱愹搶㔷搴〲晤㍥愸戶㝡て㝦㝡㡡㉤搸摣㡦㌸扥㤵攵昵㡦摥昴㠱㡣㠹っ㙡㕦㠹㤱㥣昹㘲㤳㝣昴敢㐰づ㕣㉣挸㔹㈸慡昸挹㈴ㅦ㌴戲㌶㔱㥤摦㐱㌶ㄶ晦〷ㄲ㔳摢搲挷㤱搵摥㡥挷㑢ㄲ㡤晥㈶㍢㝣ㅥ搹〰㥣慢㕡㐴㜲㉤攳收昸捡㝤慦㥤㌳敢㑤慤攸㕦㐰㔷㡤昳㤱㙢搴攴㈳㥥昴户㤰挵㘹㥣て㡡慣㠷晦〳慣㈴捤㝡</t>
  </si>
  <si>
    <t>CB_Block_7.0.0.0:2</t>
  </si>
  <si>
    <t>㜸〱捤㕡㙢㜰㘴㐷㜵扥㍤㥡㝢㌵㍤㥡㤱㘶㜷㙤㠳ㅤ㘳ぢ扦㜸㘸㈳昶攱㡤敤戸㡣㤱㐶慢㕤ㄵ㕡㙢㉤㘹搷㄰㤷ㄹ慥㘶晡㑡㜷昷㍥挴扤㜷戴ㄲ㈹捡㔵㠴ち㈱ㄴ㘵散愲ち㜰〲搸ㄴ挴戱㈹ㅥ〹〴〷㈷㠰挳戳㈰㔰㤵晣㠲㝦晣㈱㝦ㄲ㉡攵攴㑦㝥愵捣昷昵扤昳搴㐸㉢㡢愵㑡㍤㌵㘷㑥㥦㍥摤户晢㥣搳愷㑦㥦㍢㠶㌰っ攳㔵ㄴ晥戲攴㠹摣扣戴ㄵ㈷捡㥦慣㠶㥥愷敡㠹ㅢ〶昱攴㔴ㄴ搹㕢昳㙥㥣っ㠱挱慡戹㘸㡦捤㕡散扥㕦ㄵ㙡ㅢ㉡㡡挱㘴ㅡ㐶愱㈰㜳㘸㙦㝤㉢㉤㐴戲㤷捣〳㤴挰㘵㉣㔶愷ㄷ㔶㉥㘱攸愵㈴㡣搴搱昱㡢改〰て摣㌳㜹㜲昲扥㍦㍡㌶㜹散攸㜸戵改㈵捤㐸㍤㄰愸㘶ㄲ搹摥搱昱昳捤ㄵ捦慤扦㔳㙤㉤㠷㤷㔵昰㠰㕡㌹㜶㜲挵扥晢摥攳㜷㥦㍡攵摣㜷摦扤㈵ぢ攳捥㔷愷捦㐷捡㠹慦捤㠸挳ㅣ㜱愱㍡㍤昹㤰㑡慥捤㠸〵㡣㜸慥㍡㍤ㄳ晡戶ㅢ㕣㤳㈱㑤ち昶攴㡣慡扢搴㠰㔲㤱ㅢ慣㑥㘲捡㍤〲㐶敤㥥挹㔹㐸扡㙥挷㐹㔵㜹摥愲㜲戸戸㤲㑦㘹愹㐸〵㜵ㄵ㡦晡愷㌷敢捡换㥡攳㠲㝦搱㡥ㅥ戲㝤㤵㈷㌲收愷晡㥡㙢愸㈰㜱㤳慤戲㝦㈱㔶㡢㜶戰慡挸㘲晡㘷㥡㙥㈳㥦ㄷ昹扣㌱昴愶㐱㤳搱㕡㤹㥣㡤敡搵㌵㍢㑡㜴㡤晡㍡㍥㠸户换㌲昴挴㝢愶㐵敢ㄹ敦敢㐵ㄵ㉤戹晥㍢㔵ㄴ㈸㡦て攱摡㈶晡㤸戴㑣㔲挱户㠵搳㕡つ搵㈲㐶㌲愳攷㔲昸ㄴ㈹〹㡡〰搶〸㐰晥挴戱ㄳ挷㘵㠹戴㌲㠰挸晦㉦㜶㑤㜷ㅦ㌲攵㙡㜶慥戶㤲慢搵㜳戵㐶慥愶㜲㌵㈷㔷㕢捤搵搶㜲㌵㌷㔷扢㤴慢㕤〶㑦慢ㄴ㠶㠷㜳㔹昹捣㝦㑥扦昷㘳晦晦摣搹㘷㌷扥晤㠳愷㙥㍡晡㔱挱㡤愲㜷捣ㄸ㄰㔹〱戰づ〱㜰づ㈷攴㘱搲㡥〰〸昱ㅢ捣㠱昳㜸㌲晥散㙤晦昷挵㕦捤㝤戴昲敢㑦扥敥㕤晥摢㑡搷愳昹攱㙣㐱㌳㤱㝤〵㔶搱㌱户ㄳ㤳搸㘱㝢搹㘳搸㘲捥㈹攷ㅥ攷昸昱挶愹㘳昶㐹摢愴㐸昶慡摦敢挰㕢㜲ㅥ㜱㠳㐶㜸㐵㉢扣攴捣扡㕥愲㈲㕤ㄹ㜳昰㤳ㅡ慤慥㤷㥤搳㥢搸攷昵搴㌶慥㜳慡㉡㑡戰㐷㤲慤㡥挱摣㍣㙤挷慡㔳㥤挸挶㥥づ㥢㐱㈳晥㠳挱㡤㑢㠹㥤愸㥢晡摢㍡㠳㙣敢戶㠴ㅤ愴㘲㍤愵㕢晡扢㕤戴扤愶㥡摡㜴搳收㌷昴㌵㘳㉦㠵㉢㍢户捥㐶敡㝤敤搶㙤㌳㥡㠲㤷摤搰㘳㙦㕢㘵摡㤴捥㙢扣扡ㄶ挶㉡搰搳㥢昰捦扢昵换㉡㕡㔲昴搱慡愱㤷㝡㍤㥢戲つ㍤戱㄰㘰愱搸愲㡤摢扡愹ㄴ戴ちㅡ慡㠱昹慥㐳捡㕢换昶㡡愷㙥攸㘱㐹㥦㠹㠶ㅢ㝢挸戳㘱扤ㄹ㔷挳㈰㠹㐲慦户㘵慡戱㘱挳㠹㌴捥㠵つ㤵搷挵㐸愱㌰㠶㠶㠴㌰摥㍣㘸㌷㜲散㤸晢戵换㐸攸ㄵ㜶㘷敥㌲㈲㌲て摣攷敤㤱㠱㜴ㄹㄹ昹摦戲敢㑣扡㡤㤰摣挷㜶攵ㅥ㘰愴散昴晡摥㡤㌷戹〸晤㐰て㥥攲慥捣摤戱昳㤰ㅤ扢扣捡㑣扢戴挲㈳㤹摣扢〸㑤て摢戶扤摦㉦㜳㉥㜷㈴㕢晤改つㅣㄵ㘷敤愰攱愹㘸搷㠰㐲㜰㐶昲〶㠲搷ㄱ扣㥥攰㐶㠲㥢〰捣晦㠰㝦摢㔱愲㜴㤴㘲㔳㙣㤹㔷摣㐶戲㘶慤㈹㜷㜵㉤〱つ㠱㐸愱㐰㜱〷昸挶昸摥㠵㐸攴㈳㡣㙤攴捤〴㙦㈰戸〵愰㔸㌴慣㕢昱㙢攴㡡㜲ㅣ㍦搶ㅢ〱挶㕡㘷攵㜸㙡㤹㐵挳攴㌹昰摡㑦㉢㠶㍦㔲ㅦ㡥㠸㕢㘲搳挷戸昱搰搰㈰㘹㥣戵攳戵㠴ㅢ㜱搷㐶㝤㉥摤挶㐱㙦〷㈸摤〱㌰㝦㔶㜹搸挶搷㈶攴㌱㜹扥㕤昵㜸攵〱㜴㠳扦戴ㄵ搴搷愲㌰㐰〴㌸㘳㈷昶㔴ㅤ㌱㐴㉣㙣换㥦て慢捤挴昲捦扡昸㈹昹㡢㙡㕤搹㐹ㄵ㑥㍡㈹晢昳㠸㍦戴ㄷ㥤㙢㙣㥡㝥ㅡ㍡捣愸戸㉥ㄹ㘳捣挱㈹㙤㕡挰攰㘵㑢㍥摤㡣摡㑣㌸昴戰㝦摥㐶㡣㤲㐸㌰㑤攸㕥㈹挶㥥㘵㑤㙢昵㉥㘶㌵㡣㔰搱㘸搷㈸㈳㥡㤰㡥㘴搰㙥㜰㝥攲㤴捤㘷戰㝦晦㕣㐸㕣㉦㥥捣㠴㍢㌹ㄳ㈲晡㔴㍡〶愶搰㉤ぢ收㘵敤慡慡晥㙤捥㈰㘵愱扥㤲づ㡢愹㥣㠹挲收㍡〳㤵㙢㌵づ挷㌲攴㥤〰㥦晢㥦ㄷ敥扦昳㌳㕦㝤㌵晢㝤ㅣㅢ㐸ㄷ敢㉥㌴敡㌸挶㝡ㄳ㤹㐹攴㉦㡢㝣㌳㐰㔱㤲㐳戲㜱㝢㥢挹戰㘷愰户摤㈱慡愲戱㤶㝣慣㜹㌹㔲㍡㑣㉣攸捡搶扡㉡晢㡦㠴搱攵㤵㌰扣㑣ㄳㄸ搵戵㜸㑤愹㠴戱搷㐸ㄶ㙡ㄲㄷ㐲っつ昵〴㔹㕤㐱ㅡ愳㌶敢㈸㐰㜹捡昳挶㕢㈳挶搶ㅦ㠲㌴㠴㔳挵㥡〴㜲㈸㘸搶㍤㘵攳㝥攲㌷扤挹㑤㉦摥ㄴ晦㡥戵㌱㘸晡㡢搲㉦扦㜲攷㉦摥㍥昷昴愱挶〷㑥晤攲愹ㄳ攲摦戲㠶㙤攱㤸㡥挲㌰㤸㍣㑥㜰㠲攰㈴挱摤〴愷〰挴㑦搱㤵㡥敡㐳愸晣㈵扥ㅤ㜷㜳て㜹敥㈵戸て〰敥㐶搲摤挰摢摣㑦ㅡ扤㑤搱㄰㡣昰攸㘱攴〳〴㙦〷㄰摣㘴摣㡤㠶㝣㄰㘰㐷㤵扥〳㡤㘹㔸戸㑤㙢搳㘸㉡㑡㌲㙣搷愸㙥ㄳっ㈲愹㔵㐹㈹㑡捡㑤㔲㘶攲挵㑣㄰摢㈴昴捤慣愱㍦摥㌴改扤晢㜷㤰㡥戸摢㈷㜱搷ㄹ㍦ち㘶换戹㄰戸㐹㍣攲㑣㌵㤳㜰搶㑤㘶攲愴攴〰〰搵㕤㙥搲㠷㔶㔷愷〹攷愲慢慥㉣挳㝡㙥摤摥㠴换㐸戵ㄹ㈷愱㜶づ户㙣㙦㥦〹ㅦち㤳ㄹ㌷㕥昷散慤㍢〶㌴愷㉤㡦慣愹〰㔱㔴㠴㘰敡㙡㑣攱晡扡㙡っ㤸攳㔲搸㡣敡㙡㙥收㈰挴㘱㈲昵㜲〶戶㄰㝣㥣戸㜳攷戸愳㑢敥㍣㡢㜳搸㜶㘲㥦挷戸㍥㑢攵㍣㐶㌱昰㑣搸㍢㡡㘱昲㕣摦摤㍣扡愲㍡㕥愴㡡づ㔴㥡搲捡搹戵㘱㉥㠸摤㠶㉡㘶戵㜳㙥㌰㥡愱ぢ捤愴愷挵摥㍣㤲戵挰㉦㉣〴㔰㝢摤㡥ㅡ〷㐱㈳㤴ち㝣㤳㔶㠷戰昰搹㥦㤰搳㘱っ攳㤵㔶搶收㤵挷戵愰つ㤳愱搳㐰ㄷ摤摥㠶㐰扡〲㘲㍡戶㌲㐵摤㈶ㄷ㔸㍢愷散㐰㙢㘰㈹㘹捣愸㡤㔱捤愱㘰搸戸晢㝢敡㐸㙦㔵㥦搷搲㤹㕡㠹㐳慦㤹愸搱㌶愶㌷戸㜴ㄶ㤵㘷昳㜲㔳㙡㘳攷敢〹慥㝦敤昱㜸㜱㌹㌸摡㠱㐴昲㤹㠶㠴搶㤱戵㡢攱昶㉥㠲㝢㘷㥦ㅡ㐵㈴攲攸昲摦て㡡愷㍦捤昲晣㠳㐶ぢ挹㌶ㄱ㐳攲扤摦㕥戸㡢㡥戴㉥搵愹㘷搳㑥慢搴愲昱攲㔰㜶戴扦㐳㜶㠰㘹㥦㌱㙥ㅢて戹戸挴慤摢㥥户㌵敡捣〵㜵慦搹㔰昳昶㡡昲㕡扥㍡㡣晣〳愲㉦㥤慢㑣㜵戵㡢㕣戲㉢摤ㅣㄲ㤶慤扢搲扥摤㥢㈱捦㐱慣晡〴挷ㄸ愹㙦攳㈵攵㌵㕦ㄳ㜹搸ㅦ敥㈴㌹㜴㈶つ㉥㙤ㅢ㠹扥㡣㐱㜳晢愶愹㜷㕢ㄷ摢㝣㌸ㅦ㈲ぢ搰攸㈲㥤㜵㔳搲㠱搹㔳㕡㐵㤶㘵敤昷㔰㠱慣㔰㕥挹㘲㔵㌸扢戴㡥戸㈸搵〰㙦㜴晤攱㜶㔷昰愱捦㝢敤〰ㄹ㘶㡤搱㝢愵挱挲戲㥢㜸㙡挴搱敤ㅡ㉦㜰㍢㔰㥡挳捥昲ㅡ㠲搶㤹戲㜳㈶㜲ㅢ㥥ㅢ㈸〶ㅥ挸㑡㌱㝢㌹慦㔶㤱㍦㌹ㅦ挶㉥㌳攳㘵㘷㌹戲㠳㜸㥤㌷㤴晡搶攱㥥㥡㔶㤶改㑣扢〱㌶㑦晡㑣攲㘳捥搲㕡㜸〵挹昵愶ㅦ㥣戱搷攳〳愱㈸㜸愰慣愴㍢㉡㈷㜲㌹㔱挸ㄵ昶㝢㐶㔹ぢㄸ㑥㕦㌶ㄸ〹ㄸっ㥡㜳〴㤹捥㜸〱摦㘵搳㔲㕤㔹ㅡ㡢㥢㤶㤳敢㐹㔶て扣㐳户㕦㔱搰ㄱ换昳散昳㌰挰搹㌳ㄷ收㍡挹捦摦攱ㄵ㠳挹㠴挱㉥愷㠱戶㡥㜶㥥㠵搹㠷搱搴㘲㐸愳〱㐹慤㜸搶晡慤戰攸㘸ㅥㅡ㈴づ㔰戲ㄳ㥤挵ㅤ戸㠴晤て敦㡢捣〱摣敥㘸㕡㘱㈴攷摢㕥㥣戵㔵㐳摦户㘹㘱戴捥㈵戸㙥㔵搰㘱㌵ㅣ㡡㜴〰戴ㄹ㘶㈴㝢ㄳ㈴㝢㔳㤳㜰㈲㌳㜷慡㜱㡥ㄵ慥摡㤱㥢慣昹㙥扤挰ち昳㥢〷挲㌴㘱㐰晡扥づ㠱戲㘸晢㐴㡣摡㥦愷㐸慦搶㔰昶㈴慥つㄴㅤ㤵て〳捥改㘳㕣散㌳㌱〵攳搵晥㕥㉥㘱㌴㤳〹ㅤ㜸㝥㐰㤴慥昸ぢㄴ敤㡢挴㌸攸㙣㤶换ㄹ挲㑡㥥㈹㥢㕤戳〵扣扣ㄷ攷㐳扢㌱㡢ㄴ㜸ㄸつ㘷㉦挴ち㔰㉤㍤㑢㔴㘱㝥愸㡡攴㉡㤲戶ㅢ〸㠳愳〲〹㑢挸扤攴㤹㔹戲㔲ㅤ㔲㌶㠶㘹㡥ㄴ〶㍤㙢慥㌵搶ㅤ搹ㅤ扡晢敤摥摣戶昱㝦昳昰扤㜰戰㕣ㄶ㈳〹㜹㠱攰㈲㠰㘰收㠹敢改㘳㜸㠴っ敦〲㌰㤹㠲攸摦㈵㍢㘶㔳昸㤶挳昴㤹攵㈹昸㕣づ㈲づぢ戹ㅦ㘴㡢㈰ㄲ㙢愴挰㙣㡢㝣㌷挰捦㝦昶㌳㕥㡥つ挱㐴㐵敢昹㌴㡢㙣㠲㝦〲㔴㍥㑡〶㕥搲㜵㌶昱㔶㈰㠶㝣㡣戰㜳ㄷㄱ㜴㐲扣㡦戴㑡㤷ㄶ㌳ㅤ昲㙥捦㐸㥡㡡扣㕡㔴㈶㤸〳㘰㘴㘶挸昷㄰昰㤹慤搰㐰㌰㌵挰昰㈰㉤㍢ㅥ㘰㠲㌹〲ㅥ㘲㠶昵㕥〰㝤㥤搷て敦㜳㥡㠲㘹〴㍡㑥㘹〳〸收ㄳ攸㤱摡ㄶ㕡〷㝥㜵ぢ㘵摥㐱㕢㘸㈳㐳㔸ㄱ㤴㙤㑢慡㐰㕢㔲㔵㐰愵〳㈰㤸㤴ㄸ挰戰㑡㠶㌵㌲搰㕡愸㝡改〲戴戵㌵㡤㑡慢㕢㤷戶㉥㤱昱㌲㠰挹慢攲摥慥愶摣㈳㤵慥㝣〱㍤㙡㝣挸㜹戸㘹㝢㜸㈳戹㠰攰㌵㈱改㈰戸慣㝣㝡㠵攸㝦㔵搶晢愲ㄲ户㙥扤㠴㐷ㅦ攳捡晡㘵搰换㥢慤㉤㈶攷晥慥ㄸ㐵昳ㄳ㐸摥散敤㈹戴㠸攱つ收㘱㙢㌵愳挰㘷㜲㥢愶挱ㄶ〳攰㕤づ敥扥㘸㥢㈳ㅤ改㌸ㅡㅥ㈹ㄳㅥ晦㐴㌰挸㐳昵㥥摦㍥扡ちㅥ攲摡㔸㤹挷㈷愲晤〵㕤昱㔵扤扦戶㌶㠷攷挰㔲戲攵攱散㈵捡㝣㘳㡡搱搹㈰㤹〰ㅡ愶ㄷ㐶戸㑢攴晢摦㌲戴晢昲㈸ㅦ戹慥敦慤㡥敥挶ㄶㅥ㌳收㤳㄰敥㡥晤㝢攵挹㍥㉣搶㍡挰㜵攷摣㝡ㄴ挶愱㤳㡣㉦㈱㡣ㅣ攷㝢㍥散户㘳㔳收ㄳㄸ㜱攰㌳戹戰㝣挰搷敥㕡㐵挵换㐱㜸㈵搰戳㌱㘳扥敥搴昲ㅡㅥ收㘳㜸捤搰攵㜶〸慦挲㈳㠹㈱戰㡣〰捡㘳㤵ぢ扡〹㌴晡㜵㤶ち㥤㌸㑢㠵㡥㥣㘵㡣慥㤷愳㌰愴扡愶愵㐲㠷㑤㙤㕡㌱挰愱敡㜴慤昷ㅦ〶㔶〲㜲〹㘴㝤戴㉤攲㑤愱搵〴㘵ㄴ㤴慥攰戰㐲㡦捦㔱攴〶〱㘷慡摦摢ぢ㝡㝤扡㤶愲昸㌰攴㐸搳㙦㥢戰愰愳搶昷戸昷〳ㄱ㌶〱扥昲㑦㌳㠴㡣愲づ㐰㌳ㄳㅦ㐲㔷㉡ㄷ戸㈱愹㌱㉡㐷㝣㄰ㄴ㉡愸㔷挰昴愸㕡挰㡦〳㠱㠰改㍤㔹㉡昴愰㉣㤵搵昴搷愸搰㘵戲㡣搱㕢晥㝥〴㝣〹㈳㙢搱㔰挰㤲攲㤴㤴㘰㠵㙥㔷搳晦㡣㈴㍤㕦收㠱㠴摥㜰㈴晤㌹〰ぢ愵㔲攱挶搳㍣ㅦ〶㔲ㅥ㌳㘹㍢昷敦㥣㑡散搲捤〴㝣㐱捦㡢收搳㜸㜱扣㤵㐳晦㈱挴㉣愶搶㙢㍥昷挷晢ㅢ㡢㥥㤳㌶挹慦戹〹㑤晣づ攳㜰㥤ㅤ㜷挷ㄱ㜹㡡换㡦〰〸㥡㔵㤹戵扥ㄴ㜹㡣㐷づ㝣㠹㄰㘵つ摢㕥㈲㘸㘳攳㐸㑦〰戰㘸昱搲攸戴㜸㍦づ愴㍣㈶㘸㌹ㄴ戱〸㌱づ搷愵愷昲ㄴ㈹㔴搷愰愹㕣摡㘹㉡㙥搶搰㥦慤慦㔰挱㝣㘸戹㘲㔲慢㙦摤㔹〵改㤵愲昳㥦〸ㅡ㡡改搰㡢㡥㌸改㕦ㄲ愸〸㥤㤴昵戴ぢ㉡攱㜶ㄱ攱㕦〹昳戸㌳攳㑥㠱扦攵㘴摢ㅡ㜷㘹㐶㜹慤昸㔵敡㥡搶愲戳㄰㈱愰ㅤ㜶收㘲摣捣ㅢ〵扣散㑢昰㉦㤱攰㈰㥣攳㌸ㄴ昲㌴㔸㤸㉣㤳戶戹㠱晥㤸㡥戶㍦摥敤㑡㍦㜴攴搱㑡㍦攵㜸㈹搹摦㈹㙥㝤ちて敢扣㥥搶〷㐰㥣ㄳ慢搰戴㜶㐷晦㜵攲挶㔷㌹㕤㕣㝣っ昹㌴㝥慣扦〲攰摢㌰愱搷㠱㡣扣晣㙢㔰搲㉢つ㙤换㌰㘹攷晤ぢ攳改㌸换ㅥ㝤㉦搶㐷㐶戸摡ぢ㥦㝥改ㅤ挶摤㡦㑤㔵㘸捡愹㈱〹摡㉦㡤㐹㜲㠶㌹㘱て㥣搱㌳㘸戳㥥〵攸㥤搱攷㐱改㥡㤱愰戹㜳㔶慤攷㤸㕣挹㥥㐵捣㝤戵捦㤸攳ぢ攸㉡㈸ㅦ㡥㈱扦㤸㈱慣㠸㘷〰㌸つ昹㌷慣㜱挶㥡攷戹っ搱㍣扡㍢㜹晥ㄶ愰㔵㉡ㅣ㠶㐲㤲捦〳㘰㡢敢〱㔸㝦〱愰㔵㉡ㅣ㐸㜳㝤〹〸捥づづ㤱㠹㤶晤戴㑦㔸㠶㔰改ㄳ㌴摦㤷挹挰㈱㌲㉥昶搳㕣㡢摤㕣㕦〵㔵㤰㔵捦晤㙢慣㤱愴㙢㝦挷㥡㈶〱㤱㝦捦㕡敢慢㥢㐸晤㝡㡢㠲摦ち㔹昴戳扦〱〴㜳㘴愳慥晦㠳慥㥢㈴敦㤲㠸敢散㠴〲ㄸ愵捦挴㍦昷㐴搱㍦ㅤ㌴搳昷晥㤶捦搴㔸㜰㈸ぢ㈳㈷摡㍣㠷摢㤴㌶敦㘸㥢愴晢摣㤸摥㙦昹ㅦち戲㑣㜴〶扤扥扦㐵昳攷ㄱ㐵㘱ㅡ挶㙤㍢㝢扦搶〴㜹㈴ㄴ挴㥥ㄹぢ改㍦㕡扥挹㐵攲㉢㘴〷㘳㔵㔰㕡ㄴ㤵㝣㤱㠰愴㉥㡣㔵㤳ㅤ昶昰㌸慡㙢㥦㤶晥㡦㝣づ㥦慦攷昶㉤搶㌴〹㠸㝣〹㠰〱〲扦㐲㌷㤱晡㑦㕤搴ち㔹戴收晦㤹㑤摦㈶昸づ㐰戹㕣㈱㥢㙥昹㉥㠹㉦ㄳ晣ぢ㐰戹㙣㤲昵昶㥤㠵慤攳〱㑡㝣〴㝣昸ㄷ〹戳㕥㘵㍦捤㥡敡㌶晣㝦㠶捤摢慤攵㌰挹ㄳ㍤慣挵㤴㐴㌸㤶愲㙤戳ㄹ挹㥡㘸㘷慦搵㘶挴㌰㑣㠶㕦捣昰㤶㥤㤷挲㈷愴㌶戳㌷慥搴㘰慣敦㘱搸愱昹愵㜹昹㝤㈰㡣〹㘱ㄸㅤ㔴搷〵㐵㑤㐱㕡㍦〰ㄸ扡〰收ㅦ〲挹㤸㍢㈸㘸㌰㌴慡㐴㌳晦〸㠸戵㍣戵㜸收昴戲晣㌱昰㡣扦㠳㠲〶㝥慡㑣㉢㤴㌳㤱㍦〱挸ㄸ㍢㈸㘸㘰㝣ㄹ㔰㌳㜲ㄶ昲㕦〱㌲挶づちㅡㄸ愹㝡捤挸ㄹ挸㥦〳㘴㡣ㅤㄴ㌴㐳㡣㜱㥤㌴㘷㡡㑤㤷㌱㉥愶㤷挲改昶㔲㌸慦㕥ち㈷搰㑢攱㤳㝡㈸㈳扦〵〲愲㉦㜹</t>
  </si>
  <si>
    <t>㜸〱敤㝤㜷㝣㔵㐵ㅡ昶㥤㤰㕣㌲㠱㤰慢搸戰〶〱ぢ戸ㄸ㤲㐰㠸㡡㤴㔰㤵愲㠰㕤挴㥢攴〶㈲㈹㤸㐲㕢㝢ㄷ㜵㉤敢摡㔶搴戵㡢㈸慥㕤搷〲㔲㙣㔸㜶㜵敤㝤㉤㙢㕤搷扥敡㉥摦昳扣㌳攷㥥㌹昷㥣㥢愰㥦晣㍥晦昸づ摣㌷昳扥昳㑣㌹捦㍢㌳攷㥣㌹㌳昷挶㔴㉣ㄶ㕢㡦㠳㝦㜹攴㌲戰敤戴㠵慤㙤愹挶㠱㔵捤つつ愹㥡戶晡收愶搶㠱㈳㕢㕡㤲ぢ㈷搶户戶㜵〱㈰㍥戳ㅥ昱慤㜹㌳㕢敢ㄷ愵昲㘷捥㑢戵戴〲㤴ㄷ㡢攵攷敢ㅣ挴昷戲㥦㠴愷㘸愶搲戹ㄴ㐰挵㜴㥣愲㉢㐵㍥㠵愶㈸愰攸㐶搱㥤愲㤰愲〷㐵ㄱ㐵㠲㘲ㄳ㡡㑤㈹㝡㔲㙣㐶戱㌹挵ㄶㄴ㕢㔲㙣㐵挱昲昵搶ㄴ摢㐰㜴摦ㄶ㘲㙡搵愸㈹搵㐷攱㙣愶戵㌵户愴㜶㉢㍥搰搴㜹㔸挵挰戲㠱㤵㐳㑡〶㤶散㔶㕣搵摥搰搶摥㤲ㅡ搶㤴㙡㙦㙢㐹㌶散㔶扣㕦㝢㜵㐳㝤捤扥愹㠵搳㥢攷愴㥡㠶愵慡㑢捡慡㤳攵㐳〷㤵てㅥ㕣㔷㔹㌹戴晢㜶挸㜷㘲搵愸晤㕡㔲㜵慤扦㑣㡥摢㌳挷㈹㔵愳〶㑥㑥戵晤㌲㌹敥㠰ㅣ㈷㔵㡤ㅡ摤摣㤸慣㙦晡㐵戲捣愳㉦换㐶愷㙡敡改昴㔴慡愵扥㘹搶㐰㔴㌹㐰㌰戴㡡㠱㘳挱㜴㑤戲戵慤㉡搵搰㌰㌵㔵㐷㝦㜷㙦㈴㕢愹㤶㔴㔳㑤慡戵㐷攳㤸〵㌵愹〶ㅢ摤㥡摦㜸㘰戲㘵㜲戲㌱㤵换㐰㔱愳昱搷㠴摡㔴㔳㕢㝤摢挲挲挶〳㕡㔳㔳㤳㑤戳㔲㠴攴㌵㡥㙢慦慦捤捤㔵戹戹戱㉥㍢㐷㔵㐶扣㌲㜰㙣㑢㑤搵散㘴㑢㥢㘸昴搷愰㈸慣搳㌲愴攲㠱㙡戱昵ㄴ㘷愴愲㡢愶搵㌷敥㥢㙡㘹㑡㌵戰㄰㍡㙥㐰〶㐸㌸㌱挴愷挹昱捥㠶㙥㔱摤㙣㍦攳愹戰ㄴ㕤㑣搱ㅢ㈲扥㈳㐴㤷愶戹昳㜴ㅦ㥡晡㐲愸摣㔷搱㑦摤㈴散㉢㌹㌳㤳㌹㌳慢㜳㘶搶攴捣慣捤㤹㤹捡㤹㔹㤷㌳㜳㔶捥捣搹㌹㌳敢㜳㘶ㅥ㤵㌳㜳づ㌰摥㤱摦戵㙢㡥㍤㡥扡㜸㔴晢つ㑢摥㥦戴㝣㑣昹㤱昷ㅤ戳敤〵㜹散㥡㠳愳敡㥦㐹捤挸搶搶昶挶戹ㅣㄳ慣摢愴〳㌷㡥㙥㙤摢㉦搹搲搸晡换晡ㄷ摥敤捣挱㈳㕢ㅢ㌷扥㠳㔱挸㉦攲攰昸㑥愰㜹慢〳㥡敡敢㥡㕢ㅡ昷㥣㔴摦㌴慣慣愴㘴捦㐹挹〵挳〶㤵㤴㤴攸㥤ㄱ慢㜷㠱㠸敦ち㤱㍢㙣㘴㘹㠹敥㑦摢〰〸愵㥥㠷晦搹〶昶㜸敤昱㡡㌳晦晥昱㍥㔷㌷㉣㍤㘳换㠶敢㕦㔵ㅣ㔲㘵㠰晤つ挱〳㈱攲扢㐳攴㤶㤶っ㉡搳㈵戴つ㠲㔰敡㘹㥢挱戴㘱㐳㤶散㥦扢攳愸〷昲㉦晡攴戹改㍢昴㔰ㅣ㡥㈵㠳㌲㠲换㈱攲㠳㈱㤸㐱愵ㅥ㐲㕢〵㠴㔲㡦搹っづ攸㌷晤㉦昷㈷摥ㅣ㝦敢改ㄷ敥戵敤㌱昵㑡戱㙢㑢〶㤵〴敦〱ㄱ摦ㄳ㠲ㄹっ搲㝢搱㌶っ㐲愹㐷㙣〶ㅦ㝦㥤扦换㙤搳敦㥦㜴昷㐱捦摤ㅦ㑦づ昸愷㘲㉢㤲っ㠶ㄳ㍣〲㈲㍥ㄲ㠲ㄹ㤴敢㔱戴㔵㐱㈸昵㠰捤攰戴慦㑥昹昶㠵慤㑦ㅥ㜳晤扣昲〹㔷㕦昶㕡㠳攲㈵㐴㌲ㄸ㐳昰㔸㠸昸㌸〸㘴㔰㔲愱挷搳㌶〱㐲愹扢㙤〶㝤㥢㈶ㄵ摣昶挱愶㘳㤶㝥扤㙣愷ㅤ㕦㤸㜹㠰攲攵㐷㌲搸㤷攰㠹㄰昱㐹㄰挸〰㕥㤸㑣摢ㄴ〸愵㙥戳ㄹ晣攱扡㤳扥㜸攰愸挷㐶㕣㜷敥扡㥣搸ㄵ㘳晦慥扡㈱㕡㌲搸㥦攰愹㄰昱㘹㄰㍣㠵挱㝡㍡㙤〷㐰㈸戵搴㘶㜰敢敤て㕦昳捦㜷㐷敤㜳挷㡣㤵攷㌷㌶㥦㜹愶攲㘵㑦㌲㌸㠸攰㠳㈱攲㠷㐰戰〶攵晡㔰摡づ㠳㔰敡㕡㥢挱㜹敦㥣㜶㔲㙥攵㌶晢㥣戸㝣散改㤳㍥攸昹㤲攲㈵㔳㌲㤸㐱昰ㄱ㄰昱㤹㄰捣愰㑣ㅦ㐹㕢ㄲ㐲愹㉢㙣〶搷挶㕥㜹㜰扦攴摤ㄳ捦㉤摥㝡敡晣㘵㥢㝤愵㜸戹㤵っ㙡〸慥㠵㠸愷㈰㜸ち㐳㜵ㅤ㙤戳㈰㤴扡挴㘶㌰㜱攰㤷㔳㙥昸搷ㄵ㈳㝥昷㘱摦挳㤶㝦㍣㙢㠶攲愵㕡㌲愸㈷昸㈸㠸昸ㅣ〸㘴㔰㔲愹ㅢ㘸㙢㠴㔰敡〲㥢㐱搵搹ㄷ晥昱㥤㡦㉡㈷晦昱搹ぢ〷㝥摦搶㙢㔷挵换㍣挷愲㜸㌳挴㙥搳㕢敡㌱攰户㌷㈴㕢愴戳攰㉡㕤扥攷挴晡㌹愹㠶晡㔴㙢摢㌰愸㐳愴昳㌰㌰㐴捦㐵ち㝤㌴搳戶㐰愰昷愰捥慤戴戵㐱㈸㜵㤶㉤昲戸晢㉥敤㌷昹晤㕥㘳㉦㝦晥摣挲㠷㈷慦摢㑥昱愶㐲敡㍣㡦攰昹㄰昱〵㌴つㅢ㌷㐸㉦愴㘹ㄱ㠴㔲愷摡昴捦㍥㌲晥〷晤晡㕢攳㤶敦戰攸摥㑢换ㄳ捦㉢摥㡦㐸晡㘳〸㍥ㄶ㈲㝥ㅣ〴㐹ㅢ愲㡦愷敤〴〸愵㡥户ㄹ㙣㜲昵愶㍢摥戹摤ㅦ㈶㍥搸㜶搵摢㉦㥥晢摣㜴挵㝢ㄹ㌹攷㤳㄰㠸㔷戵户戶㌵㌷敡㤳ㄱ搶愷搰㜰㉡㐴ㄷ㡣〵晡㌴㥡㑥㠷㔰㙡㠱捤慢晣收捡ㅢ慥㔹户攳㤴㑢㕦㕥晤户㌱㐳晢散愵㜸㑢㈴㤵㌹㤳攰挵㄰昱戳㈰㔸㤹ち㝤㌶㙤攷㐰㈸搵㘲㌳㔸㌴㝣挹㥥㑢〷㙦㌲㘲改㐵愷敤戰搹㤳㥦昶㔷扣㥤㤲捡㥣㡢㐰扦っ〷っ㉡㜳攸ㅦ㌴搸㡣㕣㐳昴㜹捣昷㝣㠸昸〵㑣つ收㉢昴敦㘹扢㄰㐲愹㌹戶慣搳搶ㅥ㝣攲戵换ㅡ㐶㉦晦㐷摥慤戹㌹敢㙦㔵扣㙢㤳捡㕥㐴昰挵㄰昱㑢㈰㔸搹㔲㝤㈹㙤㤷㐱㈸㤵昲㉡㝢㐱捤愴昳晥扤㘶散つ㘳ㅦ晤搳昱ㄵ敢づ㔷㕢㈲㕡㌲戸㥣攰㈵㄰昱㉢㈰搸摣㠶攸㉢㘹扢ち㐲愹㤹㌶㠳戳㜷㉥昹昰慥扢昷ㅡ㜹挳㌷晤搷㉦扥愳㜹㤶攲摤愲㘴㜰㌵挱搷㐰挴慦㠵㘰〶㐳昵㜵戴㕤て愱搴㈱㌶㠳敤㥡㤷㔷ㅣ㕢㜱换愸攵捦㝣㜹㕣敤攴慡愵慡ㄷ搱昸挴㙦㠴搸㘶㌲㠶昵㘴挳㥥㤳㔲挹愶㘱㠳〶づ摥㜳㕡㕢敤攸搴㍣㌶搴挱晡㈶〰昴㔲㐲㙦㠶㈰㐹愵㝡ㄹ㙤户㐰㈸㌵搵㤶昰攲慢ぢ㘷て㝤戸捦攸㙢㉦敤昹㘵晤敢户㉤㔶㕢ㄳ㡤㑦㝣㌹挴慥ㄹづ㈹ㄹ㌸搴昱㐸挹挰㑡摢ㅦ㉡㑢昵㙤㠰敢㍦㌳攱敤㄰㉣慦㕣摦㐱摢㥤㄰㑡敤㙢换晢㘰扦挵㤷㝦㜶晤㘳㘳㑥戸戱㝥昰㠷㝢晦㘵㠹攲ㅤ戳㔰㜲㌷挱昷㐰挴敦㠵愰㔳㑡昴㝤戴摤て愱搴ㄸ㥢挱㐳㠷㍣晦晣挹昹ㄷ㑦扣晦㤶扣㤷㕢㈷昴㝡户晢〳㠸摥摦摥搹㡣㙥㐹捥挷敤愱㝦摦㔹㍡㄰㘴㙣挸捤㌶敥戵敢〶搷㔵搴つㅡ㔴㍢戸㈴㔹㤶捣㉢㐶戶ㅢ㝡愳挷㕥搰扤敥愰晡愶摡收昹㜲攷搷扤㙥㙣㝤㐳㕢慡㐵㤴愲㍡晣㌱㜷慦愲ㄷ搶㡤㔹㠰ㅢ晥ㅡ㜳㤳戸㔹㕤㔵慡愵つ㌷换㙤ぢ晤ㅢ㡢㙤㐷㈵㕢㔳扥㍡挰收㍤慡戹扤愹戶㜵㥢攸挸㘹㙤挹戶搴搶㤹㜱㝥㈶愱㘴搳㜰㉢㥤㙡㤵㉡㙤㥦㤹散挰㘴㐳㝢㙡攴㠲㝡ㄳ扤㕤㐶㌴㙥慡㥢慢戳挷㡥㙤㐹ㅤ㥤㡥つ搵㘸㈴㥥昰收㐹摥愱戳㌴㔱愶㕥挵㔵戳㥢㕢㔳㑤㔲扤〱㡤晢搵搷捣㐹戵㑣㑢昱昹㌰㔵㉢愷扡㌹愳散㥤晤㠰㈹㑤㌸㔱摣慢搷敥攸㕡㐹㜴慡愹㌶㔵㡢晡捥〵换ぢ愷㈷慢ㅢ㔲㕢〴㈰愶㑣㐴昴ち㤸挷㌶搷戴户㔶㌵㌷戵戵㌴㌷〴㘳㐶搶捥㑢攲㘹愲㜶㔲㜳㙤㉡㔷㡥㤸㤱㉡搶愵㡢㔲戱㕤愲㙥㙢㤹㜷㉢㙦摣㥤㐶戲ㅤ㕡㑤挷㘰愷ㄱㄱㅣ㜹挳㥦捥ㄹ〱愷㤱ㄱ扦㙢㠷㌵㜱ㅢ㈱搱㈵ㅤ愲㈳ㅡ㈹ㄳ㙤ㄵ散㜸〳愷挲㍦昰㐳㐳㡡扤㌲愷㙦昶㉣晤㜶搹㐹㑤ㅤ慦㜰㍡㠰攸づ㐸㤳㙣搳㙤㙦攳㠲㜳㜲㝡摡戳ㅦ㌳て捦㡣攳㤳㑤戵つ愹㤶づ㈷㌳ㄴ㙢愴ㅦ愴㜸㠸攲㘱㡡ㄵㄴ㉢㈱昲昶挶ㄸ㤷㤵㔱づ捡㙡㠱㕡㤸㌷扦扥戶㙤㜶㝣㜶慡㝥搶散㌶搸㌰〹㤲㥦㑦扡换昱挹挳㘷愷㥣㔸散㑣㠵㠰㕥㐵戱㥡㘲つ㐴㐱㐱㉣扥ㄶ㝦㘳昱〲晤㈸晦㍣〶搱㜵㕣慡㈹㠵搹㠷〲㤵搷ㅢ敡㑦㝦㕣㐵㘱戸换攲㈳㈵㈶㉥㕡昳ㅡ昱㄰摥摡愵㑢ㄴぢ攳㤳慤戳摢搸〱㍢㡥㘴㝥㡦㔳㍣〱搱晤㐹㠸㠹攳㔳つ攸扥扦捣㥣㐷㕥ㅦ攴搸改昳㌵㙦戲戶㘸㥣戶戰愹㘶㜶㑢㜳ㄳ㘶㥤㐶㈷摢㤲㈳㙢㌰㠹搰慡㤲昱挶㠹捤㔵敤㙤昱挶昱昵昸搳扤㜱㙡㙡㙥㉡搹㔶㠵挱戹慤戰㜱㈲㈶㈰㘴昴㥣㔰扢㈰慦搱捣ㅤ㡣㑥戵搶㘸㑥㌲㑣挰㘰戴㈰㡥㄰㐶搷敥㡤ㅣ㕥㔲ぢ摡㤸㜵搷㐶㍣捥愲ㄱ㘹㠰〶㐸㉡ㄳ㘲捡㐲戱㜹愹ぢ慣㠶ㅣㄲㄲ㜴㜲改㈶〶㤳㤳㕣挴㜱摤挴搵㌵搷捡捣㝥㜳㐰㕢㝤㐳敢㐰㑢敥挰搱捤㤸㝥㑡挹扣ㅢ㐹㡦挷搱慣攲ㅤ扡㉡戳㝢㜳㤶㘲㑡㑤戵挹ㄶ㔵ㄹ搷搲摣㍥㜷㝢攴昵㑢攵挳扣㘲㝡ㅤ挴㤵晦㕥扡㘷扦㈵换搷摢扦挷愳攳挸ㄱ㝦ち㤱㥣挸㠸㍦㑤㉣㙤晣换㐳㍦〳㔱愰〹搰㡣っ挷攵昵㠵㌹㜲㤰捤㌲慢挲摥搶扤ㄱ愷㍣扤㈵㈵搳㐴昹愲㉣㥣㥢㉡㙣㍣愸戹㘵㑥㜵㜳昳ㅣ戶㠰ㅥ愲戵捥㑥愵摡搸㔱扡搹愹㈶㠶㤵㔲㕤扡〴㘶㔹㥣㐹㥡ㅤ㤰㝦晣㌹㠸挲㤱つつ挵㕥㡥慤昱攷㘱敡㠲㡢㐹晣敦〸㙣搲搴㕥搳㤰㑡㘲㑡戴戱扤㘱攰㠲㠶搶〵慡㍦捥㡤㑦敥㘷㜴㝦改搶㝥㉦敥㍤攱戲㑤㙡㡦ㅤ晣攲〵愵㙡㔷ㅢㄱ㥡㡦搹ㄹㄹ㜵㜰户ㄳ㤸昵攰㌳㔳攰㙥㈷㜴ㅤ㌷ㄷ戹晦㝦户昲慢扢㕢〹摥愹昴敦攴昲㥣㜱慦㤲昵捡昴晦慦昵㔱㉦㉥捣戵晥㈵㜴ㄶ戵㌳扡ㅤ慦敤〸〷て晤ち㜴晤㉡挵㙢㄰戸㐲㙢㕥愱㜱㠱㝥挳愸㙡ㄷ晣攵㠵㔹扦㐹昱ㄶ㐴㕥㝦㠸㡥㉦㘰攸慥㐵〰攵㜲㥡戴戰㜱㜴慡㉥㠹㔷つ㜲搱㔱挹晦㤷搷愴㕣扣敦㜱㉥㐸ㅤ㥦〴敡捥昱㍥㥥㜹ㄷㅢ㥣ぢ挷っ㝤㉤㙥㘱愶㘳捣㙤晤㈵㉦㌵扦攴㈵㑢扦㡤昳昰㡥扣敤搱㄰㌶晣㥣㐰㔷慣敢㍣摥㉦捣㥣ㄹ换攷ㄹ搲愲㜷愵〸㕤挵摥㠳戵愰愳㌸㌵〰〸㕥攵㌴慦㉡昱㡦㈰扡愰戱㘸㕥㐷搴㘶昶攲㄰扡㙡昴戴ㄱ愱㠹攰摦㈰㔹㌱㍥晡㌳㡡㝦㔱㝣㑥昱㙦㡡㉦㈰㔴㈱㤲戲攵㌷㐱㘹挵挷扦㌷晤㡡㤸慦㈹扥㠱昰㕡㝥㑥㠱晥づ㙡晣㍦㄰㐵摥晢㥣㘲㌳㄰ㄵ挴搴㐰㤸㝢攳愳扦愷昸〱㐲㤵㐰昰㤶㉥愶㝦㠴挸㝡㕦昰㕦㐴㜲㑥愱㉣捣ㅡ扢㘵㠱㈶㈰㑢㥣ㅡ㠴戸㌴㙢㥡㔷㕦挳搸昷晦换㜲㥤晤㡦㡤〸捤㝣㤷㈱㙤㌱搳攷挳㡤㕡㔳ㄴ㔰㜴愳攸づ愱扥㐴㔲㌲㌶ち愸㌱昸昸㡣昵㈰愶㠸㈲〱攱㌰戶㈹㙤㘴っっ昱㈱愰㌷㍥㝡㌳ㅡ㌷㠷㔰㐳愰ㅡ㠶戶㠰㥡㤵愱㉤ㄱ㐹㠶㉡挳㉣昴㐲㔴㠱㈶㈰㑢㥣慡㐰ㄹ㔱っ扤㤵㡤愱㌷㙤㐴㘸㙡扦ㄲ㌹ㄵ攳愳㜷㘴㜱㝤㈸晡㔲昴愳搸〹㐲扤㥣㤵愱㕤㠸搹㤵愲㍦㠴挳搰㙥戴㔹㠶昶㐰收扤㔹挰㐰ㅡ㜷㠷㔰㝢㐱㌵っ㤵㐰捤捡搰㈰㐴㤲愱㐱㘱ㄶ捡㄰㔵愰〹挸ㄲ愷㠶愱㡣㈸㠶搶㘶㘳㘸㡤㡤〸扤扢ㄸ㡥㥣㡡昱搱㝢戱戸㘱ㄴ㝢㔳っ愷ㄸ〱愱ㅥ戶っ㥤〲搴㘲㝣晣㌶㌴㡡㤸㉡㡡搱㄰づ㐳㘳㘹戳っ㡤㐰㤲摥昸攸昱㌴㑥㠰㔰㙣㡤㠶愱㝤愰㘶㘵㘸㕦㐴㤲愱昲㌰ぢ㤳㄰㔵愰〹挸ㄲ愷慡㔰㐶ㄴ㐳换戲㌱㜴戳㡤〸扤㥣㘱扦㈹挶㐷ㅦ挸攲づ愲㌸㤸攲㄰㡡㐳㈱搴㜵㤶愱换㠰晡ㄳ㍥㍥㐳㠷ㄳ㌳㠳攲〸〸㠷愱㈳㘹戳っ㡤㐵㤲摥㉣愰㥡挶ㅡ〸挵㜷㍥㠶愱㕡愸㔹ㄹ㑡㈱ㄲっ攱㈵㔱㘸昴㥥㠵愸〲㑤㐰㤶㌸㌵〱㘵㐴㌱㜴㐱㌶㠶捥户ㄱ愱户㑦晢㈲愷㘲㝣昴㕣ㄶ㜷㌴㐵ぢ㐵㉢㐵ㅢ㠴㍡换㌲㜴㌰㔰㠷攳攳㌳㌴㡦㤸昹ㄴぢ㈰ㅣ㠶ㄶ搱㘶ㄹ㥡㠸㈴扤㔹挰㌱㌴ㅥぢ愱㈶㐳㌵っㅤ〷㌵㉢㐳挷㈳ㄲっ攱㉤㔸㠸愱ㄳㄱ㔵愰〹挸ㄲ愷愶愰㡣㈸㠶ㄶ㘴㘳㘸扥㡤〸扤㕥摢ㅦ㌹ㄵ攳愳ㄷ戳戸戳㈸捥愶㌸㠷攲㜷㄰敡㘸换㔰戸つ㥤㐷捣昹ㄴㄷ㐰㌸っ㕤㐸㥢㘵㘸㉡㌲敦捤〲㉥愲昱㘲〸㌵ㅤ慡㘱攸ㄲ愸㔹ㄹ扡ㄴ㤱散㘵㠳挳㉣晣ㄱ㔱〵㥡㠰㉣㜱敡〰㤴ㄱ挵搰ㄱ搹ㄸ㥡㘱㈳㐲敦てて㐲㑥挵昸攸㙢㔹摣㜵ㄴ搷㔳摣㐰㜱㈳㠴㍡挸㌲戴〵㔰㝣㜷攲户愱愵挴摣㑣戱っ挲㘱攸㔶愸昱攵㄰ㄱ㔷㝦㌶挵摥㉣昰㌶挴敢㍦㐳愸㐳愱ㅡ挶㙥㠷㥡㤵戱㍢㄰挹㌶ㄵ㌱㉥摤㠵愸〲㑤㐰㤸㌱㠹㔳㝣ぢㅡ挵搸攸㙣㡣㔵搹㠸搰ぢ搳ㄹ挸愹ㄸㅦ晤㄰㡢㝢㤸㘲〵挵㑡㡡㐷㈰搴㌰换㔸戸㑤慤㈶㘶つ挵㕡〸㠷戱挷㘸㈳㘳戸晡ㅦ㠱捣㝢戳㠰㈷㘸㝣ㄲ㐲ㅤ〹搵㌰戴づ㙡㔶㠶㥥㐲㈴ㄹ㡡戸㍦㝡〶㔱㤸㌷㠱っ㌳㈴㜱㉡㠹㌲愲ㄸ敡㥦㡤愱㕤㙤㐴攸㡤㜰つ㜲㉡挶㐷扦挴攲㕥愶㜸㠵攲㔵㡡搷㈰㔴ㅦ换搰㙥㐰昱㜶搰㙦㔳㙦㄰昳㈶挵㕢㄰づ㐳敦搰㘶㝢㕤㉤㤲昴㘶〱敦搲昸ㅥ㠴慡㠳㙡ㄸ㝡ㅦ㙡㔶㠶㍥㐰㈴㝢摤搰㌰ぢㅦ㈲慡㐰ㄳ㤰㈵㑥昱㍤㜶ㄴ㐳㠹㙣っㄵ搹㠸搰㉢敦㝡攴㔴㡣㡦晥㠲挵㝤㐹昱ㄵ挵搷ㄴ摦㐰㈸㙤ㄹち昷扡敦㠸昹て挵昷㄰づ㐳㍦㑡〴㜲㐵ㅢ㍡ち㝦㝡戳㠰晦搱戸ㅥ㐲㌵㐰㌵っ挵㌰摤㥢㤵㈱㠵㐸㌰㠴㔷敦愱㤱扢ぢ愲ち㌴〱㔹攲㔴㈳捡㠸㘲攸㥢晦㘶戹挷晥摡㐶㠴摥改捦㐵㑥㥣捦搲摤㔱㥣晡ㄲ戰扤㜱㍦つ㐳昰搰㍤㔸㥢㈲ち慥ㅢ昴搸挰戳昷愶㐶㔵㐷㈳㠱㌰搱㤳愰捤㈰ㄴ㥦㘱昸晣慤㌷㠷收ㅤ敡㈳㤴戱㍤捡〰㔷戸㡥㔲㠴〸攸挵㍣㍢㡡㔳㙤㐸攷ㄳ挰㐷㌳昳㤰昱㔶㌶〲摥戴ㄱ愱ㄵ〶昳㤰戶㤸改㜷㘴扤晢㔰昴愵攸㐷挱晥愲㕥戶愴㌴〱ㄵ㝣㉣摢㠵㤸㕤㈹晡㐳㜸愴攰戱㙣㌷摡㙣㈷㥡㡦㘴㐲捣㐰ㅡ㜷㠷㔰ぢ㘱㌲㑤愴〴㙡搶㈶㌲〸㤱戲搲㈱㐴㔰ㄹ㘲㜰〷つㄹ㈶㑦攲搴㈲ㄴ攱ㄳ攴㍦㠵慤捤㐶搰ㅡㅢㄱ㕡㐲㜱っ㜲㉡挶㐷敦挵攲㠶㔱散㑤㌱㥣㘲〴㠴㝡搸ㄲㄴ敥㐳愳㠸愹愲ㄸつ攱㄰㌴㤶㌶㑢搰戱挸㕣〸ㅡ㑦攳〴〸㜵㍣㑣㠶愰㝤愰㘶㈵㘸㕦㐴㜲㤴ㄹㄲ㘶㘱ㄲ愲㜰〷つ㤹㈵㑥㥤㠰㌲愲ㄸ㕡㤶㡤愱㥢㙤㐴㘸㡤挸挹挸㐹晡搰㠱㈸㑥摤㘴搹㠰㌱㜸攸㠳㔹㥢㐳㈸づ㠵昰搸㐰ㅦ㍡摣愸敡ㄴ㈴㄰㈶㘶㄰㜴〴㠴㍡つ㈶改㐳㌳愱㜹㠷扡ち㘵愴晢搰愹㌰㠷㑦戲㠶㜹敡づ攲搴改㐸攷ㄳ攰昷愱㡢戲ㄱ昰〷ㅢㄱ㕡搸㜲㈶㜲㉡㘶㉤ㅡ㔸敦㐶㡡㈶㡡㘶㡡戹㄰敡㕣㑢㑡戸㠹戴㄰搳㑡搱〶攱㤱㠲㍥㌴㡦㌶摢㐴ㄶ㈳㜳㈱㘶〱㡤ぢ㈱搴搹㌰㤹㈶戲〸㙡搶㈶昲㕢㐴戲㠹㐴㍣㐲ㅣ㡢愸〲㑤㐰㤸㍤㠹㔳攷愰っ㥦㈱扦ㄳㅤ㤳㡤愱摦摡㠸搰捡㥤昳㤰㤳㌴㤱搳㔰㥣㕡㘸搹㠰㌱㜸攸㌳㔸㥢㌳㈹ㄶ㐳㜸㙣愰㠹㥣㙤㔴㜵㍥ㄲ〸ㄳ攷㄰昴㍢〸昵㝢㤸愴㠹㥣ぢ捤㍢搴㕣㤴㤱㙥㈲ㄷ挰ㅣ㍥挹摦㌳㑦摤㐱㥣扡㄰改㝣〲晣㈶㔲㤷㡤㠰㤴㡤〸㉤㈷扡〸㌹ㄵ戳ㄶ㤷戳摥㑢㈸慥愰戸㤲攲㉡〸㌵搳㤲ㄲ㝥㠶扡㥡㤸㙢㈸慥㠵昰㐸㐱ㄳ戹㥥㌶摢㐴㉥㐶收㐲捣㡤㌴摥〴愱㉥㠵挹㌴㤱愵㔰戳㌶㤱㥢ㄱ挹㈶㔲ㅡ㘶攸ㄶ㐴ㄵ㘸〲戲挴㈹摥㝢晡っ昹㑤㘴㘲㌶㠶昶戵ㄱ㡢㌲搷㑢㕤㡥㥣㡡昱搱㜷戳戸㝢㈸敥愵戸㡦攲㝥〸㌵挶㌲㜴ち㔰散ㄱ扣㍡㥤愹㤸攴〱㘲ㅥ愴㜸〸挲㘱㘸〵㙤㤶愱㈵㐰ち㐳㡦搰戸ち㐲㕤〹㤳㘱㘸㌵搴慣っ慤㐱㈴敦㔵㈲挶搹㐷ㄱ㔵愰〹〸㌳㈴㜱敡㉡㤴ㄱ挵㔰㘹㌶㠶〶搹㠸搰㠲戰慢㤱㔳㌱㍥晡㔹ㄶ昷㔷㡡扦㔱㍣㐷昱㍣㠴ㅡ㘰ㄹちて㌳㉦㄰昳㈲挵㑢㄰づ㐳慦搰㘶ㄹ扡〶㤹ぢ㐳慦搱昸㍡㠴扡づ㈶挳搰ㅢ㔰戳㌲昴㈶㈲挹㔰挴晤敥摢㠸㉡搰〴㠴ㄹ㤲㌸㜵㍤捡㠸㘲㘸慢㙣っ㙤㘹㈳㐲㉢摥㙥㐲㑥㌲捣㝣㠴攲搴收㤶つㄸ㠳㠷晥㠴戵昹㤴攲㌳〸㡦つっ㌳㥦ㅢ㔵㉤㐵〲㘱攲摦〴㝤〱愱㤶挱㈴挳捣㤷搰扣㐳㜵㐷ㄹ改㘱收㘶㤸挳㈷昹㉤昳搴ㅤ挴愹㕢㤰捥㈷挰ㅦ㘶㜲戲ㄱ愰㙣㐴㘸㐱摥㙤挸㐹〸攰㌲㌹戵晥挷㙣户戳㌹㠸搶㕤㈸㜲㈱ㅣ〲攲㐶㔵㝦㐶㐶㐲㐰㔷㠲昲㈱搴ㅤ㌰〹〱戲㘱〶ちて昵つ捡㐸ㄳ㜰㍢㉣㘱〲ち㤹愷敥㈰㑥摤㠹㜴㔱〴㝣㠲捣㈳摦㑤㝦㙣㈳㐲㉢〴敦㐶㑥挵慣挵ㄶ慣昷㤶ㄴ㕢㔱昴愲搸ㅡ㐲扤㘷㐹〹㍦ㄳ㙥㑢捣㜶ㄴ摢㐳㜸愴㘰㥣㉤愶捤昶㤱㝢㤰戹㄰戳㈳㡤㝤㈰搴㝤㌰昵挱〷㜷捥㔰戳昶㤱㝥㠸攴㌸ㅢ㌱㔷戵㌳愲ち㌴〱㘱昶㈴㑥摤㡦散㝤㠶晣㜱昶㙦搹ㄸ晡慢㡤挸㕣〲㤹昷㈰㜲捡㕣摣㈱扢㐱搲㡢挳㥣㔷戹㍤〰㡥搷㘱㔳㐰㕢㙢户扡㤱敤㙤捤㘳敢摢昰慥慤㝢ㅤ〴㠲㤲㘴㙢㔹㐷攵㈴ㅡ㔰㜷㘰㝤㙡㍥摦戲敤㄰㡥挲㐶ㄹ戳㡡㤸㙢ㅤ戶て挷㡦㙥㥥摣摣㌶扡扥㜵㙥㐳㜲㘱摦㠸㘸ㄳ㜳搰散㔴ㄳㄶ昶戵㘰㝤㕦㘷愰收戹㜳㔳戵ㄱ㜵㥣搶摣摥㔲㤳㥡㌰晡搷戰㌴㔰㤹〵㌸㌱㉣敦㔰㉡愶晡㘵㝦搷敥昰扥ㅤ㝣㤳㠳㈵㈱敡攷慤㉣㡢㤷愰戹攵㌷搶㌷㌴㜰てㅤ戶㘱㐰㡤愱㜰㌴㝣㕤捡昶㔸㄰换㝢愸搳戶攲慣㍡散〶㜰㐱ㅤ晣㙢㙣㠵㜶㔹敢㠴愶搶晡摡㔴㠱搵戰慦愴㠷つ㑥㘹㙦ぢ挴㈴ㄷ昴戴㌱㔸挰㌲愵〹㙤愰㈶搹㔲晢㙢㜰て㑥っ㠷昱㡤㡡攳摦捦㘳摣㘴ㄳ㡢㝤㉥捦晥搰㍥㍦ㅥ㉣㤳攷㠷愱㐴慥㈵㑡昷㐹〴㥣〵㥢㝣㘱㕦㐸慡搳收㝣㙡㕣摢㉤ㅥ㌰㙢扢㝢〸㈲㠵㔶㡥㑤㙡つ愹㥥㐱㔵㕥昱敢扡㤱搵慤捤つ敤㙤愹ㅥ改㤰昴㜶㕤㌷㌵搵㤰攴攲摢敥改搰㝥㌵㙤㔸㥥㥣捥㡦ぢ㙢㝦㍤摥〱㈳戹搶㐳㑡㝣ㄴ敦㘰㤰ぢ㥥〴㍢搲捦昴愸㡡挵敡攴昸㙣戸扡散㔲ㅥ㌷つ㡦㜹〱晡ㄶ捥㕤㠱散㌳摦攱〷〷㕣㜷㜵㉤㝢㔱㑦㙦搱户ㄹ收㘴〴敢敥搹戸戰戵戰㑥〶㍦慣㕥攷㐶户㈲㜶㥢〶㙣ㅡ㙤慢慦㐹㌶㌴㉣散㔱㌷愱愹愶愱扤㌶㌵㌱㔹㥤㙡昰〶㙥㉥晦晦㜵昸㉢ㄷ慣搹摥搴〱㉦㤶㤴〹搸捣敢慤攵晤搹㘳㕤㑣㤷㘱㐴㤳攵㌲挸挳戸㘵㈵㉡昱㤳㤷㌱ㄷ㈰搱愶晥㈲㝣搹昲㠹㈱㉤㘴攲㔸挶挵㥤改㤵搰搲摢ㅣ搸挴收㠹捤㔸愵㕥敢㤸挶搷ㅢ搳慦愶㑦㐹㜷㡡挷攳㍦昷ち㌳晣愸搷㉢㥢收㥣戸㘲摢㍤扦晣昶挶㘱㘷㡦昰㝡ち慦㉤散ㄸ慢㐰㘶收戲㔰愷㘳挸挵㕦〶挰〴㠰㐵ㅣ扤捣㥤挳昴晡戶㠶㔴户㍡㠹㤷㜰㍥扢〳搹散㕡㌷㝤㌶㔶㔷㡥㉥慣ㅢ搷㔲㕦摢㔰摦㤴攲㕤〸㜶㑤㜰㥢敤挴搴㉣慣敦摦慦戹戵㥥㍢㐴ぢ敢愶户㈴㥢㕡攷㜲㈵㙤捤挲㑤〳㥡㌸㉢慦㙥㔴㝤ㄳ㍡㡦㈹㤳攱愲扡㘹戳㥢攷㘳攳㜹㝢㘳搳戸攴摣搶㕦㠵愳搸㤷捣㘱㐶扦ㅣ㤵㤳愳昲㜳昲㝦敥㌵㑡搶扣昲㐶㈰㔶㡡㙣㜳㈸慣扢㔶㈳搴㐱㝦愵愷散づぢ昶㔷搶㉢戰攱㌶㜲㤹㜷㝡攷㍥挷㘰㍤〴㥤戴㝢〵挴昸㜱〷㑣昰昷攵晣㕦㙣㠳捦㕢㠳㝣㍢戸㄰㐸挳㐸㙦〱搸ㅣ攰ㅥ愶戱搰挶戶愳挵攷搴㌲ㅢ㘰㐱㥤㘰搸ㄶ㜱敤㈴㥣挱戱㔸愶摤ㅤ㕤ㅦ〳㉦㔶㈴㘱挴敤㘱ㄴ摥搱㘱晢㔵慢㡤慢㙡㙥㙣㑣戲㜱戱㘱㑥挳愸㥤捡㤷摢㙢㡣㈵扡づ㐲㕡愰㌵㈵ㄷ挰㤴㕣㈰㈶㕣㡣戹慤㐷挲捣慢㜹㔶戲愵扥㙤㜶㘳㝤㑤㍥ㄵ㙥扤昹㔵戴㑡㌴愰㕣㤰改ㅤ搲㌴㜱慦㥡戹㠸捦慣晥㠶戳〷攲昱㠱搴搱昹㘸扢㌹㜲〵㔷㍦㜳捦〴ㅡ慦收捤慤慥㠴挸攳搳㍡〶㝤㔳ㄵ攷搶ぢㄶㄹ㠶搴愳〴攰愳昷〰㥣〱㝥㜲ㅦ㠷攸㜰㐱㝢㔷〰ち㈶㌶㈷㙢挷㘲㜷㔶㜳㑢㔷晢愵つ昹㜰㉤〷㤵㤶〴户㌰㔴㘱摦て昶ㄳ捤挳ㅤ㜰㑢㍥つ搳戰㍤㈰㤷㥢ㅦ攲挶㠷扣㄰挶昲昲扡攵㐷㤵㌵挱换慢慦㕤攷敤㝥改挵㠴㔰晥㥦散㍦㜴㌸㉡㠵搳攲㑤㠴摥㤳ㄴ散挵㜳㝡〲㉡捦㈷〳㌰㡣㠰扤㈱昲搶㈱㌲戳㤷㘴㕤昰㡦〴戱扣㐶㙥㐴挸㙦攴改攰㘶㈳㡥敤〹搸搰〰㑡攲摤昲㥦㐴扣ㅥづ搴㔳敢搶つ㐳㌸愶㥥㠱昰捡㘷戳戰ㄵㅣ挱昲㐷戲晣㤷㘰晣〹ぢ㡣攵昴搲て㤹㜲㥢敢㍦㔳ㄶ搶戹㡦㤰㍤敢散戳愴昳挴㤸㘱㤳摢㉢昴昳㕦搱昳㈰攸〰㙤㕥慦昹戹搷㕦㘹昶㙣攳㜸㔱晢ち㌲㕣挵㕣攳愳㐰昸㘶㜶㥢㝦㌱挸㘹㙢愹慦㙥攷ㄵ㤱戱㌲攸攷晡㠳扥攲㜲㘳づ晣扡ち挹搴㙢〸㜱㐴㐵捥㜲㌳愵挷搰㝢㥤昶戰㌷㤸〲ㅦ㍤㤶㤹㔸㐵扤㠹㠰搷㉡㘸戴慤㘲ㅣ㌰㝡㍣㠱㙦㐵〳㈶㄰戰て㐴摥摢〰㘴づ㈹挱ㄵ扦㜸㕣搶〰攵㜲戲㈱㤷晢㘳昲戱搵㐴㌶搶攴㐹晦敢收㙣㠸㠹㥢扤㌰昹㐸㠳㔰㘳㙢㝣ㅡ〶攷㔴㙤㠱㘹㕡㙣敦ㅣ㐵㜲㜲㜲㌱㐲挵㌳昷㍦㠴㡡㘵ㄶ搳㔲戲㉡㔹㜱㈵㙥㝣㕦搴戸ㅢ愷㔰㤰晦捣搱㔸戱戴ㄶ㔶扣〷㕥㡦㍦㜲攰戹㝢ㄲ㌰戱〲昵ㅥ愴挷㡣搳㕦㈶昳挴愷㐰愸捦〰㜸㄰ㅦ挹㈳愶昷㘷㌲昳攸㉥捥收攲㕡㍥扡㝢㠷㌳敡搹㌱敦㜳㐴昱愱㤳摥昰㙥换戲㍤挰愸㝦〳户㠲㘰㍤㤵㌵㘰扤扤扢㘸昵〵㤴㤵㡣㤳攳㜳㝢㌲㜸戰㌵晡㜰扡㤵敤敦㉢攸慢㘸㤳戵戳㔲㙥挶晤㠵攲晡㕥㘹㙡〷昰ㄴ扦㠱㘶㥡㥡㤹ㄳ搳〷挱摡㜹㔳晢づ挹㜰㑥㔸挳挷㑣慣愲扥㐷挰㈳ㄴ㐱慦愹ㅤ〲㡣㍥㤴㐰慥づ㡥〰ㅣ㐶挰攱〴晣〸〰㐷㐹㍤〳㕡㝡㘰攳改㝡挹ㅣ㐷ㅤ挱㘴㌳㤹㉣ㅦ㔵㜰ㅣ㤵㠴捤㜵㤴㐶㜴挷㡥㉡〰攲㘱㈴摡㈰㐷㜵〳㜸〵挱扡㥡㌵〸㌸慡㍢攲㔶㌲㑥㡥散㡥攲挲攱㔵挴挸ㄲ㕥㈹㌷搳㔱㐵㠰㠸愳㔲㍣挵〴戴㠰愳㘶挱摡戹愳㌶㐵㌲晣㡦改搹捣〴〱昹㙣〶改ㄱ捡㑡搸㌱愱ㅥㄸ㝤ㄴ㠱㕣愴ㅣ〱㤸㐳㐰〳〱㕢〰㈰㡥㙡㠴㤶㜶㔴㉦㈷㤹攳愸㈶㈶㙢㘶戲ㅤ〱㜰ㅣ㜵㌴㙣愸ㄱ㈷挳愴昹㜲㘹㜱挷㡥敡ぢ挴〶㍢慡ㅦ挰㉢㜸㝥扡㠵㌵〸㌸㙡㈷挴慤㘴㥣ㅣ搹ㅤ戵ぢ㜰慢㠸㤱㤵挴慣㙤收ㅤ扢摡ㄵ㌶㜱㔴㍢㑦戱㍦戴㠰愳收挳摡戹愳㜶㐳㌲晣挷〲㑥㘶㠲㠰㝣戸ㅥ㍡挲てぢ㠱搱㡢〸摣㍤ㅡ昰㕢〲㡥㈱愰〴〰㜱搴戱搰搲㡥㉡㜳㤲㌹㡥㍡㡥挹㡥㘷戲扤〰㜰ㅣ㜵㈲㙣愸㔱摡㔱㕣攱摣戱愳昶〶㘲㠳ㅤ㌵ㅣ攰ㄵ㈸㈱愶㑦㘲つ〲㡥ㅡ㠱戸㤵㡣㤳㈳扢愳㐶〱户㡡ㄸ㔹搰捣摡㠶ㅣ挵㐵搶攲愸㔳㜹㡡愳愱〵ㅣ㜵㍡慣㥤㍢㙡㉣㤲攱㝦㑣㥦挱㑣㄰㤰捦㜸挸〸㐷㥤〹㡣㕥㑣攰㠴㘸挰㔹〴㥣㑤挰㍥〰㠸愳捥㠱㤶㜶ㄴ㤷㘸㝢昹㍡㡥晡ㅤ㤳㥤换㘴〷〲攰㌸敡㝣搸㔰愳戴愳戸搰扡㘳㐷ㅤっ挴〶㍢敡㄰㠰㔷愰〴慣愲㘵つ〲㡥攲㈲敥㤵㡣㤳㈳扢愳づ〷㙥ㄵ㌱戲慥㥡戵つ㌹㡡㙢扤挵㔱㝦攰㈹ㅥ〱㉤攰愸㡢㘱敤摣㔱㐷㈲ㄹ晥挷昴㈵捣〴〱昹㔴㐳㝡㠴戲ㄲ㜶攸扢ㄴㄸ㝤ㄹ㠱㕣㌹ㅥ〱昸㈳〱㤷ㄳ㔰ぢ㠰㌸㙡〹戴戴愳戸㔲摣㑢收㌸敡ち㈶扢㤲挹收〲攰㌸敡㑦戰愱㐶㘹㐷㜱扤㜷挷㡥㙡〱㘲㠳ㅤ搵ち昰ち㥥㥦扥㥡㌵〸㌸㡡㤳〶㉢ㄹ㈷㐷㜶㐷捤〳㙥ㄵ㌱戲扣㥢戵つ㌹㡡㑢捥挵㔱搷昱ㄴㄷ㐰ぢ㌸敡〶㔸㍢㜷ㄴ搷愸攳㍦ㄶ㈸㌳ㄳ〴攴㜳っ愴㐷㈸㉢㘱ㅤ㜵ㄳ㌰㝡㈹㠱㕣挰ㅥ〱戸㤹㠰㘵〴ㅣ〷㠰㌸敡ㄶ㘸㘹㐷㥤攸㈴㜳ㅣ㜵㉢㤳㉤㘷戲挵〰㌸㡥晡㌳㙣愸㔱摡㔱㕣㜶摥戱愳捥〶㘲㠳ㅤ挵戵敢㉢㜸㝥晡㜶搶㈰攰㈸㉥㘹㕦挹㌸㌹戲㍢敡㍣攰㔶ㄱ㈳慢捣㔹摢㤰愳戸昲㕤ㅣ㜵ㄷ㑦昱〲㘸〱㐷摤〳㙢攷㡥扡㄰挹昰ㅦ㉢㐶㤸〹〲昲戹〸㌲挲て昷〱愳敦㈷㤰敢攸㈳〰㝦㈱攰〱〲㉥〱㐰ㅣ昵㈰戴戴愳戸㙥摥㑢收㌸敡㈱㈶㝢㤸挹慥〵挰㜱搴㑡搸㔰愳戴愳戸晡扤㘳㐷㕤て挴〶㍢㡡㑢攸㔷愰〴慣ち㘷つ〲㡥扡ㄱ㜱㉢ㄹ㈷㐷㜶㐷㉤〵㙥ㄵ㌱戲戸㥤戵つ㌹㡡ぢ昰挵㔱㙢㜸㡡换愰〵ㅣ昵㈸慣㥤㍢㡡㉢昶昱㍦愶ㅦ㘳㈶〸挸攷㌶㐸㡦㔰㔶挲昶愸挷㠱搱㑦㄰挸攵晢ㄱ㠰㈷〹㔸㐷挰敤〰㠸愳㥥㠲㤶㜶ㄴ㤷攴㝢挹ㅣ㐷㍤捤㘴捦㌰搹㐳〰㌸㡥晡㉢㙣愸㔱摡㔱て㈳扡㘳㐷慤〰㘲㠳ㅤ戵ㄲ攰ㄵ㍣㍦晤㌷搶㈰攰愸㐷㄰户㤲㜱㜲㘴㜷搴㙡攰㔶ㄱ㈳㙢散㔹摢㤰愳戸敥㕦ㅣ昵㜷㥥攲㕡㘸〱㐷扤〸㙢攷㡥㝡っ挹昰ㅦ换㠵㤸〹〲昲㜹〲搲㈳㤴㤵戰㡥㝡ㄹㄸ晤ち㠱摣㐵㄰〱㜸㤵㠰搷〸㔸〷㠰㌸敡㜵㘸㘹㐷㜱㘷㠰㤷捣㜱搴ㅢ㑣昶㈶㤳扤〴㠰攳愸户㘱㐳㡤搲㡥攲摡晦㡥ㅤ挵㡤〱ㅢ散㈸㙥㈰㔸挱昳搳敦戰〶〱㐷扤㠶戸㤵㡣㤳㈳扢愳摥〰㙥ㄵ㌱戲搴㥦戵つ㌹敡㑤搸挴㔱敦昱ㄴ摦㠲ㄶ㜰搴〷戰㜶敥愸㜷㤰っ晦㘳晡㥦捣〴〱昹扣ぢ改ㄱ捡㑡㔸㐷㝤〸㡣晥㠸㐰㙥㘶㠸〰㝣㑣挰㈷〴扣て㠰㌸敡㔳㘸㘹㐷㝤攸㈴㜳ㅣ昵ㄹ㤳晤㡢挹扥〰挰㜱搴扦㘱㐳㡤搲㡥攲ㄶ㠴㡥ㅤ昵ㄵ㄰ㅢ散㈸敥㘳㔸挱昳搳㕦戰〶〱㐷㝤㠳戸㤵㡣㤳㈳扢愳扥〳㙥ㄵ㌱戲攳㠰戵つ㌹㡡扢㈰挴㔱㕦昳ㄴ戹ㅤ㈲攰愸㙦㘱敤摣㔱㍦㈲ㄹ晥挷昴㜷捣〴〱昹晣て㌲挲て晦〱㐶㝦㑦㈰搷ち㐴〰㝥㈰攰㐷挹〹搳㙦攲愸晦㐲㑢㍢慡ぢ慣㕥㌲挷㔱晦㘳戲昵㑣搶ㅤ〰㑥扢扡㤳㠴㍤㘰㕢㐵㕢㥣敢㔱戶昴扦捦慤昳㜹㐲㙥㡤㄰㡡㌸敦慦ㄲ搰っ㐵㜶㥥戰ぢ慣㥤㔳挴扤ㄴ㘴㐵攳㡢㜳㝤㡡㝡挲敡㥤ち㘳㙤㕢收搷挲敡㌸㠱摣㙣ㄱ〱攸㑡㐰㍥〱摣㝦昱㌶㑦㡢摦昲㥣㥥㠳慢挲敥ㅣ戶㤸㡣㌹戸㙥挰㘰づ㡥㝢㌰扣㑣挵㘲㈶搵扢㈳慣ぢ㈱ㄴ昷㑢㌸㉤扤㠸㈰愷愵昷㐱㜴挷㉤㥤摢㉣㌶戸愵昷〳㜸〵㑡挰晥ㄳ搶㈰搰搲戹づ㜶㈵攳攴挸摥搲戹㕤挳戸㜷㔳攴挱攵㥡㠳㔹攵㔰㜳攷㡥㡥搵挸㑢昷〴㑣昵㠷ㄶ㘸敥㥢挳摡戹㉦㜷㐳㌲㝡㑢㙦挱㑣㄰㤰捦㐰㔸㍤㔶ㄱ昴㝣戹㈵㌰㝡㉢〲戹㍦㈴〲搰㡢㠰慤〹㈸〱㐰㥡晢㌶搰搲捤扤捣㐹〶扢㤷敦戶㑣戶ㅤ㤳敤〵㠰攳慤ㅤ〸㜲扣㌵っ搱ㅤ㝢㙢㙦㈰㌶搸㕢挳〱㕥㠱ㄲ昰慤挹慣㐱挰㕢摣㌲戲㤲㜱㜲㘴昷ㄶ昷㡥㠸户㘴ㄷ〷㙢ㅢ㜲㔴ㄵ㈰慢㤱㡤敥挳㔳攴ㄶ㤳㠰愳晡挱摡戹愳挶㈲ㄹ㝤愳㜷㘲㈶〸挸㠷㝢㔱㍣㍦戰愲戶搳敤っ㡣摥㠵㐰敥㔳㠹〰散㑡㐰㝦〲昶〱㐰ㅣ㌵〰㕡摡㔱㤳㥣㘴㜹㝥扥扢㌱搹㙦㤸㡣㝢㐸㌲挷㈵㙥ㅣ㌱つ㜷㈰㈰㍤捤㠴㝣攷㘳ㄲ户㥡慣㐶ㄹ㝡㜷㘶捣㍤㈷㠱㌱㘹㄰慣㥤搳㜳㌸㤲〹㍤愵㠰㈳㉣ㅦ㌵〳㈱敦散ㄹ㙢改㈹〳㐶㤷戳戴㈳愲〱㠳〹ㄸ〲㤱㌷ㄳ㠰晦ㄷ敦㉥扡晣挴㜷ㄷ㔱敦㈵搳㙦敤户挷愹挷㉢㜰㍡㠵摥㡢㡤㜹晣昶㤱愸㘱戵ㄲ㈸扣㘲㠵㔴㌵づ㌷戴㕡昲昶㐴㔸敦㐵㐰〳〰㑥㘷摤㥢㈰愷戳㌶㈲扡攳捥摡〴挴〶㜷㔶敥搲㔹㠱ㄲ昰搲㤲㌵〸㜴搶戹㠸㕢挹㌸㌹戲㜷㔶敥攲㌱㥤㤵晢㘹㔸摢㔰㘷㙤㐵挴㙡㐴改㔱㍣㐵㙥昶〹㜴搶搱戰㜶摥ㅡ戹㈹㐸㕡攳ㄸ㘶㘲ち挲昴〶慣㕥㙢㘴改㤶搰戱挰攸㜱〴㜲挷㔰〴㘰㍣〱ㄳ〸攰ㅥ㈲改慣晢㐰㑢㜷搶㘳㥤㘴戰㝢昹敥换㘴ㄳ㤹散㌴〰㌲㍢㉢户昰㤸捥㍡〹㤰㥦㜴ㄳ挱㡤㍦慢㔱㡥㥥捣捣ㄷ㐳ぢ㜴搸晤㘰敤㥣愲戳㤱㑣㈸摡㥦㤹㈰㌷昹㥣〳慢挷〰つ㤶愲愹挰攸㘹〴晥㉥ㅡ㌰㥤㠰〳〸攰敥愲户㤱㌲㝥㈰戴昴㑤挴㘸散慣㘲㡢挹戸㠹㌸ㄸㄸ摣㐴晣摥挹㔴㉣收㈶攲㄰㠴昵愱㄰敡㜲〰㥣㤶㝥㌸㐱㑥㑢㕦㠲攸㡥㕢晡ㄵ㐰㙣㜰㑢扦ㄲ攰ㄵ㈸〱㙦戱㔸㠳㐰㑢扦ち㜱㉢ㄹ㈷㐷昶㤶捥捤㐸愶愵㜳㕢㄰㙢ㅢ㙡改搷㈰㘲㌵愲昴㤱㍣㐵敥㔹ち戴昴㙡㔸㍢㜷攳昵㐸㐶㐷改ㅡ㘶㘲ち㡡㈹㙥㙥昲摣〸㥢攷挶㕡㘰㜴㡡㐰㙥㝣㡡〰搴ㄱ㌰㡢㠰愵〰㐸㑢㥦つ㉤摤搲㙦㜱㤲挱敥攵㕢捦㘴㐷㌱ㄹ㌷㈵㌹㡥㙡㈰挸㜱ㄴ户㉢㜵散㈸敥㘵摡㘰㐷㜱捦搳ち㤴㠰捤㠴慣㐱挰㔱摣ち戵㈱㡥㝡〰㌸攳愸㌵〸戱戶㈱㐷㍤㠸㠸搵㉣㘵㉥㑦昱㈱㘸〱㐷戵挰摡戹愳㔶㈰㤹㌸慡㤵㤹㤸㠲㘲㡡㝢慣㈲晣搰〶㡣㙥㈷㜰㔵㌴㘰ㅥ〱昳〹攰㡥㉣㜱搴〲㘸㘹㐷㜱㑦㤵㤷㉦散㥥愳ㄶ㌲搹㈲㈶㝢ㄶ〰挷㔱挷㄰攴㌸㡡扢愶㍡㜶ㄴ户㔴㙤戰愳㥥〳㜸〵㑡挰户㤶戰〶〱㐷㜱㐷搶㠶㌸㡡㕢戳㡣愳戸㐹㡡戵つ㌹㡡ㅢ户㔶戳㤴ㄳ㜸㡡摣挱ㄵ㜰搴㐹戰㜶敥㈸敥昴ㄲ㐷㥤捣㑣㑣㐱㔸搲〱慢㐷㈸㑢户〳攳㈹挰攸㔳〹㝣㍤ㅡ㜰ㅡ〱愷ㄳ昰〶〰攲愸㌳愰愵ㅤ挵慤㕤㕥扥戰㝢昹㥥挹㘴㡢㤹散㈳〰㌲慦ㅤ㥦挰㘶慥ㅤ㘷〱搲搳㝣㘵㜹攷㌷㝡㥦㈲搹㙡㤴愱捦㘶挶㥦㐱ぢ㕣㌷㝥〷㙢攷昴㝣㡥㘴㐲捦戹捣〴戹挹㠷晢扦扣搳愰挱搲㜳ㅥ㌰晡㝣〲戹㌷㉣〲㜰〱〱扦㈷攰㑢〰摥㐶捡昸㠵搰㥣敢㐶㘹搴㜵攳㈲㘰㜰摤攰㤶㌱㉦㔳戱㤸敢挶挵〸敢㑢㈰昰敤搱㘱昲㜲㘰㌳攴㕤ち挸㑦扡昰㘲つ㥡㈱昰㌲㘶捥㉤㘱〱〲㉦㠷戵㜳〲攳㐸㐶㡡昴ㄲ愹愱㔱㔴㔷㔸扤㔳㜱〸扣〲ㄸ㝤㈵㠱昹搱㠰慢〸昸ㄳ〱ㅡ〰㈱昰㙡㘸づ㠱攵㔱〴㕥ぢっ〸㉣㜴㌲ㄵ㡢㈱昰㍡㠴昵昵㄰㡡摢挳㥣㘱攲㐶㠲㥣㘱㘲㑢㐴㜷㍣㑣㙣〵挴〶てㄳ扤〰㕥㠱ㄲ戰㌱㤷㌵〸っㄳ㕢㈳㙥㈵攳攴挸㝥攱摤ㄶ戸㔵挴挸㍥㌱搶㌶㌴㑣㙣〷挸㙡㈲㤶昱ㄴ户㠷ㄶㄸ㈶㙥㠵戵㜳㌷㜲戳ㅢㅤ愵㤷㌳ㄳ〴攴戳㈳慣㥥ㅢ㘱昳晡挱㙤挰攸㍦ㄳ搸㈷ㅡ㜰㍢〱㜷㄰挰扤㜱㌲㑣摣〹㉤㍤㑣散散㈴㠳摤换昷㉥㈶扢ㅢ㈲㙦㄰〰ㅢ戶ㅦ㡡ぢ㌲ㄳ捥㈶㌵昹㥡挷㑤敡昶㙦㑦㌶攰㈷㥡愶㘰㤳㐴ㅢ㑤扦㠶昵戱戹㘶慢㑡愷㡢挸攴ㄴづ㥢戱㍤捥㉣㤳㠳攰㠲㌳㝢㙥昲慤㤶㍦㙦㉢㑢㐱摥㠴ㅦ搶慦摦戰㔲搸㈲㠲摦㌳〹㈷挱㜵㕣攸㔵㡡愰㌴㥦㝢攱㍤慦昹攴㜱晢㐵〷㙢挷㌳昶㝡㌰㔹㑦㝦慤㉢㔷㌵て㘸挰㑡挵つ㔸㐲㝥ㅦ㑢攵㍡㜲愹挳晤戶づ㜱㘴㤸㔷〹㙢收ㄳ㜷㘸〱㌲ㄲ㘰ㄳㅢ㤷㈲㑦㙢㕢搸㠰攵摦っ㜲昵愰〹㜱扤慢㠹㐶昵㥡㕢㜲戱㜱㉦昳㥢㙥搳㘹ㅦ㐰㔶摤㌶换昸捥㝢㐹挶㤸ち搴㈶㙦っ㈸捦㥡㥥㘷攰戳捣㌴㍣攲て愰㡡㥢㑤慡慦㘹㘹㙥㙤慥㙢㉢㥥㠶㑤っ挵晣ㄵ㠴㍡㙣㘷ㄹ㤹㔷㠵ㅣ㈳换攴㠹攵㌶攱㐴昲攴ㄱ扤㘰㑥㔳昳晣㈶愹㑤㕥㉢㝦っ㐲昸敡摡㤵挵㜰㤳㡢ㅣ㝤挰㘲㘲て㔴㤴ㅢ㌰昴㐳挸愲戰㈸戱㈷㜴ㅥ㠹扤扣挰㌰㉦戰户つㄴつ㐷㠰戹㤰昷㕦昴㐸㜰捤㌰㑢㠹㍦㡣摡㙣㔲㌵㙡㘶昰㠷搸攲㉢㘰敥づ戳慣敥㥣㡡摦㔱㠸慦㠴愵〷㉣捥晥㠴挴㐸㥢㡢㝥〴㤱扡㌷昲搳挵㄰㑡ㄶ戹㔲㕢〳㍢ㄹ㘱㔱㙡っ㈴ㅢ㡦摡〳攴搲㘵㌰挶攲㡦〲㤲搵て㙡㈸㘰昴㐵㤰换戱挸㐵戸㝣ㅣ㠹挱攵㌸收捡捣㥥㠰摥慦㙡㔴搵搴㤹搵搵愵㜵戵㤵愵愵攵㐳㠶っ㉡慦㑥㈶慢〷㈵慢换捡昱攳㝥㜵昸挹㤱㤲摡愱㠹昱㌶㡤㝥ㄲ㘹ㄲㄳ㍣㙤ㅤ戵㝤㍣㡤㜱㜹㤳愰㜵㍡挴搸㜵慡挰挷㔴㌵搶㤸搴慡㔴㙥搷慥愱㉤愸挱攱〶㑢㔸㘵㘸攲挰ㄴ㡦㔳收㤵攲㘴㍢ㅥ㍤扣㐴㍣㘱扦㕤㌳㌱㉤晡ㄹ㔴㐱㍦ぢ㔱㤰㤸㡣㡡攳㍦摥愶搳㐶㤷㙡㝡㌱㌱挵戳㍦㑦ㄳ扦敤㔸㝥㤶㑣敤て㍢慦ㄳ〵㙡㔷搴㠲攳ㄸ㔳㥢昱㘸㉡㠲戲昹敢㈵愴㔱〷㐰㤳搲㕥愶〶㄰㠱敡㈰㐸㜱昰㑥㐸㥡㜶昰慢㠰㘴㜷㜰㕦㐰挳づ㍥ㄸ㌹㠹㠳㕦㐷㘲㌸昸㄰收㡦㈳㜱愸ㄷ㌸捣ぢㅣ㙥〳㐵㌳㄰搸㌸㥤攵〸攴捣㔲㌲㜹㥣改搹摦㐶㉤攵㌷搹㌴扦㥤㔷㈵㘱㌷㍣㙥ㅢ攲戱ㅡ㜱挲攳㝢㘴㉥〵㑤㜸㝣㥦ㅡ搲㐲㡦愹㔹㤰挲㘳㉦㠷㐷㑤ㅥ㌹㌶愹㉤㈳㈹㥢㡤㐴㐲搹㐷挰㠱戲㝡㘶㠵㈳㜱㤴ㄷ㤸攳〵ㅡ㙣愰愸ㄱ㠱㡤㐳㔹ㄳ㜲㘶㈹㤹㤴㌵㝢昶捦㔰㑢昹ㄵ㍡㕤〶㤸㍡ㅡ㜶㐳㔹㔱㠸戲ㄶ挴〹㘵㕦㤰愴㜶㘸㐲搹㤷搴㤰ㄶ㝡㑣捤㠷ㄴ捡扡㐷㔲㔶㄰㐹搹〲㈴ㄲ捡扥㌵㤴㉤㘴㔶㌸ㄲ㡢扣挰㙦扤挰㌱㌶㔰㜴㉣〲ㅢ㠷戲攳㤰㌳㑢挹愴散㜸捦晥〳㈹摢㠳㠸㑡〸㜵㈲散㠶戲㥣㄰㘵㈷㈱㑥㈸㕢㑦㤲㑥㠵㈶㤴昱愷㑡搲㤴㥤づ慢㔰戶晥㝢扦户晡慤散扦戰㠶㍢收ㄹ㐸㈴㤴攵㈲㉢戴戲㌳愱昳㐸㉣昶〲㘷㜹㠱戳㙤愰攸ㅣ〴㌶づ㘵扦㐳捥㉣㈵㤳戲㜳㍤㝢㍥㙡愹㐷㄰㌱ㅣ㐲㥤て扢愱散㙢㥣㕤㜰㠰扢〰㜱㐲㔹㜷㤲昴〷㘸㐲㔹愱㑢搹挵戰ち㘵㕦㐴㔲昶㜹㈴㘵㤷㈰㤱㔰戶㠹愱散㔲攸㍣ㄲ㤷㜹㠱㍦㝡㠱换㙤愰㘸〹〲ㅢ㠷戲㉢㤰㌳㑢挹愴散㑡捦扥㌹㈹ㅢ㑢挴ㄸ〸昵㈷搸つ㘵晦っ㔱㜶㌵攲㠴戲㕥㈴改㍡㘸㐲搹搶搴㤰ㄶ㝡㑣摤〰㈹㤴扤ㄷ㐹搹㍦㈲㈹扢ㄱ㠹㠴戲敤㤱ㄵ㕡搹㑤捣ち㐷㘲愹ㄷ戸搹ぢ㉣戳㠱愲㕢㄰搸㌸㤴摤㡡㥣㔹㑡㈶㘵换㍤晢㡥愸愵晣㥡愴摥ㄷ㌰昵㘷搸つ㘵慦㠶㈸扢ㅤ㜱㐲搹㑥㈴改㉥㘸㐲搹捥㉥㘵昷挰㉡㤴扤ㄴ㐹搹ぢ㤱㤴摤㡢㐴㐲搹〰㐳搹㝤搰㜹㈴敥昷〲㝦昱〲て搸㐰搱㠳〸㙣ㅣ捡ㅥ㐲捥㉣㈵㤳戲㠷㍤晢敥愴㙣㉡ㄱ晢㐳愸㤵戰ㅢ捡㥥づ㔱昶〸攲㠴戲㌲㤲戴〶㥡㔰㔶敥㔲昶㈸慣㐲搹㤳づ㘵昱㈱㠰㘴扦昳㜸㍣㤲挷挷㤰㤳昰㌸ㄴ㠹搱昴ㅥ㠷捥㈳昱㠴ㄷ㜸搲ぢ慣戳㠱愲愷㄰搸㌸㍣㍥㡤㥣㔹㑡㈶㡦捦㜸昶扤㔰㑢昹ㄹ㔱㝤㄰㘰敡慦戰ㅢㅥ㔷㠶㜸晣ㅢ攲㠴挷ㄱ㘴敥敦搰㠴挷㤱搴㤰ㄶ㝡㑣扤〸㈹㍣㍥攴昰愸挹愳摣㜹㍣㄰㐹搹㑢㐸㈴㤴㡤〱づ㤴扤捣慣㜰㈴㕥昱〲慦㝡㠱搷㙣愰攸㜵〴㌶づ㘵㙦㈰㘷㤶㤲㐹搹㥢㥥㝤〲㙡㈹㍦㥣慡㘷〰愶摥㠶摤㔰㜶㘷㠸戲㜷㄰㈷㤴㑤㈲㐹敦㐱ㄳ捡㈶㔳㐳㕡攸㌱昵〱愴㔰昶㘷㤷戲昴捤摡昲㐸捡晥㠹㐴㐲搹㔴㐳搹㠷捣ち㐷攲㈳㉦昰戱ㄷ昸挴〶㡡㍥㐵㘰攳㔰昶ㄹ㜲㘶㈹㤹㤴晤换戳ㅦ㐸捡㙡㠹愸㠱㔰晦㠶摤㔰㜶㐳㠸戲㉦㄰㈷㤴ㅤ㑡㤲扥㠶㈶㤴ㅤ收㔲昶㉤慣㐲搹戵㤱㤴㕤ㅤ㐹搹㜷㐸㈴㤴捤㌴㤴晤〷㍡㡦挴昷㕥攰〷㉦昰愳つㄴ晤ㄷ㠱㡤㐳搹晦㤰㌳㑢挹愴㙣扤㘷慦㈱㘵㐷ㄱ㔱て愱ㄴ敦挳愸搵戹㐴㜰㌹㤷㄰㜱愹㑢〴㥦㠸愵扢㕤ㅣ㐹㐴㉥愲㠵㠸愳っㄱ㜹㌶敢昸ㅣ攸收攱户㌶㔹㔶㕤㔶㤱ㅣ㍣戴㈲㔵㕥㕥㔱㕥㤹ㅣ㔲㥢㑡㔶㈴敢㉡㔳攵㜸晥慤慥㑥挴㙤ㅡ摤㠰㌴㠹慥㥥搶㐸㉤摦搳ㄸ愷扡㐱㥢㠴㤳㔲攷愳㌲㝣㌸挵㤴㍡㕥㜴㈱㑡ㅦつ㔱㤰攸づ㐰ㄴㄳ㕣摣㈵昶㜶挱㑡㉡〸㔵〴扢㘹㍣㘷㈰挷攰㍤㔸〲㜱搲㜸ㄶ戲攸㥥搰㠴戳㐵搴㤰㤶搹愹捤㘱ㄵ捥㑥㜵㌹㑢昷户㤳㈳㌹摢〲㠹㠴戳攳㤰ㄵ㠶愸㉤㙤搶昱攳愱ㅢ捥㤲㐳㌱㍤㔰㔹㕢㔱㕡㌶戸扣ㅣ㍦㐷㍡戴慣扡戴扡㜲㘸㐹㑤㘵捤㤰搲敡㐱ㄵ㠹慤扣敡㥣㠰㌴㠹㕥㥥㜶㈲戵慤㍤㡤㜱㐵摢㐰摢㌸捤㙥㕢攴ㅣ㐵昶㜶㥥晤㌴㤴㉦扦㙦慣攷㤱慣ㅤ㘰㌷㘴捦て㤱㕤㡣㌸㈱㝢㌱搲㈸㔹晡㠴㈴晡㉣㙡ㅥ搹晤㠰ㄱ戲摢㈲挹㙥㠹㈴㝢㈷㈴ㄲ戲捦㐵㔶㈰㝢㘷攸㍣ㄲ扢㜸㠱㕤扤㐰㝦ㅢ㈸ㅡ㠰挰挶愱㙣㌷攴ㅣ㐵ㄹ㔷㐹㠹晤昷愴散㔸搴㑦ㅦ〳愱㜶㠷㕤㕡摤㐵㤶〸㉡㡡㡢㥣㠴㠸㝡㤷㠸㜴㑦㥤ㄵ㐹㐴㈹ㄲ〹ㄱ㤷戱㠸㍦㤲㡤ㅥ㠹㌲㥢㝦晣㜲攸戶扢㤶㔵づ慥㈹ㅦ㔲㕡㔶㍡㈴㔵㕥㕡㍢戸戲扣愲㝡㐸㜹捤攰戲㈱㐳〷搷っ㉡ㅤ㥡㈸昷敡戴〴㘹ㄲ㠳㍤敤ち㙡㐳㍣㡤㜱慡ㄲ㥡㜴搷㈳㔱㈳㜶㔷㈹晦㑦㠸搲㔷㐳ㄴ愸㍤㍣昸㌵㔰㜹晥晣㈴昶㠴㌵㡡愴扤㍣晢つ捣攱ㄴ㐰昵挹愴㠳㑢㠹㑣扢㍡㄰攵〴㍢昱㜰挴㐹扢扡ㄹ㘹搴㈸㘸㐲攷㌲㙡戶㍣㌵ㅡ㔶愱㜳㥡㑢㘷扡ㄳ敦ㅦ㐹攷ㄸ㈴㤲搳戹つ㔹愱㕤㡤㠵捥㈳㌱捥ぢ㡣昷〲ㄳ㙣愰㘸ㅦ〴㌶㑥扢摡ㄷ㌹㐷㔱㌶搱戳摦㐹捡ㄶ愳㝥晡㑣〸㈵㙢㜱愸摤攳ㄲ戱ㅦ搰㐲挴㜸㤷㠸㜴扢ㅡㅢ㐹〴㔷攴〸ㄱ㝦㌱㐴㑣㠵㑥㙡攳て㐰户愳搹攰㤲㡡搴搰㡡愱攵㤸昹㉣ㅦ㍡愴㈴㔹㕡㔶㕢㌱戸㘴㘸㌵㝥㐵㍤㔹㌶㘴㐸㘲㥡㑤愳ㅦ㐴㥡挴㜴㑦㝢㠸摡〱㥥挶㌸㜵㌰㌴㘹㔲㈳㔰㤹昴ㄵ㘰㈵愲昴㈳㄰〵㠹㐳〰㠸㘲攲㔰捦扥㤶㔸㝥攳戰晣㡡戸㍡ㅣ㜶搳㜸㉡㤰㘳戰昱捣㐰㥣㌴㥥㈷㔸昴㤱搰愴昱㍣㐹つㄹ戰ㄸ㔵つ慢㜰㔶敥㜲㤶㙥㍣愵㤱㥣㜱昹㡢㜰昶っ戲㐲攳愹㠵捥㈳㤱昲〲㜵㕥㘰㤶つㄴ捤㐶㘰攳㌴㥥㝡攴ㅣ㐵搹㔱㥥晤㌹㔲挶敦㈲搶ㄷ㐱愸〶搸つ㘵晤㐳㤴㜱㘹㡢㔰昶㈲㐹㥡ぢ㑤㈸㝢挹愵慣〵㔶愱㙣攷㐸捡晡㐵㔲搶㡡㐴㐲搹㙢㠶戲㌶攸㍣ㄲ敤㕥㘰㥥ㄷ攰㑡ㄳㅥ㐵ぢ㄰搸㌸㤴㉤㐴捥㔱㤴㉤昲散㙦㤱戲㈵愸㠴扥ㅣ㐲ㅤ〳扢愱㙣扢㄰㘵挷㈲㑥㈸㝢㤷㈴㥤〰㑤㈸㝢捦愵散㈴㔸㠵戲慤㈳㈹摢㉡㤲㌲㉥〹ㄱ捡㍥㌴㤴㥤〲㥤㐷攲㔴㉦㜰㥡ㄷ㌸摤〶㡡捥㐰㘰攳㔰㜶㈶㜲㡥愲㙣戱㘷晦㤴㤴㕤㠳晡改慢㈱搴搹戰ぢㄱ㥦扢㐴㜰搹㠷㄰㔱攴ㄲ㤱ㅥ愲ち㈳㠹㌸ㄷ㠹㠴㠸慦っㄱ攷搹慣攳㕦㐳户㔷扤摡扡敡㘴㐵㑤敤愰摡戲㡡昲挱㘵㤵挹摡攴㤰敡搲㤲戲㥡戲㔴㐵挹愰㘴㐹㐲搶㠵戰㜲摦㈰㑤攲〲慦㜲摦㔲晢扤愷㌱㑥㕤〴㑤㠶愸慥愸っ㠷㈸㌹敢敦ㄱ愵㝦㠰㈸㐸㜰挵㐷ㄴㄳ㤷㜸昶昵挴㉥㘵㘱㌷㤱㠹换扣散㜳昰敡㉤㍤昰㕣づ慢㌰昱摦晦㌸㌳愶㘹㈶㝥㠰㌵㍣㘳扡〴㠹㠴㠹㌸戲挲挰挳ㄵㅢ捣㌱摥ㄵ扡㘱愲㙥㔰㐹㜲㌰敥㍤换敢㜸扢㕥㔲㕤㔹㌹愸慣㜲㘸㙡㐸㑤㔹㐹㕤㙤慡扣㈴㜱愵㔷㥤㝣愴㐹㕣攵㘹㥡摡㥦㍣㡤㜱敡㕡㘸挲挴搷愸㑣㝡戰敥㡥㈸㕤〸㔱㤰戸づ㠰㈸㈶慥昷散㥢㄰换慦㉤搶户㤱㠹ㅢ㘱㌷摤攸ㄳ攴ㄸㅣ慣㙦㐲㥣㜴愳捤㔹昴㌲㘸搲㝡戶愰㠶戴㉣㐶㜱戱㠴㜰昶愱换㔹㝡戰晥㈰㤲戳攵㐸㈴㥣㙤㡤慣挰搹㙤搰㜹㈴戸㐴㐲〲户㝢㠱㍢㙣愰攸㑥〴㌶㑥㌷扡ぢ㌹㐷㔱㜶户㘷摦㥥㤴昱ぢ㡤㌵扦㌶㌹㜱㉦散㔲晢摥㔲㝢㜵ㅦ㜴㈱㘶㐷攸㍣愸㈴敥昷㔰㝤〴㤵挷搷挲㝢㘶晦挲㕡攷戵敢〰扣收挷㌷昰愵㙡昱㡤㔸昸㠹敥戶㠵㘳㥡摡㕡戸㌴㌹搶〵摦㠸㘵扥㤰㈷㌷㘷㡦㥦㤷ㄷ摦㐷㙥㠷慣昸挹㝢つ摥昹扦挸㠷攷改扦愱㘴㡥㍢攰愳晢攱㠴ㄵ摦ㄸ昷愵昶ㅣ㠵晦㐵捣㉦愲挸㔷戱ち㌸昴㠳㤸㉦搸㠸捣㥦㔱㑥慣昱㠸ㅣ㘰攸㝥ㅣ㍡挹㔴捦㈳〵捦㐰ち晤つ㈲昳昸㍡㌷昲扢㉡捤摢敦㘹昸晥戱搴挰慡㔱ㄵ〳挷㉣愸㐹㌵㔴攱㍢㐱昱敡ㅢ〹㘳㥢㌷㑥㘸㐵㄰扦㠷㍥扤㜹愴㝣㕢㈵搷㌲㙣攲扤ㅤㅦ攰晤ㄶ㝢㍦摦攲㝤㈱慣㤷㙣㑡㑢㍡ㅤ㝥㕣ㅣ慢晢ㄱ㌱㠰扦摣扥戹慦㌹摦愲戴㡤㙦挵㌷晦挲换愹㕡㉦挷㔶㑥㈷攴㜴㔱㤱摦昴㘵㝦㌵ㅢ㍦㌰敡㘵㌰愶愹扤㤱ㄴ㙣ㄳ昱攵㘷愳敡摢㘴ㄳ挲戶㠸㔷晡〹搰ㄳ摦ㅤ攷ㅢㅦ搶㜷㘴摦搲㤲扣㘷挱摥㑦㈸㈵攸㙦㤶挹〳㍦㌰㠳㉣搵㍡㘴捥晣㘸㉡㝡〶ち㐶摣捣㠵つ㥦て㘷㉣㡥ㄱ㈲㘳昹昶㙦㘲㐴搱戳㕥㡡ㄹ慡昷〵㈳昳摥㍡㍥昳晢挱㈵挵㡡ㄶ㤳㘲挴戹㈳搴昳㐸搱ㄷ㔶搳挲㍥㘲攸敦㄰敡㐹㔴㈲戲㠵㍤㘱㈳㐲㍦戹晡ㄲ㜲㤲づ㕣挱戶挰㍣昰㐹扣っ慢㜴昳愱戰ㄶㄶ愹搷愱㑢扢㝢ㄴ昹愴摢摤ㅥ㍣昷户ㄱ搵ㄷ㘹㌲ㅢ晢㈳搹慡戲搲㐶㠴㝥换昴㍤攴㈴㔵ㄹ攱㔶攵㝤㔸愵㉡㈳㑤㔵㍥㠲㉥㔵㜹挸慤㑡ㄵ慢挲昷慥㝤㈳慡㜲㕦戶慡摣㙢㈳㐲㍦ㅡ晡〵㜲㤲慡㑣㜰慢昲㈵慣㔲㤵㝤㑣㔵昸㙡㔵慡㜲㤷㕢㤵㠹慣捡て㠸敡ㅢ㔱㤵摢戲㔵㘵戹㡤〸晤㍡愷扣攵㘴㑥㔳摤慡戰㠵㐹㔵愶㤹慡昰㤵愵㔴㘵㤹㕢㤵〳㔸ㄵ扥㈷㡣慡捡つ搹慡㜲扤㡤〸晤っ愶扣㍤㘴㔵づ㜳慢挲户㠸㔲㤵挳㑤㔵昸㉡㔰慡㜲㡤㕢㤵㈳㔸ㄵ扥㝦㡢慡捡ㄵ搹慡戲挴㐶㠴㝥㙦㔲摥捡戱㉡戵㙥㔵戶昶慡㤲㌲㔵攱㉢㌶愹捡㘵㙥㔵㘶戱㉡㝣慦ㄵ㔵㤵㍦㘴慢捡㠵㌶㈲昴挳㡥昲戶㡢㔵㘹㜴慢挲户㕥挲㑡㤳愹捡〰慦㉡攷扢㔵㤹换慡昰㝤㔱㔴㔵捥捥㔶㤵戳㙣㐴攸ㄷㄴ攵㉤ㄲ慢㌲捦慤ち摦㈶㐹㔵收㥢慡昰敤㡦戰㜲㠶㕢㤵㠵慣ち㕦戹㐴㔵攵攴㙣㔵㌹挹㐶㠴㝥㥡㜰〴㜲㤲ㅥ㜴扣㕢ㄵ扥㤰㤱慡㥣㘰慡挲户㉡㔲㤵攳摤慡㥣挴慡昰㔵㐶㔴㔵ㄶ㘵慢捡㐲ㅢㄱ晡つ㐰㜹挱㐱㔶捥㜰慢挲ㄷㅤ㔲㤵㌳㑤㔵昸戶㐲慡㌲捦慤捡㔹慣ち㕦ㄱ㐴㔵攵攸㙣㔵㤹㙢㈳㐲㍦戶㜷㈸㜲ㄲ㔶捥㜷慢挲ㄷ〸㔲㤵ぢ㑣㔵昸ㄶ㐰慡搲攸㔶攵㐲㔶㠵㔳敦㔱㔵㤹㥤慤㉡戳㙣㐴收慦摡㈵㌸㔹㉦㠵㕥㘶ち攵㡣扢ㄴ㥡㜲ぢ扤㥣㠵㜲戲㥣户ㄷ㑡捦㐱㈸㝥〵㙣㜲ㄵㅤ㌴㔴㈵〱昶慥㝣〵晡㉡愲㌹搱敥㤹㡡㌸㤹づ愳㝣昰挷㍢戲㕦っつ㘲戳ㄱ㐵㥣㠱㤷㤴搹㉥㡡扦摤散搶㜱㙦㉦扡㜶昸扤摢㥦晡昱晥昷摥㍡㝣㘲挵㤹㈳㡦㝣敦戶攱㡡㤳昲㍥㐷晥挵昱昰㙣ㅣㅤ㘶㈳㐲㍦㝣㈷㔳昵愸㤱扥㥥㌵挱㐱摦㈵ㄶ㈱㝦㘱敥〶㔸㜱㜱攴扣扢㌰㜷戰换摣㑤㠸㔴㈷㈰捡㌰挷挹昸昸捤戰攵つ敢㍢慥敦愰扣改挰㜶㜴晢㌱戶愵挶扤挹㘱挱晥敤愶㝦晢㜱ぢ㑢攱㌴㍤昳㤳ㅡ㜲㤶摣㍦㝢晦收㜳㡡㍤挹搰捤攷㘴ㅢㄱ晡㔵㍢㤹㍢㐷㥥晡づㄴ㈲㜹㐳㈴捥㐲晥㜲昶㜷挲㡡戳攷㐴戸㥣晤扥挸㈷㝤㙢㜰㌷敢挵搹攷愸慡㡣捤㔶㤵㌱㌶㈲昳攷攳ㄲ㥣慦㤶㐲ㅦ㌰㠵㕥收ㄵ㕡㘵ぢ㤵㘷㤸㠷㔸㈸愷愲愵㍥㈳摤晡慣㘰ㄴ㘷㤱㡤㌷㌸㍦ㅤ㝦〴㌶㜸〳㜷㠳㙡ㄸ戰㕥㥢㉤搰慢〹收〴戴㘷㉡攲㈴㌳㡢㐰㠴㝢昸捤戸㠸㌳搰㠲挸搶㕣ㄳ摥愴戴㕥㠳㕣昴㕡㡡㐷㔹㄰愷㥦㝤㤶晣收㍡搸㤲ㄱ㜲㔸戹㡤〸晤挶摣捤挸㐹㐶㤷愷㙣㍤愵戹㜲㜲㕡戸㝢ㅡ㔶㌸㡣㌳捣㐲搰㈰㤷愰㘷㔹ㄵ㑥敢晡㔵昱摢捥㙥搹慡㌲挰㐶㘴晥㤸㕢㠲ㄳ挱㔲攸ぢ愶㔰捥收㑡愱扢扡㠵扥挴㐲㌹ㄱ㙢扣挲㈹摥昸㉢戰㤹搱愵㐲昵〳搸昳㐱㠱㝥㡤㘸㑥攲㝡愶㈲㑥搴挲㤸摤㉤挶㔹晥慤戶搱㌱扡㜰㜶㔷㔲㘶㜳㤷㐱昶ㅦ㘱晥づ戴㝦㑢㐶㈸㑥昸晡ㅣ昹敥㉡捥挶搱づ㌶㈲昴㝢㙦㌲つ㡣晣昵㍢慣〹づ㜱搷㤳挸㕦㤸晢〷慣㜰ㄷ攷㜴㠵戹㙤㕤收摥㐳愴攲㐴慡㕦ㄵ摦㕤㕢㘶慢捡ㄶ㌶㈲昴挳㙡㌲扤㡡ㅡ攸㡦摤慡㜰㥡㔵慡昲㠹愹ち攷㑡愵㉡㍤摤慡㝣挶慡扣㤵愵㉡㍤戲㔵愵搰㐶㠴㝥挱㑣愶㉤㔹㤵慦摣慡㜰晡㔲慡昲戵愹ち攷㈰愵㉡〵㙥㔵扥㘵㔵㌸昱ㄷ挵㑡㕥戶慡攴摡㠸捣㥦ち㑢㜰慡㔰ち晤慦㈹㤴昳㝤㔲㘸㡥㕢攸㝡ㄶ捡愹㍡搳㠸㌹〹ㄸ㔷晣㥡㙢づ㉤㠳㑡搵晦扥㜳ㅢ㜱ㄷ挴㈸㑥昳愵ㅢ昱昷㔰昰㝦挳ㅢ㜱ㄱ攷晤㈴㐵挷㡤昷扢攱摥慦㡣㈸㑥〱晡㥣昸㡤昶㍦愸㕢攴昳攲㜷㌶㈲昳搷挳ㄲ㌹㌸㕢攱㐴攳㐴搰㍣㌹昳㈷㥣㝣㠳ㄴ改攱扦ㅢ捦㤲㤳㜶㠶ㄳ㑥〷挶ぢ搳㥣㤴慢㉦〲㥣ㄴㄱ捤〹扦㌴㈷㥣搴挳晦つ攷〴㔸ㅣ攸搸㠵㕥捡㙣摣ㄸ㑥㍥ㅣ㡥敤㐵㌸㍥ㄹ㝥昴戰㠲ㄷ慦㤹晢改㜰挵挹挱㈸㡥㍥捤挶搱㈷㌶㈲昴〳㘳㌲㘵㠸敡攸捤㜱㘲㍣愴㘳㜳敡㔰㤸摢〲㔶㌰挷昹㍦㘱敥㐳㤷戹慤挸〵㈷摤晣慡昸ㅤ晢摤㙣㔵昹㠷㡤挸晣㈵㉦挵㘹㍡㈹攴ㅤ㕢挸㈶愸㑥㝥㑥㤷挴㡥戶㌶㠵㠹㍣㑥搲㐵摥㡡挸て㙢っ㌴扦㍦㠰摤㈳愹㔶㌱昰㠷㠵昲敡㌸㐷搴慤㡥㥢㑡㔲昲㈳〸昲攳㑤つ戲㔹愴㍢㝥㡡愰㘵㑥慡㘵㈲㝥㕢〳㍦㐰㌰慤扥搱㙥挰挰㙦㙥昰㉢戲扤㉦扢搷愲㜱㔲㉥㕥㌷愵〵摦㝥摦戵㙥㐲㉢㝥挱愳㌶扦㜱扦㘴㕢㕢慡愵改搷戰てぢ摢㜷㜲㌹晦㠸换㍢㝦㜸㉢㈷㜲攷っ户挴㘴㝥㌹扥昳㌳㈵㍥ㅦ摥捦搴攴昰ㄷっ㝥摥㉥慣昸づ㘸㈲晥慦搹捦攳㝣㕢㙢㡥㝡ぢづ㤶ㄹ晡㡦㑢㝢挹㥤㈰扦㠶㐴昷〶㔶㘶㈰㤵㥣〳扥㘴㑢昷愱㘹㉤㉡㉣㈲㤶挷㈹换捣㤳攲ㅥ㈶㝥改㑢㉣㙦㝥㝤㙤摢散昸散㔴晤慣搹㙤搸慢搴㡤㘷㝡挰愵昷㡦㠸㤵捦ㄸ愹㌸㉢挹搶ㄳ敦㠷㍣搳㕦ㄸ㕦敢㝣㘱㝣慥㝡挵慢㔷散㠴㤸㕦慦㥤㔹〹㡥㐳搲㌷㈰昰捤收㝥㥤搴㙦㤰㈹敢攵ㅤ戹㥣㘶敢㘸㤲㡦户㕥㕤ㅢ㘷㈶㕢㕡㤲ぢ昳ㅢ㘷㌶愴㥡㘶戵捤捥㥦㌹て戳㥡昸摡㝡ㄴ㤶㥦㥦慦晢攳㉦㑦㡡㥦〴攷扢搸ㅤぢㄳ㡡㤳㕣㍣つ㑤㘶㜳搴昳㕥㡤〳㑣晥㠶㌵㘶㔷昴㤹摣㥤愶戵㌰ㄹ㈶ㄵ攷挳㔸㙢㡦㥦挴〸㈸戶っ捥㕥㌹㘵㍣ㅤ㔹㐶㔹戸㡣挱ㄹ㘵㔴㘵㤶挱ㄹ㉡㕢〶愷愵㥣㌲ㅥ㡢㉣愳㌲㕣挶㥥ㄹ㘵㜰〶㉢㜰ㅥ㥣㝡戲㘵㜰扥挹㈹攳㤱挸㌲㠶㠷换ㄸ㤹㔱〶愷愶〲㘵㜰㑥挹㤶挱㠹㈴愷㡣〷㈲换ㄸㄳ㉥㘳㕣㐶ㄹ㥣㜳ち㤴挱挹㈲㕢㐶㉡㔸挶摤㤱㘵散ㅢ㉥㘳㔲㐶ㄹ㥣㑣ち㤴搱攸㤷挱愹ㅦ攷㍣㙥㡢㉣㘳晦㜰ㄹ搳㌲捡攰㉣㔱愰っ㑥敦搸昳攰㥣㡥㔳挶搲挸㌲づち㤷㜱㐸㐶ㄹ㥣晥〹㤴挱㜹ㅢ㕢挶〹挱㌲慥㡤㉣㘳㐶戸㡣㤹ㄹ㘵㥣㤴㔹〶㈷㘴㙣ㄹ㥣㠵㜱捥攳㡡挸㌲㙡挲㘵愴㌲捡攰㠴㑤攰㍣㌸搳㘲换攰昴㡡㔳挶㈵㤱㘵搴㠷换㤸㤳㔱〶㘷㘲摣㌲ㄴ愷㔰㤸㜱扣ㄱ㐸㜷㔷㝤㜰㈸扣挰㉢㌰㌰ㄴ㌶㌳昷散㐳㈱㘷㘰㔸㤸㜷愸慢愰㜰㌸搴㉤㐸㤸ㅥ捥㌸㐳㘱㑦㤳搳ㄲ捥㘹㥥敤㤵ㅡㄸ捥摡㔹㙡㜰㌸㥢㑦搳㕡㝦㌸攳っ㐶攰㌴㙦㠱㐱㑡㕥攸㤶捣搹〱㕢㌲愷〴㥣㤲㑦㡤㉣昹㤸㜰挹挷㘵㤴捣搹㠳㐰挹㝣散ㄷ㠲㑦〰搲晢㜲慦㈰戹挷㝢㠵〵挸㍤㠹㌹㘷㈵㌷㡦㌳〶ㄵㄹ㉦ㄳ㠳摢ㄸ捤ㄷ㠹挹㔴捣〰ㄳ戶扢㈱昹㈵搵捥㤴㡣户㐷㔱慤戰㜵㑦晢㡢戳〹挲摡愹愸㡢攷慦扣㌵戰㘶摥㌱㘴㉤ㄹ㔸戴㉤愹㠴㙥ㅣ㘳㝦摢㈹慦ㄱ㌷㔲搵昹搴ㄹ挸㙢㥣搶㤶㥡摢慤搱㔴㤲㜷㔵㔲㠳㕣晣㌸㕢㍣㕥晥ㄳ捦㌱扤㜳㤳愷㘵づ㙦慥攳扢昵㘵㜲㍣㌷摣搸扦戳ㄷ昵敦搶攷㉤㠲ぢ㝥㔶㐹㔹愸攴ㅣ〹㜹戲挷〸昳搷㉢昰慤㔰〵搴㐲㔴㠰㤵㘰㝥㡡㤳㉢㝥敡晣㜴㙡昳〰昰㜸㌸昵〲㈷㜵攲㈹愴戶慤㥡昳㈶㑥慢㥥〷㔸昸㐶敢㉣㌶戴㘰㝦㍡㠷愶戵愸㡡扤㍤攰ㄴ㑢愰㔵㜳㙥㐴㕡昵戹㐰㘶ㅦ㌶收㝡〵〶㕡昶昹捣㍤㙢换㔶㥣㕡㘱㘱摥愱㌸㝢㈲捤昰㐲㈴昴㥡㘱攲ㅤ㔸敤㘹晥〳㐱攷㌴㡦昲㑡つっㅢㄷ戳搴攰㘹㕥㑡搳㕡晦㌴摦㐳㍥敥㘹㈶㌸愷㘰换攰㐴㠲㔳㐶㙤㘴ㄹ㑢挲㘵㕣㤹㔱〶攷ㅣ〲㘵㜰戲挰㤶挱ㄹ〲愷㡣㈳㈲换戸㈶㕣挶㜵ㄹ㘵㜰㌲挱㉤㐳㜱ㄶ㠰ㄹ挷㙦〰搲晢攲㤹攰㈰㜴戰㔷㔸挰㔵㌷㌱攷散慥攲〴〲ぢ昲づ挵㌹〲㜱搵㌲〴㍣㔷㈹㍥㜰㑢昱户㈰㤰扤戵㑣㡤慣挲㜲愴改愰ち㝣㕥て㔴愱〸〶愹挲敤〸㜸㔵㐸昰㜹搶戲捣㠷㔸㠷攵㠹㕥愹㠱搶㜲ㄷ㐰ㄹ慤攵ㅥ㥡搶晡慤㠵捦扢㉥换㜹㝣㘲挹ㅣㄸ戳㍥㑡戱愳晦摣㙦㠱㐰㌹㡡捦㐲捣㐳摦㙦〳㌲㜲昰攱㐴ㅥ㥣晥㠲㐰ㄱ㥦ㅡ㘸捥攷㌳㠶晡㡤ㄷ昷〰捤扢摢㌸晤愰つ㐸㝡摥挶㑢晡㠷㘸攵ㅤ扣㤴昱戰㡢攱㙤戸㘰㔶搰捡㍢㜰挱慣㜴㌱扣㡤ㄶ捣㈳戴㡥昴㌰慢㕣っ㙦㠳〵戳㥡㔶摥〱㑢㍥㙢㕣っ㙦㘳〵戳㤶搶㐹ㅥ收㔱ㄷ挳摢㔰挱㍣㐶㉢敦㐰㈵㥦挷㕤っ㙦㈳〵昳〴慤扣㠳ㄴ捣㤳㉥㠶户㠱㠲㔹㐷㉢敦〰〵昳㤴㡢愹昱㌰㑦搳㥡昲㌰捦戸ㄸ摥㠶㐹㍥捦搲㍡挷挳晣搵挵㌴㝢㤸扦㈱㔰挴摢㈱㤶㘵晣挴晢ㅢ㐹晦ㅣ捤扣戵㤱㝡㍣㙦〳㔴㡡㜸ㅢ攳愷攰㝤㠹愴昸㍢捤扣㈵㤱ㄴ㉦搸〰ㄵ挵摢〹挱扣㠸㐰搱愹㌶捡㤴㜸㤶ㄷ昷ㄲ捤攷搸㌸晤戲つ㐸㝡づ摡㤲晥ㄵ〴㡡㌸ㄲ晢攵㕦散挵扤㑡昳愵㌶㑥扦㘶〳㤲㥥㐳愳愴㝦㥤㔶㡥㡡㌴敢㌷㕣捣㌵ㅥ收㑤㕡慦昳㌰㙦戹ㄸ㡥㐸㤲捦摢〸ㄴ㜱㤸昱敢戱摣㡢㝢㠷㜱散晦㝥ㅣ㍢戴愴晢〷捤昷搸㌸晤慥つ㐸ㅤ敦昳慣敦㈱㈰捦攵愸㘲㠲ㅤ㡣㐳㠷㝥ㅦ〱捣㝥戱㙢㐹摤㍦㐰挰㍢㤴㜴㉡愲晥改㔸ㄳ散㕣㤲昶㐳〴㤰㔶扡ㄵ㔱ㅦ戹愸㠷㍤搴挷〶㈵ㅤ㡢愸㑦㕣搴㑡て昵愹㐱㐹搷㈲敡㌳ㄷ挵㉥㈶㈵晥换愰愴㜳ㄱ昵戹㡢㕡攳愱晥㙤㔰搲扤㠸晡挲㐵戱㥢㐹㕥㕦ㅡ㤴㜴㌰愲扥㜲㔱散㘸㠲晡摡愰愴㡢ㄱ昵㡤㡢㘲㔷ㄳ搴户〶㈵㥤㡣愸敦㕣ㄴ㍢㥢愰晥㘳㔰搲捤㠸晡摥㐵戱扢〹敡〷㠳㤲㡥㐶搴㡦㉥㡡ㅤ㑥㔰晦㌵㈸㜶㌵昱摢晦ㅣ㤴㤲㑥挶戴敢ㅤ㙢㠲㥤㑤搲挶昲挵㙦搲戱㠸㔲搰扤㈳挱づ㈶愸ㅣ㠳㘲搷㤲ㄲ扡㌸㈸㈵㥤㡡㘹㜳ㅤ㙢㠲㥤㑢搲收㤹戴散㔶㤲㌶敥愰㤴㜴㈸愶敤敡㔸ㄳ散㔸㤲㌶摦愴㤵㉥㐵㤴㜶㔱散㕡㠲㉡㌰㈸改㔴㐴㜵㜳㔱散㕣㠲敡㙥㔰散㔶㔲㡦㐲〷愵搸愱挴摡挳戵㑡㔷㘲㡥㐵㡥㌵挱㉥㈵㌹㈶㈴挷〴㍢㤳攸㥢㐰搷㥢㔲昴㘴㑣愱㘲㠷㤲㈹摥㑦扥㌵㌳昰〲摢ㅣ㤱〹昶㉤㙡㠵㠹〴㍢㤴〹㉡昶㈲㐹昰㤱㥢㘰㑢㈶㘰㠷戲㈸昶㈲㐱晤搳㐵昵㈲㡡ㅤ捡愲搸㡢〴昵扥㡢摡㠶㈸㜶㈸㡢㘲㉦ㄲ搴扢㉥㙡㍢愲搸愱㉣㡡扤㐸㔰敦戸愸ㅤ㠸㘲㠷戲㈸昶㈲㐱扤攵愲㝡ㄳ挵づ㘵㔱散㐵㠲㝡挳㐵昵㈱㡡ㅤ捡愲搸㡢〴昵㥡㡢敡㐷ㄴ㍢㤴㐵戱ㄷ〹敡ㄵㄷ戵㌳㔱散㔰ㄶ挵㕥㈴愸㤷㕣搴慥㐴戱㐳㔹ㄴ㝢㤱愰㕥㜰㔱〳㠸㘲㠷㌲愸〴㝢㤱㑤挰慥㈳〹㥥㜷ㄳ晣㠶〹搸㡢㉣㡡㕤㐷㔰㝦㜳㔱扢ㄳ挰㕥㘴戳㘵搷戱〹搸㕦㈴挱戳㙥㠲㐱〴戰敢搸〴散㉦㌶〱㍢㠹㈴㜸摡㑤㔰㐶〰晢㡢㐵戱㤳〸㙡㥤㡢ㅡ㑣〰晢㡢㐵戱㤳〸敡〹ㄷ㔵㐱〰晢㡢㉤㥣㥤挴〶搹㌳㙣㕡㜶〷㐹晢㤸㥢戶ㄲ搶㍣昶㡣づ㝥㉢摣㥦㠴〷づ慢戵昰㝢攰㙤㥣㡥㉦挰ㄳ㜴扢㜹戸㡥㌷昲搷扢㥢㌶戱摦㌵㌶㈰㡤搹㌴㙤㐹㘳㝢愴㑤㤲愶㤷昹ㅤ摥㘴㜵㐳㡡㤰〱㝥愶㥢㘷挶〸㍥ㄷ㕦戵㠵㙡挴㜶捣㜸㌲㜷㙥㜵扤ち㜲㜱㜱扥摡㘰㘰扥㘲〲扤〷捦ㄲ㠷昲㐳愲㉡㡥ㅤ㌲㠸散㠹〰㠷㈳愵搳㈱㔱ㄵ〷ㄶ㐱散㠵〰㙦晥㤵㑥㠷㐴㔵ㅣ㕤攴㍥㘰ㄸ昳攰搰㈱摡摥搴㌸㐴㠸㌶㥣ㅡ㠷〲搱㐶㔰㘳㤷ㄷ㙤㈴㌵㜶㙤搱㐶㔱㘳ㄷㄶ慤㡡ㅡ扢慡㘸愳愹戱㑢㡡㌶㠶ㅡ扢㥥㘸㘳愹戱㡢㠹㌶㡥ㅡ扢㤲㘸攳愹戱㥦㠸㌶㠱ㅡ晢㠳㘸晢㔰㘳㘳ㄷ㙤㕦㙡㙣挹愲㑤愴挶ㄶ㉢摡㈴㙡㙣㤹愲㑤愶挶戶㈶摡ㄴ〴昲㐸昳〶戸㠶挴晥捣〷㤵晤㔸㈸㍤挴愲昴晥搴攸つ搱愶㔲ㄳㅦ㈰㝦㍤つㅡて㌶㉣㈵扥㐰㐰㑦㈷㠶ㄶ㝥挴㈷戴ㅥ攰㕡挵㌷戴ㅥ攸㕡挵㐷戴ㅥ攴㕡挵㔷戴ㅥ散㕡挵㘷戴ㅥ攲㕡挵㜷戴ㅥ敡㕡挵㠷戴ㅥ收㕡挵㤷戴ㅥ敥㕡挵愷戴捥㜰慤攲㕢㕡㡦㜰慤攲㘳㕡㘷扡㔶昱㌵慤㐷扡㔶昱㌹慤㐹搷㉡扥愷戵摡戵㑡ㅢ愰戵挶戵㑡㕢愰戵搶戵戲㑤㤰㘸㥤㜲慤攲㐲㕡敢㘰昵づ㈵慥愴㜵㤶㙢ㄵ㤷搲㍡摢戱㈶攸㕡㍢ㄸ搲㥦っ敡㝡〴戰㠱㠴㥥ㄴ晤㈸愳搳㠷愲捦㌱㍡扤㈷㝡㠳搱改㌷搱ㅢ㡤㑥㡦㠹摥㘴㜴晡㑡昴㘶愳搳㑢愲捦㌵㍡晤㈳晡搱㐶愷㘷㐴㙦㌱㍡㝤㈲㝡慢搱改つ搱摢㡣㑥㍦㠸摥㙥㜴㝡㐰昴㜹㐶㈷昷愲捦㌷㍡㔹ㄷ㝤㠱搱挹户攸ぢ㡤㑥愶㐵㕦㘴㜴㜲㑣ㅤ㌷㍤㈴搶〶挹愶〹㉡昲戶〹㍥晡户ㄴ㐰㉡㈷㐴㔵㤱㐹㐱ㅣ㤳㐶昸㈱㐱㤰㕢㐱ㅣ㥢㐶昸㈱㐱㤰㙤㐱ㅣ㤷㐶昸㈱㐱㤰㝦㐱ㅣ㥦㐶昸㈱㐱搰㈳㠲㌸㈱㡤昰㐳㠲愰㡦〴㜱㘲ㅡ攱㠷〴㐱慦〹攲愴㌴挲て〹攲㘸て㜱㜲ㅡ攱㠷〴㐱捦㑡ㅥ愷愴ㄱ㝥㐸㄰昴戵㈰㑥㑤㈳晣㤰㈰攸㝤㐱㥣㤶㐶昸㈱㐱戰㍤〸攲昴㌴挲て〹㠲㉤㐴㄰㘷愴ㄱ㝥㐸㄰㙣㌳㠲㌸㌳㡤昰㐳㠲㘰㉢ㄲ挴攲㌴挲て〹㠲敤㑡㄰㘷愵ㄱ㝥㐸㄰㙣㘹㠲㌸㍢㡤昰㐳㠲㘰搳摡㠳㤱攷㐰㈸㌶ㅥ搱㝥㐷㡤つ㐵戴㜳愹戱㔱㠸㜶ㅥ㌵㌶〰搱捥愷㐶㘷㡢㜶〱㌵㍡㔶戴摦㔳愳ㄳ㐵扢㤰ㅡㅤ㈶摡ㅦ愸搱㌹愲㕤㐴㡤㡥㄰敤㘲㙡㈴㕤戴㑢愸㤱㘰搱㉥愵㐶㌲㐵扢㡣ㅡ㠹ㄳ敤㡦搴㐸㤲㘸㤷㔳㈳㈱愲㉤愱挶㤳ㄷ敤ち㙡㜲捡㘰㐱㕦〹㡤ㄳ〰㌲㜱㈶愷㑥敢㔵慥㔵㈸愰昵㑦慥㔵愸愰昵㙡搷㉡㤴搰㝡㡤㙢ㄵ㙡㘸扤搶戵ち㐵戴㕥攷㕡㠵㉡㕡慦㜷慤㐲ㄹ慤㌷戸㔶愱㡥搶ㅢ㕤慢㔰㐸敢㑤慥㔵愸愴㜵愹㙢ㄵ㑡㘹扤搹戵㕥〶㐵慥㄰换㕣慢㔰㑣散㉤慥㔵愸愶昵㔶搷㉡㤴搳扡摣戵ち昵戴摥收㔸ㄳ㜴㠱っ㡥㝦㐶㐰摦㑥㜱〷㐴㘱㘱㠲㙥㤰㤸㍢㘹扣㡢攲㙥ㄳ㐳㔷㐸捣㍤㌴摥㑢㜱㥦㠹愱㍢㈴收㝥ㅡ晦㐲昱㠰㠹愱㑢㈴收㐱ㅡㅦ愲㜸搸挴搰㉤ㄲ戳㠲挶㤵ㄴ㡦㤸ㄸ扡㐶㘲㔶搱戸㥡㘲㡤㠹愱㝢㈴㘶㉤㡤㡦㔲㍣㘶㘲攸㈲㠹㜹㥣挶㈷㈸㥥㌴㌱㜴㤳挴慣愳昱㈹㡡愷㑤っ㕤㈵㌱捦搰昸㉣挵㕦㑤っ摤㈵㌱㝦愳昱㌹㡡攷㑤っ㕤㈶㌱㝦愷昱〵㡡ㄷ㑤っ摤㈶㌱㉦搱昸㌲挵㉢㈶㠶慥㤳㤸㔷㘹㝣㡤攲㜵ㄳ㐳昷㐹捣ㅢ㌴扥㐹昱㤶㠹愱ぢ㈵收㙤ㅡ摦愱昸㠷㠹愱ㅢ㈵收㕤ㅡ摦愳㜸㕦㘲昲攸捡㍥搹ㅦㅢ攴㌵㈱㥦ㅤ扡愱㌵挴ㅢ㈷㈶慢㔳つ㠵昶戵愰挴戵昲㔵㘱㌲攲戹㘷㔳㥡〷〴愰〵挶㐴㔹㘴㠲改〷愰㙥㌶㡡㑦㑣㍦昵改㐷㜵挵㍤㉡㍦愸攱昶搹㑦㠵㈵㤸愷㥦つ㐳㤹㐷㥦昸〷㈰愸换挴㘹ㄳ昵㍦ㄱ㈸㘰㈱捡〹㡡慥搸ㄵ㐸㘴晣㐳㠲て〰昸㈳ㅦ散〷つ㤸㕤㐶挰ㅦ㌳挵昴㤱㔳挷㡤㤹慥㍦昱昱㝥搰攰搹愵㠸搷慣㠹晥捣〷晡㐱〳㘴户ㄳ㈰㙢愱㍦昷㠱㝥搰〰搹㌵〵挸ㅡ攸㉦㝣愰ㅦ㌴㐰昶㔹扦攸慦㝣愰ㅦ㌴㐰昶㙢扦攸㙦㝣愰ㅦ㌴㐰昶㝤扦攸敦㝣愰ㅦ㌴㐰づち㝥搱摦晢㐰㍦㘸㠰ㅣ㌸晣愲㝦昴㠱㝥搰〰㌹戸昸㐵晦捦〷晡㐱〳攴愸攳ㄷ捤㥢㍡敢㜶㍦㘸㠰ㅣ㤹晣愲㜳㝣愰ㅦ㌴㐰㡥㕥㝥搱戹㍥搰てㅡ㈰㠷㌵扦攸戸て昴㠳〶挸愱捦㉦㍡摦〷晡㐱〳攴昰攸ㄷ㕤攰〳晤愰〱㜲摣昴㡢敥敥〳晤愰〱㜲㙣昵㡢敥攱〳晤愰〱㜲晣昵㡢㑥昸㐰㍦㘸㠰ㅣ㤸〹㡣㙦〲㡣昴戵㑤㝤戰ㅦ㌴㘰づ攰〲敥㐹㌰晢摡㘶㍥搸てㅡ㌰〷㝡〱㙦づ㡣搷搷戶昰昱㝥搰攰㜹㈱㤰㉡戳㈶㝡㉢ㅦ攸〷つ㤰ㄷぢ〱戲ㄶ㝡㙢ㅦ攸〷つ㤰ㄷㄴ〱戲〶㝡㕢ㅦ攸〷つ㤰㔷ㅡ〱㑡㌷摦摥〷晡㐱〳攴搵㐸㠰搲捤㡢㝤愰ㅦ㌴㐰㕥戱〴㈸摤㝣㐷ㅦ攸〷つ㤰㤷㌲扦攸扥㍥搰てㅡ㈰㉦㜷㝥搱㍢昹㐰㍦㘸㠰㝦昵㠰㔲昴㉥㍥搰てㅡ㈰慦㤵㝥搱晤㝤愰ㅦ㌴㐰㕥㑦晤愲㜷昳㠱㝥搰〰㜹捤ㄵ愰ㄴ㍤搰〷晡㐱〳攴挵搸㉦扡挴〷晡㐱〳攴〵摢㉦扡搴〷晡㐱〳攴㐵摤㉦扡摣〷晡㐱〳攴搵摥㉦㝡㠸て昴㠳〶挸㍢〲扦攸愱㍥搰てㅡ㈰敦ㅡ晣愲昷昰㠱㝥搰〰㜹㍢攱ㄷ扤㤷て昴㠳〶挸㕢づ扦攸扤㝤愰ㅦ㌴㐰摥㤶昸㐵㡦昰㠱㝥搰〰㜹扦攲ㄷ㍤捡〷晡㐱〳攴㍤㡤㕦昴㘸ㅦ攸〷つ㤰昷㍤㝥搱㘳㝤愰ㅦ㌴㐰摥㄰昹㐵㡦昷㠱㝥搰〰㜹搳攴ㄷ扤㡦て昴㠳〶挸ㅢ㉢扦攸㠹㍥搰てㅡ㈰敦戸晣愲㈷晢㐰㍦㘸㠰扣㉢昳㡢摥捦〷晡㐱〳攴㥤㥢㕦昴㔴ㅦ攸〷〵㔸挴㍢ㄶ㍥ㅤ愴㤷㠳ㄴ昱㕥㈴㘸攱摤㐶搰挲摢㡡愰㠵昷て㐱ぢ㙦ㄴ㠲ㄶ摥ㄱ〴㉤扣昴〷㉤扣挶〷㉤扣㤸〷㉤扣㙡〷㉤扣㍣〷㉤㌱㥣㜲搰㤲ㄳ戲攴㠶㉣昱㤰㈵㍦㘴㈹〸㔹扡㠷㉣㍤㐲㤶㐴挸戲㘹挸挲㉢㔳戰捥扣昶〴㉤扣挸〴㉤扣㥡〴㉤扣㙣〴㉤扣㍥〴㉤扣㄰〴㉤ㅣ昱㠳ㄶづ敤㐱ぢ挷昰愰㠵㠳㜵搰挲㔱㌹㘸攱昰ㅢ戴㜰㥣つ㕡㌸愰〶㉤ㅣ㌹㠳ㄶづ㤱㐱ぢ挷挲愰㠵㠳㕥搰挲搱㉤㘸攱㌰ㄶ戴㜰扣ち㕡㌸㌰〵㉤ㅣ㠱㠲ㄶづ㌵㐱ぢ挷㤴愰㠵㠳㐷搰挲㔱㈲㘸攱㜰㄰戴戰摦〷㉤散攰㐱ぢ㝢㜲挰搲敤晦〰愹敦慡㘰</t>
  </si>
  <si>
    <t>$/W</t>
  </si>
  <si>
    <t>Production (TWhr)</t>
  </si>
  <si>
    <t>UNUSED</t>
  </si>
  <si>
    <t>Description</t>
  </si>
  <si>
    <t># Time Blocks/All Groups Must Be Present</t>
  </si>
  <si>
    <t>Constraint Range</t>
  </si>
  <si>
    <t>#Ranges</t>
  </si>
  <si>
    <t>Adj. Range</t>
  </si>
  <si>
    <t>Min Val or Range</t>
  </si>
  <si>
    <t>Max Val Or Range</t>
  </si>
  <si>
    <t>Flags</t>
  </si>
  <si>
    <t>HARD CONSTRAINT DEV</t>
  </si>
  <si>
    <t>Type (Hard/Soft)</t>
  </si>
  <si>
    <t>Entry Mode</t>
  </si>
  <si>
    <t>Formula</t>
  </si>
  <si>
    <t>Left Val Or Range</t>
  </si>
  <si>
    <t>Left Operator</t>
  </si>
  <si>
    <t>Constrained Cells</t>
  </si>
  <si>
    <t>Right Operator</t>
  </si>
  <si>
    <t>Right Val Or Range</t>
  </si>
  <si>
    <t>Penalty Function</t>
  </si>
  <si>
    <t>RO Eval Time (Iter/Sim)</t>
  </si>
  <si>
    <t>RO Statistic to Constrain</t>
  </si>
  <si>
    <t>RO Statistic Parameter</t>
  </si>
  <si>
    <t>Formula Conversion Cell (not used in v5)</t>
  </si>
  <si>
    <t>Number Formatting Cell (introduced in v5)</t>
  </si>
  <si>
    <t>Min</t>
  </si>
  <si>
    <t>Max</t>
  </si>
  <si>
    <t>RISKOpt Tag</t>
  </si>
  <si>
    <t># Chromosomes</t>
  </si>
  <si>
    <t># Constraints</t>
  </si>
  <si>
    <t>Compatibility with Old Versions (4 trips pre-v5 versions)</t>
  </si>
  <si>
    <t>Creation Version</t>
  </si>
  <si>
    <t>Required Version</t>
  </si>
  <si>
    <t>Recommended Version</t>
  </si>
  <si>
    <t>Last Modified by Version</t>
  </si>
  <si>
    <t>Constraint Solver, number of Latin Hypercube stratifications, for reproducing results with Actual Convergence</t>
  </si>
  <si>
    <t>Constraint Solver, total of adjustable cell values, to only pass number of stratifications if model hasn't changed</t>
  </si>
  <si>
    <t>Goal (Cell, Statistic, Parameter), E1: RO Formula to Optimize</t>
  </si>
  <si>
    <t>Goal (Type, Target Value)</t>
  </si>
  <si>
    <t>Population Size</t>
  </si>
  <si>
    <t>Seed (Is Auto, Value)</t>
  </si>
  <si>
    <t>Stop on Errors (before v5: Pause on Errors)</t>
  </si>
  <si>
    <t>Trial Count Stopping (enabled, trial count)</t>
  </si>
  <si>
    <t>Formula Stopping (enabled, formula)</t>
  </si>
  <si>
    <t>Timespan Stopping (enabled, trial count)</t>
  </si>
  <si>
    <t>Progress Stopping (enabled, trial count, max % change, change is percent)</t>
  </si>
  <si>
    <t>Minimize Excel on Startup</t>
  </si>
  <si>
    <t>Show Excel Recalcs (replaces "Update Display" used before v5)</t>
  </si>
  <si>
    <t>Ev4/RO1: Graph Progress</t>
  </si>
  <si>
    <t>Ev4/RO1: Update Display (replaced by Show Excel Recalcs in v5)</t>
  </si>
  <si>
    <t>MACROS</t>
  </si>
  <si>
    <t>Start (enabled, macro)</t>
  </si>
  <si>
    <t>After Storage (enabled, macro)</t>
  </si>
  <si>
    <t>Finish (enabled, macro)</t>
  </si>
  <si>
    <t>5.7.1</t>
  </si>
  <si>
    <t>1.0.0</t>
  </si>
  <si>
    <t>DEFAULT PARENT SELECTION</t>
  </si>
  <si>
    <t>DEFAULT MUTATION</t>
  </si>
  <si>
    <t>DEFAULT CROSSOVER</t>
  </si>
  <si>
    <t>DEFAULT BACKTRACK</t>
  </si>
  <si>
    <t/>
  </si>
  <si>
    <t>ARITHMETIC CROSSOVER</t>
  </si>
  <si>
    <t>HEURISTIC CROSSOVER</t>
  </si>
  <si>
    <t>CAUCHY MUTATION</t>
  </si>
  <si>
    <t>BOUNDARY MUTATION</t>
  </si>
  <si>
    <t>NON-UNIFORM MUTATION</t>
  </si>
  <si>
    <t>LINEAR</t>
  </si>
  <si>
    <t>LOCAL SEARCH</t>
  </si>
  <si>
    <t>RECIPE_x0001_11</t>
  </si>
  <si>
    <t>False,False,False</t>
  </si>
  <si>
    <t>Worksheet: [nuclearsimul.xlsx]Sheet2</t>
  </si>
  <si>
    <t>Cell: E20</t>
  </si>
  <si>
    <t>Cell: E13</t>
  </si>
  <si>
    <t>Cell: E16</t>
  </si>
  <si>
    <t>Cell: E2</t>
  </si>
  <si>
    <t>Cell: E17</t>
  </si>
  <si>
    <t>Cell: D18</t>
  </si>
  <si>
    <t>GF1_rK0qDwEACADdAAwjACYASABsAHUAdgCCAI4AuwApANcALQD//wAAAAABAQEAAQQAAAAAETAuMDBfIDtbUmVkXS0wLjAwAAAAAR5OZXQgcHJlc2VudCB2YWx1ZSAoTSQpIC8gdmFsdWUBAAEBBQABAAEDAQEA/wEBAQEBAAEBAQACAAEBAQEBAAEBAQACAAGSAAIlAB5OZXQgcHJlc2VudCB2YWx1ZSAoTSQpIC8gdmFsdWUAAC8BAgACAMMAzQABAQIBmpmZmZmZqT8AAGZmZmZmZu4/AAAFAAEBAQA=</t>
  </si>
  <si>
    <t>&gt;75%</t>
  </si>
  <si>
    <t>&lt;25%</t>
  </si>
  <si>
    <t>&gt;90%</t>
  </si>
  <si>
    <t>Année</t>
  </si>
  <si>
    <t>Investissement (en million$)</t>
  </si>
  <si>
    <t>Le tableau suivant présente le calendrier d'investissement pour un projet de centrale nucléaire de 2000 MW.</t>
  </si>
  <si>
    <t>Les deux premières années correspondent à l'étude de faisabilité et de la sélection d'un fournisseur et de la technologie.</t>
  </si>
  <si>
    <t>Les quatre prochaines années correspondent à l'achat d’un permis.</t>
  </si>
  <si>
    <t>Les coûts de fonctionnement devraient augmenter de 6 % par an après 20 ans d'exploitation. Les coûts d’abandon et de démantèlement de la central sont estimés à 500 M $.</t>
  </si>
  <si>
    <t xml:space="preserve">Les coûts de fonctionnement devraient être de 15 millions de dollars par an, plus 17 $ par mégawatt produit, </t>
  </si>
  <si>
    <t>et la capacité atteignable à 90 % de la capacité nominale (i.e., un facteur de rendement de 90 %).</t>
  </si>
  <si>
    <t xml:space="preserve">Supposons qu'il n'y ait pas d'inflation et que le prix de l'électricité, présentement à 34/MWh $, augmente de 0,2 % au cours des 25 </t>
  </si>
  <si>
    <t>premières années, augmente ensuite de 1,9 % par an pour les 10 années suivantes, et finalement de 0,6 % par an par la suite.</t>
  </si>
  <si>
    <t xml:space="preserve">Considérant qu’il n'y a aucune raison de croire que toutes les estimations présentées plus haut soient des prévisions exactes sur la façon </t>
  </si>
  <si>
    <t>dont l'avenir va se dérouler, des experts de différents domaines sont interrogés.</t>
  </si>
  <si>
    <t>Voici les opinions recueillis :</t>
  </si>
  <si>
    <t>Les prévisions de prix de l'électricité de longue portée ont 30% de chance d'être inférieures que prévues (c'est à dire sans augmentation de prix à long terme réel) et 20% de chance d'être supérieures que prévues (législation sur l'environnement)</t>
  </si>
  <si>
    <t>Augmentation des coûts d'exploitation variables pourrait passer de 4% à 7 % : suivant une loi triangulaire dont le sommet est à 6%</t>
  </si>
  <si>
    <t>Le facteur de rendement de l'usine pourrait être compris entre 80 % et 92  %: à nouveau selon une loi triangulaire dont le sommet est à 90%</t>
  </si>
  <si>
    <t>Les coûts de construction pourraient varier de plus ou moins 0,2 M $ par MW de capacité nominale; donc suivant une loi normale dont la moyenne est 1.5 et l'écart type de 0.05</t>
  </si>
  <si>
    <t>Les coûts d'exploitation fixes pourraient atteindre une valeur entre 13 et 16 M $ par année: approximé par une loi triangulaire dont le sommet est à 15 M$</t>
  </si>
  <si>
    <t>Les coûts d'abandon pourraient varrier uniformément sur l'intervalle compris entre 300M$ et 1000 M$</t>
  </si>
  <si>
    <t>Paramètres</t>
  </si>
  <si>
    <t>année</t>
  </si>
  <si>
    <t>taux</t>
  </si>
  <si>
    <t>valeur</t>
  </si>
  <si>
    <t>Scénario des prix de l'électricité</t>
  </si>
  <si>
    <t>Prix de l'électricité 1 ($/MWhr)</t>
  </si>
  <si>
    <t>Prix de l'électricité 2 ($/MWhr)</t>
  </si>
  <si>
    <t>Prix de l'électricité 3 ($/MWhr)</t>
  </si>
  <si>
    <t>Capacité nominale (MW)</t>
  </si>
  <si>
    <t>Facteur de rendement</t>
  </si>
  <si>
    <t>Étude de faisabilité (M$)</t>
  </si>
  <si>
    <t>Permis (M$)</t>
  </si>
  <si>
    <t>Coûts de construction (M$)</t>
  </si>
  <si>
    <t>Coût d'opération variables ($/MWhr)</t>
  </si>
  <si>
    <t>Coûts d'opération fixes (M$)</t>
  </si>
  <si>
    <t>Coûts d'abandon (M$)</t>
  </si>
  <si>
    <t>Flux de trésorerie</t>
  </si>
  <si>
    <t>Entreprendre étude de faisabilité</t>
  </si>
  <si>
    <t>Application pour le permis</t>
  </si>
  <si>
    <t>Début construction</t>
  </si>
  <si>
    <t>Début production</t>
  </si>
  <si>
    <t>Abandon du projet</t>
  </si>
  <si>
    <t>Phase du projet (1=initiale, 2=evaluation, 3=permis, 4=construction, 5=opération, 6=abandon)</t>
  </si>
  <si>
    <t>Marge de profit unitaire ($/MWhr)</t>
  </si>
  <si>
    <t>Revenus (M$)</t>
  </si>
  <si>
    <t>Dépenses opérationnelles (M$)</t>
  </si>
  <si>
    <t>Flux opérationnels (M$)</t>
  </si>
  <si>
    <t>Investissements (M$)</t>
  </si>
  <si>
    <t>Flux de trésorerie (M$)</t>
  </si>
  <si>
    <t>Valeur actuelle nette (M$)</t>
  </si>
  <si>
    <t>Flux nominal cumulatif (M$)</t>
  </si>
  <si>
    <t>Exposition maximale (M$)</t>
  </si>
  <si>
    <t>Délai de récupération</t>
  </si>
  <si>
    <t>Taux de rendement interne</t>
  </si>
  <si>
    <t>Plan</t>
  </si>
  <si>
    <t>La Société peut obtenir un rendement de 6 % sur les placements sans risque et considère donc un taux d’actualisation de 6 %.</t>
  </si>
  <si>
    <t>Fonction de répartition</t>
  </si>
  <si>
    <t>Nombre de bins</t>
  </si>
  <si>
    <t>Échantillon</t>
  </si>
  <si>
    <t>Bins</t>
  </si>
  <si>
    <t>x</t>
  </si>
  <si>
    <t>P(X&lt;=x)</t>
  </si>
  <si>
    <t>Nombre d'échantillons</t>
  </si>
  <si>
    <t>confiance</t>
  </si>
  <si>
    <t>borne inf</t>
  </si>
  <si>
    <t>borne sup</t>
  </si>
  <si>
    <t>Valeur espérée</t>
  </si>
  <si>
    <t>Variance</t>
  </si>
  <si>
    <t>10ieme centile</t>
  </si>
  <si>
    <t>centile</t>
  </si>
  <si>
    <t>delta</t>
  </si>
  <si>
    <t>valeur estimée</t>
  </si>
  <si>
    <t>Les quatre dernières années correspondent à la construction proprement dite, qui est évaluée à 1,5 M $ par MW de capacité nominale.</t>
  </si>
  <si>
    <t>Le dernier paiement est effectué à la 11ième année.</t>
  </si>
  <si>
    <t>Method + #Operators(Legacy)</t>
  </si>
  <si>
    <t>Mutation Rate (Legacy)</t>
  </si>
  <si>
    <t>Crossover Rate (Legacy)</t>
  </si>
  <si>
    <t>Precision (added 6.0)</t>
  </si>
  <si>
    <t>RO Auto Eval Time (added 6.0)</t>
  </si>
  <si>
    <t>Is Disabled</t>
  </si>
  <si>
    <t>Use for EF</t>
  </si>
  <si>
    <t>EF Settings Have Been Defined</t>
  </si>
  <si>
    <t>EF Location of Constraining Values</t>
  </si>
  <si>
    <t>EF Min Constraining Value</t>
  </si>
  <si>
    <t>EF Max Constraining Value</t>
  </si>
  <si>
    <t>EF # of Constraining Values Between Min and Max</t>
  </si>
  <si>
    <t>EF Range with Constraining Values</t>
  </si>
  <si>
    <t>EF # of Constraining Values Listed</t>
  </si>
  <si>
    <t>Out Stats</t>
  </si>
  <si>
    <t>Genetic Algorithm - Discrete Variable Warning Shown</t>
  </si>
  <si>
    <t>ColorOptimizationCells Called</t>
  </si>
  <si>
    <t>VERSION 6.0 SETTINGS</t>
  </si>
  <si>
    <t>Optimization Engine</t>
  </si>
  <si>
    <t>Mutation Rate (becoming a single settings for all adjustable cell groups)</t>
  </si>
  <si>
    <t>Crossover Rate (becoming a single settings for all adjustable cell groups)</t>
  </si>
  <si>
    <t>Genetic Operators (becoming a single settings for all adjustable cell groups)</t>
  </si>
  <si>
    <t>Stopping on Projected Convergence (added in version 6; other simulation runtime settings got moved to @RISK)</t>
  </si>
  <si>
    <t>Same Seed Each Simulation (this was used in RISKOptimizer version 5 and earlier)</t>
  </si>
  <si>
    <t>Sampling Type (this was used in RISKOptimizer version 5 and earlier)</t>
  </si>
  <si>
    <t>EF Stopping Conditions</t>
  </si>
  <si>
    <t>EF Stop on Trials</t>
  </si>
  <si>
    <t>EF Trial Count</t>
  </si>
  <si>
    <t>EF Stop on Time</t>
  </si>
  <si>
    <t>EF Time Duration</t>
  </si>
  <si>
    <t>EF Time Unit</t>
  </si>
  <si>
    <t>EF Stop on Progress</t>
  </si>
  <si>
    <t>EF Trials (Progress)</t>
  </si>
  <si>
    <t>EF Max. Change (Progress)</t>
  </si>
  <si>
    <t>EF Max. Change is Percent (Progress)</t>
  </si>
  <si>
    <t>Sim. Stopping Mode, Tolerance (legacy settings used in v5 and earlier)</t>
  </si>
  <si>
    <t>#Iterations - Sim Stopping (legacy setting used in v5 and earlier))</t>
  </si>
  <si>
    <t>Keep Trial-by-Trial Log (if cell has anything other than False consider True, since Evolver 4 didn't have this setting); this setting no longer used staring with version 6</t>
  </si>
  <si>
    <t>Before Recalc (enabled, macro), starting with v6 RISKOptimizer uses corresponding @RISK macro</t>
  </si>
  <si>
    <t>After Recalc (enabled, macro), starting with v6 RISKOptimizer uses corresponding @RISK macro</t>
  </si>
  <si>
    <t>Macro Before Simulation (enabled, macro), starting with v6, this is legacy setting</t>
  </si>
  <si>
    <t>Macro After Simulation (enabled, macro), starting with v6, this is legacy setting</t>
  </si>
  <si>
    <t>EFFICIENT FRONTIER</t>
  </si>
  <si>
    <t>Analysis Type (Standard vs. Efficient Frontier)</t>
  </si>
  <si>
    <t>EF Item to Constrain</t>
  </si>
  <si>
    <t>EF Constraint Minimum</t>
  </si>
  <si>
    <t>EF Constraint Maximum</t>
  </si>
  <si>
    <t>EF Formula for Dtools</t>
  </si>
  <si>
    <t>1,1,1,1,1,1,1,1,1,1,1</t>
  </si>
  <si>
    <t>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</si>
</sst>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_ ;_ * \(#,##0.00\)\ _$_ ;_ * &quot;-&quot;??_)\ _$_ ;_ @_ "/>
    <numFmt numFmtId="164" formatCode="0.0%"/>
    <numFmt numFmtId="165" formatCode="0.00_ ;[Red]\-0.00\ "/>
  </numFmts>
  <fonts count="13" x14ac:knownFonts="1">
    <font>
      <sz val="10"/>
      <name val="Arial"/>
    </font>
    <font>
      <sz val="11"/>
      <color theme="1"/>
      <name val="Calibri"/>
      <family val="2"/>
      <scheme val="minor"/>
    </font>
    <font>
      <sz val="11"/>
      <color theme="1"/>
      <name val="Calibri"/>
      <family val="2"/>
      <scheme val="minor"/>
    </font>
    <font>
      <sz val="8"/>
      <name val="Arial"/>
      <family val="2"/>
    </font>
    <font>
      <sz val="10"/>
      <name val="MS Sans Serif"/>
      <family val="2"/>
    </font>
    <font>
      <b/>
      <sz val="10"/>
      <name val="MS Sans Serif"/>
      <family val="2"/>
    </font>
    <font>
      <b/>
      <sz val="10"/>
      <name val="Arial"/>
      <family val="2"/>
    </font>
    <font>
      <sz val="10"/>
      <name val="Arial"/>
      <family val="2"/>
    </font>
    <font>
      <sz val="12"/>
      <color rgb="FF000000"/>
      <name val="Calibri"/>
      <family val="2"/>
      <scheme val="minor"/>
    </font>
    <font>
      <sz val="12"/>
      <name val="Calibri"/>
      <family val="2"/>
      <scheme val="minor"/>
    </font>
    <font>
      <sz val="12"/>
      <name val="Times New Roman"/>
      <family val="1"/>
    </font>
    <font>
      <u/>
      <sz val="11"/>
      <color theme="1"/>
      <name val="Calibri"/>
      <family val="2"/>
      <scheme val="minor"/>
    </font>
    <font>
      <b/>
      <sz val="9"/>
      <color indexed="81"/>
      <name val="Tahoma"/>
      <family val="2"/>
    </font>
  </fonts>
  <fills count="8">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00FF"/>
        <bgColor indexed="64"/>
      </patternFill>
    </fill>
    <fill>
      <patternFill patternType="solid">
        <fgColor rgb="FF92D050"/>
        <bgColor indexed="64"/>
      </patternFill>
    </fill>
    <fill>
      <patternFill patternType="solid">
        <fgColor theme="0" tint="-0.14999847407452621"/>
        <bgColor indexed="64"/>
      </patternFill>
    </fill>
  </fills>
  <borders count="3">
    <border>
      <left/>
      <right/>
      <top/>
      <bottom/>
      <diagonal/>
    </border>
    <border>
      <left/>
      <right/>
      <top style="thick">
        <color auto="1"/>
      </top>
      <bottom/>
      <diagonal/>
    </border>
    <border>
      <left style="thin">
        <color auto="1"/>
      </left>
      <right style="thin">
        <color auto="1"/>
      </right>
      <top style="thin">
        <color auto="1"/>
      </top>
      <bottom style="thin">
        <color auto="1"/>
      </bottom>
      <diagonal/>
    </border>
  </borders>
  <cellStyleXfs count="6">
    <xf numFmtId="0" fontId="0" fillId="0" borderId="0"/>
    <xf numFmtId="0" fontId="4" fillId="0" borderId="0"/>
    <xf numFmtId="0" fontId="7" fillId="0" borderId="0"/>
    <xf numFmtId="0" fontId="2" fillId="0" borderId="0"/>
    <xf numFmtId="43" fontId="2" fillId="0" borderId="0" applyFont="0" applyFill="0" applyBorder="0" applyAlignment="0" applyProtection="0"/>
    <xf numFmtId="0" fontId="1" fillId="0" borderId="0"/>
  </cellStyleXfs>
  <cellXfs count="48">
    <xf numFmtId="0" fontId="0" fillId="0" borderId="0" xfId="0"/>
    <xf numFmtId="0" fontId="0" fillId="0" borderId="0" xfId="0" applyAlignment="1">
      <alignment horizontal="left"/>
    </xf>
    <xf numFmtId="0" fontId="4" fillId="0" borderId="0" xfId="1"/>
    <xf numFmtId="0" fontId="4" fillId="0" borderId="0" xfId="1" applyAlignment="1">
      <alignment horizontal="right" vertical="top"/>
    </xf>
    <xf numFmtId="0" fontId="4" fillId="0" borderId="0" xfId="1" applyAlignment="1">
      <alignment horizontal="center"/>
    </xf>
    <xf numFmtId="0" fontId="5" fillId="0" borderId="0" xfId="1" applyFont="1"/>
    <xf numFmtId="0" fontId="5" fillId="0" borderId="0" xfId="1" applyFont="1" applyAlignment="1">
      <alignment horizontal="center"/>
    </xf>
    <xf numFmtId="0" fontId="5" fillId="0" borderId="0" xfId="1" applyFont="1" applyAlignment="1">
      <alignment horizontal="right" vertical="top"/>
    </xf>
    <xf numFmtId="9" fontId="4" fillId="0" borderId="0" xfId="1" applyNumberFormat="1" applyAlignment="1">
      <alignment horizontal="right"/>
    </xf>
    <xf numFmtId="0" fontId="4" fillId="0" borderId="0" xfId="1" applyAlignment="1">
      <alignment horizontal="right"/>
    </xf>
    <xf numFmtId="4" fontId="4" fillId="0" borderId="0" xfId="1" applyNumberFormat="1" applyAlignment="1">
      <alignment horizontal="right"/>
    </xf>
    <xf numFmtId="4" fontId="4" fillId="0" borderId="0" xfId="1" applyNumberFormat="1" applyAlignment="1">
      <alignment horizontal="center"/>
    </xf>
    <xf numFmtId="2" fontId="4" fillId="0" borderId="0" xfId="1" applyNumberFormat="1" applyAlignment="1">
      <alignment horizontal="center"/>
    </xf>
    <xf numFmtId="0" fontId="6" fillId="0" borderId="0" xfId="0" applyFont="1"/>
    <xf numFmtId="0" fontId="0" fillId="0" borderId="0" xfId="0" quotePrefix="1"/>
    <xf numFmtId="0" fontId="7" fillId="0" borderId="0" xfId="2"/>
    <xf numFmtId="164" fontId="7" fillId="0" borderId="0" xfId="2" applyNumberFormat="1"/>
    <xf numFmtId="9" fontId="7" fillId="0" borderId="0" xfId="2" applyNumberFormat="1"/>
    <xf numFmtId="0" fontId="7" fillId="0" borderId="0" xfId="2" applyNumberFormat="1"/>
    <xf numFmtId="2" fontId="7" fillId="0" borderId="0" xfId="2" applyNumberFormat="1"/>
    <xf numFmtId="165" fontId="7" fillId="0" borderId="0" xfId="2" applyNumberFormat="1"/>
    <xf numFmtId="0" fontId="7" fillId="0" borderId="0" xfId="0" applyFont="1"/>
    <xf numFmtId="0" fontId="7" fillId="0" borderId="0" xfId="2" applyFont="1"/>
    <xf numFmtId="0" fontId="7" fillId="4" borderId="0" xfId="2" applyFill="1"/>
    <xf numFmtId="9" fontId="7" fillId="4" borderId="0" xfId="2" applyNumberFormat="1" applyFill="1"/>
    <xf numFmtId="165" fontId="7" fillId="3" borderId="0" xfId="2" applyNumberFormat="1" applyFill="1"/>
    <xf numFmtId="0" fontId="7" fillId="4" borderId="0" xfId="2" applyNumberFormat="1" applyFill="1"/>
    <xf numFmtId="0" fontId="0" fillId="0" borderId="1" xfId="0" applyBorder="1" applyAlignment="1">
      <alignment horizontal="left"/>
    </xf>
    <xf numFmtId="0" fontId="0" fillId="5" borderId="0" xfId="0" applyFill="1" applyAlignment="1">
      <alignment horizontal="left"/>
    </xf>
    <xf numFmtId="0" fontId="0" fillId="2" borderId="0" xfId="0" applyFill="1" applyAlignment="1">
      <alignment horizontal="left"/>
    </xf>
    <xf numFmtId="0" fontId="0" fillId="3" borderId="0" xfId="0" applyFill="1" applyAlignment="1">
      <alignment horizontal="left"/>
    </xf>
    <xf numFmtId="0" fontId="0" fillId="5" borderId="0" xfId="0" quotePrefix="1" applyFill="1" applyAlignment="1">
      <alignment horizontal="left"/>
    </xf>
    <xf numFmtId="0" fontId="0" fillId="0" borderId="0" xfId="0" quotePrefix="1" applyAlignment="1">
      <alignment horizontal="left"/>
    </xf>
    <xf numFmtId="0" fontId="0" fillId="5" borderId="0" xfId="0" applyNumberFormat="1" applyFill="1" applyAlignment="1">
      <alignment horizontal="left"/>
    </xf>
    <xf numFmtId="10" fontId="7" fillId="0" borderId="0" xfId="2" applyNumberFormat="1"/>
    <xf numFmtId="0" fontId="0" fillId="0" borderId="2" xfId="0" applyBorder="1"/>
    <xf numFmtId="0" fontId="9" fillId="0" borderId="0" xfId="0" applyFont="1"/>
    <xf numFmtId="0" fontId="9" fillId="0" borderId="2" xfId="0" applyFont="1" applyBorder="1"/>
    <xf numFmtId="0" fontId="8" fillId="0" borderId="0" xfId="0" applyFont="1" applyAlignment="1">
      <alignment readingOrder="1"/>
    </xf>
    <xf numFmtId="0" fontId="10" fillId="0" borderId="0" xfId="0" applyFont="1"/>
    <xf numFmtId="0" fontId="9" fillId="0" borderId="0" xfId="0" applyFont="1" applyBorder="1"/>
    <xf numFmtId="0" fontId="0" fillId="0" borderId="0" xfId="0" applyBorder="1"/>
    <xf numFmtId="0" fontId="1" fillId="0" borderId="0" xfId="5"/>
    <xf numFmtId="0" fontId="1" fillId="0" borderId="0" xfId="5" applyAlignment="1">
      <alignment horizontal="center" vertical="center" wrapText="1"/>
    </xf>
    <xf numFmtId="9" fontId="1" fillId="6" borderId="0" xfId="5" applyNumberFormat="1" applyFill="1"/>
    <xf numFmtId="0" fontId="11" fillId="0" borderId="0" xfId="5" applyFont="1"/>
    <xf numFmtId="0" fontId="1" fillId="6" borderId="0" xfId="5" applyFill="1"/>
    <xf numFmtId="0" fontId="1" fillId="7" borderId="0" xfId="5" applyFill="1"/>
  </cellXfs>
  <cellStyles count="6">
    <cellStyle name="Comma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Normal 5" xfId="5" xr:uid="{00000000-0005-0000-0000-000005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3503054989816694E-2"/>
          <c:y val="9.9617230967249504E-2"/>
          <c:w val="0.88798370672097804"/>
          <c:h val="0.58620908992265996"/>
        </c:manualLayout>
      </c:layout>
      <c:lineChart>
        <c:grouping val="standard"/>
        <c:varyColors val="0"/>
        <c:ser>
          <c:idx val="2"/>
          <c:order val="0"/>
          <c:tx>
            <c:v>bas</c:v>
          </c:tx>
          <c:spPr>
            <a:ln w="12700">
              <a:solidFill>
                <a:srgbClr val="FF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flows'!$H$3:$BL$3</c:f>
              <c:numCache>
                <c:formatCode>General</c:formatCode>
                <c:ptCount val="57"/>
                <c:pt idx="0">
                  <c:v>34</c:v>
                </c:pt>
                <c:pt idx="1">
                  <c:v>34</c:v>
                </c:pt>
                <c:pt idx="2">
                  <c:v>34</c:v>
                </c:pt>
                <c:pt idx="3">
                  <c:v>34</c:v>
                </c:pt>
                <c:pt idx="4">
                  <c:v>34</c:v>
                </c:pt>
                <c:pt idx="5">
                  <c:v>34</c:v>
                </c:pt>
                <c:pt idx="6">
                  <c:v>34</c:v>
                </c:pt>
                <c:pt idx="7">
                  <c:v>34</c:v>
                </c:pt>
                <c:pt idx="8">
                  <c:v>34</c:v>
                </c:pt>
                <c:pt idx="9">
                  <c:v>34</c:v>
                </c:pt>
                <c:pt idx="10">
                  <c:v>34</c:v>
                </c:pt>
                <c:pt idx="11">
                  <c:v>34</c:v>
                </c:pt>
                <c:pt idx="12">
                  <c:v>34</c:v>
                </c:pt>
                <c:pt idx="13">
                  <c:v>34</c:v>
                </c:pt>
                <c:pt idx="14">
                  <c:v>34</c:v>
                </c:pt>
                <c:pt idx="15">
                  <c:v>34</c:v>
                </c:pt>
                <c:pt idx="16">
                  <c:v>34</c:v>
                </c:pt>
                <c:pt idx="17">
                  <c:v>34</c:v>
                </c:pt>
                <c:pt idx="18">
                  <c:v>34</c:v>
                </c:pt>
                <c:pt idx="19">
                  <c:v>34</c:v>
                </c:pt>
                <c:pt idx="20">
                  <c:v>34</c:v>
                </c:pt>
                <c:pt idx="21">
                  <c:v>34</c:v>
                </c:pt>
                <c:pt idx="22">
                  <c:v>34</c:v>
                </c:pt>
                <c:pt idx="23">
                  <c:v>34</c:v>
                </c:pt>
                <c:pt idx="24">
                  <c:v>34</c:v>
                </c:pt>
                <c:pt idx="25">
                  <c:v>34</c:v>
                </c:pt>
                <c:pt idx="26">
                  <c:v>34</c:v>
                </c:pt>
                <c:pt idx="27">
                  <c:v>34</c:v>
                </c:pt>
                <c:pt idx="28">
                  <c:v>34</c:v>
                </c:pt>
                <c:pt idx="29">
                  <c:v>34</c:v>
                </c:pt>
                <c:pt idx="30">
                  <c:v>34</c:v>
                </c:pt>
                <c:pt idx="31">
                  <c:v>34</c:v>
                </c:pt>
                <c:pt idx="32">
                  <c:v>34</c:v>
                </c:pt>
                <c:pt idx="33">
                  <c:v>34</c:v>
                </c:pt>
                <c:pt idx="34">
                  <c:v>34</c:v>
                </c:pt>
                <c:pt idx="35">
                  <c:v>34</c:v>
                </c:pt>
                <c:pt idx="36">
                  <c:v>34</c:v>
                </c:pt>
                <c:pt idx="37">
                  <c:v>34</c:v>
                </c:pt>
                <c:pt idx="38">
                  <c:v>34</c:v>
                </c:pt>
                <c:pt idx="39">
                  <c:v>34</c:v>
                </c:pt>
                <c:pt idx="40">
                  <c:v>34</c:v>
                </c:pt>
                <c:pt idx="41">
                  <c:v>34</c:v>
                </c:pt>
                <c:pt idx="42">
                  <c:v>34</c:v>
                </c:pt>
                <c:pt idx="43">
                  <c:v>34</c:v>
                </c:pt>
                <c:pt idx="44">
                  <c:v>34</c:v>
                </c:pt>
                <c:pt idx="45">
                  <c:v>34</c:v>
                </c:pt>
                <c:pt idx="46">
                  <c:v>34</c:v>
                </c:pt>
                <c:pt idx="47">
                  <c:v>34</c:v>
                </c:pt>
                <c:pt idx="48">
                  <c:v>34</c:v>
                </c:pt>
                <c:pt idx="49">
                  <c:v>34</c:v>
                </c:pt>
                <c:pt idx="50">
                  <c:v>34</c:v>
                </c:pt>
                <c:pt idx="51">
                  <c:v>34</c:v>
                </c:pt>
                <c:pt idx="52">
                  <c:v>34</c:v>
                </c:pt>
                <c:pt idx="53">
                  <c:v>34</c:v>
                </c:pt>
                <c:pt idx="54">
                  <c:v>34</c:v>
                </c:pt>
                <c:pt idx="55">
                  <c:v>34</c:v>
                </c:pt>
                <c:pt idx="56">
                  <c:v>34</c:v>
                </c:pt>
              </c:numCache>
            </c:numRef>
          </c:val>
          <c:smooth val="0"/>
          <c:extLst>
            <c:ext xmlns:c16="http://schemas.microsoft.com/office/drawing/2014/chart" uri="{C3380CC4-5D6E-409C-BE32-E72D297353CC}">
              <c16:uniqueId val="{00000000-FF48-4431-BBC9-F6E87BACAD5B}"/>
            </c:ext>
          </c:extLst>
        </c:ser>
        <c:ser>
          <c:idx val="5"/>
          <c:order val="1"/>
          <c:tx>
            <c:v>probables</c:v>
          </c:tx>
          <c:spPr>
            <a:ln w="12700">
              <a:solidFill>
                <a:srgbClr val="800000"/>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flows'!$H$6:$BL$6</c:f>
              <c:numCache>
                <c:formatCode>General</c:formatCode>
                <c:ptCount val="57"/>
                <c:pt idx="0">
                  <c:v>34</c:v>
                </c:pt>
                <c:pt idx="1">
                  <c:v>34.067999999999998</c:v>
                </c:pt>
                <c:pt idx="2">
                  <c:v>34.136136</c:v>
                </c:pt>
                <c:pt idx="3">
                  <c:v>34.204408272000002</c:v>
                </c:pt>
                <c:pt idx="4">
                  <c:v>34.272817088544002</c:v>
                </c:pt>
                <c:pt idx="5">
                  <c:v>34.341362722721094</c:v>
                </c:pt>
                <c:pt idx="6">
                  <c:v>34.410045448166535</c:v>
                </c:pt>
                <c:pt idx="7">
                  <c:v>34.478865539062866</c:v>
                </c:pt>
                <c:pt idx="8">
                  <c:v>34.547823270140995</c:v>
                </c:pt>
                <c:pt idx="9">
                  <c:v>34.616918916681279</c:v>
                </c:pt>
                <c:pt idx="10">
                  <c:v>34.686152754514644</c:v>
                </c:pt>
                <c:pt idx="11">
                  <c:v>34.755525060023672</c:v>
                </c:pt>
                <c:pt idx="12">
                  <c:v>34.825036110143721</c:v>
                </c:pt>
                <c:pt idx="13">
                  <c:v>34.894686182364005</c:v>
                </c:pt>
                <c:pt idx="14">
                  <c:v>34.964475554728736</c:v>
                </c:pt>
                <c:pt idx="15">
                  <c:v>35.034404505838197</c:v>
                </c:pt>
                <c:pt idx="16">
                  <c:v>35.104473314849876</c:v>
                </c:pt>
                <c:pt idx="17">
                  <c:v>35.174682261479575</c:v>
                </c:pt>
                <c:pt idx="18">
                  <c:v>35.245031626002536</c:v>
                </c:pt>
                <c:pt idx="19">
                  <c:v>35.315521689254538</c:v>
                </c:pt>
                <c:pt idx="20">
                  <c:v>35.38615273263305</c:v>
                </c:pt>
                <c:pt idx="21">
                  <c:v>35.456925038098319</c:v>
                </c:pt>
                <c:pt idx="22">
                  <c:v>35.527838888174514</c:v>
                </c:pt>
                <c:pt idx="23">
                  <c:v>35.598894565950864</c:v>
                </c:pt>
                <c:pt idx="24">
                  <c:v>35.670092355082765</c:v>
                </c:pt>
                <c:pt idx="25">
                  <c:v>36.347824109829332</c:v>
                </c:pt>
                <c:pt idx="26">
                  <c:v>37.038432767916085</c:v>
                </c:pt>
                <c:pt idx="27">
                  <c:v>37.742162990506486</c:v>
                </c:pt>
                <c:pt idx="28">
                  <c:v>38.459264087326105</c:v>
                </c:pt>
                <c:pt idx="29">
                  <c:v>39.189990104985299</c:v>
                </c:pt>
                <c:pt idx="30">
                  <c:v>39.934599916980012</c:v>
                </c:pt>
                <c:pt idx="31">
                  <c:v>40.693357315402629</c:v>
                </c:pt>
                <c:pt idx="32">
                  <c:v>41.466531104395273</c:v>
                </c:pt>
                <c:pt idx="33">
                  <c:v>42.254395195378777</c:v>
                </c:pt>
                <c:pt idx="34">
                  <c:v>43.057228704090967</c:v>
                </c:pt>
                <c:pt idx="35">
                  <c:v>43.315572076315512</c:v>
                </c:pt>
                <c:pt idx="36">
                  <c:v>43.575465508773405</c:v>
                </c:pt>
                <c:pt idx="37">
                  <c:v>43.836918301826046</c:v>
                </c:pt>
                <c:pt idx="38">
                  <c:v>44.099939811637</c:v>
                </c:pt>
                <c:pt idx="39">
                  <c:v>44.364539450506825</c:v>
                </c:pt>
                <c:pt idx="40">
                  <c:v>44.630726687209865</c:v>
                </c:pt>
                <c:pt idx="41">
                  <c:v>44.898511047333123</c:v>
                </c:pt>
                <c:pt idx="42">
                  <c:v>45.167902113617124</c:v>
                </c:pt>
                <c:pt idx="43">
                  <c:v>45.438909526298829</c:v>
                </c:pt>
                <c:pt idx="44">
                  <c:v>45.711542983456624</c:v>
                </c:pt>
                <c:pt idx="45">
                  <c:v>45.985812241357365</c:v>
                </c:pt>
                <c:pt idx="46">
                  <c:v>46.26172711480551</c:v>
                </c:pt>
                <c:pt idx="47">
                  <c:v>46.539297477494344</c:v>
                </c:pt>
                <c:pt idx="48">
                  <c:v>46.81853326235931</c:v>
                </c:pt>
                <c:pt idx="49">
                  <c:v>47.099444461933466</c:v>
                </c:pt>
                <c:pt idx="50">
                  <c:v>47.382041128705069</c:v>
                </c:pt>
                <c:pt idx="51">
                  <c:v>47.666333375477301</c:v>
                </c:pt>
                <c:pt idx="52">
                  <c:v>47.952331375730168</c:v>
                </c:pt>
                <c:pt idx="53">
                  <c:v>48.240045363984549</c:v>
                </c:pt>
                <c:pt idx="54">
                  <c:v>48.529485636168459</c:v>
                </c:pt>
                <c:pt idx="55">
                  <c:v>48.820662549985471</c:v>
                </c:pt>
                <c:pt idx="56">
                  <c:v>49.113586525285385</c:v>
                </c:pt>
              </c:numCache>
            </c:numRef>
          </c:val>
          <c:smooth val="0"/>
          <c:extLst>
            <c:ext xmlns:c16="http://schemas.microsoft.com/office/drawing/2014/chart" uri="{C3380CC4-5D6E-409C-BE32-E72D297353CC}">
              <c16:uniqueId val="{00000001-FF48-4431-BBC9-F6E87BACAD5B}"/>
            </c:ext>
          </c:extLst>
        </c:ser>
        <c:ser>
          <c:idx val="8"/>
          <c:order val="2"/>
          <c:tx>
            <c:v>élevés</c:v>
          </c:tx>
          <c:spPr>
            <a:ln w="12700">
              <a:solidFill>
                <a:srgbClr val="00CCFF"/>
              </a:solidFill>
              <a:prstDash val="solid"/>
            </a:ln>
          </c:spPr>
          <c:marker>
            <c:symbol val="none"/>
          </c:marker>
          <c:cat>
            <c:numRef>
              <c:f>'cash flows'!$H$1:$BL$1</c:f>
              <c:numCache>
                <c:formatCode>General</c:formatCode>
                <c:ptCount val="57"/>
                <c:pt idx="0">
                  <c:v>2018</c:v>
                </c:pt>
                <c:pt idx="1">
                  <c:v>2019</c:v>
                </c:pt>
                <c:pt idx="2">
                  <c:v>2020</c:v>
                </c:pt>
                <c:pt idx="3">
                  <c:v>2021</c:v>
                </c:pt>
                <c:pt idx="4">
                  <c:v>2022</c:v>
                </c:pt>
                <c:pt idx="5">
                  <c:v>2023</c:v>
                </c:pt>
                <c:pt idx="6">
                  <c:v>2024</c:v>
                </c:pt>
                <c:pt idx="7">
                  <c:v>2025</c:v>
                </c:pt>
                <c:pt idx="8">
                  <c:v>2026</c:v>
                </c:pt>
                <c:pt idx="9">
                  <c:v>2027</c:v>
                </c:pt>
                <c:pt idx="10">
                  <c:v>2028</c:v>
                </c:pt>
                <c:pt idx="11">
                  <c:v>2029</c:v>
                </c:pt>
                <c:pt idx="12">
                  <c:v>2030</c:v>
                </c:pt>
                <c:pt idx="13">
                  <c:v>2031</c:v>
                </c:pt>
                <c:pt idx="14">
                  <c:v>2032</c:v>
                </c:pt>
                <c:pt idx="15">
                  <c:v>2033</c:v>
                </c:pt>
                <c:pt idx="16">
                  <c:v>2034</c:v>
                </c:pt>
                <c:pt idx="17">
                  <c:v>2035</c:v>
                </c:pt>
                <c:pt idx="18">
                  <c:v>2036</c:v>
                </c:pt>
                <c:pt idx="19">
                  <c:v>2037</c:v>
                </c:pt>
                <c:pt idx="20">
                  <c:v>2038</c:v>
                </c:pt>
                <c:pt idx="21">
                  <c:v>2039</c:v>
                </c:pt>
                <c:pt idx="22">
                  <c:v>2040</c:v>
                </c:pt>
                <c:pt idx="23">
                  <c:v>2041</c:v>
                </c:pt>
                <c:pt idx="24">
                  <c:v>2042</c:v>
                </c:pt>
                <c:pt idx="25">
                  <c:v>2043</c:v>
                </c:pt>
                <c:pt idx="26">
                  <c:v>2044</c:v>
                </c:pt>
                <c:pt idx="27">
                  <c:v>2045</c:v>
                </c:pt>
                <c:pt idx="28">
                  <c:v>2046</c:v>
                </c:pt>
                <c:pt idx="29">
                  <c:v>2047</c:v>
                </c:pt>
                <c:pt idx="30">
                  <c:v>2048</c:v>
                </c:pt>
                <c:pt idx="31">
                  <c:v>2049</c:v>
                </c:pt>
                <c:pt idx="32">
                  <c:v>2050</c:v>
                </c:pt>
                <c:pt idx="33">
                  <c:v>2051</c:v>
                </c:pt>
                <c:pt idx="34">
                  <c:v>2052</c:v>
                </c:pt>
                <c:pt idx="35">
                  <c:v>2053</c:v>
                </c:pt>
                <c:pt idx="36">
                  <c:v>2054</c:v>
                </c:pt>
                <c:pt idx="37">
                  <c:v>2055</c:v>
                </c:pt>
                <c:pt idx="38">
                  <c:v>2056</c:v>
                </c:pt>
                <c:pt idx="39">
                  <c:v>2057</c:v>
                </c:pt>
                <c:pt idx="40">
                  <c:v>2058</c:v>
                </c:pt>
                <c:pt idx="41">
                  <c:v>2059</c:v>
                </c:pt>
                <c:pt idx="42">
                  <c:v>2060</c:v>
                </c:pt>
                <c:pt idx="43">
                  <c:v>2061</c:v>
                </c:pt>
                <c:pt idx="44">
                  <c:v>2062</c:v>
                </c:pt>
                <c:pt idx="45">
                  <c:v>2063</c:v>
                </c:pt>
                <c:pt idx="46">
                  <c:v>2064</c:v>
                </c:pt>
                <c:pt idx="47">
                  <c:v>2065</c:v>
                </c:pt>
                <c:pt idx="48">
                  <c:v>2066</c:v>
                </c:pt>
                <c:pt idx="49">
                  <c:v>2067</c:v>
                </c:pt>
                <c:pt idx="50">
                  <c:v>2068</c:v>
                </c:pt>
                <c:pt idx="51">
                  <c:v>2069</c:v>
                </c:pt>
                <c:pt idx="52">
                  <c:v>2070</c:v>
                </c:pt>
                <c:pt idx="53">
                  <c:v>2071</c:v>
                </c:pt>
                <c:pt idx="54">
                  <c:v>2072</c:v>
                </c:pt>
                <c:pt idx="55">
                  <c:v>2073</c:v>
                </c:pt>
                <c:pt idx="56">
                  <c:v>2074</c:v>
                </c:pt>
              </c:numCache>
            </c:numRef>
          </c:cat>
          <c:val>
            <c:numRef>
              <c:f>'cash flows'!$H$9:$BL$9</c:f>
              <c:numCache>
                <c:formatCode>General</c:formatCode>
                <c:ptCount val="57"/>
                <c:pt idx="0">
                  <c:v>34</c:v>
                </c:pt>
                <c:pt idx="1">
                  <c:v>34</c:v>
                </c:pt>
                <c:pt idx="2">
                  <c:v>34</c:v>
                </c:pt>
                <c:pt idx="3">
                  <c:v>34</c:v>
                </c:pt>
                <c:pt idx="4">
                  <c:v>34</c:v>
                </c:pt>
                <c:pt idx="5">
                  <c:v>34.51</c:v>
                </c:pt>
                <c:pt idx="6">
                  <c:v>35.027649999999994</c:v>
                </c:pt>
                <c:pt idx="7">
                  <c:v>35.55306474999999</c:v>
                </c:pt>
                <c:pt idx="8">
                  <c:v>36.086360721249989</c:v>
                </c:pt>
                <c:pt idx="9">
                  <c:v>36.627656132068736</c:v>
                </c:pt>
                <c:pt idx="10">
                  <c:v>37.177070974049762</c:v>
                </c:pt>
                <c:pt idx="11">
                  <c:v>37.734727038660502</c:v>
                </c:pt>
                <c:pt idx="12">
                  <c:v>38.300747944240406</c:v>
                </c:pt>
                <c:pt idx="13">
                  <c:v>38.87525916340401</c:v>
                </c:pt>
                <c:pt idx="14">
                  <c:v>39.458388050855064</c:v>
                </c:pt>
                <c:pt idx="15">
                  <c:v>40.050263871617886</c:v>
                </c:pt>
                <c:pt idx="16">
                  <c:v>40.651017829692151</c:v>
                </c:pt>
                <c:pt idx="17">
                  <c:v>41.260783097137526</c:v>
                </c:pt>
                <c:pt idx="18">
                  <c:v>41.879694843594585</c:v>
                </c:pt>
                <c:pt idx="19">
                  <c:v>42.507890266248502</c:v>
                </c:pt>
                <c:pt idx="20">
                  <c:v>43.145508620242225</c:v>
                </c:pt>
                <c:pt idx="21">
                  <c:v>43.792691249545854</c:v>
                </c:pt>
                <c:pt idx="22">
                  <c:v>44.449581618289038</c:v>
                </c:pt>
                <c:pt idx="23">
                  <c:v>45.116325342563371</c:v>
                </c:pt>
                <c:pt idx="24">
                  <c:v>45.793070222701814</c:v>
                </c:pt>
                <c:pt idx="25">
                  <c:v>46.47996627604234</c:v>
                </c:pt>
                <c:pt idx="26">
                  <c:v>47.177165770182974</c:v>
                </c:pt>
                <c:pt idx="27">
                  <c:v>47.884823256735714</c:v>
                </c:pt>
                <c:pt idx="28">
                  <c:v>48.603095605586745</c:v>
                </c:pt>
                <c:pt idx="29">
                  <c:v>49.332142039670543</c:v>
                </c:pt>
                <c:pt idx="30">
                  <c:v>50.072124170265596</c:v>
                </c:pt>
                <c:pt idx="31">
                  <c:v>50.823206032819577</c:v>
                </c:pt>
                <c:pt idx="32">
                  <c:v>51.585554123311866</c:v>
                </c:pt>
                <c:pt idx="33">
                  <c:v>52.359337435161535</c:v>
                </c:pt>
                <c:pt idx="34">
                  <c:v>53.144727496688951</c:v>
                </c:pt>
                <c:pt idx="35">
                  <c:v>53.941898409139277</c:v>
                </c:pt>
                <c:pt idx="36">
                  <c:v>54.75102688527636</c:v>
                </c:pt>
                <c:pt idx="37">
                  <c:v>55.572292288555502</c:v>
                </c:pt>
                <c:pt idx="38">
                  <c:v>56.405876672883828</c:v>
                </c:pt>
                <c:pt idx="39">
                  <c:v>57.251964822977079</c:v>
                </c:pt>
                <c:pt idx="40">
                  <c:v>58.11074429532173</c:v>
                </c:pt>
                <c:pt idx="41">
                  <c:v>58.982405459751547</c:v>
                </c:pt>
                <c:pt idx="42">
                  <c:v>59.867141541647811</c:v>
                </c:pt>
                <c:pt idx="43">
                  <c:v>60.765148664772525</c:v>
                </c:pt>
                <c:pt idx="44">
                  <c:v>61.676625894744106</c:v>
                </c:pt>
                <c:pt idx="45">
                  <c:v>62.60177528316526</c:v>
                </c:pt>
                <c:pt idx="46">
                  <c:v>63.540801912412732</c:v>
                </c:pt>
                <c:pt idx="47">
                  <c:v>64.49391394109891</c:v>
                </c:pt>
                <c:pt idx="48">
                  <c:v>65.461322650215394</c:v>
                </c:pt>
                <c:pt idx="49">
                  <c:v>66.443242489968611</c:v>
                </c:pt>
                <c:pt idx="50">
                  <c:v>67.439891127318134</c:v>
                </c:pt>
                <c:pt idx="51">
                  <c:v>68.4514894942279</c:v>
                </c:pt>
                <c:pt idx="52">
                  <c:v>69.478261836641309</c:v>
                </c:pt>
                <c:pt idx="53">
                  <c:v>70.520435764190921</c:v>
                </c:pt>
                <c:pt idx="54">
                  <c:v>71.578242300653784</c:v>
                </c:pt>
                <c:pt idx="55">
                  <c:v>72.651915935163586</c:v>
                </c:pt>
                <c:pt idx="56">
                  <c:v>73.741694674191038</c:v>
                </c:pt>
              </c:numCache>
            </c:numRef>
          </c:val>
          <c:smooth val="0"/>
          <c:extLst>
            <c:ext xmlns:c16="http://schemas.microsoft.com/office/drawing/2014/chart" uri="{C3380CC4-5D6E-409C-BE32-E72D297353CC}">
              <c16:uniqueId val="{00000002-FF48-4431-BBC9-F6E87BACAD5B}"/>
            </c:ext>
          </c:extLst>
        </c:ser>
        <c:dLbls>
          <c:showLegendKey val="0"/>
          <c:showVal val="0"/>
          <c:showCatName val="0"/>
          <c:showSerName val="0"/>
          <c:showPercent val="0"/>
          <c:showBubbleSize val="0"/>
        </c:dLbls>
        <c:smooth val="0"/>
        <c:axId val="1531400912"/>
        <c:axId val="1536598816"/>
      </c:lineChart>
      <c:catAx>
        <c:axId val="1531400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1000" b="0" i="0" u="none" strike="noStrike" baseline="0">
                <a:solidFill>
                  <a:srgbClr val="000000"/>
                </a:solidFill>
                <a:latin typeface="Arial"/>
                <a:ea typeface="Arial"/>
                <a:cs typeface="Arial"/>
              </a:defRPr>
            </a:pPr>
            <a:endParaRPr lang="fr-FR"/>
          </a:p>
        </c:txPr>
        <c:crossAx val="1536598816"/>
        <c:crosses val="autoZero"/>
        <c:auto val="1"/>
        <c:lblAlgn val="ctr"/>
        <c:lblOffset val="100"/>
        <c:tickLblSkip val="3"/>
        <c:tickMarkSkip val="1"/>
        <c:noMultiLvlLbl val="0"/>
      </c:catAx>
      <c:valAx>
        <c:axId val="1536598816"/>
        <c:scaling>
          <c:orientation val="minMax"/>
        </c:scaling>
        <c:delete val="0"/>
        <c:axPos val="l"/>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531400912"/>
        <c:crosses val="autoZero"/>
        <c:crossBetween val="between"/>
      </c:valAx>
      <c:spPr>
        <a:noFill/>
        <a:ln w="12700">
          <a:solidFill>
            <a:srgbClr val="808080"/>
          </a:solidFill>
          <a:prstDash val="solid"/>
        </a:ln>
      </c:spPr>
    </c:plotArea>
    <c:legend>
      <c:legendPos val="b"/>
      <c:layout>
        <c:manualLayout>
          <c:xMode val="edge"/>
          <c:yMode val="edge"/>
          <c:x val="0.17854718262050201"/>
          <c:y val="0.88122935086413001"/>
          <c:w val="0.54854039375424302"/>
          <c:h val="9.1954367046691896E-2"/>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xVal>
            <c:numRef>
              <c:f>Analyse!$E$7:$E$27</c:f>
              <c:numCache>
                <c:formatCode>General</c:formatCode>
                <c:ptCount val="21"/>
                <c:pt idx="0">
                  <c:v>1.3643721246457963E-3</c:v>
                </c:pt>
                <c:pt idx="1">
                  <c:v>5.1261270213033734E-2</c:v>
                </c:pt>
                <c:pt idx="2">
                  <c:v>0.10115816830142167</c:v>
                </c:pt>
                <c:pt idx="3">
                  <c:v>0.15105506638980959</c:v>
                </c:pt>
                <c:pt idx="4">
                  <c:v>0.20095196447819755</c:v>
                </c:pt>
                <c:pt idx="5">
                  <c:v>0.25084886256658545</c:v>
                </c:pt>
                <c:pt idx="6">
                  <c:v>0.30074576065497338</c:v>
                </c:pt>
                <c:pt idx="7">
                  <c:v>0.35064265874336131</c:v>
                </c:pt>
                <c:pt idx="8">
                  <c:v>0.4005395568317493</c:v>
                </c:pt>
                <c:pt idx="9">
                  <c:v>0.45043645492013723</c:v>
                </c:pt>
                <c:pt idx="10">
                  <c:v>0.50033335300852522</c:v>
                </c:pt>
                <c:pt idx="11">
                  <c:v>0.55023025109691315</c:v>
                </c:pt>
                <c:pt idx="12">
                  <c:v>0.60012714918530097</c:v>
                </c:pt>
                <c:pt idx="13">
                  <c:v>0.65002404727368901</c:v>
                </c:pt>
                <c:pt idx="14">
                  <c:v>0.69992094536207683</c:v>
                </c:pt>
                <c:pt idx="15">
                  <c:v>0.74981784345046487</c:v>
                </c:pt>
                <c:pt idx="16">
                  <c:v>0.7997147415388528</c:v>
                </c:pt>
                <c:pt idx="17">
                  <c:v>0.84961163962724073</c:v>
                </c:pt>
                <c:pt idx="18">
                  <c:v>0.89950853771562866</c:v>
                </c:pt>
                <c:pt idx="19">
                  <c:v>0.9494054358040166</c:v>
                </c:pt>
                <c:pt idx="20">
                  <c:v>0.99930233389240453</c:v>
                </c:pt>
              </c:numCache>
            </c:numRef>
          </c:xVal>
          <c:yVal>
            <c:numRef>
              <c:f>Analyse!$F$7:$F$27</c:f>
              <c:numCache>
                <c:formatCode>General</c:formatCode>
                <c:ptCount val="21"/>
                <c:pt idx="0">
                  <c:v>1E-3</c:v>
                </c:pt>
                <c:pt idx="1">
                  <c:v>4.8000000000000001E-2</c:v>
                </c:pt>
                <c:pt idx="2">
                  <c:v>0.10199999999999999</c:v>
                </c:pt>
                <c:pt idx="3">
                  <c:v>0.16700000000000001</c:v>
                </c:pt>
                <c:pt idx="4">
                  <c:v>0.218</c:v>
                </c:pt>
                <c:pt idx="5">
                  <c:v>0.27300000000000002</c:v>
                </c:pt>
                <c:pt idx="6">
                  <c:v>0.32800000000000001</c:v>
                </c:pt>
                <c:pt idx="7">
                  <c:v>0.37</c:v>
                </c:pt>
                <c:pt idx="8">
                  <c:v>0.42499999999999999</c:v>
                </c:pt>
                <c:pt idx="9">
                  <c:v>0.48199999999999998</c:v>
                </c:pt>
                <c:pt idx="10">
                  <c:v>0.53500000000000003</c:v>
                </c:pt>
                <c:pt idx="11">
                  <c:v>0.58599999999999997</c:v>
                </c:pt>
                <c:pt idx="12">
                  <c:v>0.63200000000000001</c:v>
                </c:pt>
                <c:pt idx="13">
                  <c:v>0.67700000000000005</c:v>
                </c:pt>
                <c:pt idx="14">
                  <c:v>0.72799999999999998</c:v>
                </c:pt>
                <c:pt idx="15">
                  <c:v>0.78300000000000003</c:v>
                </c:pt>
                <c:pt idx="16">
                  <c:v>0.84099999999999997</c:v>
                </c:pt>
                <c:pt idx="17">
                  <c:v>0.879</c:v>
                </c:pt>
                <c:pt idx="18">
                  <c:v>0.91400000000000003</c:v>
                </c:pt>
                <c:pt idx="19">
                  <c:v>0.95699999999999996</c:v>
                </c:pt>
                <c:pt idx="20">
                  <c:v>1</c:v>
                </c:pt>
              </c:numCache>
            </c:numRef>
          </c:yVal>
          <c:smooth val="0"/>
          <c:extLst>
            <c:ext xmlns:c16="http://schemas.microsoft.com/office/drawing/2014/chart" uri="{C3380CC4-5D6E-409C-BE32-E72D297353CC}">
              <c16:uniqueId val="{00000000-4681-4CE1-B6FD-AF9C15D7B82E}"/>
            </c:ext>
          </c:extLst>
        </c:ser>
        <c:dLbls>
          <c:showLegendKey val="0"/>
          <c:showVal val="0"/>
          <c:showCatName val="0"/>
          <c:showSerName val="0"/>
          <c:showPercent val="0"/>
          <c:showBubbleSize val="0"/>
        </c:dLbls>
        <c:axId val="1113540560"/>
        <c:axId val="1585293744"/>
      </c:scatterChart>
      <c:valAx>
        <c:axId val="1113540560"/>
        <c:scaling>
          <c:orientation val="minMax"/>
        </c:scaling>
        <c:delete val="0"/>
        <c:axPos val="b"/>
        <c:numFmt formatCode="General" sourceLinked="1"/>
        <c:majorTickMark val="out"/>
        <c:minorTickMark val="none"/>
        <c:tickLblPos val="nextTo"/>
        <c:crossAx val="1585293744"/>
        <c:crosses val="autoZero"/>
        <c:crossBetween val="midCat"/>
      </c:valAx>
      <c:valAx>
        <c:axId val="1585293744"/>
        <c:scaling>
          <c:orientation val="minMax"/>
          <c:max val="1"/>
          <c:min val="0"/>
        </c:scaling>
        <c:delete val="0"/>
        <c:axPos val="l"/>
        <c:majorGridlines/>
        <c:numFmt formatCode="General" sourceLinked="1"/>
        <c:majorTickMark val="out"/>
        <c:minorTickMark val="none"/>
        <c:tickLblPos val="nextTo"/>
        <c:crossAx val="1113540560"/>
        <c:crosses val="autoZero"/>
        <c:crossBetween val="midCat"/>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11205</xdr:colOff>
      <xdr:row>0</xdr:row>
      <xdr:rowOff>0</xdr:rowOff>
    </xdr:from>
    <xdr:to>
      <xdr:col>31</xdr:col>
      <xdr:colOff>115980</xdr:colOff>
      <xdr:row>15</xdr:row>
      <xdr:rowOff>132790</xdr:rowOff>
    </xdr:to>
    <xdr:graphicFrame macro="">
      <xdr:nvGraphicFramePr>
        <xdr:cNvPr id="2" name="Chart 25">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3174</xdr:colOff>
      <xdr:row>7</xdr:row>
      <xdr:rowOff>155576</xdr:rowOff>
    </xdr:from>
    <xdr:to>
      <xdr:col>8</xdr:col>
      <xdr:colOff>736376</xdr:colOff>
      <xdr:row>13</xdr:row>
      <xdr:rowOff>108751</xdr:rowOff>
    </xdr:to>
    <xdr:pic>
      <xdr:nvPicPr>
        <xdr:cNvPr id="2" name="Image 1" descr="tmpA70.tmp">
          <a:extLst>
            <a:ext uri="{FF2B5EF4-FFF2-40B4-BE49-F238E27FC236}">
              <a16:creationId xmlns:a16="http://schemas.microsoft.com/office/drawing/2014/main" id="{00000000-0008-0000-0300-000002000000}"/>
            </a:ext>
          </a:extLst>
        </xdr:cNvPr>
        <xdr:cNvPicPr>
          <a:picLocks/>
        </xdr:cNvPicPr>
      </xdr:nvPicPr>
      <xdr:blipFill>
        <a:blip xmlns:r="http://schemas.openxmlformats.org/officeDocument/2006/relationships" r:embed="rId1" cstate="print"/>
        <a:stretch>
          <a:fillRect/>
        </a:stretch>
      </xdr:blipFill>
      <xdr:spPr>
        <a:xfrm>
          <a:off x="3403599" y="4851401"/>
          <a:ext cx="1780952" cy="924725"/>
        </a:xfrm>
        <a:prstGeom prst="rect">
          <a:avLst/>
        </a:prstGeom>
      </xdr:spPr>
    </xdr:pic>
    <xdr:clientData/>
  </xdr:twoCellAnchor>
  <xdr:twoCellAnchor editAs="oneCell">
    <xdr:from>
      <xdr:col>7</xdr:col>
      <xdr:colOff>3174</xdr:colOff>
      <xdr:row>18</xdr:row>
      <xdr:rowOff>1</xdr:rowOff>
    </xdr:from>
    <xdr:to>
      <xdr:col>8</xdr:col>
      <xdr:colOff>736376</xdr:colOff>
      <xdr:row>23</xdr:row>
      <xdr:rowOff>115101</xdr:rowOff>
    </xdr:to>
    <xdr:pic>
      <xdr:nvPicPr>
        <xdr:cNvPr id="3" name="Image 2" descr="tmpA70.tmp">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2" cstate="print"/>
        <a:stretch>
          <a:fillRect/>
        </a:stretch>
      </xdr:blipFill>
      <xdr:spPr>
        <a:xfrm>
          <a:off x="3403599" y="6477001"/>
          <a:ext cx="1780952" cy="924725"/>
        </a:xfrm>
        <a:prstGeom prst="rect">
          <a:avLst/>
        </a:prstGeom>
      </xdr:spPr>
    </xdr:pic>
    <xdr:clientData/>
  </xdr:twoCellAnchor>
  <xdr:twoCellAnchor editAs="oneCell">
    <xdr:from>
      <xdr:col>7</xdr:col>
      <xdr:colOff>3174</xdr:colOff>
      <xdr:row>28</xdr:row>
      <xdr:rowOff>6351</xdr:rowOff>
    </xdr:from>
    <xdr:to>
      <xdr:col>8</xdr:col>
      <xdr:colOff>736376</xdr:colOff>
      <xdr:row>33</xdr:row>
      <xdr:rowOff>121451</xdr:rowOff>
    </xdr:to>
    <xdr:pic>
      <xdr:nvPicPr>
        <xdr:cNvPr id="4" name="Image 3" descr="tmpA70.tmp">
          <a:extLst>
            <a:ext uri="{FF2B5EF4-FFF2-40B4-BE49-F238E27FC236}">
              <a16:creationId xmlns:a16="http://schemas.microsoft.com/office/drawing/2014/main" id="{00000000-0008-0000-0300-000004000000}"/>
            </a:ext>
          </a:extLst>
        </xdr:cNvPr>
        <xdr:cNvPicPr>
          <a:picLocks/>
        </xdr:cNvPicPr>
      </xdr:nvPicPr>
      <xdr:blipFill>
        <a:blip xmlns:r="http://schemas.openxmlformats.org/officeDocument/2006/relationships" r:embed="rId3" cstate="print"/>
        <a:stretch>
          <a:fillRect/>
        </a:stretch>
      </xdr:blipFill>
      <xdr:spPr>
        <a:xfrm>
          <a:off x="3403599" y="8102601"/>
          <a:ext cx="1780952" cy="924725"/>
        </a:xfrm>
        <a:prstGeom prst="rect">
          <a:avLst/>
        </a:prstGeom>
      </xdr:spPr>
    </xdr:pic>
    <xdr:clientData/>
  </xdr:twoCellAnchor>
  <xdr:twoCellAnchor editAs="oneCell">
    <xdr:from>
      <xdr:col>3</xdr:col>
      <xdr:colOff>728663</xdr:colOff>
      <xdr:row>44</xdr:row>
      <xdr:rowOff>158750</xdr:rowOff>
    </xdr:from>
    <xdr:to>
      <xdr:col>7</xdr:col>
      <xdr:colOff>175990</xdr:colOff>
      <xdr:row>50</xdr:row>
      <xdr:rowOff>16789</xdr:rowOff>
    </xdr:to>
    <xdr:pic>
      <xdr:nvPicPr>
        <xdr:cNvPr id="5" name="Image 4" descr="tmpA70.tmp">
          <a:extLst>
            <a:ext uri="{FF2B5EF4-FFF2-40B4-BE49-F238E27FC236}">
              <a16:creationId xmlns:a16="http://schemas.microsoft.com/office/drawing/2014/main" id="{00000000-0008-0000-0300-000005000000}"/>
            </a:ext>
          </a:extLst>
        </xdr:cNvPr>
        <xdr:cNvPicPr>
          <a:picLocks/>
        </xdr:cNvPicPr>
      </xdr:nvPicPr>
      <xdr:blipFill>
        <a:blip xmlns:r="http://schemas.openxmlformats.org/officeDocument/2006/relationships" r:embed="rId4" cstate="print"/>
        <a:stretch>
          <a:fillRect/>
        </a:stretch>
      </xdr:blipFill>
      <xdr:spPr>
        <a:xfrm>
          <a:off x="1795463" y="10845800"/>
          <a:ext cx="1780952" cy="829589"/>
        </a:xfrm>
        <a:prstGeom prst="rect">
          <a:avLst/>
        </a:prstGeom>
      </xdr:spPr>
    </xdr:pic>
    <xdr:clientData/>
  </xdr:twoCellAnchor>
  <xdr:twoCellAnchor editAs="oneCell">
    <xdr:from>
      <xdr:col>7</xdr:col>
      <xdr:colOff>3174</xdr:colOff>
      <xdr:row>55</xdr:row>
      <xdr:rowOff>3176</xdr:rowOff>
    </xdr:from>
    <xdr:to>
      <xdr:col>8</xdr:col>
      <xdr:colOff>736376</xdr:colOff>
      <xdr:row>60</xdr:row>
      <xdr:rowOff>118276</xdr:rowOff>
    </xdr:to>
    <xdr:pic>
      <xdr:nvPicPr>
        <xdr:cNvPr id="6" name="Image 5" descr="tmpA70.tmp">
          <a:extLst>
            <a:ext uri="{FF2B5EF4-FFF2-40B4-BE49-F238E27FC236}">
              <a16:creationId xmlns:a16="http://schemas.microsoft.com/office/drawing/2014/main" id="{00000000-0008-0000-0300-000006000000}"/>
            </a:ext>
          </a:extLst>
        </xdr:cNvPr>
        <xdr:cNvPicPr>
          <a:picLocks/>
        </xdr:cNvPicPr>
      </xdr:nvPicPr>
      <xdr:blipFill>
        <a:blip xmlns:r="http://schemas.openxmlformats.org/officeDocument/2006/relationships" r:embed="rId5" cstate="print"/>
        <a:stretch>
          <a:fillRect/>
        </a:stretch>
      </xdr:blipFill>
      <xdr:spPr>
        <a:xfrm>
          <a:off x="3403599" y="12471401"/>
          <a:ext cx="1780952" cy="924725"/>
        </a:xfrm>
        <a:prstGeom prst="rect">
          <a:avLst/>
        </a:prstGeom>
      </xdr:spPr>
    </xdr:pic>
    <xdr:clientData/>
  </xdr:twoCellAnchor>
  <xdr:twoCellAnchor editAs="oneCell">
    <xdr:from>
      <xdr:col>7</xdr:col>
      <xdr:colOff>3174</xdr:colOff>
      <xdr:row>64</xdr:row>
      <xdr:rowOff>158751</xdr:rowOff>
    </xdr:from>
    <xdr:to>
      <xdr:col>8</xdr:col>
      <xdr:colOff>736376</xdr:colOff>
      <xdr:row>70</xdr:row>
      <xdr:rowOff>111926</xdr:rowOff>
    </xdr:to>
    <xdr:pic>
      <xdr:nvPicPr>
        <xdr:cNvPr id="7" name="Image 6" descr="tmpA70.tmp">
          <a:extLst>
            <a:ext uri="{FF2B5EF4-FFF2-40B4-BE49-F238E27FC236}">
              <a16:creationId xmlns:a16="http://schemas.microsoft.com/office/drawing/2014/main" id="{00000000-0008-0000-0300-000007000000}"/>
            </a:ext>
          </a:extLst>
        </xdr:cNvPr>
        <xdr:cNvPicPr>
          <a:picLocks/>
        </xdr:cNvPicPr>
      </xdr:nvPicPr>
      <xdr:blipFill>
        <a:blip xmlns:r="http://schemas.openxmlformats.org/officeDocument/2006/relationships" r:embed="rId6" cstate="print"/>
        <a:stretch>
          <a:fillRect/>
        </a:stretch>
      </xdr:blipFill>
      <xdr:spPr>
        <a:xfrm>
          <a:off x="3403599" y="14084301"/>
          <a:ext cx="1780952" cy="9247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122465</xdr:colOff>
      <xdr:row>6</xdr:row>
      <xdr:rowOff>136072</xdr:rowOff>
    </xdr:from>
    <xdr:to>
      <xdr:col>13</xdr:col>
      <xdr:colOff>122465</xdr:colOff>
      <xdr:row>21</xdr:row>
      <xdr:rowOff>1</xdr:rowOff>
    </xdr:to>
    <xdr:graphicFrame macro="">
      <xdr:nvGraphicFramePr>
        <xdr:cNvPr id="2" name="Chart 2">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es%20documents/My%20Classes/MBA/53-683-02%20-%20Risk%20Analysis/Lectures/Seance%205/inclass/nucleartre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eeCalc_1"/>
    </sheetNames>
    <sheetDataSet>
      <sheetData sheetId="0" refreshError="1"/>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3"/>
  <sheetViews>
    <sheetView workbookViewId="0">
      <selection activeCell="A8" sqref="A8:A9"/>
    </sheetView>
  </sheetViews>
  <sheetFormatPr baseColWidth="10" defaultColWidth="11.42578125" defaultRowHeight="12.75" x14ac:dyDescent="0.2"/>
  <cols>
    <col min="1" max="1" width="26.85546875" customWidth="1"/>
    <col min="2" max="12" width="5.7109375" customWidth="1"/>
  </cols>
  <sheetData>
    <row r="1" spans="1:15" ht="15.75" x14ac:dyDescent="0.25">
      <c r="A1" s="39" t="s">
        <v>128</v>
      </c>
      <c r="O1" s="21"/>
    </row>
    <row r="2" spans="1:15" ht="15.75" x14ac:dyDescent="0.25">
      <c r="A2" s="36"/>
    </row>
    <row r="3" spans="1:15" ht="15.75" x14ac:dyDescent="0.25">
      <c r="A3" s="37" t="s">
        <v>126</v>
      </c>
      <c r="B3" s="35">
        <v>1</v>
      </c>
      <c r="C3" s="35">
        <f>B3+1</f>
        <v>2</v>
      </c>
      <c r="D3" s="35">
        <f t="shared" ref="D3:K3" si="0">C3+1</f>
        <v>3</v>
      </c>
      <c r="E3" s="35">
        <f t="shared" si="0"/>
        <v>4</v>
      </c>
      <c r="F3" s="35">
        <f t="shared" si="0"/>
        <v>5</v>
      </c>
      <c r="G3" s="35">
        <f t="shared" si="0"/>
        <v>6</v>
      </c>
      <c r="H3" s="35">
        <f t="shared" si="0"/>
        <v>7</v>
      </c>
      <c r="I3" s="35">
        <f t="shared" si="0"/>
        <v>8</v>
      </c>
      <c r="J3" s="35">
        <f t="shared" si="0"/>
        <v>9</v>
      </c>
      <c r="K3" s="35">
        <f t="shared" si="0"/>
        <v>10</v>
      </c>
      <c r="L3" s="35">
        <f>K3+1</f>
        <v>11</v>
      </c>
    </row>
    <row r="4" spans="1:15" ht="15.75" x14ac:dyDescent="0.25">
      <c r="A4" s="37" t="s">
        <v>127</v>
      </c>
      <c r="B4" s="35">
        <v>10</v>
      </c>
      <c r="C4" s="35">
        <v>10</v>
      </c>
      <c r="D4" s="35">
        <v>15</v>
      </c>
      <c r="E4" s="35">
        <v>15</v>
      </c>
      <c r="F4" s="35">
        <v>15</v>
      </c>
      <c r="G4" s="35">
        <v>95</v>
      </c>
      <c r="H4" s="35">
        <v>600</v>
      </c>
      <c r="I4" s="35">
        <v>1200</v>
      </c>
      <c r="J4" s="35">
        <v>750</v>
      </c>
      <c r="K4" s="35">
        <v>300</v>
      </c>
      <c r="L4" s="35">
        <v>150</v>
      </c>
    </row>
    <row r="5" spans="1:15" ht="15.75" x14ac:dyDescent="0.25">
      <c r="A5" s="40"/>
      <c r="B5" s="41"/>
      <c r="C5" s="41"/>
      <c r="D5" s="41"/>
      <c r="E5" s="41"/>
      <c r="F5" s="41"/>
      <c r="G5" s="41"/>
      <c r="H5" s="41"/>
      <c r="I5" s="41"/>
      <c r="J5" s="41"/>
      <c r="K5" s="41"/>
      <c r="L5" s="41"/>
    </row>
    <row r="6" spans="1:15" ht="15.75" x14ac:dyDescent="0.25">
      <c r="A6" s="39" t="s">
        <v>129</v>
      </c>
    </row>
    <row r="7" spans="1:15" ht="15.75" x14ac:dyDescent="0.25">
      <c r="A7" s="39" t="s">
        <v>130</v>
      </c>
    </row>
    <row r="8" spans="1:15" ht="15.75" x14ac:dyDescent="0.25">
      <c r="A8" s="39" t="s">
        <v>197</v>
      </c>
    </row>
    <row r="9" spans="1:15" ht="15.75" x14ac:dyDescent="0.25">
      <c r="A9" s="39" t="s">
        <v>198</v>
      </c>
    </row>
    <row r="10" spans="1:15" ht="15.75" x14ac:dyDescent="0.25">
      <c r="A10" s="39"/>
    </row>
    <row r="11" spans="1:15" ht="15.75" x14ac:dyDescent="0.25">
      <c r="A11" s="39" t="s">
        <v>132</v>
      </c>
    </row>
    <row r="12" spans="1:15" ht="15.75" x14ac:dyDescent="0.25">
      <c r="A12" s="39" t="s">
        <v>133</v>
      </c>
    </row>
    <row r="13" spans="1:15" ht="15.75" x14ac:dyDescent="0.25">
      <c r="A13" s="39" t="s">
        <v>131</v>
      </c>
    </row>
    <row r="14" spans="1:15" ht="15.75" x14ac:dyDescent="0.25">
      <c r="A14" s="39"/>
    </row>
    <row r="15" spans="1:15" ht="15.75" x14ac:dyDescent="0.25">
      <c r="A15" s="39" t="s">
        <v>134</v>
      </c>
    </row>
    <row r="16" spans="1:15" ht="15.75" x14ac:dyDescent="0.25">
      <c r="A16" s="39" t="s">
        <v>135</v>
      </c>
    </row>
    <row r="17" spans="1:1" ht="15.75" x14ac:dyDescent="0.25">
      <c r="A17" s="39"/>
    </row>
    <row r="18" spans="1:1" ht="15.75" x14ac:dyDescent="0.25">
      <c r="A18" s="39" t="s">
        <v>180</v>
      </c>
    </row>
    <row r="19" spans="1:1" ht="15.75" x14ac:dyDescent="0.25">
      <c r="A19" s="39"/>
    </row>
    <row r="20" spans="1:1" ht="15.75" x14ac:dyDescent="0.25">
      <c r="A20" s="39"/>
    </row>
    <row r="21" spans="1:1" ht="15.75" x14ac:dyDescent="0.25">
      <c r="A21" s="39"/>
    </row>
    <row r="22" spans="1:1" ht="15.75" x14ac:dyDescent="0.25">
      <c r="A22" s="39" t="s">
        <v>136</v>
      </c>
    </row>
    <row r="23" spans="1:1" ht="15.75" x14ac:dyDescent="0.25">
      <c r="A23" s="39" t="s">
        <v>137</v>
      </c>
    </row>
    <row r="24" spans="1:1" ht="15.75" x14ac:dyDescent="0.25">
      <c r="A24" s="39"/>
    </row>
    <row r="25" spans="1:1" ht="15.75" x14ac:dyDescent="0.25">
      <c r="A25" s="39" t="s">
        <v>138</v>
      </c>
    </row>
    <row r="26" spans="1:1" ht="15.75" x14ac:dyDescent="0.25">
      <c r="A26" s="39"/>
    </row>
    <row r="27" spans="1:1" ht="15.75" x14ac:dyDescent="0.25">
      <c r="A27" s="39" t="s">
        <v>139</v>
      </c>
    </row>
    <row r="28" spans="1:1" ht="15.75" x14ac:dyDescent="0.25">
      <c r="A28" s="39" t="s">
        <v>140</v>
      </c>
    </row>
    <row r="29" spans="1:1" ht="15.75" x14ac:dyDescent="0.25">
      <c r="A29" s="39" t="s">
        <v>141</v>
      </c>
    </row>
    <row r="30" spans="1:1" ht="15.75" x14ac:dyDescent="0.25">
      <c r="A30" s="39" t="s">
        <v>142</v>
      </c>
    </row>
    <row r="31" spans="1:1" ht="15.75" x14ac:dyDescent="0.25">
      <c r="A31" s="39" t="s">
        <v>143</v>
      </c>
    </row>
    <row r="32" spans="1:1" ht="15.75" x14ac:dyDescent="0.25">
      <c r="A32" s="39" t="s">
        <v>144</v>
      </c>
    </row>
    <row r="33" spans="1:1" ht="15.75" x14ac:dyDescent="0.25">
      <c r="A33" s="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L49"/>
  <sheetViews>
    <sheetView tabSelected="1" zoomScale="70" zoomScaleNormal="70" zoomScalePageLayoutView="70" workbookViewId="0">
      <selection activeCell="H23" sqref="H23"/>
    </sheetView>
  </sheetViews>
  <sheetFormatPr baseColWidth="10" defaultColWidth="5.7109375" defaultRowHeight="12.75" x14ac:dyDescent="0.2"/>
  <cols>
    <col min="1" max="1" width="19.42578125" style="15" customWidth="1"/>
    <col min="2" max="2" width="28.85546875" style="15" customWidth="1"/>
    <col min="3" max="3" width="6.85546875" style="15" customWidth="1"/>
    <col min="4" max="4" width="5.42578125" style="15" customWidth="1"/>
    <col min="5" max="7" width="9.140625" style="15" customWidth="1"/>
    <col min="8" max="8" width="8.7109375" style="15" bestFit="1" customWidth="1"/>
    <col min="9" max="9" width="7.42578125" style="15" bestFit="1" customWidth="1"/>
    <col min="10" max="10" width="5.85546875" style="15" bestFit="1" customWidth="1"/>
    <col min="11" max="18" width="5.7109375" style="15"/>
    <col min="19" max="19" width="5.85546875" style="15" customWidth="1"/>
    <col min="20" max="16384" width="5.7109375" style="15"/>
  </cols>
  <sheetData>
    <row r="1" spans="1:64" x14ac:dyDescent="0.2">
      <c r="A1" s="22" t="s">
        <v>145</v>
      </c>
      <c r="C1" s="15" t="s">
        <v>146</v>
      </c>
      <c r="D1" s="15" t="s">
        <v>147</v>
      </c>
      <c r="E1" s="15" t="s">
        <v>148</v>
      </c>
      <c r="G1" s="15" t="s">
        <v>0</v>
      </c>
      <c r="H1" s="15">
        <v>2018</v>
      </c>
      <c r="I1" s="15">
        <f>H1+1</f>
        <v>2019</v>
      </c>
      <c r="J1" s="15">
        <f t="shared" ref="J1:BF1" si="0">I1+1</f>
        <v>2020</v>
      </c>
      <c r="K1" s="15">
        <f t="shared" si="0"/>
        <v>2021</v>
      </c>
      <c r="L1" s="15">
        <f t="shared" si="0"/>
        <v>2022</v>
      </c>
      <c r="M1" s="15">
        <f t="shared" si="0"/>
        <v>2023</v>
      </c>
      <c r="N1" s="15">
        <f t="shared" si="0"/>
        <v>2024</v>
      </c>
      <c r="O1" s="15">
        <f t="shared" si="0"/>
        <v>2025</v>
      </c>
      <c r="P1" s="15">
        <f t="shared" si="0"/>
        <v>2026</v>
      </c>
      <c r="Q1" s="15">
        <f t="shared" si="0"/>
        <v>2027</v>
      </c>
      <c r="R1" s="15">
        <f t="shared" si="0"/>
        <v>2028</v>
      </c>
      <c r="S1" s="15">
        <f t="shared" si="0"/>
        <v>2029</v>
      </c>
      <c r="T1" s="15">
        <f t="shared" si="0"/>
        <v>2030</v>
      </c>
      <c r="U1" s="15">
        <f t="shared" si="0"/>
        <v>2031</v>
      </c>
      <c r="V1" s="15">
        <f t="shared" si="0"/>
        <v>2032</v>
      </c>
      <c r="W1" s="15">
        <f t="shared" si="0"/>
        <v>2033</v>
      </c>
      <c r="X1" s="15">
        <f t="shared" si="0"/>
        <v>2034</v>
      </c>
      <c r="Y1" s="15">
        <f t="shared" si="0"/>
        <v>2035</v>
      </c>
      <c r="Z1" s="15">
        <f t="shared" si="0"/>
        <v>2036</v>
      </c>
      <c r="AA1" s="15">
        <f t="shared" si="0"/>
        <v>2037</v>
      </c>
      <c r="AB1" s="15">
        <f t="shared" si="0"/>
        <v>2038</v>
      </c>
      <c r="AC1" s="15">
        <f t="shared" si="0"/>
        <v>2039</v>
      </c>
      <c r="AD1" s="15">
        <f t="shared" si="0"/>
        <v>2040</v>
      </c>
      <c r="AE1" s="15">
        <f t="shared" si="0"/>
        <v>2041</v>
      </c>
      <c r="AF1" s="15">
        <f t="shared" si="0"/>
        <v>2042</v>
      </c>
      <c r="AG1" s="15">
        <f t="shared" si="0"/>
        <v>2043</v>
      </c>
      <c r="AH1" s="15">
        <f t="shared" si="0"/>
        <v>2044</v>
      </c>
      <c r="AI1" s="15">
        <f t="shared" si="0"/>
        <v>2045</v>
      </c>
      <c r="AJ1" s="15">
        <f t="shared" si="0"/>
        <v>2046</v>
      </c>
      <c r="AK1" s="15">
        <f t="shared" si="0"/>
        <v>2047</v>
      </c>
      <c r="AL1" s="15">
        <f t="shared" si="0"/>
        <v>2048</v>
      </c>
      <c r="AM1" s="15">
        <f t="shared" si="0"/>
        <v>2049</v>
      </c>
      <c r="AN1" s="15">
        <f t="shared" si="0"/>
        <v>2050</v>
      </c>
      <c r="AO1" s="15">
        <f t="shared" si="0"/>
        <v>2051</v>
      </c>
      <c r="AP1" s="15">
        <f t="shared" si="0"/>
        <v>2052</v>
      </c>
      <c r="AQ1" s="15">
        <f t="shared" si="0"/>
        <v>2053</v>
      </c>
      <c r="AR1" s="15">
        <f t="shared" si="0"/>
        <v>2054</v>
      </c>
      <c r="AS1" s="15">
        <f t="shared" si="0"/>
        <v>2055</v>
      </c>
      <c r="AT1" s="15">
        <f t="shared" si="0"/>
        <v>2056</v>
      </c>
      <c r="AU1" s="15">
        <f t="shared" si="0"/>
        <v>2057</v>
      </c>
      <c r="AV1" s="15">
        <f t="shared" si="0"/>
        <v>2058</v>
      </c>
      <c r="AW1" s="15">
        <f t="shared" si="0"/>
        <v>2059</v>
      </c>
      <c r="AX1" s="15">
        <f t="shared" si="0"/>
        <v>2060</v>
      </c>
      <c r="AY1" s="15">
        <f t="shared" si="0"/>
        <v>2061</v>
      </c>
      <c r="AZ1" s="15">
        <f t="shared" si="0"/>
        <v>2062</v>
      </c>
      <c r="BA1" s="15">
        <f t="shared" si="0"/>
        <v>2063</v>
      </c>
      <c r="BB1" s="15">
        <f t="shared" si="0"/>
        <v>2064</v>
      </c>
      <c r="BC1" s="15">
        <f t="shared" si="0"/>
        <v>2065</v>
      </c>
      <c r="BD1" s="15">
        <f t="shared" si="0"/>
        <v>2066</v>
      </c>
      <c r="BE1" s="15">
        <f t="shared" si="0"/>
        <v>2067</v>
      </c>
      <c r="BF1" s="15">
        <f t="shared" si="0"/>
        <v>2068</v>
      </c>
      <c r="BG1" s="15">
        <f>BF1+1</f>
        <v>2069</v>
      </c>
      <c r="BH1" s="15">
        <f>BG1+1</f>
        <v>2070</v>
      </c>
      <c r="BI1" s="15">
        <f t="shared" ref="BI1:BL1" si="1">BH1+1</f>
        <v>2071</v>
      </c>
      <c r="BJ1" s="15">
        <f t="shared" si="1"/>
        <v>2072</v>
      </c>
      <c r="BK1" s="15">
        <f t="shared" si="1"/>
        <v>2073</v>
      </c>
      <c r="BL1" s="15">
        <f t="shared" si="1"/>
        <v>2074</v>
      </c>
    </row>
    <row r="2" spans="1:64" x14ac:dyDescent="0.2">
      <c r="B2" s="15" t="s">
        <v>149</v>
      </c>
      <c r="E2" s="23">
        <v>2</v>
      </c>
      <c r="G2" s="15">
        <f>SUM(H2:BL2)</f>
        <v>2282.3493842135272</v>
      </c>
      <c r="H2" s="15">
        <f>IF($E$2=1,H3,IF($E$2=2,H6,H9))</f>
        <v>34</v>
      </c>
      <c r="I2" s="15">
        <f t="shared" ref="I2:BL2" si="2">IF($E$2=1,I3,IF($E$2=2,I6,I9))</f>
        <v>34.067999999999998</v>
      </c>
      <c r="J2" s="15">
        <f t="shared" si="2"/>
        <v>34.136136</v>
      </c>
      <c r="K2" s="15">
        <f t="shared" si="2"/>
        <v>34.204408272000002</v>
      </c>
      <c r="L2" s="15">
        <f t="shared" si="2"/>
        <v>34.272817088544002</v>
      </c>
      <c r="M2" s="15">
        <f t="shared" si="2"/>
        <v>34.341362722721094</v>
      </c>
      <c r="N2" s="15">
        <f t="shared" si="2"/>
        <v>34.410045448166535</v>
      </c>
      <c r="O2" s="15">
        <f t="shared" si="2"/>
        <v>34.478865539062866</v>
      </c>
      <c r="P2" s="15">
        <f t="shared" si="2"/>
        <v>34.547823270140995</v>
      </c>
      <c r="Q2" s="15">
        <f t="shared" si="2"/>
        <v>34.616918916681279</v>
      </c>
      <c r="R2" s="15">
        <f t="shared" si="2"/>
        <v>34.686152754514644</v>
      </c>
      <c r="S2" s="15">
        <f t="shared" si="2"/>
        <v>34.755525060023672</v>
      </c>
      <c r="T2" s="15">
        <f t="shared" si="2"/>
        <v>34.825036110143721</v>
      </c>
      <c r="U2" s="15">
        <f t="shared" si="2"/>
        <v>34.894686182364005</v>
      </c>
      <c r="V2" s="15">
        <f t="shared" si="2"/>
        <v>34.964475554728736</v>
      </c>
      <c r="W2" s="15">
        <f t="shared" si="2"/>
        <v>35.034404505838197</v>
      </c>
      <c r="X2" s="15">
        <f t="shared" si="2"/>
        <v>35.104473314849876</v>
      </c>
      <c r="Y2" s="15">
        <f t="shared" si="2"/>
        <v>35.174682261479575</v>
      </c>
      <c r="Z2" s="15">
        <f t="shared" si="2"/>
        <v>35.245031626002536</v>
      </c>
      <c r="AA2" s="15">
        <f t="shared" si="2"/>
        <v>35.315521689254538</v>
      </c>
      <c r="AB2" s="15">
        <f t="shared" si="2"/>
        <v>35.38615273263305</v>
      </c>
      <c r="AC2" s="15">
        <f t="shared" si="2"/>
        <v>35.456925038098319</v>
      </c>
      <c r="AD2" s="15">
        <f t="shared" si="2"/>
        <v>35.527838888174514</v>
      </c>
      <c r="AE2" s="15">
        <f t="shared" si="2"/>
        <v>35.598894565950864</v>
      </c>
      <c r="AF2" s="15">
        <f t="shared" si="2"/>
        <v>35.670092355082765</v>
      </c>
      <c r="AG2" s="15">
        <f t="shared" si="2"/>
        <v>36.347824109829332</v>
      </c>
      <c r="AH2" s="15">
        <f t="shared" si="2"/>
        <v>37.038432767916085</v>
      </c>
      <c r="AI2" s="15">
        <f t="shared" si="2"/>
        <v>37.742162990506486</v>
      </c>
      <c r="AJ2" s="15">
        <f t="shared" si="2"/>
        <v>38.459264087326105</v>
      </c>
      <c r="AK2" s="15">
        <f t="shared" si="2"/>
        <v>39.189990104985299</v>
      </c>
      <c r="AL2" s="15">
        <f t="shared" si="2"/>
        <v>39.934599916980012</v>
      </c>
      <c r="AM2" s="15">
        <f t="shared" si="2"/>
        <v>40.693357315402629</v>
      </c>
      <c r="AN2" s="15">
        <f t="shared" si="2"/>
        <v>41.466531104395273</v>
      </c>
      <c r="AO2" s="15">
        <f t="shared" si="2"/>
        <v>42.254395195378777</v>
      </c>
      <c r="AP2" s="15">
        <f t="shared" si="2"/>
        <v>43.057228704090967</v>
      </c>
      <c r="AQ2" s="15">
        <f t="shared" si="2"/>
        <v>43.315572076315512</v>
      </c>
      <c r="AR2" s="15">
        <f t="shared" si="2"/>
        <v>43.575465508773405</v>
      </c>
      <c r="AS2" s="15">
        <f t="shared" si="2"/>
        <v>43.836918301826046</v>
      </c>
      <c r="AT2" s="15">
        <f t="shared" si="2"/>
        <v>44.099939811637</v>
      </c>
      <c r="AU2" s="15">
        <f t="shared" si="2"/>
        <v>44.364539450506825</v>
      </c>
      <c r="AV2" s="15">
        <f t="shared" si="2"/>
        <v>44.630726687209865</v>
      </c>
      <c r="AW2" s="15">
        <f t="shared" si="2"/>
        <v>44.898511047333123</v>
      </c>
      <c r="AX2" s="15">
        <f t="shared" si="2"/>
        <v>45.167902113617124</v>
      </c>
      <c r="AY2" s="15">
        <f t="shared" si="2"/>
        <v>45.438909526298829</v>
      </c>
      <c r="AZ2" s="15">
        <f t="shared" si="2"/>
        <v>45.711542983456624</v>
      </c>
      <c r="BA2" s="15">
        <f t="shared" si="2"/>
        <v>45.985812241357365</v>
      </c>
      <c r="BB2" s="15">
        <f t="shared" si="2"/>
        <v>46.26172711480551</v>
      </c>
      <c r="BC2" s="15">
        <f t="shared" si="2"/>
        <v>46.539297477494344</v>
      </c>
      <c r="BD2" s="15">
        <f t="shared" si="2"/>
        <v>46.81853326235931</v>
      </c>
      <c r="BE2" s="15">
        <f t="shared" si="2"/>
        <v>47.099444461933466</v>
      </c>
      <c r="BF2" s="15">
        <f t="shared" si="2"/>
        <v>47.382041128705069</v>
      </c>
      <c r="BG2" s="15">
        <f t="shared" si="2"/>
        <v>47.666333375477301</v>
      </c>
      <c r="BH2" s="15">
        <f t="shared" si="2"/>
        <v>47.952331375730168</v>
      </c>
      <c r="BI2" s="15">
        <f t="shared" si="2"/>
        <v>48.240045363984549</v>
      </c>
      <c r="BJ2" s="15">
        <f t="shared" si="2"/>
        <v>48.529485636168459</v>
      </c>
      <c r="BK2" s="15">
        <f t="shared" si="2"/>
        <v>48.820662549985471</v>
      </c>
      <c r="BL2" s="15">
        <f t="shared" si="2"/>
        <v>49.113586525285385</v>
      </c>
    </row>
    <row r="3" spans="1:64" x14ac:dyDescent="0.2">
      <c r="B3" s="15" t="s">
        <v>150</v>
      </c>
      <c r="D3" s="16">
        <v>0</v>
      </c>
      <c r="E3" s="15">
        <v>34</v>
      </c>
      <c r="G3" s="15">
        <f>SUM(H3:BL3)</f>
        <v>1938</v>
      </c>
      <c r="H3" s="15">
        <f>E3</f>
        <v>34</v>
      </c>
      <c r="I3" s="15">
        <f>IF(I$1&lt;$C4,H3*(1+$D3),IF(I$1&lt;$C5,H3*(1+$D4),H3*(1+$D5)))</f>
        <v>34</v>
      </c>
      <c r="J3" s="15">
        <f t="shared" ref="J3:BL3" si="3">IF(J$1&lt;$C4,I3*(1+$D3),IF(J$1&lt;$C5,I3*(1+$D4),I3*(1+$D5)))</f>
        <v>34</v>
      </c>
      <c r="K3" s="15">
        <f t="shared" si="3"/>
        <v>34</v>
      </c>
      <c r="L3" s="15">
        <f t="shared" si="3"/>
        <v>34</v>
      </c>
      <c r="M3" s="15">
        <f t="shared" si="3"/>
        <v>34</v>
      </c>
      <c r="N3" s="15">
        <f t="shared" si="3"/>
        <v>34</v>
      </c>
      <c r="O3" s="15">
        <f t="shared" si="3"/>
        <v>34</v>
      </c>
      <c r="P3" s="15">
        <f t="shared" si="3"/>
        <v>34</v>
      </c>
      <c r="Q3" s="15">
        <f t="shared" si="3"/>
        <v>34</v>
      </c>
      <c r="R3" s="15">
        <f t="shared" si="3"/>
        <v>34</v>
      </c>
      <c r="S3" s="15">
        <f t="shared" si="3"/>
        <v>34</v>
      </c>
      <c r="T3" s="15">
        <f t="shared" si="3"/>
        <v>34</v>
      </c>
      <c r="U3" s="15">
        <f t="shared" si="3"/>
        <v>34</v>
      </c>
      <c r="V3" s="15">
        <f t="shared" si="3"/>
        <v>34</v>
      </c>
      <c r="W3" s="15">
        <f t="shared" si="3"/>
        <v>34</v>
      </c>
      <c r="X3" s="15">
        <f t="shared" si="3"/>
        <v>34</v>
      </c>
      <c r="Y3" s="15">
        <f t="shared" si="3"/>
        <v>34</v>
      </c>
      <c r="Z3" s="15">
        <f t="shared" si="3"/>
        <v>34</v>
      </c>
      <c r="AA3" s="15">
        <f t="shared" si="3"/>
        <v>34</v>
      </c>
      <c r="AB3" s="15">
        <f t="shared" si="3"/>
        <v>34</v>
      </c>
      <c r="AC3" s="15">
        <f t="shared" si="3"/>
        <v>34</v>
      </c>
      <c r="AD3" s="15">
        <f t="shared" si="3"/>
        <v>34</v>
      </c>
      <c r="AE3" s="15">
        <f t="shared" si="3"/>
        <v>34</v>
      </c>
      <c r="AF3" s="15">
        <f t="shared" si="3"/>
        <v>34</v>
      </c>
      <c r="AG3" s="15">
        <f t="shared" si="3"/>
        <v>34</v>
      </c>
      <c r="AH3" s="15">
        <f t="shared" si="3"/>
        <v>34</v>
      </c>
      <c r="AI3" s="15">
        <f t="shared" si="3"/>
        <v>34</v>
      </c>
      <c r="AJ3" s="15">
        <f t="shared" si="3"/>
        <v>34</v>
      </c>
      <c r="AK3" s="15">
        <f t="shared" si="3"/>
        <v>34</v>
      </c>
      <c r="AL3" s="15">
        <f t="shared" si="3"/>
        <v>34</v>
      </c>
      <c r="AM3" s="15">
        <f t="shared" si="3"/>
        <v>34</v>
      </c>
      <c r="AN3" s="15">
        <f t="shared" si="3"/>
        <v>34</v>
      </c>
      <c r="AO3" s="15">
        <f t="shared" si="3"/>
        <v>34</v>
      </c>
      <c r="AP3" s="15">
        <f t="shared" si="3"/>
        <v>34</v>
      </c>
      <c r="AQ3" s="15">
        <f t="shared" si="3"/>
        <v>34</v>
      </c>
      <c r="AR3" s="15">
        <f t="shared" si="3"/>
        <v>34</v>
      </c>
      <c r="AS3" s="15">
        <f t="shared" si="3"/>
        <v>34</v>
      </c>
      <c r="AT3" s="15">
        <f t="shared" si="3"/>
        <v>34</v>
      </c>
      <c r="AU3" s="15">
        <f t="shared" si="3"/>
        <v>34</v>
      </c>
      <c r="AV3" s="15">
        <f t="shared" si="3"/>
        <v>34</v>
      </c>
      <c r="AW3" s="15">
        <f t="shared" si="3"/>
        <v>34</v>
      </c>
      <c r="AX3" s="15">
        <f t="shared" si="3"/>
        <v>34</v>
      </c>
      <c r="AY3" s="15">
        <f t="shared" si="3"/>
        <v>34</v>
      </c>
      <c r="AZ3" s="15">
        <f t="shared" si="3"/>
        <v>34</v>
      </c>
      <c r="BA3" s="15">
        <f t="shared" si="3"/>
        <v>34</v>
      </c>
      <c r="BB3" s="15">
        <f t="shared" si="3"/>
        <v>34</v>
      </c>
      <c r="BC3" s="15">
        <f t="shared" si="3"/>
        <v>34</v>
      </c>
      <c r="BD3" s="15">
        <f t="shared" si="3"/>
        <v>34</v>
      </c>
      <c r="BE3" s="15">
        <f t="shared" si="3"/>
        <v>34</v>
      </c>
      <c r="BF3" s="15">
        <f t="shared" si="3"/>
        <v>34</v>
      </c>
      <c r="BG3" s="15">
        <f t="shared" si="3"/>
        <v>34</v>
      </c>
      <c r="BH3" s="15">
        <f t="shared" si="3"/>
        <v>34</v>
      </c>
      <c r="BI3" s="15">
        <f t="shared" si="3"/>
        <v>34</v>
      </c>
      <c r="BJ3" s="15">
        <f t="shared" si="3"/>
        <v>34</v>
      </c>
      <c r="BK3" s="15">
        <f t="shared" si="3"/>
        <v>34</v>
      </c>
      <c r="BL3" s="15">
        <f t="shared" si="3"/>
        <v>34</v>
      </c>
    </row>
    <row r="4" spans="1:64" x14ac:dyDescent="0.2">
      <c r="C4" s="15">
        <f>H1+25</f>
        <v>2043</v>
      </c>
      <c r="D4" s="16">
        <v>0</v>
      </c>
    </row>
    <row r="5" spans="1:64" x14ac:dyDescent="0.2">
      <c r="C5" s="15">
        <f>H1+35</f>
        <v>2053</v>
      </c>
      <c r="D5" s="16">
        <v>0</v>
      </c>
    </row>
    <row r="6" spans="1:64" x14ac:dyDescent="0.2">
      <c r="B6" s="15" t="s">
        <v>151</v>
      </c>
      <c r="D6" s="16">
        <v>2E-3</v>
      </c>
      <c r="E6" s="15">
        <v>34</v>
      </c>
      <c r="G6" s="15">
        <f>SUM(H6:BL6)</f>
        <v>2282.3493842135272</v>
      </c>
      <c r="H6" s="15">
        <f>E6</f>
        <v>34</v>
      </c>
      <c r="I6" s="15">
        <f>IF($I4&lt;$C7,H6*(1+$D6),IF($I4&lt;$C8,H6*(1+$D7),H6*(1+$D8)))</f>
        <v>34.067999999999998</v>
      </c>
      <c r="J6" s="15">
        <f t="shared" ref="J6:BL6" si="4">IF(J$1&lt;$C7,I6*(1+$D6),IF(J$1&lt;$C8,I6*(1+$D7),I6*(1+$D8)))</f>
        <v>34.136136</v>
      </c>
      <c r="K6" s="15">
        <f t="shared" si="4"/>
        <v>34.204408272000002</v>
      </c>
      <c r="L6" s="15">
        <f t="shared" si="4"/>
        <v>34.272817088544002</v>
      </c>
      <c r="M6" s="15">
        <f t="shared" si="4"/>
        <v>34.341362722721094</v>
      </c>
      <c r="N6" s="15">
        <f t="shared" si="4"/>
        <v>34.410045448166535</v>
      </c>
      <c r="O6" s="15">
        <f t="shared" si="4"/>
        <v>34.478865539062866</v>
      </c>
      <c r="P6" s="15">
        <f t="shared" si="4"/>
        <v>34.547823270140995</v>
      </c>
      <c r="Q6" s="15">
        <f t="shared" si="4"/>
        <v>34.616918916681279</v>
      </c>
      <c r="R6" s="15">
        <f t="shared" si="4"/>
        <v>34.686152754514644</v>
      </c>
      <c r="S6" s="15">
        <f t="shared" si="4"/>
        <v>34.755525060023672</v>
      </c>
      <c r="T6" s="15">
        <f t="shared" si="4"/>
        <v>34.825036110143721</v>
      </c>
      <c r="U6" s="15">
        <f t="shared" si="4"/>
        <v>34.894686182364005</v>
      </c>
      <c r="V6" s="15">
        <f t="shared" si="4"/>
        <v>34.964475554728736</v>
      </c>
      <c r="W6" s="15">
        <f t="shared" si="4"/>
        <v>35.034404505838197</v>
      </c>
      <c r="X6" s="15">
        <f t="shared" si="4"/>
        <v>35.104473314849876</v>
      </c>
      <c r="Y6" s="15">
        <f t="shared" si="4"/>
        <v>35.174682261479575</v>
      </c>
      <c r="Z6" s="15">
        <f t="shared" si="4"/>
        <v>35.245031626002536</v>
      </c>
      <c r="AA6" s="15">
        <f t="shared" si="4"/>
        <v>35.315521689254538</v>
      </c>
      <c r="AB6" s="15">
        <f t="shared" si="4"/>
        <v>35.38615273263305</v>
      </c>
      <c r="AC6" s="15">
        <f t="shared" si="4"/>
        <v>35.456925038098319</v>
      </c>
      <c r="AD6" s="15">
        <f t="shared" si="4"/>
        <v>35.527838888174514</v>
      </c>
      <c r="AE6" s="15">
        <f t="shared" si="4"/>
        <v>35.598894565950864</v>
      </c>
      <c r="AF6" s="15">
        <f t="shared" si="4"/>
        <v>35.670092355082765</v>
      </c>
      <c r="AG6" s="15">
        <f t="shared" si="4"/>
        <v>36.347824109829332</v>
      </c>
      <c r="AH6" s="15">
        <f t="shared" si="4"/>
        <v>37.038432767916085</v>
      </c>
      <c r="AI6" s="15">
        <f t="shared" si="4"/>
        <v>37.742162990506486</v>
      </c>
      <c r="AJ6" s="15">
        <f t="shared" si="4"/>
        <v>38.459264087326105</v>
      </c>
      <c r="AK6" s="15">
        <f t="shared" si="4"/>
        <v>39.189990104985299</v>
      </c>
      <c r="AL6" s="15">
        <f t="shared" si="4"/>
        <v>39.934599916980012</v>
      </c>
      <c r="AM6" s="15">
        <f t="shared" si="4"/>
        <v>40.693357315402629</v>
      </c>
      <c r="AN6" s="15">
        <f t="shared" si="4"/>
        <v>41.466531104395273</v>
      </c>
      <c r="AO6" s="15">
        <f t="shared" si="4"/>
        <v>42.254395195378777</v>
      </c>
      <c r="AP6" s="15">
        <f t="shared" si="4"/>
        <v>43.057228704090967</v>
      </c>
      <c r="AQ6" s="15">
        <f t="shared" si="4"/>
        <v>43.315572076315512</v>
      </c>
      <c r="AR6" s="15">
        <f t="shared" si="4"/>
        <v>43.575465508773405</v>
      </c>
      <c r="AS6" s="15">
        <f t="shared" si="4"/>
        <v>43.836918301826046</v>
      </c>
      <c r="AT6" s="15">
        <f t="shared" si="4"/>
        <v>44.099939811637</v>
      </c>
      <c r="AU6" s="15">
        <f t="shared" si="4"/>
        <v>44.364539450506825</v>
      </c>
      <c r="AV6" s="15">
        <f t="shared" si="4"/>
        <v>44.630726687209865</v>
      </c>
      <c r="AW6" s="15">
        <f t="shared" si="4"/>
        <v>44.898511047333123</v>
      </c>
      <c r="AX6" s="15">
        <f t="shared" si="4"/>
        <v>45.167902113617124</v>
      </c>
      <c r="AY6" s="15">
        <f t="shared" si="4"/>
        <v>45.438909526298829</v>
      </c>
      <c r="AZ6" s="15">
        <f t="shared" si="4"/>
        <v>45.711542983456624</v>
      </c>
      <c r="BA6" s="15">
        <f t="shared" si="4"/>
        <v>45.985812241357365</v>
      </c>
      <c r="BB6" s="15">
        <f t="shared" si="4"/>
        <v>46.26172711480551</v>
      </c>
      <c r="BC6" s="15">
        <f t="shared" si="4"/>
        <v>46.539297477494344</v>
      </c>
      <c r="BD6" s="15">
        <f t="shared" si="4"/>
        <v>46.81853326235931</v>
      </c>
      <c r="BE6" s="15">
        <f t="shared" si="4"/>
        <v>47.099444461933466</v>
      </c>
      <c r="BF6" s="15">
        <f t="shared" si="4"/>
        <v>47.382041128705069</v>
      </c>
      <c r="BG6" s="15">
        <f t="shared" si="4"/>
        <v>47.666333375477301</v>
      </c>
      <c r="BH6" s="15">
        <f t="shared" si="4"/>
        <v>47.952331375730168</v>
      </c>
      <c r="BI6" s="15">
        <f t="shared" si="4"/>
        <v>48.240045363984549</v>
      </c>
      <c r="BJ6" s="15">
        <f t="shared" si="4"/>
        <v>48.529485636168459</v>
      </c>
      <c r="BK6" s="15">
        <f t="shared" si="4"/>
        <v>48.820662549985471</v>
      </c>
      <c r="BL6" s="15">
        <f t="shared" si="4"/>
        <v>49.113586525285385</v>
      </c>
    </row>
    <row r="7" spans="1:64" x14ac:dyDescent="0.2">
      <c r="C7" s="15">
        <f>H1+25</f>
        <v>2043</v>
      </c>
      <c r="D7" s="16">
        <v>1.9E-2</v>
      </c>
    </row>
    <row r="8" spans="1:64" x14ac:dyDescent="0.2">
      <c r="C8" s="15">
        <f>H1+35</f>
        <v>2053</v>
      </c>
      <c r="D8" s="16">
        <v>6.0000000000000001E-3</v>
      </c>
    </row>
    <row r="9" spans="1:64" x14ac:dyDescent="0.2">
      <c r="B9" s="15" t="s">
        <v>152</v>
      </c>
      <c r="D9" s="16">
        <v>0</v>
      </c>
      <c r="E9" s="15">
        <v>34</v>
      </c>
      <c r="G9" s="15">
        <f>SUM(H9:BL9)</f>
        <v>2859.1880062869454</v>
      </c>
      <c r="H9" s="15">
        <f>E9</f>
        <v>34</v>
      </c>
      <c r="I9" s="15">
        <f t="shared" ref="I9:BL9" si="5">IF(I$1&lt;$C10,H9*(1+$D9),IF(I$1&lt;$C11,H9*(1+$D10),H9*(1+$D11)))</f>
        <v>34</v>
      </c>
      <c r="J9" s="15">
        <f t="shared" si="5"/>
        <v>34</v>
      </c>
      <c r="K9" s="15">
        <f t="shared" si="5"/>
        <v>34</v>
      </c>
      <c r="L9" s="15">
        <f t="shared" si="5"/>
        <v>34</v>
      </c>
      <c r="M9" s="15">
        <f t="shared" si="5"/>
        <v>34.51</v>
      </c>
      <c r="N9" s="15">
        <f t="shared" si="5"/>
        <v>35.027649999999994</v>
      </c>
      <c r="O9" s="15">
        <f t="shared" si="5"/>
        <v>35.55306474999999</v>
      </c>
      <c r="P9" s="15">
        <f t="shared" si="5"/>
        <v>36.086360721249989</v>
      </c>
      <c r="Q9" s="15">
        <f t="shared" si="5"/>
        <v>36.627656132068736</v>
      </c>
      <c r="R9" s="15">
        <f t="shared" si="5"/>
        <v>37.177070974049762</v>
      </c>
      <c r="S9" s="15">
        <f t="shared" si="5"/>
        <v>37.734727038660502</v>
      </c>
      <c r="T9" s="15">
        <f t="shared" si="5"/>
        <v>38.300747944240406</v>
      </c>
      <c r="U9" s="15">
        <f t="shared" si="5"/>
        <v>38.87525916340401</v>
      </c>
      <c r="V9" s="15">
        <f t="shared" si="5"/>
        <v>39.458388050855064</v>
      </c>
      <c r="W9" s="15">
        <f t="shared" si="5"/>
        <v>40.050263871617886</v>
      </c>
      <c r="X9" s="15">
        <f t="shared" si="5"/>
        <v>40.651017829692151</v>
      </c>
      <c r="Y9" s="15">
        <f t="shared" si="5"/>
        <v>41.260783097137526</v>
      </c>
      <c r="Z9" s="15">
        <f t="shared" si="5"/>
        <v>41.879694843594585</v>
      </c>
      <c r="AA9" s="15">
        <f t="shared" si="5"/>
        <v>42.507890266248502</v>
      </c>
      <c r="AB9" s="15">
        <f t="shared" si="5"/>
        <v>43.145508620242225</v>
      </c>
      <c r="AC9" s="15">
        <f t="shared" si="5"/>
        <v>43.792691249545854</v>
      </c>
      <c r="AD9" s="15">
        <f t="shared" si="5"/>
        <v>44.449581618289038</v>
      </c>
      <c r="AE9" s="15">
        <f t="shared" si="5"/>
        <v>45.116325342563371</v>
      </c>
      <c r="AF9" s="15">
        <f t="shared" si="5"/>
        <v>45.793070222701814</v>
      </c>
      <c r="AG9" s="15">
        <f t="shared" si="5"/>
        <v>46.47996627604234</v>
      </c>
      <c r="AH9" s="15">
        <f t="shared" si="5"/>
        <v>47.177165770182974</v>
      </c>
      <c r="AI9" s="15">
        <f t="shared" si="5"/>
        <v>47.884823256735714</v>
      </c>
      <c r="AJ9" s="15">
        <f t="shared" si="5"/>
        <v>48.603095605586745</v>
      </c>
      <c r="AK9" s="15">
        <f t="shared" si="5"/>
        <v>49.332142039670543</v>
      </c>
      <c r="AL9" s="15">
        <f t="shared" si="5"/>
        <v>50.072124170265596</v>
      </c>
      <c r="AM9" s="15">
        <f t="shared" si="5"/>
        <v>50.823206032819577</v>
      </c>
      <c r="AN9" s="15">
        <f t="shared" si="5"/>
        <v>51.585554123311866</v>
      </c>
      <c r="AO9" s="15">
        <f t="shared" si="5"/>
        <v>52.359337435161535</v>
      </c>
      <c r="AP9" s="15">
        <f t="shared" si="5"/>
        <v>53.144727496688951</v>
      </c>
      <c r="AQ9" s="15">
        <f t="shared" si="5"/>
        <v>53.941898409139277</v>
      </c>
      <c r="AR9" s="15">
        <f t="shared" si="5"/>
        <v>54.75102688527636</v>
      </c>
      <c r="AS9" s="15">
        <f t="shared" si="5"/>
        <v>55.572292288555502</v>
      </c>
      <c r="AT9" s="15">
        <f t="shared" si="5"/>
        <v>56.405876672883828</v>
      </c>
      <c r="AU9" s="15">
        <f t="shared" si="5"/>
        <v>57.251964822977079</v>
      </c>
      <c r="AV9" s="15">
        <f t="shared" si="5"/>
        <v>58.11074429532173</v>
      </c>
      <c r="AW9" s="15">
        <f t="shared" si="5"/>
        <v>58.982405459751547</v>
      </c>
      <c r="AX9" s="15">
        <f t="shared" si="5"/>
        <v>59.867141541647811</v>
      </c>
      <c r="AY9" s="15">
        <f t="shared" si="5"/>
        <v>60.765148664772525</v>
      </c>
      <c r="AZ9" s="15">
        <f t="shared" si="5"/>
        <v>61.676625894744106</v>
      </c>
      <c r="BA9" s="15">
        <f t="shared" si="5"/>
        <v>62.60177528316526</v>
      </c>
      <c r="BB9" s="15">
        <f t="shared" si="5"/>
        <v>63.540801912412732</v>
      </c>
      <c r="BC9" s="15">
        <f t="shared" si="5"/>
        <v>64.49391394109891</v>
      </c>
      <c r="BD9" s="15">
        <f t="shared" si="5"/>
        <v>65.461322650215394</v>
      </c>
      <c r="BE9" s="15">
        <f t="shared" si="5"/>
        <v>66.443242489968611</v>
      </c>
      <c r="BF9" s="15">
        <f t="shared" si="5"/>
        <v>67.439891127318134</v>
      </c>
      <c r="BG9" s="15">
        <f t="shared" si="5"/>
        <v>68.4514894942279</v>
      </c>
      <c r="BH9" s="15">
        <f t="shared" si="5"/>
        <v>69.478261836641309</v>
      </c>
      <c r="BI9" s="15">
        <f t="shared" si="5"/>
        <v>70.520435764190921</v>
      </c>
      <c r="BJ9" s="15">
        <f t="shared" si="5"/>
        <v>71.578242300653784</v>
      </c>
      <c r="BK9" s="15">
        <f t="shared" si="5"/>
        <v>72.651915935163586</v>
      </c>
      <c r="BL9" s="15">
        <f t="shared" si="5"/>
        <v>73.741694674191038</v>
      </c>
    </row>
    <row r="10" spans="1:64" x14ac:dyDescent="0.2">
      <c r="C10" s="15">
        <f>H1+5</f>
        <v>2023</v>
      </c>
      <c r="D10" s="16">
        <v>1.4999999999999999E-2</v>
      </c>
    </row>
    <row r="11" spans="1:64" x14ac:dyDescent="0.2">
      <c r="C11" s="15">
        <f>H1+25</f>
        <v>2043</v>
      </c>
      <c r="D11" s="16">
        <v>1.4999999999999999E-2</v>
      </c>
    </row>
    <row r="12" spans="1:64" x14ac:dyDescent="0.2">
      <c r="B12" s="15" t="s">
        <v>153</v>
      </c>
      <c r="E12" s="15">
        <v>2000</v>
      </c>
    </row>
    <row r="13" spans="1:64" x14ac:dyDescent="0.2">
      <c r="B13" s="15" t="s">
        <v>154</v>
      </c>
      <c r="E13" s="24">
        <v>0.9</v>
      </c>
      <c r="F13" s="17"/>
      <c r="G13" s="17"/>
    </row>
    <row r="14" spans="1:64" x14ac:dyDescent="0.2">
      <c r="B14" s="15" t="s">
        <v>155</v>
      </c>
      <c r="F14" s="20"/>
      <c r="G14" s="15">
        <f>SUM(H14:BL14)</f>
        <v>20</v>
      </c>
      <c r="H14" s="15">
        <v>10</v>
      </c>
      <c r="I14" s="15">
        <v>10</v>
      </c>
    </row>
    <row r="15" spans="1:64" x14ac:dyDescent="0.2">
      <c r="B15" s="15" t="s">
        <v>156</v>
      </c>
      <c r="D15" s="17"/>
      <c r="F15" s="20"/>
      <c r="G15" s="15">
        <f>SUM(H15:BL15)</f>
        <v>140</v>
      </c>
      <c r="H15" s="15">
        <v>0</v>
      </c>
      <c r="I15" s="15">
        <v>0</v>
      </c>
      <c r="J15" s="15">
        <v>15</v>
      </c>
      <c r="K15" s="15">
        <v>15</v>
      </c>
      <c r="L15" s="15">
        <v>15</v>
      </c>
      <c r="M15" s="15">
        <v>95</v>
      </c>
    </row>
    <row r="16" spans="1:64" x14ac:dyDescent="0.2">
      <c r="B16" s="15" t="s">
        <v>157</v>
      </c>
      <c r="D16" s="17"/>
      <c r="E16" s="23">
        <v>1.5</v>
      </c>
      <c r="F16" s="20" t="s">
        <v>44</v>
      </c>
      <c r="G16" s="15">
        <f>SUM(H16:BL16)</f>
        <v>3000</v>
      </c>
      <c r="H16" s="15">
        <v>0</v>
      </c>
      <c r="I16" s="15">
        <v>0</v>
      </c>
      <c r="J16" s="15">
        <v>0</v>
      </c>
      <c r="K16" s="15">
        <v>0</v>
      </c>
      <c r="L16" s="15">
        <v>0</v>
      </c>
      <c r="M16" s="15">
        <v>0</v>
      </c>
      <c r="N16" s="15">
        <f>$E16*$E$12*0.2</f>
        <v>600</v>
      </c>
      <c r="O16" s="15">
        <f>$E16*$E$12*0.4</f>
        <v>1200</v>
      </c>
      <c r="P16" s="15">
        <f>$E16*$E$12*0.25</f>
        <v>750</v>
      </c>
      <c r="Q16" s="15">
        <f>$E16*$E$12*0.1</f>
        <v>300</v>
      </c>
      <c r="R16" s="15">
        <f>$E16*$E$12*0.05</f>
        <v>150</v>
      </c>
    </row>
    <row r="17" spans="1:64" x14ac:dyDescent="0.2">
      <c r="B17" s="15" t="s">
        <v>159</v>
      </c>
      <c r="D17" s="17"/>
      <c r="E17" s="26">
        <v>15</v>
      </c>
      <c r="F17" s="18"/>
      <c r="G17" s="18"/>
    </row>
    <row r="18" spans="1:64" x14ac:dyDescent="0.2">
      <c r="B18" s="15" t="s">
        <v>158</v>
      </c>
      <c r="C18" s="15">
        <f>H1+30</f>
        <v>2048</v>
      </c>
      <c r="D18" s="24">
        <v>0.06</v>
      </c>
      <c r="E18" s="15">
        <v>17</v>
      </c>
      <c r="G18" s="15">
        <f>SUM(H18:BL18)</f>
        <v>1657.977897524702</v>
      </c>
      <c r="H18" s="15">
        <f>E18</f>
        <v>17</v>
      </c>
      <c r="I18" s="15">
        <f t="shared" ref="I18:BL18" si="6">IF(I1&lt;$C$18,H18,H18*(1+$D$18))</f>
        <v>17</v>
      </c>
      <c r="J18" s="15">
        <f t="shared" si="6"/>
        <v>17</v>
      </c>
      <c r="K18" s="15">
        <f t="shared" si="6"/>
        <v>17</v>
      </c>
      <c r="L18" s="15">
        <f t="shared" si="6"/>
        <v>17</v>
      </c>
      <c r="M18" s="15">
        <f t="shared" si="6"/>
        <v>17</v>
      </c>
      <c r="N18" s="15">
        <f t="shared" si="6"/>
        <v>17</v>
      </c>
      <c r="O18" s="15">
        <f t="shared" si="6"/>
        <v>17</v>
      </c>
      <c r="P18" s="15">
        <f t="shared" si="6"/>
        <v>17</v>
      </c>
      <c r="Q18" s="15">
        <f t="shared" si="6"/>
        <v>17</v>
      </c>
      <c r="R18" s="15">
        <f t="shared" si="6"/>
        <v>17</v>
      </c>
      <c r="S18" s="15">
        <f t="shared" si="6"/>
        <v>17</v>
      </c>
      <c r="T18" s="15">
        <f t="shared" si="6"/>
        <v>17</v>
      </c>
      <c r="U18" s="15">
        <f t="shared" si="6"/>
        <v>17</v>
      </c>
      <c r="V18" s="15">
        <f t="shared" si="6"/>
        <v>17</v>
      </c>
      <c r="W18" s="15">
        <f t="shared" si="6"/>
        <v>17</v>
      </c>
      <c r="X18" s="15">
        <f t="shared" si="6"/>
        <v>17</v>
      </c>
      <c r="Y18" s="15">
        <f t="shared" si="6"/>
        <v>17</v>
      </c>
      <c r="Z18" s="15">
        <f t="shared" si="6"/>
        <v>17</v>
      </c>
      <c r="AA18" s="15">
        <f t="shared" si="6"/>
        <v>17</v>
      </c>
      <c r="AB18" s="15">
        <f t="shared" si="6"/>
        <v>17</v>
      </c>
      <c r="AC18" s="15">
        <f t="shared" si="6"/>
        <v>17</v>
      </c>
      <c r="AD18" s="15">
        <f t="shared" si="6"/>
        <v>17</v>
      </c>
      <c r="AE18" s="15">
        <f t="shared" si="6"/>
        <v>17</v>
      </c>
      <c r="AF18" s="15">
        <f t="shared" si="6"/>
        <v>17</v>
      </c>
      <c r="AG18" s="15">
        <f t="shared" si="6"/>
        <v>17</v>
      </c>
      <c r="AH18" s="15">
        <f t="shared" si="6"/>
        <v>17</v>
      </c>
      <c r="AI18" s="15">
        <f t="shared" si="6"/>
        <v>17</v>
      </c>
      <c r="AJ18" s="15">
        <f t="shared" si="6"/>
        <v>17</v>
      </c>
      <c r="AK18" s="15">
        <f t="shared" si="6"/>
        <v>17</v>
      </c>
      <c r="AL18" s="15">
        <f t="shared" si="6"/>
        <v>18.02</v>
      </c>
      <c r="AM18" s="15">
        <f t="shared" si="6"/>
        <v>19.101200000000002</v>
      </c>
      <c r="AN18" s="15">
        <f t="shared" si="6"/>
        <v>20.247272000000002</v>
      </c>
      <c r="AO18" s="15">
        <f t="shared" si="6"/>
        <v>21.462108320000002</v>
      </c>
      <c r="AP18" s="15">
        <f t="shared" si="6"/>
        <v>22.749834819200004</v>
      </c>
      <c r="AQ18" s="15">
        <f t="shared" si="6"/>
        <v>24.114824908352006</v>
      </c>
      <c r="AR18" s="15">
        <f t="shared" si="6"/>
        <v>25.561714402853127</v>
      </c>
      <c r="AS18" s="15">
        <f t="shared" si="6"/>
        <v>27.095417267024317</v>
      </c>
      <c r="AT18" s="15">
        <f t="shared" si="6"/>
        <v>28.721142303045777</v>
      </c>
      <c r="AU18" s="15">
        <f t="shared" si="6"/>
        <v>30.444410841228525</v>
      </c>
      <c r="AV18" s="15">
        <f t="shared" si="6"/>
        <v>32.271075491702234</v>
      </c>
      <c r="AW18" s="15">
        <f t="shared" si="6"/>
        <v>34.207340021204367</v>
      </c>
      <c r="AX18" s="15">
        <f t="shared" si="6"/>
        <v>36.259780422476631</v>
      </c>
      <c r="AY18" s="15">
        <f t="shared" si="6"/>
        <v>38.435367247825234</v>
      </c>
      <c r="AZ18" s="15">
        <f t="shared" si="6"/>
        <v>40.741489282694751</v>
      </c>
      <c r="BA18" s="15">
        <f t="shared" si="6"/>
        <v>43.18597863965644</v>
      </c>
      <c r="BB18" s="15">
        <f t="shared" si="6"/>
        <v>45.77713735803583</v>
      </c>
      <c r="BC18" s="15">
        <f t="shared" si="6"/>
        <v>48.523765599517979</v>
      </c>
      <c r="BD18" s="15">
        <f t="shared" si="6"/>
        <v>51.435191535489061</v>
      </c>
      <c r="BE18" s="15">
        <f t="shared" si="6"/>
        <v>54.521303027618409</v>
      </c>
      <c r="BF18" s="15">
        <f t="shared" si="6"/>
        <v>57.792581209275518</v>
      </c>
      <c r="BG18" s="15">
        <f t="shared" si="6"/>
        <v>61.260136081832052</v>
      </c>
      <c r="BH18" s="15">
        <f t="shared" si="6"/>
        <v>64.935744246741976</v>
      </c>
      <c r="BI18" s="15">
        <f t="shared" si="6"/>
        <v>68.831888901546492</v>
      </c>
      <c r="BJ18" s="15">
        <f t="shared" si="6"/>
        <v>72.961802235639283</v>
      </c>
      <c r="BK18" s="15">
        <f t="shared" si="6"/>
        <v>77.339510369777642</v>
      </c>
      <c r="BL18" s="15">
        <f t="shared" si="6"/>
        <v>81.979880991964308</v>
      </c>
    </row>
    <row r="19" spans="1:64" x14ac:dyDescent="0.2">
      <c r="B19" s="15" t="s">
        <v>45</v>
      </c>
      <c r="E19" s="15">
        <f>E12*E13*365*24/1000000</f>
        <v>15.768000000000001</v>
      </c>
    </row>
    <row r="20" spans="1:64" x14ac:dyDescent="0.2">
      <c r="B20" s="15" t="s">
        <v>160</v>
      </c>
      <c r="D20" s="17"/>
      <c r="E20" s="23">
        <v>500</v>
      </c>
    </row>
    <row r="21" spans="1:64" x14ac:dyDescent="0.2">
      <c r="D21" s="17"/>
    </row>
    <row r="22" spans="1:64" x14ac:dyDescent="0.2">
      <c r="D22" s="17"/>
    </row>
    <row r="23" spans="1:64" x14ac:dyDescent="0.2">
      <c r="A23" s="22" t="s">
        <v>161</v>
      </c>
      <c r="C23" s="15" t="s">
        <v>179</v>
      </c>
      <c r="D23" s="17"/>
    </row>
    <row r="24" spans="1:64" x14ac:dyDescent="0.2">
      <c r="A24" s="22"/>
      <c r="B24" s="22" t="s">
        <v>162</v>
      </c>
      <c r="C24" s="15">
        <f>H1</f>
        <v>2018</v>
      </c>
      <c r="D24" s="17"/>
      <c r="H24" s="15">
        <f>IF(H1=$C$24,1,0)</f>
        <v>1</v>
      </c>
      <c r="I24" s="15">
        <f t="shared" ref="I24:BL24" si="7">IF(I1=$C$24,1,0)</f>
        <v>0</v>
      </c>
      <c r="J24" s="15">
        <f t="shared" si="7"/>
        <v>0</v>
      </c>
      <c r="K24" s="15">
        <f t="shared" si="7"/>
        <v>0</v>
      </c>
      <c r="L24" s="15">
        <f t="shared" si="7"/>
        <v>0</v>
      </c>
      <c r="M24" s="15">
        <f t="shared" si="7"/>
        <v>0</v>
      </c>
      <c r="N24" s="15">
        <f t="shared" si="7"/>
        <v>0</v>
      </c>
      <c r="O24" s="15">
        <f t="shared" si="7"/>
        <v>0</v>
      </c>
      <c r="P24" s="15">
        <f t="shared" si="7"/>
        <v>0</v>
      </c>
      <c r="Q24" s="15">
        <f t="shared" si="7"/>
        <v>0</v>
      </c>
      <c r="R24" s="15">
        <f t="shared" si="7"/>
        <v>0</v>
      </c>
      <c r="S24" s="15">
        <f t="shared" si="7"/>
        <v>0</v>
      </c>
      <c r="T24" s="15">
        <f t="shared" si="7"/>
        <v>0</v>
      </c>
      <c r="U24" s="15">
        <f t="shared" si="7"/>
        <v>0</v>
      </c>
      <c r="V24" s="15">
        <f t="shared" si="7"/>
        <v>0</v>
      </c>
      <c r="W24" s="15">
        <f t="shared" si="7"/>
        <v>0</v>
      </c>
      <c r="X24" s="15">
        <f t="shared" si="7"/>
        <v>0</v>
      </c>
      <c r="Y24" s="15">
        <f t="shared" si="7"/>
        <v>0</v>
      </c>
      <c r="Z24" s="15">
        <f t="shared" si="7"/>
        <v>0</v>
      </c>
      <c r="AA24" s="15">
        <f t="shared" si="7"/>
        <v>0</v>
      </c>
      <c r="AB24" s="15">
        <f t="shared" si="7"/>
        <v>0</v>
      </c>
      <c r="AC24" s="15">
        <f t="shared" si="7"/>
        <v>0</v>
      </c>
      <c r="AD24" s="15">
        <f t="shared" si="7"/>
        <v>0</v>
      </c>
      <c r="AE24" s="15">
        <f t="shared" si="7"/>
        <v>0</v>
      </c>
      <c r="AF24" s="15">
        <f t="shared" si="7"/>
        <v>0</v>
      </c>
      <c r="AG24" s="15">
        <f t="shared" si="7"/>
        <v>0</v>
      </c>
      <c r="AH24" s="15">
        <f t="shared" si="7"/>
        <v>0</v>
      </c>
      <c r="AI24" s="15">
        <f t="shared" si="7"/>
        <v>0</v>
      </c>
      <c r="AJ24" s="15">
        <f t="shared" si="7"/>
        <v>0</v>
      </c>
      <c r="AK24" s="15">
        <f t="shared" si="7"/>
        <v>0</v>
      </c>
      <c r="AL24" s="15">
        <f t="shared" si="7"/>
        <v>0</v>
      </c>
      <c r="AM24" s="15">
        <f t="shared" si="7"/>
        <v>0</v>
      </c>
      <c r="AN24" s="15">
        <f t="shared" si="7"/>
        <v>0</v>
      </c>
      <c r="AO24" s="15">
        <f t="shared" si="7"/>
        <v>0</v>
      </c>
      <c r="AP24" s="15">
        <f t="shared" si="7"/>
        <v>0</v>
      </c>
      <c r="AQ24" s="15">
        <f t="shared" si="7"/>
        <v>0</v>
      </c>
      <c r="AR24" s="15">
        <f t="shared" si="7"/>
        <v>0</v>
      </c>
      <c r="AS24" s="15">
        <f t="shared" si="7"/>
        <v>0</v>
      </c>
      <c r="AT24" s="15">
        <f t="shared" si="7"/>
        <v>0</v>
      </c>
      <c r="AU24" s="15">
        <f t="shared" si="7"/>
        <v>0</v>
      </c>
      <c r="AV24" s="15">
        <f t="shared" si="7"/>
        <v>0</v>
      </c>
      <c r="AW24" s="15">
        <f t="shared" si="7"/>
        <v>0</v>
      </c>
      <c r="AX24" s="15">
        <f t="shared" si="7"/>
        <v>0</v>
      </c>
      <c r="AY24" s="15">
        <f t="shared" si="7"/>
        <v>0</v>
      </c>
      <c r="AZ24" s="15">
        <f t="shared" si="7"/>
        <v>0</v>
      </c>
      <c r="BA24" s="15">
        <f t="shared" si="7"/>
        <v>0</v>
      </c>
      <c r="BB24" s="15">
        <f t="shared" si="7"/>
        <v>0</v>
      </c>
      <c r="BC24" s="15">
        <f t="shared" si="7"/>
        <v>0</v>
      </c>
      <c r="BD24" s="15">
        <f t="shared" si="7"/>
        <v>0</v>
      </c>
      <c r="BE24" s="15">
        <f t="shared" si="7"/>
        <v>0</v>
      </c>
      <c r="BF24" s="15">
        <f t="shared" si="7"/>
        <v>0</v>
      </c>
      <c r="BG24" s="15">
        <f t="shared" si="7"/>
        <v>0</v>
      </c>
      <c r="BH24" s="15">
        <f t="shared" si="7"/>
        <v>0</v>
      </c>
      <c r="BI24" s="15">
        <f t="shared" si="7"/>
        <v>0</v>
      </c>
      <c r="BJ24" s="15">
        <f t="shared" si="7"/>
        <v>0</v>
      </c>
      <c r="BK24" s="15">
        <f t="shared" si="7"/>
        <v>0</v>
      </c>
      <c r="BL24" s="15">
        <f t="shared" si="7"/>
        <v>0</v>
      </c>
    </row>
    <row r="25" spans="1:64" x14ac:dyDescent="0.2">
      <c r="A25" s="22"/>
      <c r="B25" s="22" t="s">
        <v>163</v>
      </c>
      <c r="C25" s="15">
        <f>C24+2</f>
        <v>2020</v>
      </c>
      <c r="D25" s="17"/>
      <c r="H25" s="15">
        <f>IF(H1=$C$25,1,0)</f>
        <v>0</v>
      </c>
      <c r="I25" s="15">
        <f t="shared" ref="I25:BL25" si="8">IF(I1=$C$25,1,0)</f>
        <v>0</v>
      </c>
      <c r="J25" s="15">
        <f t="shared" si="8"/>
        <v>1</v>
      </c>
      <c r="K25" s="15">
        <f t="shared" si="8"/>
        <v>0</v>
      </c>
      <c r="L25" s="15">
        <f t="shared" si="8"/>
        <v>0</v>
      </c>
      <c r="M25" s="15">
        <f t="shared" si="8"/>
        <v>0</v>
      </c>
      <c r="N25" s="15">
        <f t="shared" si="8"/>
        <v>0</v>
      </c>
      <c r="O25" s="15">
        <f t="shared" si="8"/>
        <v>0</v>
      </c>
      <c r="P25" s="15">
        <f t="shared" si="8"/>
        <v>0</v>
      </c>
      <c r="Q25" s="15">
        <f t="shared" si="8"/>
        <v>0</v>
      </c>
      <c r="R25" s="15">
        <f t="shared" si="8"/>
        <v>0</v>
      </c>
      <c r="S25" s="15">
        <f t="shared" si="8"/>
        <v>0</v>
      </c>
      <c r="T25" s="15">
        <f t="shared" si="8"/>
        <v>0</v>
      </c>
      <c r="U25" s="15">
        <f t="shared" si="8"/>
        <v>0</v>
      </c>
      <c r="V25" s="15">
        <f t="shared" si="8"/>
        <v>0</v>
      </c>
      <c r="W25" s="15">
        <f t="shared" si="8"/>
        <v>0</v>
      </c>
      <c r="X25" s="15">
        <f t="shared" si="8"/>
        <v>0</v>
      </c>
      <c r="Y25" s="15">
        <f t="shared" si="8"/>
        <v>0</v>
      </c>
      <c r="Z25" s="15">
        <f t="shared" si="8"/>
        <v>0</v>
      </c>
      <c r="AA25" s="15">
        <f t="shared" si="8"/>
        <v>0</v>
      </c>
      <c r="AB25" s="15">
        <f t="shared" si="8"/>
        <v>0</v>
      </c>
      <c r="AC25" s="15">
        <f t="shared" si="8"/>
        <v>0</v>
      </c>
      <c r="AD25" s="15">
        <f t="shared" si="8"/>
        <v>0</v>
      </c>
      <c r="AE25" s="15">
        <f t="shared" si="8"/>
        <v>0</v>
      </c>
      <c r="AF25" s="15">
        <f t="shared" si="8"/>
        <v>0</v>
      </c>
      <c r="AG25" s="15">
        <f t="shared" si="8"/>
        <v>0</v>
      </c>
      <c r="AH25" s="15">
        <f t="shared" si="8"/>
        <v>0</v>
      </c>
      <c r="AI25" s="15">
        <f t="shared" si="8"/>
        <v>0</v>
      </c>
      <c r="AJ25" s="15">
        <f t="shared" si="8"/>
        <v>0</v>
      </c>
      <c r="AK25" s="15">
        <f t="shared" si="8"/>
        <v>0</v>
      </c>
      <c r="AL25" s="15">
        <f t="shared" si="8"/>
        <v>0</v>
      </c>
      <c r="AM25" s="15">
        <f t="shared" si="8"/>
        <v>0</v>
      </c>
      <c r="AN25" s="15">
        <f t="shared" si="8"/>
        <v>0</v>
      </c>
      <c r="AO25" s="15">
        <f t="shared" si="8"/>
        <v>0</v>
      </c>
      <c r="AP25" s="15">
        <f t="shared" si="8"/>
        <v>0</v>
      </c>
      <c r="AQ25" s="15">
        <f t="shared" si="8"/>
        <v>0</v>
      </c>
      <c r="AR25" s="15">
        <f t="shared" si="8"/>
        <v>0</v>
      </c>
      <c r="AS25" s="15">
        <f t="shared" si="8"/>
        <v>0</v>
      </c>
      <c r="AT25" s="15">
        <f t="shared" si="8"/>
        <v>0</v>
      </c>
      <c r="AU25" s="15">
        <f t="shared" si="8"/>
        <v>0</v>
      </c>
      <c r="AV25" s="15">
        <f t="shared" si="8"/>
        <v>0</v>
      </c>
      <c r="AW25" s="15">
        <f t="shared" si="8"/>
        <v>0</v>
      </c>
      <c r="AX25" s="15">
        <f t="shared" si="8"/>
        <v>0</v>
      </c>
      <c r="AY25" s="15">
        <f t="shared" si="8"/>
        <v>0</v>
      </c>
      <c r="AZ25" s="15">
        <f t="shared" si="8"/>
        <v>0</v>
      </c>
      <c r="BA25" s="15">
        <f t="shared" si="8"/>
        <v>0</v>
      </c>
      <c r="BB25" s="15">
        <f t="shared" si="8"/>
        <v>0</v>
      </c>
      <c r="BC25" s="15">
        <f t="shared" si="8"/>
        <v>0</v>
      </c>
      <c r="BD25" s="15">
        <f t="shared" si="8"/>
        <v>0</v>
      </c>
      <c r="BE25" s="15">
        <f t="shared" si="8"/>
        <v>0</v>
      </c>
      <c r="BF25" s="15">
        <f t="shared" si="8"/>
        <v>0</v>
      </c>
      <c r="BG25" s="15">
        <f t="shared" si="8"/>
        <v>0</v>
      </c>
      <c r="BH25" s="15">
        <f t="shared" si="8"/>
        <v>0</v>
      </c>
      <c r="BI25" s="15">
        <f t="shared" si="8"/>
        <v>0</v>
      </c>
      <c r="BJ25" s="15">
        <f t="shared" si="8"/>
        <v>0</v>
      </c>
      <c r="BK25" s="15">
        <f t="shared" si="8"/>
        <v>0</v>
      </c>
      <c r="BL25" s="15">
        <f t="shared" si="8"/>
        <v>0</v>
      </c>
    </row>
    <row r="26" spans="1:64" x14ac:dyDescent="0.2">
      <c r="A26" s="22"/>
      <c r="B26" s="22" t="s">
        <v>164</v>
      </c>
      <c r="C26" s="15">
        <f>C24+6</f>
        <v>2024</v>
      </c>
      <c r="H26" s="15">
        <f>IF(AND(G29=3,H1=$C$26),1,0)</f>
        <v>0</v>
      </c>
      <c r="I26" s="15">
        <f t="shared" ref="I26:BL26" si="9">IF(AND(H29=3,I1=$C$26),1,0)</f>
        <v>0</v>
      </c>
      <c r="J26" s="15">
        <f t="shared" si="9"/>
        <v>0</v>
      </c>
      <c r="K26" s="15">
        <f t="shared" si="9"/>
        <v>0</v>
      </c>
      <c r="L26" s="15">
        <f t="shared" si="9"/>
        <v>0</v>
      </c>
      <c r="M26" s="15">
        <f t="shared" si="9"/>
        <v>0</v>
      </c>
      <c r="N26" s="15">
        <f t="shared" si="9"/>
        <v>1</v>
      </c>
      <c r="O26" s="15">
        <f t="shared" si="9"/>
        <v>0</v>
      </c>
      <c r="P26" s="15">
        <f t="shared" si="9"/>
        <v>0</v>
      </c>
      <c r="Q26" s="15">
        <f t="shared" si="9"/>
        <v>0</v>
      </c>
      <c r="R26" s="15">
        <f t="shared" si="9"/>
        <v>0</v>
      </c>
      <c r="S26" s="15">
        <f t="shared" si="9"/>
        <v>0</v>
      </c>
      <c r="T26" s="15">
        <f t="shared" si="9"/>
        <v>0</v>
      </c>
      <c r="U26" s="15">
        <f t="shared" si="9"/>
        <v>0</v>
      </c>
      <c r="V26" s="15">
        <f t="shared" si="9"/>
        <v>0</v>
      </c>
      <c r="W26" s="15">
        <f t="shared" si="9"/>
        <v>0</v>
      </c>
      <c r="X26" s="15">
        <f t="shared" si="9"/>
        <v>0</v>
      </c>
      <c r="Y26" s="15">
        <f t="shared" si="9"/>
        <v>0</v>
      </c>
      <c r="Z26" s="15">
        <f t="shared" si="9"/>
        <v>0</v>
      </c>
      <c r="AA26" s="15">
        <f t="shared" si="9"/>
        <v>0</v>
      </c>
      <c r="AB26" s="15">
        <f t="shared" si="9"/>
        <v>0</v>
      </c>
      <c r="AC26" s="15">
        <f t="shared" si="9"/>
        <v>0</v>
      </c>
      <c r="AD26" s="15">
        <f t="shared" si="9"/>
        <v>0</v>
      </c>
      <c r="AE26" s="15">
        <f t="shared" si="9"/>
        <v>0</v>
      </c>
      <c r="AF26" s="15">
        <f t="shared" si="9"/>
        <v>0</v>
      </c>
      <c r="AG26" s="15">
        <f t="shared" si="9"/>
        <v>0</v>
      </c>
      <c r="AH26" s="15">
        <f t="shared" si="9"/>
        <v>0</v>
      </c>
      <c r="AI26" s="15">
        <f t="shared" si="9"/>
        <v>0</v>
      </c>
      <c r="AJ26" s="15">
        <f t="shared" si="9"/>
        <v>0</v>
      </c>
      <c r="AK26" s="15">
        <f t="shared" si="9"/>
        <v>0</v>
      </c>
      <c r="AL26" s="15">
        <f t="shared" si="9"/>
        <v>0</v>
      </c>
      <c r="AM26" s="15">
        <f t="shared" si="9"/>
        <v>0</v>
      </c>
      <c r="AN26" s="15">
        <f t="shared" si="9"/>
        <v>0</v>
      </c>
      <c r="AO26" s="15">
        <f t="shared" si="9"/>
        <v>0</v>
      </c>
      <c r="AP26" s="15">
        <f t="shared" si="9"/>
        <v>0</v>
      </c>
      <c r="AQ26" s="15">
        <f t="shared" si="9"/>
        <v>0</v>
      </c>
      <c r="AR26" s="15">
        <f t="shared" si="9"/>
        <v>0</v>
      </c>
      <c r="AS26" s="15">
        <f t="shared" si="9"/>
        <v>0</v>
      </c>
      <c r="AT26" s="15">
        <f t="shared" si="9"/>
        <v>0</v>
      </c>
      <c r="AU26" s="15">
        <f t="shared" si="9"/>
        <v>0</v>
      </c>
      <c r="AV26" s="15">
        <f t="shared" si="9"/>
        <v>0</v>
      </c>
      <c r="AW26" s="15">
        <f t="shared" si="9"/>
        <v>0</v>
      </c>
      <c r="AX26" s="15">
        <f t="shared" si="9"/>
        <v>0</v>
      </c>
      <c r="AY26" s="15">
        <f t="shared" si="9"/>
        <v>0</v>
      </c>
      <c r="AZ26" s="15">
        <f t="shared" si="9"/>
        <v>0</v>
      </c>
      <c r="BA26" s="15">
        <f t="shared" si="9"/>
        <v>0</v>
      </c>
      <c r="BB26" s="15">
        <f t="shared" si="9"/>
        <v>0</v>
      </c>
      <c r="BC26" s="15">
        <f t="shared" si="9"/>
        <v>0</v>
      </c>
      <c r="BD26" s="15">
        <f t="shared" si="9"/>
        <v>0</v>
      </c>
      <c r="BE26" s="15">
        <f t="shared" si="9"/>
        <v>0</v>
      </c>
      <c r="BF26" s="15">
        <f t="shared" si="9"/>
        <v>0</v>
      </c>
      <c r="BG26" s="15">
        <f t="shared" si="9"/>
        <v>0</v>
      </c>
      <c r="BH26" s="15">
        <f t="shared" si="9"/>
        <v>0</v>
      </c>
      <c r="BI26" s="15">
        <f t="shared" si="9"/>
        <v>0</v>
      </c>
      <c r="BJ26" s="15">
        <f t="shared" si="9"/>
        <v>0</v>
      </c>
      <c r="BK26" s="15">
        <f t="shared" si="9"/>
        <v>0</v>
      </c>
      <c r="BL26" s="15">
        <f t="shared" si="9"/>
        <v>0</v>
      </c>
    </row>
    <row r="27" spans="1:64" x14ac:dyDescent="0.2">
      <c r="A27" s="22"/>
      <c r="B27" s="22" t="s">
        <v>165</v>
      </c>
      <c r="C27" s="15">
        <f>C24+10</f>
        <v>2028</v>
      </c>
      <c r="H27" s="15">
        <f>IF(AND(G29=4,H1=$C$27),1,0)</f>
        <v>0</v>
      </c>
      <c r="I27" s="15">
        <f t="shared" ref="I27:BL27" si="10">IF(AND(H29=4,I1=$C$27),1,0)</f>
        <v>0</v>
      </c>
      <c r="J27" s="15">
        <f t="shared" si="10"/>
        <v>0</v>
      </c>
      <c r="K27" s="15">
        <f t="shared" si="10"/>
        <v>0</v>
      </c>
      <c r="L27" s="15">
        <f t="shared" si="10"/>
        <v>0</v>
      </c>
      <c r="M27" s="15">
        <f t="shared" si="10"/>
        <v>0</v>
      </c>
      <c r="N27" s="15">
        <f t="shared" si="10"/>
        <v>0</v>
      </c>
      <c r="O27" s="15">
        <f t="shared" si="10"/>
        <v>0</v>
      </c>
      <c r="P27" s="15">
        <f t="shared" si="10"/>
        <v>0</v>
      </c>
      <c r="Q27" s="15">
        <f t="shared" si="10"/>
        <v>0</v>
      </c>
      <c r="R27" s="15">
        <f t="shared" si="10"/>
        <v>1</v>
      </c>
      <c r="S27" s="15">
        <f t="shared" si="10"/>
        <v>0</v>
      </c>
      <c r="T27" s="15">
        <f t="shared" si="10"/>
        <v>0</v>
      </c>
      <c r="U27" s="15">
        <f t="shared" si="10"/>
        <v>0</v>
      </c>
      <c r="V27" s="15">
        <f t="shared" si="10"/>
        <v>0</v>
      </c>
      <c r="W27" s="15">
        <f t="shared" si="10"/>
        <v>0</v>
      </c>
      <c r="X27" s="15">
        <f t="shared" si="10"/>
        <v>0</v>
      </c>
      <c r="Y27" s="15">
        <f t="shared" si="10"/>
        <v>0</v>
      </c>
      <c r="Z27" s="15">
        <f t="shared" si="10"/>
        <v>0</v>
      </c>
      <c r="AA27" s="15">
        <f t="shared" si="10"/>
        <v>0</v>
      </c>
      <c r="AB27" s="15">
        <f t="shared" si="10"/>
        <v>0</v>
      </c>
      <c r="AC27" s="15">
        <f t="shared" si="10"/>
        <v>0</v>
      </c>
      <c r="AD27" s="15">
        <f t="shared" si="10"/>
        <v>0</v>
      </c>
      <c r="AE27" s="15">
        <f t="shared" si="10"/>
        <v>0</v>
      </c>
      <c r="AF27" s="15">
        <f t="shared" si="10"/>
        <v>0</v>
      </c>
      <c r="AG27" s="15">
        <f t="shared" si="10"/>
        <v>0</v>
      </c>
      <c r="AH27" s="15">
        <f t="shared" si="10"/>
        <v>0</v>
      </c>
      <c r="AI27" s="15">
        <f t="shared" si="10"/>
        <v>0</v>
      </c>
      <c r="AJ27" s="15">
        <f t="shared" si="10"/>
        <v>0</v>
      </c>
      <c r="AK27" s="15">
        <f t="shared" si="10"/>
        <v>0</v>
      </c>
      <c r="AL27" s="15">
        <f t="shared" si="10"/>
        <v>0</v>
      </c>
      <c r="AM27" s="15">
        <f t="shared" si="10"/>
        <v>0</v>
      </c>
      <c r="AN27" s="15">
        <f t="shared" si="10"/>
        <v>0</v>
      </c>
      <c r="AO27" s="15">
        <f t="shared" si="10"/>
        <v>0</v>
      </c>
      <c r="AP27" s="15">
        <f t="shared" si="10"/>
        <v>0</v>
      </c>
      <c r="AQ27" s="15">
        <f t="shared" si="10"/>
        <v>0</v>
      </c>
      <c r="AR27" s="15">
        <f t="shared" si="10"/>
        <v>0</v>
      </c>
      <c r="AS27" s="15">
        <f t="shared" si="10"/>
        <v>0</v>
      </c>
      <c r="AT27" s="15">
        <f t="shared" si="10"/>
        <v>0</v>
      </c>
      <c r="AU27" s="15">
        <f t="shared" si="10"/>
        <v>0</v>
      </c>
      <c r="AV27" s="15">
        <f t="shared" si="10"/>
        <v>0</v>
      </c>
      <c r="AW27" s="15">
        <f t="shared" si="10"/>
        <v>0</v>
      </c>
      <c r="AX27" s="15">
        <f t="shared" si="10"/>
        <v>0</v>
      </c>
      <c r="AY27" s="15">
        <f t="shared" si="10"/>
        <v>0</v>
      </c>
      <c r="AZ27" s="15">
        <f t="shared" si="10"/>
        <v>0</v>
      </c>
      <c r="BA27" s="15">
        <f t="shared" si="10"/>
        <v>0</v>
      </c>
      <c r="BB27" s="15">
        <f t="shared" si="10"/>
        <v>0</v>
      </c>
      <c r="BC27" s="15">
        <f t="shared" si="10"/>
        <v>0</v>
      </c>
      <c r="BD27" s="15">
        <f t="shared" si="10"/>
        <v>0</v>
      </c>
      <c r="BE27" s="15">
        <f t="shared" si="10"/>
        <v>0</v>
      </c>
      <c r="BF27" s="15">
        <f t="shared" si="10"/>
        <v>0</v>
      </c>
      <c r="BG27" s="15">
        <f t="shared" si="10"/>
        <v>0</v>
      </c>
      <c r="BH27" s="15">
        <f t="shared" si="10"/>
        <v>0</v>
      </c>
      <c r="BI27" s="15">
        <f t="shared" si="10"/>
        <v>0</v>
      </c>
      <c r="BJ27" s="15">
        <f t="shared" si="10"/>
        <v>0</v>
      </c>
      <c r="BK27" s="15">
        <f t="shared" si="10"/>
        <v>0</v>
      </c>
      <c r="BL27" s="15">
        <f t="shared" si="10"/>
        <v>0</v>
      </c>
    </row>
    <row r="28" spans="1:64" x14ac:dyDescent="0.2">
      <c r="A28" s="22"/>
      <c r="B28" s="22" t="s">
        <v>166</v>
      </c>
      <c r="C28" s="15">
        <f>C24+56</f>
        <v>2074</v>
      </c>
      <c r="D28" s="17"/>
      <c r="H28" s="15">
        <f>IF(OR(G29=4,G29=5),IF(OR(H30*$E$19&lt;$E$17,H1=$C$28),1,0),0)</f>
        <v>0</v>
      </c>
      <c r="I28" s="15">
        <f t="shared" ref="I28:BL28" si="11">IF(OR(H29=4,H29=5),IF(OR(I30*$E$19&lt;$E$17,I1=$C$28),1,0),0)</f>
        <v>0</v>
      </c>
      <c r="J28" s="15">
        <f t="shared" si="11"/>
        <v>0</v>
      </c>
      <c r="K28" s="15">
        <f t="shared" si="11"/>
        <v>0</v>
      </c>
      <c r="L28" s="15">
        <f t="shared" si="11"/>
        <v>0</v>
      </c>
      <c r="M28" s="15">
        <f t="shared" si="11"/>
        <v>0</v>
      </c>
      <c r="N28" s="15">
        <f t="shared" si="11"/>
        <v>0</v>
      </c>
      <c r="O28" s="15">
        <f t="shared" si="11"/>
        <v>0</v>
      </c>
      <c r="P28" s="15">
        <f t="shared" si="11"/>
        <v>0</v>
      </c>
      <c r="Q28" s="15">
        <f t="shared" si="11"/>
        <v>0</v>
      </c>
      <c r="R28" s="15">
        <f t="shared" si="11"/>
        <v>0</v>
      </c>
      <c r="S28" s="15">
        <f t="shared" si="11"/>
        <v>0</v>
      </c>
      <c r="T28" s="15">
        <f t="shared" si="11"/>
        <v>0</v>
      </c>
      <c r="U28" s="15">
        <f t="shared" si="11"/>
        <v>0</v>
      </c>
      <c r="V28" s="15">
        <f t="shared" si="11"/>
        <v>0</v>
      </c>
      <c r="W28" s="15">
        <f t="shared" si="11"/>
        <v>0</v>
      </c>
      <c r="X28" s="15">
        <f t="shared" si="11"/>
        <v>0</v>
      </c>
      <c r="Y28" s="15">
        <f t="shared" si="11"/>
        <v>0</v>
      </c>
      <c r="Z28" s="15">
        <f t="shared" si="11"/>
        <v>0</v>
      </c>
      <c r="AA28" s="15">
        <f t="shared" si="11"/>
        <v>0</v>
      </c>
      <c r="AB28" s="15">
        <f t="shared" si="11"/>
        <v>0</v>
      </c>
      <c r="AC28" s="15">
        <f t="shared" si="11"/>
        <v>0</v>
      </c>
      <c r="AD28" s="15">
        <f t="shared" si="11"/>
        <v>0</v>
      </c>
      <c r="AE28" s="15">
        <f t="shared" si="11"/>
        <v>0</v>
      </c>
      <c r="AF28" s="15">
        <f t="shared" si="11"/>
        <v>0</v>
      </c>
      <c r="AG28" s="15">
        <f t="shared" si="11"/>
        <v>0</v>
      </c>
      <c r="AH28" s="15">
        <f t="shared" si="11"/>
        <v>0</v>
      </c>
      <c r="AI28" s="15">
        <f t="shared" si="11"/>
        <v>0</v>
      </c>
      <c r="AJ28" s="15">
        <f t="shared" si="11"/>
        <v>0</v>
      </c>
      <c r="AK28" s="15">
        <f t="shared" si="11"/>
        <v>0</v>
      </c>
      <c r="AL28" s="15">
        <f t="shared" si="11"/>
        <v>0</v>
      </c>
      <c r="AM28" s="15">
        <f t="shared" si="11"/>
        <v>0</v>
      </c>
      <c r="AN28" s="15">
        <f t="shared" si="11"/>
        <v>0</v>
      </c>
      <c r="AO28" s="15">
        <f t="shared" si="11"/>
        <v>0</v>
      </c>
      <c r="AP28" s="15">
        <f t="shared" si="11"/>
        <v>0</v>
      </c>
      <c r="AQ28" s="15">
        <f t="shared" si="11"/>
        <v>0</v>
      </c>
      <c r="AR28" s="15">
        <f t="shared" si="11"/>
        <v>0</v>
      </c>
      <c r="AS28" s="15">
        <f t="shared" si="11"/>
        <v>0</v>
      </c>
      <c r="AT28" s="15">
        <f t="shared" si="11"/>
        <v>0</v>
      </c>
      <c r="AU28" s="15">
        <f t="shared" si="11"/>
        <v>0</v>
      </c>
      <c r="AV28" s="15">
        <f t="shared" si="11"/>
        <v>0</v>
      </c>
      <c r="AW28" s="15">
        <f t="shared" si="11"/>
        <v>0</v>
      </c>
      <c r="AX28" s="15">
        <f t="shared" si="11"/>
        <v>0</v>
      </c>
      <c r="AY28" s="15">
        <f t="shared" si="11"/>
        <v>0</v>
      </c>
      <c r="AZ28" s="15">
        <f t="shared" si="11"/>
        <v>0</v>
      </c>
      <c r="BA28" s="15">
        <f t="shared" si="11"/>
        <v>0</v>
      </c>
      <c r="BB28" s="15">
        <f t="shared" si="11"/>
        <v>1</v>
      </c>
      <c r="BC28" s="15">
        <f t="shared" si="11"/>
        <v>0</v>
      </c>
      <c r="BD28" s="15">
        <f t="shared" si="11"/>
        <v>0</v>
      </c>
      <c r="BE28" s="15">
        <f t="shared" si="11"/>
        <v>0</v>
      </c>
      <c r="BF28" s="15">
        <f t="shared" si="11"/>
        <v>0</v>
      </c>
      <c r="BG28" s="15">
        <f t="shared" si="11"/>
        <v>0</v>
      </c>
      <c r="BH28" s="15">
        <f t="shared" si="11"/>
        <v>0</v>
      </c>
      <c r="BI28" s="15">
        <f t="shared" si="11"/>
        <v>0</v>
      </c>
      <c r="BJ28" s="15">
        <f t="shared" si="11"/>
        <v>0</v>
      </c>
      <c r="BK28" s="15">
        <f t="shared" si="11"/>
        <v>0</v>
      </c>
      <c r="BL28" s="15">
        <f t="shared" si="11"/>
        <v>0</v>
      </c>
    </row>
    <row r="29" spans="1:64" x14ac:dyDescent="0.2">
      <c r="A29" s="22"/>
      <c r="B29" s="22" t="s">
        <v>167</v>
      </c>
      <c r="D29" s="17"/>
      <c r="G29" s="15">
        <v>1</v>
      </c>
      <c r="H29" s="22">
        <f>CHOOSE(G29,IF(H24=1,2,IF(H25=1,3,1)),IF(H25=1,3,2),IF(H26=1,4,3),IF(H27,5,4),IF(H28=1,6,5),6)</f>
        <v>2</v>
      </c>
      <c r="I29" s="22">
        <f t="shared" ref="I29:BL29" si="12">CHOOSE(H29,IF(I24=1,2,IF(I25=1,3,1)),IF(I25=1,3,2),IF(I26=1,4,3),IF(I27,5,4),IF(I28=1,6,5),6)</f>
        <v>2</v>
      </c>
      <c r="J29" s="22">
        <f t="shared" si="12"/>
        <v>3</v>
      </c>
      <c r="K29" s="22">
        <f t="shared" si="12"/>
        <v>3</v>
      </c>
      <c r="L29" s="22">
        <f t="shared" si="12"/>
        <v>3</v>
      </c>
      <c r="M29" s="22">
        <f t="shared" si="12"/>
        <v>3</v>
      </c>
      <c r="N29" s="22">
        <f t="shared" si="12"/>
        <v>4</v>
      </c>
      <c r="O29" s="22">
        <f t="shared" si="12"/>
        <v>4</v>
      </c>
      <c r="P29" s="22">
        <f t="shared" si="12"/>
        <v>4</v>
      </c>
      <c r="Q29" s="22">
        <f t="shared" si="12"/>
        <v>4</v>
      </c>
      <c r="R29" s="22">
        <f t="shared" si="12"/>
        <v>5</v>
      </c>
      <c r="S29" s="22">
        <f t="shared" si="12"/>
        <v>5</v>
      </c>
      <c r="T29" s="22">
        <f t="shared" si="12"/>
        <v>5</v>
      </c>
      <c r="U29" s="22">
        <f t="shared" si="12"/>
        <v>5</v>
      </c>
      <c r="V29" s="22">
        <f t="shared" si="12"/>
        <v>5</v>
      </c>
      <c r="W29" s="22">
        <f t="shared" si="12"/>
        <v>5</v>
      </c>
      <c r="X29" s="22">
        <f t="shared" si="12"/>
        <v>5</v>
      </c>
      <c r="Y29" s="22">
        <f t="shared" si="12"/>
        <v>5</v>
      </c>
      <c r="Z29" s="22">
        <f t="shared" si="12"/>
        <v>5</v>
      </c>
      <c r="AA29" s="22">
        <f t="shared" si="12"/>
        <v>5</v>
      </c>
      <c r="AB29" s="22">
        <f t="shared" si="12"/>
        <v>5</v>
      </c>
      <c r="AC29" s="22">
        <f t="shared" si="12"/>
        <v>5</v>
      </c>
      <c r="AD29" s="22">
        <f t="shared" si="12"/>
        <v>5</v>
      </c>
      <c r="AE29" s="22">
        <f t="shared" si="12"/>
        <v>5</v>
      </c>
      <c r="AF29" s="22">
        <f t="shared" si="12"/>
        <v>5</v>
      </c>
      <c r="AG29" s="22">
        <f t="shared" si="12"/>
        <v>5</v>
      </c>
      <c r="AH29" s="22">
        <f t="shared" si="12"/>
        <v>5</v>
      </c>
      <c r="AI29" s="22">
        <f t="shared" si="12"/>
        <v>5</v>
      </c>
      <c r="AJ29" s="22">
        <f t="shared" si="12"/>
        <v>5</v>
      </c>
      <c r="AK29" s="22">
        <f t="shared" si="12"/>
        <v>5</v>
      </c>
      <c r="AL29" s="22">
        <f t="shared" si="12"/>
        <v>5</v>
      </c>
      <c r="AM29" s="22">
        <f t="shared" si="12"/>
        <v>5</v>
      </c>
      <c r="AN29" s="22">
        <f t="shared" si="12"/>
        <v>5</v>
      </c>
      <c r="AO29" s="22">
        <f t="shared" si="12"/>
        <v>5</v>
      </c>
      <c r="AP29" s="22">
        <f t="shared" si="12"/>
        <v>5</v>
      </c>
      <c r="AQ29" s="22">
        <f t="shared" si="12"/>
        <v>5</v>
      </c>
      <c r="AR29" s="22">
        <f t="shared" si="12"/>
        <v>5</v>
      </c>
      <c r="AS29" s="22">
        <f t="shared" si="12"/>
        <v>5</v>
      </c>
      <c r="AT29" s="22">
        <f t="shared" si="12"/>
        <v>5</v>
      </c>
      <c r="AU29" s="22">
        <f t="shared" si="12"/>
        <v>5</v>
      </c>
      <c r="AV29" s="22">
        <f t="shared" si="12"/>
        <v>5</v>
      </c>
      <c r="AW29" s="22">
        <f t="shared" si="12"/>
        <v>5</v>
      </c>
      <c r="AX29" s="22">
        <f t="shared" si="12"/>
        <v>5</v>
      </c>
      <c r="AY29" s="22">
        <f t="shared" si="12"/>
        <v>5</v>
      </c>
      <c r="AZ29" s="22">
        <f t="shared" si="12"/>
        <v>5</v>
      </c>
      <c r="BA29" s="22">
        <f t="shared" si="12"/>
        <v>5</v>
      </c>
      <c r="BB29" s="22">
        <f t="shared" si="12"/>
        <v>6</v>
      </c>
      <c r="BC29" s="22">
        <f t="shared" si="12"/>
        <v>6</v>
      </c>
      <c r="BD29" s="22">
        <f t="shared" si="12"/>
        <v>6</v>
      </c>
      <c r="BE29" s="22">
        <f t="shared" si="12"/>
        <v>6</v>
      </c>
      <c r="BF29" s="22">
        <f t="shared" si="12"/>
        <v>6</v>
      </c>
      <c r="BG29" s="22">
        <f t="shared" si="12"/>
        <v>6</v>
      </c>
      <c r="BH29" s="22">
        <f t="shared" si="12"/>
        <v>6</v>
      </c>
      <c r="BI29" s="22">
        <f t="shared" si="12"/>
        <v>6</v>
      </c>
      <c r="BJ29" s="22">
        <f t="shared" si="12"/>
        <v>6</v>
      </c>
      <c r="BK29" s="22">
        <f t="shared" si="12"/>
        <v>6</v>
      </c>
      <c r="BL29" s="22">
        <f t="shared" si="12"/>
        <v>6</v>
      </c>
    </row>
    <row r="30" spans="1:64" x14ac:dyDescent="0.2">
      <c r="B30" s="15" t="s">
        <v>168</v>
      </c>
      <c r="D30" s="17"/>
      <c r="G30" s="15">
        <f t="shared" ref="G30:G36" si="13">SUM(H30:BL30)</f>
        <v>624.3714866888256</v>
      </c>
      <c r="H30" s="15">
        <f t="shared" ref="H30:BL30" si="14">H2-H18</f>
        <v>17</v>
      </c>
      <c r="I30" s="15">
        <f t="shared" si="14"/>
        <v>17.067999999999998</v>
      </c>
      <c r="J30" s="15">
        <f t="shared" si="14"/>
        <v>17.136136</v>
      </c>
      <c r="K30" s="15">
        <f t="shared" si="14"/>
        <v>17.204408272000002</v>
      </c>
      <c r="L30" s="15">
        <f t="shared" si="14"/>
        <v>17.272817088544002</v>
      </c>
      <c r="M30" s="15">
        <f t="shared" si="14"/>
        <v>17.341362722721094</v>
      </c>
      <c r="N30" s="15">
        <f t="shared" si="14"/>
        <v>17.410045448166535</v>
      </c>
      <c r="O30" s="15">
        <f t="shared" si="14"/>
        <v>17.478865539062866</v>
      </c>
      <c r="P30" s="15">
        <f t="shared" si="14"/>
        <v>17.547823270140995</v>
      </c>
      <c r="Q30" s="15">
        <f t="shared" si="14"/>
        <v>17.616918916681279</v>
      </c>
      <c r="R30" s="15">
        <f t="shared" si="14"/>
        <v>17.686152754514644</v>
      </c>
      <c r="S30" s="15">
        <f t="shared" si="14"/>
        <v>17.755525060023672</v>
      </c>
      <c r="T30" s="15">
        <f t="shared" si="14"/>
        <v>17.825036110143721</v>
      </c>
      <c r="U30" s="15">
        <f t="shared" si="14"/>
        <v>17.894686182364005</v>
      </c>
      <c r="V30" s="15">
        <f t="shared" si="14"/>
        <v>17.964475554728736</v>
      </c>
      <c r="W30" s="15">
        <f t="shared" si="14"/>
        <v>18.034404505838197</v>
      </c>
      <c r="X30" s="15">
        <f t="shared" si="14"/>
        <v>18.104473314849876</v>
      </c>
      <c r="Y30" s="15">
        <f t="shared" si="14"/>
        <v>18.174682261479575</v>
      </c>
      <c r="Z30" s="15">
        <f t="shared" si="14"/>
        <v>18.245031626002536</v>
      </c>
      <c r="AA30" s="15">
        <f t="shared" si="14"/>
        <v>18.315521689254538</v>
      </c>
      <c r="AB30" s="15">
        <f t="shared" si="14"/>
        <v>18.38615273263305</v>
      </c>
      <c r="AC30" s="15">
        <f t="shared" si="14"/>
        <v>18.456925038098319</v>
      </c>
      <c r="AD30" s="15">
        <f t="shared" si="14"/>
        <v>18.527838888174514</v>
      </c>
      <c r="AE30" s="15">
        <f t="shared" si="14"/>
        <v>18.598894565950864</v>
      </c>
      <c r="AF30" s="15">
        <f t="shared" si="14"/>
        <v>18.670092355082765</v>
      </c>
      <c r="AG30" s="15">
        <f t="shared" si="14"/>
        <v>19.347824109829332</v>
      </c>
      <c r="AH30" s="15">
        <f t="shared" si="14"/>
        <v>20.038432767916085</v>
      </c>
      <c r="AI30" s="15">
        <f t="shared" si="14"/>
        <v>20.742162990506486</v>
      </c>
      <c r="AJ30" s="15">
        <f t="shared" si="14"/>
        <v>21.459264087326105</v>
      </c>
      <c r="AK30" s="15">
        <f t="shared" si="14"/>
        <v>22.189990104985299</v>
      </c>
      <c r="AL30" s="15">
        <f t="shared" si="14"/>
        <v>21.914599916980013</v>
      </c>
      <c r="AM30" s="15">
        <f t="shared" si="14"/>
        <v>21.592157315402627</v>
      </c>
      <c r="AN30" s="15">
        <f t="shared" si="14"/>
        <v>21.21925910439527</v>
      </c>
      <c r="AO30" s="15">
        <f t="shared" si="14"/>
        <v>20.792286875378775</v>
      </c>
      <c r="AP30" s="15">
        <f t="shared" si="14"/>
        <v>20.307393884890963</v>
      </c>
      <c r="AQ30" s="15">
        <f t="shared" si="14"/>
        <v>19.200747167963506</v>
      </c>
      <c r="AR30" s="15">
        <f t="shared" si="14"/>
        <v>18.013751105920278</v>
      </c>
      <c r="AS30" s="15">
        <f t="shared" si="14"/>
        <v>16.741501034801729</v>
      </c>
      <c r="AT30" s="15">
        <f t="shared" si="14"/>
        <v>15.378797508591223</v>
      </c>
      <c r="AU30" s="15">
        <f t="shared" si="14"/>
        <v>13.920128609278301</v>
      </c>
      <c r="AV30" s="15">
        <f t="shared" si="14"/>
        <v>12.359651195507631</v>
      </c>
      <c r="AW30" s="15">
        <f t="shared" si="14"/>
        <v>10.691171026128757</v>
      </c>
      <c r="AX30" s="15">
        <f t="shared" si="14"/>
        <v>8.9081216911404937</v>
      </c>
      <c r="AY30" s="15">
        <f t="shared" si="14"/>
        <v>7.0035422784735957</v>
      </c>
      <c r="AZ30" s="15">
        <f t="shared" si="14"/>
        <v>4.9700537007618735</v>
      </c>
      <c r="BA30" s="15">
        <f t="shared" si="14"/>
        <v>2.7998336017009251</v>
      </c>
      <c r="BB30" s="15">
        <f t="shared" si="14"/>
        <v>0.48458975676967952</v>
      </c>
      <c r="BC30" s="15">
        <f t="shared" si="14"/>
        <v>-1.9844681220236353</v>
      </c>
      <c r="BD30" s="15">
        <f t="shared" si="14"/>
        <v>-4.616658273129751</v>
      </c>
      <c r="BE30" s="15">
        <f t="shared" si="14"/>
        <v>-7.4218585656849427</v>
      </c>
      <c r="BF30" s="15">
        <f t="shared" si="14"/>
        <v>-10.410540080570449</v>
      </c>
      <c r="BG30" s="15">
        <f t="shared" si="14"/>
        <v>-13.593802706354751</v>
      </c>
      <c r="BH30" s="15">
        <f t="shared" si="14"/>
        <v>-16.983412871011808</v>
      </c>
      <c r="BI30" s="15">
        <f t="shared" si="14"/>
        <v>-20.591843537561942</v>
      </c>
      <c r="BJ30" s="15">
        <f t="shared" si="14"/>
        <v>-24.432316599470823</v>
      </c>
      <c r="BK30" s="15">
        <f t="shared" si="14"/>
        <v>-28.518847819792171</v>
      </c>
      <c r="BL30" s="15">
        <f t="shared" si="14"/>
        <v>-32.866294466678923</v>
      </c>
    </row>
    <row r="31" spans="1:64" x14ac:dyDescent="0.2">
      <c r="B31" s="22" t="s">
        <v>45</v>
      </c>
      <c r="D31" s="17"/>
      <c r="G31" s="15">
        <f t="shared" si="13"/>
        <v>567.64800000000059</v>
      </c>
      <c r="H31" s="15">
        <f>IF(H29=5,$E$19,0)</f>
        <v>0</v>
      </c>
      <c r="I31" s="15">
        <f t="shared" ref="I31:BL31" si="15">IF(I29=5,$E$19,0)</f>
        <v>0</v>
      </c>
      <c r="J31" s="15">
        <f t="shared" si="15"/>
        <v>0</v>
      </c>
      <c r="K31" s="15">
        <f t="shared" si="15"/>
        <v>0</v>
      </c>
      <c r="L31" s="15">
        <f t="shared" si="15"/>
        <v>0</v>
      </c>
      <c r="M31" s="15">
        <f t="shared" si="15"/>
        <v>0</v>
      </c>
      <c r="N31" s="15">
        <f t="shared" si="15"/>
        <v>0</v>
      </c>
      <c r="O31" s="15">
        <f t="shared" si="15"/>
        <v>0</v>
      </c>
      <c r="P31" s="15">
        <f t="shared" si="15"/>
        <v>0</v>
      </c>
      <c r="Q31" s="15">
        <f t="shared" si="15"/>
        <v>0</v>
      </c>
      <c r="R31" s="15">
        <f t="shared" si="15"/>
        <v>15.768000000000001</v>
      </c>
      <c r="S31" s="15">
        <f t="shared" si="15"/>
        <v>15.768000000000001</v>
      </c>
      <c r="T31" s="15">
        <f t="shared" si="15"/>
        <v>15.768000000000001</v>
      </c>
      <c r="U31" s="15">
        <f t="shared" si="15"/>
        <v>15.768000000000001</v>
      </c>
      <c r="V31" s="15">
        <f t="shared" si="15"/>
        <v>15.768000000000001</v>
      </c>
      <c r="W31" s="15">
        <f t="shared" si="15"/>
        <v>15.768000000000001</v>
      </c>
      <c r="X31" s="15">
        <f t="shared" si="15"/>
        <v>15.768000000000001</v>
      </c>
      <c r="Y31" s="15">
        <f t="shared" si="15"/>
        <v>15.768000000000001</v>
      </c>
      <c r="Z31" s="15">
        <f t="shared" si="15"/>
        <v>15.768000000000001</v>
      </c>
      <c r="AA31" s="15">
        <f t="shared" si="15"/>
        <v>15.768000000000001</v>
      </c>
      <c r="AB31" s="15">
        <f t="shared" si="15"/>
        <v>15.768000000000001</v>
      </c>
      <c r="AC31" s="15">
        <f t="shared" si="15"/>
        <v>15.768000000000001</v>
      </c>
      <c r="AD31" s="15">
        <f t="shared" si="15"/>
        <v>15.768000000000001</v>
      </c>
      <c r="AE31" s="15">
        <f t="shared" si="15"/>
        <v>15.768000000000001</v>
      </c>
      <c r="AF31" s="15">
        <f t="shared" si="15"/>
        <v>15.768000000000001</v>
      </c>
      <c r="AG31" s="15">
        <f t="shared" si="15"/>
        <v>15.768000000000001</v>
      </c>
      <c r="AH31" s="15">
        <f t="shared" si="15"/>
        <v>15.768000000000001</v>
      </c>
      <c r="AI31" s="15">
        <f t="shared" si="15"/>
        <v>15.768000000000001</v>
      </c>
      <c r="AJ31" s="15">
        <f t="shared" si="15"/>
        <v>15.768000000000001</v>
      </c>
      <c r="AK31" s="15">
        <f t="shared" si="15"/>
        <v>15.768000000000001</v>
      </c>
      <c r="AL31" s="15">
        <f t="shared" si="15"/>
        <v>15.768000000000001</v>
      </c>
      <c r="AM31" s="15">
        <f t="shared" si="15"/>
        <v>15.768000000000001</v>
      </c>
      <c r="AN31" s="15">
        <f t="shared" si="15"/>
        <v>15.768000000000001</v>
      </c>
      <c r="AO31" s="15">
        <f t="shared" si="15"/>
        <v>15.768000000000001</v>
      </c>
      <c r="AP31" s="15">
        <f t="shared" si="15"/>
        <v>15.768000000000001</v>
      </c>
      <c r="AQ31" s="15">
        <f t="shared" si="15"/>
        <v>15.768000000000001</v>
      </c>
      <c r="AR31" s="15">
        <f t="shared" si="15"/>
        <v>15.768000000000001</v>
      </c>
      <c r="AS31" s="15">
        <f t="shared" si="15"/>
        <v>15.768000000000001</v>
      </c>
      <c r="AT31" s="15">
        <f t="shared" si="15"/>
        <v>15.768000000000001</v>
      </c>
      <c r="AU31" s="15">
        <f t="shared" si="15"/>
        <v>15.768000000000001</v>
      </c>
      <c r="AV31" s="15">
        <f t="shared" si="15"/>
        <v>15.768000000000001</v>
      </c>
      <c r="AW31" s="15">
        <f t="shared" si="15"/>
        <v>15.768000000000001</v>
      </c>
      <c r="AX31" s="15">
        <f t="shared" si="15"/>
        <v>15.768000000000001</v>
      </c>
      <c r="AY31" s="15">
        <f t="shared" si="15"/>
        <v>15.768000000000001</v>
      </c>
      <c r="AZ31" s="15">
        <f t="shared" si="15"/>
        <v>15.768000000000001</v>
      </c>
      <c r="BA31" s="15">
        <f t="shared" si="15"/>
        <v>15.768000000000001</v>
      </c>
      <c r="BB31" s="15">
        <f t="shared" si="15"/>
        <v>0</v>
      </c>
      <c r="BC31" s="15">
        <f t="shared" si="15"/>
        <v>0</v>
      </c>
      <c r="BD31" s="15">
        <f t="shared" si="15"/>
        <v>0</v>
      </c>
      <c r="BE31" s="15">
        <f t="shared" si="15"/>
        <v>0</v>
      </c>
      <c r="BF31" s="15">
        <f t="shared" si="15"/>
        <v>0</v>
      </c>
      <c r="BG31" s="15">
        <f t="shared" si="15"/>
        <v>0</v>
      </c>
      <c r="BH31" s="15">
        <f t="shared" si="15"/>
        <v>0</v>
      </c>
      <c r="BI31" s="15">
        <f t="shared" si="15"/>
        <v>0</v>
      </c>
      <c r="BJ31" s="15">
        <f t="shared" si="15"/>
        <v>0</v>
      </c>
      <c r="BK31" s="15">
        <f t="shared" si="15"/>
        <v>0</v>
      </c>
      <c r="BL31" s="15">
        <f t="shared" si="15"/>
        <v>0</v>
      </c>
    </row>
    <row r="32" spans="1:64" x14ac:dyDescent="0.2">
      <c r="B32" s="15" t="s">
        <v>169</v>
      </c>
      <c r="E32" s="19"/>
      <c r="F32" s="19"/>
      <c r="G32" s="15">
        <f t="shared" si="13"/>
        <v>22309.347210613756</v>
      </c>
      <c r="H32" s="15">
        <f t="shared" ref="H32:BL32" si="16">H$2*H$31</f>
        <v>0</v>
      </c>
      <c r="I32" s="15">
        <f t="shared" si="16"/>
        <v>0</v>
      </c>
      <c r="J32" s="15">
        <f t="shared" si="16"/>
        <v>0</v>
      </c>
      <c r="K32" s="15">
        <f t="shared" si="16"/>
        <v>0</v>
      </c>
      <c r="L32" s="15">
        <f t="shared" si="16"/>
        <v>0</v>
      </c>
      <c r="M32" s="15">
        <f t="shared" si="16"/>
        <v>0</v>
      </c>
      <c r="N32" s="15">
        <f t="shared" si="16"/>
        <v>0</v>
      </c>
      <c r="O32" s="15">
        <f t="shared" si="16"/>
        <v>0</v>
      </c>
      <c r="P32" s="15">
        <f t="shared" si="16"/>
        <v>0</v>
      </c>
      <c r="Q32" s="15">
        <f t="shared" si="16"/>
        <v>0</v>
      </c>
      <c r="R32" s="15">
        <f t="shared" si="16"/>
        <v>546.93125663318699</v>
      </c>
      <c r="S32" s="15">
        <f t="shared" si="16"/>
        <v>548.02511914645333</v>
      </c>
      <c r="T32" s="15">
        <f t="shared" si="16"/>
        <v>549.12116938474617</v>
      </c>
      <c r="U32" s="15">
        <f t="shared" si="16"/>
        <v>550.21941172351569</v>
      </c>
      <c r="V32" s="15">
        <f t="shared" si="16"/>
        <v>551.3198505469627</v>
      </c>
      <c r="W32" s="15">
        <f t="shared" si="16"/>
        <v>552.42249024805676</v>
      </c>
      <c r="X32" s="15">
        <f t="shared" si="16"/>
        <v>553.52733522855283</v>
      </c>
      <c r="Y32" s="15">
        <f t="shared" si="16"/>
        <v>554.63438989900999</v>
      </c>
      <c r="Z32" s="15">
        <f t="shared" si="16"/>
        <v>555.74365867880806</v>
      </c>
      <c r="AA32" s="15">
        <f t="shared" si="16"/>
        <v>556.85514599616556</v>
      </c>
      <c r="AB32" s="15">
        <f t="shared" si="16"/>
        <v>557.96885628815801</v>
      </c>
      <c r="AC32" s="15">
        <f t="shared" si="16"/>
        <v>559.08479400073429</v>
      </c>
      <c r="AD32" s="15">
        <f t="shared" si="16"/>
        <v>560.20296358873577</v>
      </c>
      <c r="AE32" s="15">
        <f t="shared" si="16"/>
        <v>561.32336951591321</v>
      </c>
      <c r="AF32" s="15">
        <f t="shared" si="16"/>
        <v>562.44601625494511</v>
      </c>
      <c r="AG32" s="15">
        <f t="shared" si="16"/>
        <v>573.13249056378891</v>
      </c>
      <c r="AH32" s="15">
        <f t="shared" si="16"/>
        <v>584.02200788450079</v>
      </c>
      <c r="AI32" s="15">
        <f t="shared" si="16"/>
        <v>595.11842603430625</v>
      </c>
      <c r="AJ32" s="15">
        <f t="shared" si="16"/>
        <v>606.425676128958</v>
      </c>
      <c r="AK32" s="15">
        <f t="shared" si="16"/>
        <v>617.94776397540818</v>
      </c>
      <c r="AL32" s="15">
        <f t="shared" si="16"/>
        <v>629.68877149094089</v>
      </c>
      <c r="AM32" s="15">
        <f t="shared" si="16"/>
        <v>641.6528581492687</v>
      </c>
      <c r="AN32" s="15">
        <f t="shared" si="16"/>
        <v>653.84426245410464</v>
      </c>
      <c r="AO32" s="15">
        <f t="shared" si="16"/>
        <v>666.26730344073258</v>
      </c>
      <c r="AP32" s="15">
        <f t="shared" si="16"/>
        <v>678.92638220610638</v>
      </c>
      <c r="AQ32" s="15">
        <f t="shared" si="16"/>
        <v>682.99994049934298</v>
      </c>
      <c r="AR32" s="15">
        <f t="shared" si="16"/>
        <v>687.0979401423391</v>
      </c>
      <c r="AS32" s="15">
        <f t="shared" si="16"/>
        <v>691.22052778319312</v>
      </c>
      <c r="AT32" s="15">
        <f t="shared" si="16"/>
        <v>695.36785094989227</v>
      </c>
      <c r="AU32" s="15">
        <f t="shared" si="16"/>
        <v>699.54005805559166</v>
      </c>
      <c r="AV32" s="15">
        <f t="shared" si="16"/>
        <v>703.73729840392514</v>
      </c>
      <c r="AW32" s="15">
        <f t="shared" si="16"/>
        <v>707.95972219434873</v>
      </c>
      <c r="AX32" s="15">
        <f t="shared" si="16"/>
        <v>712.2074805275148</v>
      </c>
      <c r="AY32" s="15">
        <f t="shared" si="16"/>
        <v>716.48072541067995</v>
      </c>
      <c r="AZ32" s="15">
        <f t="shared" si="16"/>
        <v>720.77960976314409</v>
      </c>
      <c r="BA32" s="15">
        <f t="shared" si="16"/>
        <v>725.10428742172292</v>
      </c>
      <c r="BB32" s="15">
        <f t="shared" si="16"/>
        <v>0</v>
      </c>
      <c r="BC32" s="15">
        <f t="shared" si="16"/>
        <v>0</v>
      </c>
      <c r="BD32" s="15">
        <f t="shared" si="16"/>
        <v>0</v>
      </c>
      <c r="BE32" s="15">
        <f t="shared" si="16"/>
        <v>0</v>
      </c>
      <c r="BF32" s="15">
        <f t="shared" si="16"/>
        <v>0</v>
      </c>
      <c r="BG32" s="15">
        <f t="shared" si="16"/>
        <v>0</v>
      </c>
      <c r="BH32" s="15">
        <f t="shared" si="16"/>
        <v>0</v>
      </c>
      <c r="BI32" s="15">
        <f t="shared" si="16"/>
        <v>0</v>
      </c>
      <c r="BJ32" s="15">
        <f t="shared" si="16"/>
        <v>0</v>
      </c>
      <c r="BK32" s="15">
        <f t="shared" si="16"/>
        <v>0</v>
      </c>
      <c r="BL32" s="15">
        <f t="shared" si="16"/>
        <v>0</v>
      </c>
    </row>
    <row r="33" spans="2:64" x14ac:dyDescent="0.2">
      <c r="B33" s="15" t="s">
        <v>170</v>
      </c>
      <c r="E33" s="19"/>
      <c r="F33" s="19"/>
      <c r="G33" s="15">
        <f t="shared" si="13"/>
        <v>13195.695697691812</v>
      </c>
      <c r="H33" s="15">
        <f t="shared" ref="H33:BL33" si="17">IF(H29=5,H18*H31+$E$17,0)</f>
        <v>0</v>
      </c>
      <c r="I33" s="15">
        <f t="shared" si="17"/>
        <v>0</v>
      </c>
      <c r="J33" s="15">
        <f t="shared" si="17"/>
        <v>0</v>
      </c>
      <c r="K33" s="15">
        <f t="shared" si="17"/>
        <v>0</v>
      </c>
      <c r="L33" s="15">
        <f t="shared" si="17"/>
        <v>0</v>
      </c>
      <c r="M33" s="15">
        <f t="shared" si="17"/>
        <v>0</v>
      </c>
      <c r="N33" s="15">
        <f t="shared" si="17"/>
        <v>0</v>
      </c>
      <c r="O33" s="15">
        <f t="shared" si="17"/>
        <v>0</v>
      </c>
      <c r="P33" s="15">
        <f t="shared" si="17"/>
        <v>0</v>
      </c>
      <c r="Q33" s="15">
        <f t="shared" si="17"/>
        <v>0</v>
      </c>
      <c r="R33" s="15">
        <f t="shared" si="17"/>
        <v>283.05600000000004</v>
      </c>
      <c r="S33" s="15">
        <f t="shared" si="17"/>
        <v>283.05600000000004</v>
      </c>
      <c r="T33" s="15">
        <f t="shared" si="17"/>
        <v>283.05600000000004</v>
      </c>
      <c r="U33" s="15">
        <f t="shared" si="17"/>
        <v>283.05600000000004</v>
      </c>
      <c r="V33" s="15">
        <f t="shared" si="17"/>
        <v>283.05600000000004</v>
      </c>
      <c r="W33" s="15">
        <f t="shared" si="17"/>
        <v>283.05600000000004</v>
      </c>
      <c r="X33" s="15">
        <f t="shared" si="17"/>
        <v>283.05600000000004</v>
      </c>
      <c r="Y33" s="15">
        <f t="shared" si="17"/>
        <v>283.05600000000004</v>
      </c>
      <c r="Z33" s="15">
        <f t="shared" si="17"/>
        <v>283.05600000000004</v>
      </c>
      <c r="AA33" s="15">
        <f t="shared" si="17"/>
        <v>283.05600000000004</v>
      </c>
      <c r="AB33" s="15">
        <f t="shared" si="17"/>
        <v>283.05600000000004</v>
      </c>
      <c r="AC33" s="15">
        <f t="shared" si="17"/>
        <v>283.05600000000004</v>
      </c>
      <c r="AD33" s="15">
        <f t="shared" si="17"/>
        <v>283.05600000000004</v>
      </c>
      <c r="AE33" s="15">
        <f t="shared" si="17"/>
        <v>283.05600000000004</v>
      </c>
      <c r="AF33" s="15">
        <f t="shared" si="17"/>
        <v>283.05600000000004</v>
      </c>
      <c r="AG33" s="15">
        <f t="shared" si="17"/>
        <v>283.05600000000004</v>
      </c>
      <c r="AH33" s="15">
        <f t="shared" si="17"/>
        <v>283.05600000000004</v>
      </c>
      <c r="AI33" s="15">
        <f t="shared" si="17"/>
        <v>283.05600000000004</v>
      </c>
      <c r="AJ33" s="15">
        <f t="shared" si="17"/>
        <v>283.05600000000004</v>
      </c>
      <c r="AK33" s="15">
        <f t="shared" si="17"/>
        <v>283.05600000000004</v>
      </c>
      <c r="AL33" s="15">
        <f t="shared" si="17"/>
        <v>299.13936000000001</v>
      </c>
      <c r="AM33" s="15">
        <f t="shared" si="17"/>
        <v>316.18772160000003</v>
      </c>
      <c r="AN33" s="15">
        <f t="shared" si="17"/>
        <v>334.25898489600007</v>
      </c>
      <c r="AO33" s="15">
        <f t="shared" si="17"/>
        <v>353.41452398976003</v>
      </c>
      <c r="AP33" s="15">
        <f t="shared" si="17"/>
        <v>373.71939542914566</v>
      </c>
      <c r="AQ33" s="15">
        <f t="shared" si="17"/>
        <v>395.24255915489442</v>
      </c>
      <c r="AR33" s="15">
        <f t="shared" si="17"/>
        <v>418.05711270418811</v>
      </c>
      <c r="AS33" s="15">
        <f t="shared" si="17"/>
        <v>442.24053946643943</v>
      </c>
      <c r="AT33" s="15">
        <f t="shared" si="17"/>
        <v>467.87497183442582</v>
      </c>
      <c r="AU33" s="15">
        <f t="shared" si="17"/>
        <v>495.0474701444914</v>
      </c>
      <c r="AV33" s="15">
        <f t="shared" si="17"/>
        <v>523.8503183531609</v>
      </c>
      <c r="AW33" s="15">
        <f t="shared" si="17"/>
        <v>554.3813374543505</v>
      </c>
      <c r="AX33" s="15">
        <f t="shared" si="17"/>
        <v>586.74421770161155</v>
      </c>
      <c r="AY33" s="15">
        <f t="shared" si="17"/>
        <v>621.04887076370835</v>
      </c>
      <c r="AZ33" s="15">
        <f t="shared" si="17"/>
        <v>657.4118030095309</v>
      </c>
      <c r="BA33" s="15">
        <f t="shared" si="17"/>
        <v>695.95651119010279</v>
      </c>
      <c r="BB33" s="15">
        <f t="shared" si="17"/>
        <v>0</v>
      </c>
      <c r="BC33" s="15">
        <f t="shared" si="17"/>
        <v>0</v>
      </c>
      <c r="BD33" s="15">
        <f t="shared" si="17"/>
        <v>0</v>
      </c>
      <c r="BE33" s="15">
        <f t="shared" si="17"/>
        <v>0</v>
      </c>
      <c r="BF33" s="15">
        <f t="shared" si="17"/>
        <v>0</v>
      </c>
      <c r="BG33" s="15">
        <f t="shared" si="17"/>
        <v>0</v>
      </c>
      <c r="BH33" s="15">
        <f t="shared" si="17"/>
        <v>0</v>
      </c>
      <c r="BI33" s="15">
        <f t="shared" si="17"/>
        <v>0</v>
      </c>
      <c r="BJ33" s="15">
        <f t="shared" si="17"/>
        <v>0</v>
      </c>
      <c r="BK33" s="15">
        <f t="shared" si="17"/>
        <v>0</v>
      </c>
      <c r="BL33" s="15">
        <f t="shared" si="17"/>
        <v>0</v>
      </c>
    </row>
    <row r="34" spans="2:64" x14ac:dyDescent="0.2">
      <c r="B34" s="15" t="s">
        <v>171</v>
      </c>
      <c r="D34" s="18"/>
      <c r="E34" s="19"/>
      <c r="F34" s="20"/>
      <c r="G34" s="15">
        <f>SUM(H34:BL34)</f>
        <v>9113.6515129219424</v>
      </c>
      <c r="H34" s="15">
        <f>H32-H33</f>
        <v>0</v>
      </c>
      <c r="I34" s="15">
        <f t="shared" ref="I34:BL34" si="18">I32-I33</f>
        <v>0</v>
      </c>
      <c r="J34" s="15">
        <f t="shared" si="18"/>
        <v>0</v>
      </c>
      <c r="K34" s="15">
        <f t="shared" si="18"/>
        <v>0</v>
      </c>
      <c r="L34" s="15">
        <f t="shared" si="18"/>
        <v>0</v>
      </c>
      <c r="M34" s="15">
        <f t="shared" si="18"/>
        <v>0</v>
      </c>
      <c r="N34" s="15">
        <f t="shared" si="18"/>
        <v>0</v>
      </c>
      <c r="O34" s="15">
        <f t="shared" si="18"/>
        <v>0</v>
      </c>
      <c r="P34" s="15">
        <f t="shared" si="18"/>
        <v>0</v>
      </c>
      <c r="Q34" s="15">
        <f t="shared" si="18"/>
        <v>0</v>
      </c>
      <c r="R34" s="15">
        <f t="shared" si="18"/>
        <v>263.87525663318695</v>
      </c>
      <c r="S34" s="15">
        <f t="shared" si="18"/>
        <v>264.96911914645329</v>
      </c>
      <c r="T34" s="15">
        <f t="shared" si="18"/>
        <v>266.06516938474613</v>
      </c>
      <c r="U34" s="15">
        <f t="shared" si="18"/>
        <v>267.16341172351565</v>
      </c>
      <c r="V34" s="15">
        <f t="shared" si="18"/>
        <v>268.26385054696266</v>
      </c>
      <c r="W34" s="15">
        <f t="shared" si="18"/>
        <v>269.36649024805672</v>
      </c>
      <c r="X34" s="15">
        <f t="shared" si="18"/>
        <v>270.47133522855279</v>
      </c>
      <c r="Y34" s="15">
        <f t="shared" si="18"/>
        <v>271.57838989900995</v>
      </c>
      <c r="Z34" s="15">
        <f t="shared" si="18"/>
        <v>272.68765867880802</v>
      </c>
      <c r="AA34" s="15">
        <f t="shared" si="18"/>
        <v>273.79914599616552</v>
      </c>
      <c r="AB34" s="15">
        <f t="shared" si="18"/>
        <v>274.91285628815797</v>
      </c>
      <c r="AC34" s="15">
        <f t="shared" si="18"/>
        <v>276.02879400073425</v>
      </c>
      <c r="AD34" s="15">
        <f t="shared" si="18"/>
        <v>277.14696358873573</v>
      </c>
      <c r="AE34" s="15">
        <f t="shared" si="18"/>
        <v>278.26736951591317</v>
      </c>
      <c r="AF34" s="15">
        <f t="shared" si="18"/>
        <v>279.39001625494507</v>
      </c>
      <c r="AG34" s="15">
        <f t="shared" si="18"/>
        <v>290.07649056378887</v>
      </c>
      <c r="AH34" s="15">
        <f t="shared" si="18"/>
        <v>300.96600788450075</v>
      </c>
      <c r="AI34" s="15">
        <f t="shared" si="18"/>
        <v>312.06242603430621</v>
      </c>
      <c r="AJ34" s="15">
        <f t="shared" si="18"/>
        <v>323.36967612895796</v>
      </c>
      <c r="AK34" s="15">
        <f t="shared" si="18"/>
        <v>334.89176397540814</v>
      </c>
      <c r="AL34" s="15">
        <f t="shared" si="18"/>
        <v>330.54941149094088</v>
      </c>
      <c r="AM34" s="15">
        <f t="shared" si="18"/>
        <v>325.46513654926866</v>
      </c>
      <c r="AN34" s="15">
        <f t="shared" si="18"/>
        <v>319.58527755810456</v>
      </c>
      <c r="AO34" s="15">
        <f t="shared" si="18"/>
        <v>312.85277945097255</v>
      </c>
      <c r="AP34" s="15">
        <f t="shared" si="18"/>
        <v>305.20698677696072</v>
      </c>
      <c r="AQ34" s="15">
        <f t="shared" si="18"/>
        <v>287.75738134444856</v>
      </c>
      <c r="AR34" s="15">
        <f t="shared" si="18"/>
        <v>269.04082743815098</v>
      </c>
      <c r="AS34" s="15">
        <f t="shared" si="18"/>
        <v>248.97998831675369</v>
      </c>
      <c r="AT34" s="15">
        <f t="shared" si="18"/>
        <v>227.49287911546645</v>
      </c>
      <c r="AU34" s="15">
        <f t="shared" si="18"/>
        <v>204.49258791110026</v>
      </c>
      <c r="AV34" s="15">
        <f t="shared" si="18"/>
        <v>179.88698005076424</v>
      </c>
      <c r="AW34" s="15">
        <f t="shared" si="18"/>
        <v>153.57838473999823</v>
      </c>
      <c r="AX34" s="15">
        <f t="shared" si="18"/>
        <v>125.46326282590326</v>
      </c>
      <c r="AY34" s="15">
        <f t="shared" si="18"/>
        <v>95.431854646971601</v>
      </c>
      <c r="AZ34" s="15">
        <f t="shared" si="18"/>
        <v>63.367806753613195</v>
      </c>
      <c r="BA34" s="15">
        <f t="shared" si="18"/>
        <v>29.147776231620128</v>
      </c>
      <c r="BB34" s="15">
        <f t="shared" si="18"/>
        <v>0</v>
      </c>
      <c r="BC34" s="15">
        <f t="shared" si="18"/>
        <v>0</v>
      </c>
      <c r="BD34" s="15">
        <f t="shared" si="18"/>
        <v>0</v>
      </c>
      <c r="BE34" s="15">
        <f t="shared" si="18"/>
        <v>0</v>
      </c>
      <c r="BF34" s="15">
        <f t="shared" si="18"/>
        <v>0</v>
      </c>
      <c r="BG34" s="15">
        <f t="shared" si="18"/>
        <v>0</v>
      </c>
      <c r="BH34" s="15">
        <f t="shared" si="18"/>
        <v>0</v>
      </c>
      <c r="BI34" s="15">
        <f t="shared" si="18"/>
        <v>0</v>
      </c>
      <c r="BJ34" s="15">
        <f t="shared" si="18"/>
        <v>0</v>
      </c>
      <c r="BK34" s="15">
        <f t="shared" si="18"/>
        <v>0</v>
      </c>
      <c r="BL34" s="15">
        <f t="shared" si="18"/>
        <v>0</v>
      </c>
    </row>
    <row r="35" spans="2:64" x14ac:dyDescent="0.2">
      <c r="B35" s="22" t="s">
        <v>172</v>
      </c>
      <c r="D35" s="17"/>
      <c r="F35" s="20"/>
      <c r="G35" s="15">
        <f t="shared" si="13"/>
        <v>3660</v>
      </c>
      <c r="H35" s="15">
        <f>H14+H15+H16 +IF(H28=1,$E$20,0)</f>
        <v>10</v>
      </c>
      <c r="I35" s="15">
        <f t="shared" ref="I35:BL35" si="19">I14+I15+I16 +IF(I28=1,$E$20,0)</f>
        <v>10</v>
      </c>
      <c r="J35" s="15">
        <f t="shared" si="19"/>
        <v>15</v>
      </c>
      <c r="K35" s="15">
        <f t="shared" si="19"/>
        <v>15</v>
      </c>
      <c r="L35" s="15">
        <f t="shared" si="19"/>
        <v>15</v>
      </c>
      <c r="M35" s="15">
        <f t="shared" si="19"/>
        <v>95</v>
      </c>
      <c r="N35" s="15">
        <f t="shared" si="19"/>
        <v>600</v>
      </c>
      <c r="O35" s="15">
        <f t="shared" si="19"/>
        <v>1200</v>
      </c>
      <c r="P35" s="15">
        <f t="shared" si="19"/>
        <v>750</v>
      </c>
      <c r="Q35" s="15">
        <f t="shared" si="19"/>
        <v>300</v>
      </c>
      <c r="R35" s="15">
        <f t="shared" si="19"/>
        <v>150</v>
      </c>
      <c r="S35" s="15">
        <f t="shared" si="19"/>
        <v>0</v>
      </c>
      <c r="T35" s="15">
        <f t="shared" si="19"/>
        <v>0</v>
      </c>
      <c r="U35" s="15">
        <f t="shared" si="19"/>
        <v>0</v>
      </c>
      <c r="V35" s="15">
        <f t="shared" si="19"/>
        <v>0</v>
      </c>
      <c r="W35" s="15">
        <f t="shared" si="19"/>
        <v>0</v>
      </c>
      <c r="X35" s="15">
        <f t="shared" si="19"/>
        <v>0</v>
      </c>
      <c r="Y35" s="15">
        <f t="shared" si="19"/>
        <v>0</v>
      </c>
      <c r="Z35" s="15">
        <f t="shared" si="19"/>
        <v>0</v>
      </c>
      <c r="AA35" s="15">
        <f t="shared" si="19"/>
        <v>0</v>
      </c>
      <c r="AB35" s="15">
        <f t="shared" si="19"/>
        <v>0</v>
      </c>
      <c r="AC35" s="15">
        <f t="shared" si="19"/>
        <v>0</v>
      </c>
      <c r="AD35" s="15">
        <f t="shared" si="19"/>
        <v>0</v>
      </c>
      <c r="AE35" s="15">
        <f t="shared" si="19"/>
        <v>0</v>
      </c>
      <c r="AF35" s="15">
        <f t="shared" si="19"/>
        <v>0</v>
      </c>
      <c r="AG35" s="15">
        <f t="shared" si="19"/>
        <v>0</v>
      </c>
      <c r="AH35" s="15">
        <f t="shared" si="19"/>
        <v>0</v>
      </c>
      <c r="AI35" s="15">
        <f t="shared" si="19"/>
        <v>0</v>
      </c>
      <c r="AJ35" s="15">
        <f t="shared" si="19"/>
        <v>0</v>
      </c>
      <c r="AK35" s="15">
        <f t="shared" si="19"/>
        <v>0</v>
      </c>
      <c r="AL35" s="15">
        <f t="shared" si="19"/>
        <v>0</v>
      </c>
      <c r="AM35" s="15">
        <f t="shared" si="19"/>
        <v>0</v>
      </c>
      <c r="AN35" s="15">
        <f t="shared" si="19"/>
        <v>0</v>
      </c>
      <c r="AO35" s="15">
        <f t="shared" si="19"/>
        <v>0</v>
      </c>
      <c r="AP35" s="15">
        <f t="shared" si="19"/>
        <v>0</v>
      </c>
      <c r="AQ35" s="15">
        <f t="shared" si="19"/>
        <v>0</v>
      </c>
      <c r="AR35" s="15">
        <f t="shared" si="19"/>
        <v>0</v>
      </c>
      <c r="AS35" s="15">
        <f t="shared" si="19"/>
        <v>0</v>
      </c>
      <c r="AT35" s="15">
        <f t="shared" si="19"/>
        <v>0</v>
      </c>
      <c r="AU35" s="15">
        <f t="shared" si="19"/>
        <v>0</v>
      </c>
      <c r="AV35" s="15">
        <f t="shared" si="19"/>
        <v>0</v>
      </c>
      <c r="AW35" s="15">
        <f t="shared" si="19"/>
        <v>0</v>
      </c>
      <c r="AX35" s="15">
        <f t="shared" si="19"/>
        <v>0</v>
      </c>
      <c r="AY35" s="15">
        <f t="shared" si="19"/>
        <v>0</v>
      </c>
      <c r="AZ35" s="15">
        <f t="shared" si="19"/>
        <v>0</v>
      </c>
      <c r="BA35" s="15">
        <f t="shared" si="19"/>
        <v>0</v>
      </c>
      <c r="BB35" s="15">
        <f t="shared" si="19"/>
        <v>500</v>
      </c>
      <c r="BC35" s="15">
        <f t="shared" si="19"/>
        <v>0</v>
      </c>
      <c r="BD35" s="15">
        <f t="shared" si="19"/>
        <v>0</v>
      </c>
      <c r="BE35" s="15">
        <f t="shared" si="19"/>
        <v>0</v>
      </c>
      <c r="BF35" s="15">
        <f t="shared" si="19"/>
        <v>0</v>
      </c>
      <c r="BG35" s="15">
        <f t="shared" si="19"/>
        <v>0</v>
      </c>
      <c r="BH35" s="15">
        <f t="shared" si="19"/>
        <v>0</v>
      </c>
      <c r="BI35" s="15">
        <f t="shared" si="19"/>
        <v>0</v>
      </c>
      <c r="BJ35" s="15">
        <f t="shared" si="19"/>
        <v>0</v>
      </c>
      <c r="BK35" s="15">
        <f t="shared" si="19"/>
        <v>0</v>
      </c>
      <c r="BL35" s="15">
        <f t="shared" si="19"/>
        <v>0</v>
      </c>
    </row>
    <row r="36" spans="2:64" x14ac:dyDescent="0.2">
      <c r="B36" s="22" t="s">
        <v>173</v>
      </c>
      <c r="G36" s="15">
        <f t="shared" si="13"/>
        <v>5453.6515129219433</v>
      </c>
      <c r="H36" s="15">
        <f t="shared" ref="H36:BL36" si="20">H34-H35</f>
        <v>-10</v>
      </c>
      <c r="I36" s="15">
        <f t="shared" si="20"/>
        <v>-10</v>
      </c>
      <c r="J36" s="15">
        <f t="shared" si="20"/>
        <v>-15</v>
      </c>
      <c r="K36" s="15">
        <f t="shared" si="20"/>
        <v>-15</v>
      </c>
      <c r="L36" s="15">
        <f t="shared" si="20"/>
        <v>-15</v>
      </c>
      <c r="M36" s="15">
        <f t="shared" si="20"/>
        <v>-95</v>
      </c>
      <c r="N36" s="15">
        <f t="shared" si="20"/>
        <v>-600</v>
      </c>
      <c r="O36" s="15">
        <f t="shared" si="20"/>
        <v>-1200</v>
      </c>
      <c r="P36" s="15">
        <f t="shared" si="20"/>
        <v>-750</v>
      </c>
      <c r="Q36" s="15">
        <f t="shared" si="20"/>
        <v>-300</v>
      </c>
      <c r="R36" s="15">
        <f t="shared" si="20"/>
        <v>113.87525663318695</v>
      </c>
      <c r="S36" s="15">
        <f t="shared" si="20"/>
        <v>264.96911914645329</v>
      </c>
      <c r="T36" s="15">
        <f t="shared" si="20"/>
        <v>266.06516938474613</v>
      </c>
      <c r="U36" s="15">
        <f t="shared" si="20"/>
        <v>267.16341172351565</v>
      </c>
      <c r="V36" s="15">
        <f t="shared" si="20"/>
        <v>268.26385054696266</v>
      </c>
      <c r="W36" s="15">
        <f t="shared" si="20"/>
        <v>269.36649024805672</v>
      </c>
      <c r="X36" s="15">
        <f t="shared" si="20"/>
        <v>270.47133522855279</v>
      </c>
      <c r="Y36" s="15">
        <f t="shared" si="20"/>
        <v>271.57838989900995</v>
      </c>
      <c r="Z36" s="15">
        <f t="shared" si="20"/>
        <v>272.68765867880802</v>
      </c>
      <c r="AA36" s="15">
        <f t="shared" si="20"/>
        <v>273.79914599616552</v>
      </c>
      <c r="AB36" s="15">
        <f t="shared" si="20"/>
        <v>274.91285628815797</v>
      </c>
      <c r="AC36" s="15">
        <f t="shared" si="20"/>
        <v>276.02879400073425</v>
      </c>
      <c r="AD36" s="15">
        <f t="shared" si="20"/>
        <v>277.14696358873573</v>
      </c>
      <c r="AE36" s="15">
        <f t="shared" si="20"/>
        <v>278.26736951591317</v>
      </c>
      <c r="AF36" s="15">
        <f t="shared" si="20"/>
        <v>279.39001625494507</v>
      </c>
      <c r="AG36" s="15">
        <f t="shared" si="20"/>
        <v>290.07649056378887</v>
      </c>
      <c r="AH36" s="15">
        <f t="shared" si="20"/>
        <v>300.96600788450075</v>
      </c>
      <c r="AI36" s="15">
        <f t="shared" si="20"/>
        <v>312.06242603430621</v>
      </c>
      <c r="AJ36" s="15">
        <f t="shared" si="20"/>
        <v>323.36967612895796</v>
      </c>
      <c r="AK36" s="15">
        <f t="shared" si="20"/>
        <v>334.89176397540814</v>
      </c>
      <c r="AL36" s="15">
        <f t="shared" si="20"/>
        <v>330.54941149094088</v>
      </c>
      <c r="AM36" s="15">
        <f t="shared" si="20"/>
        <v>325.46513654926866</v>
      </c>
      <c r="AN36" s="15">
        <f t="shared" si="20"/>
        <v>319.58527755810456</v>
      </c>
      <c r="AO36" s="15">
        <f t="shared" si="20"/>
        <v>312.85277945097255</v>
      </c>
      <c r="AP36" s="15">
        <f t="shared" si="20"/>
        <v>305.20698677696072</v>
      </c>
      <c r="AQ36" s="15">
        <f t="shared" si="20"/>
        <v>287.75738134444856</v>
      </c>
      <c r="AR36" s="15">
        <f t="shared" si="20"/>
        <v>269.04082743815098</v>
      </c>
      <c r="AS36" s="15">
        <f t="shared" si="20"/>
        <v>248.97998831675369</v>
      </c>
      <c r="AT36" s="15">
        <f t="shared" si="20"/>
        <v>227.49287911546645</v>
      </c>
      <c r="AU36" s="15">
        <f t="shared" si="20"/>
        <v>204.49258791110026</v>
      </c>
      <c r="AV36" s="15">
        <f t="shared" si="20"/>
        <v>179.88698005076424</v>
      </c>
      <c r="AW36" s="15">
        <f t="shared" si="20"/>
        <v>153.57838473999823</v>
      </c>
      <c r="AX36" s="15">
        <f t="shared" si="20"/>
        <v>125.46326282590326</v>
      </c>
      <c r="AY36" s="15">
        <f t="shared" si="20"/>
        <v>95.431854646971601</v>
      </c>
      <c r="AZ36" s="15">
        <f t="shared" si="20"/>
        <v>63.367806753613195</v>
      </c>
      <c r="BA36" s="15">
        <f t="shared" si="20"/>
        <v>29.147776231620128</v>
      </c>
      <c r="BB36" s="15">
        <f t="shared" si="20"/>
        <v>-500</v>
      </c>
      <c r="BC36" s="15">
        <f t="shared" si="20"/>
        <v>0</v>
      </c>
      <c r="BD36" s="15">
        <f t="shared" si="20"/>
        <v>0</v>
      </c>
      <c r="BE36" s="15">
        <f t="shared" si="20"/>
        <v>0</v>
      </c>
      <c r="BF36" s="15">
        <f t="shared" si="20"/>
        <v>0</v>
      </c>
      <c r="BG36" s="15">
        <f t="shared" si="20"/>
        <v>0</v>
      </c>
      <c r="BH36" s="15">
        <f t="shared" si="20"/>
        <v>0</v>
      </c>
      <c r="BI36" s="15">
        <f t="shared" si="20"/>
        <v>0</v>
      </c>
      <c r="BJ36" s="15">
        <f t="shared" si="20"/>
        <v>0</v>
      </c>
      <c r="BK36" s="15">
        <f t="shared" si="20"/>
        <v>0</v>
      </c>
      <c r="BL36" s="15">
        <f t="shared" si="20"/>
        <v>0</v>
      </c>
    </row>
    <row r="37" spans="2:64" x14ac:dyDescent="0.2">
      <c r="B37" s="15" t="s">
        <v>174</v>
      </c>
      <c r="D37" s="17">
        <v>0.06</v>
      </c>
      <c r="E37" s="25">
        <f>NPV($D$37,I36:BL36)+H36</f>
        <v>213.35841821771683</v>
      </c>
    </row>
    <row r="38" spans="2:64" x14ac:dyDescent="0.2">
      <c r="B38" s="15" t="s">
        <v>175</v>
      </c>
      <c r="D38" s="17"/>
      <c r="H38" s="15">
        <f>H36</f>
        <v>-10</v>
      </c>
      <c r="I38" s="15">
        <f>H38+I36</f>
        <v>-20</v>
      </c>
      <c r="J38" s="15">
        <f t="shared" ref="J38:BL38" si="21">I38+J36</f>
        <v>-35</v>
      </c>
      <c r="K38" s="15">
        <f t="shared" si="21"/>
        <v>-50</v>
      </c>
      <c r="L38" s="15">
        <f t="shared" si="21"/>
        <v>-65</v>
      </c>
      <c r="M38" s="15">
        <f t="shared" si="21"/>
        <v>-160</v>
      </c>
      <c r="N38" s="15">
        <f t="shared" si="21"/>
        <v>-760</v>
      </c>
      <c r="O38" s="15">
        <f t="shared" si="21"/>
        <v>-1960</v>
      </c>
      <c r="P38" s="15">
        <f t="shared" si="21"/>
        <v>-2710</v>
      </c>
      <c r="Q38" s="15">
        <f t="shared" si="21"/>
        <v>-3010</v>
      </c>
      <c r="R38" s="15">
        <f t="shared" si="21"/>
        <v>-2896.1247433668132</v>
      </c>
      <c r="S38" s="15">
        <f t="shared" si="21"/>
        <v>-2631.1556242203596</v>
      </c>
      <c r="T38" s="15">
        <f t="shared" si="21"/>
        <v>-2365.0904548356134</v>
      </c>
      <c r="U38" s="15">
        <f t="shared" si="21"/>
        <v>-2097.9270431120976</v>
      </c>
      <c r="V38" s="15">
        <f t="shared" si="21"/>
        <v>-1829.663192565135</v>
      </c>
      <c r="W38" s="15">
        <f t="shared" si="21"/>
        <v>-1560.2967023170781</v>
      </c>
      <c r="X38" s="15">
        <f t="shared" si="21"/>
        <v>-1289.8253670885254</v>
      </c>
      <c r="Y38" s="15">
        <f t="shared" si="21"/>
        <v>-1018.2469771895154</v>
      </c>
      <c r="Z38" s="15">
        <f t="shared" si="21"/>
        <v>-745.55931851070739</v>
      </c>
      <c r="AA38" s="15">
        <f t="shared" si="21"/>
        <v>-471.76017251454186</v>
      </c>
      <c r="AB38" s="15">
        <f t="shared" si="21"/>
        <v>-196.8473162263839</v>
      </c>
      <c r="AC38" s="15">
        <f t="shared" si="21"/>
        <v>79.181477774350356</v>
      </c>
      <c r="AD38" s="15">
        <f t="shared" si="21"/>
        <v>356.32844136308609</v>
      </c>
      <c r="AE38" s="15">
        <f t="shared" si="21"/>
        <v>634.59581087899926</v>
      </c>
      <c r="AF38" s="15">
        <f t="shared" si="21"/>
        <v>913.98582713394433</v>
      </c>
      <c r="AG38" s="15">
        <f t="shared" si="21"/>
        <v>1204.0623176977333</v>
      </c>
      <c r="AH38" s="15">
        <f t="shared" si="21"/>
        <v>1505.0283255822342</v>
      </c>
      <c r="AI38" s="15">
        <f t="shared" si="21"/>
        <v>1817.0907516165403</v>
      </c>
      <c r="AJ38" s="15">
        <f t="shared" si="21"/>
        <v>2140.4604277454982</v>
      </c>
      <c r="AK38" s="15">
        <f t="shared" si="21"/>
        <v>2475.3521917209064</v>
      </c>
      <c r="AL38" s="15">
        <f t="shared" si="21"/>
        <v>2805.901603211847</v>
      </c>
      <c r="AM38" s="15">
        <f t="shared" si="21"/>
        <v>3131.3667397611157</v>
      </c>
      <c r="AN38" s="15">
        <f t="shared" si="21"/>
        <v>3450.9520173192204</v>
      </c>
      <c r="AO38" s="15">
        <f t="shared" si="21"/>
        <v>3763.8047967701932</v>
      </c>
      <c r="AP38" s="15">
        <f t="shared" si="21"/>
        <v>4069.0117835471538</v>
      </c>
      <c r="AQ38" s="15">
        <f t="shared" si="21"/>
        <v>4356.7691648916025</v>
      </c>
      <c r="AR38" s="15">
        <f t="shared" si="21"/>
        <v>4625.8099923297532</v>
      </c>
      <c r="AS38" s="15">
        <f t="shared" si="21"/>
        <v>4874.7899806465066</v>
      </c>
      <c r="AT38" s="15">
        <f t="shared" si="21"/>
        <v>5102.2828597619728</v>
      </c>
      <c r="AU38" s="15">
        <f t="shared" si="21"/>
        <v>5306.7754476730734</v>
      </c>
      <c r="AV38" s="15">
        <f t="shared" si="21"/>
        <v>5486.6624277238379</v>
      </c>
      <c r="AW38" s="15">
        <f t="shared" si="21"/>
        <v>5640.2408124638359</v>
      </c>
      <c r="AX38" s="15">
        <f t="shared" si="21"/>
        <v>5765.7040752897392</v>
      </c>
      <c r="AY38" s="15">
        <f t="shared" si="21"/>
        <v>5861.1359299367105</v>
      </c>
      <c r="AZ38" s="15">
        <f t="shared" si="21"/>
        <v>5924.5037366903234</v>
      </c>
      <c r="BA38" s="15">
        <f t="shared" si="21"/>
        <v>5953.6515129219433</v>
      </c>
      <c r="BB38" s="15">
        <f t="shared" si="21"/>
        <v>5453.6515129219433</v>
      </c>
      <c r="BC38" s="15">
        <f t="shared" si="21"/>
        <v>5453.6515129219433</v>
      </c>
      <c r="BD38" s="15">
        <f t="shared" si="21"/>
        <v>5453.6515129219433</v>
      </c>
      <c r="BE38" s="15">
        <f t="shared" si="21"/>
        <v>5453.6515129219433</v>
      </c>
      <c r="BF38" s="15">
        <f t="shared" si="21"/>
        <v>5453.6515129219433</v>
      </c>
      <c r="BG38" s="15">
        <f t="shared" si="21"/>
        <v>5453.6515129219433</v>
      </c>
      <c r="BH38" s="15">
        <f t="shared" si="21"/>
        <v>5453.6515129219433</v>
      </c>
      <c r="BI38" s="15">
        <f t="shared" si="21"/>
        <v>5453.6515129219433</v>
      </c>
      <c r="BJ38" s="15">
        <f t="shared" si="21"/>
        <v>5453.6515129219433</v>
      </c>
      <c r="BK38" s="15">
        <f t="shared" si="21"/>
        <v>5453.6515129219433</v>
      </c>
      <c r="BL38" s="15">
        <f t="shared" si="21"/>
        <v>5453.6515129219433</v>
      </c>
    </row>
    <row r="39" spans="2:64" x14ac:dyDescent="0.2">
      <c r="B39" s="15" t="s">
        <v>176</v>
      </c>
      <c r="E39" s="18">
        <f>ABS(MIN(H38:BL38))</f>
        <v>3010</v>
      </c>
    </row>
    <row r="40" spans="2:64" x14ac:dyDescent="0.2">
      <c r="B40" s="15" t="s">
        <v>177</v>
      </c>
      <c r="E40" s="18">
        <f>IF(G40=0,3000,G40)</f>
        <v>2039</v>
      </c>
      <c r="G40" s="15">
        <f>SUM(H40:BL40)</f>
        <v>2039</v>
      </c>
      <c r="H40" s="15">
        <v>0</v>
      </c>
      <c r="I40" s="15">
        <f>IF(AND(H38&lt;0,I38&gt;0),I1,0)</f>
        <v>0</v>
      </c>
      <c r="J40" s="15">
        <f t="shared" ref="J40:BL40" si="22">IF(AND(I38&lt;0,J38&gt;0),J1,0)</f>
        <v>0</v>
      </c>
      <c r="K40" s="15">
        <f t="shared" si="22"/>
        <v>0</v>
      </c>
      <c r="L40" s="15">
        <f t="shared" si="22"/>
        <v>0</v>
      </c>
      <c r="M40" s="15">
        <f t="shared" si="22"/>
        <v>0</v>
      </c>
      <c r="N40" s="15">
        <f t="shared" si="22"/>
        <v>0</v>
      </c>
      <c r="O40" s="15">
        <f t="shared" si="22"/>
        <v>0</v>
      </c>
      <c r="P40" s="15">
        <f t="shared" si="22"/>
        <v>0</v>
      </c>
      <c r="Q40" s="15">
        <f t="shared" si="22"/>
        <v>0</v>
      </c>
      <c r="R40" s="15">
        <f t="shared" si="22"/>
        <v>0</v>
      </c>
      <c r="S40" s="15">
        <f t="shared" si="22"/>
        <v>0</v>
      </c>
      <c r="T40" s="15">
        <f t="shared" si="22"/>
        <v>0</v>
      </c>
      <c r="U40" s="15">
        <f t="shared" si="22"/>
        <v>0</v>
      </c>
      <c r="V40" s="15">
        <f t="shared" si="22"/>
        <v>0</v>
      </c>
      <c r="W40" s="15">
        <f t="shared" si="22"/>
        <v>0</v>
      </c>
      <c r="X40" s="15">
        <f t="shared" si="22"/>
        <v>0</v>
      </c>
      <c r="Y40" s="15">
        <f t="shared" si="22"/>
        <v>0</v>
      </c>
      <c r="Z40" s="15">
        <f t="shared" si="22"/>
        <v>0</v>
      </c>
      <c r="AA40" s="15">
        <f t="shared" si="22"/>
        <v>0</v>
      </c>
      <c r="AB40" s="15">
        <f t="shared" si="22"/>
        <v>0</v>
      </c>
      <c r="AC40" s="15">
        <f t="shared" si="22"/>
        <v>2039</v>
      </c>
      <c r="AD40" s="15">
        <f t="shared" si="22"/>
        <v>0</v>
      </c>
      <c r="AE40" s="15">
        <f t="shared" si="22"/>
        <v>0</v>
      </c>
      <c r="AF40" s="15">
        <f t="shared" si="22"/>
        <v>0</v>
      </c>
      <c r="AG40" s="15">
        <f t="shared" si="22"/>
        <v>0</v>
      </c>
      <c r="AH40" s="15">
        <f t="shared" si="22"/>
        <v>0</v>
      </c>
      <c r="AI40" s="15">
        <f t="shared" si="22"/>
        <v>0</v>
      </c>
      <c r="AJ40" s="15">
        <f t="shared" si="22"/>
        <v>0</v>
      </c>
      <c r="AK40" s="15">
        <f t="shared" si="22"/>
        <v>0</v>
      </c>
      <c r="AL40" s="15">
        <f t="shared" si="22"/>
        <v>0</v>
      </c>
      <c r="AM40" s="15">
        <f t="shared" si="22"/>
        <v>0</v>
      </c>
      <c r="AN40" s="15">
        <f t="shared" si="22"/>
        <v>0</v>
      </c>
      <c r="AO40" s="15">
        <f t="shared" si="22"/>
        <v>0</v>
      </c>
      <c r="AP40" s="15">
        <f t="shared" si="22"/>
        <v>0</v>
      </c>
      <c r="AQ40" s="15">
        <f t="shared" si="22"/>
        <v>0</v>
      </c>
      <c r="AR40" s="15">
        <f t="shared" si="22"/>
        <v>0</v>
      </c>
      <c r="AS40" s="15">
        <f t="shared" si="22"/>
        <v>0</v>
      </c>
      <c r="AT40" s="15">
        <f t="shared" si="22"/>
        <v>0</v>
      </c>
      <c r="AU40" s="15">
        <f t="shared" si="22"/>
        <v>0</v>
      </c>
      <c r="AV40" s="15">
        <f t="shared" si="22"/>
        <v>0</v>
      </c>
      <c r="AW40" s="15">
        <f t="shared" si="22"/>
        <v>0</v>
      </c>
      <c r="AX40" s="15">
        <f t="shared" si="22"/>
        <v>0</v>
      </c>
      <c r="AY40" s="15">
        <f t="shared" si="22"/>
        <v>0</v>
      </c>
      <c r="AZ40" s="15">
        <f t="shared" si="22"/>
        <v>0</v>
      </c>
      <c r="BA40" s="15">
        <f t="shared" si="22"/>
        <v>0</v>
      </c>
      <c r="BB40" s="15">
        <f t="shared" si="22"/>
        <v>0</v>
      </c>
      <c r="BC40" s="15">
        <f t="shared" si="22"/>
        <v>0</v>
      </c>
      <c r="BD40" s="15">
        <f t="shared" si="22"/>
        <v>0</v>
      </c>
      <c r="BE40" s="15">
        <f t="shared" si="22"/>
        <v>0</v>
      </c>
      <c r="BF40" s="15">
        <f t="shared" si="22"/>
        <v>0</v>
      </c>
      <c r="BG40" s="15">
        <f t="shared" si="22"/>
        <v>0</v>
      </c>
      <c r="BH40" s="15">
        <f t="shared" si="22"/>
        <v>0</v>
      </c>
      <c r="BI40" s="15">
        <f t="shared" si="22"/>
        <v>0</v>
      </c>
      <c r="BJ40" s="15">
        <f t="shared" si="22"/>
        <v>0</v>
      </c>
      <c r="BK40" s="15">
        <f t="shared" si="22"/>
        <v>0</v>
      </c>
      <c r="BL40" s="15">
        <f t="shared" si="22"/>
        <v>0</v>
      </c>
    </row>
    <row r="41" spans="2:64" x14ac:dyDescent="0.2">
      <c r="B41" s="15" t="s">
        <v>178</v>
      </c>
      <c r="E41" s="34">
        <f>IRR(H36:BL36)</f>
        <v>6.7735035847004799E-2</v>
      </c>
    </row>
    <row r="42" spans="2:64" x14ac:dyDescent="0.2">
      <c r="E42" s="17"/>
    </row>
    <row r="43" spans="2:64" x14ac:dyDescent="0.2">
      <c r="D43" s="17"/>
    </row>
    <row r="46" spans="2:64" x14ac:dyDescent="0.2">
      <c r="G46" s="20"/>
    </row>
    <row r="49" spans="7:7" x14ac:dyDescent="0.2">
      <c r="G49" s="2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4"/>
  <sheetViews>
    <sheetView workbookViewId="0"/>
  </sheetViews>
  <sheetFormatPr baseColWidth="10" defaultColWidth="11.42578125" defaultRowHeight="12.75" x14ac:dyDescent="0.2"/>
  <cols>
    <col min="1" max="2" width="36.7109375" customWidth="1"/>
  </cols>
  <sheetData>
    <row r="1" spans="1:3" x14ac:dyDescent="0.2">
      <c r="A1" s="13" t="s">
        <v>21</v>
      </c>
    </row>
    <row r="3" spans="1:3" x14ac:dyDescent="0.2">
      <c r="A3" t="s">
        <v>22</v>
      </c>
      <c r="B3" t="s">
        <v>23</v>
      </c>
      <c r="C3">
        <v>0</v>
      </c>
    </row>
    <row r="4" spans="1:3" x14ac:dyDescent="0.2">
      <c r="A4" t="s">
        <v>24</v>
      </c>
    </row>
    <row r="5" spans="1:3" x14ac:dyDescent="0.2">
      <c r="A5" t="s">
        <v>25</v>
      </c>
    </row>
    <row r="7" spans="1:3" x14ac:dyDescent="0.2">
      <c r="A7" s="13" t="s">
        <v>26</v>
      </c>
      <c r="B7" t="s">
        <v>27</v>
      </c>
    </row>
    <row r="8" spans="1:3" x14ac:dyDescent="0.2">
      <c r="B8">
        <v>2</v>
      </c>
    </row>
    <row r="10" spans="1:3" x14ac:dyDescent="0.2">
      <c r="A10" t="s">
        <v>28</v>
      </c>
    </row>
    <row r="11" spans="1:3" x14ac:dyDescent="0.2">
      <c r="A11" t="e">
        <f>CB_DATA_!#REF!</f>
        <v>#REF!</v>
      </c>
      <c r="B11" t="e">
        <f>#REF!</f>
        <v>#REF!</v>
      </c>
    </row>
    <row r="13" spans="1:3" x14ac:dyDescent="0.2">
      <c r="A13" t="s">
        <v>29</v>
      </c>
    </row>
    <row r="14" spans="1:3" x14ac:dyDescent="0.2">
      <c r="A14" t="s">
        <v>33</v>
      </c>
      <c r="B14" t="s">
        <v>39</v>
      </c>
    </row>
    <row r="16" spans="1:3" x14ac:dyDescent="0.2">
      <c r="A16" t="s">
        <v>30</v>
      </c>
    </row>
    <row r="19" spans="1:2" x14ac:dyDescent="0.2">
      <c r="A19" t="s">
        <v>31</v>
      </c>
    </row>
    <row r="20" spans="1:2" x14ac:dyDescent="0.2">
      <c r="A20">
        <v>31</v>
      </c>
      <c r="B20">
        <v>34</v>
      </c>
    </row>
    <row r="25" spans="1:2" x14ac:dyDescent="0.2">
      <c r="A25" s="13" t="s">
        <v>32</v>
      </c>
    </row>
    <row r="26" spans="1:2" x14ac:dyDescent="0.2">
      <c r="A26" s="14" t="s">
        <v>34</v>
      </c>
      <c r="B26" s="14" t="s">
        <v>34</v>
      </c>
    </row>
    <row r="27" spans="1:2" x14ac:dyDescent="0.2">
      <c r="A27" t="s">
        <v>35</v>
      </c>
      <c r="B27" t="s">
        <v>40</v>
      </c>
    </row>
    <row r="28" spans="1:2" x14ac:dyDescent="0.2">
      <c r="A28" s="14" t="s">
        <v>36</v>
      </c>
      <c r="B28" s="14" t="s">
        <v>36</v>
      </c>
    </row>
    <row r="29" spans="1:2" x14ac:dyDescent="0.2">
      <c r="A29" s="14" t="s">
        <v>37</v>
      </c>
      <c r="B29" s="14" t="s">
        <v>41</v>
      </c>
    </row>
    <row r="30" spans="1:2" x14ac:dyDescent="0.2">
      <c r="A30" t="s">
        <v>38</v>
      </c>
      <c r="B30" t="s">
        <v>42</v>
      </c>
    </row>
    <row r="31" spans="1:2" x14ac:dyDescent="0.2">
      <c r="A31" s="14" t="s">
        <v>36</v>
      </c>
      <c r="B31" s="14" t="s">
        <v>36</v>
      </c>
    </row>
    <row r="32" spans="1:2" x14ac:dyDescent="0.2">
      <c r="B32" s="14" t="s">
        <v>37</v>
      </c>
    </row>
    <row r="33" spans="2:2" x14ac:dyDescent="0.2">
      <c r="B33" t="s">
        <v>43</v>
      </c>
    </row>
    <row r="34" spans="2:2" x14ac:dyDescent="0.2">
      <c r="B34" s="14" t="s">
        <v>36</v>
      </c>
    </row>
  </sheetData>
  <phoneticPr fontId="3" type="noConversion"/>
  <pageMargins left="0.78740157499999996" right="0.78740157499999996" top="0.984251969" bottom="0.984251969" header="0.4921259845" footer="0.492125984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73"/>
  <sheetViews>
    <sheetView showGridLines="0" showRowColHeaders="0" zoomScale="130" zoomScaleNormal="130" zoomScalePageLayoutView="130" workbookViewId="0">
      <selection sqref="A1:J74"/>
    </sheetView>
  </sheetViews>
  <sheetFormatPr baseColWidth="10" defaultColWidth="9.140625" defaultRowHeight="12.75" x14ac:dyDescent="0.2"/>
  <cols>
    <col min="1" max="1" width="2" style="2" customWidth="1"/>
    <col min="2" max="2" width="1.85546875" style="2" customWidth="1"/>
    <col min="3" max="3" width="12.140625" style="2" customWidth="1"/>
    <col min="4" max="4" width="12.28515625" style="2" customWidth="1"/>
    <col min="5" max="5" width="15.7109375" style="2" customWidth="1"/>
    <col min="6" max="6" width="1.7109375" style="4" customWidth="1"/>
    <col min="7" max="7" width="5.28515625" style="2" customWidth="1"/>
    <col min="8" max="8" width="15.7109375" style="2" customWidth="1"/>
    <col min="9" max="9" width="11.140625" style="2" customWidth="1"/>
    <col min="10" max="10" width="2.7109375" style="3" customWidth="1"/>
    <col min="11" max="11" width="80.7109375" style="2" customWidth="1"/>
    <col min="12" max="16384" width="9.140625" style="2"/>
  </cols>
  <sheetData>
    <row r="1" spans="1:10" x14ac:dyDescent="0.2">
      <c r="F1" s="6" t="s">
        <v>1</v>
      </c>
    </row>
    <row r="4" spans="1:10" x14ac:dyDescent="0.2">
      <c r="A4" s="5" t="s">
        <v>115</v>
      </c>
    </row>
    <row r="6" spans="1:10" x14ac:dyDescent="0.2">
      <c r="A6" s="5" t="s">
        <v>14</v>
      </c>
      <c r="B6" s="5"/>
      <c r="C6" s="5"/>
      <c r="D6" s="5"/>
      <c r="E6" s="5"/>
      <c r="F6" s="6"/>
      <c r="G6" s="5"/>
      <c r="H6" s="5"/>
      <c r="I6" s="5"/>
      <c r="J6" s="7" t="s">
        <v>116</v>
      </c>
    </row>
    <row r="8" spans="1:10" x14ac:dyDescent="0.2">
      <c r="B8" s="2" t="s">
        <v>9</v>
      </c>
    </row>
    <row r="9" spans="1:10" x14ac:dyDescent="0.2">
      <c r="C9" s="2" t="s">
        <v>3</v>
      </c>
      <c r="E9" s="10">
        <v>300</v>
      </c>
    </row>
    <row r="10" spans="1:10" x14ac:dyDescent="0.2">
      <c r="C10" s="2" t="s">
        <v>5</v>
      </c>
      <c r="E10" s="10">
        <v>1000</v>
      </c>
    </row>
    <row r="11" spans="1:10" x14ac:dyDescent="0.2">
      <c r="E11" s="9"/>
    </row>
    <row r="12" spans="1:10" x14ac:dyDescent="0.2">
      <c r="E12" s="9"/>
    </row>
    <row r="16" spans="1:10" x14ac:dyDescent="0.2">
      <c r="A16" s="5" t="s">
        <v>15</v>
      </c>
      <c r="B16" s="5"/>
      <c r="C16" s="5"/>
      <c r="D16" s="5"/>
      <c r="E16" s="5"/>
      <c r="F16" s="6"/>
      <c r="G16" s="5"/>
      <c r="H16" s="5"/>
      <c r="I16" s="5"/>
      <c r="J16" s="7" t="s">
        <v>117</v>
      </c>
    </row>
    <row r="18" spans="1:10" x14ac:dyDescent="0.2">
      <c r="B18" s="2" t="s">
        <v>2</v>
      </c>
    </row>
    <row r="19" spans="1:10" x14ac:dyDescent="0.2">
      <c r="C19" s="2" t="s">
        <v>3</v>
      </c>
      <c r="E19" s="8">
        <v>0.8</v>
      </c>
    </row>
    <row r="20" spans="1:10" x14ac:dyDescent="0.2">
      <c r="C20" s="2" t="s">
        <v>4</v>
      </c>
      <c r="E20" s="8">
        <v>0.9</v>
      </c>
    </row>
    <row r="21" spans="1:10" x14ac:dyDescent="0.2">
      <c r="C21" s="2" t="s">
        <v>5</v>
      </c>
      <c r="E21" s="8">
        <v>0.92</v>
      </c>
    </row>
    <row r="22" spans="1:10" x14ac:dyDescent="0.2">
      <c r="E22" s="9"/>
    </row>
    <row r="23" spans="1:10" x14ac:dyDescent="0.2">
      <c r="E23" s="9"/>
    </row>
    <row r="26" spans="1:10" x14ac:dyDescent="0.2">
      <c r="A26" s="5" t="s">
        <v>16</v>
      </c>
      <c r="B26" s="5"/>
      <c r="C26" s="5"/>
      <c r="D26" s="5"/>
      <c r="E26" s="5"/>
      <c r="F26" s="6"/>
      <c r="G26" s="5"/>
      <c r="H26" s="5"/>
      <c r="I26" s="5"/>
      <c r="J26" s="7" t="s">
        <v>118</v>
      </c>
    </row>
    <row r="28" spans="1:10" x14ac:dyDescent="0.2">
      <c r="B28" s="2" t="s">
        <v>6</v>
      </c>
    </row>
    <row r="29" spans="1:10" x14ac:dyDescent="0.2">
      <c r="C29" s="2" t="s">
        <v>7</v>
      </c>
      <c r="E29" s="10">
        <v>1.5</v>
      </c>
    </row>
    <row r="30" spans="1:10" x14ac:dyDescent="0.2">
      <c r="C30" s="2" t="s">
        <v>8</v>
      </c>
      <c r="E30" s="10">
        <v>0.05</v>
      </c>
    </row>
    <row r="31" spans="1:10" x14ac:dyDescent="0.2">
      <c r="E31" s="9"/>
    </row>
    <row r="32" spans="1:10" x14ac:dyDescent="0.2">
      <c r="E32" s="9"/>
    </row>
    <row r="36" spans="1:10" x14ac:dyDescent="0.2">
      <c r="A36" s="5" t="s">
        <v>17</v>
      </c>
      <c r="B36" s="5"/>
      <c r="C36" s="5"/>
      <c r="D36" s="5"/>
      <c r="E36" s="5"/>
      <c r="F36" s="6"/>
      <c r="G36" s="5"/>
      <c r="H36" s="5"/>
      <c r="I36" s="5"/>
      <c r="J36" s="7" t="s">
        <v>119</v>
      </c>
    </row>
    <row r="38" spans="1:10" x14ac:dyDescent="0.2">
      <c r="B38" s="2" t="s">
        <v>10</v>
      </c>
    </row>
    <row r="39" spans="1:10" x14ac:dyDescent="0.2">
      <c r="C39" s="4" t="s">
        <v>11</v>
      </c>
      <c r="D39" s="4" t="s">
        <v>12</v>
      </c>
    </row>
    <row r="40" spans="1:10" x14ac:dyDescent="0.2">
      <c r="C40" s="11">
        <v>1</v>
      </c>
      <c r="D40" s="12">
        <v>0.3</v>
      </c>
      <c r="E40" s="4"/>
      <c r="G40" s="4"/>
      <c r="H40" s="4"/>
      <c r="I40" s="4"/>
    </row>
    <row r="41" spans="1:10" x14ac:dyDescent="0.2">
      <c r="C41" s="11">
        <v>2</v>
      </c>
      <c r="D41" s="12">
        <v>0.5</v>
      </c>
      <c r="E41" s="4"/>
      <c r="G41" s="4"/>
      <c r="H41" s="4"/>
      <c r="I41" s="4"/>
    </row>
    <row r="42" spans="1:10" x14ac:dyDescent="0.2">
      <c r="C42" s="11">
        <v>3</v>
      </c>
      <c r="D42" s="12">
        <v>0.2</v>
      </c>
      <c r="E42" s="4"/>
      <c r="G42" s="4"/>
      <c r="H42" s="4"/>
      <c r="I42" s="4"/>
    </row>
    <row r="44" spans="1:10" x14ac:dyDescent="0.2">
      <c r="A44" s="5" t="s">
        <v>18</v>
      </c>
      <c r="B44" s="5"/>
      <c r="C44" s="5"/>
      <c r="D44" s="5"/>
      <c r="E44" s="5"/>
      <c r="F44" s="6"/>
      <c r="G44" s="5"/>
      <c r="H44" s="5"/>
      <c r="I44" s="5"/>
      <c r="J44" s="7" t="s">
        <v>119</v>
      </c>
    </row>
    <row r="53" spans="1:10" x14ac:dyDescent="0.2">
      <c r="A53" s="5" t="s">
        <v>19</v>
      </c>
      <c r="B53" s="5"/>
      <c r="C53" s="5"/>
      <c r="D53" s="5"/>
      <c r="E53" s="5"/>
      <c r="F53" s="6"/>
      <c r="G53" s="5"/>
      <c r="H53" s="5"/>
      <c r="I53" s="5"/>
      <c r="J53" s="7" t="s">
        <v>120</v>
      </c>
    </row>
    <row r="55" spans="1:10" x14ac:dyDescent="0.2">
      <c r="B55" s="2" t="s">
        <v>2</v>
      </c>
    </row>
    <row r="56" spans="1:10" x14ac:dyDescent="0.2">
      <c r="C56" s="2" t="s">
        <v>3</v>
      </c>
      <c r="E56" s="10">
        <v>13</v>
      </c>
    </row>
    <row r="57" spans="1:10" x14ac:dyDescent="0.2">
      <c r="C57" s="2" t="s">
        <v>4</v>
      </c>
      <c r="E57" s="10">
        <v>15</v>
      </c>
    </row>
    <row r="58" spans="1:10" x14ac:dyDescent="0.2">
      <c r="C58" s="2" t="s">
        <v>5</v>
      </c>
      <c r="E58" s="10">
        <v>16</v>
      </c>
    </row>
    <row r="59" spans="1:10" x14ac:dyDescent="0.2">
      <c r="E59" s="9"/>
    </row>
    <row r="60" spans="1:10" x14ac:dyDescent="0.2">
      <c r="E60" s="9"/>
    </row>
    <row r="63" spans="1:10" x14ac:dyDescent="0.2">
      <c r="A63" s="5" t="s">
        <v>20</v>
      </c>
      <c r="B63" s="5"/>
      <c r="C63" s="5"/>
      <c r="D63" s="5"/>
      <c r="E63" s="5"/>
      <c r="F63" s="6"/>
      <c r="G63" s="5"/>
      <c r="H63" s="5"/>
      <c r="I63" s="5"/>
      <c r="J63" s="7" t="s">
        <v>121</v>
      </c>
    </row>
    <row r="65" spans="1:5" x14ac:dyDescent="0.2">
      <c r="B65" s="2" t="s">
        <v>2</v>
      </c>
    </row>
    <row r="66" spans="1:5" x14ac:dyDescent="0.2">
      <c r="C66" s="2" t="s">
        <v>3</v>
      </c>
      <c r="E66" s="8">
        <v>0.04</v>
      </c>
    </row>
    <row r="67" spans="1:5" x14ac:dyDescent="0.2">
      <c r="C67" s="2" t="s">
        <v>4</v>
      </c>
      <c r="E67" s="8">
        <v>0.06</v>
      </c>
    </row>
    <row r="68" spans="1:5" x14ac:dyDescent="0.2">
      <c r="C68" s="2" t="s">
        <v>5</v>
      </c>
      <c r="E68" s="8">
        <v>6.6000000000000003E-2</v>
      </c>
    </row>
    <row r="69" spans="1:5" x14ac:dyDescent="0.2">
      <c r="E69" s="9"/>
    </row>
    <row r="70" spans="1:5" x14ac:dyDescent="0.2">
      <c r="E70" s="9"/>
    </row>
    <row r="73" spans="1:5" x14ac:dyDescent="0.2">
      <c r="A73" s="2" t="s">
        <v>13</v>
      </c>
    </row>
  </sheetData>
  <printOptions gridLinesSet="0"/>
  <pageMargins left="0.75" right="0.75" top="1" bottom="1" header="0.5" footer="0.5"/>
  <pageSetup scale="71" orientation="portrait" r:id="rId1"/>
  <headerFooter alignWithMargins="0">
    <oddHeader>&amp;F</oddHeader>
    <oddFooter>Page &amp;P</oddFooter>
  </headerFooter>
  <rowBreaks count="1" manualBreakCount="1">
    <brk id="43" max="16383" man="1"/>
  </rowBreaks>
  <colBreaks count="1" manualBreakCount="1">
    <brk id="10"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B2:G1006"/>
  <sheetViews>
    <sheetView workbookViewId="0">
      <selection activeCell="B6" sqref="B6"/>
    </sheetView>
  </sheetViews>
  <sheetFormatPr baseColWidth="10" defaultColWidth="11.42578125" defaultRowHeight="15" x14ac:dyDescent="0.25"/>
  <cols>
    <col min="1" max="3" width="12.7109375" style="42" customWidth="1"/>
    <col min="4" max="4" width="16" style="42" customWidth="1"/>
    <col min="5" max="7" width="11.42578125" style="42" customWidth="1"/>
    <col min="8" max="16384" width="11.42578125" style="42"/>
  </cols>
  <sheetData>
    <row r="2" spans="2:6" x14ac:dyDescent="0.25">
      <c r="D2" s="42" t="s">
        <v>181</v>
      </c>
    </row>
    <row r="3" spans="2:6" x14ac:dyDescent="0.25">
      <c r="D3" s="42" t="s">
        <v>70</v>
      </c>
      <c r="E3" s="42">
        <f ca="1">MIN(echantillon)</f>
        <v>1.3643721246457963E-3</v>
      </c>
    </row>
    <row r="4" spans="2:6" x14ac:dyDescent="0.25">
      <c r="D4" s="42" t="s">
        <v>71</v>
      </c>
      <c r="E4" s="42">
        <f ca="1">MAX(echantillon)</f>
        <v>0.99930233389240453</v>
      </c>
    </row>
    <row r="5" spans="2:6" x14ac:dyDescent="0.25">
      <c r="D5" s="42" t="s">
        <v>182</v>
      </c>
      <c r="E5" s="42">
        <v>21</v>
      </c>
    </row>
    <row r="6" spans="2:6" x14ac:dyDescent="0.25">
      <c r="B6" s="42" t="s">
        <v>183</v>
      </c>
      <c r="D6" s="42" t="s">
        <v>184</v>
      </c>
      <c r="E6" s="42" t="s">
        <v>185</v>
      </c>
      <c r="F6" s="42" t="s">
        <v>186</v>
      </c>
    </row>
    <row r="7" spans="2:6" x14ac:dyDescent="0.25">
      <c r="B7" s="47">
        <f ca="1">RAND()</f>
        <v>0.61729712534755077</v>
      </c>
      <c r="D7" s="42">
        <v>0</v>
      </c>
      <c r="E7" s="42">
        <f ca="1">E3+D7/(E5-1)*(E4-E3)</f>
        <v>1.3643721246457963E-3</v>
      </c>
      <c r="F7" s="42">
        <f t="shared" ref="F7:F27" ca="1" si="0">COUNTIF(echantillon,"&lt;="&amp;E7)/COUNT(echantillon)</f>
        <v>1E-3</v>
      </c>
    </row>
    <row r="8" spans="2:6" x14ac:dyDescent="0.25">
      <c r="B8" s="47">
        <f t="shared" ref="B8:B71" ca="1" si="1">RAND()</f>
        <v>0.19215022129569792</v>
      </c>
      <c r="D8" s="42">
        <f>D7+1</f>
        <v>1</v>
      </c>
      <c r="E8" s="42">
        <f ca="1">E3+D8/(E5-1)*(E4-E3)</f>
        <v>5.1261270213033734E-2</v>
      </c>
      <c r="F8" s="42">
        <f t="shared" ca="1" si="0"/>
        <v>4.8000000000000001E-2</v>
      </c>
    </row>
    <row r="9" spans="2:6" x14ac:dyDescent="0.25">
      <c r="B9" s="47">
        <f t="shared" ca="1" si="1"/>
        <v>0.84920551440090364</v>
      </c>
      <c r="D9" s="42">
        <f t="shared" ref="D9:D27" si="2">D8+1</f>
        <v>2</v>
      </c>
      <c r="E9" s="42">
        <f ca="1">E3+D9/(E5-1)*(E4-E3)</f>
        <v>0.10115816830142167</v>
      </c>
      <c r="F9" s="42">
        <f t="shared" ca="1" si="0"/>
        <v>0.10199999999999999</v>
      </c>
    </row>
    <row r="10" spans="2:6" x14ac:dyDescent="0.25">
      <c r="B10" s="47">
        <f t="shared" ca="1" si="1"/>
        <v>0.19648856547537352</v>
      </c>
      <c r="D10" s="42">
        <f t="shared" si="2"/>
        <v>3</v>
      </c>
      <c r="E10" s="42">
        <f ca="1">E3+D10/(E5-1)*(E4-E3)</f>
        <v>0.15105506638980959</v>
      </c>
      <c r="F10" s="42">
        <f t="shared" ca="1" si="0"/>
        <v>0.16700000000000001</v>
      </c>
    </row>
    <row r="11" spans="2:6" x14ac:dyDescent="0.25">
      <c r="B11" s="47">
        <f t="shared" ca="1" si="1"/>
        <v>0.61720227379048498</v>
      </c>
      <c r="D11" s="42">
        <f t="shared" si="2"/>
        <v>4</v>
      </c>
      <c r="E11" s="42">
        <f ca="1">E3+D11/(E5-1)*(E4-E3)</f>
        <v>0.20095196447819755</v>
      </c>
      <c r="F11" s="42">
        <f t="shared" ca="1" si="0"/>
        <v>0.218</v>
      </c>
    </row>
    <row r="12" spans="2:6" x14ac:dyDescent="0.25">
      <c r="B12" s="47">
        <f t="shared" ca="1" si="1"/>
        <v>0.88068190611441743</v>
      </c>
      <c r="D12" s="42">
        <f t="shared" si="2"/>
        <v>5</v>
      </c>
      <c r="E12" s="42">
        <f ca="1">E3+D12/(E5-1)*(E4-E3)</f>
        <v>0.25084886256658545</v>
      </c>
      <c r="F12" s="42">
        <f t="shared" ca="1" si="0"/>
        <v>0.27300000000000002</v>
      </c>
    </row>
    <row r="13" spans="2:6" x14ac:dyDescent="0.25">
      <c r="B13" s="47">
        <f t="shared" ca="1" si="1"/>
        <v>0.24106258359532662</v>
      </c>
      <c r="D13" s="42">
        <f t="shared" si="2"/>
        <v>6</v>
      </c>
      <c r="E13" s="42">
        <f ca="1">E3+D13/(E5-1)*(E4-E3)</f>
        <v>0.30074576065497338</v>
      </c>
      <c r="F13" s="42">
        <f t="shared" ca="1" si="0"/>
        <v>0.32800000000000001</v>
      </c>
    </row>
    <row r="14" spans="2:6" x14ac:dyDescent="0.25">
      <c r="B14" s="47">
        <f t="shared" ca="1" si="1"/>
        <v>0.89594552185649279</v>
      </c>
      <c r="D14" s="42">
        <f t="shared" si="2"/>
        <v>7</v>
      </c>
      <c r="E14" s="42">
        <f ca="1">E3+D14/(E5-1)*(E4-E3)</f>
        <v>0.35064265874336131</v>
      </c>
      <c r="F14" s="42">
        <f t="shared" ca="1" si="0"/>
        <v>0.37</v>
      </c>
    </row>
    <row r="15" spans="2:6" x14ac:dyDescent="0.25">
      <c r="B15" s="47">
        <f t="shared" ca="1" si="1"/>
        <v>0.75237424359557525</v>
      </c>
      <c r="D15" s="42">
        <f t="shared" si="2"/>
        <v>8</v>
      </c>
      <c r="E15" s="42">
        <f ca="1">E3+D15/(E5-1)*(E4-E3)</f>
        <v>0.4005395568317493</v>
      </c>
      <c r="F15" s="42">
        <f t="shared" ca="1" si="0"/>
        <v>0.42499999999999999</v>
      </c>
    </row>
    <row r="16" spans="2:6" x14ac:dyDescent="0.25">
      <c r="B16" s="47">
        <f t="shared" ca="1" si="1"/>
        <v>0.39605946471582809</v>
      </c>
      <c r="D16" s="42">
        <f>D15+1</f>
        <v>9</v>
      </c>
      <c r="E16" s="42">
        <f ca="1">E3+D16/(E5-1)*(E4-E3)</f>
        <v>0.45043645492013723</v>
      </c>
      <c r="F16" s="42">
        <f t="shared" ca="1" si="0"/>
        <v>0.48199999999999998</v>
      </c>
    </row>
    <row r="17" spans="2:7" x14ac:dyDescent="0.25">
      <c r="B17" s="47">
        <f t="shared" ca="1" si="1"/>
        <v>0.69387633437585261</v>
      </c>
      <c r="D17" s="42">
        <f t="shared" si="2"/>
        <v>10</v>
      </c>
      <c r="E17" s="42">
        <f ca="1">E3+D17/(E5-1)*(E4-E3)</f>
        <v>0.50033335300852522</v>
      </c>
      <c r="F17" s="42">
        <f t="shared" ca="1" si="0"/>
        <v>0.53500000000000003</v>
      </c>
    </row>
    <row r="18" spans="2:7" x14ac:dyDescent="0.25">
      <c r="B18" s="47">
        <f t="shared" ca="1" si="1"/>
        <v>0.15766728804327235</v>
      </c>
      <c r="D18" s="42">
        <f t="shared" si="2"/>
        <v>11</v>
      </c>
      <c r="E18" s="42">
        <f ca="1">E3+D18/(E5-1)*(E4-E3)</f>
        <v>0.55023025109691315</v>
      </c>
      <c r="F18" s="42">
        <f t="shared" ca="1" si="0"/>
        <v>0.58599999999999997</v>
      </c>
    </row>
    <row r="19" spans="2:7" x14ac:dyDescent="0.25">
      <c r="B19" s="47">
        <f t="shared" ca="1" si="1"/>
        <v>0.57688150809197347</v>
      </c>
      <c r="D19" s="42">
        <f t="shared" si="2"/>
        <v>12</v>
      </c>
      <c r="E19" s="42">
        <f ca="1">E3+D19/(E5-1)*(E4-E3)</f>
        <v>0.60012714918530097</v>
      </c>
      <c r="F19" s="42">
        <f t="shared" ca="1" si="0"/>
        <v>0.63200000000000001</v>
      </c>
    </row>
    <row r="20" spans="2:7" x14ac:dyDescent="0.25">
      <c r="B20" s="47">
        <f t="shared" ca="1" si="1"/>
        <v>0.99282639397381589</v>
      </c>
      <c r="D20" s="42">
        <f t="shared" si="2"/>
        <v>13</v>
      </c>
      <c r="E20" s="42">
        <f ca="1">E3+D20/(E5-1)*(E4-E3)</f>
        <v>0.65002404727368901</v>
      </c>
      <c r="F20" s="42">
        <f t="shared" ca="1" si="0"/>
        <v>0.67700000000000005</v>
      </c>
    </row>
    <row r="21" spans="2:7" x14ac:dyDescent="0.25">
      <c r="B21" s="47">
        <f t="shared" ca="1" si="1"/>
        <v>0.30152656102200093</v>
      </c>
      <c r="C21" s="43"/>
      <c r="D21" s="42">
        <f t="shared" si="2"/>
        <v>14</v>
      </c>
      <c r="E21" s="42">
        <f ca="1">E3+D21/(E5-1)*(E4-E3)</f>
        <v>0.69992094536207683</v>
      </c>
      <c r="F21" s="42">
        <f t="shared" ca="1" si="0"/>
        <v>0.72799999999999998</v>
      </c>
    </row>
    <row r="22" spans="2:7" x14ac:dyDescent="0.25">
      <c r="B22" s="47">
        <f t="shared" ca="1" si="1"/>
        <v>0.36960965760675413</v>
      </c>
      <c r="D22" s="42">
        <f t="shared" si="2"/>
        <v>15</v>
      </c>
      <c r="E22" s="42">
        <f ca="1">E3+D22/(E5-1)*(E4-E3)</f>
        <v>0.74981784345046487</v>
      </c>
      <c r="F22" s="42">
        <f t="shared" ca="1" si="0"/>
        <v>0.78300000000000003</v>
      </c>
    </row>
    <row r="23" spans="2:7" x14ac:dyDescent="0.25">
      <c r="B23" s="47">
        <f t="shared" ca="1" si="1"/>
        <v>0.67476964857579336</v>
      </c>
      <c r="D23" s="42">
        <f t="shared" si="2"/>
        <v>16</v>
      </c>
      <c r="E23" s="42">
        <f ca="1">E3+D23/(E5-1)*(E4-E3)</f>
        <v>0.7997147415388528</v>
      </c>
      <c r="F23" s="42">
        <f t="shared" ca="1" si="0"/>
        <v>0.84099999999999997</v>
      </c>
    </row>
    <row r="24" spans="2:7" x14ac:dyDescent="0.25">
      <c r="B24" s="47">
        <f t="shared" ca="1" si="1"/>
        <v>0.76465567835075798</v>
      </c>
      <c r="D24" s="42">
        <f t="shared" si="2"/>
        <v>17</v>
      </c>
      <c r="E24" s="42">
        <f ca="1">E3+D24/(E5-1)*(E4-E3)</f>
        <v>0.84961163962724073</v>
      </c>
      <c r="F24" s="42">
        <f t="shared" ca="1" si="0"/>
        <v>0.879</v>
      </c>
    </row>
    <row r="25" spans="2:7" x14ac:dyDescent="0.25">
      <c r="B25" s="47">
        <f t="shared" ca="1" si="1"/>
        <v>7.2972594872268037E-2</v>
      </c>
      <c r="D25" s="42">
        <f t="shared" si="2"/>
        <v>18</v>
      </c>
      <c r="E25" s="42">
        <f ca="1">E3+D25/(E5-1)*(E4-E3)</f>
        <v>0.89950853771562866</v>
      </c>
      <c r="F25" s="42">
        <f t="shared" ca="1" si="0"/>
        <v>0.91400000000000003</v>
      </c>
    </row>
    <row r="26" spans="2:7" x14ac:dyDescent="0.25">
      <c r="B26" s="47">
        <f t="shared" ca="1" si="1"/>
        <v>0.37956681764775857</v>
      </c>
      <c r="D26" s="42">
        <f>D25+1</f>
        <v>19</v>
      </c>
      <c r="E26" s="42">
        <f ca="1">E3+D26/(E5-1)*(E4-E3)</f>
        <v>0.9494054358040166</v>
      </c>
      <c r="F26" s="42">
        <f t="shared" ca="1" si="0"/>
        <v>0.95699999999999996</v>
      </c>
    </row>
    <row r="27" spans="2:7" x14ac:dyDescent="0.25">
      <c r="B27" s="47">
        <f t="shared" ca="1" si="1"/>
        <v>0.45373987461729448</v>
      </c>
      <c r="D27" s="42">
        <f t="shared" si="2"/>
        <v>20</v>
      </c>
      <c r="E27" s="42">
        <f ca="1">E3+D27/(E5-1)*(E4-E3)</f>
        <v>0.99930233389240453</v>
      </c>
      <c r="F27" s="42">
        <f t="shared" ca="1" si="0"/>
        <v>1</v>
      </c>
    </row>
    <row r="28" spans="2:7" x14ac:dyDescent="0.25">
      <c r="B28" s="47">
        <f t="shared" ca="1" si="1"/>
        <v>0.10080933170666073</v>
      </c>
    </row>
    <row r="29" spans="2:7" x14ac:dyDescent="0.25">
      <c r="B29" s="47">
        <f t="shared" ca="1" si="1"/>
        <v>0.2560354300778952</v>
      </c>
      <c r="D29" s="42" t="s">
        <v>187</v>
      </c>
      <c r="F29" s="47">
        <f ca="1">COUNT(echantillon)</f>
        <v>1000</v>
      </c>
    </row>
    <row r="30" spans="2:7" x14ac:dyDescent="0.25">
      <c r="B30" s="47">
        <f t="shared" ca="1" si="1"/>
        <v>0.20106086366865827</v>
      </c>
      <c r="D30" s="42" t="s">
        <v>188</v>
      </c>
      <c r="E30" s="44">
        <v>0.95</v>
      </c>
    </row>
    <row r="31" spans="2:7" x14ac:dyDescent="0.25">
      <c r="B31" s="47">
        <f t="shared" ca="1" si="1"/>
        <v>0.48838971949591414</v>
      </c>
      <c r="F31" s="42" t="s">
        <v>189</v>
      </c>
      <c r="G31" s="42" t="s">
        <v>190</v>
      </c>
    </row>
    <row r="32" spans="2:7" x14ac:dyDescent="0.25">
      <c r="B32" s="47">
        <f t="shared" ca="1" si="1"/>
        <v>0.29929673771922449</v>
      </c>
      <c r="D32" s="45" t="s">
        <v>191</v>
      </c>
      <c r="E32" s="42">
        <f ca="1">AVERAGE(echantillon)</f>
        <v>0.47810398034011209</v>
      </c>
      <c r="F32" s="42">
        <f ca="1">E32-NORMINV(1-(1-E30)/2,0,1)*SQRT(E33/F29)</f>
        <v>0.46054082282836295</v>
      </c>
      <c r="G32" s="42">
        <f ca="1">E32+NORMINV(1-(1-E30)/2,0,1)*SQRT(E33/F29)</f>
        <v>0.49566713785186123</v>
      </c>
    </row>
    <row r="33" spans="2:7" x14ac:dyDescent="0.25">
      <c r="B33" s="47">
        <f t="shared" ca="1" si="1"/>
        <v>0.10568654601485394</v>
      </c>
      <c r="D33" s="45" t="s">
        <v>192</v>
      </c>
      <c r="E33" s="42">
        <f ca="1">VAR(echantillon)</f>
        <v>8.0298791730057523E-2</v>
      </c>
    </row>
    <row r="34" spans="2:7" x14ac:dyDescent="0.25">
      <c r="B34" s="47">
        <f t="shared" ca="1" si="1"/>
        <v>0.94978527436944338</v>
      </c>
      <c r="D34" s="45" t="s">
        <v>193</v>
      </c>
    </row>
    <row r="35" spans="2:7" x14ac:dyDescent="0.25">
      <c r="B35" s="47">
        <f t="shared" ca="1" si="1"/>
        <v>0.39672300146413986</v>
      </c>
      <c r="D35" s="42" t="s">
        <v>194</v>
      </c>
      <c r="E35" s="46">
        <v>10</v>
      </c>
      <c r="F35" s="42" t="s">
        <v>195</v>
      </c>
      <c r="G35" s="42">
        <f ca="1">NORMINV(1-(1-E30)/2,0,1)*SQRT(E35/100*(1-E35/100)/F29)</f>
        <v>1.8593850969136842E-2</v>
      </c>
    </row>
    <row r="36" spans="2:7" x14ac:dyDescent="0.25">
      <c r="B36" s="47">
        <f t="shared" ca="1" si="1"/>
        <v>2.2627194907788972E-2</v>
      </c>
      <c r="F36" s="42" t="s">
        <v>189</v>
      </c>
      <c r="G36" s="42" t="s">
        <v>190</v>
      </c>
    </row>
    <row r="37" spans="2:7" x14ac:dyDescent="0.25">
      <c r="B37" s="47">
        <f t="shared" ca="1" si="1"/>
        <v>9.5446009594986503E-2</v>
      </c>
      <c r="D37" s="42" t="s">
        <v>196</v>
      </c>
      <c r="E37" s="42">
        <f ca="1">SMALL(echantillon,ROUNDUP(E35/100*F29,0))</f>
        <v>9.8772136115594988E-2</v>
      </c>
      <c r="F37" s="42">
        <f ca="1">SMALL(echantillon,ROUNDDOWN(F29*(E35/100-G35),0))</f>
        <v>8.1748848343049629E-2</v>
      </c>
      <c r="G37" s="42">
        <f ca="1">SMALL(echantillon,ROUNDUP(F29*(E35/100+G35),0)+1)</f>
        <v>0.11124291353868088</v>
      </c>
    </row>
    <row r="38" spans="2:7" x14ac:dyDescent="0.25">
      <c r="B38" s="47">
        <f t="shared" ca="1" si="1"/>
        <v>9.3163974712781594E-2</v>
      </c>
    </row>
    <row r="39" spans="2:7" x14ac:dyDescent="0.25">
      <c r="B39" s="47">
        <f t="shared" ca="1" si="1"/>
        <v>3.9091370747152077E-2</v>
      </c>
    </row>
    <row r="40" spans="2:7" x14ac:dyDescent="0.25">
      <c r="B40" s="47">
        <f t="shared" ca="1" si="1"/>
        <v>0.15915124918768431</v>
      </c>
    </row>
    <row r="41" spans="2:7" x14ac:dyDescent="0.25">
      <c r="B41" s="47">
        <f t="shared" ca="1" si="1"/>
        <v>5.7917638732257637E-2</v>
      </c>
    </row>
    <row r="42" spans="2:7" x14ac:dyDescent="0.25">
      <c r="B42" s="47">
        <f t="shared" ca="1" si="1"/>
        <v>0.75616688227225204</v>
      </c>
    </row>
    <row r="43" spans="2:7" x14ac:dyDescent="0.25">
      <c r="B43" s="47">
        <f t="shared" ca="1" si="1"/>
        <v>0.13798295306463315</v>
      </c>
    </row>
    <row r="44" spans="2:7" x14ac:dyDescent="0.25">
      <c r="B44" s="47">
        <f t="shared" ca="1" si="1"/>
        <v>0.46569595609826009</v>
      </c>
    </row>
    <row r="45" spans="2:7" x14ac:dyDescent="0.25">
      <c r="B45" s="47">
        <f t="shared" ca="1" si="1"/>
        <v>0.38601399837851769</v>
      </c>
    </row>
    <row r="46" spans="2:7" x14ac:dyDescent="0.25">
      <c r="B46" s="47">
        <f t="shared" ca="1" si="1"/>
        <v>0.90823832689894191</v>
      </c>
    </row>
    <row r="47" spans="2:7" x14ac:dyDescent="0.25">
      <c r="B47" s="47">
        <f t="shared" ca="1" si="1"/>
        <v>0.15609277979837555</v>
      </c>
    </row>
    <row r="48" spans="2:7" x14ac:dyDescent="0.25">
      <c r="B48" s="47">
        <f t="shared" ca="1" si="1"/>
        <v>0.15276347196764173</v>
      </c>
    </row>
    <row r="49" spans="2:2" x14ac:dyDescent="0.25">
      <c r="B49" s="47">
        <f t="shared" ca="1" si="1"/>
        <v>0.67213005074808041</v>
      </c>
    </row>
    <row r="50" spans="2:2" x14ac:dyDescent="0.25">
      <c r="B50" s="47">
        <f t="shared" ca="1" si="1"/>
        <v>0.81373180325887373</v>
      </c>
    </row>
    <row r="51" spans="2:2" x14ac:dyDescent="0.25">
      <c r="B51" s="47">
        <f t="shared" ca="1" si="1"/>
        <v>0.43035625369513641</v>
      </c>
    </row>
    <row r="52" spans="2:2" x14ac:dyDescent="0.25">
      <c r="B52" s="47">
        <f t="shared" ca="1" si="1"/>
        <v>0.77565928620645741</v>
      </c>
    </row>
    <row r="53" spans="2:2" x14ac:dyDescent="0.25">
      <c r="B53" s="47">
        <f t="shared" ca="1" si="1"/>
        <v>0.82051273699111293</v>
      </c>
    </row>
    <row r="54" spans="2:2" x14ac:dyDescent="0.25">
      <c r="B54" s="47">
        <f t="shared" ca="1" si="1"/>
        <v>0.16282406778031289</v>
      </c>
    </row>
    <row r="55" spans="2:2" x14ac:dyDescent="0.25">
      <c r="B55" s="47">
        <f t="shared" ca="1" si="1"/>
        <v>0.43108338706029925</v>
      </c>
    </row>
    <row r="56" spans="2:2" x14ac:dyDescent="0.25">
      <c r="B56" s="47">
        <f t="shared" ca="1" si="1"/>
        <v>0.35903732392529519</v>
      </c>
    </row>
    <row r="57" spans="2:2" x14ac:dyDescent="0.25">
      <c r="B57" s="47">
        <f t="shared" ca="1" si="1"/>
        <v>0.78408171342216626</v>
      </c>
    </row>
    <row r="58" spans="2:2" x14ac:dyDescent="0.25">
      <c r="B58" s="47">
        <f t="shared" ca="1" si="1"/>
        <v>0.70120598145769286</v>
      </c>
    </row>
    <row r="59" spans="2:2" x14ac:dyDescent="0.25">
      <c r="B59" s="47">
        <f t="shared" ca="1" si="1"/>
        <v>1.3781746898141267E-2</v>
      </c>
    </row>
    <row r="60" spans="2:2" x14ac:dyDescent="0.25">
      <c r="B60" s="47">
        <f t="shared" ca="1" si="1"/>
        <v>0.76567913692174394</v>
      </c>
    </row>
    <row r="61" spans="2:2" x14ac:dyDescent="0.25">
      <c r="B61" s="47">
        <f t="shared" ca="1" si="1"/>
        <v>7.597335034914543E-2</v>
      </c>
    </row>
    <row r="62" spans="2:2" x14ac:dyDescent="0.25">
      <c r="B62" s="47">
        <f t="shared" ca="1" si="1"/>
        <v>0.1066909943969534</v>
      </c>
    </row>
    <row r="63" spans="2:2" x14ac:dyDescent="0.25">
      <c r="B63" s="47">
        <f t="shared" ca="1" si="1"/>
        <v>0.85937960582859585</v>
      </c>
    </row>
    <row r="64" spans="2:2" x14ac:dyDescent="0.25">
      <c r="B64" s="47">
        <f t="shared" ca="1" si="1"/>
        <v>0.76279805502367171</v>
      </c>
    </row>
    <row r="65" spans="2:2" x14ac:dyDescent="0.25">
      <c r="B65" s="47">
        <f t="shared" ca="1" si="1"/>
        <v>0.33954940137742629</v>
      </c>
    </row>
    <row r="66" spans="2:2" x14ac:dyDescent="0.25">
      <c r="B66" s="47">
        <f t="shared" ca="1" si="1"/>
        <v>0.78921992792364637</v>
      </c>
    </row>
    <row r="67" spans="2:2" x14ac:dyDescent="0.25">
      <c r="B67" s="47">
        <f t="shared" ca="1" si="1"/>
        <v>5.2839602330179369E-2</v>
      </c>
    </row>
    <row r="68" spans="2:2" x14ac:dyDescent="0.25">
      <c r="B68" s="47">
        <f t="shared" ca="1" si="1"/>
        <v>0.1183653123431605</v>
      </c>
    </row>
    <row r="69" spans="2:2" x14ac:dyDescent="0.25">
      <c r="B69" s="47">
        <f t="shared" ca="1" si="1"/>
        <v>0.88899516156384295</v>
      </c>
    </row>
    <row r="70" spans="2:2" x14ac:dyDescent="0.25">
      <c r="B70" s="47">
        <f t="shared" ca="1" si="1"/>
        <v>0.7366064585585157</v>
      </c>
    </row>
    <row r="71" spans="2:2" x14ac:dyDescent="0.25">
      <c r="B71" s="47">
        <f t="shared" ca="1" si="1"/>
        <v>0.78815098562311003</v>
      </c>
    </row>
    <row r="72" spans="2:2" x14ac:dyDescent="0.25">
      <c r="B72" s="47">
        <f t="shared" ref="B72:B135" ca="1" si="3">RAND()</f>
        <v>0.49456433260643851</v>
      </c>
    </row>
    <row r="73" spans="2:2" x14ac:dyDescent="0.25">
      <c r="B73" s="47">
        <f t="shared" ca="1" si="3"/>
        <v>0.23574431419299591</v>
      </c>
    </row>
    <row r="74" spans="2:2" x14ac:dyDescent="0.25">
      <c r="B74" s="47">
        <f t="shared" ca="1" si="3"/>
        <v>0.73745364600772623</v>
      </c>
    </row>
    <row r="75" spans="2:2" x14ac:dyDescent="0.25">
      <c r="B75" s="47">
        <f t="shared" ca="1" si="3"/>
        <v>0.7136901752713779</v>
      </c>
    </row>
    <row r="76" spans="2:2" x14ac:dyDescent="0.25">
      <c r="B76" s="47">
        <f t="shared" ca="1" si="3"/>
        <v>8.8952528416706644E-2</v>
      </c>
    </row>
    <row r="77" spans="2:2" x14ac:dyDescent="0.25">
      <c r="B77" s="47">
        <f t="shared" ca="1" si="3"/>
        <v>9.8772136115594988E-2</v>
      </c>
    </row>
    <row r="78" spans="2:2" x14ac:dyDescent="0.25">
      <c r="B78" s="47">
        <f t="shared" ca="1" si="3"/>
        <v>0.85602868394678866</v>
      </c>
    </row>
    <row r="79" spans="2:2" x14ac:dyDescent="0.25">
      <c r="B79" s="47">
        <f t="shared" ca="1" si="3"/>
        <v>0.47167551434522625</v>
      </c>
    </row>
    <row r="80" spans="2:2" x14ac:dyDescent="0.25">
      <c r="B80" s="47">
        <f t="shared" ca="1" si="3"/>
        <v>0.27312540022587872</v>
      </c>
    </row>
    <row r="81" spans="2:2" x14ac:dyDescent="0.25">
      <c r="B81" s="47">
        <f t="shared" ca="1" si="3"/>
        <v>0.50435471064972348</v>
      </c>
    </row>
    <row r="82" spans="2:2" x14ac:dyDescent="0.25">
      <c r="B82" s="47">
        <f t="shared" ca="1" si="3"/>
        <v>7.5235088812159345E-2</v>
      </c>
    </row>
    <row r="83" spans="2:2" x14ac:dyDescent="0.25">
      <c r="B83" s="47">
        <f t="shared" ca="1" si="3"/>
        <v>0.32002672383292807</v>
      </c>
    </row>
    <row r="84" spans="2:2" x14ac:dyDescent="0.25">
      <c r="B84" s="47">
        <f t="shared" ca="1" si="3"/>
        <v>0.61078385498492416</v>
      </c>
    </row>
    <row r="85" spans="2:2" x14ac:dyDescent="0.25">
      <c r="B85" s="47">
        <f t="shared" ca="1" si="3"/>
        <v>0.37636865447763712</v>
      </c>
    </row>
    <row r="86" spans="2:2" x14ac:dyDescent="0.25">
      <c r="B86" s="47">
        <f t="shared" ca="1" si="3"/>
        <v>0.68871299762207694</v>
      </c>
    </row>
    <row r="87" spans="2:2" x14ac:dyDescent="0.25">
      <c r="B87" s="47">
        <f t="shared" ca="1" si="3"/>
        <v>0.55770330085411279</v>
      </c>
    </row>
    <row r="88" spans="2:2" x14ac:dyDescent="0.25">
      <c r="B88" s="47">
        <f t="shared" ca="1" si="3"/>
        <v>0.94830844062011921</v>
      </c>
    </row>
    <row r="89" spans="2:2" x14ac:dyDescent="0.25">
      <c r="B89" s="47">
        <f t="shared" ca="1" si="3"/>
        <v>0.6403722393271909</v>
      </c>
    </row>
    <row r="90" spans="2:2" x14ac:dyDescent="0.25">
      <c r="B90" s="47">
        <f t="shared" ca="1" si="3"/>
        <v>0.11003689499387226</v>
      </c>
    </row>
    <row r="91" spans="2:2" x14ac:dyDescent="0.25">
      <c r="B91" s="47">
        <f t="shared" ca="1" si="3"/>
        <v>0.81926871679783209</v>
      </c>
    </row>
    <row r="92" spans="2:2" x14ac:dyDescent="0.25">
      <c r="B92" s="47">
        <f t="shared" ca="1" si="3"/>
        <v>0.24254385484204344</v>
      </c>
    </row>
    <row r="93" spans="2:2" x14ac:dyDescent="0.25">
      <c r="B93" s="47">
        <f t="shared" ca="1" si="3"/>
        <v>0.74283412544495941</v>
      </c>
    </row>
    <row r="94" spans="2:2" x14ac:dyDescent="0.25">
      <c r="B94" s="47">
        <f t="shared" ca="1" si="3"/>
        <v>0.43410863359010254</v>
      </c>
    </row>
    <row r="95" spans="2:2" x14ac:dyDescent="0.25">
      <c r="B95" s="47">
        <f t="shared" ca="1" si="3"/>
        <v>0.74724022155944203</v>
      </c>
    </row>
    <row r="96" spans="2:2" x14ac:dyDescent="0.25">
      <c r="B96" s="47">
        <f t="shared" ca="1" si="3"/>
        <v>0.49112176764250481</v>
      </c>
    </row>
    <row r="97" spans="2:2" x14ac:dyDescent="0.25">
      <c r="B97" s="47">
        <f t="shared" ca="1" si="3"/>
        <v>0.39283828978644142</v>
      </c>
    </row>
    <row r="98" spans="2:2" x14ac:dyDescent="0.25">
      <c r="B98" s="47">
        <f t="shared" ca="1" si="3"/>
        <v>0.52373585169334136</v>
      </c>
    </row>
    <row r="99" spans="2:2" x14ac:dyDescent="0.25">
      <c r="B99" s="47">
        <f t="shared" ca="1" si="3"/>
        <v>0.56314307806941821</v>
      </c>
    </row>
    <row r="100" spans="2:2" x14ac:dyDescent="0.25">
      <c r="B100" s="47">
        <f t="shared" ca="1" si="3"/>
        <v>0.30541501326885256</v>
      </c>
    </row>
    <row r="101" spans="2:2" x14ac:dyDescent="0.25">
      <c r="B101" s="47">
        <f t="shared" ca="1" si="3"/>
        <v>0.4190641886819968</v>
      </c>
    </row>
    <row r="102" spans="2:2" x14ac:dyDescent="0.25">
      <c r="B102" s="47">
        <f t="shared" ca="1" si="3"/>
        <v>0.36055766700198344</v>
      </c>
    </row>
    <row r="103" spans="2:2" x14ac:dyDescent="0.25">
      <c r="B103" s="47">
        <f t="shared" ca="1" si="3"/>
        <v>0.81230153589680643</v>
      </c>
    </row>
    <row r="104" spans="2:2" x14ac:dyDescent="0.25">
      <c r="B104" s="47">
        <f t="shared" ca="1" si="3"/>
        <v>0.73940396012915843</v>
      </c>
    </row>
    <row r="105" spans="2:2" x14ac:dyDescent="0.25">
      <c r="B105" s="47">
        <f t="shared" ca="1" si="3"/>
        <v>0.26480400561430006</v>
      </c>
    </row>
    <row r="106" spans="2:2" x14ac:dyDescent="0.25">
      <c r="B106" s="47">
        <f t="shared" ca="1" si="3"/>
        <v>0.39096740456394363</v>
      </c>
    </row>
    <row r="107" spans="2:2" x14ac:dyDescent="0.25">
      <c r="B107" s="47">
        <f t="shared" ca="1" si="3"/>
        <v>0.92963407102305196</v>
      </c>
    </row>
    <row r="108" spans="2:2" x14ac:dyDescent="0.25">
      <c r="B108" s="47">
        <f t="shared" ca="1" si="3"/>
        <v>0.49512351524945475</v>
      </c>
    </row>
    <row r="109" spans="2:2" x14ac:dyDescent="0.25">
      <c r="B109" s="47">
        <f t="shared" ca="1" si="3"/>
        <v>0.54626018626546236</v>
      </c>
    </row>
    <row r="110" spans="2:2" x14ac:dyDescent="0.25">
      <c r="B110" s="47">
        <f t="shared" ca="1" si="3"/>
        <v>0.89254159813811307</v>
      </c>
    </row>
    <row r="111" spans="2:2" x14ac:dyDescent="0.25">
      <c r="B111" s="47">
        <f t="shared" ca="1" si="3"/>
        <v>5.029334869174007E-2</v>
      </c>
    </row>
    <row r="112" spans="2:2" x14ac:dyDescent="0.25">
      <c r="B112" s="47">
        <f t="shared" ca="1" si="3"/>
        <v>0.5711284779921445</v>
      </c>
    </row>
    <row r="113" spans="2:2" x14ac:dyDescent="0.25">
      <c r="B113" s="47">
        <f t="shared" ca="1" si="3"/>
        <v>4.6575522271949166E-2</v>
      </c>
    </row>
    <row r="114" spans="2:2" x14ac:dyDescent="0.25">
      <c r="B114" s="47">
        <f t="shared" ca="1" si="3"/>
        <v>0.26159711806874442</v>
      </c>
    </row>
    <row r="115" spans="2:2" x14ac:dyDescent="0.25">
      <c r="B115" s="47">
        <f t="shared" ca="1" si="3"/>
        <v>0.35907117427633328</v>
      </c>
    </row>
    <row r="116" spans="2:2" x14ac:dyDescent="0.25">
      <c r="B116" s="47">
        <f t="shared" ca="1" si="3"/>
        <v>1.5307852334682681E-2</v>
      </c>
    </row>
    <row r="117" spans="2:2" x14ac:dyDescent="0.25">
      <c r="B117" s="47">
        <f t="shared" ca="1" si="3"/>
        <v>0.31291399514105933</v>
      </c>
    </row>
    <row r="118" spans="2:2" x14ac:dyDescent="0.25">
      <c r="B118" s="47">
        <f t="shared" ca="1" si="3"/>
        <v>0.54355524841936642</v>
      </c>
    </row>
    <row r="119" spans="2:2" x14ac:dyDescent="0.25">
      <c r="B119" s="47">
        <f t="shared" ca="1" si="3"/>
        <v>0.66668693175214044</v>
      </c>
    </row>
    <row r="120" spans="2:2" x14ac:dyDescent="0.25">
      <c r="B120" s="47">
        <f t="shared" ca="1" si="3"/>
        <v>0.60348440890757227</v>
      </c>
    </row>
    <row r="121" spans="2:2" x14ac:dyDescent="0.25">
      <c r="B121" s="47">
        <f t="shared" ca="1" si="3"/>
        <v>0.58225862005382201</v>
      </c>
    </row>
    <row r="122" spans="2:2" x14ac:dyDescent="0.25">
      <c r="B122" s="47">
        <f t="shared" ca="1" si="3"/>
        <v>6.4661488492573804E-2</v>
      </c>
    </row>
    <row r="123" spans="2:2" x14ac:dyDescent="0.25">
      <c r="B123" s="47">
        <f t="shared" ca="1" si="3"/>
        <v>0.82974317059328251</v>
      </c>
    </row>
    <row r="124" spans="2:2" x14ac:dyDescent="0.25">
      <c r="B124" s="47">
        <f t="shared" ca="1" si="3"/>
        <v>0.45530034416009579</v>
      </c>
    </row>
    <row r="125" spans="2:2" x14ac:dyDescent="0.25">
      <c r="B125" s="47">
        <f t="shared" ca="1" si="3"/>
        <v>0.70151912763660107</v>
      </c>
    </row>
    <row r="126" spans="2:2" x14ac:dyDescent="0.25">
      <c r="B126" s="47">
        <f t="shared" ca="1" si="3"/>
        <v>0.33966349861953948</v>
      </c>
    </row>
    <row r="127" spans="2:2" x14ac:dyDescent="0.25">
      <c r="B127" s="47">
        <f t="shared" ca="1" si="3"/>
        <v>0.79781523409192878</v>
      </c>
    </row>
    <row r="128" spans="2:2" x14ac:dyDescent="0.25">
      <c r="B128" s="47">
        <f t="shared" ca="1" si="3"/>
        <v>0.29689004126294194</v>
      </c>
    </row>
    <row r="129" spans="2:2" x14ac:dyDescent="0.25">
      <c r="B129" s="47">
        <f t="shared" ca="1" si="3"/>
        <v>0.9467824732390433</v>
      </c>
    </row>
    <row r="130" spans="2:2" x14ac:dyDescent="0.25">
      <c r="B130" s="47">
        <f t="shared" ca="1" si="3"/>
        <v>0.29791453739859663</v>
      </c>
    </row>
    <row r="131" spans="2:2" x14ac:dyDescent="0.25">
      <c r="B131" s="47">
        <f t="shared" ca="1" si="3"/>
        <v>0.73001429583702149</v>
      </c>
    </row>
    <row r="132" spans="2:2" x14ac:dyDescent="0.25">
      <c r="B132" s="47">
        <f t="shared" ca="1" si="3"/>
        <v>3.5832597028984003E-2</v>
      </c>
    </row>
    <row r="133" spans="2:2" x14ac:dyDescent="0.25">
      <c r="B133" s="47">
        <f t="shared" ca="1" si="3"/>
        <v>0.38995549992888257</v>
      </c>
    </row>
    <row r="134" spans="2:2" x14ac:dyDescent="0.25">
      <c r="B134" s="47">
        <f t="shared" ca="1" si="3"/>
        <v>1.805230963083726E-2</v>
      </c>
    </row>
    <row r="135" spans="2:2" x14ac:dyDescent="0.25">
      <c r="B135" s="47">
        <f t="shared" ca="1" si="3"/>
        <v>0.37246186724801444</v>
      </c>
    </row>
    <row r="136" spans="2:2" x14ac:dyDescent="0.25">
      <c r="B136" s="47">
        <f t="shared" ref="B136:B199" ca="1" si="4">RAND()</f>
        <v>0.50643708512340979</v>
      </c>
    </row>
    <row r="137" spans="2:2" x14ac:dyDescent="0.25">
      <c r="B137" s="47">
        <f t="shared" ca="1" si="4"/>
        <v>0.18530867387049788</v>
      </c>
    </row>
    <row r="138" spans="2:2" x14ac:dyDescent="0.25">
      <c r="B138" s="47">
        <f t="shared" ca="1" si="4"/>
        <v>0.14514183681027926</v>
      </c>
    </row>
    <row r="139" spans="2:2" x14ac:dyDescent="0.25">
      <c r="B139" s="47">
        <f t="shared" ca="1" si="4"/>
        <v>0.39466432186240197</v>
      </c>
    </row>
    <row r="140" spans="2:2" x14ac:dyDescent="0.25">
      <c r="B140" s="47">
        <f t="shared" ca="1" si="4"/>
        <v>0.62367591710565939</v>
      </c>
    </row>
    <row r="141" spans="2:2" x14ac:dyDescent="0.25">
      <c r="B141" s="47">
        <f t="shared" ca="1" si="4"/>
        <v>0.28684464293047118</v>
      </c>
    </row>
    <row r="142" spans="2:2" x14ac:dyDescent="0.25">
      <c r="B142" s="47">
        <f t="shared" ca="1" si="4"/>
        <v>0.84905854660658608</v>
      </c>
    </row>
    <row r="143" spans="2:2" x14ac:dyDescent="0.25">
      <c r="B143" s="47">
        <f t="shared" ca="1" si="4"/>
        <v>0.46970702445236778</v>
      </c>
    </row>
    <row r="144" spans="2:2" x14ac:dyDescent="0.25">
      <c r="B144" s="47">
        <f t="shared" ca="1" si="4"/>
        <v>0.51619993470802983</v>
      </c>
    </row>
    <row r="145" spans="2:2" x14ac:dyDescent="0.25">
      <c r="B145" s="47">
        <f t="shared" ca="1" si="4"/>
        <v>0.22121197969381234</v>
      </c>
    </row>
    <row r="146" spans="2:2" x14ac:dyDescent="0.25">
      <c r="B146" s="47">
        <f t="shared" ca="1" si="4"/>
        <v>0.26752710446959649</v>
      </c>
    </row>
    <row r="147" spans="2:2" x14ac:dyDescent="0.25">
      <c r="B147" s="47">
        <f t="shared" ca="1" si="4"/>
        <v>0.37252862298574374</v>
      </c>
    </row>
    <row r="148" spans="2:2" x14ac:dyDescent="0.25">
      <c r="B148" s="47">
        <f t="shared" ca="1" si="4"/>
        <v>0.67582718255254182</v>
      </c>
    </row>
    <row r="149" spans="2:2" x14ac:dyDescent="0.25">
      <c r="B149" s="47">
        <f t="shared" ca="1" si="4"/>
        <v>0.26489048479871324</v>
      </c>
    </row>
    <row r="150" spans="2:2" x14ac:dyDescent="0.25">
      <c r="B150" s="47">
        <f t="shared" ca="1" si="4"/>
        <v>0.2887460720420415</v>
      </c>
    </row>
    <row r="151" spans="2:2" x14ac:dyDescent="0.25">
      <c r="B151" s="47">
        <f t="shared" ca="1" si="4"/>
        <v>0.45054402791955428</v>
      </c>
    </row>
    <row r="152" spans="2:2" x14ac:dyDescent="0.25">
      <c r="B152" s="47">
        <f t="shared" ca="1" si="4"/>
        <v>0.55816189759326784</v>
      </c>
    </row>
    <row r="153" spans="2:2" x14ac:dyDescent="0.25">
      <c r="B153" s="47">
        <f t="shared" ca="1" si="4"/>
        <v>0.30749535377654424</v>
      </c>
    </row>
    <row r="154" spans="2:2" x14ac:dyDescent="0.25">
      <c r="B154" s="47">
        <f t="shared" ca="1" si="4"/>
        <v>0.40235720536392239</v>
      </c>
    </row>
    <row r="155" spans="2:2" x14ac:dyDescent="0.25">
      <c r="B155" s="47">
        <f t="shared" ca="1" si="4"/>
        <v>0.22438394186471122</v>
      </c>
    </row>
    <row r="156" spans="2:2" x14ac:dyDescent="0.25">
      <c r="B156" s="47">
        <f t="shared" ca="1" si="4"/>
        <v>0.55334263644924986</v>
      </c>
    </row>
    <row r="157" spans="2:2" x14ac:dyDescent="0.25">
      <c r="B157" s="47">
        <f t="shared" ca="1" si="4"/>
        <v>0.25989319978206427</v>
      </c>
    </row>
    <row r="158" spans="2:2" x14ac:dyDescent="0.25">
      <c r="B158" s="47">
        <f t="shared" ca="1" si="4"/>
        <v>0.53614615065196003</v>
      </c>
    </row>
    <row r="159" spans="2:2" x14ac:dyDescent="0.25">
      <c r="B159" s="47">
        <f t="shared" ca="1" si="4"/>
        <v>0.32064773100619048</v>
      </c>
    </row>
    <row r="160" spans="2:2" x14ac:dyDescent="0.25">
      <c r="B160" s="47">
        <f t="shared" ca="1" si="4"/>
        <v>0.27199055222274904</v>
      </c>
    </row>
    <row r="161" spans="2:2" x14ac:dyDescent="0.25">
      <c r="B161" s="47">
        <f t="shared" ca="1" si="4"/>
        <v>0.59107593651622536</v>
      </c>
    </row>
    <row r="162" spans="2:2" x14ac:dyDescent="0.25">
      <c r="B162" s="47">
        <f t="shared" ca="1" si="4"/>
        <v>0.45866023674255163</v>
      </c>
    </row>
    <row r="163" spans="2:2" x14ac:dyDescent="0.25">
      <c r="B163" s="47">
        <f t="shared" ca="1" si="4"/>
        <v>0.19497642560569095</v>
      </c>
    </row>
    <row r="164" spans="2:2" x14ac:dyDescent="0.25">
      <c r="B164" s="47">
        <f t="shared" ca="1" si="4"/>
        <v>0.30696180238643533</v>
      </c>
    </row>
    <row r="165" spans="2:2" x14ac:dyDescent="0.25">
      <c r="B165" s="47">
        <f t="shared" ca="1" si="4"/>
        <v>4.16641546234231E-3</v>
      </c>
    </row>
    <row r="166" spans="2:2" x14ac:dyDescent="0.25">
      <c r="B166" s="47">
        <f t="shared" ca="1" si="4"/>
        <v>0.57269010554711741</v>
      </c>
    </row>
    <row r="167" spans="2:2" x14ac:dyDescent="0.25">
      <c r="B167" s="47">
        <f t="shared" ca="1" si="4"/>
        <v>0.98760334561249163</v>
      </c>
    </row>
    <row r="168" spans="2:2" x14ac:dyDescent="0.25">
      <c r="B168" s="47">
        <f t="shared" ca="1" si="4"/>
        <v>0.28357154583540478</v>
      </c>
    </row>
    <row r="169" spans="2:2" x14ac:dyDescent="0.25">
      <c r="B169" s="47">
        <f t="shared" ca="1" si="4"/>
        <v>0.92224037515834267</v>
      </c>
    </row>
    <row r="170" spans="2:2" x14ac:dyDescent="0.25">
      <c r="B170" s="47">
        <f t="shared" ca="1" si="4"/>
        <v>4.4357033158972325E-2</v>
      </c>
    </row>
    <row r="171" spans="2:2" x14ac:dyDescent="0.25">
      <c r="B171" s="47">
        <f t="shared" ca="1" si="4"/>
        <v>0.96990203357100679</v>
      </c>
    </row>
    <row r="172" spans="2:2" x14ac:dyDescent="0.25">
      <c r="B172" s="47">
        <f t="shared" ca="1" si="4"/>
        <v>0.45405733961996375</v>
      </c>
    </row>
    <row r="173" spans="2:2" x14ac:dyDescent="0.25">
      <c r="B173" s="47">
        <f t="shared" ca="1" si="4"/>
        <v>0.21540147398931808</v>
      </c>
    </row>
    <row r="174" spans="2:2" x14ac:dyDescent="0.25">
      <c r="B174" s="47">
        <f t="shared" ca="1" si="4"/>
        <v>0.12644632362328045</v>
      </c>
    </row>
    <row r="175" spans="2:2" x14ac:dyDescent="0.25">
      <c r="B175" s="47">
        <f t="shared" ca="1" si="4"/>
        <v>0.35909365379337499</v>
      </c>
    </row>
    <row r="176" spans="2:2" x14ac:dyDescent="0.25">
      <c r="B176" s="47">
        <f t="shared" ca="1" si="4"/>
        <v>0.17531181152212827</v>
      </c>
    </row>
    <row r="177" spans="2:2" x14ac:dyDescent="0.25">
      <c r="B177" s="47">
        <f t="shared" ca="1" si="4"/>
        <v>0.41159092899947924</v>
      </c>
    </row>
    <row r="178" spans="2:2" x14ac:dyDescent="0.25">
      <c r="B178" s="47">
        <f t="shared" ca="1" si="4"/>
        <v>0.65773079724462935</v>
      </c>
    </row>
    <row r="179" spans="2:2" x14ac:dyDescent="0.25">
      <c r="B179" s="47">
        <f t="shared" ca="1" si="4"/>
        <v>0.26969890835847665</v>
      </c>
    </row>
    <row r="180" spans="2:2" x14ac:dyDescent="0.25">
      <c r="B180" s="47">
        <f t="shared" ca="1" si="4"/>
        <v>0.19998427205799973</v>
      </c>
    </row>
    <row r="181" spans="2:2" x14ac:dyDescent="0.25">
      <c r="B181" s="47">
        <f t="shared" ca="1" si="4"/>
        <v>0.27767232505719397</v>
      </c>
    </row>
    <row r="182" spans="2:2" x14ac:dyDescent="0.25">
      <c r="B182" s="47">
        <f t="shared" ca="1" si="4"/>
        <v>0.10818051262298367</v>
      </c>
    </row>
    <row r="183" spans="2:2" x14ac:dyDescent="0.25">
      <c r="B183" s="47">
        <f t="shared" ca="1" si="4"/>
        <v>0.27553118566025703</v>
      </c>
    </row>
    <row r="184" spans="2:2" x14ac:dyDescent="0.25">
      <c r="B184" s="47">
        <f t="shared" ca="1" si="4"/>
        <v>0.79642125762821803</v>
      </c>
    </row>
    <row r="185" spans="2:2" x14ac:dyDescent="0.25">
      <c r="B185" s="47">
        <f t="shared" ca="1" si="4"/>
        <v>0.23287472169256518</v>
      </c>
    </row>
    <row r="186" spans="2:2" x14ac:dyDescent="0.25">
      <c r="B186" s="47">
        <f t="shared" ca="1" si="4"/>
        <v>0.18495930397040738</v>
      </c>
    </row>
    <row r="187" spans="2:2" x14ac:dyDescent="0.25">
      <c r="B187" s="47">
        <f t="shared" ca="1" si="4"/>
        <v>4.3092921254303862E-2</v>
      </c>
    </row>
    <row r="188" spans="2:2" x14ac:dyDescent="0.25">
      <c r="B188" s="47">
        <f t="shared" ca="1" si="4"/>
        <v>0.43939739233501196</v>
      </c>
    </row>
    <row r="189" spans="2:2" x14ac:dyDescent="0.25">
      <c r="B189" s="47">
        <f t="shared" ca="1" si="4"/>
        <v>0.64445610429987754</v>
      </c>
    </row>
    <row r="190" spans="2:2" x14ac:dyDescent="0.25">
      <c r="B190" s="47">
        <f t="shared" ca="1" si="4"/>
        <v>0.5245610803680224</v>
      </c>
    </row>
    <row r="191" spans="2:2" x14ac:dyDescent="0.25">
      <c r="B191" s="47">
        <f t="shared" ca="1" si="4"/>
        <v>0.7663568928316381</v>
      </c>
    </row>
    <row r="192" spans="2:2" x14ac:dyDescent="0.25">
      <c r="B192" s="47">
        <f t="shared" ca="1" si="4"/>
        <v>5.0761037455815616E-2</v>
      </c>
    </row>
    <row r="193" spans="2:2" x14ac:dyDescent="0.25">
      <c r="B193" s="47">
        <f t="shared" ca="1" si="4"/>
        <v>0.84938306927909735</v>
      </c>
    </row>
    <row r="194" spans="2:2" x14ac:dyDescent="0.25">
      <c r="B194" s="47">
        <f t="shared" ca="1" si="4"/>
        <v>0.39205712548553728</v>
      </c>
    </row>
    <row r="195" spans="2:2" x14ac:dyDescent="0.25">
      <c r="B195" s="47">
        <f t="shared" ca="1" si="4"/>
        <v>0.14134008581326751</v>
      </c>
    </row>
    <row r="196" spans="2:2" x14ac:dyDescent="0.25">
      <c r="B196" s="47">
        <f t="shared" ca="1" si="4"/>
        <v>0.37410245508051565</v>
      </c>
    </row>
    <row r="197" spans="2:2" x14ac:dyDescent="0.25">
      <c r="B197" s="47">
        <f t="shared" ca="1" si="4"/>
        <v>0.86726624108412553</v>
      </c>
    </row>
    <row r="198" spans="2:2" x14ac:dyDescent="0.25">
      <c r="B198" s="47">
        <f t="shared" ca="1" si="4"/>
        <v>0.26206143092563572</v>
      </c>
    </row>
    <row r="199" spans="2:2" x14ac:dyDescent="0.25">
      <c r="B199" s="47">
        <f t="shared" ca="1" si="4"/>
        <v>0.24093936039944819</v>
      </c>
    </row>
    <row r="200" spans="2:2" x14ac:dyDescent="0.25">
      <c r="B200" s="47">
        <f t="shared" ref="B200:B263" ca="1" si="5">RAND()</f>
        <v>0.49616430096677333</v>
      </c>
    </row>
    <row r="201" spans="2:2" x14ac:dyDescent="0.25">
      <c r="B201" s="47">
        <f t="shared" ca="1" si="5"/>
        <v>0.71269648534761143</v>
      </c>
    </row>
    <row r="202" spans="2:2" x14ac:dyDescent="0.25">
      <c r="B202" s="47">
        <f t="shared" ca="1" si="5"/>
        <v>0.60739692732508987</v>
      </c>
    </row>
    <row r="203" spans="2:2" x14ac:dyDescent="0.25">
      <c r="B203" s="47">
        <f t="shared" ca="1" si="5"/>
        <v>0.99475465030268195</v>
      </c>
    </row>
    <row r="204" spans="2:2" x14ac:dyDescent="0.25">
      <c r="B204" s="47">
        <f t="shared" ca="1" si="5"/>
        <v>0.66622906865722886</v>
      </c>
    </row>
    <row r="205" spans="2:2" x14ac:dyDescent="0.25">
      <c r="B205" s="47">
        <f t="shared" ca="1" si="5"/>
        <v>0.58101684316766267</v>
      </c>
    </row>
    <row r="206" spans="2:2" x14ac:dyDescent="0.25">
      <c r="B206" s="47">
        <f t="shared" ca="1" si="5"/>
        <v>3.6261050463723965E-2</v>
      </c>
    </row>
    <row r="207" spans="2:2" x14ac:dyDescent="0.25">
      <c r="B207" s="47">
        <f t="shared" ca="1" si="5"/>
        <v>0.79902948615652791</v>
      </c>
    </row>
    <row r="208" spans="2:2" x14ac:dyDescent="0.25">
      <c r="B208" s="47">
        <f t="shared" ca="1" si="5"/>
        <v>0.81541096052232187</v>
      </c>
    </row>
    <row r="209" spans="2:2" x14ac:dyDescent="0.25">
      <c r="B209" s="47">
        <f t="shared" ca="1" si="5"/>
        <v>0.7983763065366678</v>
      </c>
    </row>
    <row r="210" spans="2:2" x14ac:dyDescent="0.25">
      <c r="B210" s="47">
        <f t="shared" ca="1" si="5"/>
        <v>0.12365390813035493</v>
      </c>
    </row>
    <row r="211" spans="2:2" x14ac:dyDescent="0.25">
      <c r="B211" s="47">
        <f t="shared" ca="1" si="5"/>
        <v>0.3526541480652704</v>
      </c>
    </row>
    <row r="212" spans="2:2" x14ac:dyDescent="0.25">
      <c r="B212" s="47">
        <f t="shared" ca="1" si="5"/>
        <v>0.32229038504102836</v>
      </c>
    </row>
    <row r="213" spans="2:2" x14ac:dyDescent="0.25">
      <c r="B213" s="47">
        <f t="shared" ca="1" si="5"/>
        <v>0.93589327156966262</v>
      </c>
    </row>
    <row r="214" spans="2:2" x14ac:dyDescent="0.25">
      <c r="B214" s="47">
        <f t="shared" ca="1" si="5"/>
        <v>0.43403172404784607</v>
      </c>
    </row>
    <row r="215" spans="2:2" x14ac:dyDescent="0.25">
      <c r="B215" s="47">
        <f t="shared" ca="1" si="5"/>
        <v>0.63143391890180045</v>
      </c>
    </row>
    <row r="216" spans="2:2" x14ac:dyDescent="0.25">
      <c r="B216" s="47">
        <f t="shared" ca="1" si="5"/>
        <v>0.69094235052064268</v>
      </c>
    </row>
    <row r="217" spans="2:2" x14ac:dyDescent="0.25">
      <c r="B217" s="47">
        <f t="shared" ca="1" si="5"/>
        <v>0.23888306946545723</v>
      </c>
    </row>
    <row r="218" spans="2:2" x14ac:dyDescent="0.25">
      <c r="B218" s="47">
        <f t="shared" ca="1" si="5"/>
        <v>0.19269268591424737</v>
      </c>
    </row>
    <row r="219" spans="2:2" x14ac:dyDescent="0.25">
      <c r="B219" s="47">
        <f t="shared" ca="1" si="5"/>
        <v>0.45101394283629948</v>
      </c>
    </row>
    <row r="220" spans="2:2" x14ac:dyDescent="0.25">
      <c r="B220" s="47">
        <f t="shared" ca="1" si="5"/>
        <v>0.78656295576571145</v>
      </c>
    </row>
    <row r="221" spans="2:2" x14ac:dyDescent="0.25">
      <c r="B221" s="47">
        <f t="shared" ca="1" si="5"/>
        <v>0.61901299536047871</v>
      </c>
    </row>
    <row r="222" spans="2:2" x14ac:dyDescent="0.25">
      <c r="B222" s="47">
        <f t="shared" ca="1" si="5"/>
        <v>0.57457011485696985</v>
      </c>
    </row>
    <row r="223" spans="2:2" x14ac:dyDescent="0.25">
      <c r="B223" s="47">
        <f t="shared" ca="1" si="5"/>
        <v>0.96084793894798426</v>
      </c>
    </row>
    <row r="224" spans="2:2" x14ac:dyDescent="0.25">
      <c r="B224" s="47">
        <f t="shared" ca="1" si="5"/>
        <v>0.28547738045063098</v>
      </c>
    </row>
    <row r="225" spans="2:2" x14ac:dyDescent="0.25">
      <c r="B225" s="47">
        <f t="shared" ca="1" si="5"/>
        <v>1.5130608816252278E-2</v>
      </c>
    </row>
    <row r="226" spans="2:2" x14ac:dyDescent="0.25">
      <c r="B226" s="47">
        <f t="shared" ca="1" si="5"/>
        <v>0.55779418013448012</v>
      </c>
    </row>
    <row r="227" spans="2:2" x14ac:dyDescent="0.25">
      <c r="B227" s="47">
        <f t="shared" ca="1" si="5"/>
        <v>0.28074039129576611</v>
      </c>
    </row>
    <row r="228" spans="2:2" x14ac:dyDescent="0.25">
      <c r="B228" s="47">
        <f t="shared" ca="1" si="5"/>
        <v>0.10751296562049206</v>
      </c>
    </row>
    <row r="229" spans="2:2" x14ac:dyDescent="0.25">
      <c r="B229" s="47">
        <f t="shared" ca="1" si="5"/>
        <v>0.59117207154897211</v>
      </c>
    </row>
    <row r="230" spans="2:2" x14ac:dyDescent="0.25">
      <c r="B230" s="47">
        <f t="shared" ca="1" si="5"/>
        <v>0.23084121991086781</v>
      </c>
    </row>
    <row r="231" spans="2:2" x14ac:dyDescent="0.25">
      <c r="B231" s="47">
        <f t="shared" ca="1" si="5"/>
        <v>0.6939013380647977</v>
      </c>
    </row>
    <row r="232" spans="2:2" x14ac:dyDescent="0.25">
      <c r="B232" s="47">
        <f t="shared" ca="1" si="5"/>
        <v>0.6580951572139645</v>
      </c>
    </row>
    <row r="233" spans="2:2" x14ac:dyDescent="0.25">
      <c r="B233" s="47">
        <f t="shared" ca="1" si="5"/>
        <v>0.86233257638491911</v>
      </c>
    </row>
    <row r="234" spans="2:2" x14ac:dyDescent="0.25">
      <c r="B234" s="47">
        <f t="shared" ca="1" si="5"/>
        <v>0.80575405248581955</v>
      </c>
    </row>
    <row r="235" spans="2:2" x14ac:dyDescent="0.25">
      <c r="B235" s="47">
        <f t="shared" ca="1" si="5"/>
        <v>0.60225701655121278</v>
      </c>
    </row>
    <row r="236" spans="2:2" x14ac:dyDescent="0.25">
      <c r="B236" s="47">
        <f t="shared" ca="1" si="5"/>
        <v>0.72887783479594892</v>
      </c>
    </row>
    <row r="237" spans="2:2" x14ac:dyDescent="0.25">
      <c r="B237" s="47">
        <f t="shared" ca="1" si="5"/>
        <v>0.91015305091540011</v>
      </c>
    </row>
    <row r="238" spans="2:2" x14ac:dyDescent="0.25">
      <c r="B238" s="47">
        <f t="shared" ca="1" si="5"/>
        <v>0.63496944658706678</v>
      </c>
    </row>
    <row r="239" spans="2:2" x14ac:dyDescent="0.25">
      <c r="B239" s="47">
        <f t="shared" ca="1" si="5"/>
        <v>0.11124291353868088</v>
      </c>
    </row>
    <row r="240" spans="2:2" x14ac:dyDescent="0.25">
      <c r="B240" s="47">
        <f t="shared" ca="1" si="5"/>
        <v>0.90091762083132398</v>
      </c>
    </row>
    <row r="241" spans="2:2" x14ac:dyDescent="0.25">
      <c r="B241" s="47">
        <f t="shared" ca="1" si="5"/>
        <v>0.62689836681530531</v>
      </c>
    </row>
    <row r="242" spans="2:2" x14ac:dyDescent="0.25">
      <c r="B242" s="47">
        <f t="shared" ca="1" si="5"/>
        <v>0.64752420668431443</v>
      </c>
    </row>
    <row r="243" spans="2:2" x14ac:dyDescent="0.25">
      <c r="B243" s="47">
        <f t="shared" ca="1" si="5"/>
        <v>0.25593103195125644</v>
      </c>
    </row>
    <row r="244" spans="2:2" x14ac:dyDescent="0.25">
      <c r="B244" s="47">
        <f t="shared" ca="1" si="5"/>
        <v>0.6949113389601872</v>
      </c>
    </row>
    <row r="245" spans="2:2" x14ac:dyDescent="0.25">
      <c r="B245" s="47">
        <f t="shared" ca="1" si="5"/>
        <v>0.9039829430827806</v>
      </c>
    </row>
    <row r="246" spans="2:2" x14ac:dyDescent="0.25">
      <c r="B246" s="47">
        <f t="shared" ca="1" si="5"/>
        <v>0.90160411178817768</v>
      </c>
    </row>
    <row r="247" spans="2:2" x14ac:dyDescent="0.25">
      <c r="B247" s="47">
        <f t="shared" ca="1" si="5"/>
        <v>9.5100768767731547E-2</v>
      </c>
    </row>
    <row r="248" spans="2:2" x14ac:dyDescent="0.25">
      <c r="B248" s="47">
        <f t="shared" ca="1" si="5"/>
        <v>0.32208084601102938</v>
      </c>
    </row>
    <row r="249" spans="2:2" x14ac:dyDescent="0.25">
      <c r="B249" s="47">
        <f t="shared" ca="1" si="5"/>
        <v>0.77692479166940787</v>
      </c>
    </row>
    <row r="250" spans="2:2" x14ac:dyDescent="0.25">
      <c r="B250" s="47">
        <f t="shared" ca="1" si="5"/>
        <v>0.44726429957727953</v>
      </c>
    </row>
    <row r="251" spans="2:2" x14ac:dyDescent="0.25">
      <c r="B251" s="47">
        <f t="shared" ca="1" si="5"/>
        <v>7.0843763064105558E-2</v>
      </c>
    </row>
    <row r="252" spans="2:2" x14ac:dyDescent="0.25">
      <c r="B252" s="47">
        <f t="shared" ca="1" si="5"/>
        <v>0.68965822987084602</v>
      </c>
    </row>
    <row r="253" spans="2:2" x14ac:dyDescent="0.25">
      <c r="B253" s="47">
        <f t="shared" ca="1" si="5"/>
        <v>0.96855668635471504</v>
      </c>
    </row>
    <row r="254" spans="2:2" x14ac:dyDescent="0.25">
      <c r="B254" s="47">
        <f t="shared" ca="1" si="5"/>
        <v>0.88626744512210054</v>
      </c>
    </row>
    <row r="255" spans="2:2" x14ac:dyDescent="0.25">
      <c r="B255" s="47">
        <f t="shared" ca="1" si="5"/>
        <v>8.5161106437247946E-2</v>
      </c>
    </row>
    <row r="256" spans="2:2" x14ac:dyDescent="0.25">
      <c r="B256" s="47">
        <f t="shared" ca="1" si="5"/>
        <v>4.0462832921169256E-2</v>
      </c>
    </row>
    <row r="257" spans="2:2" x14ac:dyDescent="0.25">
      <c r="B257" s="47">
        <f t="shared" ca="1" si="5"/>
        <v>0.43341272259690777</v>
      </c>
    </row>
    <row r="258" spans="2:2" x14ac:dyDescent="0.25">
      <c r="B258" s="47">
        <f t="shared" ca="1" si="5"/>
        <v>5.6873887612367113E-2</v>
      </c>
    </row>
    <row r="259" spans="2:2" x14ac:dyDescent="0.25">
      <c r="B259" s="47">
        <f t="shared" ca="1" si="5"/>
        <v>0.50132586058290907</v>
      </c>
    </row>
    <row r="260" spans="2:2" x14ac:dyDescent="0.25">
      <c r="B260" s="47">
        <f t="shared" ca="1" si="5"/>
        <v>0.58255028385460772</v>
      </c>
    </row>
    <row r="261" spans="2:2" x14ac:dyDescent="0.25">
      <c r="B261" s="47">
        <f t="shared" ca="1" si="5"/>
        <v>0.53449686964810061</v>
      </c>
    </row>
    <row r="262" spans="2:2" x14ac:dyDescent="0.25">
      <c r="B262" s="47">
        <f t="shared" ca="1" si="5"/>
        <v>0.59735814632359774</v>
      </c>
    </row>
    <row r="263" spans="2:2" x14ac:dyDescent="0.25">
      <c r="B263" s="47">
        <f t="shared" ca="1" si="5"/>
        <v>0.38892483523569144</v>
      </c>
    </row>
    <row r="264" spans="2:2" x14ac:dyDescent="0.25">
      <c r="B264" s="47">
        <f t="shared" ref="B264:B327" ca="1" si="6">RAND()</f>
        <v>0.23653294054073226</v>
      </c>
    </row>
    <row r="265" spans="2:2" x14ac:dyDescent="0.25">
      <c r="B265" s="47">
        <f t="shared" ca="1" si="6"/>
        <v>0.52318409845250646</v>
      </c>
    </row>
    <row r="266" spans="2:2" x14ac:dyDescent="0.25">
      <c r="B266" s="47">
        <f t="shared" ca="1" si="6"/>
        <v>8.0978731564493089E-2</v>
      </c>
    </row>
    <row r="267" spans="2:2" x14ac:dyDescent="0.25">
      <c r="B267" s="47">
        <f t="shared" ca="1" si="6"/>
        <v>0.46945692775617465</v>
      </c>
    </row>
    <row r="268" spans="2:2" x14ac:dyDescent="0.25">
      <c r="B268" s="47">
        <f t="shared" ca="1" si="6"/>
        <v>0.39932739800002925</v>
      </c>
    </row>
    <row r="269" spans="2:2" x14ac:dyDescent="0.25">
      <c r="B269" s="47">
        <f t="shared" ca="1" si="6"/>
        <v>0.18243058618736685</v>
      </c>
    </row>
    <row r="270" spans="2:2" x14ac:dyDescent="0.25">
      <c r="B270" s="47">
        <f t="shared" ca="1" si="6"/>
        <v>0.73261913217963648</v>
      </c>
    </row>
    <row r="271" spans="2:2" x14ac:dyDescent="0.25">
      <c r="B271" s="47">
        <f t="shared" ca="1" si="6"/>
        <v>0.77586236978850043</v>
      </c>
    </row>
    <row r="272" spans="2:2" x14ac:dyDescent="0.25">
      <c r="B272" s="47">
        <f t="shared" ca="1" si="6"/>
        <v>8.2202807793222865E-2</v>
      </c>
    </row>
    <row r="273" spans="2:2" x14ac:dyDescent="0.25">
      <c r="B273" s="47">
        <f t="shared" ca="1" si="6"/>
        <v>0.76685107184416401</v>
      </c>
    </row>
    <row r="274" spans="2:2" x14ac:dyDescent="0.25">
      <c r="B274" s="47">
        <f t="shared" ca="1" si="6"/>
        <v>3.9258917826772155E-3</v>
      </c>
    </row>
    <row r="275" spans="2:2" x14ac:dyDescent="0.25">
      <c r="B275" s="47">
        <f t="shared" ca="1" si="6"/>
        <v>0.55647691790472131</v>
      </c>
    </row>
    <row r="276" spans="2:2" x14ac:dyDescent="0.25">
      <c r="B276" s="47">
        <f t="shared" ca="1" si="6"/>
        <v>0.13210907073510425</v>
      </c>
    </row>
    <row r="277" spans="2:2" x14ac:dyDescent="0.25">
      <c r="B277" s="47">
        <f t="shared" ca="1" si="6"/>
        <v>8.6965995547488184E-2</v>
      </c>
    </row>
    <row r="278" spans="2:2" x14ac:dyDescent="0.25">
      <c r="B278" s="47">
        <f t="shared" ca="1" si="6"/>
        <v>0.66356877632647493</v>
      </c>
    </row>
    <row r="279" spans="2:2" x14ac:dyDescent="0.25">
      <c r="B279" s="47">
        <f t="shared" ca="1" si="6"/>
        <v>0.34427116783395872</v>
      </c>
    </row>
    <row r="280" spans="2:2" x14ac:dyDescent="0.25">
      <c r="B280" s="47">
        <f t="shared" ca="1" si="6"/>
        <v>0.8116954644866522</v>
      </c>
    </row>
    <row r="281" spans="2:2" x14ac:dyDescent="0.25">
      <c r="B281" s="47">
        <f t="shared" ca="1" si="6"/>
        <v>0.94893263810909678</v>
      </c>
    </row>
    <row r="282" spans="2:2" x14ac:dyDescent="0.25">
      <c r="B282" s="47">
        <f t="shared" ca="1" si="6"/>
        <v>0.55057647750595018</v>
      </c>
    </row>
    <row r="283" spans="2:2" x14ac:dyDescent="0.25">
      <c r="B283" s="47">
        <f t="shared" ca="1" si="6"/>
        <v>0.97561350862249385</v>
      </c>
    </row>
    <row r="284" spans="2:2" x14ac:dyDescent="0.25">
      <c r="B284" s="47">
        <f t="shared" ca="1" si="6"/>
        <v>0.90007557423869422</v>
      </c>
    </row>
    <row r="285" spans="2:2" x14ac:dyDescent="0.25">
      <c r="B285" s="47">
        <f t="shared" ca="1" si="6"/>
        <v>0.18545203936133237</v>
      </c>
    </row>
    <row r="286" spans="2:2" x14ac:dyDescent="0.25">
      <c r="B286" s="47">
        <f t="shared" ca="1" si="6"/>
        <v>0.95601622643908901</v>
      </c>
    </row>
    <row r="287" spans="2:2" x14ac:dyDescent="0.25">
      <c r="B287" s="47">
        <f t="shared" ca="1" si="6"/>
        <v>0.92313189599306378</v>
      </c>
    </row>
    <row r="288" spans="2:2" x14ac:dyDescent="0.25">
      <c r="B288" s="47">
        <f t="shared" ca="1" si="6"/>
        <v>0.81626694205717498</v>
      </c>
    </row>
    <row r="289" spans="2:2" x14ac:dyDescent="0.25">
      <c r="B289" s="47">
        <f t="shared" ca="1" si="6"/>
        <v>0.14732895744301744</v>
      </c>
    </row>
    <row r="290" spans="2:2" x14ac:dyDescent="0.25">
      <c r="B290" s="47">
        <f t="shared" ca="1" si="6"/>
        <v>0.17295847834519262</v>
      </c>
    </row>
    <row r="291" spans="2:2" x14ac:dyDescent="0.25">
      <c r="B291" s="47">
        <f t="shared" ca="1" si="6"/>
        <v>0.51906772477353269</v>
      </c>
    </row>
    <row r="292" spans="2:2" x14ac:dyDescent="0.25">
      <c r="B292" s="47">
        <f t="shared" ca="1" si="6"/>
        <v>0.95543039035872357</v>
      </c>
    </row>
    <row r="293" spans="2:2" x14ac:dyDescent="0.25">
      <c r="B293" s="47">
        <f t="shared" ca="1" si="6"/>
        <v>0.43658662779642732</v>
      </c>
    </row>
    <row r="294" spans="2:2" x14ac:dyDescent="0.25">
      <c r="B294" s="47">
        <f t="shared" ca="1" si="6"/>
        <v>0.57244120173373103</v>
      </c>
    </row>
    <row r="295" spans="2:2" x14ac:dyDescent="0.25">
      <c r="B295" s="47">
        <f t="shared" ca="1" si="6"/>
        <v>0.11347283461967017</v>
      </c>
    </row>
    <row r="296" spans="2:2" x14ac:dyDescent="0.25">
      <c r="B296" s="47">
        <f t="shared" ca="1" si="6"/>
        <v>0.73214743929504833</v>
      </c>
    </row>
    <row r="297" spans="2:2" x14ac:dyDescent="0.25">
      <c r="B297" s="47">
        <f t="shared" ca="1" si="6"/>
        <v>0.47347642690182656</v>
      </c>
    </row>
    <row r="298" spans="2:2" x14ac:dyDescent="0.25">
      <c r="B298" s="47">
        <f t="shared" ca="1" si="6"/>
        <v>0.47334918483578114</v>
      </c>
    </row>
    <row r="299" spans="2:2" x14ac:dyDescent="0.25">
      <c r="B299" s="47">
        <f t="shared" ca="1" si="6"/>
        <v>4.8907915374313271E-3</v>
      </c>
    </row>
    <row r="300" spans="2:2" x14ac:dyDescent="0.25">
      <c r="B300" s="47">
        <f t="shared" ca="1" si="6"/>
        <v>0.11048842419446503</v>
      </c>
    </row>
    <row r="301" spans="2:2" x14ac:dyDescent="0.25">
      <c r="B301" s="47">
        <f t="shared" ca="1" si="6"/>
        <v>3.2583034656694654E-2</v>
      </c>
    </row>
    <row r="302" spans="2:2" x14ac:dyDescent="0.25">
      <c r="B302" s="47">
        <f t="shared" ca="1" si="6"/>
        <v>0.43610052444281866</v>
      </c>
    </row>
    <row r="303" spans="2:2" x14ac:dyDescent="0.25">
      <c r="B303" s="47">
        <f t="shared" ca="1" si="6"/>
        <v>7.378112821752536E-2</v>
      </c>
    </row>
    <row r="304" spans="2:2" x14ac:dyDescent="0.25">
      <c r="B304" s="47">
        <f t="shared" ca="1" si="6"/>
        <v>0.77185214873860475</v>
      </c>
    </row>
    <row r="305" spans="2:2" x14ac:dyDescent="0.25">
      <c r="B305" s="47">
        <f t="shared" ca="1" si="6"/>
        <v>0.71200407590614567</v>
      </c>
    </row>
    <row r="306" spans="2:2" x14ac:dyDescent="0.25">
      <c r="B306" s="47">
        <f t="shared" ca="1" si="6"/>
        <v>0.50629413962513881</v>
      </c>
    </row>
    <row r="307" spans="2:2" x14ac:dyDescent="0.25">
      <c r="B307" s="47">
        <f t="shared" ca="1" si="6"/>
        <v>2.887231274520996E-2</v>
      </c>
    </row>
    <row r="308" spans="2:2" x14ac:dyDescent="0.25">
      <c r="B308" s="47">
        <f t="shared" ca="1" si="6"/>
        <v>0.31308129710356725</v>
      </c>
    </row>
    <row r="309" spans="2:2" x14ac:dyDescent="0.25">
      <c r="B309" s="47">
        <f t="shared" ca="1" si="6"/>
        <v>0.25772292818629527</v>
      </c>
    </row>
    <row r="310" spans="2:2" x14ac:dyDescent="0.25">
      <c r="B310" s="47">
        <f t="shared" ca="1" si="6"/>
        <v>0.1222781229489277</v>
      </c>
    </row>
    <row r="311" spans="2:2" x14ac:dyDescent="0.25">
      <c r="B311" s="47">
        <f t="shared" ca="1" si="6"/>
        <v>0.40717629114804288</v>
      </c>
    </row>
    <row r="312" spans="2:2" x14ac:dyDescent="0.25">
      <c r="B312" s="47">
        <f t="shared" ca="1" si="6"/>
        <v>0.1871014237689862</v>
      </c>
    </row>
    <row r="313" spans="2:2" x14ac:dyDescent="0.25">
      <c r="B313" s="47">
        <f t="shared" ca="1" si="6"/>
        <v>0.75187090071656659</v>
      </c>
    </row>
    <row r="314" spans="2:2" x14ac:dyDescent="0.25">
      <c r="B314" s="47">
        <f t="shared" ca="1" si="6"/>
        <v>0.89196273940560855</v>
      </c>
    </row>
    <row r="315" spans="2:2" x14ac:dyDescent="0.25">
      <c r="B315" s="47">
        <f t="shared" ca="1" si="6"/>
        <v>0.21672809342452704</v>
      </c>
    </row>
    <row r="316" spans="2:2" x14ac:dyDescent="0.25">
      <c r="B316" s="47">
        <f t="shared" ca="1" si="6"/>
        <v>5.370693726994713E-2</v>
      </c>
    </row>
    <row r="317" spans="2:2" x14ac:dyDescent="0.25">
      <c r="B317" s="47">
        <f t="shared" ca="1" si="6"/>
        <v>0.83944173467687055</v>
      </c>
    </row>
    <row r="318" spans="2:2" x14ac:dyDescent="0.25">
      <c r="B318" s="47">
        <f t="shared" ca="1" si="6"/>
        <v>7.4619609094928041E-2</v>
      </c>
    </row>
    <row r="319" spans="2:2" x14ac:dyDescent="0.25">
      <c r="B319" s="47">
        <f t="shared" ca="1" si="6"/>
        <v>2.85701802891557E-2</v>
      </c>
    </row>
    <row r="320" spans="2:2" x14ac:dyDescent="0.25">
      <c r="B320" s="47">
        <f t="shared" ca="1" si="6"/>
        <v>0.84809940175749554</v>
      </c>
    </row>
    <row r="321" spans="2:2" x14ac:dyDescent="0.25">
      <c r="B321" s="47">
        <f t="shared" ca="1" si="6"/>
        <v>0.3058019098310365</v>
      </c>
    </row>
    <row r="322" spans="2:2" x14ac:dyDescent="0.25">
      <c r="B322" s="47">
        <f t="shared" ca="1" si="6"/>
        <v>0.86138934101151188</v>
      </c>
    </row>
    <row r="323" spans="2:2" x14ac:dyDescent="0.25">
      <c r="B323" s="47">
        <f t="shared" ca="1" si="6"/>
        <v>0.11239887526900061</v>
      </c>
    </row>
    <row r="324" spans="2:2" x14ac:dyDescent="0.25">
      <c r="B324" s="47">
        <f t="shared" ca="1" si="6"/>
        <v>0.82942859886002129</v>
      </c>
    </row>
    <row r="325" spans="2:2" x14ac:dyDescent="0.25">
      <c r="B325" s="47">
        <f t="shared" ca="1" si="6"/>
        <v>0.92572877232577899</v>
      </c>
    </row>
    <row r="326" spans="2:2" x14ac:dyDescent="0.25">
      <c r="B326" s="47">
        <f t="shared" ca="1" si="6"/>
        <v>0.93135613053274602</v>
      </c>
    </row>
    <row r="327" spans="2:2" x14ac:dyDescent="0.25">
      <c r="B327" s="47">
        <f t="shared" ca="1" si="6"/>
        <v>0.45478107899059306</v>
      </c>
    </row>
    <row r="328" spans="2:2" x14ac:dyDescent="0.25">
      <c r="B328" s="47">
        <f t="shared" ref="B328:B391" ca="1" si="7">RAND()</f>
        <v>8.7789266010646405E-2</v>
      </c>
    </row>
    <row r="329" spans="2:2" x14ac:dyDescent="0.25">
      <c r="B329" s="47">
        <f t="shared" ca="1" si="7"/>
        <v>0.11619795123501597</v>
      </c>
    </row>
    <row r="330" spans="2:2" x14ac:dyDescent="0.25">
      <c r="B330" s="47">
        <f t="shared" ca="1" si="7"/>
        <v>0.87000922865628527</v>
      </c>
    </row>
    <row r="331" spans="2:2" x14ac:dyDescent="0.25">
      <c r="B331" s="47">
        <f t="shared" ca="1" si="7"/>
        <v>4.7556563306823674E-2</v>
      </c>
    </row>
    <row r="332" spans="2:2" x14ac:dyDescent="0.25">
      <c r="B332" s="47">
        <f t="shared" ca="1" si="7"/>
        <v>0.39997185648249722</v>
      </c>
    </row>
    <row r="333" spans="2:2" x14ac:dyDescent="0.25">
      <c r="B333" s="47">
        <f t="shared" ca="1" si="7"/>
        <v>0.3561403751123593</v>
      </c>
    </row>
    <row r="334" spans="2:2" x14ac:dyDescent="0.25">
      <c r="B334" s="47">
        <f t="shared" ca="1" si="7"/>
        <v>0.66943918356370069</v>
      </c>
    </row>
    <row r="335" spans="2:2" x14ac:dyDescent="0.25">
      <c r="B335" s="47">
        <f t="shared" ca="1" si="7"/>
        <v>0.55217523639214716</v>
      </c>
    </row>
    <row r="336" spans="2:2" x14ac:dyDescent="0.25">
      <c r="B336" s="47">
        <f t="shared" ca="1" si="7"/>
        <v>0.84019351011442223</v>
      </c>
    </row>
    <row r="337" spans="2:2" x14ac:dyDescent="0.25">
      <c r="B337" s="47">
        <f t="shared" ca="1" si="7"/>
        <v>0.85341927701695341</v>
      </c>
    </row>
    <row r="338" spans="2:2" x14ac:dyDescent="0.25">
      <c r="B338" s="47">
        <f t="shared" ca="1" si="7"/>
        <v>0.42792915451912827</v>
      </c>
    </row>
    <row r="339" spans="2:2" x14ac:dyDescent="0.25">
      <c r="B339" s="47">
        <f t="shared" ca="1" si="7"/>
        <v>0.58115059986796214</v>
      </c>
    </row>
    <row r="340" spans="2:2" x14ac:dyDescent="0.25">
      <c r="B340" s="47">
        <f t="shared" ca="1" si="7"/>
        <v>0.51653280358998765</v>
      </c>
    </row>
    <row r="341" spans="2:2" x14ac:dyDescent="0.25">
      <c r="B341" s="47">
        <f t="shared" ca="1" si="7"/>
        <v>0.10629393248187413</v>
      </c>
    </row>
    <row r="342" spans="2:2" x14ac:dyDescent="0.25">
      <c r="B342" s="47">
        <f t="shared" ca="1" si="7"/>
        <v>0.24027490409953611</v>
      </c>
    </row>
    <row r="343" spans="2:2" x14ac:dyDescent="0.25">
      <c r="B343" s="47">
        <f t="shared" ca="1" si="7"/>
        <v>0.19670798946331225</v>
      </c>
    </row>
    <row r="344" spans="2:2" x14ac:dyDescent="0.25">
      <c r="B344" s="47">
        <f t="shared" ca="1" si="7"/>
        <v>7.2014963032289603E-2</v>
      </c>
    </row>
    <row r="345" spans="2:2" x14ac:dyDescent="0.25">
      <c r="B345" s="47">
        <f t="shared" ca="1" si="7"/>
        <v>0.39325703363448017</v>
      </c>
    </row>
    <row r="346" spans="2:2" x14ac:dyDescent="0.25">
      <c r="B346" s="47">
        <f t="shared" ca="1" si="7"/>
        <v>7.6188400851318394E-2</v>
      </c>
    </row>
    <row r="347" spans="2:2" x14ac:dyDescent="0.25">
      <c r="B347" s="47">
        <f t="shared" ca="1" si="7"/>
        <v>0.14035398167776225</v>
      </c>
    </row>
    <row r="348" spans="2:2" x14ac:dyDescent="0.25">
      <c r="B348" s="47">
        <f t="shared" ca="1" si="7"/>
        <v>0.87701458494609852</v>
      </c>
    </row>
    <row r="349" spans="2:2" x14ac:dyDescent="0.25">
      <c r="B349" s="47">
        <f t="shared" ca="1" si="7"/>
        <v>0.79267231657155812</v>
      </c>
    </row>
    <row r="350" spans="2:2" x14ac:dyDescent="0.25">
      <c r="B350" s="47">
        <f t="shared" ca="1" si="7"/>
        <v>0.16535177374434384</v>
      </c>
    </row>
    <row r="351" spans="2:2" x14ac:dyDescent="0.25">
      <c r="B351" s="47">
        <f t="shared" ca="1" si="7"/>
        <v>5.0654019320530597E-2</v>
      </c>
    </row>
    <row r="352" spans="2:2" x14ac:dyDescent="0.25">
      <c r="B352" s="47">
        <f t="shared" ca="1" si="7"/>
        <v>0.55596235109399961</v>
      </c>
    </row>
    <row r="353" spans="2:2" x14ac:dyDescent="0.25">
      <c r="B353" s="47">
        <f t="shared" ca="1" si="7"/>
        <v>0.11356001817284844</v>
      </c>
    </row>
    <row r="354" spans="2:2" x14ac:dyDescent="0.25">
      <c r="B354" s="47">
        <f t="shared" ca="1" si="7"/>
        <v>0.59242832150293079</v>
      </c>
    </row>
    <row r="355" spans="2:2" x14ac:dyDescent="0.25">
      <c r="B355" s="47">
        <f t="shared" ca="1" si="7"/>
        <v>5.4282582582049765E-2</v>
      </c>
    </row>
    <row r="356" spans="2:2" x14ac:dyDescent="0.25">
      <c r="B356" s="47">
        <f t="shared" ca="1" si="7"/>
        <v>0.4021637507974728</v>
      </c>
    </row>
    <row r="357" spans="2:2" x14ac:dyDescent="0.25">
      <c r="B357" s="47">
        <f t="shared" ca="1" si="7"/>
        <v>0.45473776985088787</v>
      </c>
    </row>
    <row r="358" spans="2:2" x14ac:dyDescent="0.25">
      <c r="B358" s="47">
        <f t="shared" ca="1" si="7"/>
        <v>0.63180689320128069</v>
      </c>
    </row>
    <row r="359" spans="2:2" x14ac:dyDescent="0.25">
      <c r="B359" s="47">
        <f t="shared" ca="1" si="7"/>
        <v>0.54477469156121738</v>
      </c>
    </row>
    <row r="360" spans="2:2" x14ac:dyDescent="0.25">
      <c r="B360" s="47">
        <f t="shared" ca="1" si="7"/>
        <v>0.20213259070428113</v>
      </c>
    </row>
    <row r="361" spans="2:2" x14ac:dyDescent="0.25">
      <c r="B361" s="47">
        <f t="shared" ca="1" si="7"/>
        <v>0.71822828224911217</v>
      </c>
    </row>
    <row r="362" spans="2:2" x14ac:dyDescent="0.25">
      <c r="B362" s="47">
        <f t="shared" ca="1" si="7"/>
        <v>3.8568711839663816E-3</v>
      </c>
    </row>
    <row r="363" spans="2:2" x14ac:dyDescent="0.25">
      <c r="B363" s="47">
        <f t="shared" ca="1" si="7"/>
        <v>0.1278652551292202</v>
      </c>
    </row>
    <row r="364" spans="2:2" x14ac:dyDescent="0.25">
      <c r="B364" s="47">
        <f t="shared" ca="1" si="7"/>
        <v>0.93335758167787508</v>
      </c>
    </row>
    <row r="365" spans="2:2" x14ac:dyDescent="0.25">
      <c r="B365" s="47">
        <f t="shared" ca="1" si="7"/>
        <v>0.52259148995007765</v>
      </c>
    </row>
    <row r="366" spans="2:2" x14ac:dyDescent="0.25">
      <c r="B366" s="47">
        <f t="shared" ca="1" si="7"/>
        <v>0.87332115057935311</v>
      </c>
    </row>
    <row r="367" spans="2:2" x14ac:dyDescent="0.25">
      <c r="B367" s="47">
        <f t="shared" ca="1" si="7"/>
        <v>0.67341567133113678</v>
      </c>
    </row>
    <row r="368" spans="2:2" x14ac:dyDescent="0.25">
      <c r="B368" s="47">
        <f t="shared" ca="1" si="7"/>
        <v>0.65264796056490548</v>
      </c>
    </row>
    <row r="369" spans="2:2" x14ac:dyDescent="0.25">
      <c r="B369" s="47">
        <f t="shared" ca="1" si="7"/>
        <v>0.51681613250795433</v>
      </c>
    </row>
    <row r="370" spans="2:2" x14ac:dyDescent="0.25">
      <c r="B370" s="47">
        <f t="shared" ca="1" si="7"/>
        <v>0.98114258401751686</v>
      </c>
    </row>
    <row r="371" spans="2:2" x14ac:dyDescent="0.25">
      <c r="B371" s="47">
        <f t="shared" ca="1" si="7"/>
        <v>1.2010465614264998E-2</v>
      </c>
    </row>
    <row r="372" spans="2:2" x14ac:dyDescent="0.25">
      <c r="B372" s="47">
        <f t="shared" ca="1" si="7"/>
        <v>0.55333005457463369</v>
      </c>
    </row>
    <row r="373" spans="2:2" x14ac:dyDescent="0.25">
      <c r="B373" s="47">
        <f t="shared" ca="1" si="7"/>
        <v>0.58889134905082752</v>
      </c>
    </row>
    <row r="374" spans="2:2" x14ac:dyDescent="0.25">
      <c r="B374" s="47">
        <f t="shared" ca="1" si="7"/>
        <v>0.22221798352820676</v>
      </c>
    </row>
    <row r="375" spans="2:2" x14ac:dyDescent="0.25">
      <c r="B375" s="47">
        <f t="shared" ca="1" si="7"/>
        <v>0.83040802806850555</v>
      </c>
    </row>
    <row r="376" spans="2:2" x14ac:dyDescent="0.25">
      <c r="B376" s="47">
        <f t="shared" ca="1" si="7"/>
        <v>0.95985545721002308</v>
      </c>
    </row>
    <row r="377" spans="2:2" x14ac:dyDescent="0.25">
      <c r="B377" s="47">
        <f t="shared" ca="1" si="7"/>
        <v>0.7700826674570882</v>
      </c>
    </row>
    <row r="378" spans="2:2" x14ac:dyDescent="0.25">
      <c r="B378" s="47">
        <f t="shared" ca="1" si="7"/>
        <v>0.27347334382507815</v>
      </c>
    </row>
    <row r="379" spans="2:2" x14ac:dyDescent="0.25">
      <c r="B379" s="47">
        <f t="shared" ca="1" si="7"/>
        <v>0.91247205679620835</v>
      </c>
    </row>
    <row r="380" spans="2:2" x14ac:dyDescent="0.25">
      <c r="B380" s="47">
        <f t="shared" ca="1" si="7"/>
        <v>0.97477092943228916</v>
      </c>
    </row>
    <row r="381" spans="2:2" x14ac:dyDescent="0.25">
      <c r="B381" s="47">
        <f t="shared" ca="1" si="7"/>
        <v>0.98002516836940523</v>
      </c>
    </row>
    <row r="382" spans="2:2" x14ac:dyDescent="0.25">
      <c r="B382" s="47">
        <f t="shared" ca="1" si="7"/>
        <v>0.2607486973177997</v>
      </c>
    </row>
    <row r="383" spans="2:2" x14ac:dyDescent="0.25">
      <c r="B383" s="47">
        <f t="shared" ca="1" si="7"/>
        <v>0.8606219733763113</v>
      </c>
    </row>
    <row r="384" spans="2:2" x14ac:dyDescent="0.25">
      <c r="B384" s="47">
        <f t="shared" ca="1" si="7"/>
        <v>0.30810144736217937</v>
      </c>
    </row>
    <row r="385" spans="2:2" x14ac:dyDescent="0.25">
      <c r="B385" s="47">
        <f t="shared" ca="1" si="7"/>
        <v>0.73501815566936379</v>
      </c>
    </row>
    <row r="386" spans="2:2" x14ac:dyDescent="0.25">
      <c r="B386" s="47">
        <f t="shared" ca="1" si="7"/>
        <v>0.33027919960847574</v>
      </c>
    </row>
    <row r="387" spans="2:2" x14ac:dyDescent="0.25">
      <c r="B387" s="47">
        <f t="shared" ca="1" si="7"/>
        <v>0.69808656543539027</v>
      </c>
    </row>
    <row r="388" spans="2:2" x14ac:dyDescent="0.25">
      <c r="B388" s="47">
        <f t="shared" ca="1" si="7"/>
        <v>6.1876815054382917E-2</v>
      </c>
    </row>
    <row r="389" spans="2:2" x14ac:dyDescent="0.25">
      <c r="B389" s="47">
        <f t="shared" ca="1" si="7"/>
        <v>4.0148181705236596E-2</v>
      </c>
    </row>
    <row r="390" spans="2:2" x14ac:dyDescent="0.25">
      <c r="B390" s="47">
        <f t="shared" ca="1" si="7"/>
        <v>0.2032967014243634</v>
      </c>
    </row>
    <row r="391" spans="2:2" x14ac:dyDescent="0.25">
      <c r="B391" s="47">
        <f t="shared" ca="1" si="7"/>
        <v>0.27991455640603269</v>
      </c>
    </row>
    <row r="392" spans="2:2" x14ac:dyDescent="0.25">
      <c r="B392" s="47">
        <f t="shared" ref="B392:B455" ca="1" si="8">RAND()</f>
        <v>7.5224444149237235E-2</v>
      </c>
    </row>
    <row r="393" spans="2:2" x14ac:dyDescent="0.25">
      <c r="B393" s="47">
        <f t="shared" ca="1" si="8"/>
        <v>0.49454753572804544</v>
      </c>
    </row>
    <row r="394" spans="2:2" x14ac:dyDescent="0.25">
      <c r="B394" s="47">
        <f t="shared" ca="1" si="8"/>
        <v>0.69929251158795913</v>
      </c>
    </row>
    <row r="395" spans="2:2" x14ac:dyDescent="0.25">
      <c r="B395" s="47">
        <f t="shared" ca="1" si="8"/>
        <v>0.64149272567528148</v>
      </c>
    </row>
    <row r="396" spans="2:2" x14ac:dyDescent="0.25">
      <c r="B396" s="47">
        <f t="shared" ca="1" si="8"/>
        <v>0.55775209760080968</v>
      </c>
    </row>
    <row r="397" spans="2:2" x14ac:dyDescent="0.25">
      <c r="B397" s="47">
        <f t="shared" ca="1" si="8"/>
        <v>0.10973203641829388</v>
      </c>
    </row>
    <row r="398" spans="2:2" x14ac:dyDescent="0.25">
      <c r="B398" s="47">
        <f t="shared" ca="1" si="8"/>
        <v>0.34650220959472622</v>
      </c>
    </row>
    <row r="399" spans="2:2" x14ac:dyDescent="0.25">
      <c r="B399" s="47">
        <f t="shared" ca="1" si="8"/>
        <v>0.20391134157245039</v>
      </c>
    </row>
    <row r="400" spans="2:2" x14ac:dyDescent="0.25">
      <c r="B400" s="47">
        <f t="shared" ca="1" si="8"/>
        <v>1.145061888944221E-2</v>
      </c>
    </row>
    <row r="401" spans="2:2" x14ac:dyDescent="0.25">
      <c r="B401" s="47">
        <f t="shared" ca="1" si="8"/>
        <v>0.88738009161797615</v>
      </c>
    </row>
    <row r="402" spans="2:2" x14ac:dyDescent="0.25">
      <c r="B402" s="47">
        <f t="shared" ca="1" si="8"/>
        <v>0.56299602280260186</v>
      </c>
    </row>
    <row r="403" spans="2:2" x14ac:dyDescent="0.25">
      <c r="B403" s="47">
        <f t="shared" ca="1" si="8"/>
        <v>0.7214700574336157</v>
      </c>
    </row>
    <row r="404" spans="2:2" x14ac:dyDescent="0.25">
      <c r="B404" s="47">
        <f t="shared" ca="1" si="8"/>
        <v>0.79047622246395211</v>
      </c>
    </row>
    <row r="405" spans="2:2" x14ac:dyDescent="0.25">
      <c r="B405" s="47">
        <f t="shared" ca="1" si="8"/>
        <v>0.33709737537228757</v>
      </c>
    </row>
    <row r="406" spans="2:2" x14ac:dyDescent="0.25">
      <c r="B406" s="47">
        <f t="shared" ca="1" si="8"/>
        <v>0.17602801988899486</v>
      </c>
    </row>
    <row r="407" spans="2:2" x14ac:dyDescent="0.25">
      <c r="B407" s="47">
        <f t="shared" ca="1" si="8"/>
        <v>0.77918105601804843</v>
      </c>
    </row>
    <row r="408" spans="2:2" x14ac:dyDescent="0.25">
      <c r="B408" s="47">
        <f t="shared" ca="1" si="8"/>
        <v>0.63731255307063395</v>
      </c>
    </row>
    <row r="409" spans="2:2" x14ac:dyDescent="0.25">
      <c r="B409" s="47">
        <f t="shared" ca="1" si="8"/>
        <v>0.78912779014776158</v>
      </c>
    </row>
    <row r="410" spans="2:2" x14ac:dyDescent="0.25">
      <c r="B410" s="47">
        <f t="shared" ca="1" si="8"/>
        <v>7.4043537650714919E-2</v>
      </c>
    </row>
    <row r="411" spans="2:2" x14ac:dyDescent="0.25">
      <c r="B411" s="47">
        <f t="shared" ca="1" si="8"/>
        <v>0.44519425109192223</v>
      </c>
    </row>
    <row r="412" spans="2:2" x14ac:dyDescent="0.25">
      <c r="B412" s="47">
        <f t="shared" ca="1" si="8"/>
        <v>0.54750517558368739</v>
      </c>
    </row>
    <row r="413" spans="2:2" x14ac:dyDescent="0.25">
      <c r="B413" s="47">
        <f t="shared" ca="1" si="8"/>
        <v>0.67350457948655684</v>
      </c>
    </row>
    <row r="414" spans="2:2" x14ac:dyDescent="0.25">
      <c r="B414" s="47">
        <f t="shared" ca="1" si="8"/>
        <v>0.44811421910388161</v>
      </c>
    </row>
    <row r="415" spans="2:2" x14ac:dyDescent="0.25">
      <c r="B415" s="47">
        <f t="shared" ca="1" si="8"/>
        <v>0.7501312908727622</v>
      </c>
    </row>
    <row r="416" spans="2:2" x14ac:dyDescent="0.25">
      <c r="B416" s="47">
        <f t="shared" ca="1" si="8"/>
        <v>0.87507377294644362</v>
      </c>
    </row>
    <row r="417" spans="2:2" x14ac:dyDescent="0.25">
      <c r="B417" s="47">
        <f t="shared" ca="1" si="8"/>
        <v>0.10097971351013879</v>
      </c>
    </row>
    <row r="418" spans="2:2" x14ac:dyDescent="0.25">
      <c r="B418" s="47">
        <f t="shared" ca="1" si="8"/>
        <v>0.75646479413061229</v>
      </c>
    </row>
    <row r="419" spans="2:2" x14ac:dyDescent="0.25">
      <c r="B419" s="47">
        <f t="shared" ca="1" si="8"/>
        <v>0.67585876067281903</v>
      </c>
    </row>
    <row r="420" spans="2:2" x14ac:dyDescent="0.25">
      <c r="B420" s="47">
        <f t="shared" ca="1" si="8"/>
        <v>1.7047352282321016E-2</v>
      </c>
    </row>
    <row r="421" spans="2:2" x14ac:dyDescent="0.25">
      <c r="B421" s="47">
        <f t="shared" ca="1" si="8"/>
        <v>0.84269944657042595</v>
      </c>
    </row>
    <row r="422" spans="2:2" x14ac:dyDescent="0.25">
      <c r="B422" s="47">
        <f t="shared" ca="1" si="8"/>
        <v>0.89371947814247532</v>
      </c>
    </row>
    <row r="423" spans="2:2" x14ac:dyDescent="0.25">
      <c r="B423" s="47">
        <f t="shared" ca="1" si="8"/>
        <v>0.35807821875914447</v>
      </c>
    </row>
    <row r="424" spans="2:2" x14ac:dyDescent="0.25">
      <c r="B424" s="47">
        <f t="shared" ca="1" si="8"/>
        <v>0.32207697283023806</v>
      </c>
    </row>
    <row r="425" spans="2:2" x14ac:dyDescent="0.25">
      <c r="B425" s="47">
        <f t="shared" ca="1" si="8"/>
        <v>0.76435191016787507</v>
      </c>
    </row>
    <row r="426" spans="2:2" x14ac:dyDescent="0.25">
      <c r="B426" s="47">
        <f t="shared" ca="1" si="8"/>
        <v>0.61489215778137407</v>
      </c>
    </row>
    <row r="427" spans="2:2" x14ac:dyDescent="0.25">
      <c r="B427" s="47">
        <f t="shared" ca="1" si="8"/>
        <v>0.78047261218461306</v>
      </c>
    </row>
    <row r="428" spans="2:2" x14ac:dyDescent="0.25">
      <c r="B428" s="47">
        <f t="shared" ca="1" si="8"/>
        <v>0.99880556040166701</v>
      </c>
    </row>
    <row r="429" spans="2:2" x14ac:dyDescent="0.25">
      <c r="B429" s="47">
        <f t="shared" ca="1" si="8"/>
        <v>0.55741995981352943</v>
      </c>
    </row>
    <row r="430" spans="2:2" x14ac:dyDescent="0.25">
      <c r="B430" s="47">
        <f t="shared" ca="1" si="8"/>
        <v>0.24284629773410038</v>
      </c>
    </row>
    <row r="431" spans="2:2" x14ac:dyDescent="0.25">
      <c r="B431" s="47">
        <f t="shared" ca="1" si="8"/>
        <v>0.93508467201672651</v>
      </c>
    </row>
    <row r="432" spans="2:2" x14ac:dyDescent="0.25">
      <c r="B432" s="47">
        <f t="shared" ca="1" si="8"/>
        <v>0.73350064414019789</v>
      </c>
    </row>
    <row r="433" spans="2:2" x14ac:dyDescent="0.25">
      <c r="B433" s="47">
        <f t="shared" ca="1" si="8"/>
        <v>0.24227162243752165</v>
      </c>
    </row>
    <row r="434" spans="2:2" x14ac:dyDescent="0.25">
      <c r="B434" s="47">
        <f t="shared" ca="1" si="8"/>
        <v>0.67630450571960588</v>
      </c>
    </row>
    <row r="435" spans="2:2" x14ac:dyDescent="0.25">
      <c r="B435" s="47">
        <f t="shared" ca="1" si="8"/>
        <v>0.74110312678432033</v>
      </c>
    </row>
    <row r="436" spans="2:2" x14ac:dyDescent="0.25">
      <c r="B436" s="47">
        <f t="shared" ca="1" si="8"/>
        <v>0.74343579123342463</v>
      </c>
    </row>
    <row r="437" spans="2:2" x14ac:dyDescent="0.25">
      <c r="B437" s="47">
        <f t="shared" ca="1" si="8"/>
        <v>0.3788780027954608</v>
      </c>
    </row>
    <row r="438" spans="2:2" x14ac:dyDescent="0.25">
      <c r="B438" s="47">
        <f t="shared" ca="1" si="8"/>
        <v>0.49343877360563504</v>
      </c>
    </row>
    <row r="439" spans="2:2" x14ac:dyDescent="0.25">
      <c r="B439" s="47">
        <f t="shared" ca="1" si="8"/>
        <v>0.73326824075674013</v>
      </c>
    </row>
    <row r="440" spans="2:2" x14ac:dyDescent="0.25">
      <c r="B440" s="47">
        <f t="shared" ca="1" si="8"/>
        <v>0.12634537019673164</v>
      </c>
    </row>
    <row r="441" spans="2:2" x14ac:dyDescent="0.25">
      <c r="B441" s="47">
        <f t="shared" ca="1" si="8"/>
        <v>0.71083378233630068</v>
      </c>
    </row>
    <row r="442" spans="2:2" x14ac:dyDescent="0.25">
      <c r="B442" s="47">
        <f t="shared" ca="1" si="8"/>
        <v>0.84825509777018804</v>
      </c>
    </row>
    <row r="443" spans="2:2" x14ac:dyDescent="0.25">
      <c r="B443" s="47">
        <f t="shared" ca="1" si="8"/>
        <v>0.74878334581299821</v>
      </c>
    </row>
    <row r="444" spans="2:2" x14ac:dyDescent="0.25">
      <c r="B444" s="47">
        <f t="shared" ca="1" si="8"/>
        <v>0.42312315288954949</v>
      </c>
    </row>
    <row r="445" spans="2:2" x14ac:dyDescent="0.25">
      <c r="B445" s="47">
        <f t="shared" ca="1" si="8"/>
        <v>0.24339520752114863</v>
      </c>
    </row>
    <row r="446" spans="2:2" x14ac:dyDescent="0.25">
      <c r="B446" s="47">
        <f t="shared" ca="1" si="8"/>
        <v>0.65523573515666855</v>
      </c>
    </row>
    <row r="447" spans="2:2" x14ac:dyDescent="0.25">
      <c r="B447" s="47">
        <f t="shared" ca="1" si="8"/>
        <v>0.46908992319241727</v>
      </c>
    </row>
    <row r="448" spans="2:2" x14ac:dyDescent="0.25">
      <c r="B448" s="47">
        <f t="shared" ca="1" si="8"/>
        <v>0.18468734293014344</v>
      </c>
    </row>
    <row r="449" spans="2:2" x14ac:dyDescent="0.25">
      <c r="B449" s="47">
        <f t="shared" ca="1" si="8"/>
        <v>0.28134952961215143</v>
      </c>
    </row>
    <row r="450" spans="2:2" x14ac:dyDescent="0.25">
      <c r="B450" s="47">
        <f t="shared" ca="1" si="8"/>
        <v>0.61008883032450179</v>
      </c>
    </row>
    <row r="451" spans="2:2" x14ac:dyDescent="0.25">
      <c r="B451" s="47">
        <f t="shared" ca="1" si="8"/>
        <v>0.39413158771292922</v>
      </c>
    </row>
    <row r="452" spans="2:2" x14ac:dyDescent="0.25">
      <c r="B452" s="47">
        <f t="shared" ca="1" si="8"/>
        <v>0.26083440728205975</v>
      </c>
    </row>
    <row r="453" spans="2:2" x14ac:dyDescent="0.25">
      <c r="B453" s="47">
        <f t="shared" ca="1" si="8"/>
        <v>0.42739861512878907</v>
      </c>
    </row>
    <row r="454" spans="2:2" x14ac:dyDescent="0.25">
      <c r="B454" s="47">
        <f t="shared" ca="1" si="8"/>
        <v>0.36293494165364504</v>
      </c>
    </row>
    <row r="455" spans="2:2" x14ac:dyDescent="0.25">
      <c r="B455" s="47">
        <f t="shared" ca="1" si="8"/>
        <v>0.19745022340580265</v>
      </c>
    </row>
    <row r="456" spans="2:2" x14ac:dyDescent="0.25">
      <c r="B456" s="47">
        <f t="shared" ref="B456:B519" ca="1" si="9">RAND()</f>
        <v>0.63753447457633239</v>
      </c>
    </row>
    <row r="457" spans="2:2" x14ac:dyDescent="0.25">
      <c r="B457" s="47">
        <f t="shared" ca="1" si="9"/>
        <v>0.11489533403247987</v>
      </c>
    </row>
    <row r="458" spans="2:2" x14ac:dyDescent="0.25">
      <c r="B458" s="47">
        <f t="shared" ca="1" si="9"/>
        <v>0.92024980759918129</v>
      </c>
    </row>
    <row r="459" spans="2:2" x14ac:dyDescent="0.25">
      <c r="B459" s="47">
        <f t="shared" ca="1" si="9"/>
        <v>0.5991329996837772</v>
      </c>
    </row>
    <row r="460" spans="2:2" x14ac:dyDescent="0.25">
      <c r="B460" s="47">
        <f t="shared" ca="1" si="9"/>
        <v>0.68460691679775321</v>
      </c>
    </row>
    <row r="461" spans="2:2" x14ac:dyDescent="0.25">
      <c r="B461" s="47">
        <f t="shared" ca="1" si="9"/>
        <v>0.15867112505895087</v>
      </c>
    </row>
    <row r="462" spans="2:2" x14ac:dyDescent="0.25">
      <c r="B462" s="47">
        <f t="shared" ca="1" si="9"/>
        <v>0.11250136676972111</v>
      </c>
    </row>
    <row r="463" spans="2:2" x14ac:dyDescent="0.25">
      <c r="B463" s="47">
        <f t="shared" ca="1" si="9"/>
        <v>0.43617193200316551</v>
      </c>
    </row>
    <row r="464" spans="2:2" x14ac:dyDescent="0.25">
      <c r="B464" s="47">
        <f t="shared" ca="1" si="9"/>
        <v>0.35965603751561404</v>
      </c>
    </row>
    <row r="465" spans="2:2" x14ac:dyDescent="0.25">
      <c r="B465" s="47">
        <f t="shared" ca="1" si="9"/>
        <v>0.96767088183355632</v>
      </c>
    </row>
    <row r="466" spans="2:2" x14ac:dyDescent="0.25">
      <c r="B466" s="47">
        <f t="shared" ca="1" si="9"/>
        <v>0.71540045791465501</v>
      </c>
    </row>
    <row r="467" spans="2:2" x14ac:dyDescent="0.25">
      <c r="B467" s="47">
        <f t="shared" ca="1" si="9"/>
        <v>0.43577595100656297</v>
      </c>
    </row>
    <row r="468" spans="2:2" x14ac:dyDescent="0.25">
      <c r="B468" s="47">
        <f t="shared" ca="1" si="9"/>
        <v>0.5005941160261479</v>
      </c>
    </row>
    <row r="469" spans="2:2" x14ac:dyDescent="0.25">
      <c r="B469" s="47">
        <f t="shared" ca="1" si="9"/>
        <v>9.3170564073766782E-3</v>
      </c>
    </row>
    <row r="470" spans="2:2" x14ac:dyDescent="0.25">
      <c r="B470" s="47">
        <f t="shared" ca="1" si="9"/>
        <v>0.62544412741333688</v>
      </c>
    </row>
    <row r="471" spans="2:2" x14ac:dyDescent="0.25">
      <c r="B471" s="47">
        <f t="shared" ca="1" si="9"/>
        <v>0.67140379545879458</v>
      </c>
    </row>
    <row r="472" spans="2:2" x14ac:dyDescent="0.25">
      <c r="B472" s="47">
        <f t="shared" ca="1" si="9"/>
        <v>0.45417549582584027</v>
      </c>
    </row>
    <row r="473" spans="2:2" x14ac:dyDescent="0.25">
      <c r="B473" s="47">
        <f t="shared" ca="1" si="9"/>
        <v>0.75138540515886143</v>
      </c>
    </row>
    <row r="474" spans="2:2" x14ac:dyDescent="0.25">
      <c r="B474" s="47">
        <f t="shared" ca="1" si="9"/>
        <v>0.23162913493576553</v>
      </c>
    </row>
    <row r="475" spans="2:2" x14ac:dyDescent="0.25">
      <c r="B475" s="47">
        <f t="shared" ca="1" si="9"/>
        <v>0.42334670080608128</v>
      </c>
    </row>
    <row r="476" spans="2:2" x14ac:dyDescent="0.25">
      <c r="B476" s="47">
        <f t="shared" ca="1" si="9"/>
        <v>0.60323164717420685</v>
      </c>
    </row>
    <row r="477" spans="2:2" x14ac:dyDescent="0.25">
      <c r="B477" s="47">
        <f t="shared" ca="1" si="9"/>
        <v>0.1861935279033099</v>
      </c>
    </row>
    <row r="478" spans="2:2" x14ac:dyDescent="0.25">
      <c r="B478" s="47">
        <f t="shared" ca="1" si="9"/>
        <v>0.18705534428520132</v>
      </c>
    </row>
    <row r="479" spans="2:2" x14ac:dyDescent="0.25">
      <c r="B479" s="47">
        <f t="shared" ca="1" si="9"/>
        <v>0.9881271773194209</v>
      </c>
    </row>
    <row r="480" spans="2:2" x14ac:dyDescent="0.25">
      <c r="B480" s="47">
        <f t="shared" ca="1" si="9"/>
        <v>0.43139631971727399</v>
      </c>
    </row>
    <row r="481" spans="2:2" x14ac:dyDescent="0.25">
      <c r="B481" s="47">
        <f t="shared" ca="1" si="9"/>
        <v>0.2193246311260153</v>
      </c>
    </row>
    <row r="482" spans="2:2" x14ac:dyDescent="0.25">
      <c r="B482" s="47">
        <f t="shared" ca="1" si="9"/>
        <v>1.4180676116513857E-2</v>
      </c>
    </row>
    <row r="483" spans="2:2" x14ac:dyDescent="0.25">
      <c r="B483" s="47">
        <f t="shared" ca="1" si="9"/>
        <v>0.17307249683059434</v>
      </c>
    </row>
    <row r="484" spans="2:2" x14ac:dyDescent="0.25">
      <c r="B484" s="47">
        <f t="shared" ca="1" si="9"/>
        <v>0.26366994906855923</v>
      </c>
    </row>
    <row r="485" spans="2:2" x14ac:dyDescent="0.25">
      <c r="B485" s="47">
        <f t="shared" ca="1" si="9"/>
        <v>1.8575615186411376E-3</v>
      </c>
    </row>
    <row r="486" spans="2:2" x14ac:dyDescent="0.25">
      <c r="B486" s="47">
        <f t="shared" ca="1" si="9"/>
        <v>0.70086226823259923</v>
      </c>
    </row>
    <row r="487" spans="2:2" x14ac:dyDescent="0.25">
      <c r="B487" s="47">
        <f t="shared" ca="1" si="9"/>
        <v>0.70843032158920782</v>
      </c>
    </row>
    <row r="488" spans="2:2" x14ac:dyDescent="0.25">
      <c r="B488" s="47">
        <f t="shared" ca="1" si="9"/>
        <v>0.78983837160396342</v>
      </c>
    </row>
    <row r="489" spans="2:2" x14ac:dyDescent="0.25">
      <c r="B489" s="47">
        <f t="shared" ca="1" si="9"/>
        <v>0.67484347992281801</v>
      </c>
    </row>
    <row r="490" spans="2:2" x14ac:dyDescent="0.25">
      <c r="B490" s="47">
        <f t="shared" ca="1" si="9"/>
        <v>0.10534080752888597</v>
      </c>
    </row>
    <row r="491" spans="2:2" x14ac:dyDescent="0.25">
      <c r="B491" s="47">
        <f t="shared" ca="1" si="9"/>
        <v>0.82157677954515163</v>
      </c>
    </row>
    <row r="492" spans="2:2" x14ac:dyDescent="0.25">
      <c r="B492" s="47">
        <f t="shared" ca="1" si="9"/>
        <v>0.24488714994033978</v>
      </c>
    </row>
    <row r="493" spans="2:2" x14ac:dyDescent="0.25">
      <c r="B493" s="47">
        <f t="shared" ca="1" si="9"/>
        <v>0.18348983978328037</v>
      </c>
    </row>
    <row r="494" spans="2:2" x14ac:dyDescent="0.25">
      <c r="B494" s="47">
        <f t="shared" ca="1" si="9"/>
        <v>0.68445868612818428</v>
      </c>
    </row>
    <row r="495" spans="2:2" x14ac:dyDescent="0.25">
      <c r="B495" s="47">
        <f t="shared" ca="1" si="9"/>
        <v>0.3288341053738012</v>
      </c>
    </row>
    <row r="496" spans="2:2" x14ac:dyDescent="0.25">
      <c r="B496" s="47">
        <f t="shared" ca="1" si="9"/>
        <v>0.90166635438549603</v>
      </c>
    </row>
    <row r="497" spans="2:2" x14ac:dyDescent="0.25">
      <c r="B497" s="47">
        <f t="shared" ca="1" si="9"/>
        <v>7.409662295389996E-2</v>
      </c>
    </row>
    <row r="498" spans="2:2" x14ac:dyDescent="0.25">
      <c r="B498" s="47">
        <f t="shared" ca="1" si="9"/>
        <v>0.69007888008568574</v>
      </c>
    </row>
    <row r="499" spans="2:2" x14ac:dyDescent="0.25">
      <c r="B499" s="47">
        <f t="shared" ca="1" si="9"/>
        <v>0.10464977803693665</v>
      </c>
    </row>
    <row r="500" spans="2:2" x14ac:dyDescent="0.25">
      <c r="B500" s="47">
        <f t="shared" ca="1" si="9"/>
        <v>0.14090207697685198</v>
      </c>
    </row>
    <row r="501" spans="2:2" x14ac:dyDescent="0.25">
      <c r="B501" s="47">
        <f t="shared" ca="1" si="9"/>
        <v>0.44685900939753032</v>
      </c>
    </row>
    <row r="502" spans="2:2" x14ac:dyDescent="0.25">
      <c r="B502" s="47">
        <f t="shared" ca="1" si="9"/>
        <v>0.29826473304896672</v>
      </c>
    </row>
    <row r="503" spans="2:2" x14ac:dyDescent="0.25">
      <c r="B503" s="47">
        <f t="shared" ca="1" si="9"/>
        <v>2.8101245267130315E-2</v>
      </c>
    </row>
    <row r="504" spans="2:2" x14ac:dyDescent="0.25">
      <c r="B504" s="47">
        <f t="shared" ca="1" si="9"/>
        <v>0.32326225042107049</v>
      </c>
    </row>
    <row r="505" spans="2:2" x14ac:dyDescent="0.25">
      <c r="B505" s="47">
        <f t="shared" ca="1" si="9"/>
        <v>0.96446357702814922</v>
      </c>
    </row>
    <row r="506" spans="2:2" x14ac:dyDescent="0.25">
      <c r="B506" s="47">
        <f t="shared" ca="1" si="9"/>
        <v>0.76462980812362003</v>
      </c>
    </row>
    <row r="507" spans="2:2" x14ac:dyDescent="0.25">
      <c r="B507" s="47">
        <f t="shared" ca="1" si="9"/>
        <v>0.75037584061076668</v>
      </c>
    </row>
    <row r="508" spans="2:2" x14ac:dyDescent="0.25">
      <c r="B508" s="47">
        <f t="shared" ca="1" si="9"/>
        <v>7.1452193463656166E-2</v>
      </c>
    </row>
    <row r="509" spans="2:2" x14ac:dyDescent="0.25">
      <c r="B509" s="47">
        <f t="shared" ca="1" si="9"/>
        <v>0.83834380928063568</v>
      </c>
    </row>
    <row r="510" spans="2:2" x14ac:dyDescent="0.25">
      <c r="B510" s="47">
        <f t="shared" ca="1" si="9"/>
        <v>0.94938012418561202</v>
      </c>
    </row>
    <row r="511" spans="2:2" x14ac:dyDescent="0.25">
      <c r="B511" s="47">
        <f t="shared" ca="1" si="9"/>
        <v>0.66922362107063893</v>
      </c>
    </row>
    <row r="512" spans="2:2" x14ac:dyDescent="0.25">
      <c r="B512" s="47">
        <f t="shared" ca="1" si="9"/>
        <v>0.20549717747410778</v>
      </c>
    </row>
    <row r="513" spans="2:2" x14ac:dyDescent="0.25">
      <c r="B513" s="47">
        <f t="shared" ca="1" si="9"/>
        <v>0.12597989215775618</v>
      </c>
    </row>
    <row r="514" spans="2:2" x14ac:dyDescent="0.25">
      <c r="B514" s="47">
        <f t="shared" ca="1" si="9"/>
        <v>0.63413888264667695</v>
      </c>
    </row>
    <row r="515" spans="2:2" x14ac:dyDescent="0.25">
      <c r="B515" s="47">
        <f t="shared" ca="1" si="9"/>
        <v>5.27311838828457E-2</v>
      </c>
    </row>
    <row r="516" spans="2:2" x14ac:dyDescent="0.25">
      <c r="B516" s="47">
        <f t="shared" ca="1" si="9"/>
        <v>0.24452077931136118</v>
      </c>
    </row>
    <row r="517" spans="2:2" x14ac:dyDescent="0.25">
      <c r="B517" s="47">
        <f t="shared" ca="1" si="9"/>
        <v>0.62293501318418198</v>
      </c>
    </row>
    <row r="518" spans="2:2" x14ac:dyDescent="0.25">
      <c r="B518" s="47">
        <f t="shared" ca="1" si="9"/>
        <v>4.7267144303946629E-2</v>
      </c>
    </row>
    <row r="519" spans="2:2" x14ac:dyDescent="0.25">
      <c r="B519" s="47">
        <f t="shared" ca="1" si="9"/>
        <v>6.1355650262604589E-2</v>
      </c>
    </row>
    <row r="520" spans="2:2" x14ac:dyDescent="0.25">
      <c r="B520" s="47">
        <f t="shared" ref="B520:B583" ca="1" si="10">RAND()</f>
        <v>0.83836667665928621</v>
      </c>
    </row>
    <row r="521" spans="2:2" x14ac:dyDescent="0.25">
      <c r="B521" s="47">
        <f t="shared" ca="1" si="10"/>
        <v>0.44877655133630145</v>
      </c>
    </row>
    <row r="522" spans="2:2" x14ac:dyDescent="0.25">
      <c r="B522" s="47">
        <f t="shared" ca="1" si="10"/>
        <v>0.32088461078982977</v>
      </c>
    </row>
    <row r="523" spans="2:2" x14ac:dyDescent="0.25">
      <c r="B523" s="47">
        <f t="shared" ca="1" si="10"/>
        <v>0.13604602739200544</v>
      </c>
    </row>
    <row r="524" spans="2:2" x14ac:dyDescent="0.25">
      <c r="B524" s="47">
        <f t="shared" ca="1" si="10"/>
        <v>0.85598439657343006</v>
      </c>
    </row>
    <row r="525" spans="2:2" x14ac:dyDescent="0.25">
      <c r="B525" s="47">
        <f t="shared" ca="1" si="10"/>
        <v>0.11568115799330103</v>
      </c>
    </row>
    <row r="526" spans="2:2" x14ac:dyDescent="0.25">
      <c r="B526" s="47">
        <f t="shared" ca="1" si="10"/>
        <v>0.4125528986924013</v>
      </c>
    </row>
    <row r="527" spans="2:2" x14ac:dyDescent="0.25">
      <c r="B527" s="47">
        <f t="shared" ca="1" si="10"/>
        <v>6.6363286109294317E-2</v>
      </c>
    </row>
    <row r="528" spans="2:2" x14ac:dyDescent="0.25">
      <c r="B528" s="47">
        <f t="shared" ca="1" si="10"/>
        <v>0.50610249404957708</v>
      </c>
    </row>
    <row r="529" spans="2:2" x14ac:dyDescent="0.25">
      <c r="B529" s="47">
        <f t="shared" ca="1" si="10"/>
        <v>0.93503094059235781</v>
      </c>
    </row>
    <row r="530" spans="2:2" x14ac:dyDescent="0.25">
      <c r="B530" s="47">
        <f t="shared" ca="1" si="10"/>
        <v>0.60942450981093144</v>
      </c>
    </row>
    <row r="531" spans="2:2" x14ac:dyDescent="0.25">
      <c r="B531" s="47">
        <f t="shared" ca="1" si="10"/>
        <v>0.48318199645633397</v>
      </c>
    </row>
    <row r="532" spans="2:2" x14ac:dyDescent="0.25">
      <c r="B532" s="47">
        <f t="shared" ca="1" si="10"/>
        <v>0.18289460226475873</v>
      </c>
    </row>
    <row r="533" spans="2:2" x14ac:dyDescent="0.25">
      <c r="B533" s="47">
        <f t="shared" ca="1" si="10"/>
        <v>1.9788082501895898E-2</v>
      </c>
    </row>
    <row r="534" spans="2:2" x14ac:dyDescent="0.25">
      <c r="B534" s="47">
        <f t="shared" ca="1" si="10"/>
        <v>0.69733341056188025</v>
      </c>
    </row>
    <row r="535" spans="2:2" x14ac:dyDescent="0.25">
      <c r="B535" s="47">
        <f t="shared" ca="1" si="10"/>
        <v>0.63872880540666377</v>
      </c>
    </row>
    <row r="536" spans="2:2" x14ac:dyDescent="0.25">
      <c r="B536" s="47">
        <f t="shared" ca="1" si="10"/>
        <v>0.46843067933191651</v>
      </c>
    </row>
    <row r="537" spans="2:2" x14ac:dyDescent="0.25">
      <c r="B537" s="47">
        <f t="shared" ca="1" si="10"/>
        <v>0.95824785437968951</v>
      </c>
    </row>
    <row r="538" spans="2:2" x14ac:dyDescent="0.25">
      <c r="B538" s="47">
        <f t="shared" ca="1" si="10"/>
        <v>0.74421989876845895</v>
      </c>
    </row>
    <row r="539" spans="2:2" x14ac:dyDescent="0.25">
      <c r="B539" s="47">
        <f t="shared" ca="1" si="10"/>
        <v>0.95233252059857987</v>
      </c>
    </row>
    <row r="540" spans="2:2" x14ac:dyDescent="0.25">
      <c r="B540" s="47">
        <f t="shared" ca="1" si="10"/>
        <v>0.86767560484750905</v>
      </c>
    </row>
    <row r="541" spans="2:2" x14ac:dyDescent="0.25">
      <c r="B541" s="47">
        <f t="shared" ca="1" si="10"/>
        <v>0.23535516061221429</v>
      </c>
    </row>
    <row r="542" spans="2:2" x14ac:dyDescent="0.25">
      <c r="B542" s="47">
        <f t="shared" ca="1" si="10"/>
        <v>0.98111474366448703</v>
      </c>
    </row>
    <row r="543" spans="2:2" x14ac:dyDescent="0.25">
      <c r="B543" s="47">
        <f t="shared" ca="1" si="10"/>
        <v>0.4021781114425983</v>
      </c>
    </row>
    <row r="544" spans="2:2" x14ac:dyDescent="0.25">
      <c r="B544" s="47">
        <f t="shared" ca="1" si="10"/>
        <v>0.58144066366806968</v>
      </c>
    </row>
    <row r="545" spans="2:2" x14ac:dyDescent="0.25">
      <c r="B545" s="47">
        <f t="shared" ca="1" si="10"/>
        <v>0.79483388932530741</v>
      </c>
    </row>
    <row r="546" spans="2:2" x14ac:dyDescent="0.25">
      <c r="B546" s="47">
        <f t="shared" ca="1" si="10"/>
        <v>0.10392923450686675</v>
      </c>
    </row>
    <row r="547" spans="2:2" x14ac:dyDescent="0.25">
      <c r="B547" s="47">
        <f t="shared" ca="1" si="10"/>
        <v>0.3441466531406725</v>
      </c>
    </row>
    <row r="548" spans="2:2" x14ac:dyDescent="0.25">
      <c r="B548" s="47">
        <f t="shared" ca="1" si="10"/>
        <v>0.21171407675416398</v>
      </c>
    </row>
    <row r="549" spans="2:2" x14ac:dyDescent="0.25">
      <c r="B549" s="47">
        <f t="shared" ca="1" si="10"/>
        <v>0.24058662835336819</v>
      </c>
    </row>
    <row r="550" spans="2:2" x14ac:dyDescent="0.25">
      <c r="B550" s="47">
        <f t="shared" ca="1" si="10"/>
        <v>0.4771165828945555</v>
      </c>
    </row>
    <row r="551" spans="2:2" x14ac:dyDescent="0.25">
      <c r="B551" s="47">
        <f t="shared" ca="1" si="10"/>
        <v>0.69358927759973454</v>
      </c>
    </row>
    <row r="552" spans="2:2" x14ac:dyDescent="0.25">
      <c r="B552" s="47">
        <f t="shared" ca="1" si="10"/>
        <v>1.8790152328762577E-3</v>
      </c>
    </row>
    <row r="553" spans="2:2" x14ac:dyDescent="0.25">
      <c r="B553" s="47">
        <f t="shared" ca="1" si="10"/>
        <v>0.36386095322561929</v>
      </c>
    </row>
    <row r="554" spans="2:2" x14ac:dyDescent="0.25">
      <c r="B554" s="47">
        <f t="shared" ca="1" si="10"/>
        <v>0.89897139727280373</v>
      </c>
    </row>
    <row r="555" spans="2:2" x14ac:dyDescent="0.25">
      <c r="B555" s="47">
        <f t="shared" ca="1" si="10"/>
        <v>0.91882389240820928</v>
      </c>
    </row>
    <row r="556" spans="2:2" x14ac:dyDescent="0.25">
      <c r="B556" s="47">
        <f t="shared" ca="1" si="10"/>
        <v>0.41479440990713512</v>
      </c>
    </row>
    <row r="557" spans="2:2" x14ac:dyDescent="0.25">
      <c r="B557" s="47">
        <f t="shared" ca="1" si="10"/>
        <v>0.6775333421383446</v>
      </c>
    </row>
    <row r="558" spans="2:2" x14ac:dyDescent="0.25">
      <c r="B558" s="47">
        <f t="shared" ca="1" si="10"/>
        <v>0.5942271775364526</v>
      </c>
    </row>
    <row r="559" spans="2:2" x14ac:dyDescent="0.25">
      <c r="B559" s="47">
        <f t="shared" ca="1" si="10"/>
        <v>0.462148063990096</v>
      </c>
    </row>
    <row r="560" spans="2:2" x14ac:dyDescent="0.25">
      <c r="B560" s="47">
        <f t="shared" ca="1" si="10"/>
        <v>0.38289164109610407</v>
      </c>
    </row>
    <row r="561" spans="2:2" x14ac:dyDescent="0.25">
      <c r="B561" s="47">
        <f t="shared" ca="1" si="10"/>
        <v>0.22429778393704947</v>
      </c>
    </row>
    <row r="562" spans="2:2" x14ac:dyDescent="0.25">
      <c r="B562" s="47">
        <f t="shared" ca="1" si="10"/>
        <v>0.82115483732251304</v>
      </c>
    </row>
    <row r="563" spans="2:2" x14ac:dyDescent="0.25">
      <c r="B563" s="47">
        <f t="shared" ca="1" si="10"/>
        <v>0.50687523798484735</v>
      </c>
    </row>
    <row r="564" spans="2:2" x14ac:dyDescent="0.25">
      <c r="B564" s="47">
        <f t="shared" ca="1" si="10"/>
        <v>0.46043116754504165</v>
      </c>
    </row>
    <row r="565" spans="2:2" x14ac:dyDescent="0.25">
      <c r="B565" s="47">
        <f t="shared" ca="1" si="10"/>
        <v>0.20334411916484385</v>
      </c>
    </row>
    <row r="566" spans="2:2" x14ac:dyDescent="0.25">
      <c r="B566" s="47">
        <f t="shared" ca="1" si="10"/>
        <v>0.69237308610221338</v>
      </c>
    </row>
    <row r="567" spans="2:2" x14ac:dyDescent="0.25">
      <c r="B567" s="47">
        <f t="shared" ca="1" si="10"/>
        <v>0.39310509511648906</v>
      </c>
    </row>
    <row r="568" spans="2:2" x14ac:dyDescent="0.25">
      <c r="B568" s="47">
        <f t="shared" ca="1" si="10"/>
        <v>0.26869639261629841</v>
      </c>
    </row>
    <row r="569" spans="2:2" x14ac:dyDescent="0.25">
      <c r="B569" s="47">
        <f t="shared" ca="1" si="10"/>
        <v>8.2001503895169914E-2</v>
      </c>
    </row>
    <row r="570" spans="2:2" x14ac:dyDescent="0.25">
      <c r="B570" s="47">
        <f t="shared" ca="1" si="10"/>
        <v>0.53319468086706079</v>
      </c>
    </row>
    <row r="571" spans="2:2" x14ac:dyDescent="0.25">
      <c r="B571" s="47">
        <f t="shared" ca="1" si="10"/>
        <v>0.61775809884500821</v>
      </c>
    </row>
    <row r="572" spans="2:2" x14ac:dyDescent="0.25">
      <c r="B572" s="47">
        <f t="shared" ca="1" si="10"/>
        <v>0.88363235175052868</v>
      </c>
    </row>
    <row r="573" spans="2:2" x14ac:dyDescent="0.25">
      <c r="B573" s="47">
        <f t="shared" ca="1" si="10"/>
        <v>0.60197908277644008</v>
      </c>
    </row>
    <row r="574" spans="2:2" x14ac:dyDescent="0.25">
      <c r="B574" s="47">
        <f t="shared" ca="1" si="10"/>
        <v>0.40342903208370251</v>
      </c>
    </row>
    <row r="575" spans="2:2" x14ac:dyDescent="0.25">
      <c r="B575" s="47">
        <f t="shared" ca="1" si="10"/>
        <v>0.32805504633389604</v>
      </c>
    </row>
    <row r="576" spans="2:2" x14ac:dyDescent="0.25">
      <c r="B576" s="47">
        <f t="shared" ca="1" si="10"/>
        <v>0.15382762475252698</v>
      </c>
    </row>
    <row r="577" spans="2:2" x14ac:dyDescent="0.25">
      <c r="B577" s="47">
        <f t="shared" ca="1" si="10"/>
        <v>0.13740641245216301</v>
      </c>
    </row>
    <row r="578" spans="2:2" x14ac:dyDescent="0.25">
      <c r="B578" s="47">
        <f t="shared" ca="1" si="10"/>
        <v>0.98974517730544642</v>
      </c>
    </row>
    <row r="579" spans="2:2" x14ac:dyDescent="0.25">
      <c r="B579" s="47">
        <f t="shared" ca="1" si="10"/>
        <v>0.27671813529333333</v>
      </c>
    </row>
    <row r="580" spans="2:2" x14ac:dyDescent="0.25">
      <c r="B580" s="47">
        <f t="shared" ca="1" si="10"/>
        <v>9.1032751948249224E-2</v>
      </c>
    </row>
    <row r="581" spans="2:2" x14ac:dyDescent="0.25">
      <c r="B581" s="47">
        <f t="shared" ca="1" si="10"/>
        <v>0.31327756305902721</v>
      </c>
    </row>
    <row r="582" spans="2:2" x14ac:dyDescent="0.25">
      <c r="B582" s="47">
        <f t="shared" ca="1" si="10"/>
        <v>0.14109154051280948</v>
      </c>
    </row>
    <row r="583" spans="2:2" x14ac:dyDescent="0.25">
      <c r="B583" s="47">
        <f t="shared" ca="1" si="10"/>
        <v>0.13378417106476548</v>
      </c>
    </row>
    <row r="584" spans="2:2" x14ac:dyDescent="0.25">
      <c r="B584" s="47">
        <f t="shared" ref="B584:B647" ca="1" si="11">RAND()</f>
        <v>0.42523872342720637</v>
      </c>
    </row>
    <row r="585" spans="2:2" x14ac:dyDescent="0.25">
      <c r="B585" s="47">
        <f t="shared" ca="1" si="11"/>
        <v>0.24499911347916459</v>
      </c>
    </row>
    <row r="586" spans="2:2" x14ac:dyDescent="0.25">
      <c r="B586" s="47">
        <f t="shared" ca="1" si="11"/>
        <v>0.35909426805468025</v>
      </c>
    </row>
    <row r="587" spans="2:2" x14ac:dyDescent="0.25">
      <c r="B587" s="47">
        <f t="shared" ca="1" si="11"/>
        <v>0.5969089043682313</v>
      </c>
    </row>
    <row r="588" spans="2:2" x14ac:dyDescent="0.25">
      <c r="B588" s="47">
        <f t="shared" ca="1" si="11"/>
        <v>0.94769193828849596</v>
      </c>
    </row>
    <row r="589" spans="2:2" x14ac:dyDescent="0.25">
      <c r="B589" s="47">
        <f t="shared" ca="1" si="11"/>
        <v>0.94670960654748137</v>
      </c>
    </row>
    <row r="590" spans="2:2" x14ac:dyDescent="0.25">
      <c r="B590" s="47">
        <f t="shared" ca="1" si="11"/>
        <v>0.78235400488678386</v>
      </c>
    </row>
    <row r="591" spans="2:2" x14ac:dyDescent="0.25">
      <c r="B591" s="47">
        <f t="shared" ca="1" si="11"/>
        <v>0.64141328272782849</v>
      </c>
    </row>
    <row r="592" spans="2:2" x14ac:dyDescent="0.25">
      <c r="B592" s="47">
        <f t="shared" ca="1" si="11"/>
        <v>0.53131863988421379</v>
      </c>
    </row>
    <row r="593" spans="2:2" x14ac:dyDescent="0.25">
      <c r="B593" s="47">
        <f t="shared" ca="1" si="11"/>
        <v>0.81322217779984851</v>
      </c>
    </row>
    <row r="594" spans="2:2" x14ac:dyDescent="0.25">
      <c r="B594" s="47">
        <f t="shared" ca="1" si="11"/>
        <v>0.8621086392680809</v>
      </c>
    </row>
    <row r="595" spans="2:2" x14ac:dyDescent="0.25">
      <c r="B595" s="47">
        <f t="shared" ca="1" si="11"/>
        <v>0.24654934211513324</v>
      </c>
    </row>
    <row r="596" spans="2:2" x14ac:dyDescent="0.25">
      <c r="B596" s="47">
        <f t="shared" ca="1" si="11"/>
        <v>0.91867668753178056</v>
      </c>
    </row>
    <row r="597" spans="2:2" x14ac:dyDescent="0.25">
      <c r="B597" s="47">
        <f t="shared" ca="1" si="11"/>
        <v>0.99899174840936622</v>
      </c>
    </row>
    <row r="598" spans="2:2" x14ac:dyDescent="0.25">
      <c r="B598" s="47">
        <f t="shared" ca="1" si="11"/>
        <v>0.44549600584285987</v>
      </c>
    </row>
    <row r="599" spans="2:2" x14ac:dyDescent="0.25">
      <c r="B599" s="47">
        <f t="shared" ca="1" si="11"/>
        <v>0.16208907064035516</v>
      </c>
    </row>
    <row r="600" spans="2:2" x14ac:dyDescent="0.25">
      <c r="B600" s="47">
        <f t="shared" ca="1" si="11"/>
        <v>0.7446082937059606</v>
      </c>
    </row>
    <row r="601" spans="2:2" x14ac:dyDescent="0.25">
      <c r="B601" s="47">
        <f t="shared" ca="1" si="11"/>
        <v>0.94141222707488037</v>
      </c>
    </row>
    <row r="602" spans="2:2" x14ac:dyDescent="0.25">
      <c r="B602" s="47">
        <f t="shared" ca="1" si="11"/>
        <v>0.76622878593953681</v>
      </c>
    </row>
    <row r="603" spans="2:2" x14ac:dyDescent="0.25">
      <c r="B603" s="47">
        <f t="shared" ca="1" si="11"/>
        <v>0.65350378893341621</v>
      </c>
    </row>
    <row r="604" spans="2:2" x14ac:dyDescent="0.25">
      <c r="B604" s="47">
        <f t="shared" ca="1" si="11"/>
        <v>0.39096914239684843</v>
      </c>
    </row>
    <row r="605" spans="2:2" x14ac:dyDescent="0.25">
      <c r="B605" s="47">
        <f t="shared" ca="1" si="11"/>
        <v>0.46327576695775874</v>
      </c>
    </row>
    <row r="606" spans="2:2" x14ac:dyDescent="0.25">
      <c r="B606" s="47">
        <f t="shared" ca="1" si="11"/>
        <v>0.77139976323634751</v>
      </c>
    </row>
    <row r="607" spans="2:2" x14ac:dyDescent="0.25">
      <c r="B607" s="47">
        <f t="shared" ca="1" si="11"/>
        <v>0.81231193352025977</v>
      </c>
    </row>
    <row r="608" spans="2:2" x14ac:dyDescent="0.25">
      <c r="B608" s="47">
        <f t="shared" ca="1" si="11"/>
        <v>0.72284871174743393</v>
      </c>
    </row>
    <row r="609" spans="2:2" x14ac:dyDescent="0.25">
      <c r="B609" s="47">
        <f t="shared" ca="1" si="11"/>
        <v>0.46017013460592893</v>
      </c>
    </row>
    <row r="610" spans="2:2" x14ac:dyDescent="0.25">
      <c r="B610" s="47">
        <f t="shared" ca="1" si="11"/>
        <v>0.79824081460185359</v>
      </c>
    </row>
    <row r="611" spans="2:2" x14ac:dyDescent="0.25">
      <c r="B611" s="47">
        <f t="shared" ca="1" si="11"/>
        <v>0.19544400065516399</v>
      </c>
    </row>
    <row r="612" spans="2:2" x14ac:dyDescent="0.25">
      <c r="B612" s="47">
        <f t="shared" ca="1" si="11"/>
        <v>0.6695123373004872</v>
      </c>
    </row>
    <row r="613" spans="2:2" x14ac:dyDescent="0.25">
      <c r="B613" s="47">
        <f t="shared" ca="1" si="11"/>
        <v>0.43786834359458859</v>
      </c>
    </row>
    <row r="614" spans="2:2" x14ac:dyDescent="0.25">
      <c r="B614" s="47">
        <f t="shared" ca="1" si="11"/>
        <v>0.6533157701632375</v>
      </c>
    </row>
    <row r="615" spans="2:2" x14ac:dyDescent="0.25">
      <c r="B615" s="47">
        <f t="shared" ca="1" si="11"/>
        <v>0.34770685267840384</v>
      </c>
    </row>
    <row r="616" spans="2:2" x14ac:dyDescent="0.25">
      <c r="B616" s="47">
        <f t="shared" ca="1" si="11"/>
        <v>0.86661990848828707</v>
      </c>
    </row>
    <row r="617" spans="2:2" x14ac:dyDescent="0.25">
      <c r="B617" s="47">
        <f t="shared" ca="1" si="11"/>
        <v>0.70150245282393597</v>
      </c>
    </row>
    <row r="618" spans="2:2" x14ac:dyDescent="0.25">
      <c r="B618" s="47">
        <f t="shared" ca="1" si="11"/>
        <v>0.42177198892672441</v>
      </c>
    </row>
    <row r="619" spans="2:2" x14ac:dyDescent="0.25">
      <c r="B619" s="47">
        <f t="shared" ca="1" si="11"/>
        <v>9.066436154200086E-2</v>
      </c>
    </row>
    <row r="620" spans="2:2" x14ac:dyDescent="0.25">
      <c r="B620" s="47">
        <f t="shared" ca="1" si="11"/>
        <v>0.16307138705876245</v>
      </c>
    </row>
    <row r="621" spans="2:2" x14ac:dyDescent="0.25">
      <c r="B621" s="47">
        <f t="shared" ca="1" si="11"/>
        <v>0.58485338576932899</v>
      </c>
    </row>
    <row r="622" spans="2:2" x14ac:dyDescent="0.25">
      <c r="B622" s="47">
        <f t="shared" ca="1" si="11"/>
        <v>0.34972683458364417</v>
      </c>
    </row>
    <row r="623" spans="2:2" x14ac:dyDescent="0.25">
      <c r="B623" s="47">
        <f t="shared" ca="1" si="11"/>
        <v>0.25467746891923215</v>
      </c>
    </row>
    <row r="624" spans="2:2" x14ac:dyDescent="0.25">
      <c r="B624" s="47">
        <f t="shared" ca="1" si="11"/>
        <v>0.46654551499488495</v>
      </c>
    </row>
    <row r="625" spans="2:2" x14ac:dyDescent="0.25">
      <c r="B625" s="47">
        <f t="shared" ca="1" si="11"/>
        <v>0.86496399380671873</v>
      </c>
    </row>
    <row r="626" spans="2:2" x14ac:dyDescent="0.25">
      <c r="B626" s="47">
        <f t="shared" ca="1" si="11"/>
        <v>0.68887414307962458</v>
      </c>
    </row>
    <row r="627" spans="2:2" x14ac:dyDescent="0.25">
      <c r="B627" s="47">
        <f t="shared" ca="1" si="11"/>
        <v>0.1023023213495633</v>
      </c>
    </row>
    <row r="628" spans="2:2" x14ac:dyDescent="0.25">
      <c r="B628" s="47">
        <f t="shared" ca="1" si="11"/>
        <v>0.34515477031328501</v>
      </c>
    </row>
    <row r="629" spans="2:2" x14ac:dyDescent="0.25">
      <c r="B629" s="47">
        <f t="shared" ca="1" si="11"/>
        <v>0.93906016485342603</v>
      </c>
    </row>
    <row r="630" spans="2:2" x14ac:dyDescent="0.25">
      <c r="B630" s="47">
        <f t="shared" ca="1" si="11"/>
        <v>0.11224834901046732</v>
      </c>
    </row>
    <row r="631" spans="2:2" x14ac:dyDescent="0.25">
      <c r="B631" s="47">
        <f t="shared" ca="1" si="11"/>
        <v>0.93992574084483471</v>
      </c>
    </row>
    <row r="632" spans="2:2" x14ac:dyDescent="0.25">
      <c r="B632" s="47">
        <f t="shared" ca="1" si="11"/>
        <v>0.7626462591246187</v>
      </c>
    </row>
    <row r="633" spans="2:2" x14ac:dyDescent="0.25">
      <c r="B633" s="47">
        <f t="shared" ca="1" si="11"/>
        <v>0.44986183808101399</v>
      </c>
    </row>
    <row r="634" spans="2:2" x14ac:dyDescent="0.25">
      <c r="B634" s="47">
        <f t="shared" ca="1" si="11"/>
        <v>9.3641338533586582E-2</v>
      </c>
    </row>
    <row r="635" spans="2:2" x14ac:dyDescent="0.25">
      <c r="B635" s="47">
        <f t="shared" ca="1" si="11"/>
        <v>0.61851340771826835</v>
      </c>
    </row>
    <row r="636" spans="2:2" x14ac:dyDescent="0.25">
      <c r="B636" s="47">
        <f t="shared" ca="1" si="11"/>
        <v>8.9137570691055545E-2</v>
      </c>
    </row>
    <row r="637" spans="2:2" x14ac:dyDescent="0.25">
      <c r="B637" s="47">
        <f t="shared" ca="1" si="11"/>
        <v>0.63204268659971452</v>
      </c>
    </row>
    <row r="638" spans="2:2" x14ac:dyDescent="0.25">
      <c r="B638" s="47">
        <f t="shared" ca="1" si="11"/>
        <v>0.13459079128377061</v>
      </c>
    </row>
    <row r="639" spans="2:2" x14ac:dyDescent="0.25">
      <c r="B639" s="47">
        <f t="shared" ca="1" si="11"/>
        <v>0.71493072793863166</v>
      </c>
    </row>
    <row r="640" spans="2:2" x14ac:dyDescent="0.25">
      <c r="B640" s="47">
        <f t="shared" ca="1" si="11"/>
        <v>0.53148308859219673</v>
      </c>
    </row>
    <row r="641" spans="2:2" x14ac:dyDescent="0.25">
      <c r="B641" s="47">
        <f t="shared" ca="1" si="11"/>
        <v>7.4526098372052596E-2</v>
      </c>
    </row>
    <row r="642" spans="2:2" x14ac:dyDescent="0.25">
      <c r="B642" s="47">
        <f t="shared" ca="1" si="11"/>
        <v>0.46159784707194007</v>
      </c>
    </row>
    <row r="643" spans="2:2" x14ac:dyDescent="0.25">
      <c r="B643" s="47">
        <f t="shared" ca="1" si="11"/>
        <v>0.52489005677994882</v>
      </c>
    </row>
    <row r="644" spans="2:2" x14ac:dyDescent="0.25">
      <c r="B644" s="47">
        <f t="shared" ca="1" si="11"/>
        <v>0.16222708864629898</v>
      </c>
    </row>
    <row r="645" spans="2:2" x14ac:dyDescent="0.25">
      <c r="B645" s="47">
        <f t="shared" ca="1" si="11"/>
        <v>0.51606028043201135</v>
      </c>
    </row>
    <row r="646" spans="2:2" x14ac:dyDescent="0.25">
      <c r="B646" s="47">
        <f t="shared" ca="1" si="11"/>
        <v>0.69767580302188281</v>
      </c>
    </row>
    <row r="647" spans="2:2" x14ac:dyDescent="0.25">
      <c r="B647" s="47">
        <f t="shared" ca="1" si="11"/>
        <v>0.84479100656711914</v>
      </c>
    </row>
    <row r="648" spans="2:2" x14ac:dyDescent="0.25">
      <c r="B648" s="47">
        <f t="shared" ref="B648:B711" ca="1" si="12">RAND()</f>
        <v>0.13810572968827639</v>
      </c>
    </row>
    <row r="649" spans="2:2" x14ac:dyDescent="0.25">
      <c r="B649" s="47">
        <f t="shared" ca="1" si="12"/>
        <v>0.49892420602847509</v>
      </c>
    </row>
    <row r="650" spans="2:2" x14ac:dyDescent="0.25">
      <c r="B650" s="47">
        <f t="shared" ca="1" si="12"/>
        <v>0.94567407733431685</v>
      </c>
    </row>
    <row r="651" spans="2:2" x14ac:dyDescent="0.25">
      <c r="B651" s="47">
        <f t="shared" ca="1" si="12"/>
        <v>0.69988079068577125</v>
      </c>
    </row>
    <row r="652" spans="2:2" x14ac:dyDescent="0.25">
      <c r="B652" s="47">
        <f t="shared" ca="1" si="12"/>
        <v>0.10357794163837897</v>
      </c>
    </row>
    <row r="653" spans="2:2" x14ac:dyDescent="0.25">
      <c r="B653" s="47">
        <f t="shared" ca="1" si="12"/>
        <v>0.73603655732651352</v>
      </c>
    </row>
    <row r="654" spans="2:2" x14ac:dyDescent="0.25">
      <c r="B654" s="47">
        <f t="shared" ca="1" si="12"/>
        <v>0.44553026389052441</v>
      </c>
    </row>
    <row r="655" spans="2:2" x14ac:dyDescent="0.25">
      <c r="B655" s="47">
        <f t="shared" ca="1" si="12"/>
        <v>0.91063681731145418</v>
      </c>
    </row>
    <row r="656" spans="2:2" x14ac:dyDescent="0.25">
      <c r="B656" s="47">
        <f t="shared" ca="1" si="12"/>
        <v>0.9725573513008221</v>
      </c>
    </row>
    <row r="657" spans="2:2" x14ac:dyDescent="0.25">
      <c r="B657" s="47">
        <f t="shared" ca="1" si="12"/>
        <v>0.28839294404338833</v>
      </c>
    </row>
    <row r="658" spans="2:2" x14ac:dyDescent="0.25">
      <c r="B658" s="47">
        <f t="shared" ca="1" si="12"/>
        <v>0.14986098318863139</v>
      </c>
    </row>
    <row r="659" spans="2:2" x14ac:dyDescent="0.25">
      <c r="B659" s="47">
        <f t="shared" ca="1" si="12"/>
        <v>0.12304143276965684</v>
      </c>
    </row>
    <row r="660" spans="2:2" x14ac:dyDescent="0.25">
      <c r="B660" s="47">
        <f t="shared" ca="1" si="12"/>
        <v>0.78662769782766417</v>
      </c>
    </row>
    <row r="661" spans="2:2" x14ac:dyDescent="0.25">
      <c r="B661" s="47">
        <f t="shared" ca="1" si="12"/>
        <v>0.19858727666182785</v>
      </c>
    </row>
    <row r="662" spans="2:2" x14ac:dyDescent="0.25">
      <c r="B662" s="47">
        <f t="shared" ca="1" si="12"/>
        <v>0.21556160498009713</v>
      </c>
    </row>
    <row r="663" spans="2:2" x14ac:dyDescent="0.25">
      <c r="B663" s="47">
        <f t="shared" ca="1" si="12"/>
        <v>0.61968102637650324</v>
      </c>
    </row>
    <row r="664" spans="2:2" x14ac:dyDescent="0.25">
      <c r="B664" s="47">
        <f t="shared" ca="1" si="12"/>
        <v>0.97617590646437224</v>
      </c>
    </row>
    <row r="665" spans="2:2" x14ac:dyDescent="0.25">
      <c r="B665" s="47">
        <f t="shared" ca="1" si="12"/>
        <v>0.1091931985455562</v>
      </c>
    </row>
    <row r="666" spans="2:2" x14ac:dyDescent="0.25">
      <c r="B666" s="47">
        <f t="shared" ca="1" si="12"/>
        <v>0.69498437224338228</v>
      </c>
    </row>
    <row r="667" spans="2:2" x14ac:dyDescent="0.25">
      <c r="B667" s="47">
        <f t="shared" ca="1" si="12"/>
        <v>0.80377613822890082</v>
      </c>
    </row>
    <row r="668" spans="2:2" x14ac:dyDescent="0.25">
      <c r="B668" s="47">
        <f t="shared" ca="1" si="12"/>
        <v>0.53024464173562014</v>
      </c>
    </row>
    <row r="669" spans="2:2" x14ac:dyDescent="0.25">
      <c r="B669" s="47">
        <f t="shared" ca="1" si="12"/>
        <v>0.22128913422504159</v>
      </c>
    </row>
    <row r="670" spans="2:2" x14ac:dyDescent="0.25">
      <c r="B670" s="47">
        <f t="shared" ca="1" si="12"/>
        <v>0.45792004550201815</v>
      </c>
    </row>
    <row r="671" spans="2:2" x14ac:dyDescent="0.25">
      <c r="B671" s="47">
        <f t="shared" ca="1" si="12"/>
        <v>0.17682620907454238</v>
      </c>
    </row>
    <row r="672" spans="2:2" x14ac:dyDescent="0.25">
      <c r="B672" s="47">
        <f t="shared" ca="1" si="12"/>
        <v>4.3959329931069213E-2</v>
      </c>
    </row>
    <row r="673" spans="2:2" x14ac:dyDescent="0.25">
      <c r="B673" s="47">
        <f t="shared" ca="1" si="12"/>
        <v>0.70935417369220399</v>
      </c>
    </row>
    <row r="674" spans="2:2" x14ac:dyDescent="0.25">
      <c r="B674" s="47">
        <f t="shared" ca="1" si="12"/>
        <v>0.21255374922584447</v>
      </c>
    </row>
    <row r="675" spans="2:2" x14ac:dyDescent="0.25">
      <c r="B675" s="47">
        <f t="shared" ca="1" si="12"/>
        <v>0.27149543997890713</v>
      </c>
    </row>
    <row r="676" spans="2:2" x14ac:dyDescent="0.25">
      <c r="B676" s="47">
        <f t="shared" ca="1" si="12"/>
        <v>0.26395700941449629</v>
      </c>
    </row>
    <row r="677" spans="2:2" x14ac:dyDescent="0.25">
      <c r="B677" s="47">
        <f t="shared" ca="1" si="12"/>
        <v>0.21380829330280737</v>
      </c>
    </row>
    <row r="678" spans="2:2" x14ac:dyDescent="0.25">
      <c r="B678" s="47">
        <f t="shared" ca="1" si="12"/>
        <v>6.0775210680525271E-2</v>
      </c>
    </row>
    <row r="679" spans="2:2" x14ac:dyDescent="0.25">
      <c r="B679" s="47">
        <f t="shared" ca="1" si="12"/>
        <v>0.55564556617112082</v>
      </c>
    </row>
    <row r="680" spans="2:2" x14ac:dyDescent="0.25">
      <c r="B680" s="47">
        <f t="shared" ca="1" si="12"/>
        <v>0.42938963998865542</v>
      </c>
    </row>
    <row r="681" spans="2:2" x14ac:dyDescent="0.25">
      <c r="B681" s="47">
        <f t="shared" ca="1" si="12"/>
        <v>0.71758164555600801</v>
      </c>
    </row>
    <row r="682" spans="2:2" x14ac:dyDescent="0.25">
      <c r="B682" s="47">
        <f t="shared" ca="1" si="12"/>
        <v>8.104317123947502E-2</v>
      </c>
    </row>
    <row r="683" spans="2:2" x14ac:dyDescent="0.25">
      <c r="B683" s="47">
        <f t="shared" ca="1" si="12"/>
        <v>0.80584033529980004</v>
      </c>
    </row>
    <row r="684" spans="2:2" x14ac:dyDescent="0.25">
      <c r="B684" s="47">
        <f t="shared" ca="1" si="12"/>
        <v>0.94144339257418086</v>
      </c>
    </row>
    <row r="685" spans="2:2" x14ac:dyDescent="0.25">
      <c r="B685" s="47">
        <f t="shared" ca="1" si="12"/>
        <v>0.19029784730872501</v>
      </c>
    </row>
    <row r="686" spans="2:2" x14ac:dyDescent="0.25">
      <c r="B686" s="47">
        <f t="shared" ca="1" si="12"/>
        <v>0.60713696236729664</v>
      </c>
    </row>
    <row r="687" spans="2:2" x14ac:dyDescent="0.25">
      <c r="B687" s="47">
        <f t="shared" ca="1" si="12"/>
        <v>0.46761548932980146</v>
      </c>
    </row>
    <row r="688" spans="2:2" x14ac:dyDescent="0.25">
      <c r="B688" s="47">
        <f t="shared" ca="1" si="12"/>
        <v>0.27468535137754801</v>
      </c>
    </row>
    <row r="689" spans="2:2" x14ac:dyDescent="0.25">
      <c r="B689" s="47">
        <f t="shared" ca="1" si="12"/>
        <v>0.44241602178705597</v>
      </c>
    </row>
    <row r="690" spans="2:2" x14ac:dyDescent="0.25">
      <c r="B690" s="47">
        <f t="shared" ca="1" si="12"/>
        <v>0.31388910683097482</v>
      </c>
    </row>
    <row r="691" spans="2:2" x14ac:dyDescent="0.25">
      <c r="B691" s="47">
        <f t="shared" ca="1" si="12"/>
        <v>0.4166013908084033</v>
      </c>
    </row>
    <row r="692" spans="2:2" x14ac:dyDescent="0.25">
      <c r="B692" s="47">
        <f t="shared" ca="1" si="12"/>
        <v>0.8438253277187433</v>
      </c>
    </row>
    <row r="693" spans="2:2" x14ac:dyDescent="0.25">
      <c r="B693" s="47">
        <f t="shared" ca="1" si="12"/>
        <v>0.25045468781056479</v>
      </c>
    </row>
    <row r="694" spans="2:2" x14ac:dyDescent="0.25">
      <c r="B694" s="47">
        <f t="shared" ca="1" si="12"/>
        <v>0.37625232184832047</v>
      </c>
    </row>
    <row r="695" spans="2:2" x14ac:dyDescent="0.25">
      <c r="B695" s="47">
        <f t="shared" ca="1" si="12"/>
        <v>0.57334373694943308</v>
      </c>
    </row>
    <row r="696" spans="2:2" x14ac:dyDescent="0.25">
      <c r="B696" s="47">
        <f t="shared" ca="1" si="12"/>
        <v>0.9972372080146672</v>
      </c>
    </row>
    <row r="697" spans="2:2" x14ac:dyDescent="0.25">
      <c r="B697" s="47">
        <f t="shared" ca="1" si="12"/>
        <v>3.9000633943308882E-2</v>
      </c>
    </row>
    <row r="698" spans="2:2" x14ac:dyDescent="0.25">
      <c r="B698" s="47">
        <f t="shared" ca="1" si="12"/>
        <v>0.35739450219110258</v>
      </c>
    </row>
    <row r="699" spans="2:2" x14ac:dyDescent="0.25">
      <c r="B699" s="47">
        <f t="shared" ca="1" si="12"/>
        <v>0.2581340863519298</v>
      </c>
    </row>
    <row r="700" spans="2:2" x14ac:dyDescent="0.25">
      <c r="B700" s="47">
        <f t="shared" ca="1" si="12"/>
        <v>0.87577676943907845</v>
      </c>
    </row>
    <row r="701" spans="2:2" x14ac:dyDescent="0.25">
      <c r="B701" s="47">
        <f t="shared" ca="1" si="12"/>
        <v>0.70727771593974864</v>
      </c>
    </row>
    <row r="702" spans="2:2" x14ac:dyDescent="0.25">
      <c r="B702" s="47">
        <f t="shared" ca="1" si="12"/>
        <v>1.5150755536336491E-2</v>
      </c>
    </row>
    <row r="703" spans="2:2" x14ac:dyDescent="0.25">
      <c r="B703" s="47">
        <f t="shared" ca="1" si="12"/>
        <v>0.11358540480801671</v>
      </c>
    </row>
    <row r="704" spans="2:2" x14ac:dyDescent="0.25">
      <c r="B704" s="47">
        <f t="shared" ca="1" si="12"/>
        <v>0.17201115849816395</v>
      </c>
    </row>
    <row r="705" spans="2:2" x14ac:dyDescent="0.25">
      <c r="B705" s="47">
        <f t="shared" ca="1" si="12"/>
        <v>0.17377167558827167</v>
      </c>
    </row>
    <row r="706" spans="2:2" x14ac:dyDescent="0.25">
      <c r="B706" s="47">
        <f t="shared" ca="1" si="12"/>
        <v>0.7309206133169025</v>
      </c>
    </row>
    <row r="707" spans="2:2" x14ac:dyDescent="0.25">
      <c r="B707" s="47">
        <f t="shared" ca="1" si="12"/>
        <v>0.23098044355728564</v>
      </c>
    </row>
    <row r="708" spans="2:2" x14ac:dyDescent="0.25">
      <c r="B708" s="47">
        <f t="shared" ca="1" si="12"/>
        <v>0.92945342007262899</v>
      </c>
    </row>
    <row r="709" spans="2:2" x14ac:dyDescent="0.25">
      <c r="B709" s="47">
        <f t="shared" ca="1" si="12"/>
        <v>0.41968551616125238</v>
      </c>
    </row>
    <row r="710" spans="2:2" x14ac:dyDescent="0.25">
      <c r="B710" s="47">
        <f t="shared" ca="1" si="12"/>
        <v>0.49280948655333878</v>
      </c>
    </row>
    <row r="711" spans="2:2" x14ac:dyDescent="0.25">
      <c r="B711" s="47">
        <f t="shared" ca="1" si="12"/>
        <v>0.37011606338443459</v>
      </c>
    </row>
    <row r="712" spans="2:2" x14ac:dyDescent="0.25">
      <c r="B712" s="47">
        <f t="shared" ref="B712:B775" ca="1" si="13">RAND()</f>
        <v>0.61148663692242256</v>
      </c>
    </row>
    <row r="713" spans="2:2" x14ac:dyDescent="0.25">
      <c r="B713" s="47">
        <f t="shared" ca="1" si="13"/>
        <v>6.0737405320764992E-2</v>
      </c>
    </row>
    <row r="714" spans="2:2" x14ac:dyDescent="0.25">
      <c r="B714" s="47">
        <f t="shared" ca="1" si="13"/>
        <v>0.26946533094189651</v>
      </c>
    </row>
    <row r="715" spans="2:2" x14ac:dyDescent="0.25">
      <c r="B715" s="47">
        <f t="shared" ca="1" si="13"/>
        <v>8.0676495645331636E-2</v>
      </c>
    </row>
    <row r="716" spans="2:2" x14ac:dyDescent="0.25">
      <c r="B716" s="47">
        <f t="shared" ca="1" si="13"/>
        <v>0.95039064919922256</v>
      </c>
    </row>
    <row r="717" spans="2:2" x14ac:dyDescent="0.25">
      <c r="B717" s="47">
        <f t="shared" ca="1" si="13"/>
        <v>0.41737844106496025</v>
      </c>
    </row>
    <row r="718" spans="2:2" x14ac:dyDescent="0.25">
      <c r="B718" s="47">
        <f t="shared" ca="1" si="13"/>
        <v>0.1294227619751025</v>
      </c>
    </row>
    <row r="719" spans="2:2" x14ac:dyDescent="0.25">
      <c r="B719" s="47">
        <f t="shared" ca="1" si="13"/>
        <v>0.80060086019899668</v>
      </c>
    </row>
    <row r="720" spans="2:2" x14ac:dyDescent="0.25">
      <c r="B720" s="47">
        <f t="shared" ca="1" si="13"/>
        <v>0.48788578327004228</v>
      </c>
    </row>
    <row r="721" spans="2:2" x14ac:dyDescent="0.25">
      <c r="B721" s="47">
        <f t="shared" ca="1" si="13"/>
        <v>0.89402349035427231</v>
      </c>
    </row>
    <row r="722" spans="2:2" x14ac:dyDescent="0.25">
      <c r="B722" s="47">
        <f t="shared" ca="1" si="13"/>
        <v>3.837315487604287E-2</v>
      </c>
    </row>
    <row r="723" spans="2:2" x14ac:dyDescent="0.25">
      <c r="B723" s="47">
        <f t="shared" ca="1" si="13"/>
        <v>0.54372876299103479</v>
      </c>
    </row>
    <row r="724" spans="2:2" x14ac:dyDescent="0.25">
      <c r="B724" s="47">
        <f t="shared" ca="1" si="13"/>
        <v>0.73200500852399231</v>
      </c>
    </row>
    <row r="725" spans="2:2" x14ac:dyDescent="0.25">
      <c r="B725" s="47">
        <f t="shared" ca="1" si="13"/>
        <v>0.80105598300054026</v>
      </c>
    </row>
    <row r="726" spans="2:2" x14ac:dyDescent="0.25">
      <c r="B726" s="47">
        <f t="shared" ca="1" si="13"/>
        <v>6.8973468191091403E-2</v>
      </c>
    </row>
    <row r="727" spans="2:2" x14ac:dyDescent="0.25">
      <c r="B727" s="47">
        <f t="shared" ca="1" si="13"/>
        <v>0.98676825059540418</v>
      </c>
    </row>
    <row r="728" spans="2:2" x14ac:dyDescent="0.25">
      <c r="B728" s="47">
        <f t="shared" ca="1" si="13"/>
        <v>0.37615523248983807</v>
      </c>
    </row>
    <row r="729" spans="2:2" x14ac:dyDescent="0.25">
      <c r="B729" s="47">
        <f t="shared" ca="1" si="13"/>
        <v>0.20329657526620615</v>
      </c>
    </row>
    <row r="730" spans="2:2" x14ac:dyDescent="0.25">
      <c r="B730" s="47">
        <f t="shared" ca="1" si="13"/>
        <v>0.99930233389240453</v>
      </c>
    </row>
    <row r="731" spans="2:2" x14ac:dyDescent="0.25">
      <c r="B731" s="47">
        <f t="shared" ca="1" si="13"/>
        <v>0.22757978428609182</v>
      </c>
    </row>
    <row r="732" spans="2:2" x14ac:dyDescent="0.25">
      <c r="B732" s="47">
        <f t="shared" ca="1" si="13"/>
        <v>0.68038847135907143</v>
      </c>
    </row>
    <row r="733" spans="2:2" x14ac:dyDescent="0.25">
      <c r="B733" s="47">
        <f t="shared" ca="1" si="13"/>
        <v>0.16203957513462741</v>
      </c>
    </row>
    <row r="734" spans="2:2" x14ac:dyDescent="0.25">
      <c r="B734" s="47">
        <f t="shared" ca="1" si="13"/>
        <v>0.543244295707622</v>
      </c>
    </row>
    <row r="735" spans="2:2" x14ac:dyDescent="0.25">
      <c r="B735" s="47">
        <f t="shared" ca="1" si="13"/>
        <v>0.7517780730164737</v>
      </c>
    </row>
    <row r="736" spans="2:2" x14ac:dyDescent="0.25">
      <c r="B736" s="47">
        <f t="shared" ca="1" si="13"/>
        <v>0.8505074074255986</v>
      </c>
    </row>
    <row r="737" spans="2:2" x14ac:dyDescent="0.25">
      <c r="B737" s="47">
        <f t="shared" ca="1" si="13"/>
        <v>0.44286754014837582</v>
      </c>
    </row>
    <row r="738" spans="2:2" x14ac:dyDescent="0.25">
      <c r="B738" s="47">
        <f t="shared" ca="1" si="13"/>
        <v>2.8354611393718199E-2</v>
      </c>
    </row>
    <row r="739" spans="2:2" x14ac:dyDescent="0.25">
      <c r="B739" s="47">
        <f t="shared" ca="1" si="13"/>
        <v>0.14316470878416621</v>
      </c>
    </row>
    <row r="740" spans="2:2" x14ac:dyDescent="0.25">
      <c r="B740" s="47">
        <f t="shared" ca="1" si="13"/>
        <v>0.44444878520222897</v>
      </c>
    </row>
    <row r="741" spans="2:2" x14ac:dyDescent="0.25">
      <c r="B741" s="47">
        <f t="shared" ca="1" si="13"/>
        <v>0.51124696788156276</v>
      </c>
    </row>
    <row r="742" spans="2:2" x14ac:dyDescent="0.25">
      <c r="B742" s="47">
        <f t="shared" ca="1" si="13"/>
        <v>0.74671821447418163</v>
      </c>
    </row>
    <row r="743" spans="2:2" x14ac:dyDescent="0.25">
      <c r="B743" s="47">
        <f t="shared" ca="1" si="13"/>
        <v>0.3286023587667789</v>
      </c>
    </row>
    <row r="744" spans="2:2" x14ac:dyDescent="0.25">
      <c r="B744" s="47">
        <f t="shared" ca="1" si="13"/>
        <v>0.65127158298831311</v>
      </c>
    </row>
    <row r="745" spans="2:2" x14ac:dyDescent="0.25">
      <c r="B745" s="47">
        <f t="shared" ca="1" si="13"/>
        <v>0.99243506480798549</v>
      </c>
    </row>
    <row r="746" spans="2:2" x14ac:dyDescent="0.25">
      <c r="B746" s="47">
        <f t="shared" ca="1" si="13"/>
        <v>0.54208432516382321</v>
      </c>
    </row>
    <row r="747" spans="2:2" x14ac:dyDescent="0.25">
      <c r="B747" s="47">
        <f t="shared" ca="1" si="13"/>
        <v>0.67238338362681949</v>
      </c>
    </row>
    <row r="748" spans="2:2" x14ac:dyDescent="0.25">
      <c r="B748" s="47">
        <f t="shared" ca="1" si="13"/>
        <v>0.79201902070558128</v>
      </c>
    </row>
    <row r="749" spans="2:2" x14ac:dyDescent="0.25">
      <c r="B749" s="47">
        <f t="shared" ca="1" si="13"/>
        <v>0.75978583983085568</v>
      </c>
    </row>
    <row r="750" spans="2:2" x14ac:dyDescent="0.25">
      <c r="B750" s="47">
        <f t="shared" ca="1" si="13"/>
        <v>0.70389826941053724</v>
      </c>
    </row>
    <row r="751" spans="2:2" x14ac:dyDescent="0.25">
      <c r="B751" s="47">
        <f t="shared" ca="1" si="13"/>
        <v>0.36003967879164955</v>
      </c>
    </row>
    <row r="752" spans="2:2" x14ac:dyDescent="0.25">
      <c r="B752" s="47">
        <f t="shared" ca="1" si="13"/>
        <v>0.52563730313613488</v>
      </c>
    </row>
    <row r="753" spans="2:2" x14ac:dyDescent="0.25">
      <c r="B753" s="47">
        <f t="shared" ca="1" si="13"/>
        <v>0.40710784985363702</v>
      </c>
    </row>
    <row r="754" spans="2:2" x14ac:dyDescent="0.25">
      <c r="B754" s="47">
        <f t="shared" ca="1" si="13"/>
        <v>4.8354317924358736E-2</v>
      </c>
    </row>
    <row r="755" spans="2:2" x14ac:dyDescent="0.25">
      <c r="B755" s="47">
        <f t="shared" ca="1" si="13"/>
        <v>0.26214997555607167</v>
      </c>
    </row>
    <row r="756" spans="2:2" x14ac:dyDescent="0.25">
      <c r="B756" s="47">
        <f t="shared" ca="1" si="13"/>
        <v>0.15479189034032392</v>
      </c>
    </row>
    <row r="757" spans="2:2" x14ac:dyDescent="0.25">
      <c r="B757" s="47">
        <f t="shared" ca="1" si="13"/>
        <v>0.81364784407500657</v>
      </c>
    </row>
    <row r="758" spans="2:2" x14ac:dyDescent="0.25">
      <c r="B758" s="47">
        <f t="shared" ca="1" si="13"/>
        <v>0.18018861316126067</v>
      </c>
    </row>
    <row r="759" spans="2:2" x14ac:dyDescent="0.25">
      <c r="B759" s="47">
        <f t="shared" ca="1" si="13"/>
        <v>0.97066081767109968</v>
      </c>
    </row>
    <row r="760" spans="2:2" x14ac:dyDescent="0.25">
      <c r="B760" s="47">
        <f t="shared" ca="1" si="13"/>
        <v>0.11451614089499995</v>
      </c>
    </row>
    <row r="761" spans="2:2" x14ac:dyDescent="0.25">
      <c r="B761" s="47">
        <f t="shared" ca="1" si="13"/>
        <v>0.25738902437850264</v>
      </c>
    </row>
    <row r="762" spans="2:2" x14ac:dyDescent="0.25">
      <c r="B762" s="47">
        <f t="shared" ca="1" si="13"/>
        <v>8.6592851388440306E-2</v>
      </c>
    </row>
    <row r="763" spans="2:2" x14ac:dyDescent="0.25">
      <c r="B763" s="47">
        <f t="shared" ca="1" si="13"/>
        <v>0.92655818864459238</v>
      </c>
    </row>
    <row r="764" spans="2:2" x14ac:dyDescent="0.25">
      <c r="B764" s="47">
        <f t="shared" ca="1" si="13"/>
        <v>0.38070932990867279</v>
      </c>
    </row>
    <row r="765" spans="2:2" x14ac:dyDescent="0.25">
      <c r="B765" s="47">
        <f t="shared" ca="1" si="13"/>
        <v>0.35751872588329825</v>
      </c>
    </row>
    <row r="766" spans="2:2" x14ac:dyDescent="0.25">
      <c r="B766" s="47">
        <f t="shared" ca="1" si="13"/>
        <v>0.96142416746649051</v>
      </c>
    </row>
    <row r="767" spans="2:2" x14ac:dyDescent="0.25">
      <c r="B767" s="47">
        <f t="shared" ca="1" si="13"/>
        <v>0.76253489953050801</v>
      </c>
    </row>
    <row r="768" spans="2:2" x14ac:dyDescent="0.25">
      <c r="B768" s="47">
        <f t="shared" ca="1" si="13"/>
        <v>0.1817540238963512</v>
      </c>
    </row>
    <row r="769" spans="2:2" x14ac:dyDescent="0.25">
      <c r="B769" s="47">
        <f t="shared" ca="1" si="13"/>
        <v>0.42128872633786985</v>
      </c>
    </row>
    <row r="770" spans="2:2" x14ac:dyDescent="0.25">
      <c r="B770" s="47">
        <f t="shared" ca="1" si="13"/>
        <v>0.80501272711444605</v>
      </c>
    </row>
    <row r="771" spans="2:2" x14ac:dyDescent="0.25">
      <c r="B771" s="47">
        <f t="shared" ca="1" si="13"/>
        <v>0.63375474424112388</v>
      </c>
    </row>
    <row r="772" spans="2:2" x14ac:dyDescent="0.25">
      <c r="B772" s="47">
        <f t="shared" ca="1" si="13"/>
        <v>0.69901670185557019</v>
      </c>
    </row>
    <row r="773" spans="2:2" x14ac:dyDescent="0.25">
      <c r="B773" s="47">
        <f t="shared" ca="1" si="13"/>
        <v>0.70056906410740494</v>
      </c>
    </row>
    <row r="774" spans="2:2" x14ac:dyDescent="0.25">
      <c r="B774" s="47">
        <f t="shared" ca="1" si="13"/>
        <v>0.34440067771201366</v>
      </c>
    </row>
    <row r="775" spans="2:2" x14ac:dyDescent="0.25">
      <c r="B775" s="47">
        <f t="shared" ca="1" si="13"/>
        <v>2.5507423893653125E-2</v>
      </c>
    </row>
    <row r="776" spans="2:2" x14ac:dyDescent="0.25">
      <c r="B776" s="47">
        <f t="shared" ref="B776:B839" ca="1" si="14">RAND()</f>
        <v>0.98467803044758506</v>
      </c>
    </row>
    <row r="777" spans="2:2" x14ac:dyDescent="0.25">
      <c r="B777" s="47">
        <f t="shared" ca="1" si="14"/>
        <v>3.9817760870910823E-2</v>
      </c>
    </row>
    <row r="778" spans="2:2" x14ac:dyDescent="0.25">
      <c r="B778" s="47">
        <f t="shared" ca="1" si="14"/>
        <v>0.23532936021811113</v>
      </c>
    </row>
    <row r="779" spans="2:2" x14ac:dyDescent="0.25">
      <c r="B779" s="47">
        <f t="shared" ca="1" si="14"/>
        <v>0.70405101064869868</v>
      </c>
    </row>
    <row r="780" spans="2:2" x14ac:dyDescent="0.25">
      <c r="B780" s="47">
        <f t="shared" ca="1" si="14"/>
        <v>0.70477631847089572</v>
      </c>
    </row>
    <row r="781" spans="2:2" x14ac:dyDescent="0.25">
      <c r="B781" s="47">
        <f t="shared" ca="1" si="14"/>
        <v>3.6430359150542158E-3</v>
      </c>
    </row>
    <row r="782" spans="2:2" x14ac:dyDescent="0.25">
      <c r="B782" s="47">
        <f t="shared" ca="1" si="14"/>
        <v>0.23671511920103006</v>
      </c>
    </row>
    <row r="783" spans="2:2" x14ac:dyDescent="0.25">
      <c r="B783" s="47">
        <f t="shared" ca="1" si="14"/>
        <v>0.17083151047209577</v>
      </c>
    </row>
    <row r="784" spans="2:2" x14ac:dyDescent="0.25">
      <c r="B784" s="47">
        <f t="shared" ca="1" si="14"/>
        <v>0.90840927444818931</v>
      </c>
    </row>
    <row r="785" spans="2:2" x14ac:dyDescent="0.25">
      <c r="B785" s="47">
        <f t="shared" ca="1" si="14"/>
        <v>0.1044041622434897</v>
      </c>
    </row>
    <row r="786" spans="2:2" x14ac:dyDescent="0.25">
      <c r="B786" s="47">
        <f t="shared" ca="1" si="14"/>
        <v>0.5869028349071812</v>
      </c>
    </row>
    <row r="787" spans="2:2" x14ac:dyDescent="0.25">
      <c r="B787" s="47">
        <f t="shared" ca="1" si="14"/>
        <v>0.6637294761066993</v>
      </c>
    </row>
    <row r="788" spans="2:2" x14ac:dyDescent="0.25">
      <c r="B788" s="47">
        <f t="shared" ca="1" si="14"/>
        <v>0.55633276961911582</v>
      </c>
    </row>
    <row r="789" spans="2:2" x14ac:dyDescent="0.25">
      <c r="B789" s="47">
        <f t="shared" ca="1" si="14"/>
        <v>0.44782676535244115</v>
      </c>
    </row>
    <row r="790" spans="2:2" x14ac:dyDescent="0.25">
      <c r="B790" s="47">
        <f t="shared" ca="1" si="14"/>
        <v>0.42242693534776921</v>
      </c>
    </row>
    <row r="791" spans="2:2" x14ac:dyDescent="0.25">
      <c r="B791" s="47">
        <f t="shared" ca="1" si="14"/>
        <v>0.38006158381679067</v>
      </c>
    </row>
    <row r="792" spans="2:2" x14ac:dyDescent="0.25">
      <c r="B792" s="47">
        <f t="shared" ca="1" si="14"/>
        <v>0.32071133024558829</v>
      </c>
    </row>
    <row r="793" spans="2:2" x14ac:dyDescent="0.25">
      <c r="B793" s="47">
        <f t="shared" ca="1" si="14"/>
        <v>0.73794359995589598</v>
      </c>
    </row>
    <row r="794" spans="2:2" x14ac:dyDescent="0.25">
      <c r="B794" s="47">
        <f t="shared" ca="1" si="14"/>
        <v>0.80973805561482692</v>
      </c>
    </row>
    <row r="795" spans="2:2" x14ac:dyDescent="0.25">
      <c r="B795" s="47">
        <f t="shared" ca="1" si="14"/>
        <v>0.7539829474221893</v>
      </c>
    </row>
    <row r="796" spans="2:2" x14ac:dyDescent="0.25">
      <c r="B796" s="47">
        <f t="shared" ca="1" si="14"/>
        <v>0.16610168634593847</v>
      </c>
    </row>
    <row r="797" spans="2:2" x14ac:dyDescent="0.25">
      <c r="B797" s="47">
        <f t="shared" ca="1" si="14"/>
        <v>0.52990700038817629</v>
      </c>
    </row>
    <row r="798" spans="2:2" x14ac:dyDescent="0.25">
      <c r="B798" s="47">
        <f t="shared" ca="1" si="14"/>
        <v>0.96327131266893384</v>
      </c>
    </row>
    <row r="799" spans="2:2" x14ac:dyDescent="0.25">
      <c r="B799" s="47">
        <f t="shared" ca="1" si="14"/>
        <v>0.26948279624696914</v>
      </c>
    </row>
    <row r="800" spans="2:2" x14ac:dyDescent="0.25">
      <c r="B800" s="47">
        <f t="shared" ca="1" si="14"/>
        <v>0.75398299516062728</v>
      </c>
    </row>
    <row r="801" spans="2:2" x14ac:dyDescent="0.25">
      <c r="B801" s="47">
        <f t="shared" ca="1" si="14"/>
        <v>0.94812616127693428</v>
      </c>
    </row>
    <row r="802" spans="2:2" x14ac:dyDescent="0.25">
      <c r="B802" s="47">
        <f t="shared" ca="1" si="14"/>
        <v>0.35750269154130943</v>
      </c>
    </row>
    <row r="803" spans="2:2" x14ac:dyDescent="0.25">
      <c r="B803" s="47">
        <f t="shared" ca="1" si="14"/>
        <v>0.88294496647863296</v>
      </c>
    </row>
    <row r="804" spans="2:2" x14ac:dyDescent="0.25">
      <c r="B804" s="47">
        <f t="shared" ca="1" si="14"/>
        <v>0.55552184883783962</v>
      </c>
    </row>
    <row r="805" spans="2:2" x14ac:dyDescent="0.25">
      <c r="B805" s="47">
        <f t="shared" ca="1" si="14"/>
        <v>0.13008165948481343</v>
      </c>
    </row>
    <row r="806" spans="2:2" x14ac:dyDescent="0.25">
      <c r="B806" s="47">
        <f t="shared" ca="1" si="14"/>
        <v>0.40150568885743587</v>
      </c>
    </row>
    <row r="807" spans="2:2" x14ac:dyDescent="0.25">
      <c r="B807" s="47">
        <f t="shared" ca="1" si="14"/>
        <v>0.72134099726247147</v>
      </c>
    </row>
    <row r="808" spans="2:2" x14ac:dyDescent="0.25">
      <c r="B808" s="47">
        <f t="shared" ca="1" si="14"/>
        <v>0.16144058330112432</v>
      </c>
    </row>
    <row r="809" spans="2:2" x14ac:dyDescent="0.25">
      <c r="B809" s="47">
        <f t="shared" ca="1" si="14"/>
        <v>0.84575018954504289</v>
      </c>
    </row>
    <row r="810" spans="2:2" x14ac:dyDescent="0.25">
      <c r="B810" s="47">
        <f t="shared" ca="1" si="14"/>
        <v>0.46821903847530144</v>
      </c>
    </row>
    <row r="811" spans="2:2" x14ac:dyDescent="0.25">
      <c r="B811" s="47">
        <f t="shared" ca="1" si="14"/>
        <v>0.22633095881217036</v>
      </c>
    </row>
    <row r="812" spans="2:2" x14ac:dyDescent="0.25">
      <c r="B812" s="47">
        <f t="shared" ca="1" si="14"/>
        <v>0.69679325958914773</v>
      </c>
    </row>
    <row r="813" spans="2:2" x14ac:dyDescent="0.25">
      <c r="B813" s="47">
        <f t="shared" ca="1" si="14"/>
        <v>0.46349957872578773</v>
      </c>
    </row>
    <row r="814" spans="2:2" x14ac:dyDescent="0.25">
      <c r="B814" s="47">
        <f t="shared" ca="1" si="14"/>
        <v>1.3643721246457963E-3</v>
      </c>
    </row>
    <row r="815" spans="2:2" x14ac:dyDescent="0.25">
      <c r="B815" s="47">
        <f t="shared" ca="1" si="14"/>
        <v>0.70457982870025393</v>
      </c>
    </row>
    <row r="816" spans="2:2" x14ac:dyDescent="0.25">
      <c r="B816" s="47">
        <f t="shared" ca="1" si="14"/>
        <v>0.25645076590129312</v>
      </c>
    </row>
    <row r="817" spans="2:2" x14ac:dyDescent="0.25">
      <c r="B817" s="47">
        <f t="shared" ca="1" si="14"/>
        <v>0.99000991208405276</v>
      </c>
    </row>
    <row r="818" spans="2:2" x14ac:dyDescent="0.25">
      <c r="B818" s="47">
        <f t="shared" ca="1" si="14"/>
        <v>0.45364111211218439</v>
      </c>
    </row>
    <row r="819" spans="2:2" x14ac:dyDescent="0.25">
      <c r="B819" s="47">
        <f t="shared" ca="1" si="14"/>
        <v>0.88742115004800182</v>
      </c>
    </row>
    <row r="820" spans="2:2" x14ac:dyDescent="0.25">
      <c r="B820" s="47">
        <f t="shared" ca="1" si="14"/>
        <v>8.840574059998263E-2</v>
      </c>
    </row>
    <row r="821" spans="2:2" x14ac:dyDescent="0.25">
      <c r="B821" s="47">
        <f t="shared" ca="1" si="14"/>
        <v>0.53768299674472886</v>
      </c>
    </row>
    <row r="822" spans="2:2" x14ac:dyDescent="0.25">
      <c r="B822" s="47">
        <f t="shared" ca="1" si="14"/>
        <v>0.51996753241125582</v>
      </c>
    </row>
    <row r="823" spans="2:2" x14ac:dyDescent="0.25">
      <c r="B823" s="47">
        <f t="shared" ca="1" si="14"/>
        <v>0.9082061887915609</v>
      </c>
    </row>
    <row r="824" spans="2:2" x14ac:dyDescent="0.25">
      <c r="B824" s="47">
        <f t="shared" ca="1" si="14"/>
        <v>0.91725212628229225</v>
      </c>
    </row>
    <row r="825" spans="2:2" x14ac:dyDescent="0.25">
      <c r="B825" s="47">
        <f t="shared" ca="1" si="14"/>
        <v>0.81068029875023939</v>
      </c>
    </row>
    <row r="826" spans="2:2" x14ac:dyDescent="0.25">
      <c r="B826" s="47">
        <f t="shared" ca="1" si="14"/>
        <v>0.76330214981830558</v>
      </c>
    </row>
    <row r="827" spans="2:2" x14ac:dyDescent="0.25">
      <c r="B827" s="47">
        <f t="shared" ca="1" si="14"/>
        <v>0.54003823101336901</v>
      </c>
    </row>
    <row r="828" spans="2:2" x14ac:dyDescent="0.25">
      <c r="B828" s="47">
        <f t="shared" ca="1" si="14"/>
        <v>0.92537233587211398</v>
      </c>
    </row>
    <row r="829" spans="2:2" x14ac:dyDescent="0.25">
      <c r="B829" s="47">
        <f t="shared" ca="1" si="14"/>
        <v>0.19333000531383326</v>
      </c>
    </row>
    <row r="830" spans="2:2" x14ac:dyDescent="0.25">
      <c r="B830" s="47">
        <f t="shared" ca="1" si="14"/>
        <v>0.89332552070789994</v>
      </c>
    </row>
    <row r="831" spans="2:2" x14ac:dyDescent="0.25">
      <c r="B831" s="47">
        <f t="shared" ca="1" si="14"/>
        <v>0.53287046882628053</v>
      </c>
    </row>
    <row r="832" spans="2:2" x14ac:dyDescent="0.25">
      <c r="B832" s="47">
        <f t="shared" ca="1" si="14"/>
        <v>0.35894652784520997</v>
      </c>
    </row>
    <row r="833" spans="2:2" x14ac:dyDescent="0.25">
      <c r="B833" s="47">
        <f t="shared" ca="1" si="14"/>
        <v>0.33552288786073747</v>
      </c>
    </row>
    <row r="834" spans="2:2" x14ac:dyDescent="0.25">
      <c r="B834" s="47">
        <f t="shared" ca="1" si="14"/>
        <v>7.6454930911334817E-2</v>
      </c>
    </row>
    <row r="835" spans="2:2" x14ac:dyDescent="0.25">
      <c r="B835" s="47">
        <f t="shared" ca="1" si="14"/>
        <v>0.38847669591029921</v>
      </c>
    </row>
    <row r="836" spans="2:2" x14ac:dyDescent="0.25">
      <c r="B836" s="47">
        <f t="shared" ca="1" si="14"/>
        <v>0.90218797020297259</v>
      </c>
    </row>
    <row r="837" spans="2:2" x14ac:dyDescent="0.25">
      <c r="B837" s="47">
        <f t="shared" ca="1" si="14"/>
        <v>0.3293802014920264</v>
      </c>
    </row>
    <row r="838" spans="2:2" x14ac:dyDescent="0.25">
      <c r="B838" s="47">
        <f t="shared" ca="1" si="14"/>
        <v>2.7524850622418273E-2</v>
      </c>
    </row>
    <row r="839" spans="2:2" x14ac:dyDescent="0.25">
      <c r="B839" s="47">
        <f t="shared" ca="1" si="14"/>
        <v>0.97771891787295151</v>
      </c>
    </row>
    <row r="840" spans="2:2" x14ac:dyDescent="0.25">
      <c r="B840" s="47">
        <f t="shared" ref="B840:B903" ca="1" si="15">RAND()</f>
        <v>0.24070555280210304</v>
      </c>
    </row>
    <row r="841" spans="2:2" x14ac:dyDescent="0.25">
      <c r="B841" s="47">
        <f t="shared" ca="1" si="15"/>
        <v>0.15391081150132835</v>
      </c>
    </row>
    <row r="842" spans="2:2" x14ac:dyDescent="0.25">
      <c r="B842" s="47">
        <f t="shared" ca="1" si="15"/>
        <v>0.49466296531318454</v>
      </c>
    </row>
    <row r="843" spans="2:2" x14ac:dyDescent="0.25">
      <c r="B843" s="47">
        <f t="shared" ca="1" si="15"/>
        <v>0.48832442014019384</v>
      </c>
    </row>
    <row r="844" spans="2:2" x14ac:dyDescent="0.25">
      <c r="B844" s="47">
        <f t="shared" ca="1" si="15"/>
        <v>0.42719438740227467</v>
      </c>
    </row>
    <row r="845" spans="2:2" x14ac:dyDescent="0.25">
      <c r="B845" s="47">
        <f t="shared" ca="1" si="15"/>
        <v>9.5961164559648315E-2</v>
      </c>
    </row>
    <row r="846" spans="2:2" x14ac:dyDescent="0.25">
      <c r="B846" s="47">
        <f t="shared" ca="1" si="15"/>
        <v>0.67910199555105499</v>
      </c>
    </row>
    <row r="847" spans="2:2" x14ac:dyDescent="0.25">
      <c r="B847" s="47">
        <f t="shared" ca="1" si="15"/>
        <v>0.37562489935550925</v>
      </c>
    </row>
    <row r="848" spans="2:2" x14ac:dyDescent="0.25">
      <c r="B848" s="47">
        <f t="shared" ca="1" si="15"/>
        <v>0.49363052019688647</v>
      </c>
    </row>
    <row r="849" spans="2:2" x14ac:dyDescent="0.25">
      <c r="B849" s="47">
        <f t="shared" ca="1" si="15"/>
        <v>0.41852626659265169</v>
      </c>
    </row>
    <row r="850" spans="2:2" x14ac:dyDescent="0.25">
      <c r="B850" s="47">
        <f t="shared" ca="1" si="15"/>
        <v>0.70111784871993732</v>
      </c>
    </row>
    <row r="851" spans="2:2" x14ac:dyDescent="0.25">
      <c r="B851" s="47">
        <f t="shared" ca="1" si="15"/>
        <v>0.52978431632918721</v>
      </c>
    </row>
    <row r="852" spans="2:2" x14ac:dyDescent="0.25">
      <c r="B852" s="47">
        <f t="shared" ca="1" si="15"/>
        <v>8.8011719468162664E-2</v>
      </c>
    </row>
    <row r="853" spans="2:2" x14ac:dyDescent="0.25">
      <c r="B853" s="47">
        <f t="shared" ca="1" si="15"/>
        <v>0.34294801067170422</v>
      </c>
    </row>
    <row r="854" spans="2:2" x14ac:dyDescent="0.25">
      <c r="B854" s="47">
        <f t="shared" ca="1" si="15"/>
        <v>0.98990425976308072</v>
      </c>
    </row>
    <row r="855" spans="2:2" x14ac:dyDescent="0.25">
      <c r="B855" s="47">
        <f t="shared" ca="1" si="15"/>
        <v>0.11565707880616616</v>
      </c>
    </row>
    <row r="856" spans="2:2" x14ac:dyDescent="0.25">
      <c r="B856" s="47">
        <f t="shared" ca="1" si="15"/>
        <v>0.41787313558062888</v>
      </c>
    </row>
    <row r="857" spans="2:2" x14ac:dyDescent="0.25">
      <c r="B857" s="47">
        <f t="shared" ca="1" si="15"/>
        <v>0.74646312427641448</v>
      </c>
    </row>
    <row r="858" spans="2:2" x14ac:dyDescent="0.25">
      <c r="B858" s="47">
        <f t="shared" ca="1" si="15"/>
        <v>0.29866373312991945</v>
      </c>
    </row>
    <row r="859" spans="2:2" x14ac:dyDescent="0.25">
      <c r="B859" s="47">
        <f t="shared" ca="1" si="15"/>
        <v>0.78126341055564152</v>
      </c>
    </row>
    <row r="860" spans="2:2" x14ac:dyDescent="0.25">
      <c r="B860" s="47">
        <f t="shared" ca="1" si="15"/>
        <v>0.46060328277947094</v>
      </c>
    </row>
    <row r="861" spans="2:2" x14ac:dyDescent="0.25">
      <c r="B861" s="47">
        <f t="shared" ca="1" si="15"/>
        <v>0.51242851335264972</v>
      </c>
    </row>
    <row r="862" spans="2:2" x14ac:dyDescent="0.25">
      <c r="B862" s="47">
        <f t="shared" ca="1" si="15"/>
        <v>0.54417744425385184</v>
      </c>
    </row>
    <row r="863" spans="2:2" x14ac:dyDescent="0.25">
      <c r="B863" s="47">
        <f t="shared" ca="1" si="15"/>
        <v>0.32347652658407866</v>
      </c>
    </row>
    <row r="864" spans="2:2" x14ac:dyDescent="0.25">
      <c r="B864" s="47">
        <f t="shared" ca="1" si="15"/>
        <v>0.67261192483087195</v>
      </c>
    </row>
    <row r="865" spans="2:2" x14ac:dyDescent="0.25">
      <c r="B865" s="47">
        <f t="shared" ca="1" si="15"/>
        <v>0.29817071694207253</v>
      </c>
    </row>
    <row r="866" spans="2:2" x14ac:dyDescent="0.25">
      <c r="B866" s="47">
        <f t="shared" ca="1" si="15"/>
        <v>0.44493466028812034</v>
      </c>
    </row>
    <row r="867" spans="2:2" x14ac:dyDescent="0.25">
      <c r="B867" s="47">
        <f t="shared" ca="1" si="15"/>
        <v>0.62677170915803693</v>
      </c>
    </row>
    <row r="868" spans="2:2" x14ac:dyDescent="0.25">
      <c r="B868" s="47">
        <f t="shared" ca="1" si="15"/>
        <v>0.34607834588671138</v>
      </c>
    </row>
    <row r="869" spans="2:2" x14ac:dyDescent="0.25">
      <c r="B869" s="47">
        <f t="shared" ca="1" si="15"/>
        <v>0.17579509170561547</v>
      </c>
    </row>
    <row r="870" spans="2:2" x14ac:dyDescent="0.25">
      <c r="B870" s="47">
        <f t="shared" ca="1" si="15"/>
        <v>0.16394139506209171</v>
      </c>
    </row>
    <row r="871" spans="2:2" x14ac:dyDescent="0.25">
      <c r="B871" s="47">
        <f t="shared" ca="1" si="15"/>
        <v>0.21262811788433122</v>
      </c>
    </row>
    <row r="872" spans="2:2" x14ac:dyDescent="0.25">
      <c r="B872" s="47">
        <f t="shared" ca="1" si="15"/>
        <v>0.35621923814226797</v>
      </c>
    </row>
    <row r="873" spans="2:2" x14ac:dyDescent="0.25">
      <c r="B873" s="47">
        <f t="shared" ca="1" si="15"/>
        <v>0.34161098703975123</v>
      </c>
    </row>
    <row r="874" spans="2:2" x14ac:dyDescent="0.25">
      <c r="B874" s="47">
        <f t="shared" ca="1" si="15"/>
        <v>0.43049319578057876</v>
      </c>
    </row>
    <row r="875" spans="2:2" x14ac:dyDescent="0.25">
      <c r="B875" s="47">
        <f t="shared" ca="1" si="15"/>
        <v>0.59559502106832318</v>
      </c>
    </row>
    <row r="876" spans="2:2" x14ac:dyDescent="0.25">
      <c r="B876" s="47">
        <f t="shared" ca="1" si="15"/>
        <v>0.79316139880737035</v>
      </c>
    </row>
    <row r="877" spans="2:2" x14ac:dyDescent="0.25">
      <c r="B877" s="47">
        <f t="shared" ca="1" si="15"/>
        <v>0.59722023754870446</v>
      </c>
    </row>
    <row r="878" spans="2:2" x14ac:dyDescent="0.25">
      <c r="B878" s="47">
        <f t="shared" ca="1" si="15"/>
        <v>0.20274389145345884</v>
      </c>
    </row>
    <row r="879" spans="2:2" x14ac:dyDescent="0.25">
      <c r="B879" s="47">
        <f t="shared" ca="1" si="15"/>
        <v>0.36017240612256796</v>
      </c>
    </row>
    <row r="880" spans="2:2" x14ac:dyDescent="0.25">
      <c r="B880" s="47">
        <f t="shared" ca="1" si="15"/>
        <v>4.2278248433294086E-2</v>
      </c>
    </row>
    <row r="881" spans="2:2" x14ac:dyDescent="0.25">
      <c r="B881" s="47">
        <f t="shared" ca="1" si="15"/>
        <v>0.97650481547042056</v>
      </c>
    </row>
    <row r="882" spans="2:2" x14ac:dyDescent="0.25">
      <c r="B882" s="47">
        <f t="shared" ca="1" si="15"/>
        <v>0.73139967964772035</v>
      </c>
    </row>
    <row r="883" spans="2:2" x14ac:dyDescent="0.25">
      <c r="B883" s="47">
        <f t="shared" ca="1" si="15"/>
        <v>0.27654481688603849</v>
      </c>
    </row>
    <row r="884" spans="2:2" x14ac:dyDescent="0.25">
      <c r="B884" s="47">
        <f t="shared" ca="1" si="15"/>
        <v>0.94190645205979651</v>
      </c>
    </row>
    <row r="885" spans="2:2" x14ac:dyDescent="0.25">
      <c r="B885" s="47">
        <f t="shared" ca="1" si="15"/>
        <v>0.69788083133614287</v>
      </c>
    </row>
    <row r="886" spans="2:2" x14ac:dyDescent="0.25">
      <c r="B886" s="47">
        <f t="shared" ca="1" si="15"/>
        <v>0.20489463314275691</v>
      </c>
    </row>
    <row r="887" spans="2:2" x14ac:dyDescent="0.25">
      <c r="B887" s="47">
        <f t="shared" ca="1" si="15"/>
        <v>0.36163804326447502</v>
      </c>
    </row>
    <row r="888" spans="2:2" x14ac:dyDescent="0.25">
      <c r="B888" s="47">
        <f t="shared" ca="1" si="15"/>
        <v>0.48546345427319004</v>
      </c>
    </row>
    <row r="889" spans="2:2" x14ac:dyDescent="0.25">
      <c r="B889" s="47">
        <f t="shared" ca="1" si="15"/>
        <v>0.17378527401012112</v>
      </c>
    </row>
    <row r="890" spans="2:2" x14ac:dyDescent="0.25">
      <c r="B890" s="47">
        <f t="shared" ca="1" si="15"/>
        <v>0.26246799908055019</v>
      </c>
    </row>
    <row r="891" spans="2:2" x14ac:dyDescent="0.25">
      <c r="B891" s="47">
        <f t="shared" ca="1" si="15"/>
        <v>0.34917823373717138</v>
      </c>
    </row>
    <row r="892" spans="2:2" x14ac:dyDescent="0.25">
      <c r="B892" s="47">
        <f t="shared" ca="1" si="15"/>
        <v>0.61096052144106927</v>
      </c>
    </row>
    <row r="893" spans="2:2" x14ac:dyDescent="0.25">
      <c r="B893" s="47">
        <f t="shared" ca="1" si="15"/>
        <v>0.96189645870906226</v>
      </c>
    </row>
    <row r="894" spans="2:2" x14ac:dyDescent="0.25">
      <c r="B894" s="47">
        <f t="shared" ca="1" si="15"/>
        <v>0.40859822997949591</v>
      </c>
    </row>
    <row r="895" spans="2:2" x14ac:dyDescent="0.25">
      <c r="B895" s="47">
        <f t="shared" ca="1" si="15"/>
        <v>0.76123363240479991</v>
      </c>
    </row>
    <row r="896" spans="2:2" x14ac:dyDescent="0.25">
      <c r="B896" s="47">
        <f t="shared" ca="1" si="15"/>
        <v>0.42451163022033356</v>
      </c>
    </row>
    <row r="897" spans="2:2" x14ac:dyDescent="0.25">
      <c r="B897" s="47">
        <f t="shared" ca="1" si="15"/>
        <v>0.27910882133792092</v>
      </c>
    </row>
    <row r="898" spans="2:2" x14ac:dyDescent="0.25">
      <c r="B898" s="47">
        <f t="shared" ca="1" si="15"/>
        <v>0.28683498134067631</v>
      </c>
    </row>
    <row r="899" spans="2:2" x14ac:dyDescent="0.25">
      <c r="B899" s="47">
        <f t="shared" ca="1" si="15"/>
        <v>0.79755043484116606</v>
      </c>
    </row>
    <row r="900" spans="2:2" x14ac:dyDescent="0.25">
      <c r="B900" s="47">
        <f t="shared" ca="1" si="15"/>
        <v>0.61477544864746647</v>
      </c>
    </row>
    <row r="901" spans="2:2" x14ac:dyDescent="0.25">
      <c r="B901" s="47">
        <f t="shared" ca="1" si="15"/>
        <v>0.59911949667115116</v>
      </c>
    </row>
    <row r="902" spans="2:2" x14ac:dyDescent="0.25">
      <c r="B902" s="47">
        <f t="shared" ca="1" si="15"/>
        <v>0.76315750273654659</v>
      </c>
    </row>
    <row r="903" spans="2:2" x14ac:dyDescent="0.25">
      <c r="B903" s="47">
        <f t="shared" ca="1" si="15"/>
        <v>0.2584591742644774</v>
      </c>
    </row>
    <row r="904" spans="2:2" x14ac:dyDescent="0.25">
      <c r="B904" s="47">
        <f t="shared" ref="B904:B967" ca="1" si="16">RAND()</f>
        <v>0.76248299179924117</v>
      </c>
    </row>
    <row r="905" spans="2:2" x14ac:dyDescent="0.25">
      <c r="B905" s="47">
        <f t="shared" ca="1" si="16"/>
        <v>0.48004954730297356</v>
      </c>
    </row>
    <row r="906" spans="2:2" x14ac:dyDescent="0.25">
      <c r="B906" s="47">
        <f t="shared" ca="1" si="16"/>
        <v>0.49622911231103284</v>
      </c>
    </row>
    <row r="907" spans="2:2" x14ac:dyDescent="0.25">
      <c r="B907" s="47">
        <f t="shared" ca="1" si="16"/>
        <v>0.63710733201796121</v>
      </c>
    </row>
    <row r="908" spans="2:2" x14ac:dyDescent="0.25">
      <c r="B908" s="47">
        <f t="shared" ca="1" si="16"/>
        <v>0.13518579511852147</v>
      </c>
    </row>
    <row r="909" spans="2:2" x14ac:dyDescent="0.25">
      <c r="B909" s="47">
        <f t="shared" ca="1" si="16"/>
        <v>0.59506845107486739</v>
      </c>
    </row>
    <row r="910" spans="2:2" x14ac:dyDescent="0.25">
      <c r="B910" s="47">
        <f t="shared" ca="1" si="16"/>
        <v>0.20024702040377274</v>
      </c>
    </row>
    <row r="911" spans="2:2" x14ac:dyDescent="0.25">
      <c r="B911" s="47">
        <f t="shared" ca="1" si="16"/>
        <v>0.64399925348072473</v>
      </c>
    </row>
    <row r="912" spans="2:2" x14ac:dyDescent="0.25">
      <c r="B912" s="47">
        <f t="shared" ca="1" si="16"/>
        <v>0.95203490685738112</v>
      </c>
    </row>
    <row r="913" spans="2:2" x14ac:dyDescent="0.25">
      <c r="B913" s="47">
        <f t="shared" ca="1" si="16"/>
        <v>0.26034375798064646</v>
      </c>
    </row>
    <row r="914" spans="2:2" x14ac:dyDescent="0.25">
      <c r="B914" s="47">
        <f t="shared" ca="1" si="16"/>
        <v>0.97917936446157794</v>
      </c>
    </row>
    <row r="915" spans="2:2" x14ac:dyDescent="0.25">
      <c r="B915" s="47">
        <f t="shared" ca="1" si="16"/>
        <v>0.79764577465023589</v>
      </c>
    </row>
    <row r="916" spans="2:2" x14ac:dyDescent="0.25">
      <c r="B916" s="47">
        <f t="shared" ca="1" si="16"/>
        <v>0.46155960863276435</v>
      </c>
    </row>
    <row r="917" spans="2:2" x14ac:dyDescent="0.25">
      <c r="B917" s="47">
        <f t="shared" ca="1" si="16"/>
        <v>0.45296917680005755</v>
      </c>
    </row>
    <row r="918" spans="2:2" x14ac:dyDescent="0.25">
      <c r="B918" s="47">
        <f t="shared" ca="1" si="16"/>
        <v>0.55784924060717822</v>
      </c>
    </row>
    <row r="919" spans="2:2" x14ac:dyDescent="0.25">
      <c r="B919" s="47">
        <f t="shared" ca="1" si="16"/>
        <v>0.85770246260880389</v>
      </c>
    </row>
    <row r="920" spans="2:2" x14ac:dyDescent="0.25">
      <c r="B920" s="47">
        <f t="shared" ca="1" si="16"/>
        <v>0.78134764309007487</v>
      </c>
    </row>
    <row r="921" spans="2:2" x14ac:dyDescent="0.25">
      <c r="B921" s="47">
        <f t="shared" ca="1" si="16"/>
        <v>0.38369031433222744</v>
      </c>
    </row>
    <row r="922" spans="2:2" x14ac:dyDescent="0.25">
      <c r="B922" s="47">
        <f t="shared" ca="1" si="16"/>
        <v>0.7132858241887029</v>
      </c>
    </row>
    <row r="923" spans="2:2" x14ac:dyDescent="0.25">
      <c r="B923" s="47">
        <f t="shared" ca="1" si="16"/>
        <v>0.70495814968625781</v>
      </c>
    </row>
    <row r="924" spans="2:2" x14ac:dyDescent="0.25">
      <c r="B924" s="47">
        <f t="shared" ca="1" si="16"/>
        <v>0.10934154747562241</v>
      </c>
    </row>
    <row r="925" spans="2:2" x14ac:dyDescent="0.25">
      <c r="B925" s="47">
        <f t="shared" ca="1" si="16"/>
        <v>0.31687504342144546</v>
      </c>
    </row>
    <row r="926" spans="2:2" x14ac:dyDescent="0.25">
      <c r="B926" s="47">
        <f t="shared" ca="1" si="16"/>
        <v>0.91663120563388523</v>
      </c>
    </row>
    <row r="927" spans="2:2" x14ac:dyDescent="0.25">
      <c r="B927" s="47">
        <f t="shared" ca="1" si="16"/>
        <v>0.51521729421101681</v>
      </c>
    </row>
    <row r="928" spans="2:2" x14ac:dyDescent="0.25">
      <c r="B928" s="47">
        <f t="shared" ca="1" si="16"/>
        <v>0.14858186412737806</v>
      </c>
    </row>
    <row r="929" spans="2:2" x14ac:dyDescent="0.25">
      <c r="B929" s="47">
        <f t="shared" ca="1" si="16"/>
        <v>8.1748848343049629E-2</v>
      </c>
    </row>
    <row r="930" spans="2:2" x14ac:dyDescent="0.25">
      <c r="B930" s="47">
        <f t="shared" ca="1" si="16"/>
        <v>0.11690097402574096</v>
      </c>
    </row>
    <row r="931" spans="2:2" x14ac:dyDescent="0.25">
      <c r="B931" s="47">
        <f t="shared" ca="1" si="16"/>
        <v>0.88236072434917567</v>
      </c>
    </row>
    <row r="932" spans="2:2" x14ac:dyDescent="0.25">
      <c r="B932" s="47">
        <f t="shared" ca="1" si="16"/>
        <v>0.76670620208961271</v>
      </c>
    </row>
    <row r="933" spans="2:2" x14ac:dyDescent="0.25">
      <c r="B933" s="47">
        <f t="shared" ca="1" si="16"/>
        <v>0.52060884614990388</v>
      </c>
    </row>
    <row r="934" spans="2:2" x14ac:dyDescent="0.25">
      <c r="B934" s="47">
        <f t="shared" ca="1" si="16"/>
        <v>0.13713823072294806</v>
      </c>
    </row>
    <row r="935" spans="2:2" x14ac:dyDescent="0.25">
      <c r="B935" s="47">
        <f t="shared" ca="1" si="16"/>
        <v>0.27537547723470146</v>
      </c>
    </row>
    <row r="936" spans="2:2" x14ac:dyDescent="0.25">
      <c r="B936" s="47">
        <f t="shared" ca="1" si="16"/>
        <v>0.25349445696091844</v>
      </c>
    </row>
    <row r="937" spans="2:2" x14ac:dyDescent="0.25">
      <c r="B937" s="47">
        <f t="shared" ca="1" si="16"/>
        <v>0.58301041745368498</v>
      </c>
    </row>
    <row r="938" spans="2:2" x14ac:dyDescent="0.25">
      <c r="B938" s="47">
        <f t="shared" ca="1" si="16"/>
        <v>3.8040660602163712E-2</v>
      </c>
    </row>
    <row r="939" spans="2:2" x14ac:dyDescent="0.25">
      <c r="B939" s="47">
        <f t="shared" ca="1" si="16"/>
        <v>0.47483004928435701</v>
      </c>
    </row>
    <row r="940" spans="2:2" x14ac:dyDescent="0.25">
      <c r="B940" s="47">
        <f t="shared" ca="1" si="16"/>
        <v>0.80355361039959916</v>
      </c>
    </row>
    <row r="941" spans="2:2" x14ac:dyDescent="0.25">
      <c r="B941" s="47">
        <f t="shared" ca="1" si="16"/>
        <v>0.84960426408764855</v>
      </c>
    </row>
    <row r="942" spans="2:2" x14ac:dyDescent="0.25">
      <c r="B942" s="47">
        <f t="shared" ca="1" si="16"/>
        <v>0.98294516142212995</v>
      </c>
    </row>
    <row r="943" spans="2:2" x14ac:dyDescent="0.25">
      <c r="B943" s="47">
        <f t="shared" ca="1" si="16"/>
        <v>0.39556568451228247</v>
      </c>
    </row>
    <row r="944" spans="2:2" x14ac:dyDescent="0.25">
      <c r="B944" s="47">
        <f t="shared" ca="1" si="16"/>
        <v>0.61643304398190479</v>
      </c>
    </row>
    <row r="945" spans="2:2" x14ac:dyDescent="0.25">
      <c r="B945" s="47">
        <f t="shared" ca="1" si="16"/>
        <v>0.38658394745580016</v>
      </c>
    </row>
    <row r="946" spans="2:2" x14ac:dyDescent="0.25">
      <c r="B946" s="47">
        <f t="shared" ca="1" si="16"/>
        <v>0.23948995178648691</v>
      </c>
    </row>
    <row r="947" spans="2:2" x14ac:dyDescent="0.25">
      <c r="B947" s="47">
        <f t="shared" ca="1" si="16"/>
        <v>0.55188251124491483</v>
      </c>
    </row>
    <row r="948" spans="2:2" x14ac:dyDescent="0.25">
      <c r="B948" s="47">
        <f t="shared" ca="1" si="16"/>
        <v>0.53328209687850003</v>
      </c>
    </row>
    <row r="949" spans="2:2" x14ac:dyDescent="0.25">
      <c r="B949" s="47">
        <f t="shared" ca="1" si="16"/>
        <v>0.2526213705769994</v>
      </c>
    </row>
    <row r="950" spans="2:2" x14ac:dyDescent="0.25">
      <c r="B950" s="47">
        <f t="shared" ca="1" si="16"/>
        <v>0.60991465343340201</v>
      </c>
    </row>
    <row r="951" spans="2:2" x14ac:dyDescent="0.25">
      <c r="B951" s="47">
        <f t="shared" ca="1" si="16"/>
        <v>0.79231906276580655</v>
      </c>
    </row>
    <row r="952" spans="2:2" x14ac:dyDescent="0.25">
      <c r="B952" s="47">
        <f t="shared" ca="1" si="16"/>
        <v>0.23171304847747165</v>
      </c>
    </row>
    <row r="953" spans="2:2" x14ac:dyDescent="0.25">
      <c r="B953" s="47">
        <f t="shared" ca="1" si="16"/>
        <v>0.90539805067672996</v>
      </c>
    </row>
    <row r="954" spans="2:2" x14ac:dyDescent="0.25">
      <c r="B954" s="47">
        <f t="shared" ca="1" si="16"/>
        <v>0.44904779432808062</v>
      </c>
    </row>
    <row r="955" spans="2:2" x14ac:dyDescent="0.25">
      <c r="B955" s="47">
        <f t="shared" ca="1" si="16"/>
        <v>0.50563634269419822</v>
      </c>
    </row>
    <row r="956" spans="2:2" x14ac:dyDescent="0.25">
      <c r="B956" s="47">
        <f t="shared" ca="1" si="16"/>
        <v>0.7316201490065074</v>
      </c>
    </row>
    <row r="957" spans="2:2" x14ac:dyDescent="0.25">
      <c r="B957" s="47">
        <f t="shared" ca="1" si="16"/>
        <v>0.69505108823483652</v>
      </c>
    </row>
    <row r="958" spans="2:2" x14ac:dyDescent="0.25">
      <c r="B958" s="47">
        <f t="shared" ca="1" si="16"/>
        <v>0.38092958981622105</v>
      </c>
    </row>
    <row r="959" spans="2:2" x14ac:dyDescent="0.25">
      <c r="B959" s="47">
        <f t="shared" ca="1" si="16"/>
        <v>0.71376172912188318</v>
      </c>
    </row>
    <row r="960" spans="2:2" x14ac:dyDescent="0.25">
      <c r="B960" s="47">
        <f t="shared" ca="1" si="16"/>
        <v>0.44504508458485437</v>
      </c>
    </row>
    <row r="961" spans="2:2" x14ac:dyDescent="0.25">
      <c r="B961" s="47">
        <f t="shared" ca="1" si="16"/>
        <v>0.21361439425648943</v>
      </c>
    </row>
    <row r="962" spans="2:2" x14ac:dyDescent="0.25">
      <c r="B962" s="47">
        <f t="shared" ca="1" si="16"/>
        <v>0.37118300908448698</v>
      </c>
    </row>
    <row r="963" spans="2:2" x14ac:dyDescent="0.25">
      <c r="B963" s="47">
        <f t="shared" ca="1" si="16"/>
        <v>0.12473106528066036</v>
      </c>
    </row>
    <row r="964" spans="2:2" x14ac:dyDescent="0.25">
      <c r="B964" s="47">
        <f t="shared" ca="1" si="16"/>
        <v>0.12246708992193267</v>
      </c>
    </row>
    <row r="965" spans="2:2" x14ac:dyDescent="0.25">
      <c r="B965" s="47">
        <f t="shared" ca="1" si="16"/>
        <v>0.35714297025328035</v>
      </c>
    </row>
    <row r="966" spans="2:2" x14ac:dyDescent="0.25">
      <c r="B966" s="47">
        <f t="shared" ca="1" si="16"/>
        <v>4.8601763510011553E-2</v>
      </c>
    </row>
    <row r="967" spans="2:2" x14ac:dyDescent="0.25">
      <c r="B967" s="47">
        <f t="shared" ca="1" si="16"/>
        <v>9.0058822444191056E-2</v>
      </c>
    </row>
    <row r="968" spans="2:2" x14ac:dyDescent="0.25">
      <c r="B968" s="47">
        <f t="shared" ref="B968:B1006" ca="1" si="17">RAND()</f>
        <v>0.50068754089253653</v>
      </c>
    </row>
    <row r="969" spans="2:2" x14ac:dyDescent="0.25">
      <c r="B969" s="47">
        <f t="shared" ca="1" si="17"/>
        <v>0.21199613362328718</v>
      </c>
    </row>
    <row r="970" spans="2:2" x14ac:dyDescent="0.25">
      <c r="B970" s="47">
        <f t="shared" ca="1" si="17"/>
        <v>0.23312117196639193</v>
      </c>
    </row>
    <row r="971" spans="2:2" x14ac:dyDescent="0.25">
      <c r="B971" s="47">
        <f t="shared" ca="1" si="17"/>
        <v>0.27479552588599865</v>
      </c>
    </row>
    <row r="972" spans="2:2" x14ac:dyDescent="0.25">
      <c r="B972" s="47">
        <f t="shared" ca="1" si="17"/>
        <v>0.33668676373313267</v>
      </c>
    </row>
    <row r="973" spans="2:2" x14ac:dyDescent="0.25">
      <c r="B973" s="47">
        <f t="shared" ca="1" si="17"/>
        <v>6.5643010443062866E-2</v>
      </c>
    </row>
    <row r="974" spans="2:2" x14ac:dyDescent="0.25">
      <c r="B974" s="47">
        <f t="shared" ca="1" si="17"/>
        <v>0.53561070936536792</v>
      </c>
    </row>
    <row r="975" spans="2:2" x14ac:dyDescent="0.25">
      <c r="B975" s="47">
        <f t="shared" ca="1" si="17"/>
        <v>0.26672690875692029</v>
      </c>
    </row>
    <row r="976" spans="2:2" x14ac:dyDescent="0.25">
      <c r="B976" s="47">
        <f t="shared" ca="1" si="17"/>
        <v>0.34066653565364835</v>
      </c>
    </row>
    <row r="977" spans="2:2" x14ac:dyDescent="0.25">
      <c r="B977" s="47">
        <f t="shared" ca="1" si="17"/>
        <v>0.76639849985343</v>
      </c>
    </row>
    <row r="978" spans="2:2" x14ac:dyDescent="0.25">
      <c r="B978" s="47">
        <f t="shared" ca="1" si="17"/>
        <v>0.46801374812769558</v>
      </c>
    </row>
    <row r="979" spans="2:2" x14ac:dyDescent="0.25">
      <c r="B979" s="47">
        <f t="shared" ca="1" si="17"/>
        <v>0.10765345723308084</v>
      </c>
    </row>
    <row r="980" spans="2:2" x14ac:dyDescent="0.25">
      <c r="B980" s="47">
        <f t="shared" ca="1" si="17"/>
        <v>0.13759766241713556</v>
      </c>
    </row>
    <row r="981" spans="2:2" x14ac:dyDescent="0.25">
      <c r="B981" s="47">
        <f t="shared" ca="1" si="17"/>
        <v>0.60852719183668924</v>
      </c>
    </row>
    <row r="982" spans="2:2" x14ac:dyDescent="0.25">
      <c r="B982" s="47">
        <f t="shared" ca="1" si="17"/>
        <v>0.70020395659509238</v>
      </c>
    </row>
    <row r="983" spans="2:2" x14ac:dyDescent="0.25">
      <c r="B983" s="47">
        <f t="shared" ca="1" si="17"/>
        <v>0.41251489690609022</v>
      </c>
    </row>
    <row r="984" spans="2:2" x14ac:dyDescent="0.25">
      <c r="B984" s="47">
        <f t="shared" ca="1" si="17"/>
        <v>0.98847365496484585</v>
      </c>
    </row>
    <row r="985" spans="2:2" x14ac:dyDescent="0.25">
      <c r="B985" s="47">
        <f t="shared" ca="1" si="17"/>
        <v>0.54865330300396442</v>
      </c>
    </row>
    <row r="986" spans="2:2" x14ac:dyDescent="0.25">
      <c r="B986" s="47">
        <f t="shared" ca="1" si="17"/>
        <v>0.46407424173581058</v>
      </c>
    </row>
    <row r="987" spans="2:2" x14ac:dyDescent="0.25">
      <c r="B987" s="47">
        <f t="shared" ca="1" si="17"/>
        <v>0.13244978468024227</v>
      </c>
    </row>
    <row r="988" spans="2:2" x14ac:dyDescent="0.25">
      <c r="B988" s="47">
        <f t="shared" ca="1" si="17"/>
        <v>0.46330126515479009</v>
      </c>
    </row>
    <row r="989" spans="2:2" x14ac:dyDescent="0.25">
      <c r="B989" s="47">
        <f t="shared" ca="1" si="17"/>
        <v>0.50321379265337862</v>
      </c>
    </row>
    <row r="990" spans="2:2" x14ac:dyDescent="0.25">
      <c r="B990" s="47">
        <f t="shared" ca="1" si="17"/>
        <v>0.61275185725107417</v>
      </c>
    </row>
    <row r="991" spans="2:2" x14ac:dyDescent="0.25">
      <c r="B991" s="47">
        <f t="shared" ca="1" si="17"/>
        <v>0.58105972639661108</v>
      </c>
    </row>
    <row r="992" spans="2:2" x14ac:dyDescent="0.25">
      <c r="B992" s="47">
        <f t="shared" ca="1" si="17"/>
        <v>0.24712363521673808</v>
      </c>
    </row>
    <row r="993" spans="2:2" x14ac:dyDescent="0.25">
      <c r="B993" s="47">
        <f t="shared" ca="1" si="17"/>
        <v>0.58661292204250848</v>
      </c>
    </row>
    <row r="994" spans="2:2" x14ac:dyDescent="0.25">
      <c r="B994" s="47">
        <f t="shared" ca="1" si="17"/>
        <v>0.54693664709893042</v>
      </c>
    </row>
    <row r="995" spans="2:2" x14ac:dyDescent="0.25">
      <c r="B995" s="47">
        <f t="shared" ca="1" si="17"/>
        <v>0.14645816824313995</v>
      </c>
    </row>
    <row r="996" spans="2:2" x14ac:dyDescent="0.25">
      <c r="B996" s="47">
        <f t="shared" ca="1" si="17"/>
        <v>0.66465860373849728</v>
      </c>
    </row>
    <row r="997" spans="2:2" x14ac:dyDescent="0.25">
      <c r="B997" s="47">
        <f t="shared" ca="1" si="17"/>
        <v>5.9572114813578492E-2</v>
      </c>
    </row>
    <row r="998" spans="2:2" x14ac:dyDescent="0.25">
      <c r="B998" s="47">
        <f t="shared" ca="1" si="17"/>
        <v>0.70960221724161254</v>
      </c>
    </row>
    <row r="999" spans="2:2" x14ac:dyDescent="0.25">
      <c r="B999" s="47">
        <f t="shared" ca="1" si="17"/>
        <v>0.5404224385099432</v>
      </c>
    </row>
    <row r="1000" spans="2:2" x14ac:dyDescent="0.25">
      <c r="B1000" s="47">
        <f t="shared" ca="1" si="17"/>
        <v>0.54503716992130269</v>
      </c>
    </row>
    <row r="1001" spans="2:2" x14ac:dyDescent="0.25">
      <c r="B1001" s="47">
        <f t="shared" ca="1" si="17"/>
        <v>0.70762151543691465</v>
      </c>
    </row>
    <row r="1002" spans="2:2" x14ac:dyDescent="0.25">
      <c r="B1002" s="47">
        <f t="shared" ca="1" si="17"/>
        <v>0.14676754064060304</v>
      </c>
    </row>
    <row r="1003" spans="2:2" x14ac:dyDescent="0.25">
      <c r="B1003" s="47">
        <f t="shared" ca="1" si="17"/>
        <v>0.88128280933553749</v>
      </c>
    </row>
    <row r="1004" spans="2:2" x14ac:dyDescent="0.25">
      <c r="B1004" s="47">
        <f t="shared" ca="1" si="17"/>
        <v>0.23620288435070924</v>
      </c>
    </row>
    <row r="1005" spans="2:2" x14ac:dyDescent="0.25">
      <c r="B1005" s="47">
        <f t="shared" ca="1" si="17"/>
        <v>0.63036712975440057</v>
      </c>
    </row>
    <row r="1006" spans="2:2" x14ac:dyDescent="0.25">
      <c r="B1006" s="47">
        <f t="shared" ca="1" si="17"/>
        <v>0.11866672345953233</v>
      </c>
    </row>
  </sheetData>
  <pageMargins left="0.7" right="0.7" top="0.75" bottom="0.75" header="0.3" footer="0.3"/>
  <pageSetup paperSize="119" scale="1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N10"/>
  <sheetViews>
    <sheetView workbookViewId="0"/>
  </sheetViews>
  <sheetFormatPr baseColWidth="10" defaultColWidth="9.140625" defaultRowHeight="12.75" x14ac:dyDescent="0.2"/>
  <sheetData>
    <row r="1" spans="1:40" x14ac:dyDescent="0.2">
      <c r="A1">
        <v>1</v>
      </c>
      <c r="B1">
        <v>0</v>
      </c>
    </row>
    <row r="2" spans="1:40" x14ac:dyDescent="0.2">
      <c r="A2">
        <v>0</v>
      </c>
    </row>
    <row r="3" spans="1:40" x14ac:dyDescent="0.2">
      <c r="A3" t="e">
        <f>#REF!</f>
        <v>#REF!</v>
      </c>
      <c r="B3" t="b">
        <v>1</v>
      </c>
      <c r="C3">
        <v>0</v>
      </c>
      <c r="D3">
        <v>1</v>
      </c>
      <c r="E3" t="s">
        <v>122</v>
      </c>
      <c r="F3">
        <v>1</v>
      </c>
      <c r="G3">
        <v>0</v>
      </c>
      <c r="H3">
        <v>0</v>
      </c>
      <c r="J3" t="s">
        <v>123</v>
      </c>
      <c r="K3" t="s">
        <v>124</v>
      </c>
      <c r="L3" t="s">
        <v>125</v>
      </c>
      <c r="AG3" t="e">
        <f>#REF!</f>
        <v>#REF!</v>
      </c>
      <c r="AH3">
        <v>1</v>
      </c>
      <c r="AI3">
        <v>1</v>
      </c>
      <c r="AJ3" t="b">
        <v>0</v>
      </c>
      <c r="AK3" t="b">
        <v>1</v>
      </c>
      <c r="AL3">
        <v>0</v>
      </c>
      <c r="AM3" t="b">
        <v>0</v>
      </c>
      <c r="AN3" t="e">
        <f>_</f>
        <v>#NAME?</v>
      </c>
    </row>
    <row r="4" spans="1:40" x14ac:dyDescent="0.2">
      <c r="A4">
        <v>0</v>
      </c>
    </row>
    <row r="5" spans="1:40" x14ac:dyDescent="0.2">
      <c r="A5" t="b">
        <v>0</v>
      </c>
      <c r="B5">
        <v>15680</v>
      </c>
      <c r="C5">
        <v>7345</v>
      </c>
      <c r="D5">
        <v>13120</v>
      </c>
      <c r="E5">
        <v>100</v>
      </c>
    </row>
    <row r="6" spans="1:40" x14ac:dyDescent="0.2">
      <c r="A6" t="b">
        <v>0</v>
      </c>
      <c r="B6">
        <v>15680</v>
      </c>
      <c r="C6">
        <v>7345</v>
      </c>
      <c r="D6">
        <v>13120</v>
      </c>
      <c r="E6">
        <v>500</v>
      </c>
    </row>
    <row r="7" spans="1:40" x14ac:dyDescent="0.2">
      <c r="A7" t="b">
        <v>0</v>
      </c>
      <c r="B7">
        <v>15680</v>
      </c>
      <c r="C7">
        <v>7345</v>
      </c>
      <c r="D7">
        <v>13120</v>
      </c>
      <c r="E7">
        <v>1000</v>
      </c>
    </row>
    <row r="8" spans="1:40" x14ac:dyDescent="0.2">
      <c r="A8" t="b">
        <v>0</v>
      </c>
      <c r="B8">
        <v>15680</v>
      </c>
      <c r="C8">
        <v>7345</v>
      </c>
      <c r="D8">
        <v>13120</v>
      </c>
      <c r="E8">
        <v>1500</v>
      </c>
    </row>
    <row r="9" spans="1:40" x14ac:dyDescent="0.2">
      <c r="A9" t="b">
        <v>0</v>
      </c>
      <c r="B9">
        <v>15680</v>
      </c>
      <c r="C9">
        <v>7345</v>
      </c>
      <c r="D9">
        <v>13120</v>
      </c>
      <c r="E9">
        <v>2000</v>
      </c>
    </row>
    <row r="10" spans="1:40" x14ac:dyDescent="0.2">
      <c r="A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U27"/>
  <sheetViews>
    <sheetView workbookViewId="0"/>
  </sheetViews>
  <sheetFormatPr baseColWidth="10" defaultColWidth="15.7109375" defaultRowHeight="12.75" x14ac:dyDescent="0.2"/>
  <cols>
    <col min="1" max="16384" width="15.7109375" style="1"/>
  </cols>
  <sheetData>
    <row r="1" spans="1:73" x14ac:dyDescent="0.2">
      <c r="A1" s="1" t="s">
        <v>82</v>
      </c>
      <c r="B1" s="29" t="e">
        <f>#REF!</f>
        <v>#REF!</v>
      </c>
      <c r="C1" s="30">
        <v>1</v>
      </c>
      <c r="D1" s="30">
        <v>0.5</v>
      </c>
      <c r="E1" s="28"/>
      <c r="F1" s="1" t="s">
        <v>95</v>
      </c>
      <c r="I1" s="1" t="s">
        <v>75</v>
      </c>
      <c r="J1" s="28">
        <v>3</v>
      </c>
      <c r="L1" s="1" t="s">
        <v>72</v>
      </c>
      <c r="M1" s="28" t="b">
        <v>1</v>
      </c>
      <c r="O1" s="1" t="s">
        <v>213</v>
      </c>
      <c r="Y1" s="1" t="s">
        <v>216</v>
      </c>
      <c r="AA1" s="1" t="s">
        <v>241</v>
      </c>
      <c r="AD1" s="1" t="s">
        <v>224</v>
      </c>
    </row>
    <row r="2" spans="1:73" x14ac:dyDescent="0.2">
      <c r="A2" s="1" t="s">
        <v>83</v>
      </c>
      <c r="B2" s="29">
        <v>2</v>
      </c>
      <c r="C2" s="29">
        <v>0</v>
      </c>
      <c r="F2" s="1" t="s">
        <v>96</v>
      </c>
      <c r="G2" s="29" t="b">
        <v>0</v>
      </c>
      <c r="H2" s="29"/>
      <c r="I2" s="1" t="s">
        <v>68</v>
      </c>
      <c r="J2" s="28"/>
      <c r="L2" s="1" t="s">
        <v>235</v>
      </c>
      <c r="M2" s="30">
        <v>200</v>
      </c>
      <c r="O2" s="1" t="s">
        <v>7</v>
      </c>
      <c r="P2" s="28"/>
      <c r="R2" s="1" t="s">
        <v>76</v>
      </c>
      <c r="S2" s="31" t="s">
        <v>99</v>
      </c>
      <c r="U2" s="1" t="s">
        <v>80</v>
      </c>
      <c r="V2" s="28"/>
      <c r="X2" s="1" t="s">
        <v>217</v>
      </c>
      <c r="Y2" s="29">
        <v>0</v>
      </c>
      <c r="AA2" s="1" t="s">
        <v>242</v>
      </c>
      <c r="AB2" s="29">
        <v>0</v>
      </c>
      <c r="AD2" s="1" t="s">
        <v>225</v>
      </c>
      <c r="AE2" s="29" t="b">
        <v>1</v>
      </c>
    </row>
    <row r="3" spans="1:73" x14ac:dyDescent="0.2">
      <c r="A3" s="1" t="s">
        <v>87</v>
      </c>
      <c r="B3" s="29" t="b">
        <v>0</v>
      </c>
      <c r="C3" s="29">
        <v>1000</v>
      </c>
      <c r="F3" s="1" t="s">
        <v>237</v>
      </c>
      <c r="G3" s="29" t="b">
        <v>0</v>
      </c>
      <c r="H3" s="29"/>
      <c r="I3" s="1" t="s">
        <v>69</v>
      </c>
      <c r="J3" s="33">
        <v>29</v>
      </c>
      <c r="L3" s="1" t="s">
        <v>234</v>
      </c>
      <c r="M3" s="30">
        <v>0</v>
      </c>
      <c r="N3" s="30">
        <v>0</v>
      </c>
      <c r="O3" s="1" t="s">
        <v>8</v>
      </c>
      <c r="P3" s="28"/>
      <c r="R3" s="1" t="s">
        <v>77</v>
      </c>
      <c r="S3" s="31" t="s">
        <v>100</v>
      </c>
      <c r="U3" s="1" t="s">
        <v>81</v>
      </c>
      <c r="V3" s="28"/>
      <c r="X3" s="1" t="s">
        <v>218</v>
      </c>
      <c r="Y3" s="29">
        <v>0.1</v>
      </c>
      <c r="AA3" s="1" t="s">
        <v>243</v>
      </c>
      <c r="AB3" s="28"/>
      <c r="AD3" s="1" t="s">
        <v>226</v>
      </c>
      <c r="AE3" s="29">
        <v>250</v>
      </c>
    </row>
    <row r="4" spans="1:73" x14ac:dyDescent="0.2">
      <c r="A4" s="1" t="s">
        <v>89</v>
      </c>
      <c r="B4" s="29" t="b">
        <v>0</v>
      </c>
      <c r="C4" s="29">
        <v>5</v>
      </c>
      <c r="D4" s="29">
        <v>2</v>
      </c>
      <c r="F4" s="1" t="s">
        <v>238</v>
      </c>
      <c r="G4" s="29" t="b">
        <v>0</v>
      </c>
      <c r="H4" s="29"/>
      <c r="L4" s="1" t="s">
        <v>222</v>
      </c>
      <c r="M4" s="30" t="b">
        <v>1</v>
      </c>
      <c r="O4" s="1" t="s">
        <v>70</v>
      </c>
      <c r="P4" s="28"/>
      <c r="R4" s="1" t="s">
        <v>78</v>
      </c>
      <c r="S4" s="31" t="s">
        <v>100</v>
      </c>
      <c r="X4" s="1" t="s">
        <v>219</v>
      </c>
      <c r="Y4" s="29">
        <v>0.5</v>
      </c>
      <c r="AA4" s="1" t="s">
        <v>244</v>
      </c>
      <c r="AB4" s="28"/>
      <c r="AD4" s="1" t="s">
        <v>227</v>
      </c>
      <c r="AE4" s="29" t="b">
        <v>0</v>
      </c>
    </row>
    <row r="5" spans="1:73" x14ac:dyDescent="0.2">
      <c r="A5" s="1" t="s">
        <v>90</v>
      </c>
      <c r="B5" s="29" t="b">
        <v>0</v>
      </c>
      <c r="C5" s="29">
        <v>100</v>
      </c>
      <c r="D5" s="29">
        <v>0.01</v>
      </c>
      <c r="E5" s="29" t="b">
        <v>1</v>
      </c>
      <c r="F5" s="1" t="s">
        <v>97</v>
      </c>
      <c r="G5" s="29" t="b">
        <v>0</v>
      </c>
      <c r="H5" s="29"/>
      <c r="L5" s="1" t="s">
        <v>223</v>
      </c>
      <c r="M5" s="30">
        <v>3</v>
      </c>
      <c r="O5" s="1" t="s">
        <v>71</v>
      </c>
      <c r="P5" s="28"/>
      <c r="R5" s="1" t="s">
        <v>79</v>
      </c>
      <c r="S5" s="31" t="s">
        <v>248</v>
      </c>
      <c r="X5" s="1" t="s">
        <v>220</v>
      </c>
      <c r="Y5" s="29" t="s">
        <v>247</v>
      </c>
      <c r="AA5" s="1" t="s">
        <v>245</v>
      </c>
      <c r="AB5" s="28"/>
      <c r="AD5" s="1" t="s">
        <v>228</v>
      </c>
      <c r="AE5" s="29">
        <v>15</v>
      </c>
    </row>
    <row r="6" spans="1:73" x14ac:dyDescent="0.2">
      <c r="A6" s="1" t="s">
        <v>88</v>
      </c>
      <c r="B6" s="29" t="b">
        <v>0</v>
      </c>
      <c r="C6" s="29"/>
      <c r="F6" s="1" t="s">
        <v>98</v>
      </c>
      <c r="G6" s="29" t="b">
        <v>0</v>
      </c>
      <c r="H6" s="29"/>
      <c r="L6" s="1" t="s">
        <v>239</v>
      </c>
      <c r="M6" s="30" t="b">
        <v>0</v>
      </c>
      <c r="N6" s="30"/>
      <c r="R6" s="1" t="s">
        <v>214</v>
      </c>
      <c r="S6" s="28"/>
      <c r="X6" s="1" t="s">
        <v>221</v>
      </c>
      <c r="Y6" s="30" t="b">
        <v>1</v>
      </c>
      <c r="AA6" s="1" t="s">
        <v>246</v>
      </c>
      <c r="AB6" s="28"/>
      <c r="AD6" s="1" t="s">
        <v>229</v>
      </c>
      <c r="AE6" s="29">
        <v>2</v>
      </c>
    </row>
    <row r="7" spans="1:73" x14ac:dyDescent="0.2">
      <c r="A7" s="1" t="s">
        <v>84</v>
      </c>
      <c r="B7" s="29">
        <v>50</v>
      </c>
      <c r="L7" s="1" t="s">
        <v>240</v>
      </c>
      <c r="M7" s="30" t="b">
        <v>0</v>
      </c>
      <c r="N7" s="30"/>
      <c r="R7" s="1" t="s">
        <v>215</v>
      </c>
      <c r="S7" s="28"/>
      <c r="AD7" s="1" t="s">
        <v>230</v>
      </c>
      <c r="AE7" s="29" t="b">
        <v>0</v>
      </c>
    </row>
    <row r="8" spans="1:73" x14ac:dyDescent="0.2">
      <c r="A8" s="1" t="s">
        <v>46</v>
      </c>
      <c r="B8" s="1" t="s">
        <v>46</v>
      </c>
      <c r="F8" s="1" t="s">
        <v>85</v>
      </c>
      <c r="G8" s="29" t="b">
        <v>1</v>
      </c>
      <c r="H8" s="29">
        <v>1</v>
      </c>
      <c r="AD8" s="1" t="s">
        <v>231</v>
      </c>
      <c r="AE8" s="29">
        <v>100</v>
      </c>
    </row>
    <row r="9" spans="1:73" x14ac:dyDescent="0.2">
      <c r="A9" s="1" t="s">
        <v>94</v>
      </c>
      <c r="B9" s="29">
        <v>3</v>
      </c>
      <c r="F9" s="1" t="s">
        <v>91</v>
      </c>
      <c r="G9" s="29" t="b">
        <v>0</v>
      </c>
      <c r="AD9" s="1" t="s">
        <v>232</v>
      </c>
      <c r="AE9" s="29">
        <v>0.01</v>
      </c>
    </row>
    <row r="10" spans="1:73" x14ac:dyDescent="0.2">
      <c r="A10" s="1" t="s">
        <v>86</v>
      </c>
      <c r="B10" s="29" t="b">
        <v>0</v>
      </c>
      <c r="AD10" s="1" t="s">
        <v>233</v>
      </c>
      <c r="AE10" s="29" t="b">
        <v>1</v>
      </c>
    </row>
    <row r="11" spans="1:73" x14ac:dyDescent="0.2">
      <c r="A11" s="1" t="s">
        <v>236</v>
      </c>
      <c r="B11" s="29" t="b">
        <v>1</v>
      </c>
    </row>
    <row r="12" spans="1:73" x14ac:dyDescent="0.2">
      <c r="A12" s="1" t="s">
        <v>93</v>
      </c>
      <c r="B12" s="29" t="b">
        <v>0</v>
      </c>
      <c r="F12" s="1" t="s">
        <v>92</v>
      </c>
      <c r="G12" s="29">
        <v>2</v>
      </c>
    </row>
    <row r="14" spans="1:73" ht="13.5" thickBot="1" x14ac:dyDescent="0.25">
      <c r="A14" s="1" t="s">
        <v>73</v>
      </c>
      <c r="B14" s="28">
        <v>1</v>
      </c>
      <c r="AX14" s="1" t="s">
        <v>74</v>
      </c>
      <c r="AY14" s="28">
        <v>0</v>
      </c>
    </row>
    <row r="15" spans="1:73" s="27" customFormat="1" ht="13.5" thickTop="1" x14ac:dyDescent="0.2">
      <c r="A15" s="27" t="s">
        <v>199</v>
      </c>
      <c r="B15" s="27" t="s">
        <v>200</v>
      </c>
      <c r="C15" s="27" t="s">
        <v>201</v>
      </c>
      <c r="D15" s="27" t="s">
        <v>47</v>
      </c>
      <c r="E15" s="27" t="s">
        <v>48</v>
      </c>
      <c r="F15" s="27" t="s">
        <v>49</v>
      </c>
      <c r="G15" s="27" t="s">
        <v>50</v>
      </c>
      <c r="H15" s="27" t="s">
        <v>51</v>
      </c>
      <c r="I15" s="27" t="s">
        <v>52</v>
      </c>
      <c r="J15" s="27" t="s">
        <v>53</v>
      </c>
      <c r="K15" s="27" t="s">
        <v>54</v>
      </c>
      <c r="AR15" s="27" t="s">
        <v>55</v>
      </c>
      <c r="AX15" s="27" t="s">
        <v>56</v>
      </c>
      <c r="AY15" s="27" t="s">
        <v>57</v>
      </c>
      <c r="AZ15" s="27" t="s">
        <v>58</v>
      </c>
      <c r="BA15" s="27" t="s">
        <v>47</v>
      </c>
      <c r="BB15" s="27" t="s">
        <v>59</v>
      </c>
      <c r="BC15" s="27" t="s">
        <v>60</v>
      </c>
      <c r="BD15" s="27" t="s">
        <v>61</v>
      </c>
      <c r="BE15" s="27" t="s">
        <v>62</v>
      </c>
      <c r="BF15" s="27" t="s">
        <v>63</v>
      </c>
      <c r="BG15" s="27" t="s">
        <v>64</v>
      </c>
      <c r="BH15" s="27" t="s">
        <v>65</v>
      </c>
      <c r="BI15" s="27" t="s">
        <v>66</v>
      </c>
      <c r="BJ15" s="27" t="s">
        <v>67</v>
      </c>
      <c r="BK15" s="27" t="s">
        <v>202</v>
      </c>
      <c r="BL15" s="27" t="s">
        <v>203</v>
      </c>
      <c r="BM15" s="27" t="s">
        <v>204</v>
      </c>
      <c r="BN15" s="27" t="s">
        <v>205</v>
      </c>
      <c r="BO15" s="27" t="s">
        <v>206</v>
      </c>
      <c r="BP15" s="27" t="s">
        <v>207</v>
      </c>
      <c r="BQ15" s="27" t="s">
        <v>208</v>
      </c>
      <c r="BR15" s="27" t="s">
        <v>209</v>
      </c>
      <c r="BS15" s="27" t="s">
        <v>210</v>
      </c>
      <c r="BT15" s="27" t="s">
        <v>211</v>
      </c>
      <c r="BU15" s="27" t="s">
        <v>212</v>
      </c>
    </row>
    <row r="16" spans="1:73" x14ac:dyDescent="0.2">
      <c r="A16" s="1" t="s">
        <v>113</v>
      </c>
      <c r="B16" s="1">
        <v>0.1</v>
      </c>
      <c r="C16" s="1">
        <v>0.5</v>
      </c>
      <c r="D16" s="32" t="s">
        <v>105</v>
      </c>
      <c r="G16" s="1">
        <v>1</v>
      </c>
      <c r="H16" s="1" t="e">
        <f>#REF!</f>
        <v>#REF!</v>
      </c>
      <c r="I16" s="1">
        <v>36.5</v>
      </c>
      <c r="J16" s="1">
        <v>39.5</v>
      </c>
      <c r="K16" s="1" t="s">
        <v>114</v>
      </c>
    </row>
    <row r="17" spans="1:1" x14ac:dyDescent="0.2">
      <c r="A17" s="1" t="s">
        <v>101</v>
      </c>
    </row>
    <row r="18" spans="1:1" x14ac:dyDescent="0.2">
      <c r="A18" s="1" t="s">
        <v>102</v>
      </c>
    </row>
    <row r="19" spans="1:1" x14ac:dyDescent="0.2">
      <c r="A19" s="1" t="s">
        <v>103</v>
      </c>
    </row>
    <row r="20" spans="1:1" x14ac:dyDescent="0.2">
      <c r="A20" s="1" t="s">
        <v>104</v>
      </c>
    </row>
    <row r="21" spans="1:1" x14ac:dyDescent="0.2">
      <c r="A21" s="1" t="s">
        <v>106</v>
      </c>
    </row>
    <row r="22" spans="1:1" x14ac:dyDescent="0.2">
      <c r="A22" s="1" t="s">
        <v>107</v>
      </c>
    </row>
    <row r="23" spans="1:1" x14ac:dyDescent="0.2">
      <c r="A23" s="1" t="s">
        <v>108</v>
      </c>
    </row>
    <row r="24" spans="1:1" x14ac:dyDescent="0.2">
      <c r="A24" s="1" t="s">
        <v>109</v>
      </c>
    </row>
    <row r="25" spans="1:1" x14ac:dyDescent="0.2">
      <c r="A25" s="1" t="s">
        <v>110</v>
      </c>
    </row>
    <row r="26" spans="1:1" x14ac:dyDescent="0.2">
      <c r="A26" s="1" t="s">
        <v>111</v>
      </c>
    </row>
    <row r="27" spans="1:1" x14ac:dyDescent="0.2">
      <c r="A27" s="1"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description</vt:lpstr>
      <vt:lpstr>cash flows</vt:lpstr>
      <vt:lpstr>CB_DATA_</vt:lpstr>
      <vt:lpstr>Assumptions</vt:lpstr>
      <vt:lpstr>Analyse</vt:lpstr>
      <vt:lpstr>RiskSerializationData</vt:lpstr>
      <vt:lpstr>ro_HiddenInfo</vt:lpstr>
      <vt:lpstr>Analyse!echantillon</vt:lpstr>
    </vt:vector>
  </TitlesOfParts>
  <Company>HEC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Utilisateur</dc:creator>
  <cp:lastModifiedBy>Erick</cp:lastModifiedBy>
  <cp:lastPrinted>2012-04-03T19:12:00Z</cp:lastPrinted>
  <dcterms:created xsi:type="dcterms:W3CDTF">2005-12-16T08:27:19Z</dcterms:created>
  <dcterms:modified xsi:type="dcterms:W3CDTF">2017-09-29T14:01:53Z</dcterms:modified>
</cp:coreProperties>
</file>