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erickdelage/Dropbox/MyDocuments/My Classes/MSc_AnalyseDecisions/AD_Automne2016/Lectures/Seance_9/"/>
    </mc:Choice>
  </mc:AlternateContent>
  <bookViews>
    <workbookView xWindow="34400" yWindow="-3340" windowWidth="25600" windowHeight="15540"/>
  </bookViews>
  <sheets>
    <sheet name="Calcul" sheetId="3" r:id="rId1"/>
    <sheet name="Graph" sheetId="4" r:id="rId2"/>
  </sheets>
  <calcPr calcId="1525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4" l="1"/>
  <c r="D42" i="4"/>
  <c r="C42" i="4"/>
  <c r="F42" i="4"/>
  <c r="G42" i="4"/>
  <c r="J42" i="4"/>
  <c r="K42" i="4"/>
  <c r="N42" i="4"/>
  <c r="O42" i="4"/>
  <c r="R42" i="4"/>
  <c r="S42" i="4"/>
  <c r="V42" i="4"/>
  <c r="W42" i="4"/>
  <c r="B37" i="4"/>
  <c r="D37" i="4"/>
  <c r="C37" i="4"/>
  <c r="F37" i="4"/>
  <c r="G37" i="4"/>
  <c r="J37" i="4"/>
  <c r="K37" i="4"/>
  <c r="N37" i="4"/>
  <c r="O37" i="4"/>
  <c r="R37" i="4"/>
  <c r="S37" i="4"/>
  <c r="V37" i="4"/>
  <c r="W37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6" i="4"/>
  <c r="B36" i="4"/>
  <c r="B31" i="4"/>
  <c r="B32" i="4"/>
  <c r="B33" i="4"/>
  <c r="B34" i="4"/>
  <c r="B35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7" i="4"/>
  <c r="V15" i="4"/>
  <c r="W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D15" i="4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19" i="3"/>
  <c r="D16" i="3" a="1"/>
  <c r="D16" i="3"/>
  <c r="G9" i="3"/>
  <c r="G10" i="3"/>
  <c r="G11" i="3"/>
  <c r="G12" i="3"/>
  <c r="F12" i="3"/>
  <c r="F11" i="3"/>
  <c r="F10" i="3"/>
  <c r="F9" i="3"/>
  <c r="E6" i="3"/>
  <c r="H11" i="3"/>
  <c r="U42" i="4"/>
  <c r="Q42" i="4"/>
  <c r="M42" i="4"/>
  <c r="I42" i="4"/>
  <c r="E42" i="4"/>
  <c r="B43" i="4"/>
  <c r="T42" i="4"/>
  <c r="P42" i="4"/>
  <c r="L42" i="4"/>
  <c r="H42" i="4"/>
  <c r="U37" i="4"/>
  <c r="Q37" i="4"/>
  <c r="M37" i="4"/>
  <c r="I37" i="4"/>
  <c r="E37" i="4"/>
  <c r="B38" i="4"/>
  <c r="T37" i="4"/>
  <c r="P37" i="4"/>
  <c r="L37" i="4"/>
  <c r="H37" i="4"/>
  <c r="H9" i="3"/>
  <c r="H10" i="3"/>
  <c r="F16" i="3"/>
  <c r="E16" i="3"/>
  <c r="G16" i="3"/>
  <c r="H12" i="3"/>
  <c r="D17" i="3" a="1"/>
  <c r="F43" i="4"/>
  <c r="J43" i="4"/>
  <c r="N43" i="4"/>
  <c r="R43" i="4"/>
  <c r="V43" i="4"/>
  <c r="C43" i="4"/>
  <c r="G43" i="4"/>
  <c r="K43" i="4"/>
  <c r="O43" i="4"/>
  <c r="S43" i="4"/>
  <c r="W43" i="4"/>
  <c r="D43" i="4"/>
  <c r="H43" i="4"/>
  <c r="L43" i="4"/>
  <c r="P43" i="4"/>
  <c r="T43" i="4"/>
  <c r="B44" i="4"/>
  <c r="E43" i="4"/>
  <c r="I43" i="4"/>
  <c r="M43" i="4"/>
  <c r="Q43" i="4"/>
  <c r="U43" i="4"/>
  <c r="F38" i="4"/>
  <c r="J38" i="4"/>
  <c r="N38" i="4"/>
  <c r="R38" i="4"/>
  <c r="V38" i="4"/>
  <c r="C38" i="4"/>
  <c r="G38" i="4"/>
  <c r="K38" i="4"/>
  <c r="O38" i="4"/>
  <c r="S38" i="4"/>
  <c r="W38" i="4"/>
  <c r="D38" i="4"/>
  <c r="H38" i="4"/>
  <c r="L38" i="4"/>
  <c r="P38" i="4"/>
  <c r="T38" i="4"/>
  <c r="B39" i="4"/>
  <c r="E38" i="4"/>
  <c r="I38" i="4"/>
  <c r="M38" i="4"/>
  <c r="Q38" i="4"/>
  <c r="U38" i="4"/>
  <c r="H19" i="3"/>
  <c r="H18" i="3"/>
  <c r="H21" i="3"/>
  <c r="H22" i="3"/>
  <c r="H20" i="3"/>
  <c r="H35" i="3"/>
  <c r="H33" i="3"/>
  <c r="H37" i="3"/>
  <c r="H34" i="3"/>
  <c r="H36" i="3"/>
  <c r="H38" i="3"/>
  <c r="H23" i="3"/>
  <c r="H27" i="3"/>
  <c r="H31" i="3"/>
  <c r="H25" i="3"/>
  <c r="H29" i="3"/>
  <c r="H30" i="3"/>
  <c r="H24" i="3"/>
  <c r="H28" i="3"/>
  <c r="H32" i="3"/>
  <c r="H26" i="3"/>
  <c r="D17" i="3"/>
  <c r="F17" i="3"/>
  <c r="E17" i="3"/>
  <c r="G17" i="3"/>
  <c r="D44" i="4"/>
  <c r="H44" i="4"/>
  <c r="L44" i="4"/>
  <c r="P44" i="4"/>
  <c r="T44" i="4"/>
  <c r="B45" i="4"/>
  <c r="E44" i="4"/>
  <c r="I44" i="4"/>
  <c r="M44" i="4"/>
  <c r="Q44" i="4"/>
  <c r="U44" i="4"/>
  <c r="F44" i="4"/>
  <c r="J44" i="4"/>
  <c r="N44" i="4"/>
  <c r="R44" i="4"/>
  <c r="V44" i="4"/>
  <c r="C44" i="4"/>
  <c r="G44" i="4"/>
  <c r="K44" i="4"/>
  <c r="O44" i="4"/>
  <c r="S44" i="4"/>
  <c r="W44" i="4"/>
  <c r="D39" i="4"/>
  <c r="H39" i="4"/>
  <c r="L39" i="4"/>
  <c r="P39" i="4"/>
  <c r="T39" i="4"/>
  <c r="B40" i="4"/>
  <c r="E39" i="4"/>
  <c r="I39" i="4"/>
  <c r="M39" i="4"/>
  <c r="Q39" i="4"/>
  <c r="U39" i="4"/>
  <c r="F39" i="4"/>
  <c r="J39" i="4"/>
  <c r="N39" i="4"/>
  <c r="R39" i="4"/>
  <c r="V39" i="4"/>
  <c r="C39" i="4"/>
  <c r="G39" i="4"/>
  <c r="K39" i="4"/>
  <c r="O39" i="4"/>
  <c r="S39" i="4"/>
  <c r="W39" i="4"/>
  <c r="F45" i="4"/>
  <c r="J45" i="4"/>
  <c r="N45" i="4"/>
  <c r="R45" i="4"/>
  <c r="V45" i="4"/>
  <c r="C45" i="4"/>
  <c r="G45" i="4"/>
  <c r="K45" i="4"/>
  <c r="O45" i="4"/>
  <c r="S45" i="4"/>
  <c r="W45" i="4"/>
  <c r="D45" i="4"/>
  <c r="H45" i="4"/>
  <c r="L45" i="4"/>
  <c r="P45" i="4"/>
  <c r="T45" i="4"/>
  <c r="B46" i="4"/>
  <c r="E45" i="4"/>
  <c r="U45" i="4"/>
  <c r="I45" i="4"/>
  <c r="M45" i="4"/>
  <c r="Q45" i="4"/>
  <c r="F40" i="4"/>
  <c r="J40" i="4"/>
  <c r="N40" i="4"/>
  <c r="R40" i="4"/>
  <c r="V40" i="4"/>
  <c r="C40" i="4"/>
  <c r="G40" i="4"/>
  <c r="K40" i="4"/>
  <c r="O40" i="4"/>
  <c r="S40" i="4"/>
  <c r="W40" i="4"/>
  <c r="D40" i="4"/>
  <c r="H40" i="4"/>
  <c r="L40" i="4"/>
  <c r="P40" i="4"/>
  <c r="T40" i="4"/>
  <c r="B41" i="4"/>
  <c r="E40" i="4"/>
  <c r="U40" i="4"/>
  <c r="I40" i="4"/>
  <c r="M40" i="4"/>
  <c r="Q40" i="4"/>
  <c r="D46" i="4"/>
  <c r="H46" i="4"/>
  <c r="L46" i="4"/>
  <c r="P46" i="4"/>
  <c r="T46" i="4"/>
  <c r="E46" i="4"/>
  <c r="I46" i="4"/>
  <c r="M46" i="4"/>
  <c r="Q46" i="4"/>
  <c r="U46" i="4"/>
  <c r="F46" i="4"/>
  <c r="J46" i="4"/>
  <c r="N46" i="4"/>
  <c r="R46" i="4"/>
  <c r="V46" i="4"/>
  <c r="O46" i="4"/>
  <c r="C46" i="4"/>
  <c r="S46" i="4"/>
  <c r="G46" i="4"/>
  <c r="W46" i="4"/>
  <c r="K46" i="4"/>
  <c r="D41" i="4"/>
  <c r="H41" i="4"/>
  <c r="L41" i="4"/>
  <c r="P41" i="4"/>
  <c r="T41" i="4"/>
  <c r="E41" i="4"/>
  <c r="I41" i="4"/>
  <c r="M41" i="4"/>
  <c r="Q41" i="4"/>
  <c r="U41" i="4"/>
  <c r="F41" i="4"/>
  <c r="J41" i="4"/>
  <c r="N41" i="4"/>
  <c r="R41" i="4"/>
  <c r="V41" i="4"/>
  <c r="O41" i="4"/>
  <c r="C41" i="4"/>
  <c r="S41" i="4"/>
  <c r="G41" i="4"/>
  <c r="W41" i="4"/>
  <c r="K41" i="4"/>
</calcChain>
</file>

<file path=xl/sharedStrings.xml><?xml version="1.0" encoding="utf-8"?>
<sst xmlns="http://schemas.openxmlformats.org/spreadsheetml/2006/main" count="18" uniqueCount="18">
  <si>
    <t>Elite Wagen</t>
  </si>
  <si>
    <t>Portalo</t>
  </si>
  <si>
    <t>Norushi</t>
  </si>
  <si>
    <t>Standard Motors</t>
  </si>
  <si>
    <t>Prix</t>
  </si>
  <si>
    <t>Durée de vie</t>
  </si>
  <si>
    <t>u1()</t>
  </si>
  <si>
    <t>u2()</t>
  </si>
  <si>
    <t>u totale</t>
  </si>
  <si>
    <t>poids</t>
  </si>
  <si>
    <t>k1</t>
  </si>
  <si>
    <t>k2</t>
  </si>
  <si>
    <t>Poid</t>
  </si>
  <si>
    <t>u1(x1)</t>
  </si>
  <si>
    <t>=1-((12-x1)/6)^2</t>
  </si>
  <si>
    <t>u2(x2)</t>
  </si>
  <si>
    <t>=1-((x2-8000)/10000)</t>
  </si>
  <si>
    <t>Meilleure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</si>
</sst>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Calcul!$D$16</c:f>
              <c:strCache>
                <c:ptCount val="1"/>
                <c:pt idx="0">
                  <c:v>Elite Wagen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Calcul!$C$18:$C$39</c:f>
              <c:numCache>
                <c:formatCode>General</c:formatCode>
                <c:ptCount val="22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1.0</c:v>
                </c:pt>
              </c:numCache>
            </c:numRef>
          </c:xVal>
          <c:yVal>
            <c:numRef>
              <c:f>Calcul!$D$18:$D$39</c:f>
              <c:numCache>
                <c:formatCode>General</c:formatCode>
                <c:ptCount val="22"/>
                <c:pt idx="0">
                  <c:v>0.0</c:v>
                </c:pt>
                <c:pt idx="1">
                  <c:v>0.0444444444444444</c:v>
                </c:pt>
                <c:pt idx="2">
                  <c:v>0.0888888888888889</c:v>
                </c:pt>
                <c:pt idx="3">
                  <c:v>0.133333333333333</c:v>
                </c:pt>
                <c:pt idx="4">
                  <c:v>0.177777777777778</c:v>
                </c:pt>
                <c:pt idx="5">
                  <c:v>0.222222222222222</c:v>
                </c:pt>
                <c:pt idx="6">
                  <c:v>0.266666666666667</c:v>
                </c:pt>
                <c:pt idx="7">
                  <c:v>0.311111111111111</c:v>
                </c:pt>
                <c:pt idx="8">
                  <c:v>0.355555555555555</c:v>
                </c:pt>
                <c:pt idx="9">
                  <c:v>0.4</c:v>
                </c:pt>
                <c:pt idx="10">
                  <c:v>0.444444444444444</c:v>
                </c:pt>
                <c:pt idx="11">
                  <c:v>0.488888888888889</c:v>
                </c:pt>
                <c:pt idx="12">
                  <c:v>0.533333333333333</c:v>
                </c:pt>
                <c:pt idx="13">
                  <c:v>0.577777777777778</c:v>
                </c:pt>
                <c:pt idx="14">
                  <c:v>0.622222222222222</c:v>
                </c:pt>
                <c:pt idx="15">
                  <c:v>0.666666666666667</c:v>
                </c:pt>
                <c:pt idx="16">
                  <c:v>0.711111111111111</c:v>
                </c:pt>
                <c:pt idx="17">
                  <c:v>0.755555555555556</c:v>
                </c:pt>
                <c:pt idx="18">
                  <c:v>0.8</c:v>
                </c:pt>
                <c:pt idx="19">
                  <c:v>0.844444444444445</c:v>
                </c:pt>
                <c:pt idx="20">
                  <c:v>0.888888888888889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Calcul!$E$16</c:f>
              <c:strCache>
                <c:ptCount val="1"/>
                <c:pt idx="0">
                  <c:v>Portalo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Calcul!$C$18:$C$39</c:f>
              <c:numCache>
                <c:formatCode>General</c:formatCode>
                <c:ptCount val="22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1.0</c:v>
                </c:pt>
              </c:numCache>
            </c:numRef>
          </c:xVal>
          <c:yVal>
            <c:numRef>
              <c:f>Calcul!$E$18:$E$39</c:f>
              <c:numCache>
                <c:formatCode>General</c:formatCode>
                <c:ptCount val="22"/>
                <c:pt idx="0">
                  <c:v>0.1</c:v>
                </c:pt>
                <c:pt idx="1">
                  <c:v>0.145</c:v>
                </c:pt>
                <c:pt idx="2">
                  <c:v>0.19</c:v>
                </c:pt>
                <c:pt idx="3">
                  <c:v>0.235</c:v>
                </c:pt>
                <c:pt idx="4">
                  <c:v>0.28</c:v>
                </c:pt>
                <c:pt idx="5">
                  <c:v>0.325</c:v>
                </c:pt>
                <c:pt idx="6">
                  <c:v>0.37</c:v>
                </c:pt>
                <c:pt idx="7">
                  <c:v>0.415</c:v>
                </c:pt>
                <c:pt idx="8">
                  <c:v>0.46</c:v>
                </c:pt>
                <c:pt idx="9">
                  <c:v>0.505</c:v>
                </c:pt>
                <c:pt idx="10">
                  <c:v>0.55</c:v>
                </c:pt>
                <c:pt idx="11">
                  <c:v>0.595</c:v>
                </c:pt>
                <c:pt idx="12">
                  <c:v>0.64</c:v>
                </c:pt>
                <c:pt idx="13">
                  <c:v>0.685</c:v>
                </c:pt>
                <c:pt idx="14">
                  <c:v>0.73</c:v>
                </c:pt>
                <c:pt idx="15">
                  <c:v>0.775</c:v>
                </c:pt>
                <c:pt idx="16">
                  <c:v>0.82</c:v>
                </c:pt>
                <c:pt idx="17">
                  <c:v>0.865</c:v>
                </c:pt>
                <c:pt idx="18">
                  <c:v>0.91</c:v>
                </c:pt>
                <c:pt idx="19">
                  <c:v>0.955</c:v>
                </c:pt>
                <c:pt idx="20">
                  <c:v>1.0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Calcul!$F$16</c:f>
              <c:strCache>
                <c:ptCount val="1"/>
                <c:pt idx="0">
                  <c:v>Norushi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Calcul!$C$18:$C$39</c:f>
              <c:numCache>
                <c:formatCode>General</c:formatCode>
                <c:ptCount val="22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1.0</c:v>
                </c:pt>
              </c:numCache>
            </c:numRef>
          </c:xVal>
          <c:yVal>
            <c:numRef>
              <c:f>Calcul!$F$18:$F$39</c:f>
              <c:numCache>
                <c:formatCode>General</c:formatCode>
                <c:ptCount val="22"/>
                <c:pt idx="0">
                  <c:v>0.8</c:v>
                </c:pt>
                <c:pt idx="1">
                  <c:v>0.7975</c:v>
                </c:pt>
                <c:pt idx="2">
                  <c:v>0.795</c:v>
                </c:pt>
                <c:pt idx="3">
                  <c:v>0.7925</c:v>
                </c:pt>
                <c:pt idx="4">
                  <c:v>0.79</c:v>
                </c:pt>
                <c:pt idx="5">
                  <c:v>0.7875</c:v>
                </c:pt>
                <c:pt idx="6">
                  <c:v>0.785</c:v>
                </c:pt>
                <c:pt idx="7">
                  <c:v>0.7825</c:v>
                </c:pt>
                <c:pt idx="8">
                  <c:v>0.78</c:v>
                </c:pt>
                <c:pt idx="9">
                  <c:v>0.7775</c:v>
                </c:pt>
                <c:pt idx="10">
                  <c:v>0.775</c:v>
                </c:pt>
                <c:pt idx="11">
                  <c:v>0.7725</c:v>
                </c:pt>
                <c:pt idx="12">
                  <c:v>0.77</c:v>
                </c:pt>
                <c:pt idx="13">
                  <c:v>0.7675</c:v>
                </c:pt>
                <c:pt idx="14">
                  <c:v>0.765</c:v>
                </c:pt>
                <c:pt idx="15">
                  <c:v>0.7625</c:v>
                </c:pt>
                <c:pt idx="16">
                  <c:v>0.76</c:v>
                </c:pt>
                <c:pt idx="17">
                  <c:v>0.7575</c:v>
                </c:pt>
                <c:pt idx="18">
                  <c:v>0.755</c:v>
                </c:pt>
                <c:pt idx="19">
                  <c:v>0.7525</c:v>
                </c:pt>
                <c:pt idx="20">
                  <c:v>0.75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Calcul!$G$16</c:f>
              <c:strCache>
                <c:ptCount val="1"/>
                <c:pt idx="0">
                  <c:v>Standard Motors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Calcul!$C$18:$C$39</c:f>
              <c:numCache>
                <c:formatCode>General</c:formatCode>
                <c:ptCount val="22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1.0</c:v>
                </c:pt>
              </c:numCache>
            </c:numRef>
          </c:xVal>
          <c:yVal>
            <c:numRef>
              <c:f>Calcul!$G$18:$G$39</c:f>
              <c:numCache>
                <c:formatCode>General</c:formatCode>
                <c:ptCount val="22"/>
                <c:pt idx="0">
                  <c:v>1.0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</c:v>
                </c:pt>
                <c:pt idx="10">
                  <c:v>0.5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0.25</c:v>
                </c:pt>
                <c:pt idx="16">
                  <c:v>0.2</c:v>
                </c:pt>
                <c:pt idx="17">
                  <c:v>0.15</c:v>
                </c:pt>
                <c:pt idx="18">
                  <c:v>0.0999999999999997</c:v>
                </c:pt>
                <c:pt idx="19">
                  <c:v>0.0499999999999997</c:v>
                </c:pt>
                <c:pt idx="20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657792"/>
        <c:axId val="2138661728"/>
      </c:scatterChart>
      <c:valAx>
        <c:axId val="21386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8661728"/>
        <c:crosses val="autoZero"/>
        <c:crossBetween val="midCat"/>
      </c:valAx>
      <c:valAx>
        <c:axId val="21386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86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1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867753718285214"/>
          <c:y val="0.139305555555556"/>
          <c:w val="0.830467629046369"/>
          <c:h val="0.591998396033829"/>
        </c:manualLayout>
      </c:layout>
      <c:surface3DChart>
        <c:wireframe val="0"/>
        <c:ser>
          <c:idx val="0"/>
          <c:order val="0"/>
          <c:tx>
            <c:strRef>
              <c:f>Graph!$C$15</c:f>
              <c:strCache>
                <c:ptCount val="1"/>
                <c:pt idx="0">
                  <c:v>8000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Graph!$C$16:$C$46</c:f>
              <c:numCache>
                <c:formatCode>General</c:formatCode>
                <c:ptCount val="31"/>
                <c:pt idx="0">
                  <c:v>0.55</c:v>
                </c:pt>
                <c:pt idx="1">
                  <c:v>0.5795</c:v>
                </c:pt>
                <c:pt idx="2">
                  <c:v>0.608</c:v>
                </c:pt>
                <c:pt idx="3">
                  <c:v>0.6355</c:v>
                </c:pt>
                <c:pt idx="4">
                  <c:v>0.662</c:v>
                </c:pt>
                <c:pt idx="5">
                  <c:v>0.6875</c:v>
                </c:pt>
                <c:pt idx="6">
                  <c:v>0.712</c:v>
                </c:pt>
                <c:pt idx="7">
                  <c:v>0.7355</c:v>
                </c:pt>
                <c:pt idx="8">
                  <c:v>0.758</c:v>
                </c:pt>
                <c:pt idx="9">
                  <c:v>0.7795</c:v>
                </c:pt>
                <c:pt idx="10">
                  <c:v>0.8</c:v>
                </c:pt>
                <c:pt idx="11">
                  <c:v>0.8195</c:v>
                </c:pt>
                <c:pt idx="12">
                  <c:v>0.838</c:v>
                </c:pt>
                <c:pt idx="13">
                  <c:v>0.8555</c:v>
                </c:pt>
                <c:pt idx="14">
                  <c:v>0.872</c:v>
                </c:pt>
                <c:pt idx="15">
                  <c:v>0.8875</c:v>
                </c:pt>
                <c:pt idx="16">
                  <c:v>0.902</c:v>
                </c:pt>
                <c:pt idx="17">
                  <c:v>0.9155</c:v>
                </c:pt>
                <c:pt idx="18">
                  <c:v>0.928</c:v>
                </c:pt>
                <c:pt idx="19">
                  <c:v>0.9395</c:v>
                </c:pt>
                <c:pt idx="20">
                  <c:v>0.95</c:v>
                </c:pt>
                <c:pt idx="21">
                  <c:v>0.9595</c:v>
                </c:pt>
                <c:pt idx="22">
                  <c:v>0.968</c:v>
                </c:pt>
                <c:pt idx="23">
                  <c:v>0.9755</c:v>
                </c:pt>
                <c:pt idx="24">
                  <c:v>0.982</c:v>
                </c:pt>
                <c:pt idx="25">
                  <c:v>0.9875</c:v>
                </c:pt>
                <c:pt idx="26">
                  <c:v>0.992</c:v>
                </c:pt>
                <c:pt idx="27">
                  <c:v>0.9955</c:v>
                </c:pt>
                <c:pt idx="28">
                  <c:v>0.998</c:v>
                </c:pt>
                <c:pt idx="29">
                  <c:v>0.9995</c:v>
                </c:pt>
                <c:pt idx="30">
                  <c:v>1.0</c:v>
                </c:pt>
              </c:numCache>
            </c:numRef>
          </c:val>
        </c:ser>
        <c:ser>
          <c:idx val="1"/>
          <c:order val="1"/>
          <c:tx>
            <c:strRef>
              <c:f>Graph!$D$15</c:f>
              <c:strCache>
                <c:ptCount val="1"/>
                <c:pt idx="0">
                  <c:v>8500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Graph!$D$16:$D$46</c:f>
              <c:numCache>
                <c:formatCode>General</c:formatCode>
                <c:ptCount val="31"/>
                <c:pt idx="0">
                  <c:v>0.5225</c:v>
                </c:pt>
                <c:pt idx="1">
                  <c:v>0.552</c:v>
                </c:pt>
                <c:pt idx="2">
                  <c:v>0.5805</c:v>
                </c:pt>
                <c:pt idx="3">
                  <c:v>0.608</c:v>
                </c:pt>
                <c:pt idx="4">
                  <c:v>0.6345</c:v>
                </c:pt>
                <c:pt idx="5">
                  <c:v>0.66</c:v>
                </c:pt>
                <c:pt idx="6">
                  <c:v>0.6845</c:v>
                </c:pt>
                <c:pt idx="7">
                  <c:v>0.708</c:v>
                </c:pt>
                <c:pt idx="8">
                  <c:v>0.7305</c:v>
                </c:pt>
                <c:pt idx="9">
                  <c:v>0.752</c:v>
                </c:pt>
                <c:pt idx="10">
                  <c:v>0.7725</c:v>
                </c:pt>
                <c:pt idx="11">
                  <c:v>0.792</c:v>
                </c:pt>
                <c:pt idx="12">
                  <c:v>0.8105</c:v>
                </c:pt>
                <c:pt idx="13">
                  <c:v>0.828</c:v>
                </c:pt>
                <c:pt idx="14">
                  <c:v>0.8445</c:v>
                </c:pt>
                <c:pt idx="15">
                  <c:v>0.86</c:v>
                </c:pt>
                <c:pt idx="16">
                  <c:v>0.8745</c:v>
                </c:pt>
                <c:pt idx="17">
                  <c:v>0.888</c:v>
                </c:pt>
                <c:pt idx="18">
                  <c:v>0.9005</c:v>
                </c:pt>
                <c:pt idx="19">
                  <c:v>0.912</c:v>
                </c:pt>
                <c:pt idx="20">
                  <c:v>0.9225</c:v>
                </c:pt>
                <c:pt idx="21">
                  <c:v>0.932</c:v>
                </c:pt>
                <c:pt idx="22">
                  <c:v>0.9405</c:v>
                </c:pt>
                <c:pt idx="23">
                  <c:v>0.948</c:v>
                </c:pt>
                <c:pt idx="24">
                  <c:v>0.9545</c:v>
                </c:pt>
                <c:pt idx="25">
                  <c:v>0.96</c:v>
                </c:pt>
                <c:pt idx="26">
                  <c:v>0.9645</c:v>
                </c:pt>
                <c:pt idx="27">
                  <c:v>0.968</c:v>
                </c:pt>
                <c:pt idx="28">
                  <c:v>0.9705</c:v>
                </c:pt>
                <c:pt idx="29">
                  <c:v>0.972</c:v>
                </c:pt>
                <c:pt idx="30">
                  <c:v>0.9725</c:v>
                </c:pt>
              </c:numCache>
            </c:numRef>
          </c:val>
        </c:ser>
        <c:ser>
          <c:idx val="2"/>
          <c:order val="2"/>
          <c:tx>
            <c:strRef>
              <c:f>Graph!$E$15</c:f>
              <c:strCache>
                <c:ptCount val="1"/>
                <c:pt idx="0">
                  <c:v>9000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Graph!$E$16:$E$46</c:f>
              <c:numCache>
                <c:formatCode>General</c:formatCode>
                <c:ptCount val="31"/>
                <c:pt idx="0">
                  <c:v>0.495</c:v>
                </c:pt>
                <c:pt idx="1">
                  <c:v>0.5245</c:v>
                </c:pt>
                <c:pt idx="2">
                  <c:v>0.553</c:v>
                </c:pt>
                <c:pt idx="3">
                  <c:v>0.5805</c:v>
                </c:pt>
                <c:pt idx="4">
                  <c:v>0.607</c:v>
                </c:pt>
                <c:pt idx="5">
                  <c:v>0.6325</c:v>
                </c:pt>
                <c:pt idx="6">
                  <c:v>0.657</c:v>
                </c:pt>
                <c:pt idx="7">
                  <c:v>0.6805</c:v>
                </c:pt>
                <c:pt idx="8">
                  <c:v>0.703</c:v>
                </c:pt>
                <c:pt idx="9">
                  <c:v>0.7245</c:v>
                </c:pt>
                <c:pt idx="10">
                  <c:v>0.745</c:v>
                </c:pt>
                <c:pt idx="11">
                  <c:v>0.7645</c:v>
                </c:pt>
                <c:pt idx="12">
                  <c:v>0.783</c:v>
                </c:pt>
                <c:pt idx="13">
                  <c:v>0.8005</c:v>
                </c:pt>
                <c:pt idx="14">
                  <c:v>0.817</c:v>
                </c:pt>
                <c:pt idx="15">
                  <c:v>0.8325</c:v>
                </c:pt>
                <c:pt idx="16">
                  <c:v>0.847</c:v>
                </c:pt>
                <c:pt idx="17">
                  <c:v>0.8605</c:v>
                </c:pt>
                <c:pt idx="18">
                  <c:v>0.873</c:v>
                </c:pt>
                <c:pt idx="19">
                  <c:v>0.8845</c:v>
                </c:pt>
                <c:pt idx="20">
                  <c:v>0.895</c:v>
                </c:pt>
                <c:pt idx="21">
                  <c:v>0.9045</c:v>
                </c:pt>
                <c:pt idx="22">
                  <c:v>0.913</c:v>
                </c:pt>
                <c:pt idx="23">
                  <c:v>0.9205</c:v>
                </c:pt>
                <c:pt idx="24">
                  <c:v>0.927</c:v>
                </c:pt>
                <c:pt idx="25">
                  <c:v>0.9325</c:v>
                </c:pt>
                <c:pt idx="26">
                  <c:v>0.937</c:v>
                </c:pt>
                <c:pt idx="27">
                  <c:v>0.9405</c:v>
                </c:pt>
                <c:pt idx="28">
                  <c:v>0.943</c:v>
                </c:pt>
                <c:pt idx="29">
                  <c:v>0.9445</c:v>
                </c:pt>
                <c:pt idx="30">
                  <c:v>0.945</c:v>
                </c:pt>
              </c:numCache>
            </c:numRef>
          </c:val>
        </c:ser>
        <c:ser>
          <c:idx val="3"/>
          <c:order val="3"/>
          <c:tx>
            <c:strRef>
              <c:f>Graph!$F$15</c:f>
              <c:strCache>
                <c:ptCount val="1"/>
                <c:pt idx="0">
                  <c:v>9500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Graph!$F$16:$F$46</c:f>
              <c:numCache>
                <c:formatCode>General</c:formatCode>
                <c:ptCount val="31"/>
                <c:pt idx="0">
                  <c:v>0.4675</c:v>
                </c:pt>
                <c:pt idx="1">
                  <c:v>0.497</c:v>
                </c:pt>
                <c:pt idx="2">
                  <c:v>0.5255</c:v>
                </c:pt>
                <c:pt idx="3">
                  <c:v>0.553</c:v>
                </c:pt>
                <c:pt idx="4">
                  <c:v>0.5795</c:v>
                </c:pt>
                <c:pt idx="5">
                  <c:v>0.605</c:v>
                </c:pt>
                <c:pt idx="6">
                  <c:v>0.6295</c:v>
                </c:pt>
                <c:pt idx="7">
                  <c:v>0.653</c:v>
                </c:pt>
                <c:pt idx="8">
                  <c:v>0.6755</c:v>
                </c:pt>
                <c:pt idx="9">
                  <c:v>0.697</c:v>
                </c:pt>
                <c:pt idx="10">
                  <c:v>0.7175</c:v>
                </c:pt>
                <c:pt idx="11">
                  <c:v>0.737</c:v>
                </c:pt>
                <c:pt idx="12">
                  <c:v>0.7555</c:v>
                </c:pt>
                <c:pt idx="13">
                  <c:v>0.773</c:v>
                </c:pt>
                <c:pt idx="14">
                  <c:v>0.7895</c:v>
                </c:pt>
                <c:pt idx="15">
                  <c:v>0.805</c:v>
                </c:pt>
                <c:pt idx="16">
                  <c:v>0.8195</c:v>
                </c:pt>
                <c:pt idx="17">
                  <c:v>0.833</c:v>
                </c:pt>
                <c:pt idx="18">
                  <c:v>0.8455</c:v>
                </c:pt>
                <c:pt idx="19">
                  <c:v>0.857</c:v>
                </c:pt>
                <c:pt idx="20">
                  <c:v>0.8675</c:v>
                </c:pt>
                <c:pt idx="21">
                  <c:v>0.877</c:v>
                </c:pt>
                <c:pt idx="22">
                  <c:v>0.8855</c:v>
                </c:pt>
                <c:pt idx="23">
                  <c:v>0.893</c:v>
                </c:pt>
                <c:pt idx="24">
                  <c:v>0.8995</c:v>
                </c:pt>
                <c:pt idx="25">
                  <c:v>0.905</c:v>
                </c:pt>
                <c:pt idx="26">
                  <c:v>0.9095</c:v>
                </c:pt>
                <c:pt idx="27">
                  <c:v>0.913</c:v>
                </c:pt>
                <c:pt idx="28">
                  <c:v>0.9155</c:v>
                </c:pt>
                <c:pt idx="29">
                  <c:v>0.917</c:v>
                </c:pt>
                <c:pt idx="30">
                  <c:v>0.9175</c:v>
                </c:pt>
              </c:numCache>
            </c:numRef>
          </c:val>
        </c:ser>
        <c:ser>
          <c:idx val="4"/>
          <c:order val="4"/>
          <c:tx>
            <c:strRef>
              <c:f>Graph!$G$15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Graph!$G$16:$G$46</c:f>
              <c:numCache>
                <c:formatCode>General</c:formatCode>
                <c:ptCount val="31"/>
                <c:pt idx="0">
                  <c:v>0.44</c:v>
                </c:pt>
                <c:pt idx="1">
                  <c:v>0.4695</c:v>
                </c:pt>
                <c:pt idx="2">
                  <c:v>0.498</c:v>
                </c:pt>
                <c:pt idx="3">
                  <c:v>0.5255</c:v>
                </c:pt>
                <c:pt idx="4">
                  <c:v>0.552</c:v>
                </c:pt>
                <c:pt idx="5">
                  <c:v>0.5775</c:v>
                </c:pt>
                <c:pt idx="6">
                  <c:v>0.602</c:v>
                </c:pt>
                <c:pt idx="7">
                  <c:v>0.6255</c:v>
                </c:pt>
                <c:pt idx="8">
                  <c:v>0.648</c:v>
                </c:pt>
                <c:pt idx="9">
                  <c:v>0.6695</c:v>
                </c:pt>
                <c:pt idx="10">
                  <c:v>0.69</c:v>
                </c:pt>
                <c:pt idx="11">
                  <c:v>0.7095</c:v>
                </c:pt>
                <c:pt idx="12">
                  <c:v>0.728</c:v>
                </c:pt>
                <c:pt idx="13">
                  <c:v>0.7455</c:v>
                </c:pt>
                <c:pt idx="14">
                  <c:v>0.762</c:v>
                </c:pt>
                <c:pt idx="15">
                  <c:v>0.7775</c:v>
                </c:pt>
                <c:pt idx="16">
                  <c:v>0.792</c:v>
                </c:pt>
                <c:pt idx="17">
                  <c:v>0.8055</c:v>
                </c:pt>
                <c:pt idx="18">
                  <c:v>0.818</c:v>
                </c:pt>
                <c:pt idx="19">
                  <c:v>0.8295</c:v>
                </c:pt>
                <c:pt idx="20">
                  <c:v>0.84</c:v>
                </c:pt>
                <c:pt idx="21">
                  <c:v>0.8495</c:v>
                </c:pt>
                <c:pt idx="22">
                  <c:v>0.858</c:v>
                </c:pt>
                <c:pt idx="23">
                  <c:v>0.8655</c:v>
                </c:pt>
                <c:pt idx="24">
                  <c:v>0.872</c:v>
                </c:pt>
                <c:pt idx="25">
                  <c:v>0.8775</c:v>
                </c:pt>
                <c:pt idx="26">
                  <c:v>0.882</c:v>
                </c:pt>
                <c:pt idx="27">
                  <c:v>0.8855</c:v>
                </c:pt>
                <c:pt idx="28">
                  <c:v>0.888</c:v>
                </c:pt>
                <c:pt idx="29">
                  <c:v>0.8895</c:v>
                </c:pt>
                <c:pt idx="30">
                  <c:v>0.89</c:v>
                </c:pt>
              </c:numCache>
            </c:numRef>
          </c:val>
        </c:ser>
        <c:ser>
          <c:idx val="5"/>
          <c:order val="5"/>
          <c:tx>
            <c:strRef>
              <c:f>Graph!$H$15</c:f>
              <c:strCache>
                <c:ptCount val="1"/>
                <c:pt idx="0">
                  <c:v>10500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Graph!$H$16:$H$46</c:f>
              <c:numCache>
                <c:formatCode>General</c:formatCode>
                <c:ptCount val="31"/>
                <c:pt idx="0">
                  <c:v>0.4125</c:v>
                </c:pt>
                <c:pt idx="1">
                  <c:v>0.442</c:v>
                </c:pt>
                <c:pt idx="2">
                  <c:v>0.4705</c:v>
                </c:pt>
                <c:pt idx="3">
                  <c:v>0.498</c:v>
                </c:pt>
                <c:pt idx="4">
                  <c:v>0.5245</c:v>
                </c:pt>
                <c:pt idx="5">
                  <c:v>0.55</c:v>
                </c:pt>
                <c:pt idx="6">
                  <c:v>0.5745</c:v>
                </c:pt>
                <c:pt idx="7">
                  <c:v>0.598</c:v>
                </c:pt>
                <c:pt idx="8">
                  <c:v>0.6205</c:v>
                </c:pt>
                <c:pt idx="9">
                  <c:v>0.642</c:v>
                </c:pt>
                <c:pt idx="10">
                  <c:v>0.6625</c:v>
                </c:pt>
                <c:pt idx="11">
                  <c:v>0.682</c:v>
                </c:pt>
                <c:pt idx="12">
                  <c:v>0.7005</c:v>
                </c:pt>
                <c:pt idx="13">
                  <c:v>0.718</c:v>
                </c:pt>
                <c:pt idx="14">
                  <c:v>0.7345</c:v>
                </c:pt>
                <c:pt idx="15">
                  <c:v>0.75</c:v>
                </c:pt>
                <c:pt idx="16">
                  <c:v>0.7645</c:v>
                </c:pt>
                <c:pt idx="17">
                  <c:v>0.778</c:v>
                </c:pt>
                <c:pt idx="18">
                  <c:v>0.7905</c:v>
                </c:pt>
                <c:pt idx="19">
                  <c:v>0.802</c:v>
                </c:pt>
                <c:pt idx="20">
                  <c:v>0.8125</c:v>
                </c:pt>
                <c:pt idx="21">
                  <c:v>0.822</c:v>
                </c:pt>
                <c:pt idx="22">
                  <c:v>0.8305</c:v>
                </c:pt>
                <c:pt idx="23">
                  <c:v>0.838</c:v>
                </c:pt>
                <c:pt idx="24">
                  <c:v>0.8445</c:v>
                </c:pt>
                <c:pt idx="25">
                  <c:v>0.85</c:v>
                </c:pt>
                <c:pt idx="26">
                  <c:v>0.8545</c:v>
                </c:pt>
                <c:pt idx="27">
                  <c:v>0.858</c:v>
                </c:pt>
                <c:pt idx="28">
                  <c:v>0.8605</c:v>
                </c:pt>
                <c:pt idx="29">
                  <c:v>0.862</c:v>
                </c:pt>
                <c:pt idx="30">
                  <c:v>0.8625</c:v>
                </c:pt>
              </c:numCache>
            </c:numRef>
          </c:val>
        </c:ser>
        <c:ser>
          <c:idx val="6"/>
          <c:order val="6"/>
          <c:tx>
            <c:strRef>
              <c:f>Graph!$I$15</c:f>
              <c:strCache>
                <c:ptCount val="1"/>
                <c:pt idx="0">
                  <c:v>11000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Graph!$I$16:$I$46</c:f>
              <c:numCache>
                <c:formatCode>General</c:formatCode>
                <c:ptCount val="31"/>
                <c:pt idx="0">
                  <c:v>0.385</c:v>
                </c:pt>
                <c:pt idx="1">
                  <c:v>0.4145</c:v>
                </c:pt>
                <c:pt idx="2">
                  <c:v>0.443</c:v>
                </c:pt>
                <c:pt idx="3">
                  <c:v>0.4705</c:v>
                </c:pt>
                <c:pt idx="4">
                  <c:v>0.497</c:v>
                </c:pt>
                <c:pt idx="5">
                  <c:v>0.5225</c:v>
                </c:pt>
                <c:pt idx="6">
                  <c:v>0.547</c:v>
                </c:pt>
                <c:pt idx="7">
                  <c:v>0.5705</c:v>
                </c:pt>
                <c:pt idx="8">
                  <c:v>0.593</c:v>
                </c:pt>
                <c:pt idx="9">
                  <c:v>0.6145</c:v>
                </c:pt>
                <c:pt idx="10">
                  <c:v>0.635</c:v>
                </c:pt>
                <c:pt idx="11">
                  <c:v>0.6545</c:v>
                </c:pt>
                <c:pt idx="12">
                  <c:v>0.673</c:v>
                </c:pt>
                <c:pt idx="13">
                  <c:v>0.6905</c:v>
                </c:pt>
                <c:pt idx="14">
                  <c:v>0.707</c:v>
                </c:pt>
                <c:pt idx="15">
                  <c:v>0.7225</c:v>
                </c:pt>
                <c:pt idx="16">
                  <c:v>0.737</c:v>
                </c:pt>
                <c:pt idx="17">
                  <c:v>0.7505</c:v>
                </c:pt>
                <c:pt idx="18">
                  <c:v>0.763</c:v>
                </c:pt>
                <c:pt idx="19">
                  <c:v>0.7745</c:v>
                </c:pt>
                <c:pt idx="20">
                  <c:v>0.785</c:v>
                </c:pt>
                <c:pt idx="21">
                  <c:v>0.7945</c:v>
                </c:pt>
                <c:pt idx="22">
                  <c:v>0.803</c:v>
                </c:pt>
                <c:pt idx="23">
                  <c:v>0.8105</c:v>
                </c:pt>
                <c:pt idx="24">
                  <c:v>0.817</c:v>
                </c:pt>
                <c:pt idx="25">
                  <c:v>0.8225</c:v>
                </c:pt>
                <c:pt idx="26">
                  <c:v>0.827</c:v>
                </c:pt>
                <c:pt idx="27">
                  <c:v>0.8305</c:v>
                </c:pt>
                <c:pt idx="28">
                  <c:v>0.833</c:v>
                </c:pt>
                <c:pt idx="29">
                  <c:v>0.8345</c:v>
                </c:pt>
                <c:pt idx="30">
                  <c:v>0.835</c:v>
                </c:pt>
              </c:numCache>
            </c:numRef>
          </c:val>
        </c:ser>
        <c:ser>
          <c:idx val="7"/>
          <c:order val="7"/>
          <c:tx>
            <c:strRef>
              <c:f>Graph!$J$15</c:f>
              <c:strCache>
                <c:ptCount val="1"/>
                <c:pt idx="0">
                  <c:v>11500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Graph!$J$16:$J$46</c:f>
              <c:numCache>
                <c:formatCode>General</c:formatCode>
                <c:ptCount val="31"/>
                <c:pt idx="0">
                  <c:v>0.3575</c:v>
                </c:pt>
                <c:pt idx="1">
                  <c:v>0.387</c:v>
                </c:pt>
                <c:pt idx="2">
                  <c:v>0.4155</c:v>
                </c:pt>
                <c:pt idx="3">
                  <c:v>0.443</c:v>
                </c:pt>
                <c:pt idx="4">
                  <c:v>0.4695</c:v>
                </c:pt>
                <c:pt idx="5">
                  <c:v>0.495</c:v>
                </c:pt>
                <c:pt idx="6">
                  <c:v>0.5195</c:v>
                </c:pt>
                <c:pt idx="7">
                  <c:v>0.543</c:v>
                </c:pt>
                <c:pt idx="8">
                  <c:v>0.5655</c:v>
                </c:pt>
                <c:pt idx="9">
                  <c:v>0.587</c:v>
                </c:pt>
                <c:pt idx="10">
                  <c:v>0.6075</c:v>
                </c:pt>
                <c:pt idx="11">
                  <c:v>0.627</c:v>
                </c:pt>
                <c:pt idx="12">
                  <c:v>0.6455</c:v>
                </c:pt>
                <c:pt idx="13">
                  <c:v>0.663</c:v>
                </c:pt>
                <c:pt idx="14">
                  <c:v>0.6795</c:v>
                </c:pt>
                <c:pt idx="15">
                  <c:v>0.695</c:v>
                </c:pt>
                <c:pt idx="16">
                  <c:v>0.7095</c:v>
                </c:pt>
                <c:pt idx="17">
                  <c:v>0.723</c:v>
                </c:pt>
                <c:pt idx="18">
                  <c:v>0.7355</c:v>
                </c:pt>
                <c:pt idx="19">
                  <c:v>0.747</c:v>
                </c:pt>
                <c:pt idx="20">
                  <c:v>0.7575</c:v>
                </c:pt>
                <c:pt idx="21">
                  <c:v>0.767</c:v>
                </c:pt>
                <c:pt idx="22">
                  <c:v>0.7755</c:v>
                </c:pt>
                <c:pt idx="23">
                  <c:v>0.783</c:v>
                </c:pt>
                <c:pt idx="24">
                  <c:v>0.7895</c:v>
                </c:pt>
                <c:pt idx="25">
                  <c:v>0.795</c:v>
                </c:pt>
                <c:pt idx="26">
                  <c:v>0.7995</c:v>
                </c:pt>
                <c:pt idx="27">
                  <c:v>0.803</c:v>
                </c:pt>
                <c:pt idx="28">
                  <c:v>0.8055</c:v>
                </c:pt>
                <c:pt idx="29">
                  <c:v>0.807</c:v>
                </c:pt>
                <c:pt idx="30">
                  <c:v>0.8075</c:v>
                </c:pt>
              </c:numCache>
            </c:numRef>
          </c:val>
        </c:ser>
        <c:ser>
          <c:idx val="8"/>
          <c:order val="8"/>
          <c:tx>
            <c:strRef>
              <c:f>Graph!$K$15</c:f>
              <c:strCache>
                <c:ptCount val="1"/>
                <c:pt idx="0">
                  <c:v>12000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Graph!$K$16:$K$46</c:f>
              <c:numCache>
                <c:formatCode>General</c:formatCode>
                <c:ptCount val="31"/>
                <c:pt idx="0">
                  <c:v>0.33</c:v>
                </c:pt>
                <c:pt idx="1">
                  <c:v>0.3595</c:v>
                </c:pt>
                <c:pt idx="2">
                  <c:v>0.388</c:v>
                </c:pt>
                <c:pt idx="3">
                  <c:v>0.4155</c:v>
                </c:pt>
                <c:pt idx="4">
                  <c:v>0.442</c:v>
                </c:pt>
                <c:pt idx="5">
                  <c:v>0.4675</c:v>
                </c:pt>
                <c:pt idx="6">
                  <c:v>0.492</c:v>
                </c:pt>
                <c:pt idx="7">
                  <c:v>0.5155</c:v>
                </c:pt>
                <c:pt idx="8">
                  <c:v>0.538</c:v>
                </c:pt>
                <c:pt idx="9">
                  <c:v>0.5595</c:v>
                </c:pt>
                <c:pt idx="10">
                  <c:v>0.58</c:v>
                </c:pt>
                <c:pt idx="11">
                  <c:v>0.5995</c:v>
                </c:pt>
                <c:pt idx="12">
                  <c:v>0.618</c:v>
                </c:pt>
                <c:pt idx="13">
                  <c:v>0.6355</c:v>
                </c:pt>
                <c:pt idx="14">
                  <c:v>0.652</c:v>
                </c:pt>
                <c:pt idx="15">
                  <c:v>0.6675</c:v>
                </c:pt>
                <c:pt idx="16">
                  <c:v>0.682</c:v>
                </c:pt>
                <c:pt idx="17">
                  <c:v>0.6955</c:v>
                </c:pt>
                <c:pt idx="18">
                  <c:v>0.708</c:v>
                </c:pt>
                <c:pt idx="19">
                  <c:v>0.7195</c:v>
                </c:pt>
                <c:pt idx="20">
                  <c:v>0.73</c:v>
                </c:pt>
                <c:pt idx="21">
                  <c:v>0.7395</c:v>
                </c:pt>
                <c:pt idx="22">
                  <c:v>0.748</c:v>
                </c:pt>
                <c:pt idx="23">
                  <c:v>0.7555</c:v>
                </c:pt>
                <c:pt idx="24">
                  <c:v>0.762</c:v>
                </c:pt>
                <c:pt idx="25">
                  <c:v>0.7675</c:v>
                </c:pt>
                <c:pt idx="26">
                  <c:v>0.772</c:v>
                </c:pt>
                <c:pt idx="27">
                  <c:v>0.7755</c:v>
                </c:pt>
                <c:pt idx="28">
                  <c:v>0.778</c:v>
                </c:pt>
                <c:pt idx="29">
                  <c:v>0.7795</c:v>
                </c:pt>
                <c:pt idx="30">
                  <c:v>0.78</c:v>
                </c:pt>
              </c:numCache>
            </c:numRef>
          </c:val>
        </c:ser>
        <c:ser>
          <c:idx val="9"/>
          <c:order val="9"/>
          <c:tx>
            <c:strRef>
              <c:f>Graph!$L$15</c:f>
              <c:strCache>
                <c:ptCount val="1"/>
                <c:pt idx="0">
                  <c:v>12500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Graph!$L$16:$L$46</c:f>
              <c:numCache>
                <c:formatCode>General</c:formatCode>
                <c:ptCount val="31"/>
                <c:pt idx="0">
                  <c:v>0.3025</c:v>
                </c:pt>
                <c:pt idx="1">
                  <c:v>0.332</c:v>
                </c:pt>
                <c:pt idx="2">
                  <c:v>0.3605</c:v>
                </c:pt>
                <c:pt idx="3">
                  <c:v>0.388</c:v>
                </c:pt>
                <c:pt idx="4">
                  <c:v>0.4145</c:v>
                </c:pt>
                <c:pt idx="5">
                  <c:v>0.44</c:v>
                </c:pt>
                <c:pt idx="6">
                  <c:v>0.4645</c:v>
                </c:pt>
                <c:pt idx="7">
                  <c:v>0.488</c:v>
                </c:pt>
                <c:pt idx="8">
                  <c:v>0.5105</c:v>
                </c:pt>
                <c:pt idx="9">
                  <c:v>0.532</c:v>
                </c:pt>
                <c:pt idx="10">
                  <c:v>0.5525</c:v>
                </c:pt>
                <c:pt idx="11">
                  <c:v>0.572</c:v>
                </c:pt>
                <c:pt idx="12">
                  <c:v>0.5905</c:v>
                </c:pt>
                <c:pt idx="13">
                  <c:v>0.608</c:v>
                </c:pt>
                <c:pt idx="14">
                  <c:v>0.6245</c:v>
                </c:pt>
                <c:pt idx="15">
                  <c:v>0.64</c:v>
                </c:pt>
                <c:pt idx="16">
                  <c:v>0.6545</c:v>
                </c:pt>
                <c:pt idx="17">
                  <c:v>0.668</c:v>
                </c:pt>
                <c:pt idx="18">
                  <c:v>0.6805</c:v>
                </c:pt>
                <c:pt idx="19">
                  <c:v>0.692</c:v>
                </c:pt>
                <c:pt idx="20">
                  <c:v>0.7025</c:v>
                </c:pt>
                <c:pt idx="21">
                  <c:v>0.712</c:v>
                </c:pt>
                <c:pt idx="22">
                  <c:v>0.7205</c:v>
                </c:pt>
                <c:pt idx="23">
                  <c:v>0.728</c:v>
                </c:pt>
                <c:pt idx="24">
                  <c:v>0.7345</c:v>
                </c:pt>
                <c:pt idx="25">
                  <c:v>0.74</c:v>
                </c:pt>
                <c:pt idx="26">
                  <c:v>0.7445</c:v>
                </c:pt>
                <c:pt idx="27">
                  <c:v>0.748</c:v>
                </c:pt>
                <c:pt idx="28">
                  <c:v>0.7505</c:v>
                </c:pt>
                <c:pt idx="29">
                  <c:v>0.752</c:v>
                </c:pt>
                <c:pt idx="30">
                  <c:v>0.7525</c:v>
                </c:pt>
              </c:numCache>
            </c:numRef>
          </c:val>
        </c:ser>
        <c:ser>
          <c:idx val="10"/>
          <c:order val="10"/>
          <c:tx>
            <c:strRef>
              <c:f>Graph!$M$15</c:f>
              <c:strCache>
                <c:ptCount val="1"/>
                <c:pt idx="0">
                  <c:v>13000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Graph!$M$16:$M$46</c:f>
              <c:numCache>
                <c:formatCode>General</c:formatCode>
                <c:ptCount val="31"/>
                <c:pt idx="0">
                  <c:v>0.275</c:v>
                </c:pt>
                <c:pt idx="1">
                  <c:v>0.3045</c:v>
                </c:pt>
                <c:pt idx="2">
                  <c:v>0.333</c:v>
                </c:pt>
                <c:pt idx="3">
                  <c:v>0.3605</c:v>
                </c:pt>
                <c:pt idx="4">
                  <c:v>0.387</c:v>
                </c:pt>
                <c:pt idx="5">
                  <c:v>0.4125</c:v>
                </c:pt>
                <c:pt idx="6">
                  <c:v>0.437</c:v>
                </c:pt>
                <c:pt idx="7">
                  <c:v>0.4605</c:v>
                </c:pt>
                <c:pt idx="8">
                  <c:v>0.483</c:v>
                </c:pt>
                <c:pt idx="9">
                  <c:v>0.5045</c:v>
                </c:pt>
                <c:pt idx="10">
                  <c:v>0.525</c:v>
                </c:pt>
                <c:pt idx="11">
                  <c:v>0.5445</c:v>
                </c:pt>
                <c:pt idx="12">
                  <c:v>0.563</c:v>
                </c:pt>
                <c:pt idx="13">
                  <c:v>0.5805</c:v>
                </c:pt>
                <c:pt idx="14">
                  <c:v>0.597</c:v>
                </c:pt>
                <c:pt idx="15">
                  <c:v>0.6125</c:v>
                </c:pt>
                <c:pt idx="16">
                  <c:v>0.627</c:v>
                </c:pt>
                <c:pt idx="17">
                  <c:v>0.6405</c:v>
                </c:pt>
                <c:pt idx="18">
                  <c:v>0.653</c:v>
                </c:pt>
                <c:pt idx="19">
                  <c:v>0.6645</c:v>
                </c:pt>
                <c:pt idx="20">
                  <c:v>0.675</c:v>
                </c:pt>
                <c:pt idx="21">
                  <c:v>0.6845</c:v>
                </c:pt>
                <c:pt idx="22">
                  <c:v>0.693</c:v>
                </c:pt>
                <c:pt idx="23">
                  <c:v>0.7005</c:v>
                </c:pt>
                <c:pt idx="24">
                  <c:v>0.707</c:v>
                </c:pt>
                <c:pt idx="25">
                  <c:v>0.7125</c:v>
                </c:pt>
                <c:pt idx="26">
                  <c:v>0.717</c:v>
                </c:pt>
                <c:pt idx="27">
                  <c:v>0.7205</c:v>
                </c:pt>
                <c:pt idx="28">
                  <c:v>0.723</c:v>
                </c:pt>
                <c:pt idx="29">
                  <c:v>0.7245</c:v>
                </c:pt>
                <c:pt idx="30">
                  <c:v>0.725</c:v>
                </c:pt>
              </c:numCache>
            </c:numRef>
          </c:val>
        </c:ser>
        <c:ser>
          <c:idx val="11"/>
          <c:order val="11"/>
          <c:tx>
            <c:strRef>
              <c:f>Graph!$N$15</c:f>
              <c:strCache>
                <c:ptCount val="1"/>
                <c:pt idx="0">
                  <c:v>13500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Graph!$N$16:$N$46</c:f>
              <c:numCache>
                <c:formatCode>General</c:formatCode>
                <c:ptCount val="31"/>
                <c:pt idx="0">
                  <c:v>0.2475</c:v>
                </c:pt>
                <c:pt idx="1">
                  <c:v>0.277</c:v>
                </c:pt>
                <c:pt idx="2">
                  <c:v>0.3055</c:v>
                </c:pt>
                <c:pt idx="3">
                  <c:v>0.333</c:v>
                </c:pt>
                <c:pt idx="4">
                  <c:v>0.3595</c:v>
                </c:pt>
                <c:pt idx="5">
                  <c:v>0.385</c:v>
                </c:pt>
                <c:pt idx="6">
                  <c:v>0.4095</c:v>
                </c:pt>
                <c:pt idx="7">
                  <c:v>0.433</c:v>
                </c:pt>
                <c:pt idx="8">
                  <c:v>0.4555</c:v>
                </c:pt>
                <c:pt idx="9">
                  <c:v>0.477</c:v>
                </c:pt>
                <c:pt idx="10">
                  <c:v>0.4975</c:v>
                </c:pt>
                <c:pt idx="11">
                  <c:v>0.517</c:v>
                </c:pt>
                <c:pt idx="12">
                  <c:v>0.5355</c:v>
                </c:pt>
                <c:pt idx="13">
                  <c:v>0.553</c:v>
                </c:pt>
                <c:pt idx="14">
                  <c:v>0.5695</c:v>
                </c:pt>
                <c:pt idx="15">
                  <c:v>0.585</c:v>
                </c:pt>
                <c:pt idx="16">
                  <c:v>0.5995</c:v>
                </c:pt>
                <c:pt idx="17">
                  <c:v>0.613</c:v>
                </c:pt>
                <c:pt idx="18">
                  <c:v>0.6255</c:v>
                </c:pt>
                <c:pt idx="19">
                  <c:v>0.637</c:v>
                </c:pt>
                <c:pt idx="20">
                  <c:v>0.6475</c:v>
                </c:pt>
                <c:pt idx="21">
                  <c:v>0.657</c:v>
                </c:pt>
                <c:pt idx="22">
                  <c:v>0.6655</c:v>
                </c:pt>
                <c:pt idx="23">
                  <c:v>0.673</c:v>
                </c:pt>
                <c:pt idx="24">
                  <c:v>0.6795</c:v>
                </c:pt>
                <c:pt idx="25">
                  <c:v>0.685</c:v>
                </c:pt>
                <c:pt idx="26">
                  <c:v>0.6895</c:v>
                </c:pt>
                <c:pt idx="27">
                  <c:v>0.693</c:v>
                </c:pt>
                <c:pt idx="28">
                  <c:v>0.6955</c:v>
                </c:pt>
                <c:pt idx="29">
                  <c:v>0.697</c:v>
                </c:pt>
                <c:pt idx="30">
                  <c:v>0.6975</c:v>
                </c:pt>
              </c:numCache>
            </c:numRef>
          </c:val>
        </c:ser>
        <c:ser>
          <c:idx val="12"/>
          <c:order val="12"/>
          <c:tx>
            <c:strRef>
              <c:f>Graph!$O$15</c:f>
              <c:strCache>
                <c:ptCount val="1"/>
                <c:pt idx="0">
                  <c:v>14000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Graph!$O$16:$O$46</c:f>
              <c:numCache>
                <c:formatCode>General</c:formatCode>
                <c:ptCount val="31"/>
                <c:pt idx="0">
                  <c:v>0.22</c:v>
                </c:pt>
                <c:pt idx="1">
                  <c:v>0.2495</c:v>
                </c:pt>
                <c:pt idx="2">
                  <c:v>0.278</c:v>
                </c:pt>
                <c:pt idx="3">
                  <c:v>0.3055</c:v>
                </c:pt>
                <c:pt idx="4">
                  <c:v>0.332</c:v>
                </c:pt>
                <c:pt idx="5">
                  <c:v>0.3575</c:v>
                </c:pt>
                <c:pt idx="6">
                  <c:v>0.382</c:v>
                </c:pt>
                <c:pt idx="7">
                  <c:v>0.4055</c:v>
                </c:pt>
                <c:pt idx="8">
                  <c:v>0.428</c:v>
                </c:pt>
                <c:pt idx="9">
                  <c:v>0.4495</c:v>
                </c:pt>
                <c:pt idx="10">
                  <c:v>0.47</c:v>
                </c:pt>
                <c:pt idx="11">
                  <c:v>0.4895</c:v>
                </c:pt>
                <c:pt idx="12">
                  <c:v>0.508</c:v>
                </c:pt>
                <c:pt idx="13">
                  <c:v>0.5255</c:v>
                </c:pt>
                <c:pt idx="14">
                  <c:v>0.542</c:v>
                </c:pt>
                <c:pt idx="15">
                  <c:v>0.5575</c:v>
                </c:pt>
                <c:pt idx="16">
                  <c:v>0.572</c:v>
                </c:pt>
                <c:pt idx="17">
                  <c:v>0.5855</c:v>
                </c:pt>
                <c:pt idx="18">
                  <c:v>0.598</c:v>
                </c:pt>
                <c:pt idx="19">
                  <c:v>0.6095</c:v>
                </c:pt>
                <c:pt idx="20">
                  <c:v>0.62</c:v>
                </c:pt>
                <c:pt idx="21">
                  <c:v>0.6295</c:v>
                </c:pt>
                <c:pt idx="22">
                  <c:v>0.638</c:v>
                </c:pt>
                <c:pt idx="23">
                  <c:v>0.6455</c:v>
                </c:pt>
                <c:pt idx="24">
                  <c:v>0.652</c:v>
                </c:pt>
                <c:pt idx="25">
                  <c:v>0.6575</c:v>
                </c:pt>
                <c:pt idx="26">
                  <c:v>0.662</c:v>
                </c:pt>
                <c:pt idx="27">
                  <c:v>0.6655</c:v>
                </c:pt>
                <c:pt idx="28">
                  <c:v>0.668</c:v>
                </c:pt>
                <c:pt idx="29">
                  <c:v>0.6695</c:v>
                </c:pt>
                <c:pt idx="30">
                  <c:v>0.67</c:v>
                </c:pt>
              </c:numCache>
            </c:numRef>
          </c:val>
        </c:ser>
        <c:ser>
          <c:idx val="13"/>
          <c:order val="13"/>
          <c:tx>
            <c:strRef>
              <c:f>Graph!$P$15</c:f>
              <c:strCache>
                <c:ptCount val="1"/>
                <c:pt idx="0">
                  <c:v>14500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Graph!$P$16:$P$46</c:f>
              <c:numCache>
                <c:formatCode>General</c:formatCode>
                <c:ptCount val="31"/>
                <c:pt idx="0">
                  <c:v>0.1925</c:v>
                </c:pt>
                <c:pt idx="1">
                  <c:v>0.222</c:v>
                </c:pt>
                <c:pt idx="2">
                  <c:v>0.2505</c:v>
                </c:pt>
                <c:pt idx="3">
                  <c:v>0.278</c:v>
                </c:pt>
                <c:pt idx="4">
                  <c:v>0.3045</c:v>
                </c:pt>
                <c:pt idx="5">
                  <c:v>0.33</c:v>
                </c:pt>
                <c:pt idx="6">
                  <c:v>0.3545</c:v>
                </c:pt>
                <c:pt idx="7">
                  <c:v>0.378</c:v>
                </c:pt>
                <c:pt idx="8">
                  <c:v>0.4005</c:v>
                </c:pt>
                <c:pt idx="9">
                  <c:v>0.422</c:v>
                </c:pt>
                <c:pt idx="10">
                  <c:v>0.4425</c:v>
                </c:pt>
                <c:pt idx="11">
                  <c:v>0.462</c:v>
                </c:pt>
                <c:pt idx="12">
                  <c:v>0.4805</c:v>
                </c:pt>
                <c:pt idx="13">
                  <c:v>0.498</c:v>
                </c:pt>
                <c:pt idx="14">
                  <c:v>0.5145</c:v>
                </c:pt>
                <c:pt idx="15">
                  <c:v>0.53</c:v>
                </c:pt>
                <c:pt idx="16">
                  <c:v>0.5445</c:v>
                </c:pt>
                <c:pt idx="17">
                  <c:v>0.558</c:v>
                </c:pt>
                <c:pt idx="18">
                  <c:v>0.5705</c:v>
                </c:pt>
                <c:pt idx="19">
                  <c:v>0.582</c:v>
                </c:pt>
                <c:pt idx="20">
                  <c:v>0.5925</c:v>
                </c:pt>
                <c:pt idx="21">
                  <c:v>0.602</c:v>
                </c:pt>
                <c:pt idx="22">
                  <c:v>0.6105</c:v>
                </c:pt>
                <c:pt idx="23">
                  <c:v>0.618</c:v>
                </c:pt>
                <c:pt idx="24">
                  <c:v>0.6245</c:v>
                </c:pt>
                <c:pt idx="25">
                  <c:v>0.63</c:v>
                </c:pt>
                <c:pt idx="26">
                  <c:v>0.6345</c:v>
                </c:pt>
                <c:pt idx="27">
                  <c:v>0.638</c:v>
                </c:pt>
                <c:pt idx="28">
                  <c:v>0.6405</c:v>
                </c:pt>
                <c:pt idx="29">
                  <c:v>0.642</c:v>
                </c:pt>
                <c:pt idx="30">
                  <c:v>0.6425</c:v>
                </c:pt>
              </c:numCache>
            </c:numRef>
          </c:val>
        </c:ser>
        <c:ser>
          <c:idx val="14"/>
          <c:order val="14"/>
          <c:tx>
            <c:strRef>
              <c:f>Graph!$Q$15</c:f>
              <c:strCache>
                <c:ptCount val="1"/>
                <c:pt idx="0">
                  <c:v>15000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Graph!$Q$16:$Q$46</c:f>
              <c:numCache>
                <c:formatCode>General</c:formatCode>
                <c:ptCount val="31"/>
                <c:pt idx="0">
                  <c:v>0.165</c:v>
                </c:pt>
                <c:pt idx="1">
                  <c:v>0.1945</c:v>
                </c:pt>
                <c:pt idx="2">
                  <c:v>0.223</c:v>
                </c:pt>
                <c:pt idx="3">
                  <c:v>0.2505</c:v>
                </c:pt>
                <c:pt idx="4">
                  <c:v>0.277</c:v>
                </c:pt>
                <c:pt idx="5">
                  <c:v>0.3025</c:v>
                </c:pt>
                <c:pt idx="6">
                  <c:v>0.327</c:v>
                </c:pt>
                <c:pt idx="7">
                  <c:v>0.3505</c:v>
                </c:pt>
                <c:pt idx="8">
                  <c:v>0.373</c:v>
                </c:pt>
                <c:pt idx="9">
                  <c:v>0.3945</c:v>
                </c:pt>
                <c:pt idx="10">
                  <c:v>0.415</c:v>
                </c:pt>
                <c:pt idx="11">
                  <c:v>0.4345</c:v>
                </c:pt>
                <c:pt idx="12">
                  <c:v>0.453</c:v>
                </c:pt>
                <c:pt idx="13">
                  <c:v>0.4705</c:v>
                </c:pt>
                <c:pt idx="14">
                  <c:v>0.487</c:v>
                </c:pt>
                <c:pt idx="15">
                  <c:v>0.5025</c:v>
                </c:pt>
                <c:pt idx="16">
                  <c:v>0.517</c:v>
                </c:pt>
                <c:pt idx="17">
                  <c:v>0.5305</c:v>
                </c:pt>
                <c:pt idx="18">
                  <c:v>0.543</c:v>
                </c:pt>
                <c:pt idx="19">
                  <c:v>0.5545</c:v>
                </c:pt>
                <c:pt idx="20">
                  <c:v>0.565</c:v>
                </c:pt>
                <c:pt idx="21">
                  <c:v>0.5745</c:v>
                </c:pt>
                <c:pt idx="22">
                  <c:v>0.583</c:v>
                </c:pt>
                <c:pt idx="23">
                  <c:v>0.5905</c:v>
                </c:pt>
                <c:pt idx="24">
                  <c:v>0.597</c:v>
                </c:pt>
                <c:pt idx="25">
                  <c:v>0.6025</c:v>
                </c:pt>
                <c:pt idx="26">
                  <c:v>0.607</c:v>
                </c:pt>
                <c:pt idx="27">
                  <c:v>0.6105</c:v>
                </c:pt>
                <c:pt idx="28">
                  <c:v>0.613</c:v>
                </c:pt>
                <c:pt idx="29">
                  <c:v>0.6145</c:v>
                </c:pt>
                <c:pt idx="30">
                  <c:v>0.615</c:v>
                </c:pt>
              </c:numCache>
            </c:numRef>
          </c:val>
        </c:ser>
        <c:ser>
          <c:idx val="15"/>
          <c:order val="15"/>
          <c:tx>
            <c:strRef>
              <c:f>Graph!$R$15</c:f>
              <c:strCache>
                <c:ptCount val="1"/>
                <c:pt idx="0">
                  <c:v>15500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Graph!$R$16:$R$46</c:f>
              <c:numCache>
                <c:formatCode>General</c:formatCode>
                <c:ptCount val="31"/>
                <c:pt idx="0">
                  <c:v>0.1375</c:v>
                </c:pt>
                <c:pt idx="1">
                  <c:v>0.167</c:v>
                </c:pt>
                <c:pt idx="2">
                  <c:v>0.1955</c:v>
                </c:pt>
                <c:pt idx="3">
                  <c:v>0.223</c:v>
                </c:pt>
                <c:pt idx="4">
                  <c:v>0.2495</c:v>
                </c:pt>
                <c:pt idx="5">
                  <c:v>0.275</c:v>
                </c:pt>
                <c:pt idx="6">
                  <c:v>0.2995</c:v>
                </c:pt>
                <c:pt idx="7">
                  <c:v>0.323</c:v>
                </c:pt>
                <c:pt idx="8">
                  <c:v>0.3455</c:v>
                </c:pt>
                <c:pt idx="9">
                  <c:v>0.367</c:v>
                </c:pt>
                <c:pt idx="10">
                  <c:v>0.3875</c:v>
                </c:pt>
                <c:pt idx="11">
                  <c:v>0.407</c:v>
                </c:pt>
                <c:pt idx="12">
                  <c:v>0.4255</c:v>
                </c:pt>
                <c:pt idx="13">
                  <c:v>0.443</c:v>
                </c:pt>
                <c:pt idx="14">
                  <c:v>0.4595</c:v>
                </c:pt>
                <c:pt idx="15">
                  <c:v>0.475</c:v>
                </c:pt>
                <c:pt idx="16">
                  <c:v>0.4895</c:v>
                </c:pt>
                <c:pt idx="17">
                  <c:v>0.503</c:v>
                </c:pt>
                <c:pt idx="18">
                  <c:v>0.5155</c:v>
                </c:pt>
                <c:pt idx="19">
                  <c:v>0.527</c:v>
                </c:pt>
                <c:pt idx="20">
                  <c:v>0.5375</c:v>
                </c:pt>
                <c:pt idx="21">
                  <c:v>0.547</c:v>
                </c:pt>
                <c:pt idx="22">
                  <c:v>0.5555</c:v>
                </c:pt>
                <c:pt idx="23">
                  <c:v>0.563</c:v>
                </c:pt>
                <c:pt idx="24">
                  <c:v>0.5695</c:v>
                </c:pt>
                <c:pt idx="25">
                  <c:v>0.575</c:v>
                </c:pt>
                <c:pt idx="26">
                  <c:v>0.5795</c:v>
                </c:pt>
                <c:pt idx="27">
                  <c:v>0.583</c:v>
                </c:pt>
                <c:pt idx="28">
                  <c:v>0.5855</c:v>
                </c:pt>
                <c:pt idx="29">
                  <c:v>0.587</c:v>
                </c:pt>
                <c:pt idx="30">
                  <c:v>0.5875</c:v>
                </c:pt>
              </c:numCache>
            </c:numRef>
          </c:val>
        </c:ser>
        <c:ser>
          <c:idx val="16"/>
          <c:order val="16"/>
          <c:tx>
            <c:strRef>
              <c:f>Graph!$S$15</c:f>
              <c:strCache>
                <c:ptCount val="1"/>
                <c:pt idx="0">
                  <c:v>16000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Graph!$S$16:$S$46</c:f>
              <c:numCache>
                <c:formatCode>General</c:formatCode>
                <c:ptCount val="31"/>
                <c:pt idx="0">
                  <c:v>0.11</c:v>
                </c:pt>
                <c:pt idx="1">
                  <c:v>0.1395</c:v>
                </c:pt>
                <c:pt idx="2">
                  <c:v>0.168</c:v>
                </c:pt>
                <c:pt idx="3">
                  <c:v>0.1955</c:v>
                </c:pt>
                <c:pt idx="4">
                  <c:v>0.222</c:v>
                </c:pt>
                <c:pt idx="5">
                  <c:v>0.2475</c:v>
                </c:pt>
                <c:pt idx="6">
                  <c:v>0.272</c:v>
                </c:pt>
                <c:pt idx="7">
                  <c:v>0.2955</c:v>
                </c:pt>
                <c:pt idx="8">
                  <c:v>0.318</c:v>
                </c:pt>
                <c:pt idx="9">
                  <c:v>0.3395</c:v>
                </c:pt>
                <c:pt idx="10">
                  <c:v>0.36</c:v>
                </c:pt>
                <c:pt idx="11">
                  <c:v>0.3795</c:v>
                </c:pt>
                <c:pt idx="12">
                  <c:v>0.398</c:v>
                </c:pt>
                <c:pt idx="13">
                  <c:v>0.4155</c:v>
                </c:pt>
                <c:pt idx="14">
                  <c:v>0.432</c:v>
                </c:pt>
                <c:pt idx="15">
                  <c:v>0.4475</c:v>
                </c:pt>
                <c:pt idx="16">
                  <c:v>0.462</c:v>
                </c:pt>
                <c:pt idx="17">
                  <c:v>0.4755</c:v>
                </c:pt>
                <c:pt idx="18">
                  <c:v>0.488</c:v>
                </c:pt>
                <c:pt idx="19">
                  <c:v>0.4995</c:v>
                </c:pt>
                <c:pt idx="20">
                  <c:v>0.51</c:v>
                </c:pt>
                <c:pt idx="21">
                  <c:v>0.5195</c:v>
                </c:pt>
                <c:pt idx="22">
                  <c:v>0.528</c:v>
                </c:pt>
                <c:pt idx="23">
                  <c:v>0.5355</c:v>
                </c:pt>
                <c:pt idx="24">
                  <c:v>0.542</c:v>
                </c:pt>
                <c:pt idx="25">
                  <c:v>0.5475</c:v>
                </c:pt>
                <c:pt idx="26">
                  <c:v>0.552</c:v>
                </c:pt>
                <c:pt idx="27">
                  <c:v>0.5555</c:v>
                </c:pt>
                <c:pt idx="28">
                  <c:v>0.558</c:v>
                </c:pt>
                <c:pt idx="29">
                  <c:v>0.5595</c:v>
                </c:pt>
                <c:pt idx="30">
                  <c:v>0.56</c:v>
                </c:pt>
              </c:numCache>
            </c:numRef>
          </c:val>
        </c:ser>
        <c:ser>
          <c:idx val="17"/>
          <c:order val="17"/>
          <c:tx>
            <c:strRef>
              <c:f>Graph!$T$15</c:f>
              <c:strCache>
                <c:ptCount val="1"/>
                <c:pt idx="0">
                  <c:v>16500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Graph!$T$16:$T$46</c:f>
              <c:numCache>
                <c:formatCode>General</c:formatCode>
                <c:ptCount val="31"/>
                <c:pt idx="0">
                  <c:v>0.0825</c:v>
                </c:pt>
                <c:pt idx="1">
                  <c:v>0.112</c:v>
                </c:pt>
                <c:pt idx="2">
                  <c:v>0.1405</c:v>
                </c:pt>
                <c:pt idx="3">
                  <c:v>0.168</c:v>
                </c:pt>
                <c:pt idx="4">
                  <c:v>0.1945</c:v>
                </c:pt>
                <c:pt idx="5">
                  <c:v>0.22</c:v>
                </c:pt>
                <c:pt idx="6">
                  <c:v>0.2445</c:v>
                </c:pt>
                <c:pt idx="7">
                  <c:v>0.268</c:v>
                </c:pt>
                <c:pt idx="8">
                  <c:v>0.2905</c:v>
                </c:pt>
                <c:pt idx="9">
                  <c:v>0.312</c:v>
                </c:pt>
                <c:pt idx="10">
                  <c:v>0.3325</c:v>
                </c:pt>
                <c:pt idx="11">
                  <c:v>0.352</c:v>
                </c:pt>
                <c:pt idx="12">
                  <c:v>0.3705</c:v>
                </c:pt>
                <c:pt idx="13">
                  <c:v>0.388</c:v>
                </c:pt>
                <c:pt idx="14">
                  <c:v>0.4045</c:v>
                </c:pt>
                <c:pt idx="15">
                  <c:v>0.42</c:v>
                </c:pt>
                <c:pt idx="16">
                  <c:v>0.4345</c:v>
                </c:pt>
                <c:pt idx="17">
                  <c:v>0.448</c:v>
                </c:pt>
                <c:pt idx="18">
                  <c:v>0.4605</c:v>
                </c:pt>
                <c:pt idx="19">
                  <c:v>0.472</c:v>
                </c:pt>
                <c:pt idx="20">
                  <c:v>0.4825</c:v>
                </c:pt>
                <c:pt idx="21">
                  <c:v>0.492</c:v>
                </c:pt>
                <c:pt idx="22">
                  <c:v>0.5005</c:v>
                </c:pt>
                <c:pt idx="23">
                  <c:v>0.508</c:v>
                </c:pt>
                <c:pt idx="24">
                  <c:v>0.5145</c:v>
                </c:pt>
                <c:pt idx="25">
                  <c:v>0.52</c:v>
                </c:pt>
                <c:pt idx="26">
                  <c:v>0.5245</c:v>
                </c:pt>
                <c:pt idx="27">
                  <c:v>0.528</c:v>
                </c:pt>
                <c:pt idx="28">
                  <c:v>0.5305</c:v>
                </c:pt>
                <c:pt idx="29">
                  <c:v>0.532</c:v>
                </c:pt>
                <c:pt idx="30">
                  <c:v>0.5325</c:v>
                </c:pt>
              </c:numCache>
            </c:numRef>
          </c:val>
        </c:ser>
        <c:ser>
          <c:idx val="18"/>
          <c:order val="18"/>
          <c:tx>
            <c:strRef>
              <c:f>Graph!$U$15</c:f>
              <c:strCache>
                <c:ptCount val="1"/>
                <c:pt idx="0">
                  <c:v>17000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Graph!$U$16:$U$46</c:f>
              <c:numCache>
                <c:formatCode>General</c:formatCode>
                <c:ptCount val="31"/>
                <c:pt idx="0">
                  <c:v>0.055</c:v>
                </c:pt>
                <c:pt idx="1">
                  <c:v>0.0845</c:v>
                </c:pt>
                <c:pt idx="2">
                  <c:v>0.113</c:v>
                </c:pt>
                <c:pt idx="3">
                  <c:v>0.1405</c:v>
                </c:pt>
                <c:pt idx="4">
                  <c:v>0.167</c:v>
                </c:pt>
                <c:pt idx="5">
                  <c:v>0.1925</c:v>
                </c:pt>
                <c:pt idx="6">
                  <c:v>0.217</c:v>
                </c:pt>
                <c:pt idx="7">
                  <c:v>0.2405</c:v>
                </c:pt>
                <c:pt idx="8">
                  <c:v>0.263</c:v>
                </c:pt>
                <c:pt idx="9">
                  <c:v>0.2845</c:v>
                </c:pt>
                <c:pt idx="10">
                  <c:v>0.305</c:v>
                </c:pt>
                <c:pt idx="11">
                  <c:v>0.3245</c:v>
                </c:pt>
                <c:pt idx="12">
                  <c:v>0.343</c:v>
                </c:pt>
                <c:pt idx="13">
                  <c:v>0.3605</c:v>
                </c:pt>
                <c:pt idx="14">
                  <c:v>0.377</c:v>
                </c:pt>
                <c:pt idx="15">
                  <c:v>0.3925</c:v>
                </c:pt>
                <c:pt idx="16">
                  <c:v>0.407</c:v>
                </c:pt>
                <c:pt idx="17">
                  <c:v>0.4205</c:v>
                </c:pt>
                <c:pt idx="18">
                  <c:v>0.433</c:v>
                </c:pt>
                <c:pt idx="19">
                  <c:v>0.4445</c:v>
                </c:pt>
                <c:pt idx="20">
                  <c:v>0.455</c:v>
                </c:pt>
                <c:pt idx="21">
                  <c:v>0.4645</c:v>
                </c:pt>
                <c:pt idx="22">
                  <c:v>0.473</c:v>
                </c:pt>
                <c:pt idx="23">
                  <c:v>0.4805</c:v>
                </c:pt>
                <c:pt idx="24">
                  <c:v>0.487</c:v>
                </c:pt>
                <c:pt idx="25">
                  <c:v>0.4925</c:v>
                </c:pt>
                <c:pt idx="26">
                  <c:v>0.497</c:v>
                </c:pt>
                <c:pt idx="27">
                  <c:v>0.5005</c:v>
                </c:pt>
                <c:pt idx="28">
                  <c:v>0.503</c:v>
                </c:pt>
                <c:pt idx="29">
                  <c:v>0.5045</c:v>
                </c:pt>
                <c:pt idx="30">
                  <c:v>0.505</c:v>
                </c:pt>
              </c:numCache>
            </c:numRef>
          </c:val>
        </c:ser>
        <c:ser>
          <c:idx val="19"/>
          <c:order val="19"/>
          <c:tx>
            <c:strRef>
              <c:f>Graph!$V$15</c:f>
              <c:strCache>
                <c:ptCount val="1"/>
                <c:pt idx="0">
                  <c:v>17500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Graph!$V$16:$V$46</c:f>
              <c:numCache>
                <c:formatCode>General</c:formatCode>
                <c:ptCount val="31"/>
                <c:pt idx="0">
                  <c:v>0.0275</c:v>
                </c:pt>
                <c:pt idx="1">
                  <c:v>0.057</c:v>
                </c:pt>
                <c:pt idx="2">
                  <c:v>0.0855000000000001</c:v>
                </c:pt>
                <c:pt idx="3">
                  <c:v>0.113</c:v>
                </c:pt>
                <c:pt idx="4">
                  <c:v>0.1395</c:v>
                </c:pt>
                <c:pt idx="5">
                  <c:v>0.165</c:v>
                </c:pt>
                <c:pt idx="6">
                  <c:v>0.1895</c:v>
                </c:pt>
                <c:pt idx="7">
                  <c:v>0.213</c:v>
                </c:pt>
                <c:pt idx="8">
                  <c:v>0.2355</c:v>
                </c:pt>
                <c:pt idx="9">
                  <c:v>0.257</c:v>
                </c:pt>
                <c:pt idx="10">
                  <c:v>0.2775</c:v>
                </c:pt>
                <c:pt idx="11">
                  <c:v>0.297</c:v>
                </c:pt>
                <c:pt idx="12">
                  <c:v>0.3155</c:v>
                </c:pt>
                <c:pt idx="13">
                  <c:v>0.333</c:v>
                </c:pt>
                <c:pt idx="14">
                  <c:v>0.3495</c:v>
                </c:pt>
                <c:pt idx="15">
                  <c:v>0.365</c:v>
                </c:pt>
                <c:pt idx="16">
                  <c:v>0.3795</c:v>
                </c:pt>
                <c:pt idx="17">
                  <c:v>0.393</c:v>
                </c:pt>
                <c:pt idx="18">
                  <c:v>0.4055</c:v>
                </c:pt>
                <c:pt idx="19">
                  <c:v>0.417</c:v>
                </c:pt>
                <c:pt idx="20">
                  <c:v>0.4275</c:v>
                </c:pt>
                <c:pt idx="21">
                  <c:v>0.437</c:v>
                </c:pt>
                <c:pt idx="22">
                  <c:v>0.4455</c:v>
                </c:pt>
                <c:pt idx="23">
                  <c:v>0.453</c:v>
                </c:pt>
                <c:pt idx="24">
                  <c:v>0.4595</c:v>
                </c:pt>
                <c:pt idx="25">
                  <c:v>0.465</c:v>
                </c:pt>
                <c:pt idx="26">
                  <c:v>0.4695</c:v>
                </c:pt>
                <c:pt idx="27">
                  <c:v>0.473</c:v>
                </c:pt>
                <c:pt idx="28">
                  <c:v>0.4755</c:v>
                </c:pt>
                <c:pt idx="29">
                  <c:v>0.477</c:v>
                </c:pt>
                <c:pt idx="30">
                  <c:v>0.4775</c:v>
                </c:pt>
              </c:numCache>
            </c:numRef>
          </c:val>
        </c:ser>
        <c:ser>
          <c:idx val="20"/>
          <c:order val="20"/>
          <c:tx>
            <c:strRef>
              <c:f>Graph!$W$15</c:f>
              <c:strCache>
                <c:ptCount val="1"/>
                <c:pt idx="0">
                  <c:v>18000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Graph!$B$16:$B$46</c:f>
              <c:numCache>
                <c:formatCode>General</c:formatCode>
                <c:ptCount val="31"/>
                <c:pt idx="0">
                  <c:v>6.0</c:v>
                </c:pt>
                <c:pt idx="1">
                  <c:v>6.2</c:v>
                </c:pt>
                <c:pt idx="2">
                  <c:v>6.4</c:v>
                </c:pt>
                <c:pt idx="3">
                  <c:v>6.6</c:v>
                </c:pt>
                <c:pt idx="4">
                  <c:v>6.800000000000001</c:v>
                </c:pt>
                <c:pt idx="5">
                  <c:v>7.000000000000001</c:v>
                </c:pt>
                <c:pt idx="6">
                  <c:v>7.200000000000001</c:v>
                </c:pt>
                <c:pt idx="7">
                  <c:v>7.400000000000001</c:v>
                </c:pt>
                <c:pt idx="8">
                  <c:v>7.600000000000001</c:v>
                </c:pt>
                <c:pt idx="9">
                  <c:v>7.800000000000002</c:v>
                </c:pt>
                <c:pt idx="10">
                  <c:v>8.000000000000001</c:v>
                </c:pt>
                <c:pt idx="11">
                  <c:v>8.200000000000001</c:v>
                </c:pt>
                <c:pt idx="12">
                  <c:v>8.4</c:v>
                </c:pt>
                <c:pt idx="13">
                  <c:v>8.6</c:v>
                </c:pt>
                <c:pt idx="14">
                  <c:v>8.799999999999998</c:v>
                </c:pt>
                <c:pt idx="15">
                  <c:v>8.999999999999998</c:v>
                </c:pt>
                <c:pt idx="16">
                  <c:v>9.199999999999997</c:v>
                </c:pt>
                <c:pt idx="17">
                  <c:v>9.399999999999996</c:v>
                </c:pt>
                <c:pt idx="18">
                  <c:v>9.599999999999996</c:v>
                </c:pt>
                <c:pt idx="19">
                  <c:v>9.799999999999995</c:v>
                </c:pt>
                <c:pt idx="20">
                  <c:v>9.999999999999994</c:v>
                </c:pt>
                <c:pt idx="21">
                  <c:v>10.19999999999999</c:v>
                </c:pt>
                <c:pt idx="22">
                  <c:v>10.4</c:v>
                </c:pt>
                <c:pt idx="23">
                  <c:v>10.6</c:v>
                </c:pt>
                <c:pt idx="24">
                  <c:v>10.8</c:v>
                </c:pt>
                <c:pt idx="25">
                  <c:v>11</c:v>
                </c:pt>
                <c:pt idx="26">
                  <c:v>11.2</c:v>
                </c:pt>
                <c:pt idx="27">
                  <c:v>11.39999999999999</c:v>
                </c:pt>
                <c:pt idx="28">
                  <c:v>11.59999999999999</c:v>
                </c:pt>
                <c:pt idx="29">
                  <c:v>11.79999999999999</c:v>
                </c:pt>
                <c:pt idx="30">
                  <c:v>11.99999999999999</c:v>
                </c:pt>
              </c:numCache>
            </c:numRef>
          </c:cat>
          <c:val>
            <c:numRef>
              <c:f>Graph!$W$16:$W$46</c:f>
              <c:numCache>
                <c:formatCode>General</c:formatCode>
                <c:ptCount val="31"/>
                <c:pt idx="0">
                  <c:v>0.0</c:v>
                </c:pt>
                <c:pt idx="1">
                  <c:v>0.0295</c:v>
                </c:pt>
                <c:pt idx="2">
                  <c:v>0.0580000000000001</c:v>
                </c:pt>
                <c:pt idx="3">
                  <c:v>0.0855000000000001</c:v>
                </c:pt>
                <c:pt idx="4">
                  <c:v>0.112</c:v>
                </c:pt>
                <c:pt idx="5">
                  <c:v>0.1375</c:v>
                </c:pt>
                <c:pt idx="6">
                  <c:v>0.162</c:v>
                </c:pt>
                <c:pt idx="7">
                  <c:v>0.1855</c:v>
                </c:pt>
                <c:pt idx="8">
                  <c:v>0.208</c:v>
                </c:pt>
                <c:pt idx="9">
                  <c:v>0.2295</c:v>
                </c:pt>
                <c:pt idx="10">
                  <c:v>0.25</c:v>
                </c:pt>
                <c:pt idx="11">
                  <c:v>0.2695</c:v>
                </c:pt>
                <c:pt idx="12">
                  <c:v>0.288</c:v>
                </c:pt>
                <c:pt idx="13">
                  <c:v>0.3055</c:v>
                </c:pt>
                <c:pt idx="14">
                  <c:v>0.322</c:v>
                </c:pt>
                <c:pt idx="15">
                  <c:v>0.3375</c:v>
                </c:pt>
                <c:pt idx="16">
                  <c:v>0.352</c:v>
                </c:pt>
                <c:pt idx="17">
                  <c:v>0.3655</c:v>
                </c:pt>
                <c:pt idx="18">
                  <c:v>0.378</c:v>
                </c:pt>
                <c:pt idx="19">
                  <c:v>0.3895</c:v>
                </c:pt>
                <c:pt idx="20">
                  <c:v>0.4</c:v>
                </c:pt>
                <c:pt idx="21">
                  <c:v>0.4095</c:v>
                </c:pt>
                <c:pt idx="22">
                  <c:v>0.418</c:v>
                </c:pt>
                <c:pt idx="23">
                  <c:v>0.4255</c:v>
                </c:pt>
                <c:pt idx="24">
                  <c:v>0.432</c:v>
                </c:pt>
                <c:pt idx="25">
                  <c:v>0.4375</c:v>
                </c:pt>
                <c:pt idx="26">
                  <c:v>0.442</c:v>
                </c:pt>
                <c:pt idx="27">
                  <c:v>0.4455</c:v>
                </c:pt>
                <c:pt idx="28">
                  <c:v>0.448</c:v>
                </c:pt>
                <c:pt idx="29">
                  <c:v>0.4495</c:v>
                </c:pt>
                <c:pt idx="30">
                  <c:v>0.45</c:v>
                </c:pt>
              </c:numCache>
            </c:numRef>
          </c:val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-2112353200"/>
        <c:axId val="-2112348768"/>
        <c:axId val="-2136113136"/>
      </c:surface3DChart>
      <c:catAx>
        <c:axId val="-211235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2112348768"/>
        <c:crosses val="autoZero"/>
        <c:auto val="1"/>
        <c:lblAlgn val="ctr"/>
        <c:lblOffset val="100"/>
        <c:noMultiLvlLbl val="0"/>
      </c:catAx>
      <c:valAx>
        <c:axId val="-21123487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2112353200"/>
        <c:crosses val="autoZero"/>
        <c:crossBetween val="midCat"/>
      </c:valAx>
      <c:serAx>
        <c:axId val="-21361131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2112348768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16</xdr:row>
      <xdr:rowOff>114300</xdr:rowOff>
    </xdr:from>
    <xdr:to>
      <xdr:col>14</xdr:col>
      <xdr:colOff>342900</xdr:colOff>
      <xdr:row>31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13</xdr:row>
      <xdr:rowOff>152399</xdr:rowOff>
    </xdr:from>
    <xdr:to>
      <xdr:col>23</xdr:col>
      <xdr:colOff>104775</xdr:colOff>
      <xdr:row>41</xdr:row>
      <xdr:rowOff>180975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2:H38"/>
  <sheetViews>
    <sheetView tabSelected="1" workbookViewId="0">
      <selection activeCell="D17" sqref="D17"/>
    </sheetView>
  </sheetViews>
  <sheetFormatPr baseColWidth="10" defaultRowHeight="15" x14ac:dyDescent="0.2"/>
  <cols>
    <col min="3" max="3" width="17.1640625" customWidth="1"/>
    <col min="4" max="8" width="17.33203125" customWidth="1"/>
  </cols>
  <sheetData>
    <row r="2" spans="3:8" x14ac:dyDescent="0.2">
      <c r="C2" t="s">
        <v>13</v>
      </c>
      <c r="D2" s="1" t="s">
        <v>14</v>
      </c>
    </row>
    <row r="3" spans="3:8" x14ac:dyDescent="0.2">
      <c r="C3" t="s">
        <v>15</v>
      </c>
      <c r="D3" s="1" t="s">
        <v>16</v>
      </c>
    </row>
    <row r="5" spans="3:8" x14ac:dyDescent="0.2">
      <c r="D5" t="s">
        <v>10</v>
      </c>
      <c r="E5" t="s">
        <v>11</v>
      </c>
    </row>
    <row r="6" spans="3:8" x14ac:dyDescent="0.2">
      <c r="C6" t="s">
        <v>9</v>
      </c>
      <c r="D6">
        <v>0.45</v>
      </c>
      <c r="E6">
        <f>1-D6</f>
        <v>0.55000000000000004</v>
      </c>
    </row>
    <row r="8" spans="3:8" x14ac:dyDescent="0.2">
      <c r="D8" t="s">
        <v>5</v>
      </c>
      <c r="E8" t="s">
        <v>4</v>
      </c>
      <c r="F8" t="s">
        <v>6</v>
      </c>
      <c r="G8" t="s">
        <v>7</v>
      </c>
      <c r="H8" t="s">
        <v>8</v>
      </c>
    </row>
    <row r="9" spans="3:8" x14ac:dyDescent="0.2">
      <c r="C9" t="s">
        <v>0</v>
      </c>
      <c r="D9">
        <v>10</v>
      </c>
      <c r="E9">
        <v>18000</v>
      </c>
      <c r="F9">
        <f>1-((12-D9)/6)^2</f>
        <v>0.88888888888888884</v>
      </c>
      <c r="G9">
        <f>1-((E9-$E$12)/10000)</f>
        <v>0</v>
      </c>
      <c r="H9">
        <f>SUMPRODUCT(F9:G9,$D$6:$E$6)</f>
        <v>0.39999999999999997</v>
      </c>
    </row>
    <row r="10" spans="3:8" x14ac:dyDescent="0.2">
      <c r="C10" t="s">
        <v>1</v>
      </c>
      <c r="D10">
        <v>12</v>
      </c>
      <c r="E10">
        <v>17000</v>
      </c>
      <c r="F10">
        <f t="shared" ref="F10:F12" si="0">1-((12-D10)/6)^2</f>
        <v>1</v>
      </c>
      <c r="G10">
        <f t="shared" ref="G10:G12" si="1">1-((E10-$E$12)/10000)</f>
        <v>9.9999999999999978E-2</v>
      </c>
      <c r="H10">
        <f>SUMPRODUCT(F10:G10,$D$6:$E$6)</f>
        <v>0.505</v>
      </c>
    </row>
    <row r="11" spans="3:8" x14ac:dyDescent="0.2">
      <c r="C11" t="s">
        <v>2</v>
      </c>
      <c r="D11">
        <v>9</v>
      </c>
      <c r="E11">
        <v>10000</v>
      </c>
      <c r="F11">
        <f t="shared" si="0"/>
        <v>0.75</v>
      </c>
      <c r="G11">
        <f t="shared" si="1"/>
        <v>0.8</v>
      </c>
      <c r="H11">
        <f>SUMPRODUCT(F11:G11,$D$6:$E$6)</f>
        <v>0.77750000000000008</v>
      </c>
    </row>
    <row r="12" spans="3:8" x14ac:dyDescent="0.2">
      <c r="C12" t="s">
        <v>3</v>
      </c>
      <c r="D12">
        <v>6</v>
      </c>
      <c r="E12">
        <v>8000</v>
      </c>
      <c r="F12">
        <f t="shared" si="0"/>
        <v>0</v>
      </c>
      <c r="G12">
        <f t="shared" si="1"/>
        <v>1</v>
      </c>
      <c r="H12">
        <f>SUMPRODUCT(F12:G12,$D$6:$E$6)</f>
        <v>0.55000000000000004</v>
      </c>
    </row>
    <row r="16" spans="3:8" x14ac:dyDescent="0.2">
      <c r="D16" t="str">
        <f t="array" ref="D16:G16">TRANSPOSE(C9:C12)</f>
        <v>Elite Wagen</v>
      </c>
      <c r="E16" t="str">
        <v>Portalo</v>
      </c>
      <c r="F16" t="str">
        <v>Norushi</v>
      </c>
      <c r="G16" t="str">
        <v>Standard Motors</v>
      </c>
      <c r="H16" t="s">
        <v>17</v>
      </c>
    </row>
    <row r="17" spans="3:8" x14ac:dyDescent="0.2">
      <c r="C17" t="s">
        <v>12</v>
      </c>
      <c r="D17">
        <f t="array" ref="D17:G17">TRANSPOSE(H9:H12)</f>
        <v>0.39999999999999997</v>
      </c>
      <c r="E17">
        <v>0.505</v>
      </c>
      <c r="F17">
        <v>0.77750000000000008</v>
      </c>
      <c r="G17">
        <v>0.55000000000000004</v>
      </c>
    </row>
    <row r="18" spans="3:8" x14ac:dyDescent="0.2">
      <c r="C18">
        <v>0</v>
      </c>
      <c r="D18">
        <f t="dataTable" ref="D18:G38" dt2D="0" dtr="0" r1="D6"/>
        <v>0</v>
      </c>
      <c r="E18">
        <v>9.9999999999999978E-2</v>
      </c>
      <c r="F18">
        <v>0.8</v>
      </c>
      <c r="G18">
        <v>1</v>
      </c>
      <c r="H18" t="str">
        <f>IF(MAX(D18:G18)=D18,$D$16,IF(MAX(D18:G18)=E18,$E$16,IF(MAX(D18:G18)=F18,$F$16,$G$16)))</f>
        <v>Standard Motors</v>
      </c>
    </row>
    <row r="19" spans="3:8" x14ac:dyDescent="0.2">
      <c r="C19">
        <f>C18+0.05</f>
        <v>0.05</v>
      </c>
      <c r="D19">
        <v>4.4444444444444446E-2</v>
      </c>
      <c r="E19">
        <v>0.14499999999999996</v>
      </c>
      <c r="F19">
        <v>0.79749999999999999</v>
      </c>
      <c r="G19">
        <v>0.95</v>
      </c>
      <c r="H19" t="str">
        <f t="shared" ref="H19:H38" si="2">IF(MAX(D19:G19)=D19,$D$16,IF(MAX(D19:G19)=E19,$E$16,IF(MAX(D19:G19)=F19,$F$16,$G$16)))</f>
        <v>Standard Motors</v>
      </c>
    </row>
    <row r="20" spans="3:8" x14ac:dyDescent="0.2">
      <c r="C20">
        <f t="shared" ref="C20:C37" si="3">C19+0.05</f>
        <v>0.1</v>
      </c>
      <c r="D20">
        <v>8.8888888888888892E-2</v>
      </c>
      <c r="E20">
        <v>0.19</v>
      </c>
      <c r="F20">
        <v>0.79500000000000015</v>
      </c>
      <c r="G20">
        <v>0.9</v>
      </c>
      <c r="H20" t="str">
        <f t="shared" si="2"/>
        <v>Standard Motors</v>
      </c>
    </row>
    <row r="21" spans="3:8" x14ac:dyDescent="0.2">
      <c r="C21">
        <f t="shared" si="3"/>
        <v>0.15000000000000002</v>
      </c>
      <c r="D21">
        <v>0.13333333333333336</v>
      </c>
      <c r="E21">
        <v>0.23499999999999999</v>
      </c>
      <c r="F21">
        <v>0.79250000000000009</v>
      </c>
      <c r="G21">
        <v>0.85</v>
      </c>
      <c r="H21" t="str">
        <f t="shared" si="2"/>
        <v>Standard Motors</v>
      </c>
    </row>
    <row r="22" spans="3:8" x14ac:dyDescent="0.2">
      <c r="C22">
        <f t="shared" si="3"/>
        <v>0.2</v>
      </c>
      <c r="D22">
        <v>0.17777777777777778</v>
      </c>
      <c r="E22">
        <v>0.28000000000000003</v>
      </c>
      <c r="F22">
        <v>0.79000000000000015</v>
      </c>
      <c r="G22">
        <v>0.8</v>
      </c>
      <c r="H22" t="str">
        <f t="shared" si="2"/>
        <v>Standard Motors</v>
      </c>
    </row>
    <row r="23" spans="3:8" x14ac:dyDescent="0.2">
      <c r="C23">
        <f t="shared" si="3"/>
        <v>0.25</v>
      </c>
      <c r="D23">
        <v>0.22222222222222221</v>
      </c>
      <c r="E23">
        <v>0.32499999999999996</v>
      </c>
      <c r="F23">
        <v>0.78750000000000009</v>
      </c>
      <c r="G23">
        <v>0.75</v>
      </c>
      <c r="H23" t="str">
        <f t="shared" si="2"/>
        <v>Norushi</v>
      </c>
    </row>
    <row r="24" spans="3:8" x14ac:dyDescent="0.2">
      <c r="C24">
        <f t="shared" si="3"/>
        <v>0.3</v>
      </c>
      <c r="D24">
        <v>0.26666666666666666</v>
      </c>
      <c r="E24">
        <v>0.37</v>
      </c>
      <c r="F24">
        <v>0.78499999999999992</v>
      </c>
      <c r="G24">
        <v>0.7</v>
      </c>
      <c r="H24" t="str">
        <f t="shared" si="2"/>
        <v>Norushi</v>
      </c>
    </row>
    <row r="25" spans="3:8" x14ac:dyDescent="0.2">
      <c r="C25">
        <f t="shared" si="3"/>
        <v>0.35</v>
      </c>
      <c r="D25">
        <v>0.31111111111111106</v>
      </c>
      <c r="E25">
        <v>0.41499999999999998</v>
      </c>
      <c r="F25">
        <v>0.78249999999999997</v>
      </c>
      <c r="G25">
        <v>0.65</v>
      </c>
      <c r="H25" t="str">
        <f t="shared" si="2"/>
        <v>Norushi</v>
      </c>
    </row>
    <row r="26" spans="3:8" x14ac:dyDescent="0.2">
      <c r="C26">
        <f t="shared" si="3"/>
        <v>0.39999999999999997</v>
      </c>
      <c r="D26">
        <v>0.35555555555555551</v>
      </c>
      <c r="E26">
        <v>0.45999999999999996</v>
      </c>
      <c r="F26">
        <v>0.78</v>
      </c>
      <c r="G26">
        <v>0.60000000000000009</v>
      </c>
      <c r="H26" t="str">
        <f t="shared" si="2"/>
        <v>Norushi</v>
      </c>
    </row>
    <row r="27" spans="3:8" x14ac:dyDescent="0.2">
      <c r="C27">
        <f t="shared" si="3"/>
        <v>0.44999999999999996</v>
      </c>
      <c r="D27">
        <v>0.39999999999999991</v>
      </c>
      <c r="E27">
        <v>0.50499999999999989</v>
      </c>
      <c r="F27">
        <v>0.77750000000000008</v>
      </c>
      <c r="G27">
        <v>0.55000000000000004</v>
      </c>
      <c r="H27" t="str">
        <f t="shared" si="2"/>
        <v>Norushi</v>
      </c>
    </row>
    <row r="28" spans="3:8" x14ac:dyDescent="0.2">
      <c r="C28">
        <f t="shared" si="3"/>
        <v>0.49999999999999994</v>
      </c>
      <c r="D28">
        <v>0.44444444444444436</v>
      </c>
      <c r="E28">
        <v>0.54999999999999993</v>
      </c>
      <c r="F28">
        <v>0.77499999999999991</v>
      </c>
      <c r="G28">
        <v>0.5</v>
      </c>
      <c r="H28" t="str">
        <f t="shared" si="2"/>
        <v>Norushi</v>
      </c>
    </row>
    <row r="29" spans="3:8" x14ac:dyDescent="0.2">
      <c r="C29">
        <f t="shared" si="3"/>
        <v>0.54999999999999993</v>
      </c>
      <c r="D29">
        <v>0.48888888888888882</v>
      </c>
      <c r="E29">
        <v>0.59499999999999997</v>
      </c>
      <c r="F29">
        <v>0.77250000000000008</v>
      </c>
      <c r="G29">
        <v>0.45000000000000007</v>
      </c>
      <c r="H29" t="str">
        <f t="shared" si="2"/>
        <v>Norushi</v>
      </c>
    </row>
    <row r="30" spans="3:8" x14ac:dyDescent="0.2">
      <c r="C30">
        <f t="shared" si="3"/>
        <v>0.6</v>
      </c>
      <c r="D30">
        <v>0.53333333333333333</v>
      </c>
      <c r="E30">
        <v>0.64</v>
      </c>
      <c r="F30">
        <v>0.77</v>
      </c>
      <c r="G30">
        <v>0.4</v>
      </c>
      <c r="H30" t="str">
        <f t="shared" si="2"/>
        <v>Norushi</v>
      </c>
    </row>
    <row r="31" spans="3:8" x14ac:dyDescent="0.2">
      <c r="C31">
        <f t="shared" si="3"/>
        <v>0.65</v>
      </c>
      <c r="D31">
        <v>0.57777777777777772</v>
      </c>
      <c r="E31">
        <v>0.68500000000000005</v>
      </c>
      <c r="F31">
        <v>0.76750000000000007</v>
      </c>
      <c r="G31">
        <v>0.35</v>
      </c>
      <c r="H31" t="str">
        <f t="shared" si="2"/>
        <v>Norushi</v>
      </c>
    </row>
    <row r="32" spans="3:8" x14ac:dyDescent="0.2">
      <c r="C32">
        <f t="shared" si="3"/>
        <v>0.70000000000000007</v>
      </c>
      <c r="D32">
        <v>0.62222222222222223</v>
      </c>
      <c r="E32">
        <v>0.73000000000000009</v>
      </c>
      <c r="F32">
        <v>0.76500000000000001</v>
      </c>
      <c r="G32">
        <v>0.29999999999999993</v>
      </c>
      <c r="H32" t="str">
        <f t="shared" si="2"/>
        <v>Norushi</v>
      </c>
    </row>
    <row r="33" spans="3:8" x14ac:dyDescent="0.2">
      <c r="C33">
        <f t="shared" si="3"/>
        <v>0.75000000000000011</v>
      </c>
      <c r="D33">
        <v>0.66666666666666674</v>
      </c>
      <c r="E33">
        <v>0.77500000000000013</v>
      </c>
      <c r="F33">
        <v>0.76250000000000007</v>
      </c>
      <c r="G33">
        <v>0.24999999999999989</v>
      </c>
      <c r="H33" t="str">
        <f t="shared" si="2"/>
        <v>Portalo</v>
      </c>
    </row>
    <row r="34" spans="3:8" x14ac:dyDescent="0.2">
      <c r="C34">
        <f>C33+0.05</f>
        <v>0.80000000000000016</v>
      </c>
      <c r="D34">
        <v>0.71111111111111125</v>
      </c>
      <c r="E34">
        <v>0.82000000000000017</v>
      </c>
      <c r="F34">
        <v>0.76</v>
      </c>
      <c r="G34">
        <v>0.19999999999999984</v>
      </c>
      <c r="H34" t="str">
        <f t="shared" si="2"/>
        <v>Portalo</v>
      </c>
    </row>
    <row r="35" spans="3:8" x14ac:dyDescent="0.2">
      <c r="C35">
        <f t="shared" si="3"/>
        <v>0.8500000000000002</v>
      </c>
      <c r="D35">
        <v>0.75555555555555565</v>
      </c>
      <c r="E35">
        <v>0.86500000000000021</v>
      </c>
      <c r="F35">
        <v>0.75750000000000006</v>
      </c>
      <c r="G35">
        <v>0.1499999999999998</v>
      </c>
      <c r="H35" t="str">
        <f t="shared" si="2"/>
        <v>Portalo</v>
      </c>
    </row>
    <row r="36" spans="3:8" x14ac:dyDescent="0.2">
      <c r="C36">
        <f t="shared" si="3"/>
        <v>0.90000000000000024</v>
      </c>
      <c r="D36">
        <v>0.80000000000000016</v>
      </c>
      <c r="E36">
        <v>0.91000000000000025</v>
      </c>
      <c r="F36">
        <v>0.755</v>
      </c>
      <c r="G36">
        <v>9.9999999999999756E-2</v>
      </c>
      <c r="H36" t="str">
        <f t="shared" si="2"/>
        <v>Portalo</v>
      </c>
    </row>
    <row r="37" spans="3:8" x14ac:dyDescent="0.2">
      <c r="C37">
        <f t="shared" si="3"/>
        <v>0.95000000000000029</v>
      </c>
      <c r="D37">
        <v>0.84444444444444466</v>
      </c>
      <c r="E37">
        <v>0.95500000000000029</v>
      </c>
      <c r="F37">
        <v>0.75250000000000006</v>
      </c>
      <c r="G37">
        <v>4.9999999999999711E-2</v>
      </c>
      <c r="H37" t="str">
        <f t="shared" si="2"/>
        <v>Portalo</v>
      </c>
    </row>
    <row r="38" spans="3:8" x14ac:dyDescent="0.2">
      <c r="C38">
        <f>C37+0.05</f>
        <v>1.0000000000000002</v>
      </c>
      <c r="D38">
        <v>0.88888888888888906</v>
      </c>
      <c r="E38">
        <v>1.0000000000000002</v>
      </c>
      <c r="F38">
        <v>0.75000000000000022</v>
      </c>
      <c r="G38">
        <v>0</v>
      </c>
      <c r="H38" t="str">
        <f t="shared" si="2"/>
        <v>Portalo</v>
      </c>
    </row>
  </sheetData>
  <pageMargins left="0.7" right="0.7" top="0.75" bottom="0.75" header="0.3" footer="0.3"/>
  <pageSetup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W46"/>
  <sheetViews>
    <sheetView topLeftCell="A10" workbookViewId="0">
      <selection activeCell="Y37" sqref="Y37"/>
    </sheetView>
  </sheetViews>
  <sheetFormatPr baseColWidth="10" defaultRowHeight="15" x14ac:dyDescent="0.2"/>
  <cols>
    <col min="3" max="20" width="6.1640625" customWidth="1"/>
    <col min="21" max="23" width="6.33203125" customWidth="1"/>
  </cols>
  <sheetData>
    <row r="15" spans="2:23" x14ac:dyDescent="0.2">
      <c r="C15">
        <v>8000</v>
      </c>
      <c r="D15">
        <f t="shared" ref="D15:U15" si="0">C15+500</f>
        <v>8500</v>
      </c>
      <c r="E15">
        <f t="shared" si="0"/>
        <v>9000</v>
      </c>
      <c r="F15">
        <f t="shared" si="0"/>
        <v>9500</v>
      </c>
      <c r="G15">
        <f t="shared" si="0"/>
        <v>10000</v>
      </c>
      <c r="H15">
        <f t="shared" si="0"/>
        <v>10500</v>
      </c>
      <c r="I15">
        <f t="shared" si="0"/>
        <v>11000</v>
      </c>
      <c r="J15">
        <f t="shared" si="0"/>
        <v>11500</v>
      </c>
      <c r="K15">
        <f t="shared" si="0"/>
        <v>12000</v>
      </c>
      <c r="L15">
        <f t="shared" si="0"/>
        <v>12500</v>
      </c>
      <c r="M15">
        <f t="shared" si="0"/>
        <v>13000</v>
      </c>
      <c r="N15">
        <f t="shared" si="0"/>
        <v>13500</v>
      </c>
      <c r="O15">
        <f t="shared" si="0"/>
        <v>14000</v>
      </c>
      <c r="P15">
        <f t="shared" si="0"/>
        <v>14500</v>
      </c>
      <c r="Q15">
        <f t="shared" si="0"/>
        <v>15000</v>
      </c>
      <c r="R15">
        <f t="shared" si="0"/>
        <v>15500</v>
      </c>
      <c r="S15">
        <f t="shared" si="0"/>
        <v>16000</v>
      </c>
      <c r="T15">
        <f t="shared" si="0"/>
        <v>16500</v>
      </c>
      <c r="U15">
        <f t="shared" si="0"/>
        <v>17000</v>
      </c>
      <c r="V15">
        <f t="shared" ref="V15:W15" si="1">U15+500</f>
        <v>17500</v>
      </c>
      <c r="W15">
        <f t="shared" si="1"/>
        <v>18000</v>
      </c>
    </row>
    <row r="16" spans="2:23" x14ac:dyDescent="0.2">
      <c r="B16">
        <v>6</v>
      </c>
      <c r="C16" s="1">
        <f>0.45*(1-((12-$B16)/6)^2)+(1-0.45)*(1-((C$15-8000)/10000))</f>
        <v>0.55000000000000004</v>
      </c>
      <c r="D16" s="1">
        <f t="shared" ref="D16:W29" si="2">0.45*(1-((12-$B16)/6)^2)+(1-0.45)*(1-((D$15-8000)/10000))</f>
        <v>0.52249999999999996</v>
      </c>
      <c r="E16" s="1">
        <f t="shared" si="2"/>
        <v>0.49500000000000005</v>
      </c>
      <c r="F16" s="1">
        <f t="shared" si="2"/>
        <v>0.46750000000000003</v>
      </c>
      <c r="G16" s="1">
        <f t="shared" si="2"/>
        <v>0.44000000000000006</v>
      </c>
      <c r="H16" s="1">
        <f t="shared" si="2"/>
        <v>0.41250000000000003</v>
      </c>
      <c r="I16" s="1">
        <f t="shared" si="2"/>
        <v>0.38500000000000001</v>
      </c>
      <c r="J16" s="1">
        <f t="shared" si="2"/>
        <v>0.35750000000000004</v>
      </c>
      <c r="K16" s="1">
        <f t="shared" si="2"/>
        <v>0.33</v>
      </c>
      <c r="L16" s="1">
        <f t="shared" si="2"/>
        <v>0.30250000000000005</v>
      </c>
      <c r="M16" s="1">
        <f t="shared" si="2"/>
        <v>0.27500000000000002</v>
      </c>
      <c r="N16" s="1">
        <f t="shared" si="2"/>
        <v>0.2475</v>
      </c>
      <c r="O16" s="1">
        <f t="shared" si="2"/>
        <v>0.22000000000000003</v>
      </c>
      <c r="P16" s="1">
        <f t="shared" si="2"/>
        <v>0.1925</v>
      </c>
      <c r="Q16" s="1">
        <f t="shared" si="2"/>
        <v>0.16500000000000004</v>
      </c>
      <c r="R16" s="1">
        <f t="shared" si="2"/>
        <v>0.13750000000000001</v>
      </c>
      <c r="S16" s="1">
        <f t="shared" si="2"/>
        <v>0.10999999999999999</v>
      </c>
      <c r="T16" s="1">
        <f t="shared" si="2"/>
        <v>8.2500000000000018E-2</v>
      </c>
      <c r="U16" s="1">
        <f t="shared" si="2"/>
        <v>5.4999999999999993E-2</v>
      </c>
      <c r="V16" s="1">
        <f t="shared" si="2"/>
        <v>2.7500000000000028E-2</v>
      </c>
      <c r="W16" s="1">
        <f t="shared" si="2"/>
        <v>0</v>
      </c>
    </row>
    <row r="17" spans="2:23" x14ac:dyDescent="0.2">
      <c r="B17">
        <f>B16+0.2</f>
        <v>6.2</v>
      </c>
      <c r="C17" s="1">
        <f t="shared" ref="C17:R37" si="3">0.45*(1-((12-$B17)/6)^2)+(1-0.45)*(1-((C$15-8000)/10000))</f>
        <v>0.57950000000000002</v>
      </c>
      <c r="D17" s="1">
        <f t="shared" si="3"/>
        <v>0.55199999999999994</v>
      </c>
      <c r="E17" s="1">
        <f t="shared" si="3"/>
        <v>0.52450000000000008</v>
      </c>
      <c r="F17" s="1">
        <f t="shared" si="3"/>
        <v>0.49700000000000005</v>
      </c>
      <c r="G17" s="1">
        <f t="shared" si="3"/>
        <v>0.46950000000000008</v>
      </c>
      <c r="H17" s="1">
        <f t="shared" si="3"/>
        <v>0.44200000000000006</v>
      </c>
      <c r="I17" s="1">
        <f t="shared" si="3"/>
        <v>0.41450000000000004</v>
      </c>
      <c r="J17" s="1">
        <f t="shared" si="3"/>
        <v>0.38700000000000007</v>
      </c>
      <c r="K17" s="1">
        <f t="shared" si="3"/>
        <v>0.35950000000000004</v>
      </c>
      <c r="L17" s="1">
        <f t="shared" si="3"/>
        <v>0.33200000000000007</v>
      </c>
      <c r="M17" s="1">
        <f t="shared" si="3"/>
        <v>0.30450000000000005</v>
      </c>
      <c r="N17" s="1">
        <f t="shared" si="3"/>
        <v>0.27700000000000002</v>
      </c>
      <c r="O17" s="1">
        <f t="shared" si="3"/>
        <v>0.24950000000000006</v>
      </c>
      <c r="P17" s="1">
        <f t="shared" si="3"/>
        <v>0.22200000000000003</v>
      </c>
      <c r="Q17" s="1">
        <f t="shared" si="3"/>
        <v>0.19450000000000006</v>
      </c>
      <c r="R17" s="1">
        <f t="shared" si="3"/>
        <v>0.16700000000000004</v>
      </c>
      <c r="S17" s="1">
        <f t="shared" si="2"/>
        <v>0.13950000000000001</v>
      </c>
      <c r="T17" s="1">
        <f t="shared" si="2"/>
        <v>0.11200000000000003</v>
      </c>
      <c r="U17" s="1">
        <f t="shared" si="2"/>
        <v>8.4500000000000006E-2</v>
      </c>
      <c r="V17" s="1">
        <f t="shared" si="2"/>
        <v>5.7000000000000044E-2</v>
      </c>
      <c r="W17" s="1">
        <f t="shared" si="2"/>
        <v>2.9500000000000016E-2</v>
      </c>
    </row>
    <row r="18" spans="2:23" x14ac:dyDescent="0.2">
      <c r="B18">
        <f t="shared" ref="B18:B36" si="4">B17+0.2</f>
        <v>6.4</v>
      </c>
      <c r="C18" s="1">
        <f t="shared" si="3"/>
        <v>0.6080000000000001</v>
      </c>
      <c r="D18" s="1">
        <f t="shared" si="2"/>
        <v>0.58050000000000002</v>
      </c>
      <c r="E18" s="1">
        <f t="shared" si="2"/>
        <v>0.55300000000000016</v>
      </c>
      <c r="F18" s="1">
        <f t="shared" si="2"/>
        <v>0.52550000000000008</v>
      </c>
      <c r="G18" s="1">
        <f t="shared" si="2"/>
        <v>0.49800000000000011</v>
      </c>
      <c r="H18" s="1">
        <f t="shared" si="2"/>
        <v>0.47050000000000008</v>
      </c>
      <c r="I18" s="1">
        <f t="shared" si="2"/>
        <v>0.44300000000000006</v>
      </c>
      <c r="J18" s="1">
        <f t="shared" si="2"/>
        <v>0.41550000000000009</v>
      </c>
      <c r="K18" s="1">
        <f t="shared" si="2"/>
        <v>0.38800000000000007</v>
      </c>
      <c r="L18" s="1">
        <f t="shared" si="2"/>
        <v>0.3605000000000001</v>
      </c>
      <c r="M18" s="1">
        <f t="shared" si="2"/>
        <v>0.33300000000000007</v>
      </c>
      <c r="N18" s="1">
        <f t="shared" si="2"/>
        <v>0.30550000000000005</v>
      </c>
      <c r="O18" s="1">
        <f t="shared" si="2"/>
        <v>0.27800000000000008</v>
      </c>
      <c r="P18" s="1">
        <f t="shared" si="2"/>
        <v>0.25050000000000006</v>
      </c>
      <c r="Q18" s="1">
        <f t="shared" si="2"/>
        <v>0.22300000000000011</v>
      </c>
      <c r="R18" s="1">
        <f t="shared" si="2"/>
        <v>0.19550000000000009</v>
      </c>
      <c r="S18" s="1">
        <f t="shared" si="2"/>
        <v>0.16800000000000007</v>
      </c>
      <c r="T18" s="1">
        <f t="shared" si="2"/>
        <v>0.1405000000000001</v>
      </c>
      <c r="U18" s="1">
        <f t="shared" si="2"/>
        <v>0.11300000000000007</v>
      </c>
      <c r="V18" s="1">
        <f t="shared" si="2"/>
        <v>8.5500000000000104E-2</v>
      </c>
      <c r="W18" s="1">
        <f t="shared" si="2"/>
        <v>5.8000000000000072E-2</v>
      </c>
    </row>
    <row r="19" spans="2:23" x14ac:dyDescent="0.2">
      <c r="B19">
        <f t="shared" si="4"/>
        <v>6.6000000000000005</v>
      </c>
      <c r="C19" s="1">
        <f t="shared" si="3"/>
        <v>0.63550000000000018</v>
      </c>
      <c r="D19" s="1">
        <f t="shared" si="2"/>
        <v>0.6080000000000001</v>
      </c>
      <c r="E19" s="1">
        <f t="shared" si="2"/>
        <v>0.58050000000000013</v>
      </c>
      <c r="F19" s="1">
        <f t="shared" si="2"/>
        <v>0.55300000000000016</v>
      </c>
      <c r="G19" s="1">
        <f t="shared" si="2"/>
        <v>0.52550000000000008</v>
      </c>
      <c r="H19" s="1">
        <f t="shared" si="2"/>
        <v>0.49800000000000011</v>
      </c>
      <c r="I19" s="1">
        <f t="shared" si="2"/>
        <v>0.47050000000000008</v>
      </c>
      <c r="J19" s="1">
        <f t="shared" si="2"/>
        <v>0.44300000000000012</v>
      </c>
      <c r="K19" s="1">
        <f t="shared" si="2"/>
        <v>0.41550000000000009</v>
      </c>
      <c r="L19" s="1">
        <f t="shared" si="2"/>
        <v>0.38800000000000012</v>
      </c>
      <c r="M19" s="1">
        <f t="shared" si="2"/>
        <v>0.3605000000000001</v>
      </c>
      <c r="N19" s="1">
        <f t="shared" si="2"/>
        <v>0.33300000000000007</v>
      </c>
      <c r="O19" s="1">
        <f t="shared" si="2"/>
        <v>0.3055000000000001</v>
      </c>
      <c r="P19" s="1">
        <f t="shared" si="2"/>
        <v>0.27800000000000008</v>
      </c>
      <c r="Q19" s="1">
        <f t="shared" si="2"/>
        <v>0.25050000000000011</v>
      </c>
      <c r="R19" s="1">
        <f t="shared" si="2"/>
        <v>0.22300000000000009</v>
      </c>
      <c r="S19" s="1">
        <f t="shared" si="2"/>
        <v>0.19550000000000006</v>
      </c>
      <c r="T19" s="1">
        <f t="shared" si="2"/>
        <v>0.16800000000000009</v>
      </c>
      <c r="U19" s="1">
        <f t="shared" si="2"/>
        <v>0.14050000000000007</v>
      </c>
      <c r="V19" s="1">
        <f t="shared" si="2"/>
        <v>0.1130000000000001</v>
      </c>
      <c r="W19" s="1">
        <f t="shared" si="2"/>
        <v>8.5500000000000076E-2</v>
      </c>
    </row>
    <row r="20" spans="2:23" x14ac:dyDescent="0.2">
      <c r="B20">
        <f t="shared" si="4"/>
        <v>6.8000000000000007</v>
      </c>
      <c r="C20" s="1">
        <f t="shared" si="3"/>
        <v>0.66200000000000014</v>
      </c>
      <c r="D20" s="1">
        <f t="shared" si="2"/>
        <v>0.63450000000000006</v>
      </c>
      <c r="E20" s="1">
        <f t="shared" si="2"/>
        <v>0.6070000000000001</v>
      </c>
      <c r="F20" s="1">
        <f t="shared" si="2"/>
        <v>0.57950000000000013</v>
      </c>
      <c r="G20" s="1">
        <f t="shared" si="2"/>
        <v>0.55200000000000016</v>
      </c>
      <c r="H20" s="1">
        <f t="shared" si="2"/>
        <v>0.52450000000000008</v>
      </c>
      <c r="I20" s="1">
        <f t="shared" si="2"/>
        <v>0.49700000000000011</v>
      </c>
      <c r="J20" s="1">
        <f t="shared" si="2"/>
        <v>0.46950000000000014</v>
      </c>
      <c r="K20" s="1">
        <f t="shared" si="2"/>
        <v>0.44200000000000006</v>
      </c>
      <c r="L20" s="1">
        <f t="shared" si="2"/>
        <v>0.41450000000000009</v>
      </c>
      <c r="M20" s="1">
        <f t="shared" si="2"/>
        <v>0.38700000000000012</v>
      </c>
      <c r="N20" s="1">
        <f t="shared" si="2"/>
        <v>0.35950000000000004</v>
      </c>
      <c r="O20" s="1">
        <f t="shared" si="2"/>
        <v>0.33200000000000007</v>
      </c>
      <c r="P20" s="1">
        <f t="shared" si="2"/>
        <v>0.3045000000000001</v>
      </c>
      <c r="Q20" s="1">
        <f t="shared" si="2"/>
        <v>0.27700000000000014</v>
      </c>
      <c r="R20" s="1">
        <f t="shared" si="2"/>
        <v>0.24950000000000008</v>
      </c>
      <c r="S20" s="1">
        <f t="shared" si="2"/>
        <v>0.22200000000000006</v>
      </c>
      <c r="T20" s="1">
        <f t="shared" si="2"/>
        <v>0.19450000000000009</v>
      </c>
      <c r="U20" s="1">
        <f t="shared" si="2"/>
        <v>0.16700000000000007</v>
      </c>
      <c r="V20" s="1">
        <f t="shared" si="2"/>
        <v>0.1395000000000001</v>
      </c>
      <c r="W20" s="1">
        <f t="shared" si="2"/>
        <v>0.11200000000000007</v>
      </c>
    </row>
    <row r="21" spans="2:23" x14ac:dyDescent="0.2">
      <c r="B21">
        <f t="shared" si="4"/>
        <v>7.0000000000000009</v>
      </c>
      <c r="C21" s="1">
        <f t="shared" si="3"/>
        <v>0.68750000000000022</v>
      </c>
      <c r="D21" s="1">
        <f t="shared" si="2"/>
        <v>0.66000000000000014</v>
      </c>
      <c r="E21" s="1">
        <f t="shared" si="2"/>
        <v>0.63250000000000028</v>
      </c>
      <c r="F21" s="1">
        <f t="shared" si="2"/>
        <v>0.6050000000000002</v>
      </c>
      <c r="G21" s="1">
        <f t="shared" si="2"/>
        <v>0.57750000000000024</v>
      </c>
      <c r="H21" s="1">
        <f t="shared" si="2"/>
        <v>0.55000000000000027</v>
      </c>
      <c r="I21" s="1">
        <f t="shared" si="2"/>
        <v>0.52250000000000019</v>
      </c>
      <c r="J21" s="1">
        <f t="shared" si="2"/>
        <v>0.49500000000000022</v>
      </c>
      <c r="K21" s="1">
        <f t="shared" si="2"/>
        <v>0.46750000000000019</v>
      </c>
      <c r="L21" s="1">
        <f t="shared" si="2"/>
        <v>0.44000000000000022</v>
      </c>
      <c r="M21" s="1">
        <f t="shared" si="2"/>
        <v>0.4125000000000002</v>
      </c>
      <c r="N21" s="1">
        <f t="shared" si="2"/>
        <v>0.38500000000000018</v>
      </c>
      <c r="O21" s="1">
        <f t="shared" si="2"/>
        <v>0.35750000000000021</v>
      </c>
      <c r="P21" s="1">
        <f t="shared" si="2"/>
        <v>0.33000000000000018</v>
      </c>
      <c r="Q21" s="1">
        <f t="shared" si="2"/>
        <v>0.30250000000000021</v>
      </c>
      <c r="R21" s="1">
        <f t="shared" si="2"/>
        <v>0.27500000000000019</v>
      </c>
      <c r="S21" s="1">
        <f t="shared" si="2"/>
        <v>0.24750000000000016</v>
      </c>
      <c r="T21" s="1">
        <f t="shared" si="2"/>
        <v>0.2200000000000002</v>
      </c>
      <c r="U21" s="1">
        <f t="shared" si="2"/>
        <v>0.19250000000000017</v>
      </c>
      <c r="V21" s="1">
        <f t="shared" si="2"/>
        <v>0.1650000000000002</v>
      </c>
      <c r="W21" s="1">
        <f t="shared" si="2"/>
        <v>0.13750000000000018</v>
      </c>
    </row>
    <row r="22" spans="2:23" x14ac:dyDescent="0.2">
      <c r="B22">
        <f t="shared" si="4"/>
        <v>7.2000000000000011</v>
      </c>
      <c r="C22" s="1">
        <f t="shared" si="3"/>
        <v>0.71200000000000019</v>
      </c>
      <c r="D22" s="1">
        <f t="shared" si="2"/>
        <v>0.68450000000000011</v>
      </c>
      <c r="E22" s="1">
        <f t="shared" si="2"/>
        <v>0.65700000000000025</v>
      </c>
      <c r="F22" s="1">
        <f t="shared" si="2"/>
        <v>0.62950000000000017</v>
      </c>
      <c r="G22" s="1">
        <f t="shared" si="2"/>
        <v>0.6020000000000002</v>
      </c>
      <c r="H22" s="1">
        <f t="shared" si="2"/>
        <v>0.57450000000000023</v>
      </c>
      <c r="I22" s="1">
        <f t="shared" si="2"/>
        <v>0.54700000000000015</v>
      </c>
      <c r="J22" s="1">
        <f t="shared" si="2"/>
        <v>0.51950000000000018</v>
      </c>
      <c r="K22" s="1">
        <f t="shared" si="2"/>
        <v>0.49200000000000016</v>
      </c>
      <c r="L22" s="1">
        <f t="shared" si="2"/>
        <v>0.46450000000000019</v>
      </c>
      <c r="M22" s="1">
        <f t="shared" si="2"/>
        <v>0.43700000000000017</v>
      </c>
      <c r="N22" s="1">
        <f t="shared" si="2"/>
        <v>0.40950000000000014</v>
      </c>
      <c r="O22" s="1">
        <f t="shared" si="2"/>
        <v>0.38200000000000017</v>
      </c>
      <c r="P22" s="1">
        <f t="shared" si="2"/>
        <v>0.35450000000000015</v>
      </c>
      <c r="Q22" s="1">
        <f t="shared" si="2"/>
        <v>0.32700000000000018</v>
      </c>
      <c r="R22" s="1">
        <f t="shared" si="2"/>
        <v>0.29950000000000015</v>
      </c>
      <c r="S22" s="1">
        <f t="shared" si="2"/>
        <v>0.27200000000000013</v>
      </c>
      <c r="T22" s="1">
        <f t="shared" si="2"/>
        <v>0.24450000000000016</v>
      </c>
      <c r="U22" s="1">
        <f t="shared" si="2"/>
        <v>0.21700000000000014</v>
      </c>
      <c r="V22" s="1">
        <f t="shared" si="2"/>
        <v>0.18950000000000017</v>
      </c>
      <c r="W22" s="1">
        <f t="shared" si="2"/>
        <v>0.16200000000000014</v>
      </c>
    </row>
    <row r="23" spans="2:23" x14ac:dyDescent="0.2">
      <c r="B23">
        <f t="shared" si="4"/>
        <v>7.4000000000000012</v>
      </c>
      <c r="C23" s="1">
        <f t="shared" si="3"/>
        <v>0.73550000000000015</v>
      </c>
      <c r="D23" s="1">
        <f t="shared" si="2"/>
        <v>0.70800000000000007</v>
      </c>
      <c r="E23" s="1">
        <f t="shared" si="2"/>
        <v>0.68050000000000022</v>
      </c>
      <c r="F23" s="1">
        <f t="shared" si="2"/>
        <v>0.65300000000000014</v>
      </c>
      <c r="G23" s="1">
        <f t="shared" si="2"/>
        <v>0.62550000000000017</v>
      </c>
      <c r="H23" s="1">
        <f t="shared" si="2"/>
        <v>0.5980000000000002</v>
      </c>
      <c r="I23" s="1">
        <f t="shared" si="2"/>
        <v>0.57050000000000012</v>
      </c>
      <c r="J23" s="1">
        <f t="shared" si="2"/>
        <v>0.54300000000000015</v>
      </c>
      <c r="K23" s="1">
        <f t="shared" si="2"/>
        <v>0.51550000000000018</v>
      </c>
      <c r="L23" s="1">
        <f t="shared" si="2"/>
        <v>0.48800000000000021</v>
      </c>
      <c r="M23" s="1">
        <f t="shared" si="2"/>
        <v>0.46050000000000013</v>
      </c>
      <c r="N23" s="1">
        <f t="shared" si="2"/>
        <v>0.43300000000000016</v>
      </c>
      <c r="O23" s="1">
        <f t="shared" si="2"/>
        <v>0.40550000000000019</v>
      </c>
      <c r="P23" s="1">
        <f t="shared" si="2"/>
        <v>0.37800000000000011</v>
      </c>
      <c r="Q23" s="1">
        <f t="shared" si="2"/>
        <v>0.35050000000000014</v>
      </c>
      <c r="R23" s="1">
        <f t="shared" si="2"/>
        <v>0.32300000000000018</v>
      </c>
      <c r="S23" s="1">
        <f t="shared" si="2"/>
        <v>0.2955000000000001</v>
      </c>
      <c r="T23" s="1">
        <f t="shared" si="2"/>
        <v>0.26800000000000013</v>
      </c>
      <c r="U23" s="1">
        <f t="shared" si="2"/>
        <v>0.24050000000000013</v>
      </c>
      <c r="V23" s="1">
        <f t="shared" si="2"/>
        <v>0.21300000000000016</v>
      </c>
      <c r="W23" s="1">
        <f t="shared" si="2"/>
        <v>0.18550000000000014</v>
      </c>
    </row>
    <row r="24" spans="2:23" x14ac:dyDescent="0.2">
      <c r="B24">
        <f t="shared" si="4"/>
        <v>7.6000000000000014</v>
      </c>
      <c r="C24" s="1">
        <f t="shared" si="3"/>
        <v>0.75800000000000023</v>
      </c>
      <c r="D24" s="1">
        <f t="shared" si="2"/>
        <v>0.73050000000000015</v>
      </c>
      <c r="E24" s="1">
        <f t="shared" si="2"/>
        <v>0.70300000000000029</v>
      </c>
      <c r="F24" s="1">
        <f t="shared" si="2"/>
        <v>0.67550000000000021</v>
      </c>
      <c r="G24" s="1">
        <f t="shared" si="2"/>
        <v>0.64800000000000024</v>
      </c>
      <c r="H24" s="1">
        <f t="shared" si="2"/>
        <v>0.62050000000000027</v>
      </c>
      <c r="I24" s="1">
        <f t="shared" si="2"/>
        <v>0.59300000000000019</v>
      </c>
      <c r="J24" s="1">
        <f t="shared" si="2"/>
        <v>0.56550000000000022</v>
      </c>
      <c r="K24" s="1">
        <f t="shared" si="2"/>
        <v>0.53800000000000026</v>
      </c>
      <c r="L24" s="1">
        <f t="shared" si="2"/>
        <v>0.51050000000000018</v>
      </c>
      <c r="M24" s="1">
        <f t="shared" si="2"/>
        <v>0.48300000000000021</v>
      </c>
      <c r="N24" s="1">
        <f t="shared" si="2"/>
        <v>0.45550000000000018</v>
      </c>
      <c r="O24" s="1">
        <f t="shared" si="2"/>
        <v>0.42800000000000021</v>
      </c>
      <c r="P24" s="1">
        <f t="shared" si="2"/>
        <v>0.40050000000000019</v>
      </c>
      <c r="Q24" s="1">
        <f t="shared" si="2"/>
        <v>0.37300000000000022</v>
      </c>
      <c r="R24" s="1">
        <f t="shared" si="2"/>
        <v>0.3455000000000002</v>
      </c>
      <c r="S24" s="1">
        <f t="shared" si="2"/>
        <v>0.31800000000000017</v>
      </c>
      <c r="T24" s="1">
        <f t="shared" si="2"/>
        <v>0.2905000000000002</v>
      </c>
      <c r="U24" s="1">
        <f t="shared" si="2"/>
        <v>0.26300000000000018</v>
      </c>
      <c r="V24" s="1">
        <f t="shared" si="2"/>
        <v>0.23550000000000021</v>
      </c>
      <c r="W24" s="1">
        <f t="shared" si="2"/>
        <v>0.20800000000000018</v>
      </c>
    </row>
    <row r="25" spans="2:23" x14ac:dyDescent="0.2">
      <c r="B25">
        <f t="shared" si="4"/>
        <v>7.8000000000000016</v>
      </c>
      <c r="C25" s="1">
        <f t="shared" si="3"/>
        <v>0.7795000000000003</v>
      </c>
      <c r="D25" s="1">
        <f t="shared" si="2"/>
        <v>0.75200000000000022</v>
      </c>
      <c r="E25" s="1">
        <f t="shared" si="2"/>
        <v>0.72450000000000025</v>
      </c>
      <c r="F25" s="1">
        <f t="shared" si="2"/>
        <v>0.69700000000000029</v>
      </c>
      <c r="G25" s="1">
        <f t="shared" si="2"/>
        <v>0.66950000000000021</v>
      </c>
      <c r="H25" s="1">
        <f t="shared" si="2"/>
        <v>0.64200000000000024</v>
      </c>
      <c r="I25" s="1">
        <f t="shared" si="2"/>
        <v>0.61450000000000027</v>
      </c>
      <c r="J25" s="1">
        <f t="shared" si="2"/>
        <v>0.58700000000000019</v>
      </c>
      <c r="K25" s="1">
        <f t="shared" si="2"/>
        <v>0.55950000000000022</v>
      </c>
      <c r="L25" s="1">
        <f t="shared" si="2"/>
        <v>0.53200000000000025</v>
      </c>
      <c r="M25" s="1">
        <f t="shared" si="2"/>
        <v>0.50450000000000017</v>
      </c>
      <c r="N25" s="1">
        <f t="shared" si="2"/>
        <v>0.4770000000000002</v>
      </c>
      <c r="O25" s="1">
        <f t="shared" si="2"/>
        <v>0.44950000000000023</v>
      </c>
      <c r="P25" s="1">
        <f t="shared" si="2"/>
        <v>0.42200000000000021</v>
      </c>
      <c r="Q25" s="1">
        <f t="shared" si="2"/>
        <v>0.39450000000000024</v>
      </c>
      <c r="R25" s="1">
        <f t="shared" si="2"/>
        <v>0.36700000000000021</v>
      </c>
      <c r="S25" s="1">
        <f t="shared" si="2"/>
        <v>0.33950000000000019</v>
      </c>
      <c r="T25" s="1">
        <f t="shared" si="2"/>
        <v>0.31200000000000022</v>
      </c>
      <c r="U25" s="1">
        <f t="shared" si="2"/>
        <v>0.2845000000000002</v>
      </c>
      <c r="V25" s="1">
        <f t="shared" si="2"/>
        <v>0.25700000000000023</v>
      </c>
      <c r="W25" s="1">
        <f t="shared" si="2"/>
        <v>0.2295000000000002</v>
      </c>
    </row>
    <row r="26" spans="2:23" x14ac:dyDescent="0.2">
      <c r="B26">
        <f t="shared" si="4"/>
        <v>8.0000000000000018</v>
      </c>
      <c r="C26" s="1">
        <f t="shared" si="3"/>
        <v>0.80000000000000027</v>
      </c>
      <c r="D26" s="1">
        <f t="shared" si="2"/>
        <v>0.77250000000000019</v>
      </c>
      <c r="E26" s="1">
        <f t="shared" si="2"/>
        <v>0.74500000000000022</v>
      </c>
      <c r="F26" s="1">
        <f t="shared" si="2"/>
        <v>0.71750000000000025</v>
      </c>
      <c r="G26" s="1">
        <f t="shared" si="2"/>
        <v>0.69000000000000017</v>
      </c>
      <c r="H26" s="1">
        <f t="shared" si="2"/>
        <v>0.6625000000000002</v>
      </c>
      <c r="I26" s="1">
        <f t="shared" si="2"/>
        <v>0.63500000000000023</v>
      </c>
      <c r="J26" s="1">
        <f t="shared" si="2"/>
        <v>0.60750000000000015</v>
      </c>
      <c r="K26" s="1">
        <f t="shared" si="2"/>
        <v>0.58000000000000018</v>
      </c>
      <c r="L26" s="1">
        <f t="shared" si="2"/>
        <v>0.55250000000000021</v>
      </c>
      <c r="M26" s="1">
        <f t="shared" si="2"/>
        <v>0.52500000000000013</v>
      </c>
      <c r="N26" s="1">
        <f t="shared" si="2"/>
        <v>0.49750000000000016</v>
      </c>
      <c r="O26" s="1">
        <f t="shared" si="2"/>
        <v>0.4700000000000002</v>
      </c>
      <c r="P26" s="1">
        <f t="shared" si="2"/>
        <v>0.44250000000000017</v>
      </c>
      <c r="Q26" s="1">
        <f t="shared" si="2"/>
        <v>0.4150000000000002</v>
      </c>
      <c r="R26" s="1">
        <f t="shared" si="2"/>
        <v>0.38750000000000018</v>
      </c>
      <c r="S26" s="1">
        <f t="shared" si="2"/>
        <v>0.36000000000000015</v>
      </c>
      <c r="T26" s="1">
        <f t="shared" si="2"/>
        <v>0.33250000000000018</v>
      </c>
      <c r="U26" s="1">
        <f t="shared" si="2"/>
        <v>0.30500000000000016</v>
      </c>
      <c r="V26" s="1">
        <f t="shared" si="2"/>
        <v>0.27750000000000019</v>
      </c>
      <c r="W26" s="1">
        <f t="shared" si="2"/>
        <v>0.25000000000000017</v>
      </c>
    </row>
    <row r="27" spans="2:23" x14ac:dyDescent="0.2">
      <c r="B27">
        <f t="shared" si="4"/>
        <v>8.2000000000000011</v>
      </c>
      <c r="C27" s="1">
        <f t="shared" si="3"/>
        <v>0.81950000000000012</v>
      </c>
      <c r="D27" s="1">
        <f t="shared" si="2"/>
        <v>0.79200000000000004</v>
      </c>
      <c r="E27" s="1">
        <f t="shared" si="2"/>
        <v>0.76450000000000018</v>
      </c>
      <c r="F27" s="1">
        <f t="shared" si="2"/>
        <v>0.7370000000000001</v>
      </c>
      <c r="G27" s="1">
        <f t="shared" si="2"/>
        <v>0.70950000000000013</v>
      </c>
      <c r="H27" s="1">
        <f t="shared" si="2"/>
        <v>0.68200000000000016</v>
      </c>
      <c r="I27" s="1">
        <f t="shared" si="2"/>
        <v>0.65450000000000008</v>
      </c>
      <c r="J27" s="1">
        <f t="shared" si="2"/>
        <v>0.62700000000000011</v>
      </c>
      <c r="K27" s="1">
        <f t="shared" si="2"/>
        <v>0.59950000000000014</v>
      </c>
      <c r="L27" s="1">
        <f t="shared" si="2"/>
        <v>0.57200000000000006</v>
      </c>
      <c r="M27" s="1">
        <f t="shared" si="2"/>
        <v>0.5445000000000001</v>
      </c>
      <c r="N27" s="1">
        <f t="shared" si="2"/>
        <v>0.51700000000000013</v>
      </c>
      <c r="O27" s="1">
        <f t="shared" si="2"/>
        <v>0.4895000000000001</v>
      </c>
      <c r="P27" s="1">
        <f t="shared" si="2"/>
        <v>0.46200000000000008</v>
      </c>
      <c r="Q27" s="1">
        <f t="shared" si="2"/>
        <v>0.43450000000000011</v>
      </c>
      <c r="R27" s="1">
        <f t="shared" si="2"/>
        <v>0.40700000000000008</v>
      </c>
      <c r="S27" s="1">
        <f t="shared" si="2"/>
        <v>0.37950000000000006</v>
      </c>
      <c r="T27" s="1">
        <f t="shared" si="2"/>
        <v>0.35200000000000009</v>
      </c>
      <c r="U27" s="1">
        <f t="shared" si="2"/>
        <v>0.32450000000000007</v>
      </c>
      <c r="V27" s="1">
        <f t="shared" si="2"/>
        <v>0.2970000000000001</v>
      </c>
      <c r="W27" s="1">
        <f t="shared" si="2"/>
        <v>0.26950000000000007</v>
      </c>
    </row>
    <row r="28" spans="2:23" x14ac:dyDescent="0.2">
      <c r="B28">
        <f t="shared" si="4"/>
        <v>8.4</v>
      </c>
      <c r="C28" s="1">
        <f t="shared" si="3"/>
        <v>0.83800000000000008</v>
      </c>
      <c r="D28" s="1">
        <f t="shared" si="2"/>
        <v>0.8105</v>
      </c>
      <c r="E28" s="1">
        <f t="shared" si="2"/>
        <v>0.78300000000000014</v>
      </c>
      <c r="F28" s="1">
        <f t="shared" si="2"/>
        <v>0.75550000000000006</v>
      </c>
      <c r="G28" s="1">
        <f t="shared" si="2"/>
        <v>0.72800000000000009</v>
      </c>
      <c r="H28" s="1">
        <f t="shared" si="2"/>
        <v>0.70050000000000012</v>
      </c>
      <c r="I28" s="1">
        <f t="shared" si="2"/>
        <v>0.67300000000000004</v>
      </c>
      <c r="J28" s="1">
        <f t="shared" si="2"/>
        <v>0.64550000000000007</v>
      </c>
      <c r="K28" s="1">
        <f t="shared" si="2"/>
        <v>0.6180000000000001</v>
      </c>
      <c r="L28" s="1">
        <f t="shared" si="2"/>
        <v>0.59050000000000002</v>
      </c>
      <c r="M28" s="1">
        <f t="shared" si="2"/>
        <v>0.56300000000000006</v>
      </c>
      <c r="N28" s="1">
        <f t="shared" si="2"/>
        <v>0.53550000000000009</v>
      </c>
      <c r="O28" s="1">
        <f t="shared" si="2"/>
        <v>0.50800000000000001</v>
      </c>
      <c r="P28" s="1">
        <f t="shared" si="2"/>
        <v>0.48050000000000004</v>
      </c>
      <c r="Q28" s="1">
        <f t="shared" si="2"/>
        <v>0.45300000000000007</v>
      </c>
      <c r="R28" s="1">
        <f t="shared" si="2"/>
        <v>0.42550000000000004</v>
      </c>
      <c r="S28" s="1">
        <f t="shared" si="2"/>
        <v>0.39800000000000002</v>
      </c>
      <c r="T28" s="1">
        <f t="shared" si="2"/>
        <v>0.37050000000000005</v>
      </c>
      <c r="U28" s="1">
        <f t="shared" si="2"/>
        <v>0.34300000000000003</v>
      </c>
      <c r="V28" s="1">
        <f t="shared" si="2"/>
        <v>0.31550000000000006</v>
      </c>
      <c r="W28" s="1">
        <f t="shared" si="2"/>
        <v>0.28800000000000003</v>
      </c>
    </row>
    <row r="29" spans="2:23" x14ac:dyDescent="0.2">
      <c r="B29">
        <f t="shared" si="4"/>
        <v>8.6</v>
      </c>
      <c r="C29" s="1">
        <f t="shared" si="3"/>
        <v>0.85549999999999993</v>
      </c>
      <c r="D29" s="1">
        <f t="shared" si="2"/>
        <v>0.82799999999999985</v>
      </c>
      <c r="E29" s="1">
        <f t="shared" si="2"/>
        <v>0.80049999999999999</v>
      </c>
      <c r="F29" s="1">
        <f t="shared" si="2"/>
        <v>0.77299999999999991</v>
      </c>
      <c r="G29" s="1">
        <f t="shared" si="2"/>
        <v>0.74550000000000005</v>
      </c>
      <c r="H29" s="1">
        <f t="shared" si="2"/>
        <v>0.71799999999999997</v>
      </c>
      <c r="I29" s="1">
        <f t="shared" si="2"/>
        <v>0.69049999999999989</v>
      </c>
      <c r="J29" s="1">
        <f t="shared" si="2"/>
        <v>0.66300000000000003</v>
      </c>
      <c r="K29" s="1">
        <f t="shared" si="2"/>
        <v>0.63549999999999995</v>
      </c>
      <c r="L29" s="1">
        <f t="shared" si="2"/>
        <v>0.60799999999999998</v>
      </c>
      <c r="M29" s="1">
        <f t="shared" si="2"/>
        <v>0.58050000000000002</v>
      </c>
      <c r="N29" s="1">
        <f t="shared" ref="D29:W42" si="5">0.45*(1-((12-$B29)/6)^2)+(1-0.45)*(1-((N$15-8000)/10000))</f>
        <v>0.55299999999999994</v>
      </c>
      <c r="O29" s="1">
        <f t="shared" si="5"/>
        <v>0.52549999999999997</v>
      </c>
      <c r="P29" s="1">
        <f t="shared" si="5"/>
        <v>0.49799999999999994</v>
      </c>
      <c r="Q29" s="1">
        <f t="shared" si="5"/>
        <v>0.47049999999999997</v>
      </c>
      <c r="R29" s="1">
        <f t="shared" si="5"/>
        <v>0.44299999999999995</v>
      </c>
      <c r="S29" s="1">
        <f t="shared" si="5"/>
        <v>0.41549999999999992</v>
      </c>
      <c r="T29" s="1">
        <f t="shared" si="5"/>
        <v>0.38799999999999996</v>
      </c>
      <c r="U29" s="1">
        <f t="shared" si="5"/>
        <v>0.36049999999999993</v>
      </c>
      <c r="V29" s="1">
        <f t="shared" si="5"/>
        <v>0.33299999999999996</v>
      </c>
      <c r="W29" s="1">
        <f t="shared" si="5"/>
        <v>0.30549999999999994</v>
      </c>
    </row>
    <row r="30" spans="2:23" x14ac:dyDescent="0.2">
      <c r="B30">
        <f t="shared" si="4"/>
        <v>8.7999999999999989</v>
      </c>
      <c r="C30" s="1">
        <f t="shared" si="3"/>
        <v>0.87199999999999989</v>
      </c>
      <c r="D30" s="1">
        <f t="shared" si="5"/>
        <v>0.84449999999999981</v>
      </c>
      <c r="E30" s="1">
        <f t="shared" si="5"/>
        <v>0.81699999999999995</v>
      </c>
      <c r="F30" s="1">
        <f t="shared" si="5"/>
        <v>0.78949999999999987</v>
      </c>
      <c r="G30" s="1">
        <f t="shared" si="5"/>
        <v>0.76200000000000001</v>
      </c>
      <c r="H30" s="1">
        <f t="shared" si="5"/>
        <v>0.73449999999999993</v>
      </c>
      <c r="I30" s="1">
        <f t="shared" si="5"/>
        <v>0.70699999999999985</v>
      </c>
      <c r="J30" s="1">
        <f t="shared" si="5"/>
        <v>0.67949999999999999</v>
      </c>
      <c r="K30" s="1">
        <f t="shared" si="5"/>
        <v>0.65199999999999991</v>
      </c>
      <c r="L30" s="1">
        <f t="shared" si="5"/>
        <v>0.62449999999999994</v>
      </c>
      <c r="M30" s="1">
        <f t="shared" si="5"/>
        <v>0.59699999999999998</v>
      </c>
      <c r="N30" s="1">
        <f t="shared" si="5"/>
        <v>0.5694999999999999</v>
      </c>
      <c r="O30" s="1">
        <f t="shared" si="5"/>
        <v>0.54199999999999993</v>
      </c>
      <c r="P30" s="1">
        <f t="shared" si="5"/>
        <v>0.51449999999999996</v>
      </c>
      <c r="Q30" s="1">
        <f t="shared" si="5"/>
        <v>0.48699999999999993</v>
      </c>
      <c r="R30" s="1">
        <f t="shared" si="5"/>
        <v>0.45949999999999991</v>
      </c>
      <c r="S30" s="1">
        <f t="shared" si="5"/>
        <v>0.43199999999999988</v>
      </c>
      <c r="T30" s="1">
        <f t="shared" si="5"/>
        <v>0.40449999999999992</v>
      </c>
      <c r="U30" s="1">
        <f t="shared" si="5"/>
        <v>0.37699999999999989</v>
      </c>
      <c r="V30" s="1">
        <f t="shared" si="5"/>
        <v>0.34949999999999992</v>
      </c>
      <c r="W30" s="1">
        <f t="shared" si="5"/>
        <v>0.3219999999999999</v>
      </c>
    </row>
    <row r="31" spans="2:23" x14ac:dyDescent="0.2">
      <c r="B31">
        <f t="shared" si="4"/>
        <v>8.9999999999999982</v>
      </c>
      <c r="C31" s="1">
        <f t="shared" si="3"/>
        <v>0.88749999999999996</v>
      </c>
      <c r="D31" s="1">
        <f t="shared" si="5"/>
        <v>0.85999999999999988</v>
      </c>
      <c r="E31" s="1">
        <f t="shared" si="5"/>
        <v>0.83249999999999991</v>
      </c>
      <c r="F31" s="1">
        <f t="shared" si="5"/>
        <v>0.80499999999999994</v>
      </c>
      <c r="G31" s="1">
        <f t="shared" si="5"/>
        <v>0.77749999999999986</v>
      </c>
      <c r="H31" s="1">
        <f t="shared" si="5"/>
        <v>0.74999999999999989</v>
      </c>
      <c r="I31" s="1">
        <f t="shared" si="5"/>
        <v>0.72249999999999992</v>
      </c>
      <c r="J31" s="1">
        <f t="shared" si="5"/>
        <v>0.69499999999999984</v>
      </c>
      <c r="K31" s="1">
        <f t="shared" si="5"/>
        <v>0.66749999999999987</v>
      </c>
      <c r="L31" s="1">
        <f t="shared" si="5"/>
        <v>0.6399999999999999</v>
      </c>
      <c r="M31" s="1">
        <f t="shared" si="5"/>
        <v>0.61249999999999982</v>
      </c>
      <c r="N31" s="1">
        <f t="shared" si="5"/>
        <v>0.58499999999999985</v>
      </c>
      <c r="O31" s="1">
        <f t="shared" si="5"/>
        <v>0.55749999999999988</v>
      </c>
      <c r="P31" s="1">
        <f t="shared" si="5"/>
        <v>0.5299999999999998</v>
      </c>
      <c r="Q31" s="1">
        <f t="shared" si="5"/>
        <v>0.50249999999999995</v>
      </c>
      <c r="R31" s="1">
        <f t="shared" si="5"/>
        <v>0.47499999999999987</v>
      </c>
      <c r="S31" s="1">
        <f t="shared" si="5"/>
        <v>0.44749999999999984</v>
      </c>
      <c r="T31" s="1">
        <f t="shared" si="5"/>
        <v>0.41999999999999987</v>
      </c>
      <c r="U31" s="1">
        <f t="shared" si="5"/>
        <v>0.39249999999999985</v>
      </c>
      <c r="V31" s="1">
        <f t="shared" si="5"/>
        <v>0.36499999999999988</v>
      </c>
      <c r="W31" s="1">
        <f t="shared" si="5"/>
        <v>0.33749999999999986</v>
      </c>
    </row>
    <row r="32" spans="2:23" x14ac:dyDescent="0.2">
      <c r="B32">
        <f t="shared" si="4"/>
        <v>9.1999999999999975</v>
      </c>
      <c r="C32" s="1">
        <f t="shared" si="3"/>
        <v>0.90199999999999991</v>
      </c>
      <c r="D32" s="1">
        <f t="shared" si="5"/>
        <v>0.87449999999999983</v>
      </c>
      <c r="E32" s="1">
        <f t="shared" si="5"/>
        <v>0.84699999999999986</v>
      </c>
      <c r="F32" s="1">
        <f t="shared" si="5"/>
        <v>0.8194999999999999</v>
      </c>
      <c r="G32" s="1">
        <f t="shared" si="5"/>
        <v>0.79199999999999982</v>
      </c>
      <c r="H32" s="1">
        <f t="shared" si="5"/>
        <v>0.76449999999999985</v>
      </c>
      <c r="I32" s="1">
        <f t="shared" si="5"/>
        <v>0.73699999999999988</v>
      </c>
      <c r="J32" s="1">
        <f t="shared" si="5"/>
        <v>0.7094999999999998</v>
      </c>
      <c r="K32" s="1">
        <f t="shared" si="5"/>
        <v>0.68199999999999983</v>
      </c>
      <c r="L32" s="1">
        <f t="shared" si="5"/>
        <v>0.65449999999999986</v>
      </c>
      <c r="M32" s="1">
        <f t="shared" si="5"/>
        <v>0.62699999999999978</v>
      </c>
      <c r="N32" s="1">
        <f t="shared" si="5"/>
        <v>0.59949999999999981</v>
      </c>
      <c r="O32" s="1">
        <f t="shared" si="5"/>
        <v>0.57199999999999984</v>
      </c>
      <c r="P32" s="1">
        <f t="shared" si="5"/>
        <v>0.54449999999999976</v>
      </c>
      <c r="Q32" s="1">
        <f t="shared" si="5"/>
        <v>0.5169999999999999</v>
      </c>
      <c r="R32" s="1">
        <f t="shared" si="5"/>
        <v>0.48949999999999982</v>
      </c>
      <c r="S32" s="1">
        <f t="shared" si="5"/>
        <v>0.4619999999999998</v>
      </c>
      <c r="T32" s="1">
        <f t="shared" si="5"/>
        <v>0.43449999999999983</v>
      </c>
      <c r="U32" s="1">
        <f t="shared" si="5"/>
        <v>0.40699999999999981</v>
      </c>
      <c r="V32" s="1">
        <f t="shared" si="5"/>
        <v>0.37949999999999984</v>
      </c>
      <c r="W32" s="1">
        <f t="shared" si="5"/>
        <v>0.35199999999999981</v>
      </c>
    </row>
    <row r="33" spans="2:23" x14ac:dyDescent="0.2">
      <c r="B33">
        <f t="shared" si="4"/>
        <v>9.3999999999999968</v>
      </c>
      <c r="C33" s="1">
        <f t="shared" si="3"/>
        <v>0.91549999999999976</v>
      </c>
      <c r="D33" s="1">
        <f t="shared" si="5"/>
        <v>0.88799999999999968</v>
      </c>
      <c r="E33" s="1">
        <f t="shared" si="5"/>
        <v>0.86049999999999982</v>
      </c>
      <c r="F33" s="1">
        <f t="shared" si="5"/>
        <v>0.83299999999999974</v>
      </c>
      <c r="G33" s="1">
        <f t="shared" si="5"/>
        <v>0.80549999999999988</v>
      </c>
      <c r="H33" s="1">
        <f t="shared" si="5"/>
        <v>0.7779999999999998</v>
      </c>
      <c r="I33" s="1">
        <f t="shared" si="5"/>
        <v>0.75049999999999972</v>
      </c>
      <c r="J33" s="1">
        <f t="shared" si="5"/>
        <v>0.72299999999999986</v>
      </c>
      <c r="K33" s="1">
        <f t="shared" si="5"/>
        <v>0.69549999999999979</v>
      </c>
      <c r="L33" s="1">
        <f t="shared" si="5"/>
        <v>0.66799999999999982</v>
      </c>
      <c r="M33" s="1">
        <f t="shared" si="5"/>
        <v>0.64049999999999985</v>
      </c>
      <c r="N33" s="1">
        <f t="shared" si="5"/>
        <v>0.61299999999999977</v>
      </c>
      <c r="O33" s="1">
        <f t="shared" si="5"/>
        <v>0.5854999999999998</v>
      </c>
      <c r="P33" s="1">
        <f t="shared" si="5"/>
        <v>0.55799999999999983</v>
      </c>
      <c r="Q33" s="1">
        <f t="shared" si="5"/>
        <v>0.53049999999999975</v>
      </c>
      <c r="R33" s="1">
        <f t="shared" si="5"/>
        <v>0.50299999999999978</v>
      </c>
      <c r="S33" s="1">
        <f t="shared" si="5"/>
        <v>0.47549999999999976</v>
      </c>
      <c r="T33" s="1">
        <f t="shared" si="5"/>
        <v>0.44799999999999979</v>
      </c>
      <c r="U33" s="1">
        <f t="shared" si="5"/>
        <v>0.42049999999999976</v>
      </c>
      <c r="V33" s="1">
        <f t="shared" si="5"/>
        <v>0.39299999999999979</v>
      </c>
      <c r="W33" s="1">
        <f t="shared" si="5"/>
        <v>0.36549999999999977</v>
      </c>
    </row>
    <row r="34" spans="2:23" x14ac:dyDescent="0.2">
      <c r="B34">
        <f t="shared" si="4"/>
        <v>9.5999999999999961</v>
      </c>
      <c r="C34" s="1">
        <f t="shared" si="3"/>
        <v>0.92799999999999983</v>
      </c>
      <c r="D34" s="1">
        <f t="shared" si="5"/>
        <v>0.90049999999999975</v>
      </c>
      <c r="E34" s="1">
        <f t="shared" si="5"/>
        <v>0.87299999999999978</v>
      </c>
      <c r="F34" s="1">
        <f t="shared" si="5"/>
        <v>0.84549999999999981</v>
      </c>
      <c r="G34" s="1">
        <f t="shared" si="5"/>
        <v>0.81799999999999984</v>
      </c>
      <c r="H34" s="1">
        <f t="shared" si="5"/>
        <v>0.79049999999999976</v>
      </c>
      <c r="I34" s="1">
        <f t="shared" si="5"/>
        <v>0.76299999999999979</v>
      </c>
      <c r="J34" s="1">
        <f t="shared" si="5"/>
        <v>0.73549999999999982</v>
      </c>
      <c r="K34" s="1">
        <f t="shared" si="5"/>
        <v>0.70799999999999974</v>
      </c>
      <c r="L34" s="1">
        <f t="shared" si="5"/>
        <v>0.68049999999999988</v>
      </c>
      <c r="M34" s="1">
        <f t="shared" si="5"/>
        <v>0.6529999999999998</v>
      </c>
      <c r="N34" s="1">
        <f t="shared" si="5"/>
        <v>0.62549999999999972</v>
      </c>
      <c r="O34" s="1">
        <f t="shared" si="5"/>
        <v>0.59799999999999986</v>
      </c>
      <c r="P34" s="1">
        <f t="shared" si="5"/>
        <v>0.57049999999999979</v>
      </c>
      <c r="Q34" s="1">
        <f t="shared" si="5"/>
        <v>0.54299999999999982</v>
      </c>
      <c r="R34" s="1">
        <f t="shared" si="5"/>
        <v>0.51549999999999985</v>
      </c>
      <c r="S34" s="1">
        <f t="shared" si="5"/>
        <v>0.48799999999999977</v>
      </c>
      <c r="T34" s="1">
        <f t="shared" si="5"/>
        <v>0.4604999999999998</v>
      </c>
      <c r="U34" s="1">
        <f t="shared" si="5"/>
        <v>0.43299999999999977</v>
      </c>
      <c r="V34" s="1">
        <f t="shared" si="5"/>
        <v>0.40549999999999981</v>
      </c>
      <c r="W34" s="1">
        <f t="shared" si="5"/>
        <v>0.37799999999999978</v>
      </c>
    </row>
    <row r="35" spans="2:23" x14ac:dyDescent="0.2">
      <c r="B35">
        <f t="shared" si="4"/>
        <v>9.7999999999999954</v>
      </c>
      <c r="C35" s="1">
        <f t="shared" si="3"/>
        <v>0.93949999999999978</v>
      </c>
      <c r="D35" s="1">
        <f t="shared" si="5"/>
        <v>0.9119999999999997</v>
      </c>
      <c r="E35" s="1">
        <f t="shared" si="5"/>
        <v>0.88449999999999984</v>
      </c>
      <c r="F35" s="1">
        <f t="shared" si="5"/>
        <v>0.85699999999999976</v>
      </c>
      <c r="G35" s="1">
        <f t="shared" si="5"/>
        <v>0.82949999999999979</v>
      </c>
      <c r="H35" s="1">
        <f t="shared" si="5"/>
        <v>0.80199999999999982</v>
      </c>
      <c r="I35" s="1">
        <f t="shared" si="5"/>
        <v>0.77449999999999974</v>
      </c>
      <c r="J35" s="1">
        <f t="shared" si="5"/>
        <v>0.74699999999999978</v>
      </c>
      <c r="K35" s="1">
        <f t="shared" si="5"/>
        <v>0.71949999999999981</v>
      </c>
      <c r="L35" s="1">
        <f t="shared" si="5"/>
        <v>0.69199999999999973</v>
      </c>
      <c r="M35" s="1">
        <f t="shared" si="5"/>
        <v>0.66449999999999976</v>
      </c>
      <c r="N35" s="1">
        <f t="shared" si="5"/>
        <v>0.63699999999999979</v>
      </c>
      <c r="O35" s="1">
        <f t="shared" si="5"/>
        <v>0.60949999999999971</v>
      </c>
      <c r="P35" s="1">
        <f t="shared" si="5"/>
        <v>0.58199999999999974</v>
      </c>
      <c r="Q35" s="1">
        <f t="shared" si="5"/>
        <v>0.55449999999999977</v>
      </c>
      <c r="R35" s="1">
        <f t="shared" si="5"/>
        <v>0.52699999999999969</v>
      </c>
      <c r="S35" s="1">
        <f t="shared" si="5"/>
        <v>0.49949999999999972</v>
      </c>
      <c r="T35" s="1">
        <f t="shared" si="5"/>
        <v>0.47199999999999975</v>
      </c>
      <c r="U35" s="1">
        <f t="shared" si="5"/>
        <v>0.44449999999999973</v>
      </c>
      <c r="V35" s="1">
        <f t="shared" si="5"/>
        <v>0.41699999999999976</v>
      </c>
      <c r="W35" s="1">
        <f t="shared" si="5"/>
        <v>0.38949999999999974</v>
      </c>
    </row>
    <row r="36" spans="2:23" x14ac:dyDescent="0.2">
      <c r="B36">
        <f t="shared" si="4"/>
        <v>9.9999999999999947</v>
      </c>
      <c r="C36" s="1">
        <f t="shared" si="3"/>
        <v>0.94999999999999973</v>
      </c>
      <c r="D36" s="1">
        <f t="shared" si="5"/>
        <v>0.92249999999999965</v>
      </c>
      <c r="E36" s="1">
        <f t="shared" si="5"/>
        <v>0.8949999999999998</v>
      </c>
      <c r="F36" s="1">
        <f t="shared" si="5"/>
        <v>0.86749999999999972</v>
      </c>
      <c r="G36" s="1">
        <f t="shared" si="5"/>
        <v>0.83999999999999986</v>
      </c>
      <c r="H36" s="1">
        <f t="shared" si="5"/>
        <v>0.81249999999999978</v>
      </c>
      <c r="I36" s="1">
        <f t="shared" si="5"/>
        <v>0.7849999999999997</v>
      </c>
      <c r="J36" s="1">
        <f t="shared" si="5"/>
        <v>0.75749999999999984</v>
      </c>
      <c r="K36" s="1">
        <f t="shared" si="5"/>
        <v>0.72999999999999976</v>
      </c>
      <c r="L36" s="1">
        <f t="shared" si="5"/>
        <v>0.70249999999999979</v>
      </c>
      <c r="M36" s="1">
        <f t="shared" si="5"/>
        <v>0.67499999999999982</v>
      </c>
      <c r="N36" s="1">
        <f t="shared" si="5"/>
        <v>0.64749999999999974</v>
      </c>
      <c r="O36" s="1">
        <f t="shared" si="5"/>
        <v>0.61999999999999977</v>
      </c>
      <c r="P36" s="1">
        <f t="shared" si="5"/>
        <v>0.5924999999999998</v>
      </c>
      <c r="Q36" s="1">
        <f t="shared" si="5"/>
        <v>0.56499999999999972</v>
      </c>
      <c r="R36" s="1">
        <f t="shared" si="5"/>
        <v>0.53749999999999976</v>
      </c>
      <c r="S36" s="1">
        <f t="shared" si="5"/>
        <v>0.50999999999999979</v>
      </c>
      <c r="T36" s="1">
        <f t="shared" si="5"/>
        <v>0.48249999999999976</v>
      </c>
      <c r="U36" s="1">
        <f t="shared" si="5"/>
        <v>0.45499999999999974</v>
      </c>
      <c r="V36" s="1">
        <f t="shared" si="5"/>
        <v>0.42749999999999977</v>
      </c>
      <c r="W36" s="1">
        <f t="shared" si="5"/>
        <v>0.39999999999999974</v>
      </c>
    </row>
    <row r="37" spans="2:23" x14ac:dyDescent="0.2">
      <c r="B37">
        <f t="shared" ref="B37:B42" si="6">B36+0.2</f>
        <v>10.199999999999994</v>
      </c>
      <c r="C37" s="1">
        <f t="shared" si="3"/>
        <v>0.9594999999999998</v>
      </c>
      <c r="D37" s="1">
        <f t="shared" si="5"/>
        <v>0.93199999999999972</v>
      </c>
      <c r="E37" s="1">
        <f t="shared" si="5"/>
        <v>0.90449999999999975</v>
      </c>
      <c r="F37" s="1">
        <f t="shared" si="5"/>
        <v>0.87699999999999978</v>
      </c>
      <c r="G37" s="1">
        <f t="shared" si="5"/>
        <v>0.8494999999999997</v>
      </c>
      <c r="H37" s="1">
        <f t="shared" si="5"/>
        <v>0.82199999999999973</v>
      </c>
      <c r="I37" s="1">
        <f t="shared" si="5"/>
        <v>0.79449999999999976</v>
      </c>
      <c r="J37" s="1">
        <f t="shared" si="5"/>
        <v>0.76699999999999968</v>
      </c>
      <c r="K37" s="1">
        <f t="shared" si="5"/>
        <v>0.73949999999999971</v>
      </c>
      <c r="L37" s="1">
        <f t="shared" si="5"/>
        <v>0.71199999999999974</v>
      </c>
      <c r="M37" s="1">
        <f t="shared" si="5"/>
        <v>0.68449999999999966</v>
      </c>
      <c r="N37" s="1">
        <f t="shared" si="5"/>
        <v>0.6569999999999997</v>
      </c>
      <c r="O37" s="1">
        <f t="shared" si="5"/>
        <v>0.62949999999999973</v>
      </c>
      <c r="P37" s="1">
        <f t="shared" si="5"/>
        <v>0.60199999999999965</v>
      </c>
      <c r="Q37" s="1">
        <f t="shared" si="5"/>
        <v>0.57449999999999979</v>
      </c>
      <c r="R37" s="1">
        <f t="shared" si="5"/>
        <v>0.54699999999999971</v>
      </c>
      <c r="S37" s="1">
        <f t="shared" si="5"/>
        <v>0.51949999999999963</v>
      </c>
      <c r="T37" s="1">
        <f t="shared" si="5"/>
        <v>0.49199999999999972</v>
      </c>
      <c r="U37" s="1">
        <f t="shared" si="5"/>
        <v>0.46449999999999969</v>
      </c>
      <c r="V37" s="1">
        <f t="shared" si="5"/>
        <v>0.43699999999999972</v>
      </c>
      <c r="W37" s="1">
        <f t="shared" si="5"/>
        <v>0.4094999999999997</v>
      </c>
    </row>
    <row r="38" spans="2:23" x14ac:dyDescent="0.2">
      <c r="B38">
        <f t="shared" si="6"/>
        <v>10.399999999999993</v>
      </c>
      <c r="C38" s="1">
        <f t="shared" ref="C38:R46" si="7">0.45*(1-((12-$B38)/6)^2)+(1-0.45)*(1-((C$15-8000)/10000))</f>
        <v>0.96799999999999975</v>
      </c>
      <c r="D38" s="1">
        <f t="shared" si="5"/>
        <v>0.94049999999999967</v>
      </c>
      <c r="E38" s="1">
        <f t="shared" si="5"/>
        <v>0.91299999999999981</v>
      </c>
      <c r="F38" s="1">
        <f t="shared" si="5"/>
        <v>0.88549999999999973</v>
      </c>
      <c r="G38" s="1">
        <f t="shared" si="5"/>
        <v>0.85799999999999987</v>
      </c>
      <c r="H38" s="1">
        <f t="shared" si="5"/>
        <v>0.83049999999999979</v>
      </c>
      <c r="I38" s="1">
        <f t="shared" si="5"/>
        <v>0.80299999999999971</v>
      </c>
      <c r="J38" s="1">
        <f t="shared" si="5"/>
        <v>0.77549999999999986</v>
      </c>
      <c r="K38" s="1">
        <f t="shared" si="5"/>
        <v>0.74799999999999978</v>
      </c>
      <c r="L38" s="1">
        <f t="shared" si="5"/>
        <v>0.72049999999999981</v>
      </c>
      <c r="M38" s="1">
        <f t="shared" si="5"/>
        <v>0.69299999999999984</v>
      </c>
      <c r="N38" s="1">
        <f t="shared" si="5"/>
        <v>0.66549999999999976</v>
      </c>
      <c r="O38" s="1">
        <f t="shared" si="5"/>
        <v>0.63799999999999979</v>
      </c>
      <c r="P38" s="1">
        <f t="shared" si="5"/>
        <v>0.61049999999999982</v>
      </c>
      <c r="Q38" s="1">
        <f t="shared" si="5"/>
        <v>0.58299999999999974</v>
      </c>
      <c r="R38" s="1">
        <f t="shared" si="5"/>
        <v>0.55549999999999977</v>
      </c>
      <c r="S38" s="1">
        <f t="shared" si="5"/>
        <v>0.5279999999999998</v>
      </c>
      <c r="T38" s="1">
        <f t="shared" si="5"/>
        <v>0.50049999999999972</v>
      </c>
      <c r="U38" s="1">
        <f t="shared" si="5"/>
        <v>0.47299999999999975</v>
      </c>
      <c r="V38" s="1">
        <f t="shared" si="5"/>
        <v>0.44549999999999979</v>
      </c>
      <c r="W38" s="1">
        <f t="shared" si="5"/>
        <v>0.41799999999999976</v>
      </c>
    </row>
    <row r="39" spans="2:23" x14ac:dyDescent="0.2">
      <c r="B39">
        <f t="shared" si="6"/>
        <v>10.599999999999993</v>
      </c>
      <c r="C39" s="1">
        <f t="shared" si="7"/>
        <v>0.97549999999999981</v>
      </c>
      <c r="D39" s="1">
        <f t="shared" si="5"/>
        <v>0.94799999999999973</v>
      </c>
      <c r="E39" s="1">
        <f t="shared" si="5"/>
        <v>0.92049999999999976</v>
      </c>
      <c r="F39" s="1">
        <f t="shared" si="5"/>
        <v>0.89299999999999979</v>
      </c>
      <c r="G39" s="1">
        <f t="shared" si="5"/>
        <v>0.86549999999999971</v>
      </c>
      <c r="H39" s="1">
        <f t="shared" si="5"/>
        <v>0.83799999999999975</v>
      </c>
      <c r="I39" s="1">
        <f t="shared" si="5"/>
        <v>0.81049999999999978</v>
      </c>
      <c r="J39" s="1">
        <f t="shared" si="5"/>
        <v>0.7829999999999997</v>
      </c>
      <c r="K39" s="1">
        <f t="shared" si="5"/>
        <v>0.75549999999999973</v>
      </c>
      <c r="L39" s="1">
        <f t="shared" si="5"/>
        <v>0.72799999999999976</v>
      </c>
      <c r="M39" s="1">
        <f t="shared" si="5"/>
        <v>0.70049999999999968</v>
      </c>
      <c r="N39" s="1">
        <f t="shared" si="5"/>
        <v>0.67299999999999971</v>
      </c>
      <c r="O39" s="1">
        <f t="shared" si="5"/>
        <v>0.64549999999999974</v>
      </c>
      <c r="P39" s="1">
        <f t="shared" si="5"/>
        <v>0.61799999999999966</v>
      </c>
      <c r="Q39" s="1">
        <f t="shared" si="5"/>
        <v>0.5904999999999998</v>
      </c>
      <c r="R39" s="1">
        <f t="shared" si="5"/>
        <v>0.56299999999999972</v>
      </c>
      <c r="S39" s="1">
        <f t="shared" si="5"/>
        <v>0.53549999999999964</v>
      </c>
      <c r="T39" s="1">
        <f t="shared" si="5"/>
        <v>0.50799999999999979</v>
      </c>
      <c r="U39" s="1">
        <f t="shared" si="5"/>
        <v>0.48049999999999971</v>
      </c>
      <c r="V39" s="1">
        <f t="shared" si="5"/>
        <v>0.45299999999999974</v>
      </c>
      <c r="W39" s="1">
        <f t="shared" si="5"/>
        <v>0.42549999999999971</v>
      </c>
    </row>
    <row r="40" spans="2:23" x14ac:dyDescent="0.2">
      <c r="B40">
        <f t="shared" si="6"/>
        <v>10.799999999999992</v>
      </c>
      <c r="C40" s="1">
        <f t="shared" si="7"/>
        <v>0.98199999999999976</v>
      </c>
      <c r="D40" s="1">
        <f t="shared" si="5"/>
        <v>0.95449999999999968</v>
      </c>
      <c r="E40" s="1">
        <f t="shared" si="5"/>
        <v>0.92699999999999982</v>
      </c>
      <c r="F40" s="1">
        <f t="shared" si="5"/>
        <v>0.89949999999999974</v>
      </c>
      <c r="G40" s="1">
        <f t="shared" si="5"/>
        <v>0.87199999999999978</v>
      </c>
      <c r="H40" s="1">
        <f t="shared" si="5"/>
        <v>0.84449999999999981</v>
      </c>
      <c r="I40" s="1">
        <f t="shared" si="5"/>
        <v>0.81699999999999973</v>
      </c>
      <c r="J40" s="1">
        <f t="shared" si="5"/>
        <v>0.78949999999999976</v>
      </c>
      <c r="K40" s="1">
        <f t="shared" si="5"/>
        <v>0.76199999999999979</v>
      </c>
      <c r="L40" s="1">
        <f t="shared" si="5"/>
        <v>0.73449999999999971</v>
      </c>
      <c r="M40" s="1">
        <f t="shared" si="5"/>
        <v>0.70699999999999974</v>
      </c>
      <c r="N40" s="1">
        <f t="shared" si="5"/>
        <v>0.67949999999999977</v>
      </c>
      <c r="O40" s="1">
        <f t="shared" si="5"/>
        <v>0.65199999999999969</v>
      </c>
      <c r="P40" s="1">
        <f t="shared" si="5"/>
        <v>0.62449999999999972</v>
      </c>
      <c r="Q40" s="1">
        <f t="shared" si="5"/>
        <v>0.59699999999999975</v>
      </c>
      <c r="R40" s="1">
        <f t="shared" si="5"/>
        <v>0.56949999999999967</v>
      </c>
      <c r="S40" s="1">
        <f t="shared" si="5"/>
        <v>0.5419999999999997</v>
      </c>
      <c r="T40" s="1">
        <f t="shared" si="5"/>
        <v>0.51449999999999974</v>
      </c>
      <c r="U40" s="1">
        <f t="shared" si="5"/>
        <v>0.48699999999999971</v>
      </c>
      <c r="V40" s="1">
        <f t="shared" si="5"/>
        <v>0.45949999999999974</v>
      </c>
      <c r="W40" s="1">
        <f t="shared" si="5"/>
        <v>0.43199999999999972</v>
      </c>
    </row>
    <row r="41" spans="2:23" x14ac:dyDescent="0.2">
      <c r="B41">
        <f t="shared" si="6"/>
        <v>10.999999999999991</v>
      </c>
      <c r="C41" s="1">
        <f t="shared" si="7"/>
        <v>0.98749999999999982</v>
      </c>
      <c r="D41" s="1">
        <f t="shared" si="5"/>
        <v>0.95999999999999974</v>
      </c>
      <c r="E41" s="1">
        <f t="shared" si="5"/>
        <v>0.93249999999999988</v>
      </c>
      <c r="F41" s="1">
        <f t="shared" si="5"/>
        <v>0.9049999999999998</v>
      </c>
      <c r="G41" s="1">
        <f t="shared" si="5"/>
        <v>0.87749999999999984</v>
      </c>
      <c r="H41" s="1">
        <f t="shared" si="5"/>
        <v>0.84999999999999987</v>
      </c>
      <c r="I41" s="1">
        <f t="shared" si="5"/>
        <v>0.82249999999999979</v>
      </c>
      <c r="J41" s="1">
        <f t="shared" si="5"/>
        <v>0.79499999999999982</v>
      </c>
      <c r="K41" s="1">
        <f t="shared" si="5"/>
        <v>0.76749999999999985</v>
      </c>
      <c r="L41" s="1">
        <f t="shared" si="5"/>
        <v>0.73999999999999977</v>
      </c>
      <c r="M41" s="1">
        <f t="shared" si="5"/>
        <v>0.7124999999999998</v>
      </c>
      <c r="N41" s="1">
        <f t="shared" si="5"/>
        <v>0.68499999999999983</v>
      </c>
      <c r="O41" s="1">
        <f t="shared" si="5"/>
        <v>0.65749999999999975</v>
      </c>
      <c r="P41" s="1">
        <f t="shared" si="5"/>
        <v>0.62999999999999978</v>
      </c>
      <c r="Q41" s="1">
        <f t="shared" si="5"/>
        <v>0.60249999999999981</v>
      </c>
      <c r="R41" s="1">
        <f t="shared" si="5"/>
        <v>0.57499999999999973</v>
      </c>
      <c r="S41" s="1">
        <f t="shared" si="5"/>
        <v>0.54749999999999976</v>
      </c>
      <c r="T41" s="1">
        <f t="shared" si="5"/>
        <v>0.5199999999999998</v>
      </c>
      <c r="U41" s="1">
        <f t="shared" si="5"/>
        <v>0.49249999999999977</v>
      </c>
      <c r="V41" s="1">
        <f t="shared" si="5"/>
        <v>0.4649999999999998</v>
      </c>
      <c r="W41" s="1">
        <f t="shared" si="5"/>
        <v>0.43749999999999978</v>
      </c>
    </row>
    <row r="42" spans="2:23" x14ac:dyDescent="0.2">
      <c r="B42">
        <f t="shared" si="6"/>
        <v>11.19999999999999</v>
      </c>
      <c r="C42" s="1">
        <f t="shared" si="7"/>
        <v>0.99199999999999977</v>
      </c>
      <c r="D42" s="1">
        <f t="shared" si="5"/>
        <v>0.96449999999999969</v>
      </c>
      <c r="E42" s="1">
        <f t="shared" si="5"/>
        <v>0.93699999999999983</v>
      </c>
      <c r="F42" s="1">
        <f t="shared" si="5"/>
        <v>0.90949999999999975</v>
      </c>
      <c r="G42" s="1">
        <f t="shared" si="5"/>
        <v>0.8819999999999999</v>
      </c>
      <c r="H42" s="1">
        <f t="shared" si="5"/>
        <v>0.85449999999999982</v>
      </c>
      <c r="I42" s="1">
        <f t="shared" ref="I42:W46" si="8">0.45*(1-((12-$B42)/6)^2)+(1-0.45)*(1-((I$15-8000)/10000))</f>
        <v>0.82699999999999974</v>
      </c>
      <c r="J42" s="1">
        <f t="shared" si="8"/>
        <v>0.79949999999999988</v>
      </c>
      <c r="K42" s="1">
        <f t="shared" si="8"/>
        <v>0.7719999999999998</v>
      </c>
      <c r="L42" s="1">
        <f t="shared" si="8"/>
        <v>0.74449999999999983</v>
      </c>
      <c r="M42" s="1">
        <f t="shared" si="8"/>
        <v>0.71699999999999986</v>
      </c>
      <c r="N42" s="1">
        <f t="shared" si="8"/>
        <v>0.68949999999999978</v>
      </c>
      <c r="O42" s="1">
        <f t="shared" si="8"/>
        <v>0.66199999999999981</v>
      </c>
      <c r="P42" s="1">
        <f t="shared" si="8"/>
        <v>0.63449999999999984</v>
      </c>
      <c r="Q42" s="1">
        <f t="shared" si="8"/>
        <v>0.60699999999999976</v>
      </c>
      <c r="R42" s="1">
        <f t="shared" si="8"/>
        <v>0.57949999999999979</v>
      </c>
      <c r="S42" s="1">
        <f t="shared" si="8"/>
        <v>0.55199999999999982</v>
      </c>
      <c r="T42" s="1">
        <f t="shared" si="8"/>
        <v>0.52449999999999974</v>
      </c>
      <c r="U42" s="1">
        <f t="shared" si="8"/>
        <v>0.49699999999999978</v>
      </c>
      <c r="V42" s="1">
        <f t="shared" si="8"/>
        <v>0.46949999999999981</v>
      </c>
      <c r="W42" s="1">
        <f t="shared" si="8"/>
        <v>0.44199999999999978</v>
      </c>
    </row>
    <row r="43" spans="2:23" x14ac:dyDescent="0.2">
      <c r="B43">
        <f t="shared" ref="B43:B46" si="9">B42+0.2</f>
        <v>11.39999999999999</v>
      </c>
      <c r="C43" s="1">
        <f t="shared" si="7"/>
        <v>0.99549999999999983</v>
      </c>
      <c r="D43" s="1">
        <f t="shared" si="7"/>
        <v>0.96799999999999975</v>
      </c>
      <c r="E43" s="1">
        <f t="shared" si="7"/>
        <v>0.94049999999999989</v>
      </c>
      <c r="F43" s="1">
        <f t="shared" si="7"/>
        <v>0.91299999999999981</v>
      </c>
      <c r="G43" s="1">
        <f t="shared" si="7"/>
        <v>0.88549999999999995</v>
      </c>
      <c r="H43" s="1">
        <f t="shared" si="7"/>
        <v>0.85799999999999987</v>
      </c>
      <c r="I43" s="1">
        <f t="shared" si="7"/>
        <v>0.83049999999999979</v>
      </c>
      <c r="J43" s="1">
        <f t="shared" si="7"/>
        <v>0.80299999999999994</v>
      </c>
      <c r="K43" s="1">
        <f t="shared" si="7"/>
        <v>0.77549999999999986</v>
      </c>
      <c r="L43" s="1">
        <f t="shared" si="7"/>
        <v>0.74799999999999989</v>
      </c>
      <c r="M43" s="1">
        <f t="shared" si="7"/>
        <v>0.72049999999999992</v>
      </c>
      <c r="N43" s="1">
        <f t="shared" si="7"/>
        <v>0.69299999999999984</v>
      </c>
      <c r="O43" s="1">
        <f t="shared" si="7"/>
        <v>0.66549999999999987</v>
      </c>
      <c r="P43" s="1">
        <f t="shared" si="7"/>
        <v>0.6379999999999999</v>
      </c>
      <c r="Q43" s="1">
        <f t="shared" si="7"/>
        <v>0.61049999999999982</v>
      </c>
      <c r="R43" s="1">
        <f t="shared" si="7"/>
        <v>0.58299999999999985</v>
      </c>
      <c r="S43" s="1">
        <f t="shared" si="8"/>
        <v>0.55549999999999988</v>
      </c>
      <c r="T43" s="1">
        <f t="shared" si="8"/>
        <v>0.5279999999999998</v>
      </c>
      <c r="U43" s="1">
        <f t="shared" si="8"/>
        <v>0.50049999999999983</v>
      </c>
      <c r="V43" s="1">
        <f t="shared" si="8"/>
        <v>0.47299999999999986</v>
      </c>
      <c r="W43" s="1">
        <f t="shared" si="8"/>
        <v>0.44549999999999984</v>
      </c>
    </row>
    <row r="44" spans="2:23" x14ac:dyDescent="0.2">
      <c r="B44">
        <f t="shared" si="9"/>
        <v>11.599999999999989</v>
      </c>
      <c r="C44" s="1">
        <f t="shared" si="7"/>
        <v>0.998</v>
      </c>
      <c r="D44" s="1">
        <f t="shared" si="7"/>
        <v>0.97049999999999992</v>
      </c>
      <c r="E44" s="1">
        <f t="shared" si="7"/>
        <v>0.94299999999999995</v>
      </c>
      <c r="F44" s="1">
        <f t="shared" si="7"/>
        <v>0.91549999999999998</v>
      </c>
      <c r="G44" s="1">
        <f t="shared" si="7"/>
        <v>0.8879999999999999</v>
      </c>
      <c r="H44" s="1">
        <f t="shared" si="7"/>
        <v>0.86049999999999993</v>
      </c>
      <c r="I44" s="1">
        <f t="shared" si="7"/>
        <v>0.83299999999999996</v>
      </c>
      <c r="J44" s="1">
        <f t="shared" si="7"/>
        <v>0.80549999999999988</v>
      </c>
      <c r="K44" s="1">
        <f t="shared" si="7"/>
        <v>0.77799999999999991</v>
      </c>
      <c r="L44" s="1">
        <f t="shared" si="7"/>
        <v>0.75049999999999994</v>
      </c>
      <c r="M44" s="1">
        <f t="shared" si="7"/>
        <v>0.72299999999999986</v>
      </c>
      <c r="N44" s="1">
        <f t="shared" si="7"/>
        <v>0.6954999999999999</v>
      </c>
      <c r="O44" s="1">
        <f t="shared" si="7"/>
        <v>0.66799999999999993</v>
      </c>
      <c r="P44" s="1">
        <f t="shared" si="7"/>
        <v>0.64049999999999985</v>
      </c>
      <c r="Q44" s="1">
        <f t="shared" si="7"/>
        <v>0.61299999999999999</v>
      </c>
      <c r="R44" s="1">
        <f t="shared" si="7"/>
        <v>0.58549999999999991</v>
      </c>
      <c r="S44" s="1">
        <f t="shared" si="8"/>
        <v>0.55799999999999983</v>
      </c>
      <c r="T44" s="1">
        <f t="shared" si="8"/>
        <v>0.53049999999999997</v>
      </c>
      <c r="U44" s="1">
        <f t="shared" si="8"/>
        <v>0.50299999999999989</v>
      </c>
      <c r="V44" s="1">
        <f t="shared" si="8"/>
        <v>0.47549999999999992</v>
      </c>
      <c r="W44" s="1">
        <f t="shared" si="8"/>
        <v>0.4479999999999999</v>
      </c>
    </row>
    <row r="45" spans="2:23" x14ac:dyDescent="0.2">
      <c r="B45">
        <f t="shared" si="9"/>
        <v>11.799999999999988</v>
      </c>
      <c r="C45" s="1">
        <f t="shared" si="7"/>
        <v>0.99950000000000006</v>
      </c>
      <c r="D45" s="1">
        <f t="shared" si="7"/>
        <v>0.97199999999999998</v>
      </c>
      <c r="E45" s="1">
        <f t="shared" si="7"/>
        <v>0.94450000000000001</v>
      </c>
      <c r="F45" s="1">
        <f t="shared" si="7"/>
        <v>0.91700000000000004</v>
      </c>
      <c r="G45" s="1">
        <f t="shared" si="7"/>
        <v>0.88949999999999996</v>
      </c>
      <c r="H45" s="1">
        <f t="shared" si="7"/>
        <v>0.86199999999999999</v>
      </c>
      <c r="I45" s="1">
        <f t="shared" si="7"/>
        <v>0.83450000000000002</v>
      </c>
      <c r="J45" s="1">
        <f t="shared" si="7"/>
        <v>0.80699999999999994</v>
      </c>
      <c r="K45" s="1">
        <f t="shared" si="7"/>
        <v>0.77949999999999997</v>
      </c>
      <c r="L45" s="1">
        <f t="shared" si="7"/>
        <v>0.752</v>
      </c>
      <c r="M45" s="1">
        <f t="shared" si="7"/>
        <v>0.72449999999999992</v>
      </c>
      <c r="N45" s="1">
        <f t="shared" si="7"/>
        <v>0.69699999999999995</v>
      </c>
      <c r="O45" s="1">
        <f t="shared" si="7"/>
        <v>0.66949999999999998</v>
      </c>
      <c r="P45" s="1">
        <f t="shared" si="7"/>
        <v>0.6419999999999999</v>
      </c>
      <c r="Q45" s="1">
        <f t="shared" si="7"/>
        <v>0.61450000000000005</v>
      </c>
      <c r="R45" s="1">
        <f t="shared" si="7"/>
        <v>0.58699999999999997</v>
      </c>
      <c r="S45" s="1">
        <f t="shared" si="8"/>
        <v>0.55949999999999989</v>
      </c>
      <c r="T45" s="1">
        <f t="shared" si="8"/>
        <v>0.53200000000000003</v>
      </c>
      <c r="U45" s="1">
        <f t="shared" si="8"/>
        <v>0.50449999999999995</v>
      </c>
      <c r="V45" s="1">
        <f t="shared" si="8"/>
        <v>0.47699999999999998</v>
      </c>
      <c r="W45" s="1">
        <f t="shared" si="8"/>
        <v>0.44949999999999996</v>
      </c>
    </row>
    <row r="46" spans="2:23" x14ac:dyDescent="0.2">
      <c r="B46">
        <f t="shared" si="9"/>
        <v>11.999999999999988</v>
      </c>
      <c r="C46" s="1">
        <f t="shared" si="7"/>
        <v>1</v>
      </c>
      <c r="D46" s="1">
        <f t="shared" si="7"/>
        <v>0.97249999999999992</v>
      </c>
      <c r="E46" s="1">
        <f t="shared" si="7"/>
        <v>0.94500000000000006</v>
      </c>
      <c r="F46" s="1">
        <f t="shared" si="7"/>
        <v>0.91749999999999998</v>
      </c>
      <c r="G46" s="1">
        <f t="shared" si="7"/>
        <v>0.89000000000000012</v>
      </c>
      <c r="H46" s="1">
        <f t="shared" si="7"/>
        <v>0.86250000000000004</v>
      </c>
      <c r="I46" s="1">
        <f t="shared" si="7"/>
        <v>0.83499999999999996</v>
      </c>
      <c r="J46" s="1">
        <f t="shared" si="7"/>
        <v>0.80750000000000011</v>
      </c>
      <c r="K46" s="1">
        <f t="shared" si="7"/>
        <v>0.78</v>
      </c>
      <c r="L46" s="1">
        <f t="shared" si="7"/>
        <v>0.75250000000000006</v>
      </c>
      <c r="M46" s="1">
        <f t="shared" si="7"/>
        <v>0.72500000000000009</v>
      </c>
      <c r="N46" s="1">
        <f t="shared" si="7"/>
        <v>0.69750000000000001</v>
      </c>
      <c r="O46" s="1">
        <f t="shared" si="7"/>
        <v>0.67</v>
      </c>
      <c r="P46" s="1">
        <f t="shared" si="7"/>
        <v>0.64250000000000007</v>
      </c>
      <c r="Q46" s="1">
        <f t="shared" si="7"/>
        <v>0.61499999999999999</v>
      </c>
      <c r="R46" s="1">
        <f t="shared" si="7"/>
        <v>0.58750000000000002</v>
      </c>
      <c r="S46" s="1">
        <f t="shared" si="8"/>
        <v>0.56000000000000005</v>
      </c>
      <c r="T46" s="1">
        <f t="shared" si="8"/>
        <v>0.53249999999999997</v>
      </c>
      <c r="U46" s="1">
        <f t="shared" si="8"/>
        <v>0.505</v>
      </c>
      <c r="V46" s="1">
        <f t="shared" si="8"/>
        <v>0.47750000000000004</v>
      </c>
      <c r="W46" s="1">
        <f t="shared" si="8"/>
        <v>0.45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</vt:lpstr>
      <vt:lpstr>Graph</vt:lpstr>
    </vt:vector>
  </TitlesOfParts>
  <Company>HEC 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Delage</dc:creator>
  <cp:lastModifiedBy>Utilisateur de Microsoft Office</cp:lastModifiedBy>
  <cp:lastPrinted>2014-11-13T13:00:23Z</cp:lastPrinted>
  <dcterms:created xsi:type="dcterms:W3CDTF">2014-11-13T12:13:10Z</dcterms:created>
  <dcterms:modified xsi:type="dcterms:W3CDTF">2016-11-17T14:40:43Z</dcterms:modified>
</cp:coreProperties>
</file>