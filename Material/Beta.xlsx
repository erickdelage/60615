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filterPrivacy="1" autoCompressPictures="0"/>
  <bookViews>
    <workbookView xWindow="240" yWindow="100" windowWidth="18040" windowHeight="12940"/>
  </bookViews>
  <sheets>
    <sheet name="Beta Office 2010" sheetId="1" r:id="rId1"/>
    <sheet name="Urne - Apriori" sheetId="5" r:id="rId2"/>
    <sheet name="Urne - Aposteriori" sheetId="4" r:id="rId3"/>
    <sheet name="Beta Office 2007" sheetId="3" r:id="rId4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256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5" l="1"/>
  <c r="C10" i="5"/>
  <c r="D33" i="5"/>
  <c r="C33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C9" i="4"/>
  <c r="C10" i="4"/>
  <c r="D33" i="4"/>
  <c r="C33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B15" i="3"/>
  <c r="B16" i="3"/>
  <c r="B17" i="3"/>
  <c r="B18" i="3"/>
  <c r="B19" i="3"/>
  <c r="C9" i="3"/>
  <c r="C10" i="3"/>
  <c r="C19" i="3"/>
  <c r="C18" i="3"/>
  <c r="E18" i="3"/>
  <c r="B20" i="3"/>
  <c r="C20" i="3"/>
  <c r="E19" i="3"/>
  <c r="B21" i="3"/>
  <c r="C21" i="3"/>
  <c r="E20" i="3"/>
  <c r="B22" i="3"/>
  <c r="C22" i="3"/>
  <c r="E21" i="3"/>
  <c r="B23" i="3"/>
  <c r="C23" i="3"/>
  <c r="E22" i="3"/>
  <c r="B24" i="3"/>
  <c r="C24" i="3"/>
  <c r="E23" i="3"/>
  <c r="B25" i="3"/>
  <c r="C25" i="3"/>
  <c r="E24" i="3"/>
  <c r="B26" i="3"/>
  <c r="C26" i="3"/>
  <c r="E25" i="3"/>
  <c r="B27" i="3"/>
  <c r="C27" i="3"/>
  <c r="E26" i="3"/>
  <c r="B28" i="3"/>
  <c r="C28" i="3"/>
  <c r="E27" i="3"/>
  <c r="B29" i="3"/>
  <c r="C29" i="3"/>
  <c r="E28" i="3"/>
  <c r="B30" i="3"/>
  <c r="C30" i="3"/>
  <c r="E29" i="3"/>
  <c r="B31" i="3"/>
  <c r="C31" i="3"/>
  <c r="E30" i="3"/>
  <c r="B32" i="3"/>
  <c r="C32" i="3"/>
  <c r="E31" i="3"/>
  <c r="C33" i="3"/>
  <c r="E32" i="3"/>
  <c r="C34" i="3"/>
  <c r="E33" i="3"/>
  <c r="D33" i="3"/>
  <c r="C15" i="3"/>
  <c r="C14" i="3"/>
  <c r="E14" i="3"/>
  <c r="C16" i="3"/>
  <c r="E15" i="3"/>
  <c r="C17" i="3"/>
  <c r="E16" i="3"/>
  <c r="E17" i="3"/>
  <c r="C13" i="3"/>
  <c r="E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13" i="3"/>
  <c r="C9" i="1"/>
  <c r="C10" i="1"/>
  <c r="D14" i="1"/>
  <c r="B15" i="1"/>
  <c r="D15" i="1"/>
  <c r="B16" i="1"/>
  <c r="D16" i="1"/>
  <c r="B17" i="1"/>
  <c r="D17" i="1"/>
  <c r="B18" i="1"/>
  <c r="D18" i="1"/>
  <c r="B19" i="1"/>
  <c r="D19" i="1"/>
  <c r="B20" i="1"/>
  <c r="D20" i="1"/>
  <c r="B21" i="1"/>
  <c r="D21" i="1"/>
  <c r="B22" i="1"/>
  <c r="D22" i="1"/>
  <c r="B23" i="1"/>
  <c r="D23" i="1"/>
  <c r="B24" i="1"/>
  <c r="D24" i="1"/>
  <c r="B25" i="1"/>
  <c r="D25" i="1"/>
  <c r="B26" i="1"/>
  <c r="D26" i="1"/>
  <c r="B27" i="1"/>
  <c r="D27" i="1"/>
  <c r="B28" i="1"/>
  <c r="D28" i="1"/>
  <c r="B29" i="1"/>
  <c r="D29" i="1"/>
  <c r="B30" i="1"/>
  <c r="D30" i="1"/>
  <c r="B31" i="1"/>
  <c r="D31" i="1"/>
  <c r="B32" i="1"/>
  <c r="D32" i="1"/>
  <c r="D33" i="1"/>
  <c r="D13" i="1"/>
  <c r="C14" i="1"/>
  <c r="C33" i="1"/>
  <c r="C13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</calcChain>
</file>

<file path=xl/comments1.xml><?xml version="1.0" encoding="utf-8"?>
<comments xmlns="http://schemas.openxmlformats.org/spreadsheetml/2006/main">
  <authors>
    <author>Auteur</author>
  </authors>
  <commentList>
    <comment ref="C3" authorId="0">
      <text>
        <r>
          <rPr>
            <b/>
            <sz val="8"/>
            <color indexed="81"/>
            <rFont val="Tahoma"/>
            <family val="2"/>
          </rPr>
          <t>Utiliser ces paramètres pour représenter votre croyance initiale quant à la proportion d'échantillon positif dans la population. 
--&gt; (1,1) représente le fait que toutes les proportions sont équiprobables (loi uniforme)</t>
        </r>
      </text>
    </comment>
    <comment ref="C6" authorId="0">
      <text>
        <r>
          <rPr>
            <b/>
            <sz val="8"/>
            <color indexed="81"/>
            <rFont val="Tahoma"/>
            <family val="2"/>
          </rPr>
          <t>Inscrire combien d'échantillons positifs et négatifs ont été observés dans le groupe étudié.</t>
        </r>
      </text>
    </comment>
    <comment ref="C9" authorId="0">
      <text>
        <r>
          <rPr>
            <b/>
            <sz val="8"/>
            <color indexed="81"/>
            <rFont val="Tahoma"/>
            <family val="2"/>
          </rPr>
          <t>Voici les paramètres de la loi Bêta représentant la distribtion à posteriori (i.e. connaissance après avoir vu l'échantillon)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C3" authorId="0">
      <text>
        <r>
          <rPr>
            <b/>
            <sz val="8"/>
            <color indexed="81"/>
            <rFont val="Tahoma"/>
            <family val="2"/>
          </rPr>
          <t>Utiliser ces paramètres pour représenter votre croyance initiale quant à la proportion d'échantillon positif dans la population. 
--&gt; (1,1) représente le fait que toutes les proportions sont équiprobables (loi uniforme)</t>
        </r>
      </text>
    </comment>
    <comment ref="C6" authorId="0">
      <text>
        <r>
          <rPr>
            <b/>
            <sz val="8"/>
            <color indexed="81"/>
            <rFont val="Tahoma"/>
            <family val="2"/>
          </rPr>
          <t>Inscrire combien d'échantillons positifs et négatifs ont été observés dans le groupe étudié.</t>
        </r>
      </text>
    </comment>
    <comment ref="C9" authorId="0">
      <text>
        <r>
          <rPr>
            <b/>
            <sz val="8"/>
            <color indexed="81"/>
            <rFont val="Tahoma"/>
            <family val="2"/>
          </rPr>
          <t>Voici les paramètres de la loi Bêta représentant la distribtion à posteriori (i.e. connaissance après avoir vu l'échantillon)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C3" authorId="0">
      <text>
        <r>
          <rPr>
            <b/>
            <sz val="8"/>
            <color indexed="81"/>
            <rFont val="Tahoma"/>
            <family val="2"/>
          </rPr>
          <t>Utiliser ces paramètres pour représenter votre croyance initiale quant à la proportion d'échantillon positif dans la population. 
--&gt; (1,1) représente le fait que toutes les proportions sont équiprobables (loi uniforme)</t>
        </r>
      </text>
    </comment>
    <comment ref="C6" authorId="0">
      <text>
        <r>
          <rPr>
            <b/>
            <sz val="8"/>
            <color indexed="81"/>
            <rFont val="Tahoma"/>
            <family val="2"/>
          </rPr>
          <t>Inscrire combien d'échantillons positifs et négatifs ont été observés dans le groupe étudié.</t>
        </r>
      </text>
    </comment>
    <comment ref="C9" authorId="0">
      <text>
        <r>
          <rPr>
            <b/>
            <sz val="8"/>
            <color indexed="81"/>
            <rFont val="Tahoma"/>
            <family val="2"/>
          </rPr>
          <t>Voici les paramètres de la loi Bêta représentant la distribtion à posteriori (i.e. connaissance après avoir vu l'échantillon)</t>
        </r>
      </text>
    </comment>
  </commentList>
</comments>
</file>

<file path=xl/comments4.xml><?xml version="1.0" encoding="utf-8"?>
<comments xmlns="http://schemas.openxmlformats.org/spreadsheetml/2006/main">
  <authors>
    <author>Auteur</author>
  </authors>
  <commentList>
    <comment ref="C3" authorId="0">
      <text>
        <r>
          <rPr>
            <b/>
            <sz val="8"/>
            <color indexed="81"/>
            <rFont val="Tahoma"/>
            <family val="2"/>
          </rPr>
          <t>Utiliser ces paramètres pour représenter votre croyance initiale quant à la proportion d'échantillon positif dans la population. 
--&gt; (1,1) représente le fait que toutes les proportions sont équiprobables (loi uniforme)</t>
        </r>
      </text>
    </comment>
    <comment ref="C6" authorId="0">
      <text>
        <r>
          <rPr>
            <b/>
            <sz val="8"/>
            <color indexed="81"/>
            <rFont val="Tahoma"/>
            <family val="2"/>
          </rPr>
          <t>Inscrire combien d'échantillons positifs et négatifs ont été observés dans le groupe étudié.</t>
        </r>
      </text>
    </comment>
    <comment ref="C9" authorId="0">
      <text>
        <r>
          <rPr>
            <b/>
            <sz val="8"/>
            <color indexed="81"/>
            <rFont val="Tahoma"/>
            <family val="2"/>
          </rPr>
          <t>Voici les paramètres de la loi Bêta représentant la distribtion à posteriori (i.e. connaissance après avoir vu l'échantillon)</t>
        </r>
      </text>
    </comment>
  </commentList>
</comments>
</file>

<file path=xl/sharedStrings.xml><?xml version="1.0" encoding="utf-8"?>
<sst xmlns="http://schemas.openxmlformats.org/spreadsheetml/2006/main" count="53" uniqueCount="13">
  <si>
    <t>Proportion</t>
  </si>
  <si>
    <t>alpha</t>
  </si>
  <si>
    <t>beta</t>
  </si>
  <si>
    <t>alpha0</t>
  </si>
  <si>
    <t>beta0</t>
  </si>
  <si>
    <t>Obervations</t>
  </si>
  <si>
    <t>Paramètres de la distribution À PRIORI</t>
  </si>
  <si>
    <t>Paramètres de la distribution À POSTÉRIORI</t>
  </si>
  <si>
    <t>Loid de densité</t>
  </si>
  <si>
    <t>Positif</t>
  </si>
  <si>
    <t>Négatif</t>
  </si>
  <si>
    <t>Vraisemblance</t>
  </si>
  <si>
    <t>Fonction répartition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</si>
</sst>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2"/>
          <c:tx>
            <c:strRef>
              <c:f>'Beta Office 2010'!$C$12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'Beta Office 2010'!$B$13:$B$33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'Beta Office 2010'!$C$13:$C$33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'Beta Office 2010'!$C$12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'Beta Office 2010'!$B$13:$B$33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'Beta Office 2010'!$C$13:$C$33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'Beta Office 2010'!$C$12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'Beta Office 2010'!$B$13:$B$33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'Beta Office 2010'!$C$13:$C$33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ser>
          <c:idx val="0"/>
          <c:order val="0"/>
          <c:tx>
            <c:strRef>
              <c:f>'Beta Office 2010'!$C$12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'Beta Office 2010'!$B$13:$B$33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'Beta Office 2010'!$C$13:$C$33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5654216"/>
        <c:axId val="2120606216"/>
      </c:scatterChart>
      <c:valAx>
        <c:axId val="-2145654216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d'échantillon</a:t>
                </a:r>
                <a:r>
                  <a:rPr lang="en-US" baseline="0"/>
                  <a:t> positif dans la population</a:t>
                </a:r>
                <a:endParaRPr lang="en-US"/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120606216"/>
        <c:crosses val="autoZero"/>
        <c:crossBetween val="midCat"/>
      </c:valAx>
      <c:valAx>
        <c:axId val="2120606216"/>
        <c:scaling>
          <c:orientation val="minMax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Vraisemblance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5654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'Beta Office 2010'!$D$12</c:f>
              <c:strCache>
                <c:ptCount val="1"/>
                <c:pt idx="0">
                  <c:v>Fonction répartition</c:v>
                </c:pt>
              </c:strCache>
            </c:strRef>
          </c:tx>
          <c:marker>
            <c:symbol val="none"/>
          </c:marker>
          <c:xVal>
            <c:numRef>
              <c:f>'Beta Office 2010'!$B$13:$B$33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'Beta Office 2010'!$D$13:$D$33</c:f>
              <c:numCache>
                <c:formatCode>General</c:formatCode>
                <c:ptCount val="21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072200"/>
        <c:axId val="2131651240"/>
      </c:scatterChart>
      <c:valAx>
        <c:axId val="2120072200"/>
        <c:scaling>
          <c:orientation val="minMax"/>
          <c:max val="1.0"/>
          <c:min val="0.0"/>
        </c:scaling>
        <c:delete val="0"/>
        <c:axPos val="b"/>
        <c:numFmt formatCode="0%" sourceLinked="1"/>
        <c:majorTickMark val="out"/>
        <c:minorTickMark val="none"/>
        <c:tickLblPos val="nextTo"/>
        <c:crossAx val="2131651240"/>
        <c:crosses val="autoZero"/>
        <c:crossBetween val="midCat"/>
      </c:valAx>
      <c:valAx>
        <c:axId val="2131651240"/>
        <c:scaling>
          <c:orientation val="minMax"/>
          <c:max val="1.0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0072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2"/>
          <c:tx>
            <c:strRef>
              <c:f>'Urne - Apriori'!$C$12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'Urne - Apriori'!$B$13:$B$33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Apriori'!$C$13:$C$33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'Urne - Apriori'!$C$12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'Urne - Apriori'!$B$13:$B$33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Apriori'!$C$13:$C$33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'Urne - Apriori'!$C$12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'Urne - Apriori'!$B$13:$B$33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Apriori'!$C$13:$C$33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ser>
          <c:idx val="0"/>
          <c:order val="0"/>
          <c:tx>
            <c:strRef>
              <c:f>'Urne - Apriori'!$C$12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'Urne - Apriori'!$B$13:$B$33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Apriori'!$C$13:$C$33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944536"/>
        <c:axId val="2126969912"/>
      </c:scatterChart>
      <c:valAx>
        <c:axId val="2126944536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d'échantillon</a:t>
                </a:r>
                <a:r>
                  <a:rPr lang="en-US" baseline="0"/>
                  <a:t> positif dans la population</a:t>
                </a:r>
                <a:endParaRPr lang="en-US"/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126969912"/>
        <c:crosses val="autoZero"/>
        <c:crossBetween val="midCat"/>
      </c:valAx>
      <c:valAx>
        <c:axId val="2126969912"/>
        <c:scaling>
          <c:orientation val="minMax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Vraisemblance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26944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'Urne - Apriori'!$D$12</c:f>
              <c:strCache>
                <c:ptCount val="1"/>
                <c:pt idx="0">
                  <c:v>Fonction répartition</c:v>
                </c:pt>
              </c:strCache>
            </c:strRef>
          </c:tx>
          <c:marker>
            <c:symbol val="none"/>
          </c:marker>
          <c:xVal>
            <c:numRef>
              <c:f>'Urne - Apriori'!$B$13:$B$33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Apriori'!$D$13:$D$33</c:f>
              <c:numCache>
                <c:formatCode>General</c:formatCode>
                <c:ptCount val="21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699400"/>
        <c:axId val="2129334632"/>
      </c:scatterChart>
      <c:valAx>
        <c:axId val="2128699400"/>
        <c:scaling>
          <c:orientation val="minMax"/>
          <c:max val="1.0"/>
          <c:min val="0.0"/>
        </c:scaling>
        <c:delete val="0"/>
        <c:axPos val="b"/>
        <c:numFmt formatCode="0%" sourceLinked="1"/>
        <c:majorTickMark val="out"/>
        <c:minorTickMark val="none"/>
        <c:tickLblPos val="nextTo"/>
        <c:crossAx val="2129334632"/>
        <c:crosses val="autoZero"/>
        <c:crossBetween val="midCat"/>
      </c:valAx>
      <c:valAx>
        <c:axId val="2129334632"/>
        <c:scaling>
          <c:orientation val="minMax"/>
          <c:max val="1.0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699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2"/>
          <c:tx>
            <c:strRef>
              <c:f>'Urne - Aposteriori'!$C$12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'Urne - Aposteriori'!$B$13:$B$33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Aposteriori'!$C$13:$C$33</c:f>
              <c:numCache>
                <c:formatCode>General</c:formatCode>
                <c:ptCount val="21"/>
                <c:pt idx="0">
                  <c:v>0.00123032625923723</c:v>
                </c:pt>
                <c:pt idx="1">
                  <c:v>0.115225653855469</c:v>
                </c:pt>
                <c:pt idx="2">
                  <c:v>0.631351908</c:v>
                </c:pt>
                <c:pt idx="3">
                  <c:v>1.42817092829297</c:v>
                </c:pt>
                <c:pt idx="4">
                  <c:v>2.214592512000001</c:v>
                </c:pt>
                <c:pt idx="5">
                  <c:v>2.75310516357422</c:v>
                </c:pt>
                <c:pt idx="6">
                  <c:v>2.935107252000001</c:v>
                </c:pt>
                <c:pt idx="7">
                  <c:v>2.774415874699219</c:v>
                </c:pt>
                <c:pt idx="8">
                  <c:v>2.364899328000001</c:v>
                </c:pt>
                <c:pt idx="9">
                  <c:v>1.831261221667969</c:v>
                </c:pt>
                <c:pt idx="10">
                  <c:v>1.289062500000001</c:v>
                </c:pt>
                <c:pt idx="11">
                  <c:v>0.820634169480469</c:v>
                </c:pt>
                <c:pt idx="12">
                  <c:v>0.467140608</c:v>
                </c:pt>
                <c:pt idx="13">
                  <c:v>0.233233168136719</c:v>
                </c:pt>
                <c:pt idx="14">
                  <c:v>0.0990186119999999</c:v>
                </c:pt>
                <c:pt idx="15">
                  <c:v>0.0339889526367187</c:v>
                </c:pt>
                <c:pt idx="16">
                  <c:v>0.00865075199999996</c:v>
                </c:pt>
                <c:pt idx="17">
                  <c:v>0.00138506298046874</c:v>
                </c:pt>
                <c:pt idx="18">
                  <c:v>9.62279999999986E-5</c:v>
                </c:pt>
                <c:pt idx="19">
                  <c:v>8.84167968749966E-7</c:v>
                </c:pt>
                <c:pt idx="20">
                  <c:v>1.28079468E-11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'Urne - Aposteriori'!$C$12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'Urne - Aposteriori'!$B$13:$B$33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Aposteriori'!$C$13:$C$33</c:f>
              <c:numCache>
                <c:formatCode>General</c:formatCode>
                <c:ptCount val="21"/>
                <c:pt idx="0">
                  <c:v>0.00123032625923723</c:v>
                </c:pt>
                <c:pt idx="1">
                  <c:v>0.115225653855469</c:v>
                </c:pt>
                <c:pt idx="2">
                  <c:v>0.631351908</c:v>
                </c:pt>
                <c:pt idx="3">
                  <c:v>1.42817092829297</c:v>
                </c:pt>
                <c:pt idx="4">
                  <c:v>2.214592512000001</c:v>
                </c:pt>
                <c:pt idx="5">
                  <c:v>2.75310516357422</c:v>
                </c:pt>
                <c:pt idx="6">
                  <c:v>2.935107252000001</c:v>
                </c:pt>
                <c:pt idx="7">
                  <c:v>2.774415874699219</c:v>
                </c:pt>
                <c:pt idx="8">
                  <c:v>2.364899328000001</c:v>
                </c:pt>
                <c:pt idx="9">
                  <c:v>1.831261221667969</c:v>
                </c:pt>
                <c:pt idx="10">
                  <c:v>1.289062500000001</c:v>
                </c:pt>
                <c:pt idx="11">
                  <c:v>0.820634169480469</c:v>
                </c:pt>
                <c:pt idx="12">
                  <c:v>0.467140608</c:v>
                </c:pt>
                <c:pt idx="13">
                  <c:v>0.233233168136719</c:v>
                </c:pt>
                <c:pt idx="14">
                  <c:v>0.0990186119999999</c:v>
                </c:pt>
                <c:pt idx="15">
                  <c:v>0.0339889526367187</c:v>
                </c:pt>
                <c:pt idx="16">
                  <c:v>0.00865075199999996</c:v>
                </c:pt>
                <c:pt idx="17">
                  <c:v>0.00138506298046874</c:v>
                </c:pt>
                <c:pt idx="18">
                  <c:v>9.62279999999986E-5</c:v>
                </c:pt>
                <c:pt idx="19">
                  <c:v>8.84167968749966E-7</c:v>
                </c:pt>
                <c:pt idx="20">
                  <c:v>1.28079468E-11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'Urne - Aposteriori'!$C$12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'Urne - Aposteriori'!$B$13:$B$33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Aposteriori'!$C$13:$C$33</c:f>
              <c:numCache>
                <c:formatCode>General</c:formatCode>
                <c:ptCount val="21"/>
                <c:pt idx="0">
                  <c:v>0.00123032625923723</c:v>
                </c:pt>
                <c:pt idx="1">
                  <c:v>0.115225653855469</c:v>
                </c:pt>
                <c:pt idx="2">
                  <c:v>0.631351908</c:v>
                </c:pt>
                <c:pt idx="3">
                  <c:v>1.42817092829297</c:v>
                </c:pt>
                <c:pt idx="4">
                  <c:v>2.214592512000001</c:v>
                </c:pt>
                <c:pt idx="5">
                  <c:v>2.75310516357422</c:v>
                </c:pt>
                <c:pt idx="6">
                  <c:v>2.935107252000001</c:v>
                </c:pt>
                <c:pt idx="7">
                  <c:v>2.774415874699219</c:v>
                </c:pt>
                <c:pt idx="8">
                  <c:v>2.364899328000001</c:v>
                </c:pt>
                <c:pt idx="9">
                  <c:v>1.831261221667969</c:v>
                </c:pt>
                <c:pt idx="10">
                  <c:v>1.289062500000001</c:v>
                </c:pt>
                <c:pt idx="11">
                  <c:v>0.820634169480469</c:v>
                </c:pt>
                <c:pt idx="12">
                  <c:v>0.467140608</c:v>
                </c:pt>
                <c:pt idx="13">
                  <c:v>0.233233168136719</c:v>
                </c:pt>
                <c:pt idx="14">
                  <c:v>0.0990186119999999</c:v>
                </c:pt>
                <c:pt idx="15">
                  <c:v>0.0339889526367187</c:v>
                </c:pt>
                <c:pt idx="16">
                  <c:v>0.00865075199999996</c:v>
                </c:pt>
                <c:pt idx="17">
                  <c:v>0.00138506298046874</c:v>
                </c:pt>
                <c:pt idx="18">
                  <c:v>9.62279999999986E-5</c:v>
                </c:pt>
                <c:pt idx="19">
                  <c:v>8.84167968749966E-7</c:v>
                </c:pt>
                <c:pt idx="20">
                  <c:v>1.28079468E-11</c:v>
                </c:pt>
              </c:numCache>
            </c:numRef>
          </c:yVal>
          <c:smooth val="0"/>
        </c:ser>
        <c:ser>
          <c:idx val="0"/>
          <c:order val="0"/>
          <c:tx>
            <c:strRef>
              <c:f>'Urne - Aposteriori'!$C$12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'Urne - Aposteriori'!$B$13:$B$33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Aposteriori'!$C$13:$C$33</c:f>
              <c:numCache>
                <c:formatCode>General</c:formatCode>
                <c:ptCount val="21"/>
                <c:pt idx="0">
                  <c:v>0.00123032625923723</c:v>
                </c:pt>
                <c:pt idx="1">
                  <c:v>0.115225653855469</c:v>
                </c:pt>
                <c:pt idx="2">
                  <c:v>0.631351908</c:v>
                </c:pt>
                <c:pt idx="3">
                  <c:v>1.42817092829297</c:v>
                </c:pt>
                <c:pt idx="4">
                  <c:v>2.214592512000001</c:v>
                </c:pt>
                <c:pt idx="5">
                  <c:v>2.75310516357422</c:v>
                </c:pt>
                <c:pt idx="6">
                  <c:v>2.935107252000001</c:v>
                </c:pt>
                <c:pt idx="7">
                  <c:v>2.774415874699219</c:v>
                </c:pt>
                <c:pt idx="8">
                  <c:v>2.364899328000001</c:v>
                </c:pt>
                <c:pt idx="9">
                  <c:v>1.831261221667969</c:v>
                </c:pt>
                <c:pt idx="10">
                  <c:v>1.289062500000001</c:v>
                </c:pt>
                <c:pt idx="11">
                  <c:v>0.820634169480469</c:v>
                </c:pt>
                <c:pt idx="12">
                  <c:v>0.467140608</c:v>
                </c:pt>
                <c:pt idx="13">
                  <c:v>0.233233168136719</c:v>
                </c:pt>
                <c:pt idx="14">
                  <c:v>0.0990186119999999</c:v>
                </c:pt>
                <c:pt idx="15">
                  <c:v>0.0339889526367187</c:v>
                </c:pt>
                <c:pt idx="16">
                  <c:v>0.00865075199999996</c:v>
                </c:pt>
                <c:pt idx="17">
                  <c:v>0.00138506298046874</c:v>
                </c:pt>
                <c:pt idx="18">
                  <c:v>9.62279999999986E-5</c:v>
                </c:pt>
                <c:pt idx="19">
                  <c:v>8.84167968749966E-7</c:v>
                </c:pt>
                <c:pt idx="20">
                  <c:v>1.28079468E-11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636056"/>
        <c:axId val="2128807880"/>
      </c:scatterChart>
      <c:valAx>
        <c:axId val="2128636056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d'échantillon</a:t>
                </a:r>
                <a:r>
                  <a:rPr lang="en-US" baseline="0"/>
                  <a:t> positif dans la population</a:t>
                </a:r>
                <a:endParaRPr lang="en-US"/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128807880"/>
        <c:crosses val="autoZero"/>
        <c:crossBetween val="midCat"/>
      </c:valAx>
      <c:valAx>
        <c:axId val="2128807880"/>
        <c:scaling>
          <c:orientation val="minMax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Vraisemblance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28636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'Urne - Aposteriori'!$D$12</c:f>
              <c:strCache>
                <c:ptCount val="1"/>
                <c:pt idx="0">
                  <c:v>Fonction répartition</c:v>
                </c:pt>
              </c:strCache>
            </c:strRef>
          </c:tx>
          <c:marker>
            <c:symbol val="none"/>
          </c:marker>
          <c:xVal>
            <c:numRef>
              <c:f>'Urne - Aposteriori'!$B$13:$B$33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'Urne - Aposteriori'!$D$13:$D$33</c:f>
              <c:numCache>
                <c:formatCode>General</c:formatCode>
                <c:ptCount val="21"/>
                <c:pt idx="0">
                  <c:v>3.11975457442925E-6</c:v>
                </c:pt>
                <c:pt idx="1">
                  <c:v>0.00155225090996095</c:v>
                </c:pt>
                <c:pt idx="2">
                  <c:v>0.0185347612</c:v>
                </c:pt>
                <c:pt idx="3">
                  <c:v>0.0694448569916016</c:v>
                </c:pt>
                <c:pt idx="4">
                  <c:v>0.1611392</c:v>
                </c:pt>
                <c:pt idx="5">
                  <c:v>0.28669548034668</c:v>
                </c:pt>
                <c:pt idx="6">
                  <c:v>0.4304376612</c:v>
                </c:pt>
                <c:pt idx="7">
                  <c:v>0.574449852384571</c:v>
                </c:pt>
                <c:pt idx="8">
                  <c:v>0.7037157376</c:v>
                </c:pt>
                <c:pt idx="9">
                  <c:v>0.808877286764648</c:v>
                </c:pt>
                <c:pt idx="10">
                  <c:v>0.88671875</c:v>
                </c:pt>
                <c:pt idx="11">
                  <c:v>0.939036762896289</c:v>
                </c:pt>
                <c:pt idx="12">
                  <c:v>0.9707185152</c:v>
                </c:pt>
                <c:pt idx="13">
                  <c:v>0.987757679438867</c:v>
                </c:pt>
                <c:pt idx="14">
                  <c:v>0.995709106</c:v>
                </c:pt>
                <c:pt idx="15">
                  <c:v>0.998811721801758</c:v>
                </c:pt>
                <c:pt idx="16">
                  <c:v>0.9997647872</c:v>
                </c:pt>
                <c:pt idx="17">
                  <c:v>0.999972447644336</c:v>
                </c:pt>
                <c:pt idx="18">
                  <c:v>0.9999987516</c:v>
                </c:pt>
                <c:pt idx="19">
                  <c:v>0.999999994375976</c:v>
                </c:pt>
                <c:pt idx="20">
                  <c:v>0.999999999999984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241944"/>
        <c:axId val="2128843144"/>
      </c:scatterChart>
      <c:valAx>
        <c:axId val="2117241944"/>
        <c:scaling>
          <c:orientation val="minMax"/>
          <c:max val="1.0"/>
          <c:min val="0.0"/>
        </c:scaling>
        <c:delete val="0"/>
        <c:axPos val="b"/>
        <c:numFmt formatCode="0%" sourceLinked="1"/>
        <c:majorTickMark val="out"/>
        <c:minorTickMark val="none"/>
        <c:tickLblPos val="nextTo"/>
        <c:crossAx val="2128843144"/>
        <c:crosses val="autoZero"/>
        <c:crossBetween val="midCat"/>
      </c:valAx>
      <c:valAx>
        <c:axId val="2128843144"/>
        <c:scaling>
          <c:orientation val="minMax"/>
          <c:max val="1.0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7241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'Beta Office 2007'!$E$12</c:f>
              <c:strCache>
                <c:ptCount val="1"/>
                <c:pt idx="0">
                  <c:v>Vraisemblance</c:v>
                </c:pt>
              </c:strCache>
            </c:strRef>
          </c:tx>
          <c:marker>
            <c:symbol val="none"/>
          </c:marker>
          <c:xVal>
            <c:numRef>
              <c:f>'Beta Office 2007'!$D$13:$D$33</c:f>
              <c:numCache>
                <c:formatCode>General</c:formatCode>
                <c:ptCount val="21"/>
                <c:pt idx="0">
                  <c:v>0.03</c:v>
                </c:pt>
                <c:pt idx="1">
                  <c:v>0.075</c:v>
                </c:pt>
                <c:pt idx="2">
                  <c:v>0.125</c:v>
                </c:pt>
                <c:pt idx="3">
                  <c:v>0.175</c:v>
                </c:pt>
                <c:pt idx="4">
                  <c:v>0.225</c:v>
                </c:pt>
                <c:pt idx="5">
                  <c:v>0.275</c:v>
                </c:pt>
                <c:pt idx="6">
                  <c:v>0.325</c:v>
                </c:pt>
                <c:pt idx="7">
                  <c:v>0.375</c:v>
                </c:pt>
                <c:pt idx="8">
                  <c:v>0.425</c:v>
                </c:pt>
                <c:pt idx="9">
                  <c:v>0.475</c:v>
                </c:pt>
                <c:pt idx="10">
                  <c:v>0.525</c:v>
                </c:pt>
                <c:pt idx="11">
                  <c:v>0.575</c:v>
                </c:pt>
                <c:pt idx="12">
                  <c:v>0.625</c:v>
                </c:pt>
                <c:pt idx="13">
                  <c:v>0.675</c:v>
                </c:pt>
                <c:pt idx="14">
                  <c:v>0.725</c:v>
                </c:pt>
                <c:pt idx="15">
                  <c:v>0.775</c:v>
                </c:pt>
                <c:pt idx="16">
                  <c:v>0.825</c:v>
                </c:pt>
                <c:pt idx="17">
                  <c:v>0.875</c:v>
                </c:pt>
                <c:pt idx="18">
                  <c:v>0.925</c:v>
                </c:pt>
                <c:pt idx="19">
                  <c:v>0.97</c:v>
                </c:pt>
                <c:pt idx="20">
                  <c:v>0.995</c:v>
                </c:pt>
              </c:numCache>
            </c:numRef>
          </c:xVal>
          <c:yVal>
            <c:numRef>
              <c:f>'Beta Office 2007'!$E$13:$E$33</c:f>
              <c:numCache>
                <c:formatCode>General</c:formatCode>
                <c:ptCount val="21"/>
                <c:pt idx="0">
                  <c:v>1.0</c:v>
                </c:pt>
                <c:pt idx="1">
                  <c:v>1.0</c:v>
                </c:pt>
                <c:pt idx="2">
                  <c:v>1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0.999999999999999</c:v>
                </c:pt>
                <c:pt idx="7">
                  <c:v>1.000000000000001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747720"/>
        <c:axId val="2129231400"/>
      </c:scatterChart>
      <c:valAx>
        <c:axId val="2128747720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d'échantillon</a:t>
                </a:r>
                <a:r>
                  <a:rPr lang="en-US" baseline="0"/>
                  <a:t> positif dans la population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29231400"/>
        <c:crosses val="autoZero"/>
        <c:crossBetween val="midCat"/>
      </c:valAx>
      <c:valAx>
        <c:axId val="2129231400"/>
        <c:scaling>
          <c:orientation val="minMax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Vraisemblance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28747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'Beta Office 2007'!$C$12</c:f>
              <c:strCache>
                <c:ptCount val="1"/>
                <c:pt idx="0">
                  <c:v>Fonction répartition</c:v>
                </c:pt>
              </c:strCache>
            </c:strRef>
          </c:tx>
          <c:marker>
            <c:symbol val="none"/>
          </c:marker>
          <c:xVal>
            <c:numRef>
              <c:f>'Beta Office 2007'!$B$13:$B$33</c:f>
              <c:numCache>
                <c:formatCode>0.00%</c:formatCode>
                <c:ptCount val="21"/>
                <c:pt idx="0" formatCode="0%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xVal>
          <c:yVal>
            <c:numRef>
              <c:f>'Beta Office 2007'!$C$13:$C$33</c:f>
              <c:numCache>
                <c:formatCode>General</c:formatCode>
                <c:ptCount val="21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0.99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971592"/>
        <c:axId val="2128752600"/>
      </c:scatterChart>
      <c:valAx>
        <c:axId val="2128971592"/>
        <c:scaling>
          <c:orientation val="minMax"/>
          <c:max val="1.0"/>
          <c:min val="0.0"/>
        </c:scaling>
        <c:delete val="0"/>
        <c:axPos val="b"/>
        <c:numFmt formatCode="0%" sourceLinked="1"/>
        <c:majorTickMark val="out"/>
        <c:minorTickMark val="none"/>
        <c:tickLblPos val="nextTo"/>
        <c:crossAx val="2128752600"/>
        <c:crosses val="autoZero"/>
        <c:crossBetween val="midCat"/>
      </c:valAx>
      <c:valAx>
        <c:axId val="2128752600"/>
        <c:scaling>
          <c:orientation val="minMax"/>
          <c:max val="1.0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971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371476</xdr:colOff>
      <xdr:row>0</xdr:row>
      <xdr:rowOff>0</xdr:rowOff>
    </xdr:from>
    <xdr:to>
      <xdr:col>10</xdr:col>
      <xdr:colOff>542926</xdr:colOff>
      <xdr:row>12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0"/>
          <a:ext cx="2609850" cy="2609850"/>
        </a:xfrm>
        <a:prstGeom prst="rect">
          <a:avLst/>
        </a:prstGeom>
      </xdr:spPr>
    </xdr:pic>
    <xdr:clientData/>
  </xdr:twoCellAnchor>
  <xdr:twoCellAnchor>
    <xdr:from>
      <xdr:col>0</xdr:col>
      <xdr:colOff>185737</xdr:colOff>
      <xdr:row>17</xdr:row>
      <xdr:rowOff>119062</xdr:rowOff>
    </xdr:from>
    <xdr:to>
      <xdr:col>4</xdr:col>
      <xdr:colOff>219075</xdr:colOff>
      <xdr:row>31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285749</xdr:colOff>
      <xdr:row>17</xdr:row>
      <xdr:rowOff>109537</xdr:rowOff>
    </xdr:from>
    <xdr:to>
      <xdr:col>10</xdr:col>
      <xdr:colOff>409574</xdr:colOff>
      <xdr:row>31</xdr:row>
      <xdr:rowOff>47625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371476</xdr:colOff>
      <xdr:row>0</xdr:row>
      <xdr:rowOff>0</xdr:rowOff>
    </xdr:from>
    <xdr:to>
      <xdr:col>10</xdr:col>
      <xdr:colOff>542926</xdr:colOff>
      <xdr:row>12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6" y="0"/>
          <a:ext cx="2965450" cy="2463800"/>
        </a:xfrm>
        <a:prstGeom prst="rect">
          <a:avLst/>
        </a:prstGeom>
      </xdr:spPr>
    </xdr:pic>
    <xdr:clientData/>
  </xdr:twoCellAnchor>
  <xdr:twoCellAnchor>
    <xdr:from>
      <xdr:col>0</xdr:col>
      <xdr:colOff>185737</xdr:colOff>
      <xdr:row>17</xdr:row>
      <xdr:rowOff>119062</xdr:rowOff>
    </xdr:from>
    <xdr:to>
      <xdr:col>4</xdr:col>
      <xdr:colOff>219075</xdr:colOff>
      <xdr:row>31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285749</xdr:colOff>
      <xdr:row>17</xdr:row>
      <xdr:rowOff>109537</xdr:rowOff>
    </xdr:from>
    <xdr:to>
      <xdr:col>10</xdr:col>
      <xdr:colOff>409574</xdr:colOff>
      <xdr:row>31</xdr:row>
      <xdr:rowOff>47625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371476</xdr:colOff>
      <xdr:row>0</xdr:row>
      <xdr:rowOff>0</xdr:rowOff>
    </xdr:from>
    <xdr:to>
      <xdr:col>10</xdr:col>
      <xdr:colOff>542926</xdr:colOff>
      <xdr:row>12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6" y="0"/>
          <a:ext cx="2965450" cy="2463800"/>
        </a:xfrm>
        <a:prstGeom prst="rect">
          <a:avLst/>
        </a:prstGeom>
      </xdr:spPr>
    </xdr:pic>
    <xdr:clientData/>
  </xdr:twoCellAnchor>
  <xdr:twoCellAnchor>
    <xdr:from>
      <xdr:col>0</xdr:col>
      <xdr:colOff>185737</xdr:colOff>
      <xdr:row>17</xdr:row>
      <xdr:rowOff>119062</xdr:rowOff>
    </xdr:from>
    <xdr:to>
      <xdr:col>4</xdr:col>
      <xdr:colOff>219075</xdr:colOff>
      <xdr:row>31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285749</xdr:colOff>
      <xdr:row>17</xdr:row>
      <xdr:rowOff>109537</xdr:rowOff>
    </xdr:from>
    <xdr:to>
      <xdr:col>10</xdr:col>
      <xdr:colOff>409574</xdr:colOff>
      <xdr:row>31</xdr:row>
      <xdr:rowOff>47625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371476</xdr:colOff>
      <xdr:row>0</xdr:row>
      <xdr:rowOff>0</xdr:rowOff>
    </xdr:from>
    <xdr:to>
      <xdr:col>10</xdr:col>
      <xdr:colOff>542926</xdr:colOff>
      <xdr:row>12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0"/>
          <a:ext cx="2609850" cy="2609850"/>
        </a:xfrm>
        <a:prstGeom prst="rect">
          <a:avLst/>
        </a:prstGeom>
      </xdr:spPr>
    </xdr:pic>
    <xdr:clientData/>
  </xdr:twoCellAnchor>
  <xdr:twoCellAnchor>
    <xdr:from>
      <xdr:col>0</xdr:col>
      <xdr:colOff>185737</xdr:colOff>
      <xdr:row>17</xdr:row>
      <xdr:rowOff>119062</xdr:rowOff>
    </xdr:from>
    <xdr:to>
      <xdr:col>4</xdr:col>
      <xdr:colOff>219075</xdr:colOff>
      <xdr:row>31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285749</xdr:colOff>
      <xdr:row>17</xdr:row>
      <xdr:rowOff>109537</xdr:rowOff>
    </xdr:from>
    <xdr:to>
      <xdr:col>10</xdr:col>
      <xdr:colOff>409574</xdr:colOff>
      <xdr:row>31</xdr:row>
      <xdr:rowOff>47625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D36"/>
  <sheetViews>
    <sheetView tabSelected="1" workbookViewId="0">
      <selection activeCell="C7" sqref="C7"/>
    </sheetView>
  </sheetViews>
  <sheetFormatPr baseColWidth="10" defaultColWidth="9.1640625" defaultRowHeight="14" x14ac:dyDescent="0"/>
  <cols>
    <col min="2" max="2" width="11" customWidth="1"/>
    <col min="3" max="3" width="14.5" customWidth="1"/>
    <col min="4" max="4" width="17" customWidth="1"/>
  </cols>
  <sheetData>
    <row r="2" spans="1:4">
      <c r="A2" s="3" t="s">
        <v>6</v>
      </c>
    </row>
    <row r="3" spans="1:4">
      <c r="B3" t="s">
        <v>3</v>
      </c>
      <c r="C3" s="7">
        <v>1</v>
      </c>
    </row>
    <row r="4" spans="1:4">
      <c r="B4" t="s">
        <v>4</v>
      </c>
      <c r="C4" s="7">
        <v>1</v>
      </c>
    </row>
    <row r="5" spans="1:4">
      <c r="A5" s="3" t="s">
        <v>5</v>
      </c>
    </row>
    <row r="6" spans="1:4">
      <c r="B6" t="s">
        <v>9</v>
      </c>
      <c r="C6" s="7">
        <v>0</v>
      </c>
    </row>
    <row r="7" spans="1:4">
      <c r="B7" t="s">
        <v>10</v>
      </c>
      <c r="C7" s="7">
        <v>0</v>
      </c>
    </row>
    <row r="8" spans="1:4">
      <c r="A8" s="3" t="s">
        <v>7</v>
      </c>
    </row>
    <row r="9" spans="1:4">
      <c r="B9" t="s">
        <v>1</v>
      </c>
      <c r="C9">
        <f>C3+C6</f>
        <v>1</v>
      </c>
    </row>
    <row r="10" spans="1:4">
      <c r="B10" t="s">
        <v>2</v>
      </c>
      <c r="C10">
        <f>C4+C7</f>
        <v>1</v>
      </c>
    </row>
    <row r="11" spans="1:4">
      <c r="A11" s="3" t="s">
        <v>8</v>
      </c>
    </row>
    <row r="12" spans="1:4" ht="28.5" customHeight="1">
      <c r="B12" s="4" t="s">
        <v>0</v>
      </c>
      <c r="C12" s="6" t="s">
        <v>11</v>
      </c>
      <c r="D12" s="5" t="s">
        <v>12</v>
      </c>
    </row>
    <row r="13" spans="1:4">
      <c r="B13" s="1">
        <v>0.01</v>
      </c>
      <c r="C13">
        <f>_xlfn.BETA.DIST(B13,$C$9,$C$10,FALSE)</f>
        <v>1</v>
      </c>
      <c r="D13">
        <f>_xlfn.BETA.DIST(B13,$C$9,$C$10,TRUE)</f>
        <v>1.0000000000000004E-2</v>
      </c>
    </row>
    <row r="14" spans="1:4">
      <c r="B14" s="2">
        <v>0.05</v>
      </c>
      <c r="C14">
        <f>_xlfn.BETA.DIST(B14,$C$9,$C$10,FALSE)</f>
        <v>1</v>
      </c>
      <c r="D14">
        <f t="shared" ref="D14:D33" si="0">_xlfn.BETA.DIST(B14,$C$9,$C$10,TRUE)</f>
        <v>5.000000000000001E-2</v>
      </c>
    </row>
    <row r="15" spans="1:4">
      <c r="B15" s="2">
        <f t="shared" ref="B15:B32" si="1">B14+5%</f>
        <v>0.1</v>
      </c>
      <c r="C15">
        <f t="shared" ref="C15:C33" si="2">_xlfn.BETA.DIST(B15,$C$9,$C$10,FALSE)</f>
        <v>1</v>
      </c>
      <c r="D15">
        <f t="shared" si="0"/>
        <v>0.10000000000000002</v>
      </c>
    </row>
    <row r="16" spans="1:4">
      <c r="B16" s="2">
        <f t="shared" si="1"/>
        <v>0.15000000000000002</v>
      </c>
      <c r="C16">
        <f t="shared" si="2"/>
        <v>1</v>
      </c>
      <c r="D16">
        <f t="shared" si="0"/>
        <v>0.15000000000000002</v>
      </c>
    </row>
    <row r="17" spans="2:4">
      <c r="B17" s="2">
        <f t="shared" si="1"/>
        <v>0.2</v>
      </c>
      <c r="C17">
        <f t="shared" si="2"/>
        <v>1</v>
      </c>
      <c r="D17">
        <f t="shared" si="0"/>
        <v>0.2</v>
      </c>
    </row>
    <row r="18" spans="2:4">
      <c r="B18" s="2">
        <f t="shared" si="1"/>
        <v>0.25</v>
      </c>
      <c r="C18">
        <f t="shared" si="2"/>
        <v>1</v>
      </c>
      <c r="D18">
        <f t="shared" si="0"/>
        <v>0.25</v>
      </c>
    </row>
    <row r="19" spans="2:4">
      <c r="B19" s="2">
        <f t="shared" si="1"/>
        <v>0.3</v>
      </c>
      <c r="C19">
        <f t="shared" si="2"/>
        <v>1</v>
      </c>
      <c r="D19">
        <f t="shared" si="0"/>
        <v>0.3</v>
      </c>
    </row>
    <row r="20" spans="2:4">
      <c r="B20" s="2">
        <f t="shared" si="1"/>
        <v>0.35</v>
      </c>
      <c r="C20">
        <f t="shared" si="2"/>
        <v>1</v>
      </c>
      <c r="D20">
        <f t="shared" si="0"/>
        <v>0.34999999999999992</v>
      </c>
    </row>
    <row r="21" spans="2:4">
      <c r="B21" s="2">
        <f t="shared" si="1"/>
        <v>0.39999999999999997</v>
      </c>
      <c r="C21">
        <f t="shared" si="2"/>
        <v>1</v>
      </c>
      <c r="D21">
        <f t="shared" si="0"/>
        <v>0.39999999999999997</v>
      </c>
    </row>
    <row r="22" spans="2:4">
      <c r="B22" s="2">
        <f t="shared" si="1"/>
        <v>0.44999999999999996</v>
      </c>
      <c r="C22">
        <f t="shared" si="2"/>
        <v>1</v>
      </c>
      <c r="D22">
        <f t="shared" si="0"/>
        <v>0.44999999999999996</v>
      </c>
    </row>
    <row r="23" spans="2:4">
      <c r="B23" s="2">
        <f t="shared" si="1"/>
        <v>0.49999999999999994</v>
      </c>
      <c r="C23">
        <f t="shared" si="2"/>
        <v>1</v>
      </c>
      <c r="D23">
        <f t="shared" si="0"/>
        <v>0.49999999999999994</v>
      </c>
    </row>
    <row r="24" spans="2:4">
      <c r="B24" s="2">
        <f t="shared" si="1"/>
        <v>0.54999999999999993</v>
      </c>
      <c r="C24">
        <f t="shared" si="2"/>
        <v>1</v>
      </c>
      <c r="D24">
        <f t="shared" si="0"/>
        <v>0.54999999999999993</v>
      </c>
    </row>
    <row r="25" spans="2:4">
      <c r="B25" s="2">
        <f t="shared" si="1"/>
        <v>0.6</v>
      </c>
      <c r="C25">
        <f t="shared" si="2"/>
        <v>1</v>
      </c>
      <c r="D25">
        <f t="shared" si="0"/>
        <v>0.6</v>
      </c>
    </row>
    <row r="26" spans="2:4">
      <c r="B26" s="2">
        <f t="shared" si="1"/>
        <v>0.65</v>
      </c>
      <c r="C26">
        <f t="shared" si="2"/>
        <v>1</v>
      </c>
      <c r="D26">
        <f t="shared" si="0"/>
        <v>0.65</v>
      </c>
    </row>
    <row r="27" spans="2:4">
      <c r="B27" s="2">
        <f t="shared" si="1"/>
        <v>0.70000000000000007</v>
      </c>
      <c r="C27">
        <f t="shared" si="2"/>
        <v>1</v>
      </c>
      <c r="D27">
        <f t="shared" si="0"/>
        <v>0.70000000000000007</v>
      </c>
    </row>
    <row r="28" spans="2:4">
      <c r="B28" s="2">
        <f t="shared" si="1"/>
        <v>0.75000000000000011</v>
      </c>
      <c r="C28">
        <f t="shared" si="2"/>
        <v>1</v>
      </c>
      <c r="D28">
        <f t="shared" si="0"/>
        <v>0.75000000000000011</v>
      </c>
    </row>
    <row r="29" spans="2:4">
      <c r="B29" s="2">
        <f t="shared" si="1"/>
        <v>0.80000000000000016</v>
      </c>
      <c r="C29">
        <f t="shared" si="2"/>
        <v>1</v>
      </c>
      <c r="D29">
        <f t="shared" si="0"/>
        <v>0.80000000000000016</v>
      </c>
    </row>
    <row r="30" spans="2:4">
      <c r="B30" s="2">
        <f>B29+5%</f>
        <v>0.8500000000000002</v>
      </c>
      <c r="C30">
        <f t="shared" si="2"/>
        <v>1</v>
      </c>
      <c r="D30">
        <f t="shared" si="0"/>
        <v>0.8500000000000002</v>
      </c>
    </row>
    <row r="31" spans="2:4">
      <c r="B31" s="2">
        <f t="shared" si="1"/>
        <v>0.90000000000000024</v>
      </c>
      <c r="C31">
        <f t="shared" si="2"/>
        <v>1</v>
      </c>
      <c r="D31">
        <f t="shared" si="0"/>
        <v>0.90000000000000024</v>
      </c>
    </row>
    <row r="32" spans="2:4">
      <c r="B32" s="2">
        <f t="shared" si="1"/>
        <v>0.95000000000000029</v>
      </c>
      <c r="C32">
        <f t="shared" si="2"/>
        <v>1</v>
      </c>
      <c r="D32">
        <f t="shared" si="0"/>
        <v>0.95000000000000029</v>
      </c>
    </row>
    <row r="33" spans="2:4">
      <c r="B33" s="2">
        <v>0.99</v>
      </c>
      <c r="C33">
        <f t="shared" si="2"/>
        <v>1</v>
      </c>
      <c r="D33">
        <f t="shared" si="0"/>
        <v>0.99</v>
      </c>
    </row>
    <row r="34" spans="2:4">
      <c r="B34" s="2"/>
    </row>
    <row r="35" spans="2:4">
      <c r="B35" s="2"/>
    </row>
    <row r="36" spans="2:4">
      <c r="B36" s="2"/>
    </row>
  </sheetData>
  <sheetProtection sheet="1" objects="1" scenarios="1" selectLockedCells="1"/>
  <pageMargins left="0.7" right="0.7" top="0.75" bottom="0.75" header="0.3" footer="0.3"/>
  <pageSetup scale="77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D36"/>
  <sheetViews>
    <sheetView workbookViewId="0">
      <selection activeCell="C7" sqref="C7"/>
    </sheetView>
  </sheetViews>
  <sheetFormatPr baseColWidth="10" defaultColWidth="9.1640625" defaultRowHeight="14" x14ac:dyDescent="0"/>
  <cols>
    <col min="2" max="2" width="11" customWidth="1"/>
    <col min="3" max="3" width="14.5" customWidth="1"/>
    <col min="4" max="4" width="17" customWidth="1"/>
  </cols>
  <sheetData>
    <row r="2" spans="1:4">
      <c r="A2" s="3" t="s">
        <v>6</v>
      </c>
    </row>
    <row r="3" spans="1:4">
      <c r="B3" t="s">
        <v>3</v>
      </c>
      <c r="C3" s="7">
        <v>1</v>
      </c>
    </row>
    <row r="4" spans="1:4">
      <c r="B4" t="s">
        <v>4</v>
      </c>
      <c r="C4" s="7">
        <v>1</v>
      </c>
    </row>
    <row r="5" spans="1:4">
      <c r="A5" s="3" t="s">
        <v>5</v>
      </c>
    </row>
    <row r="6" spans="1:4">
      <c r="B6" t="s">
        <v>9</v>
      </c>
      <c r="C6" s="7">
        <v>0</v>
      </c>
    </row>
    <row r="7" spans="1:4">
      <c r="B7" t="s">
        <v>10</v>
      </c>
      <c r="C7" s="7">
        <v>0</v>
      </c>
    </row>
    <row r="8" spans="1:4">
      <c r="A8" s="3" t="s">
        <v>7</v>
      </c>
    </row>
    <row r="9" spans="1:4">
      <c r="B9" t="s">
        <v>1</v>
      </c>
      <c r="C9">
        <f>C3+C6</f>
        <v>1</v>
      </c>
    </row>
    <row r="10" spans="1:4">
      <c r="B10" t="s">
        <v>2</v>
      </c>
      <c r="C10">
        <f>C4+C7</f>
        <v>1</v>
      </c>
    </row>
    <row r="11" spans="1:4">
      <c r="A11" s="3" t="s">
        <v>8</v>
      </c>
    </row>
    <row r="12" spans="1:4" ht="28.5" customHeight="1">
      <c r="B12" s="4" t="s">
        <v>0</v>
      </c>
      <c r="C12" s="6" t="s">
        <v>11</v>
      </c>
      <c r="D12" s="5" t="s">
        <v>12</v>
      </c>
    </row>
    <row r="13" spans="1:4">
      <c r="B13" s="1">
        <v>0.01</v>
      </c>
      <c r="C13">
        <f>_xlfn.BETA.DIST(B13,$C$9,$C$10,FALSE)</f>
        <v>1</v>
      </c>
      <c r="D13">
        <f>_xlfn.BETA.DIST(B13,$C$9,$C$10,TRUE)</f>
        <v>1.0000000000000004E-2</v>
      </c>
    </row>
    <row r="14" spans="1:4">
      <c r="B14" s="2">
        <v>0.05</v>
      </c>
      <c r="C14">
        <f>_xlfn.BETA.DIST(B14,$C$9,$C$10,FALSE)</f>
        <v>1</v>
      </c>
      <c r="D14">
        <f t="shared" ref="D14:D33" si="0">_xlfn.BETA.DIST(B14,$C$9,$C$10,TRUE)</f>
        <v>5.000000000000001E-2</v>
      </c>
    </row>
    <row r="15" spans="1:4">
      <c r="B15" s="2">
        <f t="shared" ref="B15:B32" si="1">B14+5%</f>
        <v>0.1</v>
      </c>
      <c r="C15">
        <f t="shared" ref="C15:C33" si="2">_xlfn.BETA.DIST(B15,$C$9,$C$10,FALSE)</f>
        <v>1</v>
      </c>
      <c r="D15">
        <f t="shared" si="0"/>
        <v>0.10000000000000002</v>
      </c>
    </row>
    <row r="16" spans="1:4">
      <c r="B16" s="2">
        <f t="shared" si="1"/>
        <v>0.15000000000000002</v>
      </c>
      <c r="C16">
        <f t="shared" si="2"/>
        <v>1</v>
      </c>
      <c r="D16">
        <f t="shared" si="0"/>
        <v>0.15000000000000002</v>
      </c>
    </row>
    <row r="17" spans="2:4">
      <c r="B17" s="2">
        <f t="shared" si="1"/>
        <v>0.2</v>
      </c>
      <c r="C17">
        <f t="shared" si="2"/>
        <v>1</v>
      </c>
      <c r="D17">
        <f t="shared" si="0"/>
        <v>0.2</v>
      </c>
    </row>
    <row r="18" spans="2:4">
      <c r="B18" s="2">
        <f t="shared" si="1"/>
        <v>0.25</v>
      </c>
      <c r="C18">
        <f t="shared" si="2"/>
        <v>1</v>
      </c>
      <c r="D18">
        <f t="shared" si="0"/>
        <v>0.25</v>
      </c>
    </row>
    <row r="19" spans="2:4">
      <c r="B19" s="2">
        <f t="shared" si="1"/>
        <v>0.3</v>
      </c>
      <c r="C19">
        <f t="shared" si="2"/>
        <v>1</v>
      </c>
      <c r="D19">
        <f t="shared" si="0"/>
        <v>0.3</v>
      </c>
    </row>
    <row r="20" spans="2:4">
      <c r="B20" s="2">
        <f t="shared" si="1"/>
        <v>0.35</v>
      </c>
      <c r="C20">
        <f t="shared" si="2"/>
        <v>1</v>
      </c>
      <c r="D20">
        <f t="shared" si="0"/>
        <v>0.34999999999999992</v>
      </c>
    </row>
    <row r="21" spans="2:4">
      <c r="B21" s="2">
        <f t="shared" si="1"/>
        <v>0.39999999999999997</v>
      </c>
      <c r="C21">
        <f t="shared" si="2"/>
        <v>1</v>
      </c>
      <c r="D21">
        <f t="shared" si="0"/>
        <v>0.39999999999999997</v>
      </c>
    </row>
    <row r="22" spans="2:4">
      <c r="B22" s="2">
        <f t="shared" si="1"/>
        <v>0.44999999999999996</v>
      </c>
      <c r="C22">
        <f t="shared" si="2"/>
        <v>1</v>
      </c>
      <c r="D22">
        <f t="shared" si="0"/>
        <v>0.44999999999999996</v>
      </c>
    </row>
    <row r="23" spans="2:4">
      <c r="B23" s="2">
        <f t="shared" si="1"/>
        <v>0.49999999999999994</v>
      </c>
      <c r="C23">
        <f t="shared" si="2"/>
        <v>1</v>
      </c>
      <c r="D23">
        <f t="shared" si="0"/>
        <v>0.49999999999999994</v>
      </c>
    </row>
    <row r="24" spans="2:4">
      <c r="B24" s="2">
        <f t="shared" si="1"/>
        <v>0.54999999999999993</v>
      </c>
      <c r="C24">
        <f t="shared" si="2"/>
        <v>1</v>
      </c>
      <c r="D24">
        <f t="shared" si="0"/>
        <v>0.54999999999999993</v>
      </c>
    </row>
    <row r="25" spans="2:4">
      <c r="B25" s="2">
        <f t="shared" si="1"/>
        <v>0.6</v>
      </c>
      <c r="C25">
        <f t="shared" si="2"/>
        <v>1</v>
      </c>
      <c r="D25">
        <f t="shared" si="0"/>
        <v>0.6</v>
      </c>
    </row>
    <row r="26" spans="2:4">
      <c r="B26" s="2">
        <f t="shared" si="1"/>
        <v>0.65</v>
      </c>
      <c r="C26">
        <f t="shared" si="2"/>
        <v>1</v>
      </c>
      <c r="D26">
        <f t="shared" si="0"/>
        <v>0.65</v>
      </c>
    </row>
    <row r="27" spans="2:4">
      <c r="B27" s="2">
        <f t="shared" si="1"/>
        <v>0.70000000000000007</v>
      </c>
      <c r="C27">
        <f t="shared" si="2"/>
        <v>1</v>
      </c>
      <c r="D27">
        <f t="shared" si="0"/>
        <v>0.70000000000000007</v>
      </c>
    </row>
    <row r="28" spans="2:4">
      <c r="B28" s="2">
        <f t="shared" si="1"/>
        <v>0.75000000000000011</v>
      </c>
      <c r="C28">
        <f t="shared" si="2"/>
        <v>1</v>
      </c>
      <c r="D28">
        <f t="shared" si="0"/>
        <v>0.75000000000000011</v>
      </c>
    </row>
    <row r="29" spans="2:4">
      <c r="B29" s="2">
        <f t="shared" si="1"/>
        <v>0.80000000000000016</v>
      </c>
      <c r="C29">
        <f t="shared" si="2"/>
        <v>1</v>
      </c>
      <c r="D29">
        <f t="shared" si="0"/>
        <v>0.80000000000000016</v>
      </c>
    </row>
    <row r="30" spans="2:4">
      <c r="B30" s="2">
        <f>B29+5%</f>
        <v>0.8500000000000002</v>
      </c>
      <c r="C30">
        <f t="shared" si="2"/>
        <v>1</v>
      </c>
      <c r="D30">
        <f t="shared" si="0"/>
        <v>0.8500000000000002</v>
      </c>
    </row>
    <row r="31" spans="2:4">
      <c r="B31" s="2">
        <f t="shared" si="1"/>
        <v>0.90000000000000024</v>
      </c>
      <c r="C31">
        <f t="shared" si="2"/>
        <v>1</v>
      </c>
      <c r="D31">
        <f t="shared" si="0"/>
        <v>0.90000000000000024</v>
      </c>
    </row>
    <row r="32" spans="2:4">
      <c r="B32" s="2">
        <f t="shared" si="1"/>
        <v>0.95000000000000029</v>
      </c>
      <c r="C32">
        <f t="shared" si="2"/>
        <v>1</v>
      </c>
      <c r="D32">
        <f t="shared" si="0"/>
        <v>0.95000000000000029</v>
      </c>
    </row>
    <row r="33" spans="2:4">
      <c r="B33" s="2">
        <v>0.99</v>
      </c>
      <c r="C33">
        <f t="shared" si="2"/>
        <v>1</v>
      </c>
      <c r="D33">
        <f t="shared" si="0"/>
        <v>0.99</v>
      </c>
    </row>
    <row r="34" spans="2:4">
      <c r="B34" s="2"/>
    </row>
    <row r="35" spans="2:4">
      <c r="B35" s="2"/>
    </row>
    <row r="36" spans="2:4">
      <c r="B36" s="2"/>
    </row>
  </sheetData>
  <sheetProtection sheet="1" objects="1" scenarios="1" selectLockedCells="1"/>
  <pageMargins left="0.7" right="0.7" top="0.75" bottom="0.75" header="0.3" footer="0.3"/>
  <pageSetup scale="77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D36"/>
  <sheetViews>
    <sheetView workbookViewId="0">
      <selection activeCell="C3" sqref="C3"/>
    </sheetView>
  </sheetViews>
  <sheetFormatPr baseColWidth="10" defaultColWidth="9.1640625" defaultRowHeight="14" x14ac:dyDescent="0"/>
  <cols>
    <col min="2" max="2" width="11" customWidth="1"/>
    <col min="3" max="3" width="14.5" customWidth="1"/>
    <col min="4" max="4" width="17" customWidth="1"/>
  </cols>
  <sheetData>
    <row r="2" spans="1:4">
      <c r="A2" s="3" t="s">
        <v>6</v>
      </c>
    </row>
    <row r="3" spans="1:4">
      <c r="B3" t="s">
        <v>3</v>
      </c>
      <c r="C3" s="7">
        <v>1</v>
      </c>
    </row>
    <row r="4" spans="1:4">
      <c r="B4" t="s">
        <v>4</v>
      </c>
      <c r="C4" s="7">
        <v>1</v>
      </c>
    </row>
    <row r="5" spans="1:4">
      <c r="A5" s="3" t="s">
        <v>5</v>
      </c>
    </row>
    <row r="6" spans="1:4">
      <c r="B6" t="s">
        <v>9</v>
      </c>
      <c r="C6" s="7">
        <v>3</v>
      </c>
    </row>
    <row r="7" spans="1:4">
      <c r="B7" t="s">
        <v>10</v>
      </c>
      <c r="C7" s="7">
        <v>7</v>
      </c>
    </row>
    <row r="8" spans="1:4">
      <c r="A8" s="3" t="s">
        <v>7</v>
      </c>
    </row>
    <row r="9" spans="1:4">
      <c r="B9" t="s">
        <v>1</v>
      </c>
      <c r="C9">
        <f>C3+C6</f>
        <v>4</v>
      </c>
    </row>
    <row r="10" spans="1:4">
      <c r="B10" t="s">
        <v>2</v>
      </c>
      <c r="C10">
        <f>C4+C7</f>
        <v>8</v>
      </c>
    </row>
    <row r="11" spans="1:4">
      <c r="A11" s="3" t="s">
        <v>8</v>
      </c>
    </row>
    <row r="12" spans="1:4" ht="28.5" customHeight="1">
      <c r="B12" s="4" t="s">
        <v>0</v>
      </c>
      <c r="C12" s="6" t="s">
        <v>11</v>
      </c>
      <c r="D12" s="5" t="s">
        <v>12</v>
      </c>
    </row>
    <row r="13" spans="1:4">
      <c r="B13" s="1">
        <v>0.01</v>
      </c>
      <c r="C13">
        <f>_xlfn.BETA.DIST(B13,$C$9,$C$10,FALSE)</f>
        <v>1.2303262592372275E-3</v>
      </c>
      <c r="D13">
        <f>_xlfn.BETA.DIST(B13,$C$9,$C$10,TRUE)</f>
        <v>3.1197545744292525E-6</v>
      </c>
    </row>
    <row r="14" spans="1:4">
      <c r="B14" s="2">
        <v>0.05</v>
      </c>
      <c r="C14">
        <f>_xlfn.BETA.DIST(B14,$C$9,$C$10,FALSE)</f>
        <v>0.11522565385546875</v>
      </c>
      <c r="D14">
        <f t="shared" ref="D14:D33" si="0">_xlfn.BETA.DIST(B14,$C$9,$C$10,TRUE)</f>
        <v>1.5522509099609482E-3</v>
      </c>
    </row>
    <row r="15" spans="1:4">
      <c r="B15" s="2">
        <f t="shared" ref="B15:B32" si="1">B14+5%</f>
        <v>0.1</v>
      </c>
      <c r="C15">
        <f t="shared" ref="C15:C33" si="2">_xlfn.BETA.DIST(B15,$C$9,$C$10,FALSE)</f>
        <v>0.63135190799999996</v>
      </c>
      <c r="D15">
        <f t="shared" si="0"/>
        <v>1.8534761199999993E-2</v>
      </c>
    </row>
    <row r="16" spans="1:4">
      <c r="B16" s="2">
        <f t="shared" si="1"/>
        <v>0.15000000000000002</v>
      </c>
      <c r="C16">
        <f t="shared" si="2"/>
        <v>1.4281709282929695</v>
      </c>
      <c r="D16">
        <f t="shared" si="0"/>
        <v>6.944485699160162E-2</v>
      </c>
    </row>
    <row r="17" spans="2:4">
      <c r="B17" s="2">
        <f t="shared" si="1"/>
        <v>0.2</v>
      </c>
      <c r="C17">
        <f t="shared" si="2"/>
        <v>2.2145925120000007</v>
      </c>
      <c r="D17">
        <f t="shared" si="0"/>
        <v>0.16113919999999998</v>
      </c>
    </row>
    <row r="18" spans="2:4">
      <c r="B18" s="2">
        <f t="shared" si="1"/>
        <v>0.25</v>
      </c>
      <c r="C18">
        <f t="shared" si="2"/>
        <v>2.7531051635742196</v>
      </c>
      <c r="D18">
        <f t="shared" si="0"/>
        <v>0.2866954803466798</v>
      </c>
    </row>
    <row r="19" spans="2:4">
      <c r="B19" s="2">
        <f t="shared" si="1"/>
        <v>0.3</v>
      </c>
      <c r="C19">
        <f t="shared" si="2"/>
        <v>2.9351072520000008</v>
      </c>
      <c r="D19">
        <f t="shared" si="0"/>
        <v>0.43043766120000004</v>
      </c>
    </row>
    <row r="20" spans="2:4">
      <c r="B20" s="2">
        <f t="shared" si="1"/>
        <v>0.35</v>
      </c>
      <c r="C20">
        <f t="shared" si="2"/>
        <v>2.7744158746992191</v>
      </c>
      <c r="D20">
        <f t="shared" si="0"/>
        <v>0.57444985238457058</v>
      </c>
    </row>
    <row r="21" spans="2:4">
      <c r="B21" s="2">
        <f t="shared" si="1"/>
        <v>0.39999999999999997</v>
      </c>
      <c r="C21">
        <f t="shared" si="2"/>
        <v>2.3648993280000012</v>
      </c>
      <c r="D21">
        <f t="shared" si="0"/>
        <v>0.70371573759999961</v>
      </c>
    </row>
    <row r="22" spans="2:4">
      <c r="B22" s="2">
        <f t="shared" si="1"/>
        <v>0.44999999999999996</v>
      </c>
      <c r="C22">
        <f t="shared" si="2"/>
        <v>1.8312612216679689</v>
      </c>
      <c r="D22">
        <f t="shared" si="0"/>
        <v>0.80887728676464843</v>
      </c>
    </row>
    <row r="23" spans="2:4">
      <c r="B23" s="2">
        <f t="shared" si="1"/>
        <v>0.49999999999999994</v>
      </c>
      <c r="C23">
        <f t="shared" si="2"/>
        <v>1.2890625000000009</v>
      </c>
      <c r="D23">
        <f t="shared" si="0"/>
        <v>0.88671875</v>
      </c>
    </row>
    <row r="24" spans="2:4">
      <c r="B24" s="2">
        <f t="shared" si="1"/>
        <v>0.54999999999999993</v>
      </c>
      <c r="C24">
        <f t="shared" si="2"/>
        <v>0.82063416948046941</v>
      </c>
      <c r="D24">
        <f t="shared" si="0"/>
        <v>0.93903676289628901</v>
      </c>
    </row>
    <row r="25" spans="2:4">
      <c r="B25" s="2">
        <f t="shared" si="1"/>
        <v>0.6</v>
      </c>
      <c r="C25">
        <f t="shared" si="2"/>
        <v>0.46714060800000007</v>
      </c>
      <c r="D25">
        <f t="shared" si="0"/>
        <v>0.97071851519999997</v>
      </c>
    </row>
    <row r="26" spans="2:4">
      <c r="B26" s="2">
        <f t="shared" si="1"/>
        <v>0.65</v>
      </c>
      <c r="C26">
        <f t="shared" si="2"/>
        <v>0.23323316813671879</v>
      </c>
      <c r="D26">
        <f t="shared" si="0"/>
        <v>0.98775767943886716</v>
      </c>
    </row>
    <row r="27" spans="2:4">
      <c r="B27" s="2">
        <f t="shared" si="1"/>
        <v>0.70000000000000007</v>
      </c>
      <c r="C27">
        <f t="shared" si="2"/>
        <v>9.9018611999999909E-2</v>
      </c>
      <c r="D27">
        <f t="shared" si="0"/>
        <v>0.99570910600000007</v>
      </c>
    </row>
    <row r="28" spans="2:4">
      <c r="B28" s="2">
        <f t="shared" si="1"/>
        <v>0.75000000000000011</v>
      </c>
      <c r="C28">
        <f t="shared" si="2"/>
        <v>3.3988952636718674E-2</v>
      </c>
      <c r="D28">
        <f t="shared" si="0"/>
        <v>0.99881172180175781</v>
      </c>
    </row>
    <row r="29" spans="2:4">
      <c r="B29" s="2">
        <f t="shared" si="1"/>
        <v>0.80000000000000016</v>
      </c>
      <c r="C29">
        <f t="shared" si="2"/>
        <v>8.6507519999999595E-3</v>
      </c>
      <c r="D29">
        <f t="shared" si="0"/>
        <v>0.99976478719999995</v>
      </c>
    </row>
    <row r="30" spans="2:4">
      <c r="B30" s="2">
        <f>B29+5%</f>
        <v>0.8500000000000002</v>
      </c>
      <c r="C30">
        <f t="shared" si="2"/>
        <v>1.3850629804687362E-3</v>
      </c>
      <c r="D30">
        <f t="shared" si="0"/>
        <v>0.9999724476443359</v>
      </c>
    </row>
    <row r="31" spans="2:4">
      <c r="B31" s="2">
        <f t="shared" si="1"/>
        <v>0.90000000000000024</v>
      </c>
      <c r="C31">
        <f t="shared" si="2"/>
        <v>9.6227999999998564E-5</v>
      </c>
      <c r="D31">
        <f t="shared" si="0"/>
        <v>0.99999875159999996</v>
      </c>
    </row>
    <row r="32" spans="2:4">
      <c r="B32" s="2">
        <f t="shared" si="1"/>
        <v>0.95000000000000029</v>
      </c>
      <c r="C32">
        <f t="shared" si="2"/>
        <v>8.8416796874996657E-7</v>
      </c>
      <c r="D32">
        <f t="shared" si="0"/>
        <v>0.99999999437597653</v>
      </c>
    </row>
    <row r="33" spans="2:4">
      <c r="B33" s="2">
        <v>0.99</v>
      </c>
      <c r="C33">
        <f t="shared" si="2"/>
        <v>1.2807946800000035E-11</v>
      </c>
      <c r="D33">
        <f t="shared" si="0"/>
        <v>0.99999999999998401</v>
      </c>
    </row>
    <row r="34" spans="2:4">
      <c r="B34" s="2"/>
    </row>
    <row r="35" spans="2:4">
      <c r="B35" s="2"/>
    </row>
    <row r="36" spans="2:4">
      <c r="B36" s="2"/>
    </row>
  </sheetData>
  <sheetProtection sheet="1" objects="1" scenarios="1" selectLockedCells="1"/>
  <pageMargins left="0.7" right="0.7" top="0.75" bottom="0.75" header="0.3" footer="0.3"/>
  <pageSetup scale="77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E36"/>
  <sheetViews>
    <sheetView workbookViewId="0">
      <selection activeCell="C8" sqref="C8"/>
    </sheetView>
  </sheetViews>
  <sheetFormatPr baseColWidth="10" defaultColWidth="9.1640625" defaultRowHeight="14" x14ac:dyDescent="0"/>
  <cols>
    <col min="2" max="2" width="11" customWidth="1"/>
    <col min="3" max="3" width="14.5" customWidth="1"/>
    <col min="4" max="4" width="17" customWidth="1"/>
  </cols>
  <sheetData>
    <row r="2" spans="1:5">
      <c r="A2" s="3" t="s">
        <v>6</v>
      </c>
    </row>
    <row r="3" spans="1:5">
      <c r="B3" t="s">
        <v>3</v>
      </c>
      <c r="C3" s="7">
        <v>1</v>
      </c>
    </row>
    <row r="4" spans="1:5">
      <c r="B4" t="s">
        <v>4</v>
      </c>
      <c r="C4" s="7">
        <v>1</v>
      </c>
    </row>
    <row r="5" spans="1:5">
      <c r="A5" s="3" t="s">
        <v>5</v>
      </c>
    </row>
    <row r="6" spans="1:5">
      <c r="B6" t="s">
        <v>9</v>
      </c>
      <c r="C6" s="7">
        <v>0</v>
      </c>
    </row>
    <row r="7" spans="1:5">
      <c r="B7" t="s">
        <v>10</v>
      </c>
      <c r="C7" s="7">
        <v>0</v>
      </c>
    </row>
    <row r="8" spans="1:5">
      <c r="A8" s="3" t="s">
        <v>7</v>
      </c>
    </row>
    <row r="9" spans="1:5">
      <c r="B9" t="s">
        <v>1</v>
      </c>
      <c r="C9">
        <f>C3+C6</f>
        <v>1</v>
      </c>
    </row>
    <row r="10" spans="1:5">
      <c r="B10" t="s">
        <v>2</v>
      </c>
      <c r="C10">
        <f>C4+C7</f>
        <v>1</v>
      </c>
    </row>
    <row r="11" spans="1:5">
      <c r="A11" s="3" t="s">
        <v>8</v>
      </c>
    </row>
    <row r="12" spans="1:5" ht="28.5" customHeight="1">
      <c r="B12" s="4" t="s">
        <v>0</v>
      </c>
      <c r="C12" s="5" t="s">
        <v>12</v>
      </c>
      <c r="D12" s="5" t="s">
        <v>0</v>
      </c>
      <c r="E12" s="6" t="s">
        <v>11</v>
      </c>
    </row>
    <row r="13" spans="1:5">
      <c r="B13" s="1">
        <v>0.01</v>
      </c>
      <c r="C13">
        <f>_xlfn.BETA.DIST(B13,$C$9,$C$10,TRUE)</f>
        <v>1.0000000000000004E-2</v>
      </c>
      <c r="D13">
        <f>(B14+B13)/2</f>
        <v>3.0000000000000002E-2</v>
      </c>
      <c r="E13">
        <f>(C14-C13)/(B14-B13)</f>
        <v>1.0000000000000002</v>
      </c>
    </row>
    <row r="14" spans="1:5">
      <c r="B14" s="2">
        <v>0.05</v>
      </c>
      <c r="C14">
        <f t="shared" ref="C14:C32" si="0">_xlfn.BETA.DIST(B14,$C$9,$C$10,TRUE)</f>
        <v>5.000000000000001E-2</v>
      </c>
      <c r="D14">
        <f t="shared" ref="D14:D32" si="1">(B15+B14)/2</f>
        <v>7.5000000000000011E-2</v>
      </c>
      <c r="E14">
        <f t="shared" ref="E14:E33" si="2">(C15-C14)/(B15-B14)</f>
        <v>1.0000000000000002</v>
      </c>
    </row>
    <row r="15" spans="1:5">
      <c r="B15" s="2">
        <f t="shared" ref="B15:B32" si="3">B14+5%</f>
        <v>0.1</v>
      </c>
      <c r="C15">
        <f t="shared" si="0"/>
        <v>0.10000000000000002</v>
      </c>
      <c r="D15">
        <f t="shared" si="1"/>
        <v>0.125</v>
      </c>
      <c r="E15">
        <f t="shared" si="2"/>
        <v>0.99999999999999978</v>
      </c>
    </row>
    <row r="16" spans="1:5">
      <c r="B16" s="2">
        <f t="shared" si="3"/>
        <v>0.15000000000000002</v>
      </c>
      <c r="C16">
        <f t="shared" si="0"/>
        <v>0.15000000000000002</v>
      </c>
      <c r="D16">
        <f t="shared" si="1"/>
        <v>0.17500000000000002</v>
      </c>
      <c r="E16">
        <f t="shared" si="2"/>
        <v>1</v>
      </c>
    </row>
    <row r="17" spans="2:5">
      <c r="B17" s="2">
        <f t="shared" si="3"/>
        <v>0.2</v>
      </c>
      <c r="C17">
        <f t="shared" si="0"/>
        <v>0.2</v>
      </c>
      <c r="D17">
        <f t="shared" si="1"/>
        <v>0.22500000000000001</v>
      </c>
      <c r="E17">
        <f t="shared" si="2"/>
        <v>1</v>
      </c>
    </row>
    <row r="18" spans="2:5">
      <c r="B18" s="2">
        <f t="shared" si="3"/>
        <v>0.25</v>
      </c>
      <c r="C18">
        <f t="shared" si="0"/>
        <v>0.25</v>
      </c>
      <c r="D18">
        <f t="shared" si="1"/>
        <v>0.27500000000000002</v>
      </c>
      <c r="E18">
        <f t="shared" si="2"/>
        <v>1</v>
      </c>
    </row>
    <row r="19" spans="2:5">
      <c r="B19" s="2">
        <f t="shared" si="3"/>
        <v>0.3</v>
      </c>
      <c r="C19">
        <f t="shared" si="0"/>
        <v>0.3</v>
      </c>
      <c r="D19">
        <f t="shared" si="1"/>
        <v>0.32499999999999996</v>
      </c>
      <c r="E19">
        <f t="shared" si="2"/>
        <v>0.99999999999999889</v>
      </c>
    </row>
    <row r="20" spans="2:5">
      <c r="B20" s="2">
        <f t="shared" si="3"/>
        <v>0.35</v>
      </c>
      <c r="C20">
        <f t="shared" si="0"/>
        <v>0.34999999999999992</v>
      </c>
      <c r="D20">
        <f t="shared" si="1"/>
        <v>0.375</v>
      </c>
      <c r="E20">
        <f t="shared" si="2"/>
        <v>1.0000000000000011</v>
      </c>
    </row>
    <row r="21" spans="2:5">
      <c r="B21" s="2">
        <f t="shared" si="3"/>
        <v>0.39999999999999997</v>
      </c>
      <c r="C21">
        <f t="shared" si="0"/>
        <v>0.39999999999999997</v>
      </c>
      <c r="D21">
        <f t="shared" si="1"/>
        <v>0.42499999999999993</v>
      </c>
      <c r="E21">
        <f t="shared" si="2"/>
        <v>1</v>
      </c>
    </row>
    <row r="22" spans="2:5">
      <c r="B22" s="2">
        <f t="shared" si="3"/>
        <v>0.44999999999999996</v>
      </c>
      <c r="C22">
        <f t="shared" si="0"/>
        <v>0.44999999999999996</v>
      </c>
      <c r="D22">
        <f t="shared" si="1"/>
        <v>0.47499999999999998</v>
      </c>
      <c r="E22">
        <f t="shared" si="2"/>
        <v>1</v>
      </c>
    </row>
    <row r="23" spans="2:5">
      <c r="B23" s="2">
        <f t="shared" si="3"/>
        <v>0.49999999999999994</v>
      </c>
      <c r="C23">
        <f t="shared" si="0"/>
        <v>0.49999999999999994</v>
      </c>
      <c r="D23">
        <f t="shared" si="1"/>
        <v>0.52499999999999991</v>
      </c>
      <c r="E23">
        <f t="shared" si="2"/>
        <v>1</v>
      </c>
    </row>
    <row r="24" spans="2:5">
      <c r="B24" s="2">
        <f t="shared" si="3"/>
        <v>0.54999999999999993</v>
      </c>
      <c r="C24">
        <f t="shared" si="0"/>
        <v>0.54999999999999993</v>
      </c>
      <c r="D24">
        <f t="shared" si="1"/>
        <v>0.57499999999999996</v>
      </c>
      <c r="E24">
        <f t="shared" si="2"/>
        <v>1</v>
      </c>
    </row>
    <row r="25" spans="2:5">
      <c r="B25" s="2">
        <f t="shared" si="3"/>
        <v>0.6</v>
      </c>
      <c r="C25">
        <f t="shared" si="0"/>
        <v>0.6</v>
      </c>
      <c r="D25">
        <f t="shared" si="1"/>
        <v>0.625</v>
      </c>
      <c r="E25">
        <f t="shared" si="2"/>
        <v>1</v>
      </c>
    </row>
    <row r="26" spans="2:5">
      <c r="B26" s="2">
        <f t="shared" si="3"/>
        <v>0.65</v>
      </c>
      <c r="C26">
        <f t="shared" si="0"/>
        <v>0.65</v>
      </c>
      <c r="D26">
        <f t="shared" si="1"/>
        <v>0.67500000000000004</v>
      </c>
      <c r="E26">
        <f t="shared" si="2"/>
        <v>1</v>
      </c>
    </row>
    <row r="27" spans="2:5">
      <c r="B27" s="2">
        <f t="shared" si="3"/>
        <v>0.70000000000000007</v>
      </c>
      <c r="C27">
        <f t="shared" si="0"/>
        <v>0.70000000000000007</v>
      </c>
      <c r="D27">
        <f t="shared" si="1"/>
        <v>0.72500000000000009</v>
      </c>
      <c r="E27">
        <f t="shared" si="2"/>
        <v>1</v>
      </c>
    </row>
    <row r="28" spans="2:5">
      <c r="B28" s="2">
        <f t="shared" si="3"/>
        <v>0.75000000000000011</v>
      </c>
      <c r="C28">
        <f t="shared" si="0"/>
        <v>0.75000000000000011</v>
      </c>
      <c r="D28">
        <f t="shared" si="1"/>
        <v>0.77500000000000013</v>
      </c>
      <c r="E28">
        <f t="shared" si="2"/>
        <v>1</v>
      </c>
    </row>
    <row r="29" spans="2:5">
      <c r="B29" s="2">
        <f t="shared" si="3"/>
        <v>0.80000000000000016</v>
      </c>
      <c r="C29">
        <f t="shared" si="0"/>
        <v>0.80000000000000016</v>
      </c>
      <c r="D29">
        <f t="shared" si="1"/>
        <v>0.82500000000000018</v>
      </c>
      <c r="E29">
        <f t="shared" si="2"/>
        <v>1</v>
      </c>
    </row>
    <row r="30" spans="2:5">
      <c r="B30" s="2">
        <f>B29+5%</f>
        <v>0.8500000000000002</v>
      </c>
      <c r="C30">
        <f t="shared" si="0"/>
        <v>0.8500000000000002</v>
      </c>
      <c r="D30">
        <f t="shared" si="1"/>
        <v>0.87500000000000022</v>
      </c>
      <c r="E30">
        <f t="shared" si="2"/>
        <v>1</v>
      </c>
    </row>
    <row r="31" spans="2:5">
      <c r="B31" s="2">
        <f t="shared" si="3"/>
        <v>0.90000000000000024</v>
      </c>
      <c r="C31">
        <f t="shared" si="0"/>
        <v>0.90000000000000024</v>
      </c>
      <c r="D31">
        <f t="shared" si="1"/>
        <v>0.92500000000000027</v>
      </c>
      <c r="E31">
        <f t="shared" si="2"/>
        <v>1</v>
      </c>
    </row>
    <row r="32" spans="2:5">
      <c r="B32" s="2">
        <f t="shared" si="3"/>
        <v>0.95000000000000029</v>
      </c>
      <c r="C32">
        <f t="shared" si="0"/>
        <v>0.95000000000000029</v>
      </c>
      <c r="D32">
        <f t="shared" si="1"/>
        <v>0.9700000000000002</v>
      </c>
      <c r="E32">
        <f t="shared" si="2"/>
        <v>1</v>
      </c>
    </row>
    <row r="33" spans="2:5">
      <c r="B33" s="2">
        <v>0.99</v>
      </c>
      <c r="C33">
        <f t="shared" ref="C33:C34" si="4">_xlfn.BETA.DIST(B33,$C$9,$C$10,TRUE)</f>
        <v>0.99</v>
      </c>
      <c r="D33">
        <f t="shared" ref="D33" si="5">(B34+B33)/2</f>
        <v>0.995</v>
      </c>
      <c r="E33">
        <f t="shared" si="2"/>
        <v>1</v>
      </c>
    </row>
    <row r="34" spans="2:5">
      <c r="B34" s="2">
        <v>1</v>
      </c>
      <c r="C34">
        <f t="shared" si="4"/>
        <v>1</v>
      </c>
    </row>
    <row r="35" spans="2:5">
      <c r="B35" s="2"/>
    </row>
    <row r="36" spans="2:5">
      <c r="B36" s="2"/>
    </row>
  </sheetData>
  <sheetProtection selectLockedCells="1"/>
  <pageMargins left="0.7" right="0.7" top="0.75" bottom="0.75" header="0.3" footer="0.3"/>
  <pageSetup scale="77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Beta Office 2010</vt:lpstr>
      <vt:lpstr>Urne - Apriori</vt:lpstr>
      <vt:lpstr>Urne - Aposteriori</vt:lpstr>
      <vt:lpstr>Beta Office 2007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2019-09-09T20:40:46Z</dcterms:modified>
</cp:coreProperties>
</file>