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/>
  <mc:AlternateContent xmlns:mc="http://schemas.openxmlformats.org/markup-compatibility/2006">
    <mc:Choice Requires="x15">
      <x15ac:absPath xmlns:x15ac="http://schemas.microsoft.com/office/spreadsheetml/2010/11/ac" url="/Users/erickdelage/Dropbox/My Documents/My Classes/MSc_AnalyseDecisions/AD_Automne2022/Lectures/Seance_9/fr/source/"/>
    </mc:Choice>
  </mc:AlternateContent>
  <xr:revisionPtr revIDLastSave="0" documentId="13_ncr:1_{A6E356FC-8860-0D47-BF28-BA266D52DF61}" xr6:coauthVersionLast="47" xr6:coauthVersionMax="47" xr10:uidLastSave="{00000000-0000-0000-0000-000000000000}"/>
  <bookViews>
    <workbookView xWindow="4000" yWindow="2300" windowWidth="20740" windowHeight="11160" xr2:uid="{00000000-000D-0000-FFFF-FFFF00000000}"/>
  </bookViews>
  <sheets>
    <sheet name="données" sheetId="1" r:id="rId1"/>
    <sheet name="utilité multi-attribut" sheetId="4" r:id="rId2"/>
  </sheets>
  <definedNames>
    <definedName name="solver_adj" localSheetId="0" hidden="1">données!$B$13:$B$19</definedName>
    <definedName name="solver_cct" localSheetId="0" hidden="1">20</definedName>
    <definedName name="solver_cct" localSheetId="1" hidden="1">20</definedName>
    <definedName name="solver_cgt" localSheetId="0" hidden="1">1</definedName>
    <definedName name="solver_cgt" localSheetId="1" hidden="1">1</definedName>
    <definedName name="solver_cir1" localSheetId="0" hidden="1">1</definedName>
    <definedName name="solver_cir1" localSheetId="1" hidden="1">1</definedName>
    <definedName name="solver_cir3" localSheetId="0" hidden="1">1</definedName>
    <definedName name="solver_cir3" localSheetId="1" hidden="1">1</definedName>
    <definedName name="solver_con1" localSheetId="0" hidden="1">" "</definedName>
    <definedName name="solver_con1" localSheetId="1" hidden="1">" "</definedName>
    <definedName name="solver_con2" localSheetId="0" hidden="1">" "</definedName>
    <definedName name="solver_con2" localSheetId="1" hidden="1">" "</definedName>
    <definedName name="solver_con3" localSheetId="0" hidden="1">" "</definedName>
    <definedName name="solver_con3" localSheetId="1" hidden="1">" "</definedName>
    <definedName name="solver_cvg" localSheetId="0" hidden="1">0.001</definedName>
    <definedName name="solver_cvg" localSheetId="1" hidden="1">0.001</definedName>
    <definedName name="solver_dia" localSheetId="0" hidden="1">1</definedName>
    <definedName name="solver_dia" localSheetId="1" hidden="1">1</definedName>
    <definedName name="solver_drv" localSheetId="0" hidden="1">1</definedName>
    <definedName name="solver_drv" localSheetId="1" hidden="1">1</definedName>
    <definedName name="solver_dua" localSheetId="0" hidden="1">0</definedName>
    <definedName name="solver_dua" localSheetId="1" hidden="1">0</definedName>
    <definedName name="solver_eng" localSheetId="0" hidden="1">2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gct" localSheetId="0" hidden="1">20</definedName>
    <definedName name="solver_gct" localSheetId="1" hidden="1">20</definedName>
    <definedName name="solver_gop" localSheetId="0" hidden="1">1</definedName>
    <definedName name="solver_gop" localSheetId="1" hidden="1">1</definedName>
    <definedName name="solver_ibd" localSheetId="0" hidden="1">0</definedName>
    <definedName name="solver_ibd" localSheetId="1" hidden="1">0</definedName>
    <definedName name="solver_itr" localSheetId="0" hidden="1">100</definedName>
    <definedName name="solver_itr" localSheetId="1" hidden="1">100</definedName>
    <definedName name="solver_lhs1" localSheetId="0" hidden="1">données!$B$20</definedName>
    <definedName name="solver_lhs1" localSheetId="1" hidden="1">'utilité multi-attribut'!$B$20</definedName>
    <definedName name="solver_lhs2" localSheetId="0" hidden="1">données!$B$13:$B$19</definedName>
    <definedName name="solver_lhs2" localSheetId="1" hidden="1">'utilité multi-attribut'!$B$13:$B$19</definedName>
    <definedName name="solver_lhs3" localSheetId="0" hidden="1">données!$B$20</definedName>
    <definedName name="solver_lhs3" localSheetId="1" hidden="1">'utilité multi-attribut'!$B$20</definedName>
    <definedName name="solver_lin" localSheetId="0" hidden="1">1</definedName>
    <definedName name="solver_lin" localSheetId="1" hidden="1">2</definedName>
    <definedName name="solver_lva" localSheetId="0" hidden="1">0</definedName>
    <definedName name="solver_lva" localSheetId="1" hidden="1">0</definedName>
    <definedName name="solver_mip" localSheetId="0" hidden="1">5000</definedName>
    <definedName name="solver_mip" localSheetId="1" hidden="1">5000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5000</definedName>
    <definedName name="solver_nod" localSheetId="1" hidden="1">5000</definedName>
    <definedName name="solver_num" localSheetId="0" hidden="1">2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fx" localSheetId="0" hidden="1">0</definedName>
    <definedName name="solver_ofx" localSheetId="1" hidden="1">0</definedName>
    <definedName name="solver_opt" localSheetId="1" hidden="1">'utilité multi-attribut'!$J$26</definedName>
    <definedName name="solver_phr" localSheetId="0" hidden="1">0</definedName>
    <definedName name="solver_phr" localSheetId="1" hidden="1">0</definedName>
    <definedName name="solver_piv" localSheetId="0" hidden="1">0.000001</definedName>
    <definedName name="solver_piv" localSheetId="1" hidden="1">0.000001</definedName>
    <definedName name="solver_pre" localSheetId="0" hidden="1">0.000001</definedName>
    <definedName name="solver_pre" localSheetId="1" hidden="1">0.000001</definedName>
    <definedName name="solver_pro" localSheetId="0" hidden="1">0</definedName>
    <definedName name="solver_pro" localSheetId="1" hidden="1">0</definedName>
    <definedName name="solver_psi" localSheetId="0" hidden="1">0</definedName>
    <definedName name="solver_psi" localSheetId="1" hidden="1">0</definedName>
    <definedName name="solver_rbv" localSheetId="0" hidden="1">2</definedName>
    <definedName name="solver_rbv" localSheetId="1" hidden="1">2</definedName>
    <definedName name="solver_red" localSheetId="0" hidden="1">0.000001</definedName>
    <definedName name="solver_red" localSheetId="1" hidden="1">0.000001</definedName>
    <definedName name="solver_rel1" localSheetId="0" hidden="1">2</definedName>
    <definedName name="solver_rel1" localSheetId="1" hidden="1">2</definedName>
    <definedName name="solver_rel2" localSheetId="0" hidden="1">1</definedName>
    <definedName name="solver_rel2" localSheetId="1" hidden="1">1</definedName>
    <definedName name="solver_rel3" localSheetId="0" hidden="1">2</definedName>
    <definedName name="solver_rel3" localSheetId="1" hidden="1">2</definedName>
    <definedName name="solver_rep" localSheetId="0" hidden="1">0</definedName>
    <definedName name="solver_rep" localSheetId="1" hidden="1">0</definedName>
    <definedName name="solver_rhs1" localSheetId="0" hidden="1">données!$D$20</definedName>
    <definedName name="solver_rhs1" localSheetId="1" hidden="1">'utilité multi-attribut'!$D$20</definedName>
    <definedName name="solver_rhs2" localSheetId="0" hidden="1">données!$C$13:$C$19</definedName>
    <definedName name="solver_rhs2" localSheetId="1" hidden="1">'utilité multi-attribut'!$C$13:$C$19</definedName>
    <definedName name="solver_rhs3" localSheetId="0" hidden="1">données!$D$20</definedName>
    <definedName name="solver_rhs3" localSheetId="1" hidden="1">'utilité multi-attribut'!$D$20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0</definedName>
    <definedName name="solver_ssz" localSheetId="1" hidden="1">0</definedName>
    <definedName name="solver_tim" localSheetId="0" hidden="1">100</definedName>
    <definedName name="solver_tim" localSheetId="1" hidden="1">100</definedName>
    <definedName name="solver_tms" localSheetId="0" hidden="1">0</definedName>
    <definedName name="solver_tms" localSheetId="1" hidden="1">0</definedName>
    <definedName name="solver_tol" localSheetId="0" hidden="1">0.05</definedName>
    <definedName name="solver_tol" localSheetId="1" hidden="1">0.05</definedName>
    <definedName name="solver_typ" localSheetId="0" hidden="1">2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ar" localSheetId="0" hidden="1">" "</definedName>
    <definedName name="solver_var" localSheetId="1" hidden="1">" "</definedName>
    <definedName name="solver_ver" localSheetId="0" hidden="1">3</definedName>
    <definedName name="solver_ver" localSheetId="1" hidden="1">2</definedName>
    <definedName name="solver_vir" localSheetId="0" hidden="1">1</definedName>
    <definedName name="solver_vir" localSheetId="1" hidden="1">1</definedName>
    <definedName name="solver_vol" localSheetId="0" hidden="1">0</definedName>
    <definedName name="solver_vol" localSheetId="1" hidden="1">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2" i="4" l="1"/>
  <c r="D32" i="4"/>
  <c r="E32" i="4"/>
  <c r="F32" i="4"/>
  <c r="B32" i="4"/>
  <c r="E24" i="4"/>
  <c r="E29" i="4" s="1"/>
  <c r="F25" i="4"/>
  <c r="E25" i="4"/>
  <c r="D25" i="4"/>
  <c r="C25" i="4"/>
  <c r="B25" i="4"/>
  <c r="F24" i="4"/>
  <c r="F29" i="4"/>
  <c r="D24" i="4"/>
  <c r="D29" i="4" s="1"/>
  <c r="C24" i="4"/>
  <c r="C29" i="4" s="1"/>
  <c r="B24" i="4"/>
  <c r="B29" i="4" s="1"/>
  <c r="F22" i="4"/>
  <c r="E22" i="4"/>
  <c r="D22" i="4"/>
  <c r="C22" i="4"/>
  <c r="B22" i="4"/>
  <c r="B20" i="4"/>
  <c r="A19" i="4"/>
  <c r="A18" i="4"/>
  <c r="A17" i="4"/>
  <c r="C16" i="4"/>
  <c r="A16" i="4"/>
  <c r="C15" i="4"/>
  <c r="A15" i="4"/>
  <c r="A14" i="4"/>
  <c r="A13" i="4"/>
  <c r="F25" i="1"/>
  <c r="E24" i="1"/>
  <c r="E29" i="1" s="1"/>
  <c r="C24" i="1"/>
  <c r="C29" i="1"/>
  <c r="D24" i="1"/>
  <c r="D29" i="1" s="1"/>
  <c r="F24" i="1"/>
  <c r="F29" i="1"/>
  <c r="B24" i="1"/>
  <c r="B29" i="1" s="1"/>
  <c r="G29" i="1" s="1"/>
  <c r="F22" i="1"/>
  <c r="E25" i="1"/>
  <c r="C25" i="1"/>
  <c r="D25" i="1"/>
  <c r="B25" i="1"/>
  <c r="B20" i="1"/>
  <c r="C16" i="1"/>
  <c r="C15" i="1"/>
  <c r="D22" i="1"/>
  <c r="C22" i="1"/>
  <c r="E22" i="1"/>
  <c r="B22" i="1"/>
  <c r="A19" i="1"/>
  <c r="A18" i="1"/>
  <c r="A17" i="1"/>
  <c r="A16" i="1"/>
  <c r="A15" i="1"/>
  <c r="A14" i="1"/>
  <c r="A13" i="1"/>
  <c r="G29" i="4" l="1"/>
</calcChain>
</file>

<file path=xl/sharedStrings.xml><?xml version="1.0" encoding="utf-8"?>
<sst xmlns="http://schemas.openxmlformats.org/spreadsheetml/2006/main" count="81" uniqueCount="34">
  <si>
    <t>=</t>
  </si>
  <si>
    <t>(max +1 / min -1)</t>
  </si>
  <si>
    <t>Choix</t>
  </si>
  <si>
    <t>Inconvénient pour la population</t>
  </si>
  <si>
    <t>Sécurité</t>
  </si>
  <si>
    <t>Impacte environnemental</t>
  </si>
  <si>
    <t>Ferme de Éoliennes (site 1)</t>
  </si>
  <si>
    <t>Ferme de Éoliennes (site 2)</t>
  </si>
  <si>
    <t>Barrage hydroélectrique (site 1)</t>
  </si>
  <si>
    <t>Barrage hydroélectrique (site 2)</t>
  </si>
  <si>
    <t>Centrale nucléaire</t>
  </si>
  <si>
    <t>Centrale thermique (site 1)</t>
  </si>
  <si>
    <t>Centrale thermique (site 2)</t>
  </si>
  <si>
    <t>Vairables de décisions</t>
  </si>
  <si>
    <t>Maximum</t>
  </si>
  <si>
    <t xml:space="preserve">Coût    </t>
  </si>
  <si>
    <t>(M$ / MW)</t>
  </si>
  <si>
    <t xml:space="preserve">Fiabilité </t>
  </si>
  <si>
    <t>Objectifs:</t>
  </si>
  <si>
    <t>Pire cas atteignable</t>
  </si>
  <si>
    <t>Meilleur cas atteignable</t>
  </si>
  <si>
    <t>Production totale</t>
  </si>
  <si>
    <t>Demande</t>
  </si>
  <si>
    <t>(M$/MW)</t>
  </si>
  <si>
    <t>(cote /MW)</t>
  </si>
  <si>
    <t>Cote*</t>
  </si>
  <si>
    <t>Cote*: 1 = bas, 35 = élevé</t>
  </si>
  <si>
    <t>Capacité</t>
  </si>
  <si>
    <t>Pourcentage d'atteinte du cas idéal</t>
  </si>
  <si>
    <t>Moyenne</t>
  </si>
  <si>
    <t>Utilité marginale quadratique "u(g) = 1- (1-%atteint)^2"</t>
  </si>
  <si>
    <t>Poid</t>
  </si>
  <si>
    <t>Utilité totale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</si>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</sst>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sz val="10"/>
      <color rgb="FF00B050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double">
        <color indexed="34"/>
      </left>
      <right/>
      <top style="double">
        <color indexed="34"/>
      </top>
      <bottom/>
      <diagonal/>
    </border>
    <border>
      <left/>
      <right/>
      <top style="double">
        <color indexed="34"/>
      </top>
      <bottom/>
      <diagonal/>
    </border>
    <border>
      <left/>
      <right style="double">
        <color indexed="34"/>
      </right>
      <top style="double">
        <color indexed="34"/>
      </top>
      <bottom/>
      <diagonal/>
    </border>
    <border>
      <left style="double">
        <color indexed="34"/>
      </left>
      <right/>
      <top/>
      <bottom/>
      <diagonal/>
    </border>
    <border>
      <left/>
      <right style="double">
        <color indexed="34"/>
      </right>
      <top/>
      <bottom/>
      <diagonal/>
    </border>
    <border>
      <left style="double">
        <color indexed="34"/>
      </left>
      <right/>
      <top/>
      <bottom style="double">
        <color indexed="34"/>
      </bottom>
      <diagonal/>
    </border>
    <border>
      <left/>
      <right/>
      <top/>
      <bottom style="double">
        <color indexed="34"/>
      </bottom>
      <diagonal/>
    </border>
    <border>
      <left/>
      <right style="double">
        <color indexed="34"/>
      </right>
      <top/>
      <bottom style="double">
        <color indexed="3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0" xfId="0" applyFont="1"/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1" fillId="4" borderId="0" xfId="0" applyFont="1" applyFill="1"/>
    <xf numFmtId="0" fontId="1" fillId="4" borderId="5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9" fontId="0" fillId="2" borderId="0" xfId="0" applyNumberFormat="1" applyFill="1"/>
    <xf numFmtId="9" fontId="0" fillId="5" borderId="0" xfId="0" applyNumberFormat="1" applyFill="1"/>
    <xf numFmtId="0" fontId="1" fillId="0" borderId="0" xfId="0" applyFont="1" applyAlignment="1">
      <alignment horizontal="center"/>
    </xf>
    <xf numFmtId="0" fontId="3" fillId="0" borderId="0" xfId="0" applyFont="1"/>
    <xf numFmtId="0" fontId="1" fillId="5" borderId="0" xfId="0" applyFont="1" applyFill="1"/>
    <xf numFmtId="2" fontId="1" fillId="0" borderId="0" xfId="0" applyNumberFormat="1" applyFont="1"/>
    <xf numFmtId="0" fontId="1" fillId="0" borderId="0" xfId="0" applyFont="1" applyAlignment="1">
      <alignment horizontal="left" vertical="center" wrapText="1"/>
    </xf>
  </cellXfs>
  <cellStyles count="3">
    <cellStyle name="Normal" xfId="0" builtinId="0"/>
    <cellStyle name="Normal 2" xfId="1" xr:uid="{00000000-0005-0000-0000-000001000000}"/>
    <cellStyle name="Pourcentage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14</xdr:row>
      <xdr:rowOff>47625</xdr:rowOff>
    </xdr:from>
    <xdr:to>
      <xdr:col>11</xdr:col>
      <xdr:colOff>457200</xdr:colOff>
      <xdr:row>21</xdr:row>
      <xdr:rowOff>104775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055225" y="2600325"/>
          <a:ext cx="3762375" cy="1212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A" sz="1100"/>
            <a:t>Étapes</a:t>
          </a:r>
          <a:r>
            <a:rPr lang="fr-CA" sz="1100" baseline="0"/>
            <a:t> à suivre:</a:t>
          </a:r>
        </a:p>
        <a:p>
          <a:r>
            <a:rPr lang="fr-CA" sz="1100" baseline="0"/>
            <a:t>1) Inscrire dans les cellules de la rangée 34:</a:t>
          </a:r>
          <a:endParaRPr lang="fr-CA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CA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B34 : "= 1-(1-B29)^2"</a:t>
          </a:r>
        </a:p>
        <a:p>
          <a:r>
            <a:rPr lang="fr-CA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Inscrire dans la cellule B37</a:t>
          </a:r>
        </a:p>
        <a:p>
          <a:r>
            <a:rPr lang="fr-CA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"=SOMMEPROD(B35:F35;B34:F34)"</a:t>
          </a:r>
        </a:p>
        <a:p>
          <a:r>
            <a:rPr lang="fr-CA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Résoudre à l'aide du Solveur</a:t>
          </a:r>
          <a:endParaRPr lang="fr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A10" workbookViewId="0">
      <selection activeCell="B31" sqref="B31:F32"/>
    </sheetView>
  </sheetViews>
  <sheetFormatPr baseColWidth="10" defaultColWidth="11.5" defaultRowHeight="13" x14ac:dyDescent="0.15"/>
  <cols>
    <col min="1" max="1" width="42.5" customWidth="1"/>
    <col min="2" max="2" width="9.6640625" customWidth="1"/>
    <col min="3" max="3" width="14.5" customWidth="1"/>
    <col min="4" max="4" width="18.83203125" customWidth="1"/>
    <col min="5" max="5" width="15.33203125" customWidth="1"/>
    <col min="6" max="6" width="13.83203125" customWidth="1"/>
  </cols>
  <sheetData>
    <row r="1" spans="1:11" s="6" customFormat="1" ht="28.5" customHeight="1" thickTop="1" x14ac:dyDescent="0.15">
      <c r="A1" s="7" t="s">
        <v>2</v>
      </c>
      <c r="B1" s="11" t="s">
        <v>15</v>
      </c>
      <c r="C1" s="11" t="s">
        <v>5</v>
      </c>
      <c r="D1" s="12" t="s">
        <v>3</v>
      </c>
      <c r="E1" s="11" t="s">
        <v>17</v>
      </c>
      <c r="F1" s="13" t="s">
        <v>4</v>
      </c>
    </row>
    <row r="2" spans="1:11" ht="15" customHeight="1" x14ac:dyDescent="0.15">
      <c r="A2" s="1"/>
      <c r="B2" s="10" t="s">
        <v>16</v>
      </c>
      <c r="C2" s="10" t="s">
        <v>25</v>
      </c>
      <c r="D2" s="10" t="s">
        <v>25</v>
      </c>
      <c r="E2" s="10" t="s">
        <v>25</v>
      </c>
      <c r="F2" s="10" t="s">
        <v>25</v>
      </c>
      <c r="H2" s="26" t="s">
        <v>26</v>
      </c>
      <c r="I2" s="26"/>
      <c r="J2" s="26"/>
      <c r="K2" s="26"/>
    </row>
    <row r="3" spans="1:11" x14ac:dyDescent="0.15">
      <c r="A3" s="1"/>
      <c r="F3" s="2"/>
    </row>
    <row r="4" spans="1:11" x14ac:dyDescent="0.15">
      <c r="A4" s="1" t="s">
        <v>6</v>
      </c>
      <c r="B4" s="16">
        <v>10</v>
      </c>
      <c r="C4" s="16">
        <v>2</v>
      </c>
      <c r="D4" s="16">
        <v>4</v>
      </c>
      <c r="E4" s="16">
        <v>1</v>
      </c>
      <c r="F4" s="17">
        <v>10</v>
      </c>
    </row>
    <row r="5" spans="1:11" x14ac:dyDescent="0.15">
      <c r="A5" s="1" t="s">
        <v>7</v>
      </c>
      <c r="B5" s="16">
        <v>8</v>
      </c>
      <c r="C5" s="16">
        <v>3</v>
      </c>
      <c r="D5" s="16">
        <v>5</v>
      </c>
      <c r="E5" s="16">
        <v>1</v>
      </c>
      <c r="F5" s="17">
        <v>10</v>
      </c>
    </row>
    <row r="6" spans="1:11" x14ac:dyDescent="0.15">
      <c r="A6" s="1" t="s">
        <v>8</v>
      </c>
      <c r="B6" s="16">
        <v>3</v>
      </c>
      <c r="C6" s="16">
        <v>6</v>
      </c>
      <c r="D6" s="16">
        <v>2</v>
      </c>
      <c r="E6" s="16">
        <v>5</v>
      </c>
      <c r="F6" s="17">
        <v>9</v>
      </c>
    </row>
    <row r="7" spans="1:11" x14ac:dyDescent="0.15">
      <c r="A7" s="1" t="s">
        <v>9</v>
      </c>
      <c r="B7" s="16">
        <v>2</v>
      </c>
      <c r="C7" s="16">
        <v>10</v>
      </c>
      <c r="D7" s="16">
        <v>2</v>
      </c>
      <c r="E7" s="16">
        <v>5</v>
      </c>
      <c r="F7" s="17">
        <v>8</v>
      </c>
    </row>
    <row r="8" spans="1:11" x14ac:dyDescent="0.15">
      <c r="A8" s="1" t="s">
        <v>10</v>
      </c>
      <c r="B8" s="16">
        <v>5</v>
      </c>
      <c r="C8" s="16">
        <v>1</v>
      </c>
      <c r="D8" s="16">
        <v>7</v>
      </c>
      <c r="E8" s="16">
        <v>6</v>
      </c>
      <c r="F8" s="17">
        <v>2</v>
      </c>
    </row>
    <row r="9" spans="1:11" x14ac:dyDescent="0.15">
      <c r="A9" s="1" t="s">
        <v>11</v>
      </c>
      <c r="B9" s="16">
        <v>4</v>
      </c>
      <c r="C9" s="16">
        <v>35</v>
      </c>
      <c r="D9" s="16">
        <v>3</v>
      </c>
      <c r="E9" s="16">
        <v>7</v>
      </c>
      <c r="F9" s="17">
        <v>7</v>
      </c>
    </row>
    <row r="10" spans="1:11" ht="14" thickBot="1" x14ac:dyDescent="0.2">
      <c r="A10" s="3" t="s">
        <v>12</v>
      </c>
      <c r="B10" s="18">
        <v>3</v>
      </c>
      <c r="C10" s="18">
        <v>25</v>
      </c>
      <c r="D10" s="18">
        <v>2</v>
      </c>
      <c r="E10" s="18">
        <v>7</v>
      </c>
      <c r="F10" s="19">
        <v>7</v>
      </c>
    </row>
    <row r="11" spans="1:11" ht="14" thickTop="1" x14ac:dyDescent="0.15"/>
    <row r="12" spans="1:11" x14ac:dyDescent="0.15">
      <c r="A12" s="4" t="s">
        <v>13</v>
      </c>
      <c r="B12" s="4" t="s">
        <v>27</v>
      </c>
      <c r="C12" s="4" t="s">
        <v>14</v>
      </c>
    </row>
    <row r="13" spans="1:11" x14ac:dyDescent="0.15">
      <c r="A13" t="str">
        <f t="shared" ref="A13:A19" si="0">A4</f>
        <v>Ferme de Éoliennes (site 1)</v>
      </c>
      <c r="B13" s="9">
        <v>0</v>
      </c>
      <c r="C13" s="16">
        <v>10</v>
      </c>
    </row>
    <row r="14" spans="1:11" x14ac:dyDescent="0.15">
      <c r="A14" t="str">
        <f t="shared" si="0"/>
        <v>Ferme de Éoliennes (site 2)</v>
      </c>
      <c r="B14" s="9">
        <v>0</v>
      </c>
      <c r="C14" s="16">
        <v>10</v>
      </c>
    </row>
    <row r="15" spans="1:11" x14ac:dyDescent="0.15">
      <c r="A15" t="str">
        <f t="shared" si="0"/>
        <v>Barrage hydroélectrique (site 1)</v>
      </c>
      <c r="B15" s="9">
        <v>0</v>
      </c>
      <c r="C15" s="16">
        <f>50</f>
        <v>50</v>
      </c>
    </row>
    <row r="16" spans="1:11" x14ac:dyDescent="0.15">
      <c r="A16" t="str">
        <f t="shared" si="0"/>
        <v>Barrage hydroélectrique (site 2)</v>
      </c>
      <c r="B16" s="9">
        <v>100</v>
      </c>
      <c r="C16" s="16">
        <f>150</f>
        <v>150</v>
      </c>
    </row>
    <row r="17" spans="1:7" x14ac:dyDescent="0.15">
      <c r="A17" t="str">
        <f t="shared" si="0"/>
        <v>Centrale nucléaire</v>
      </c>
      <c r="B17" s="9">
        <v>0</v>
      </c>
      <c r="C17" s="16">
        <v>40</v>
      </c>
    </row>
    <row r="18" spans="1:7" x14ac:dyDescent="0.15">
      <c r="A18" t="str">
        <f t="shared" si="0"/>
        <v>Centrale thermique (site 1)</v>
      </c>
      <c r="B18" s="9">
        <v>0</v>
      </c>
      <c r="C18" s="16">
        <v>50</v>
      </c>
    </row>
    <row r="19" spans="1:7" x14ac:dyDescent="0.15">
      <c r="A19" t="str">
        <f t="shared" si="0"/>
        <v>Centrale thermique (site 2)</v>
      </c>
      <c r="B19" s="9">
        <v>0</v>
      </c>
      <c r="C19" s="16">
        <v>25</v>
      </c>
      <c r="D19" s="14" t="s">
        <v>22</v>
      </c>
    </row>
    <row r="20" spans="1:7" x14ac:dyDescent="0.15">
      <c r="A20" t="s">
        <v>21</v>
      </c>
      <c r="B20">
        <f>SUM(B13:B19)</f>
        <v>100</v>
      </c>
      <c r="C20" t="s">
        <v>0</v>
      </c>
      <c r="D20" s="16">
        <v>100</v>
      </c>
    </row>
    <row r="21" spans="1:7" x14ac:dyDescent="0.15">
      <c r="D21" s="8"/>
    </row>
    <row r="22" spans="1:7" ht="24.75" customHeight="1" x14ac:dyDescent="0.15">
      <c r="A22" s="6"/>
      <c r="B22" s="6" t="str">
        <f>B1</f>
        <v xml:space="preserve">Coût    </v>
      </c>
      <c r="C22" s="6" t="str">
        <f>C1</f>
        <v>Impacte environnemental</v>
      </c>
      <c r="D22" s="6" t="str">
        <f>D1</f>
        <v>Inconvénient pour la population</v>
      </c>
      <c r="E22" s="6" t="str">
        <f>E1</f>
        <v xml:space="preserve">Fiabilité </v>
      </c>
      <c r="F22" s="6" t="str">
        <f>F1</f>
        <v>Sécurité</v>
      </c>
    </row>
    <row r="23" spans="1:7" ht="14.25" customHeight="1" x14ac:dyDescent="0.15">
      <c r="A23" s="6"/>
      <c r="B23" s="15" t="s">
        <v>23</v>
      </c>
      <c r="C23" s="15" t="s">
        <v>24</v>
      </c>
      <c r="D23" s="15" t="s">
        <v>24</v>
      </c>
      <c r="E23" s="15" t="s">
        <v>24</v>
      </c>
      <c r="F23" s="15" t="s">
        <v>24</v>
      </c>
    </row>
    <row r="24" spans="1:7" x14ac:dyDescent="0.15">
      <c r="A24" s="4" t="s">
        <v>18</v>
      </c>
      <c r="B24" s="5">
        <f>SUMPRODUCT($B$13:$B$19,B4:B10)/$D$20</f>
        <v>2</v>
      </c>
      <c r="C24" s="5">
        <f>SUMPRODUCT($B$13:$B$19,C4:C10)/$D$20</f>
        <v>10</v>
      </c>
      <c r="D24" s="5">
        <f>SUMPRODUCT($B$13:$B$19,D4:D10)/$D$20</f>
        <v>2</v>
      </c>
      <c r="E24" s="5">
        <f>SUMPRODUCT($B$13:$B$19,E4:E10)/$D$20</f>
        <v>5</v>
      </c>
      <c r="F24" s="5">
        <f>SUMPRODUCT($B$13:$B$19,F4:F10)/$D$20</f>
        <v>8</v>
      </c>
    </row>
    <row r="25" spans="1:7" x14ac:dyDescent="0.15">
      <c r="A25" s="4" t="s">
        <v>1</v>
      </c>
      <c r="B25" s="16">
        <f>SIGN(B28-B27)</f>
        <v>-1</v>
      </c>
      <c r="C25" s="16">
        <f>SIGN(C28-C27)</f>
        <v>-1</v>
      </c>
      <c r="D25" s="16">
        <f>SIGN(D28-D27)</f>
        <v>-1</v>
      </c>
      <c r="E25" s="16">
        <f>SIGN(E28-E27)</f>
        <v>1</v>
      </c>
      <c r="F25" s="16">
        <f t="shared" ref="F25" si="1">SIGN(F28-F27)</f>
        <v>1</v>
      </c>
    </row>
    <row r="27" spans="1:7" x14ac:dyDescent="0.15">
      <c r="A27" t="s">
        <v>19</v>
      </c>
      <c r="B27" s="16">
        <v>5.4</v>
      </c>
      <c r="C27" s="16">
        <v>26.25</v>
      </c>
      <c r="D27" s="16">
        <v>4.9000000000000004</v>
      </c>
      <c r="E27" s="16">
        <v>4.2</v>
      </c>
      <c r="F27" s="16">
        <v>5</v>
      </c>
    </row>
    <row r="28" spans="1:7" x14ac:dyDescent="0.15">
      <c r="A28" t="s">
        <v>20</v>
      </c>
      <c r="B28" s="16">
        <v>2</v>
      </c>
      <c r="C28" s="16">
        <v>3.3</v>
      </c>
      <c r="D28" s="16">
        <v>2</v>
      </c>
      <c r="E28" s="16">
        <v>6.75</v>
      </c>
      <c r="F28" s="16">
        <v>8.9</v>
      </c>
      <c r="G28" s="22" t="s">
        <v>29</v>
      </c>
    </row>
    <row r="29" spans="1:7" x14ac:dyDescent="0.15">
      <c r="A29" s="4" t="s">
        <v>28</v>
      </c>
      <c r="B29" s="20">
        <f>(B24-B27)/(B28-B27)</f>
        <v>1</v>
      </c>
      <c r="C29" s="20">
        <f>(C24-C27)/(C28-C27)</f>
        <v>0.70806100217864931</v>
      </c>
      <c r="D29" s="20">
        <f>(D24-D27)/(D28-D27)</f>
        <v>1</v>
      </c>
      <c r="E29" s="20">
        <f>(E24-E27)/(E28-E27)</f>
        <v>0.31372549019607837</v>
      </c>
      <c r="F29" s="20">
        <f>(F24-F27)/(F28-F27)</f>
        <v>0.76923076923076916</v>
      </c>
      <c r="G29" s="21">
        <f>AVERAGE(B29:F29)</f>
        <v>0.75820345232109931</v>
      </c>
    </row>
    <row r="31" spans="1:7" x14ac:dyDescent="0.15">
      <c r="A31" s="4"/>
    </row>
    <row r="32" spans="1:7" x14ac:dyDescent="0.15">
      <c r="A32" s="4"/>
    </row>
  </sheetData>
  <mergeCells count="1">
    <mergeCell ref="H2:K2"/>
  </mergeCells>
  <phoneticPr fontId="0" type="noConversion"/>
  <pageMargins left="0.78740157499999996" right="0.78740157499999996" top="0.984251969" bottom="0.984251969" header="0.4921259845" footer="0.492125984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topLeftCell="A19" workbookViewId="0">
      <selection activeCell="D38" sqref="D38"/>
    </sheetView>
  </sheetViews>
  <sheetFormatPr baseColWidth="10" defaultColWidth="11.5" defaultRowHeight="13" x14ac:dyDescent="0.15"/>
  <cols>
    <col min="1" max="1" width="45.6640625" customWidth="1"/>
    <col min="2" max="2" width="9.6640625" customWidth="1"/>
    <col min="3" max="3" width="14.5" customWidth="1"/>
    <col min="4" max="4" width="18.83203125" customWidth="1"/>
    <col min="5" max="5" width="15.33203125" customWidth="1"/>
    <col min="6" max="6" width="13.83203125" customWidth="1"/>
  </cols>
  <sheetData>
    <row r="1" spans="1:11" s="6" customFormat="1" ht="28.5" customHeight="1" thickTop="1" x14ac:dyDescent="0.15">
      <c r="A1" s="7" t="s">
        <v>2</v>
      </c>
      <c r="B1" s="11" t="s">
        <v>15</v>
      </c>
      <c r="C1" s="11" t="s">
        <v>5</v>
      </c>
      <c r="D1" s="12" t="s">
        <v>3</v>
      </c>
      <c r="E1" s="11" t="s">
        <v>17</v>
      </c>
      <c r="F1" s="13" t="s">
        <v>4</v>
      </c>
    </row>
    <row r="2" spans="1:11" ht="15" customHeight="1" x14ac:dyDescent="0.15">
      <c r="A2" s="1"/>
      <c r="B2" s="10" t="s">
        <v>16</v>
      </c>
      <c r="C2" s="10" t="s">
        <v>25</v>
      </c>
      <c r="D2" s="10" t="s">
        <v>25</v>
      </c>
      <c r="E2" s="10" t="s">
        <v>25</v>
      </c>
      <c r="F2" s="10" t="s">
        <v>25</v>
      </c>
      <c r="H2" s="26" t="s">
        <v>26</v>
      </c>
      <c r="I2" s="26"/>
      <c r="J2" s="26"/>
      <c r="K2" s="26"/>
    </row>
    <row r="3" spans="1:11" x14ac:dyDescent="0.15">
      <c r="A3" s="1"/>
      <c r="F3" s="2"/>
    </row>
    <row r="4" spans="1:11" x14ac:dyDescent="0.15">
      <c r="A4" s="1" t="s">
        <v>6</v>
      </c>
      <c r="B4" s="16">
        <v>10</v>
      </c>
      <c r="C4" s="16">
        <v>2</v>
      </c>
      <c r="D4" s="16">
        <v>4</v>
      </c>
      <c r="E4" s="16">
        <v>1</v>
      </c>
      <c r="F4" s="17">
        <v>10</v>
      </c>
    </row>
    <row r="5" spans="1:11" x14ac:dyDescent="0.15">
      <c r="A5" s="1" t="s">
        <v>7</v>
      </c>
      <c r="B5" s="16">
        <v>8</v>
      </c>
      <c r="C5" s="16">
        <v>3</v>
      </c>
      <c r="D5" s="16">
        <v>5</v>
      </c>
      <c r="E5" s="16">
        <v>1</v>
      </c>
      <c r="F5" s="17">
        <v>10</v>
      </c>
    </row>
    <row r="6" spans="1:11" x14ac:dyDescent="0.15">
      <c r="A6" s="1" t="s">
        <v>8</v>
      </c>
      <c r="B6" s="16">
        <v>3</v>
      </c>
      <c r="C6" s="16">
        <v>6</v>
      </c>
      <c r="D6" s="16">
        <v>2</v>
      </c>
      <c r="E6" s="16">
        <v>5</v>
      </c>
      <c r="F6" s="17">
        <v>9</v>
      </c>
    </row>
    <row r="7" spans="1:11" x14ac:dyDescent="0.15">
      <c r="A7" s="1" t="s">
        <v>9</v>
      </c>
      <c r="B7" s="16">
        <v>2</v>
      </c>
      <c r="C7" s="16">
        <v>10</v>
      </c>
      <c r="D7" s="16">
        <v>2</v>
      </c>
      <c r="E7" s="16">
        <v>5</v>
      </c>
      <c r="F7" s="17">
        <v>8</v>
      </c>
    </row>
    <row r="8" spans="1:11" x14ac:dyDescent="0.15">
      <c r="A8" s="1" t="s">
        <v>10</v>
      </c>
      <c r="B8" s="16">
        <v>5</v>
      </c>
      <c r="C8" s="16">
        <v>1</v>
      </c>
      <c r="D8" s="16">
        <v>7</v>
      </c>
      <c r="E8" s="16">
        <v>6</v>
      </c>
      <c r="F8" s="17">
        <v>2</v>
      </c>
    </row>
    <row r="9" spans="1:11" x14ac:dyDescent="0.15">
      <c r="A9" s="1" t="s">
        <v>11</v>
      </c>
      <c r="B9" s="16">
        <v>4</v>
      </c>
      <c r="C9" s="16">
        <v>35</v>
      </c>
      <c r="D9" s="16">
        <v>3</v>
      </c>
      <c r="E9" s="16">
        <v>7</v>
      </c>
      <c r="F9" s="17">
        <v>7</v>
      </c>
    </row>
    <row r="10" spans="1:11" ht="14" thickBot="1" x14ac:dyDescent="0.2">
      <c r="A10" s="3" t="s">
        <v>12</v>
      </c>
      <c r="B10" s="18">
        <v>3</v>
      </c>
      <c r="C10" s="18">
        <v>25</v>
      </c>
      <c r="D10" s="18">
        <v>2</v>
      </c>
      <c r="E10" s="18">
        <v>7</v>
      </c>
      <c r="F10" s="19">
        <v>7</v>
      </c>
    </row>
    <row r="11" spans="1:11" ht="14" thickTop="1" x14ac:dyDescent="0.15"/>
    <row r="12" spans="1:11" x14ac:dyDescent="0.15">
      <c r="A12" s="4" t="s">
        <v>13</v>
      </c>
      <c r="B12" s="4" t="s">
        <v>27</v>
      </c>
      <c r="C12" s="4" t="s">
        <v>14</v>
      </c>
    </row>
    <row r="13" spans="1:11" x14ac:dyDescent="0.15">
      <c r="A13" t="str">
        <f t="shared" ref="A13:A19" si="0">A4</f>
        <v>Ferme de Éoliennes (site 1)</v>
      </c>
      <c r="B13" s="9">
        <v>0</v>
      </c>
      <c r="C13" s="16">
        <v>10</v>
      </c>
    </row>
    <row r="14" spans="1:11" x14ac:dyDescent="0.15">
      <c r="A14" t="str">
        <f t="shared" si="0"/>
        <v>Ferme de Éoliennes (site 2)</v>
      </c>
      <c r="B14" s="9">
        <v>0</v>
      </c>
      <c r="C14" s="16">
        <v>10</v>
      </c>
    </row>
    <row r="15" spans="1:11" x14ac:dyDescent="0.15">
      <c r="A15" t="str">
        <f t="shared" si="0"/>
        <v>Barrage hydroélectrique (site 1)</v>
      </c>
      <c r="B15" s="9">
        <v>0</v>
      </c>
      <c r="C15" s="16">
        <f>50</f>
        <v>50</v>
      </c>
    </row>
    <row r="16" spans="1:11" x14ac:dyDescent="0.15">
      <c r="A16" t="str">
        <f t="shared" si="0"/>
        <v>Barrage hydroélectrique (site 2)</v>
      </c>
      <c r="B16" s="9">
        <v>100</v>
      </c>
      <c r="C16" s="16">
        <f>150</f>
        <v>150</v>
      </c>
    </row>
    <row r="17" spans="1:7" x14ac:dyDescent="0.15">
      <c r="A17" t="str">
        <f t="shared" si="0"/>
        <v>Centrale nucléaire</v>
      </c>
      <c r="B17" s="9">
        <v>0</v>
      </c>
      <c r="C17" s="16">
        <v>40</v>
      </c>
    </row>
    <row r="18" spans="1:7" x14ac:dyDescent="0.15">
      <c r="A18" t="str">
        <f t="shared" si="0"/>
        <v>Centrale thermique (site 1)</v>
      </c>
      <c r="B18" s="9">
        <v>0</v>
      </c>
      <c r="C18" s="16">
        <v>50</v>
      </c>
    </row>
    <row r="19" spans="1:7" x14ac:dyDescent="0.15">
      <c r="A19" t="str">
        <f t="shared" si="0"/>
        <v>Centrale thermique (site 2)</v>
      </c>
      <c r="B19" s="9">
        <v>0</v>
      </c>
      <c r="C19" s="16">
        <v>25</v>
      </c>
      <c r="D19" s="14" t="s">
        <v>22</v>
      </c>
    </row>
    <row r="20" spans="1:7" x14ac:dyDescent="0.15">
      <c r="A20" t="s">
        <v>21</v>
      </c>
      <c r="B20">
        <f>SUM(B13:B19)</f>
        <v>100</v>
      </c>
      <c r="C20" t="s">
        <v>0</v>
      </c>
      <c r="D20" s="16">
        <v>100</v>
      </c>
    </row>
    <row r="21" spans="1:7" x14ac:dyDescent="0.15">
      <c r="D21" s="8"/>
    </row>
    <row r="22" spans="1:7" ht="24.75" customHeight="1" x14ac:dyDescent="0.15">
      <c r="A22" s="6"/>
      <c r="B22" s="6" t="str">
        <f>B1</f>
        <v xml:space="preserve">Coût    </v>
      </c>
      <c r="C22" s="6" t="str">
        <f>C1</f>
        <v>Impacte environnemental</v>
      </c>
      <c r="D22" s="6" t="str">
        <f>D1</f>
        <v>Inconvénient pour la population</v>
      </c>
      <c r="E22" s="6" t="str">
        <f>E1</f>
        <v xml:space="preserve">Fiabilité </v>
      </c>
      <c r="F22" s="6" t="str">
        <f>F1</f>
        <v>Sécurité</v>
      </c>
    </row>
    <row r="23" spans="1:7" ht="14.25" customHeight="1" x14ac:dyDescent="0.15">
      <c r="A23" s="6"/>
      <c r="B23" s="15" t="s">
        <v>23</v>
      </c>
      <c r="C23" s="15" t="s">
        <v>24</v>
      </c>
      <c r="D23" s="15" t="s">
        <v>24</v>
      </c>
      <c r="E23" s="15" t="s">
        <v>24</v>
      </c>
      <c r="F23" s="15" t="s">
        <v>24</v>
      </c>
    </row>
    <row r="24" spans="1:7" x14ac:dyDescent="0.15">
      <c r="A24" s="4" t="s">
        <v>18</v>
      </c>
      <c r="B24" s="5">
        <f>SUMPRODUCT($B$13:$B$19,B4:B10)/$D$20</f>
        <v>2</v>
      </c>
      <c r="C24" s="5">
        <f>SUMPRODUCT($B$13:$B$19,C4:C10)/$D$20</f>
        <v>10</v>
      </c>
      <c r="D24" s="5">
        <f>SUMPRODUCT($B$13:$B$19,D4:D10)/$D$20</f>
        <v>2</v>
      </c>
      <c r="E24" s="5">
        <f>SUMPRODUCT($B$13:$B$19,E4:E10)/$D$20</f>
        <v>5</v>
      </c>
      <c r="F24" s="5">
        <f>SUMPRODUCT($B$13:$B$19,F4:F10)/$D$20</f>
        <v>8</v>
      </c>
    </row>
    <row r="25" spans="1:7" x14ac:dyDescent="0.15">
      <c r="A25" s="4" t="s">
        <v>1</v>
      </c>
      <c r="B25" s="16">
        <f>SIGN(B28-B27)</f>
        <v>-1</v>
      </c>
      <c r="C25" s="16">
        <f>SIGN(C28-C27)</f>
        <v>-1</v>
      </c>
      <c r="D25" s="16">
        <f>SIGN(D28-D27)</f>
        <v>-1</v>
      </c>
      <c r="E25" s="16">
        <f>SIGN(E28-E27)</f>
        <v>1</v>
      </c>
      <c r="F25" s="16">
        <f t="shared" ref="F25" si="1">SIGN(F28-F27)</f>
        <v>1</v>
      </c>
    </row>
    <row r="27" spans="1:7" x14ac:dyDescent="0.15">
      <c r="A27" t="s">
        <v>19</v>
      </c>
      <c r="B27" s="16">
        <v>5.4</v>
      </c>
      <c r="C27" s="16">
        <v>26.25</v>
      </c>
      <c r="D27" s="16">
        <v>4.9000000000000004</v>
      </c>
      <c r="E27" s="16">
        <v>4.2</v>
      </c>
      <c r="F27" s="16">
        <v>5</v>
      </c>
    </row>
    <row r="28" spans="1:7" x14ac:dyDescent="0.15">
      <c r="A28" t="s">
        <v>20</v>
      </c>
      <c r="B28" s="16">
        <v>2</v>
      </c>
      <c r="C28" s="16">
        <v>3.3</v>
      </c>
      <c r="D28" s="16">
        <v>2</v>
      </c>
      <c r="E28" s="16">
        <v>6.75</v>
      </c>
      <c r="F28" s="16">
        <v>8.9</v>
      </c>
      <c r="G28" s="22" t="s">
        <v>29</v>
      </c>
    </row>
    <row r="29" spans="1:7" x14ac:dyDescent="0.15">
      <c r="A29" s="4" t="s">
        <v>28</v>
      </c>
      <c r="B29" s="20">
        <f>(B24-B27)/(B28-B27)</f>
        <v>1</v>
      </c>
      <c r="C29" s="20">
        <f>(C24-C27)/(C28-C27)</f>
        <v>0.70806100217864931</v>
      </c>
      <c r="D29" s="20">
        <f>(D24-D27)/(D28-D27)</f>
        <v>1</v>
      </c>
      <c r="E29" s="20">
        <f>(E24-E27)/(E28-E27)</f>
        <v>0.31372549019607837</v>
      </c>
      <c r="F29" s="20">
        <f>(F24-F27)/(F28-F27)</f>
        <v>0.76923076923076916</v>
      </c>
      <c r="G29" s="21">
        <f>AVERAGE(B29:F29)</f>
        <v>0.75820345232109931</v>
      </c>
    </row>
    <row r="31" spans="1:7" x14ac:dyDescent="0.15">
      <c r="A31" s="4" t="s">
        <v>30</v>
      </c>
      <c r="B31" s="25" t="s">
        <v>33</v>
      </c>
      <c r="C31" s="25" t="s">
        <v>33</v>
      </c>
      <c r="D31" s="25" t="s">
        <v>33</v>
      </c>
      <c r="E31" s="25" t="s">
        <v>33</v>
      </c>
      <c r="F31" s="25" t="s">
        <v>33</v>
      </c>
    </row>
    <row r="32" spans="1:7" x14ac:dyDescent="0.15">
      <c r="A32" s="4" t="s">
        <v>31</v>
      </c>
      <c r="B32">
        <f>1/5</f>
        <v>0.2</v>
      </c>
      <c r="C32">
        <f t="shared" ref="C32:F32" si="2">1/5</f>
        <v>0.2</v>
      </c>
      <c r="D32">
        <f t="shared" si="2"/>
        <v>0.2</v>
      </c>
      <c r="E32">
        <f t="shared" si="2"/>
        <v>0.2</v>
      </c>
      <c r="F32">
        <f t="shared" si="2"/>
        <v>0.2</v>
      </c>
    </row>
    <row r="34" spans="1:2" x14ac:dyDescent="0.15">
      <c r="A34" s="23" t="s">
        <v>32</v>
      </c>
      <c r="B34" s="24" t="s">
        <v>33</v>
      </c>
    </row>
  </sheetData>
  <mergeCells count="1">
    <mergeCell ref="H2:K2"/>
  </mergeCells>
  <pageMargins left="0.78740157499999996" right="0.78740157499999996" top="0.984251969" bottom="0.984251969" header="0.4921259845" footer="0.492125984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données</vt:lpstr>
      <vt:lpstr>utilité multi-attribut</vt:lpstr>
    </vt:vector>
  </TitlesOfParts>
  <Company>HEC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Microsoft Office User</cp:lastModifiedBy>
  <cp:lastPrinted>2012-11-14T16:40:57Z</cp:lastPrinted>
  <dcterms:created xsi:type="dcterms:W3CDTF">2000-06-27T22:04:35Z</dcterms:created>
  <dcterms:modified xsi:type="dcterms:W3CDTF">2022-11-23T15:32:23Z</dcterms:modified>
</cp:coreProperties>
</file>