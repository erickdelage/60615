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heckCompatibility="1" defaultThemeVersion="124226"/>
  <bookViews>
    <workbookView xWindow="240" yWindow="120" windowWidth="15735" windowHeight="11400" activeTab="1"/>
  </bookViews>
  <sheets>
    <sheet name="Meteo" sheetId="10" r:id="rId1"/>
    <sheet name="Standard données" sheetId="11" r:id="rId2"/>
    <sheet name="Recours données" sheetId="12" r:id="rId3"/>
  </sheets>
  <definedNames>
    <definedName name="_AtRisk_SimSetting_AutomaticallyGenerateReports" hidden="1">FALSE</definedName>
    <definedName name="_AtRisk_SimSetting_AutomaticResultsDisplayMode" hidden="1">0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LiveUpdate" hidden="1">TRUE</definedName>
    <definedName name="_AtRisk_SimSetting_LiveUpdatePeriod" hidden="1">-1</definedName>
    <definedName name="_AtRisk_SimSetting_RandomNumberGenerator" hidden="1">7</definedName>
    <definedName name="_AtRisk_SimSetting_ReportsList" hidden="1">0</definedName>
    <definedName name="_AtRisk_SimSetting_SimNameCount" hidden="1">0</definedName>
    <definedName name="_AtRisk_SimSetting_SmartSensitivityAnalysisEnabled" hidden="1">TRUE</definedName>
    <definedName name="_AtRisk_SimSetting_StatisticFunctionUpdating" hidden="1">1</definedName>
    <definedName name="_AtRisk_SimSetting_StdRecalcBehavior" hidden="1">0</definedName>
    <definedName name="_AtRisk_SimSetting_StdRecalcWithoutRiskStatic" hidden="1">0</definedName>
    <definedName name="_AtRisk_SimSetting_StdRecalcWithoutRiskStaticPercentile" hidden="1">0.5</definedName>
    <definedName name="inflList" hidden="1">"00000000000000000000000000000000000000000000000000000000000000000000000000000000000000000000000000000000000000000000000000000000000000000000000000000000000000000000000000000000000000000000000000000000"</definedName>
    <definedName name="PTree_SensitivityAnalysis_AnalysisType" hidden="1">0</definedName>
    <definedName name="PTree_SensitivityAnalysis_GraphsDisplayPercentageChange" hidden="1">FALSE</definedName>
    <definedName name="PTree_SensitivityAnalysis_IncludeSensitivityGraph" hidden="1">FALSE</definedName>
    <definedName name="PTree_SensitivityAnalysis_IncludeSpiderGraph" hidden="1">FALSE</definedName>
    <definedName name="PTree_SensitivityAnalysis_IncludeStrategyRegion" hidden="1">TRUE</definedName>
    <definedName name="PTree_SensitivityAnalysis_IncludeTornadoGraph" hidden="1">TRUE</definedName>
    <definedName name="PTree_SensitivityAnalysis_Inputs_1_AlternateCellLabel" hidden="1">""</definedName>
    <definedName name="PTree_SensitivityAnalysis_Inputs_1_BaseValueIsAutomatic" hidden="1">TRUE</definedName>
    <definedName name="PTree_SensitivityAnalysis_Inputs_1_MaintainProbabilityNormalization" hidden="1">FALSE</definedName>
    <definedName name="PTree_SensitivityAnalysis_Inputs_1_ManualBaseValue" hidden="1">0</definedName>
    <definedName name="PTree_SensitivityAnalysis_Inputs_1_Maximum" hidden="1">10</definedName>
    <definedName name="PTree_SensitivityAnalysis_Inputs_1_Minimum" hidden="1">-10</definedName>
    <definedName name="PTree_SensitivityAnalysis_Inputs_1_OneWayAnalysis" hidden="1">1</definedName>
    <definedName name="PTree_SensitivityAnalysis_Inputs_1_Steps" hidden="1">10</definedName>
    <definedName name="PTree_SensitivityAnalysis_Inputs_1_TwoWayAnalysis" hidden="1">0</definedName>
    <definedName name="PTree_SensitivityAnalysis_Inputs_1_VariationMethod" hidden="1">0</definedName>
    <definedName name="PTree_SensitivityAnalysis_Inputs_1_VaryCell" hidden="1">#REF!</definedName>
    <definedName name="PTree_SensitivityAnalysis_Inputs_2_AlternateCellLabel" hidden="1">""</definedName>
    <definedName name="PTree_SensitivityAnalysis_Inputs_2_BaseValueIsAutomatic" hidden="1">TRUE</definedName>
    <definedName name="PTree_SensitivityAnalysis_Inputs_2_MaintainProbabilityNormalization" hidden="1">FALSE</definedName>
    <definedName name="PTree_SensitivityAnalysis_Inputs_2_ManualBaseValue" hidden="1">0</definedName>
    <definedName name="PTree_SensitivityAnalysis_Inputs_2_Maximum" hidden="1">10</definedName>
    <definedName name="PTree_SensitivityAnalysis_Inputs_2_Minimum" hidden="1">-10</definedName>
    <definedName name="PTree_SensitivityAnalysis_Inputs_2_OneWayAnalysis" hidden="1">1</definedName>
    <definedName name="PTree_SensitivityAnalysis_Inputs_2_Steps" hidden="1">10</definedName>
    <definedName name="PTree_SensitivityAnalysis_Inputs_2_TwoWayAnalysis" hidden="1">0</definedName>
    <definedName name="PTree_SensitivityAnalysis_Inputs_2_VariationMethod" hidden="1">0</definedName>
    <definedName name="PTree_SensitivityAnalysis_Inputs_2_VaryCell" hidden="1">#REF!</definedName>
    <definedName name="PTree_SensitivityAnalysis_Inputs_3_AlternateCellLabel" hidden="1">""</definedName>
    <definedName name="PTree_SensitivityAnalysis_Inputs_3_BaseValueIsAutomatic" hidden="1">TRUE</definedName>
    <definedName name="PTree_SensitivityAnalysis_Inputs_3_MaintainProbabilityNormalization" hidden="1">FALSE</definedName>
    <definedName name="PTree_SensitivityAnalysis_Inputs_3_ManualBaseValue" hidden="1">0</definedName>
    <definedName name="PTree_SensitivityAnalysis_Inputs_3_Maximum" hidden="1">0.1</definedName>
    <definedName name="PTree_SensitivityAnalysis_Inputs_3_Minimum" hidden="1">-0.1</definedName>
    <definedName name="PTree_SensitivityAnalysis_Inputs_3_OneWayAnalysis" hidden="1">1</definedName>
    <definedName name="PTree_SensitivityAnalysis_Inputs_3_Steps" hidden="1">10</definedName>
    <definedName name="PTree_SensitivityAnalysis_Inputs_3_TwoWayAnalysis" hidden="1">0</definedName>
    <definedName name="PTree_SensitivityAnalysis_Inputs_3_VariationMethod" hidden="1">1</definedName>
    <definedName name="PTree_SensitivityAnalysis_Inputs_3_VaryCell" hidden="1">#REF!</definedName>
    <definedName name="PTree_SensitivityAnalysis_Inputs_4_AlternateCellLabel" hidden="1">""</definedName>
    <definedName name="PTree_SensitivityAnalysis_Inputs_4_BaseValueIsAutomatic" hidden="1">TRUE</definedName>
    <definedName name="PTree_SensitivityAnalysis_Inputs_4_MaintainProbabilityNormalization" hidden="1">FALSE</definedName>
    <definedName name="PTree_SensitivityAnalysis_Inputs_4_ManualBaseValue" hidden="1">0</definedName>
    <definedName name="PTree_SensitivityAnalysis_Inputs_4_Maximum" hidden="1">0.1</definedName>
    <definedName name="PTree_SensitivityAnalysis_Inputs_4_Minimum" hidden="1">-0.1</definedName>
    <definedName name="PTree_SensitivityAnalysis_Inputs_4_OneWayAnalysis" hidden="1">1</definedName>
    <definedName name="PTree_SensitivityAnalysis_Inputs_4_Steps" hidden="1">10</definedName>
    <definedName name="PTree_SensitivityAnalysis_Inputs_4_TwoWayAnalysis" hidden="1">0</definedName>
    <definedName name="PTree_SensitivityAnalysis_Inputs_4_VariationMethod" hidden="1">1</definedName>
    <definedName name="PTree_SensitivityAnalysis_Inputs_4_VaryCell" hidden="1">#REF!</definedName>
    <definedName name="PTree_SensitivityAnalysis_Inputs_Count" hidden="1">4</definedName>
    <definedName name="PTree_SensitivityAnalysis_Output_AlternateCellLabel" hidden="1">""</definedName>
    <definedName name="PTree_SensitivityAnalysis_Output_Model" hidden="1">PTreeObjectReference(PTDecisionTree_2,#REF!)</definedName>
    <definedName name="PTree_SensitivityAnalysis_Output_OutputType" hidden="1">1</definedName>
    <definedName name="PTree_SensitivityAnalysis_Output_StartingNode" hidden="1">PTreeObjectReference(NULL,NULL)</definedName>
    <definedName name="PTree_SensitivityAnalysis_UpdateDisplay" hidden="1">FALSE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CollectDistributionSamples" hidden="1">2</definedName>
    <definedName name="RiskFixedSeed" hidden="1">1</definedName>
    <definedName name="RiskHasSettings" hidden="1">5</definedName>
    <definedName name="RiskMinimizeOnStart" hidden="1">FALSE</definedName>
    <definedName name="RiskMonitorConvergence" hidden="1">FALSE</definedName>
    <definedName name="RiskMultipleCPUSupportEnabled" hidden="1">TRUE</definedName>
    <definedName name="RiskNumIterations" hidden="1">100</definedName>
    <definedName name="RiskNumSimulations" hidden="1">1</definedName>
    <definedName name="RiskPauseOnError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hidden="1">3</definedName>
    <definedName name="RiskStandardRecalc" hidden="1">1</definedName>
    <definedName name="RiskUpdateDisplay" hidden="1">FALSE</definedName>
    <definedName name="RiskUseDifferentSeedForEachSim" hidden="1">FALSE</definedName>
    <definedName name="RiskUseFixedSeed" hidden="1">FALSE</definedName>
    <definedName name="RiskUseMultipleCPUs" hidden="1">TRUE</definedName>
    <definedName name="treeList" hidden="1">"00000000000000000000000000000000000000000000000000000000000000000000000000000000000000000000000000000000000000000000000000000000000000000000000000000000000000000000000000000000000000000000000000000000"</definedName>
  </definedNames>
  <calcPr calcId="145621" concurrentCalc="0"/>
</workbook>
</file>

<file path=xl/calcChain.xml><?xml version="1.0" encoding="utf-8"?>
<calcChain xmlns="http://schemas.openxmlformats.org/spreadsheetml/2006/main">
  <c r="E5" i="10" l="1"/>
  <c r="E6" i="10"/>
  <c r="E4" i="10"/>
  <c r="D6" i="10"/>
  <c r="D5" i="10"/>
  <c r="C8" i="12"/>
  <c r="C6" i="12"/>
  <c r="C9" i="11"/>
  <c r="C6" i="11"/>
  <c r="C7" i="11"/>
  <c r="C8" i="11"/>
  <c r="C10" i="11"/>
  <c r="C9" i="12"/>
  <c r="C10" i="12"/>
  <c r="C11" i="12"/>
  <c r="C12" i="12"/>
</calcChain>
</file>

<file path=xl/sharedStrings.xml><?xml version="1.0" encoding="utf-8"?>
<sst xmlns="http://schemas.openxmlformats.org/spreadsheetml/2006/main" count="30" uniqueCount="22">
  <si>
    <t>Ensoleillé</t>
  </si>
  <si>
    <t>Nuageux</t>
  </si>
  <si>
    <t>Averse</t>
  </si>
  <si>
    <t>Litres produits</t>
  </si>
  <si>
    <t>Revenus</t>
  </si>
  <si>
    <t>Couts</t>
  </si>
  <si>
    <t>Profits</t>
  </si>
  <si>
    <t>Litres produits 1</t>
  </si>
  <si>
    <t>Litres produits 2</t>
  </si>
  <si>
    <t>Total produit</t>
  </si>
  <si>
    <t>Probabilité</t>
  </si>
  <si>
    <t>Demande</t>
  </si>
  <si>
    <t>Type</t>
  </si>
  <si>
    <t>N</t>
  </si>
  <si>
    <t>Demande max.</t>
  </si>
  <si>
    <t>Niveau de temp.</t>
  </si>
  <si>
    <t>Id</t>
  </si>
  <si>
    <t>Météo (id)</t>
  </si>
  <si>
    <t>Météo (type)</t>
  </si>
  <si>
    <t>Prix de vente ($/litre)</t>
  </si>
  <si>
    <t>Coûts prod. ($/litre)</t>
  </si>
  <si>
    <t>Coûts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</si>
</sst>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/>
    <xf numFmtId="9" fontId="0" fillId="0" borderId="1" xfId="0" applyNumberFormat="1" applyBorder="1"/>
    <xf numFmtId="0" fontId="0" fillId="2" borderId="1" xfId="0" applyFill="1" applyBorder="1"/>
    <xf numFmtId="0" fontId="0" fillId="5" borderId="1" xfId="0" applyFill="1" applyBorder="1"/>
    <xf numFmtId="0" fontId="0" fillId="4" borderId="1" xfId="0" applyFill="1" applyBorder="1"/>
    <xf numFmtId="0" fontId="0" fillId="5" borderId="1" xfId="0" applyFill="1" applyBorder="1" applyAlignment="1">
      <alignment horizontal="right"/>
    </xf>
    <xf numFmtId="0" fontId="0" fillId="6" borderId="1" xfId="0" applyFill="1" applyBorder="1"/>
    <xf numFmtId="0" fontId="0" fillId="3" borderId="1" xfId="0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Views>
    <sheetView workbookViewId="0">
      <selection activeCell="E10" sqref="E10"/>
    </sheetView>
  </sheetViews>
  <sheetFormatPr baseColWidth="10" defaultColWidth="9.140625" defaultRowHeight="15" x14ac:dyDescent="0.25"/>
  <cols>
    <col min="1" max="1" width="14.85546875" customWidth="1"/>
    <col min="2" max="2" width="12" customWidth="1"/>
    <col min="3" max="3" width="15.5703125" customWidth="1"/>
    <col min="4" max="4" width="17.28515625" customWidth="1"/>
    <col min="5" max="256" width="11.42578125" customWidth="1"/>
  </cols>
  <sheetData>
    <row r="1" spans="1:5" x14ac:dyDescent="0.25">
      <c r="A1" t="s">
        <v>13</v>
      </c>
      <c r="B1">
        <v>3</v>
      </c>
    </row>
    <row r="2" spans="1:5" x14ac:dyDescent="0.25">
      <c r="A2" t="s">
        <v>14</v>
      </c>
      <c r="B2">
        <v>100</v>
      </c>
    </row>
    <row r="3" spans="1:5" x14ac:dyDescent="0.25">
      <c r="A3" s="1" t="s">
        <v>16</v>
      </c>
      <c r="B3" s="1" t="s">
        <v>12</v>
      </c>
      <c r="C3" s="1" t="s">
        <v>10</v>
      </c>
      <c r="D3" s="1" t="s">
        <v>15</v>
      </c>
      <c r="E3" s="1" t="s">
        <v>11</v>
      </c>
    </row>
    <row r="4" spans="1:5" x14ac:dyDescent="0.25">
      <c r="A4" s="1">
        <v>1</v>
      </c>
      <c r="B4" s="1" t="s">
        <v>0</v>
      </c>
      <c r="C4" s="2">
        <v>0.3</v>
      </c>
      <c r="D4" s="2">
        <v>1</v>
      </c>
      <c r="E4" s="1">
        <f>D4*$B$2</f>
        <v>100</v>
      </c>
    </row>
    <row r="5" spans="1:5" x14ac:dyDescent="0.25">
      <c r="A5" s="1">
        <v>2</v>
      </c>
      <c r="B5" s="1" t="s">
        <v>1</v>
      </c>
      <c r="C5" s="2">
        <v>0.3</v>
      </c>
      <c r="D5" s="2">
        <f>D4-1/($B$1-1)</f>
        <v>0.5</v>
      </c>
      <c r="E5" s="1">
        <f t="shared" ref="E5:E6" si="0">D5*$B$2</f>
        <v>50</v>
      </c>
    </row>
    <row r="6" spans="1:5" x14ac:dyDescent="0.25">
      <c r="A6" s="1">
        <v>3</v>
      </c>
      <c r="B6" s="1" t="s">
        <v>2</v>
      </c>
      <c r="C6" s="2">
        <v>0.4</v>
      </c>
      <c r="D6" s="2">
        <f>D5-1/($B$1-1)</f>
        <v>0</v>
      </c>
      <c r="E6" s="1">
        <f t="shared" si="0"/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10"/>
  <sheetViews>
    <sheetView tabSelected="1" workbookViewId="0">
      <selection activeCell="C5" sqref="C5"/>
    </sheetView>
  </sheetViews>
  <sheetFormatPr baseColWidth="10" defaultColWidth="9.140625" defaultRowHeight="15" x14ac:dyDescent="0.25"/>
  <cols>
    <col min="1" max="1" width="11.42578125" customWidth="1"/>
    <col min="2" max="2" width="21.42578125" customWidth="1"/>
    <col min="3" max="256" width="11.42578125" customWidth="1"/>
  </cols>
  <sheetData>
    <row r="2" spans="2:3" x14ac:dyDescent="0.25">
      <c r="B2" s="1" t="s">
        <v>19</v>
      </c>
      <c r="C2" s="8">
        <v>2</v>
      </c>
    </row>
    <row r="3" spans="2:3" x14ac:dyDescent="0.25">
      <c r="B3" s="1" t="s">
        <v>20</v>
      </c>
      <c r="C3" s="8">
        <v>1</v>
      </c>
    </row>
    <row r="4" spans="2:3" x14ac:dyDescent="0.25">
      <c r="B4" s="1" t="s">
        <v>3</v>
      </c>
      <c r="C4" s="3">
        <v>100</v>
      </c>
    </row>
    <row r="5" spans="2:3" x14ac:dyDescent="0.25">
      <c r="B5" s="1" t="s">
        <v>17</v>
      </c>
      <c r="C5" s="5">
        <v>3</v>
      </c>
    </row>
    <row r="6" spans="2:3" x14ac:dyDescent="0.25">
      <c r="B6" s="1" t="s">
        <v>18</v>
      </c>
      <c r="C6" s="6" t="str">
        <f>VLOOKUP(C5,Meteo!A4:E6,2,FALSE)</f>
        <v>Averse</v>
      </c>
    </row>
    <row r="7" spans="2:3" x14ac:dyDescent="0.25">
      <c r="B7" s="1" t="s">
        <v>11</v>
      </c>
      <c r="C7" s="4">
        <f>VLOOKUP(C5,Meteo!A4:E6,5)</f>
        <v>0</v>
      </c>
    </row>
    <row r="8" spans="2:3" x14ac:dyDescent="0.25">
      <c r="B8" s="1" t="s">
        <v>4</v>
      </c>
      <c r="C8" s="4">
        <f>MIN(C4,C7)*C2</f>
        <v>0</v>
      </c>
    </row>
    <row r="9" spans="2:3" x14ac:dyDescent="0.25">
      <c r="B9" s="1" t="s">
        <v>5</v>
      </c>
      <c r="C9" s="4">
        <f>C4*C3</f>
        <v>100</v>
      </c>
    </row>
    <row r="10" spans="2:3" x14ac:dyDescent="0.25">
      <c r="B10" s="1" t="s">
        <v>6</v>
      </c>
      <c r="C10" s="7">
        <f>C8-C9</f>
        <v>-100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12"/>
  <sheetViews>
    <sheetView workbookViewId="0">
      <selection activeCell="C5" sqref="C5"/>
    </sheetView>
  </sheetViews>
  <sheetFormatPr baseColWidth="10" defaultColWidth="9.140625" defaultRowHeight="15" x14ac:dyDescent="0.25"/>
  <cols>
    <col min="1" max="1" width="11.42578125" customWidth="1"/>
    <col min="2" max="2" width="22.28515625" customWidth="1"/>
    <col min="3" max="256" width="11.42578125" customWidth="1"/>
  </cols>
  <sheetData>
    <row r="2" spans="2:3" x14ac:dyDescent="0.25">
      <c r="B2" s="1" t="s">
        <v>19</v>
      </c>
      <c r="C2" s="8">
        <v>2</v>
      </c>
    </row>
    <row r="3" spans="2:3" x14ac:dyDescent="0.25">
      <c r="B3" s="1" t="s">
        <v>20</v>
      </c>
      <c r="C3" s="8">
        <v>1</v>
      </c>
    </row>
    <row r="4" spans="2:3" x14ac:dyDescent="0.25">
      <c r="B4" s="1" t="s">
        <v>7</v>
      </c>
      <c r="C4" s="3">
        <v>100</v>
      </c>
    </row>
    <row r="5" spans="2:3" x14ac:dyDescent="0.25">
      <c r="B5" s="1" t="s">
        <v>8</v>
      </c>
      <c r="C5" s="3">
        <v>0</v>
      </c>
    </row>
    <row r="6" spans="2:3" x14ac:dyDescent="0.25">
      <c r="B6" s="1" t="s">
        <v>9</v>
      </c>
      <c r="C6" s="4">
        <f>C5+C4</f>
        <v>100</v>
      </c>
    </row>
    <row r="7" spans="2:3" x14ac:dyDescent="0.25">
      <c r="B7" s="1" t="s">
        <v>17</v>
      </c>
      <c r="C7" s="5">
        <v>3</v>
      </c>
    </row>
    <row r="8" spans="2:3" x14ac:dyDescent="0.25">
      <c r="B8" s="1" t="s">
        <v>18</v>
      </c>
      <c r="C8" s="6" t="str">
        <f>VLOOKUP(C7,Meteo!A4:E6,2,FALSE)</f>
        <v>Averse</v>
      </c>
    </row>
    <row r="9" spans="2:3" x14ac:dyDescent="0.25">
      <c r="B9" s="1" t="s">
        <v>11</v>
      </c>
      <c r="C9" s="4">
        <f>VLOOKUP(C7,Meteo!$A$4:$E$6,5)</f>
        <v>0</v>
      </c>
    </row>
    <row r="10" spans="2:3" x14ac:dyDescent="0.25">
      <c r="B10" s="1" t="s">
        <v>4</v>
      </c>
      <c r="C10" s="4">
        <f>MIN(C6,C9)*C2</f>
        <v>0</v>
      </c>
    </row>
    <row r="11" spans="2:3" x14ac:dyDescent="0.25">
      <c r="B11" s="1" t="s">
        <v>21</v>
      </c>
      <c r="C11" s="4">
        <f>C6*C3</f>
        <v>100</v>
      </c>
    </row>
    <row r="12" spans="2:3" x14ac:dyDescent="0.25">
      <c r="B12" s="1" t="s">
        <v>6</v>
      </c>
      <c r="C12" s="7">
        <f>C10-C11</f>
        <v>-100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Meteo</vt:lpstr>
      <vt:lpstr>Standard données</vt:lpstr>
      <vt:lpstr>Recours données</vt:lpstr>
    </vt:vector>
  </TitlesOfParts>
  <Company>HEC Montréal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clihec3</dc:creator>
  <cp:lastModifiedBy>Erick Delage</cp:lastModifiedBy>
  <dcterms:created xsi:type="dcterms:W3CDTF">2011-08-09T21:58:05Z</dcterms:created>
  <dcterms:modified xsi:type="dcterms:W3CDTF">2013-10-03T11:42:25Z</dcterms:modified>
</cp:coreProperties>
</file>