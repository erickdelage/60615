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\\morwen\Profiles$\Labos\11131697\Downloads\"/>
    </mc:Choice>
  </mc:AlternateContent>
  <xr:revisionPtr revIDLastSave="0" documentId="13_ncr:1_{9599864E-8767-4135-A320-93F0A8CECB65}" xr6:coauthVersionLast="36" xr6:coauthVersionMax="36" xr10:uidLastSave="{00000000-0000-0000-0000-000000000000}"/>
  <bookViews>
    <workbookView xWindow="0" yWindow="0" windowWidth="14820" windowHeight="6330" activeTab="3" xr2:uid="{00000000-000D-0000-FFFF-FFFF00000000}"/>
  </bookViews>
  <sheets>
    <sheet name="Adjusted close" sheetId="1" r:id="rId1"/>
    <sheet name="_@RISKFitInformation" sheetId="38" state="hidden" r:id="rId2"/>
    <sheet name="Return rate" sheetId="72" r:id="rId3"/>
    <sheet name="Correlation effect" sheetId="73" r:id="rId4"/>
    <sheet name="ro_HiddenInfo" sheetId="14" state="hidden" r:id="rId5"/>
  </sheets>
  <definedNames>
    <definedName name="_AtRisk_FitDataRange_FIT_13995_DEBDD" hidden="1">'Return rate'!$I$7:$I$127</definedName>
    <definedName name="_AtRisk_FitDataRange_FIT_315F9_EC88B" hidden="1">'Return rate'!$K$7:$K$127</definedName>
    <definedName name="_AtRisk_FitDataRange_FIT_52604_94321" hidden="1">'Return rate'!$F$7:$F$127</definedName>
    <definedName name="_AtRisk_FitDataRange_FIT_5824A_7215F" hidden="1">'Return rate'!$B$7:$B$127</definedName>
    <definedName name="_AtRisk_FitDataRange_FIT_6587C_16A4" localSheetId="2" hidden="1">'Return rate'!$B$7:$B$127</definedName>
    <definedName name="_AtRisk_FitDataRange_FIT_6587C_16A4" hidden="1">#REF!</definedName>
    <definedName name="_AtRisk_FitDataRange_FIT_6AA36_983D2" hidden="1">'Return rate'!$G$7:$G$127</definedName>
    <definedName name="_AtRisk_FitDataRange_FIT_6C5C3_CFCF9" hidden="1">'Return rate'!$J$7:$J$127</definedName>
    <definedName name="_AtRisk_FitDataRange_FIT_93769_87792" hidden="1">'Return rate'!$C$7:$C$127</definedName>
    <definedName name="_AtRisk_FitDataRange_FIT_B75C6_36E6" hidden="1">'Return rate'!$D$7:$D$127</definedName>
    <definedName name="_AtRisk_FitDataRange_FIT_EB084_81559" hidden="1">'Return rate'!$E$7:$E$127</definedName>
    <definedName name="_AtRisk_FitDataRange_FIT_F3F02_6839C" hidden="1">'Return rate'!$H$7:$H$127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anualCount" hidden="1">4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NewMatrix1">'Correlation effect'!#REF!</definedName>
    <definedName name="OptimizationAdjustableCellAddresses" hidden="1">ro_HiddenInfo!$H$16</definedName>
    <definedName name="Pal_Workbook_GUID" hidden="1">"E2Z54TFADQS9BKDD9TIP3BS4"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</definedName>
    <definedName name="RiskNumSimulations" hidden="1">1</definedName>
    <definedName name="RISKOptimizerReportWorkbookLastModelTag" hidden="1">"portfolio_@Risk.xlsx"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electedCell" hidden="1">"$B$16"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olver_adj_ob" localSheetId="3" hidden="1">1</definedName>
    <definedName name="solver_cha" localSheetId="3" hidden="1">0</definedName>
    <definedName name="solver_chc1" localSheetId="3" hidden="1">0</definedName>
    <definedName name="solver_chc2" localSheetId="3" hidden="1">0</definedName>
    <definedName name="solver_chc3" localSheetId="3" hidden="1">0</definedName>
    <definedName name="solver_chn" localSheetId="3" hidden="1">4</definedName>
    <definedName name="solver_chp1" localSheetId="3" hidden="1">0</definedName>
    <definedName name="solver_chp2" localSheetId="3" hidden="1">0</definedName>
    <definedName name="solver_chp3" localSheetId="3" hidden="1">0</definedName>
    <definedName name="solver_cht" localSheetId="3" hidden="1">0</definedName>
    <definedName name="solver_cir1" localSheetId="3" hidden="1">1</definedName>
    <definedName name="solver_cir2" localSheetId="3" hidden="1">1</definedName>
    <definedName name="solver_cir3" localSheetId="3" hidden="1">1</definedName>
    <definedName name="solver_con1" localSheetId="3" hidden="1">" "</definedName>
    <definedName name="solver_con2" localSheetId="3" hidden="1">" "</definedName>
    <definedName name="solver_con3" localSheetId="3" hidden="1">" "</definedName>
    <definedName name="solver_dia" localSheetId="3" hidden="1">5</definedName>
    <definedName name="solver_iao" localSheetId="3" hidden="1">0</definedName>
    <definedName name="solver_int" localSheetId="3" hidden="1">0</definedName>
    <definedName name="solver_irs" localSheetId="3" hidden="1">0</definedName>
    <definedName name="solver_ism" localSheetId="3" hidden="1">0</definedName>
    <definedName name="solver_lhs_ob1" localSheetId="3" hidden="1">0</definedName>
    <definedName name="solver_lhs_ob2" localSheetId="3" hidden="1">0</definedName>
    <definedName name="solver_lhs_ob3" localSheetId="3" hidden="1">0</definedName>
    <definedName name="solver_lhs1" localSheetId="3" hidden="1">'Correlation effect'!$B$7:$L$7</definedName>
    <definedName name="solver_lhs2" localSheetId="3" hidden="1">'Correlation effect'!$M$7</definedName>
    <definedName name="solver_lhs3" localSheetId="3" hidden="1">'Correlation effect'!$M$7</definedName>
    <definedName name="solver_mda" localSheetId="3" hidden="1">4</definedName>
    <definedName name="solver_mod" localSheetId="3" hidden="1">3</definedName>
    <definedName name="solver_ntr" localSheetId="3" hidden="1">0</definedName>
    <definedName name="solver_ntri" hidden="1">10000</definedName>
    <definedName name="solver_num" localSheetId="3" hidden="1">0</definedName>
    <definedName name="solver_psi" localSheetId="3" hidden="1">0</definedName>
    <definedName name="solver_rdp" localSheetId="3" hidden="1">0</definedName>
    <definedName name="solver_rel1" localSheetId="3" hidden="1">3</definedName>
    <definedName name="solver_rel2" localSheetId="3" hidden="1">2</definedName>
    <definedName name="solver_rel3" localSheetId="3" hidden="1">2</definedName>
    <definedName name="solver_rhs1" localSheetId="3" hidden="1">'Correlation effect'!$B$8:$L$8</definedName>
    <definedName name="solver_rhs2" localSheetId="3" hidden="1">'Correlation effect'!$M$9</definedName>
    <definedName name="solver_rhs3" localSheetId="3" hidden="1">'Correlation effect'!$M$9</definedName>
    <definedName name="solver_rlx" localSheetId="3" hidden="1">0</definedName>
    <definedName name="solver_rsmp" hidden="1">2</definedName>
    <definedName name="solver_rtr" localSheetId="3" hidden="1">0</definedName>
    <definedName name="solver_rxc1" localSheetId="3" hidden="1">1</definedName>
    <definedName name="solver_rxc2" localSheetId="3" hidden="1">1</definedName>
    <definedName name="solver_rxc3" localSheetId="3" hidden="1">1</definedName>
    <definedName name="solver_seed" hidden="1">0</definedName>
    <definedName name="solver_sel" localSheetId="3" hidden="1">1</definedName>
    <definedName name="solver_slv" localSheetId="3" hidden="1">0</definedName>
    <definedName name="solver_slvu" localSheetId="3" hidden="1">0</definedName>
    <definedName name="solver_typ" localSheetId="0" hidden="1">2</definedName>
    <definedName name="solver_typ" localSheetId="3" hidden="1">2</definedName>
    <definedName name="solver_typ" localSheetId="2" hidden="1">2</definedName>
    <definedName name="solver_umod" localSheetId="3" hidden="1">1</definedName>
    <definedName name="solver_urs" localSheetId="3" hidden="1">0</definedName>
    <definedName name="solver_ver" localSheetId="0" hidden="1">11</definedName>
    <definedName name="solver_ver" localSheetId="3" hidden="1">11</definedName>
    <definedName name="solver_ver" localSheetId="2" hidden="1">11</definedName>
    <definedName name="solver_vol" localSheetId="3" hidden="1">0</definedName>
    <definedName name="solveri_ISpPars_B3" localSheetId="2" hidden="1">"RiskSolver.UI.Charts.InputDlgPars:-1000001;1;1;32;28;36;42;0;90;90;0;0;0;0;1;"</definedName>
    <definedName name="solveri_ISpPars_C3" localSheetId="2" hidden="1">"RiskSolver.UI.Charts.InputDlgPars:-1000001;1;1;32;28;36;42;0;90;90;0;0;0;0;1;"</definedName>
    <definedName name="solvero_CAT_B20" localSheetId="3" hidden="1">"System.Boolean:False"</definedName>
    <definedName name="solvero_CAT_B29" localSheetId="3" hidden="1">"System.Boolean:False"</definedName>
    <definedName name="solvero_CAxScMa_B20" localSheetId="3" hidden="1">"System.Double:10"</definedName>
    <definedName name="solvero_CAxScMa_B29" localSheetId="3" hidden="1">"System.Double:10"</definedName>
    <definedName name="solvero_CAxScMi_B20" localSheetId="3" hidden="1">"System.Double:-10"</definedName>
    <definedName name="solvero_CAxScMi_B29" localSheetId="3" hidden="1">"System.Double:-10"</definedName>
    <definedName name="solvero_CAxTyp_B20" localSheetId="3" hidden="1">"RiskSolver.Globals.AxisType:Fixed"</definedName>
    <definedName name="solvero_CRMax_B17" localSheetId="3" hidden="1">"System.Double:Infinity"</definedName>
    <definedName name="solvero_CRMax_B20" localSheetId="3" hidden="1">"System.Double:Infinity"</definedName>
    <definedName name="solvero_CRMax_B29" localSheetId="3" hidden="1">"System.Double:Infinity"</definedName>
    <definedName name="solvero_CRMin_B17" localSheetId="3" hidden="1">"System.Double:-Infinity"</definedName>
    <definedName name="solvero_CRMin_B20" localSheetId="3" hidden="1">"System.Double:-Infinity"</definedName>
    <definedName name="solvero_CRMin_B29" localSheetId="3" hidden="1">"System.Double:-Infinity"</definedName>
    <definedName name="solvero_CTitle_B20" localSheetId="3" hidden="1">"System.String:Simulation Results - Return_noCorr (in pp)"</definedName>
    <definedName name="solvero_CTitle_B29" localSheetId="3" hidden="1">"System.String:Simulation Results - Return_withCorr (in pp)"</definedName>
    <definedName name="solvero_OSpPars_B17" localSheetId="3" hidden="1">"RiskSolver.UI.Charts.OutDlgPars:-1000001;29;28;42;42;0;1;90;80;0;0;0;0;1;"</definedName>
    <definedName name="solvero_OSpPars_B20" localSheetId="3" hidden="1">"RiskSolver.UI.Charts.OutDlgPars:-1000001;29;28;42;42;0;1;90;80;0;0;0;0;1;"</definedName>
    <definedName name="solvero_OSpPars_B29" localSheetId="3" hidden="1">"RiskSolver.UI.Charts.OutDlgPars:-1000001;29;28;42;42;0;1;90;80;0;0;0;0;1;"</definedName>
    <definedName name="solvero_W3_CAxScMa" localSheetId="3" hidden="1">"System.Double:1.1"</definedName>
    <definedName name="solvero_W3_CAxScMi" localSheetId="3" hidden="1">"System.Double:0.9"</definedName>
    <definedName name="solvero_W3_CAxTyp" localSheetId="3" hidden="1">"RiskSolver.Globals.AxisType:Fixed"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1" i="38" l="1"/>
  <c r="C12" i="38"/>
  <c r="C13" i="38"/>
  <c r="C14" i="38"/>
  <c r="C15" i="38"/>
  <c r="C16" i="38"/>
  <c r="C17" i="38"/>
  <c r="C18" i="38"/>
  <c r="C19" i="38"/>
  <c r="C20" i="38"/>
  <c r="L35" i="73" l="1"/>
  <c r="L34" i="73"/>
  <c r="X6" i="72"/>
  <c r="W6" i="72"/>
  <c r="V6" i="72"/>
  <c r="U6" i="72"/>
  <c r="T6" i="72"/>
  <c r="S6" i="72"/>
  <c r="R6" i="72"/>
  <c r="Q6" i="72"/>
  <c r="P6" i="72"/>
  <c r="O6" i="72"/>
  <c r="M9" i="73"/>
  <c r="L9" i="73"/>
  <c r="B9" i="73"/>
  <c r="E9" i="73"/>
  <c r="I9" i="73"/>
  <c r="K8" i="73"/>
  <c r="J8" i="73"/>
  <c r="I8" i="73"/>
  <c r="H8" i="73"/>
  <c r="G8" i="73"/>
  <c r="F8" i="73"/>
  <c r="E8" i="73"/>
  <c r="D8" i="73"/>
  <c r="C8" i="73"/>
  <c r="B4" i="73"/>
  <c r="L16" i="73" s="1"/>
  <c r="L25" i="73"/>
  <c r="B11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1" i="72"/>
  <c r="K42" i="72"/>
  <c r="K43" i="72"/>
  <c r="K44" i="72"/>
  <c r="K45" i="72"/>
  <c r="K46" i="72"/>
  <c r="K47" i="72"/>
  <c r="K48" i="72"/>
  <c r="K49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7" i="72"/>
  <c r="K88" i="72"/>
  <c r="K89" i="72"/>
  <c r="K90" i="72"/>
  <c r="K91" i="72"/>
  <c r="K92" i="72"/>
  <c r="K93" i="72"/>
  <c r="K94" i="72"/>
  <c r="K95" i="72"/>
  <c r="K96" i="72"/>
  <c r="K97" i="72"/>
  <c r="K98" i="72"/>
  <c r="K99" i="72"/>
  <c r="K100" i="72"/>
  <c r="K101" i="72"/>
  <c r="K102" i="72"/>
  <c r="K103" i="72"/>
  <c r="K104" i="72"/>
  <c r="K105" i="72"/>
  <c r="K106" i="72"/>
  <c r="K107" i="72"/>
  <c r="K108" i="72"/>
  <c r="K109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6" i="72"/>
  <c r="K127" i="72"/>
  <c r="J7" i="72"/>
  <c r="J8" i="72"/>
  <c r="J9" i="72"/>
  <c r="J10" i="72"/>
  <c r="J11" i="72"/>
  <c r="J12" i="72"/>
  <c r="J13" i="72"/>
  <c r="J14" i="72"/>
  <c r="J15" i="72"/>
  <c r="J16" i="72"/>
  <c r="J17" i="72"/>
  <c r="J18" i="72"/>
  <c r="J19" i="72"/>
  <c r="J20" i="72"/>
  <c r="J21" i="72"/>
  <c r="J22" i="72"/>
  <c r="J23" i="72"/>
  <c r="J24" i="72"/>
  <c r="J25" i="72"/>
  <c r="J26" i="72"/>
  <c r="J27" i="72"/>
  <c r="J28" i="72"/>
  <c r="J29" i="72"/>
  <c r="J30" i="72"/>
  <c r="J31" i="72"/>
  <c r="J32" i="72"/>
  <c r="J33" i="72"/>
  <c r="J34" i="72"/>
  <c r="J35" i="72"/>
  <c r="J36" i="72"/>
  <c r="J37" i="72"/>
  <c r="J38" i="72"/>
  <c r="J39" i="72"/>
  <c r="J40" i="72"/>
  <c r="J41" i="72"/>
  <c r="J42" i="72"/>
  <c r="J43" i="72"/>
  <c r="J44" i="72"/>
  <c r="J45" i="72"/>
  <c r="J46" i="72"/>
  <c r="J47" i="72"/>
  <c r="J48" i="72"/>
  <c r="J49" i="72"/>
  <c r="J50" i="72"/>
  <c r="J51" i="72"/>
  <c r="J52" i="72"/>
  <c r="J53" i="72"/>
  <c r="J54" i="72"/>
  <c r="J55" i="72"/>
  <c r="J56" i="72"/>
  <c r="J57" i="72"/>
  <c r="J58" i="72"/>
  <c r="J59" i="72"/>
  <c r="J60" i="72"/>
  <c r="J61" i="72"/>
  <c r="J62" i="72"/>
  <c r="J63" i="72"/>
  <c r="J64" i="72"/>
  <c r="J65" i="72"/>
  <c r="J66" i="72"/>
  <c r="J67" i="72"/>
  <c r="J68" i="72"/>
  <c r="J69" i="72"/>
  <c r="J70" i="72"/>
  <c r="J71" i="72"/>
  <c r="J72" i="72"/>
  <c r="J73" i="72"/>
  <c r="J74" i="72"/>
  <c r="J75" i="72"/>
  <c r="J76" i="72"/>
  <c r="J77" i="72"/>
  <c r="J78" i="72"/>
  <c r="J79" i="72"/>
  <c r="J80" i="72"/>
  <c r="J81" i="72"/>
  <c r="J82" i="72"/>
  <c r="J83" i="72"/>
  <c r="J84" i="72"/>
  <c r="J85" i="72"/>
  <c r="J86" i="72"/>
  <c r="J87" i="72"/>
  <c r="J88" i="72"/>
  <c r="J89" i="72"/>
  <c r="J90" i="72"/>
  <c r="J91" i="72"/>
  <c r="J92" i="72"/>
  <c r="J93" i="72"/>
  <c r="J94" i="72"/>
  <c r="J95" i="72"/>
  <c r="J96" i="72"/>
  <c r="J97" i="72"/>
  <c r="J98" i="72"/>
  <c r="J99" i="72"/>
  <c r="J100" i="72"/>
  <c r="J101" i="72"/>
  <c r="J102" i="72"/>
  <c r="J103" i="72"/>
  <c r="J104" i="72"/>
  <c r="J105" i="72"/>
  <c r="J106" i="72"/>
  <c r="J107" i="72"/>
  <c r="J108" i="72"/>
  <c r="J109" i="72"/>
  <c r="J110" i="72"/>
  <c r="J111" i="72"/>
  <c r="J112" i="72"/>
  <c r="J113" i="72"/>
  <c r="J114" i="72"/>
  <c r="J115" i="72"/>
  <c r="J116" i="72"/>
  <c r="J117" i="72"/>
  <c r="J118" i="72"/>
  <c r="J119" i="72"/>
  <c r="J120" i="72"/>
  <c r="J121" i="72"/>
  <c r="J122" i="72"/>
  <c r="J123" i="72"/>
  <c r="J124" i="72"/>
  <c r="J125" i="72"/>
  <c r="J126" i="72"/>
  <c r="J127" i="72"/>
  <c r="I7" i="72"/>
  <c r="I8" i="72"/>
  <c r="I9" i="72"/>
  <c r="I10" i="72"/>
  <c r="I11" i="72"/>
  <c r="I12" i="72"/>
  <c r="I13" i="72"/>
  <c r="I14" i="72"/>
  <c r="I15" i="72"/>
  <c r="I16" i="72"/>
  <c r="I17" i="72"/>
  <c r="I18" i="72"/>
  <c r="I19" i="72"/>
  <c r="I20" i="72"/>
  <c r="I21" i="72"/>
  <c r="I22" i="72"/>
  <c r="I23" i="72"/>
  <c r="I24" i="72"/>
  <c r="I25" i="72"/>
  <c r="I26" i="72"/>
  <c r="I27" i="72"/>
  <c r="I28" i="72"/>
  <c r="I29" i="72"/>
  <c r="I30" i="72"/>
  <c r="I31" i="72"/>
  <c r="I32" i="72"/>
  <c r="I33" i="72"/>
  <c r="I34" i="72"/>
  <c r="I35" i="72"/>
  <c r="I36" i="72"/>
  <c r="I37" i="72"/>
  <c r="I38" i="72"/>
  <c r="I39" i="72"/>
  <c r="I40" i="72"/>
  <c r="I41" i="72"/>
  <c r="I42" i="72"/>
  <c r="I43" i="72"/>
  <c r="I44" i="72"/>
  <c r="I45" i="72"/>
  <c r="I46" i="72"/>
  <c r="I47" i="72"/>
  <c r="I48" i="72"/>
  <c r="I49" i="72"/>
  <c r="I50" i="72"/>
  <c r="I51" i="72"/>
  <c r="I52" i="72"/>
  <c r="I53" i="72"/>
  <c r="I54" i="72"/>
  <c r="I55" i="72"/>
  <c r="I56" i="72"/>
  <c r="I57" i="72"/>
  <c r="I58" i="72"/>
  <c r="I59" i="72"/>
  <c r="I60" i="72"/>
  <c r="I61" i="72"/>
  <c r="I62" i="72"/>
  <c r="I63" i="72"/>
  <c r="I64" i="72"/>
  <c r="I65" i="72"/>
  <c r="I66" i="72"/>
  <c r="I67" i="72"/>
  <c r="I68" i="72"/>
  <c r="I69" i="72"/>
  <c r="I70" i="72"/>
  <c r="I71" i="72"/>
  <c r="I72" i="72"/>
  <c r="I73" i="72"/>
  <c r="I74" i="72"/>
  <c r="I75" i="72"/>
  <c r="I76" i="72"/>
  <c r="I77" i="72"/>
  <c r="I78" i="72"/>
  <c r="I79" i="72"/>
  <c r="I80" i="72"/>
  <c r="I81" i="72"/>
  <c r="I82" i="72"/>
  <c r="I83" i="72"/>
  <c r="I84" i="72"/>
  <c r="I85" i="72"/>
  <c r="I86" i="72"/>
  <c r="I87" i="72"/>
  <c r="I88" i="72"/>
  <c r="I89" i="72"/>
  <c r="I90" i="72"/>
  <c r="I91" i="72"/>
  <c r="I92" i="72"/>
  <c r="I93" i="72"/>
  <c r="I94" i="72"/>
  <c r="I95" i="72"/>
  <c r="I96" i="72"/>
  <c r="I97" i="72"/>
  <c r="I98" i="72"/>
  <c r="I99" i="72"/>
  <c r="I100" i="72"/>
  <c r="I101" i="72"/>
  <c r="I102" i="72"/>
  <c r="I103" i="72"/>
  <c r="I104" i="72"/>
  <c r="I105" i="72"/>
  <c r="I106" i="72"/>
  <c r="I107" i="72"/>
  <c r="I108" i="72"/>
  <c r="I109" i="72"/>
  <c r="I110" i="72"/>
  <c r="I111" i="72"/>
  <c r="I112" i="72"/>
  <c r="I113" i="72"/>
  <c r="I114" i="72"/>
  <c r="I115" i="72"/>
  <c r="I116" i="72"/>
  <c r="I117" i="72"/>
  <c r="I118" i="72"/>
  <c r="I119" i="72"/>
  <c r="I120" i="72"/>
  <c r="I121" i="72"/>
  <c r="I122" i="72"/>
  <c r="I123" i="72"/>
  <c r="I124" i="72"/>
  <c r="I125" i="72"/>
  <c r="I126" i="72"/>
  <c r="I127" i="72"/>
  <c r="H7" i="72"/>
  <c r="H8" i="72"/>
  <c r="H9" i="72"/>
  <c r="H10" i="72"/>
  <c r="H11" i="72"/>
  <c r="H12" i="72"/>
  <c r="H13" i="72"/>
  <c r="H14" i="72"/>
  <c r="H15" i="72"/>
  <c r="H16" i="72"/>
  <c r="H17" i="72"/>
  <c r="H18" i="72"/>
  <c r="H19" i="72"/>
  <c r="H20" i="72"/>
  <c r="H21" i="72"/>
  <c r="H22" i="72"/>
  <c r="H23" i="72"/>
  <c r="H24" i="72"/>
  <c r="H25" i="72"/>
  <c r="H26" i="72"/>
  <c r="H27" i="72"/>
  <c r="H28" i="72"/>
  <c r="H29" i="72"/>
  <c r="H30" i="72"/>
  <c r="H31" i="72"/>
  <c r="H32" i="72"/>
  <c r="H33" i="72"/>
  <c r="H34" i="72"/>
  <c r="H35" i="72"/>
  <c r="H36" i="72"/>
  <c r="H37" i="72"/>
  <c r="H38" i="72"/>
  <c r="H39" i="72"/>
  <c r="H40" i="72"/>
  <c r="H41" i="72"/>
  <c r="H42" i="72"/>
  <c r="H43" i="72"/>
  <c r="H44" i="72"/>
  <c r="H45" i="72"/>
  <c r="H46" i="72"/>
  <c r="H47" i="72"/>
  <c r="H48" i="72"/>
  <c r="H49" i="72"/>
  <c r="H50" i="72"/>
  <c r="H51" i="72"/>
  <c r="H52" i="72"/>
  <c r="H53" i="72"/>
  <c r="H54" i="72"/>
  <c r="H55" i="72"/>
  <c r="H56" i="72"/>
  <c r="H57" i="72"/>
  <c r="H58" i="72"/>
  <c r="H59" i="72"/>
  <c r="H60" i="72"/>
  <c r="H61" i="72"/>
  <c r="H62" i="72"/>
  <c r="H63" i="72"/>
  <c r="H64" i="72"/>
  <c r="H65" i="72"/>
  <c r="H66" i="72"/>
  <c r="H67" i="72"/>
  <c r="H68" i="72"/>
  <c r="H69" i="72"/>
  <c r="H70" i="72"/>
  <c r="H71" i="72"/>
  <c r="H72" i="72"/>
  <c r="H73" i="72"/>
  <c r="H74" i="72"/>
  <c r="H75" i="72"/>
  <c r="H76" i="72"/>
  <c r="H77" i="72"/>
  <c r="H78" i="72"/>
  <c r="H79" i="72"/>
  <c r="H80" i="72"/>
  <c r="H81" i="72"/>
  <c r="H82" i="72"/>
  <c r="H83" i="72"/>
  <c r="H84" i="72"/>
  <c r="H85" i="72"/>
  <c r="H86" i="72"/>
  <c r="H87" i="72"/>
  <c r="H88" i="72"/>
  <c r="H89" i="72"/>
  <c r="H90" i="72"/>
  <c r="H91" i="72"/>
  <c r="H92" i="72"/>
  <c r="H93" i="72"/>
  <c r="H94" i="72"/>
  <c r="H95" i="72"/>
  <c r="H96" i="72"/>
  <c r="H97" i="72"/>
  <c r="H98" i="72"/>
  <c r="H99" i="72"/>
  <c r="H100" i="72"/>
  <c r="H101" i="72"/>
  <c r="H102" i="72"/>
  <c r="H103" i="72"/>
  <c r="H104" i="72"/>
  <c r="H105" i="72"/>
  <c r="H106" i="72"/>
  <c r="H107" i="72"/>
  <c r="H108" i="72"/>
  <c r="H109" i="72"/>
  <c r="H110" i="72"/>
  <c r="H111" i="72"/>
  <c r="H112" i="72"/>
  <c r="H113" i="72"/>
  <c r="H114" i="72"/>
  <c r="H115" i="72"/>
  <c r="H116" i="72"/>
  <c r="H117" i="72"/>
  <c r="H118" i="72"/>
  <c r="H119" i="72"/>
  <c r="H120" i="72"/>
  <c r="H121" i="72"/>
  <c r="H122" i="72"/>
  <c r="H123" i="72"/>
  <c r="H124" i="72"/>
  <c r="H125" i="72"/>
  <c r="H126" i="72"/>
  <c r="H127" i="72"/>
  <c r="G7" i="72"/>
  <c r="T9" i="72" s="1"/>
  <c r="Q12" i="72" s="1"/>
  <c r="G8" i="72"/>
  <c r="G9" i="72"/>
  <c r="G10" i="72"/>
  <c r="G11" i="72"/>
  <c r="G12" i="72"/>
  <c r="G13" i="72"/>
  <c r="G14" i="72"/>
  <c r="G15" i="72"/>
  <c r="G16" i="72"/>
  <c r="G17" i="72"/>
  <c r="G18" i="72"/>
  <c r="G19" i="72"/>
  <c r="G20" i="72"/>
  <c r="G21" i="72"/>
  <c r="G22" i="72"/>
  <c r="G23" i="72"/>
  <c r="G24" i="72"/>
  <c r="G25" i="72"/>
  <c r="G26" i="72"/>
  <c r="G27" i="72"/>
  <c r="G28" i="72"/>
  <c r="G29" i="72"/>
  <c r="G30" i="72"/>
  <c r="G31" i="72"/>
  <c r="G32" i="72"/>
  <c r="G33" i="72"/>
  <c r="G34" i="72"/>
  <c r="G35" i="72"/>
  <c r="G36" i="72"/>
  <c r="G37" i="72"/>
  <c r="G38" i="72"/>
  <c r="G39" i="72"/>
  <c r="G40" i="72"/>
  <c r="G41" i="72"/>
  <c r="G42" i="72"/>
  <c r="G43" i="72"/>
  <c r="G44" i="72"/>
  <c r="G45" i="72"/>
  <c r="G46" i="72"/>
  <c r="G47" i="72"/>
  <c r="G48" i="72"/>
  <c r="G49" i="72"/>
  <c r="G50" i="72"/>
  <c r="G51" i="72"/>
  <c r="G52" i="72"/>
  <c r="G53" i="72"/>
  <c r="G54" i="72"/>
  <c r="G55" i="72"/>
  <c r="G56" i="72"/>
  <c r="G57" i="72"/>
  <c r="G58" i="72"/>
  <c r="G59" i="72"/>
  <c r="G60" i="72"/>
  <c r="G61" i="72"/>
  <c r="G62" i="72"/>
  <c r="G63" i="72"/>
  <c r="G64" i="72"/>
  <c r="G65" i="72"/>
  <c r="G66" i="72"/>
  <c r="G67" i="72"/>
  <c r="G68" i="72"/>
  <c r="G69" i="72"/>
  <c r="G70" i="72"/>
  <c r="G71" i="72"/>
  <c r="G72" i="72"/>
  <c r="G73" i="72"/>
  <c r="G74" i="72"/>
  <c r="G75" i="72"/>
  <c r="G76" i="72"/>
  <c r="G77" i="72"/>
  <c r="G78" i="72"/>
  <c r="G79" i="72"/>
  <c r="G80" i="72"/>
  <c r="G81" i="72"/>
  <c r="G82" i="72"/>
  <c r="G83" i="72"/>
  <c r="G84" i="72"/>
  <c r="G85" i="72"/>
  <c r="G86" i="72"/>
  <c r="G87" i="72"/>
  <c r="G88" i="72"/>
  <c r="G89" i="72"/>
  <c r="G90" i="72"/>
  <c r="G91" i="72"/>
  <c r="G92" i="72"/>
  <c r="G93" i="72"/>
  <c r="G94" i="72"/>
  <c r="G95" i="72"/>
  <c r="G96" i="72"/>
  <c r="G97" i="72"/>
  <c r="G98" i="72"/>
  <c r="G99" i="72"/>
  <c r="G100" i="72"/>
  <c r="G101" i="72"/>
  <c r="G102" i="72"/>
  <c r="G103" i="72"/>
  <c r="G104" i="72"/>
  <c r="G105" i="72"/>
  <c r="G106" i="72"/>
  <c r="G107" i="72"/>
  <c r="G108" i="72"/>
  <c r="G109" i="72"/>
  <c r="G110" i="72"/>
  <c r="G111" i="72"/>
  <c r="G112" i="72"/>
  <c r="G113" i="72"/>
  <c r="G114" i="72"/>
  <c r="G115" i="72"/>
  <c r="G116" i="72"/>
  <c r="G117" i="72"/>
  <c r="G118" i="72"/>
  <c r="G119" i="72"/>
  <c r="G120" i="72"/>
  <c r="G121" i="72"/>
  <c r="G122" i="72"/>
  <c r="G123" i="72"/>
  <c r="G124" i="72"/>
  <c r="G125" i="72"/>
  <c r="G126" i="72"/>
  <c r="G127" i="72"/>
  <c r="F7" i="72"/>
  <c r="F8" i="72"/>
  <c r="F9" i="72"/>
  <c r="F10" i="72"/>
  <c r="F11" i="72"/>
  <c r="F12" i="72"/>
  <c r="F13" i="72"/>
  <c r="F14" i="72"/>
  <c r="F15" i="72"/>
  <c r="F16" i="72"/>
  <c r="F17" i="72"/>
  <c r="F18" i="72"/>
  <c r="F19" i="72"/>
  <c r="F20" i="72"/>
  <c r="F21" i="72"/>
  <c r="F22" i="72"/>
  <c r="F23" i="72"/>
  <c r="F24" i="72"/>
  <c r="F25" i="72"/>
  <c r="F26" i="72"/>
  <c r="F27" i="72"/>
  <c r="F28" i="72"/>
  <c r="F29" i="72"/>
  <c r="F30" i="72"/>
  <c r="F31" i="72"/>
  <c r="F32" i="72"/>
  <c r="F33" i="72"/>
  <c r="F34" i="72"/>
  <c r="F35" i="72"/>
  <c r="F36" i="72"/>
  <c r="F37" i="72"/>
  <c r="F38" i="72"/>
  <c r="F39" i="72"/>
  <c r="F40" i="72"/>
  <c r="F41" i="72"/>
  <c r="F42" i="72"/>
  <c r="F43" i="72"/>
  <c r="F44" i="72"/>
  <c r="F45" i="72"/>
  <c r="F46" i="72"/>
  <c r="F47" i="72"/>
  <c r="F48" i="72"/>
  <c r="F49" i="72"/>
  <c r="F50" i="72"/>
  <c r="F51" i="72"/>
  <c r="F52" i="72"/>
  <c r="F53" i="72"/>
  <c r="F54" i="72"/>
  <c r="F55" i="72"/>
  <c r="F56" i="72"/>
  <c r="F57" i="72"/>
  <c r="F58" i="72"/>
  <c r="F59" i="72"/>
  <c r="F60" i="72"/>
  <c r="F61" i="72"/>
  <c r="F62" i="72"/>
  <c r="F63" i="72"/>
  <c r="F64" i="72"/>
  <c r="F65" i="72"/>
  <c r="F66" i="72"/>
  <c r="F67" i="72"/>
  <c r="F68" i="72"/>
  <c r="F69" i="72"/>
  <c r="F70" i="72"/>
  <c r="F71" i="72"/>
  <c r="F72" i="72"/>
  <c r="F73" i="72"/>
  <c r="F74" i="72"/>
  <c r="F75" i="72"/>
  <c r="F76" i="72"/>
  <c r="F77" i="72"/>
  <c r="F78" i="72"/>
  <c r="F79" i="72"/>
  <c r="F80" i="72"/>
  <c r="F81" i="72"/>
  <c r="F82" i="72"/>
  <c r="F83" i="72"/>
  <c r="F84" i="72"/>
  <c r="F85" i="72"/>
  <c r="F86" i="72"/>
  <c r="F87" i="72"/>
  <c r="F88" i="72"/>
  <c r="F89" i="72"/>
  <c r="F90" i="72"/>
  <c r="F91" i="72"/>
  <c r="F92" i="72"/>
  <c r="F93" i="72"/>
  <c r="F94" i="72"/>
  <c r="F95" i="72"/>
  <c r="F96" i="72"/>
  <c r="F97" i="72"/>
  <c r="F98" i="72"/>
  <c r="F99" i="72"/>
  <c r="F100" i="72"/>
  <c r="F101" i="72"/>
  <c r="F102" i="72"/>
  <c r="F103" i="72"/>
  <c r="F104" i="72"/>
  <c r="F105" i="72"/>
  <c r="F106" i="72"/>
  <c r="F107" i="72"/>
  <c r="F108" i="72"/>
  <c r="F109" i="72"/>
  <c r="F110" i="72"/>
  <c r="F111" i="72"/>
  <c r="F112" i="72"/>
  <c r="F113" i="72"/>
  <c r="F114" i="72"/>
  <c r="F115" i="72"/>
  <c r="F116" i="72"/>
  <c r="F117" i="72"/>
  <c r="F118" i="72"/>
  <c r="F119" i="72"/>
  <c r="F120" i="72"/>
  <c r="F121" i="72"/>
  <c r="F122" i="72"/>
  <c r="F123" i="72"/>
  <c r="F124" i="72"/>
  <c r="F125" i="72"/>
  <c r="F126" i="72"/>
  <c r="F127" i="72"/>
  <c r="E7" i="72"/>
  <c r="E8" i="72"/>
  <c r="E9" i="72"/>
  <c r="E10" i="72"/>
  <c r="E11" i="72"/>
  <c r="E12" i="72"/>
  <c r="E13" i="72"/>
  <c r="E14" i="72"/>
  <c r="E15" i="72"/>
  <c r="E16" i="72"/>
  <c r="E17" i="72"/>
  <c r="E18" i="72"/>
  <c r="E19" i="72"/>
  <c r="E20" i="72"/>
  <c r="E21" i="72"/>
  <c r="E22" i="72"/>
  <c r="E23" i="72"/>
  <c r="E24" i="72"/>
  <c r="E25" i="72"/>
  <c r="E26" i="72"/>
  <c r="E27" i="72"/>
  <c r="E28" i="72"/>
  <c r="E29" i="72"/>
  <c r="E30" i="72"/>
  <c r="E31" i="72"/>
  <c r="E32" i="72"/>
  <c r="E33" i="72"/>
  <c r="E34" i="72"/>
  <c r="E35" i="72"/>
  <c r="E36" i="72"/>
  <c r="E37" i="72"/>
  <c r="E38" i="72"/>
  <c r="E39" i="72"/>
  <c r="E40" i="72"/>
  <c r="E41" i="72"/>
  <c r="E42" i="72"/>
  <c r="E43" i="72"/>
  <c r="E44" i="72"/>
  <c r="E45" i="72"/>
  <c r="E46" i="72"/>
  <c r="E47" i="72"/>
  <c r="E48" i="72"/>
  <c r="E49" i="72"/>
  <c r="E50" i="72"/>
  <c r="E51" i="72"/>
  <c r="E52" i="72"/>
  <c r="E53" i="72"/>
  <c r="E54" i="72"/>
  <c r="E55" i="72"/>
  <c r="E56" i="72"/>
  <c r="E57" i="72"/>
  <c r="E58" i="72"/>
  <c r="E59" i="72"/>
  <c r="E60" i="72"/>
  <c r="E61" i="72"/>
  <c r="E62" i="72"/>
  <c r="E63" i="72"/>
  <c r="E64" i="72"/>
  <c r="E65" i="72"/>
  <c r="E66" i="72"/>
  <c r="E67" i="72"/>
  <c r="E68" i="72"/>
  <c r="E69" i="72"/>
  <c r="E70" i="72"/>
  <c r="E71" i="72"/>
  <c r="E72" i="72"/>
  <c r="E73" i="72"/>
  <c r="E74" i="72"/>
  <c r="E75" i="72"/>
  <c r="E76" i="72"/>
  <c r="E77" i="72"/>
  <c r="E78" i="72"/>
  <c r="E79" i="72"/>
  <c r="E80" i="72"/>
  <c r="E81" i="72"/>
  <c r="E82" i="72"/>
  <c r="E83" i="72"/>
  <c r="E84" i="72"/>
  <c r="E85" i="72"/>
  <c r="E86" i="72"/>
  <c r="E87" i="72"/>
  <c r="E88" i="72"/>
  <c r="E89" i="72"/>
  <c r="E90" i="72"/>
  <c r="E91" i="72"/>
  <c r="E92" i="72"/>
  <c r="E93" i="72"/>
  <c r="E94" i="72"/>
  <c r="E95" i="72"/>
  <c r="E96" i="72"/>
  <c r="E97" i="72"/>
  <c r="E98" i="72"/>
  <c r="E99" i="72"/>
  <c r="E100" i="72"/>
  <c r="E101" i="72"/>
  <c r="E102" i="72"/>
  <c r="E103" i="72"/>
  <c r="E104" i="72"/>
  <c r="E105" i="72"/>
  <c r="E106" i="72"/>
  <c r="E107" i="72"/>
  <c r="E108" i="72"/>
  <c r="E109" i="72"/>
  <c r="E110" i="72"/>
  <c r="E111" i="72"/>
  <c r="E112" i="72"/>
  <c r="E113" i="72"/>
  <c r="E114" i="72"/>
  <c r="E115" i="72"/>
  <c r="E116" i="72"/>
  <c r="E117" i="72"/>
  <c r="E118" i="72"/>
  <c r="E119" i="72"/>
  <c r="E120" i="72"/>
  <c r="E121" i="72"/>
  <c r="E122" i="72"/>
  <c r="E123" i="72"/>
  <c r="E124" i="72"/>
  <c r="E125" i="72"/>
  <c r="E126" i="72"/>
  <c r="E127" i="72"/>
  <c r="D7" i="72"/>
  <c r="D8" i="72"/>
  <c r="U9" i="72" s="1"/>
  <c r="Q13" i="72" s="1"/>
  <c r="D9" i="72"/>
  <c r="D10" i="72"/>
  <c r="D11" i="72"/>
  <c r="D12" i="72"/>
  <c r="D13" i="72"/>
  <c r="D14" i="72"/>
  <c r="D15" i="72"/>
  <c r="D16" i="72"/>
  <c r="D17" i="72"/>
  <c r="D18" i="72"/>
  <c r="D19" i="72"/>
  <c r="D20" i="72"/>
  <c r="D21" i="72"/>
  <c r="D22" i="72"/>
  <c r="D23" i="72"/>
  <c r="D24" i="72"/>
  <c r="D25" i="72"/>
  <c r="D26" i="72"/>
  <c r="D27" i="72"/>
  <c r="D28" i="72"/>
  <c r="D29" i="72"/>
  <c r="D30" i="72"/>
  <c r="D31" i="72"/>
  <c r="D32" i="72"/>
  <c r="D33" i="72"/>
  <c r="D34" i="72"/>
  <c r="D35" i="72"/>
  <c r="D36" i="72"/>
  <c r="D37" i="72"/>
  <c r="D38" i="72"/>
  <c r="D39" i="72"/>
  <c r="D40" i="72"/>
  <c r="D41" i="72"/>
  <c r="D42" i="72"/>
  <c r="D43" i="72"/>
  <c r="D44" i="72"/>
  <c r="D45" i="72"/>
  <c r="D46" i="72"/>
  <c r="D47" i="72"/>
  <c r="D48" i="72"/>
  <c r="D49" i="72"/>
  <c r="D50" i="72"/>
  <c r="D51" i="72"/>
  <c r="D52" i="72"/>
  <c r="D53" i="72"/>
  <c r="D54" i="72"/>
  <c r="D55" i="72"/>
  <c r="D56" i="72"/>
  <c r="D57" i="72"/>
  <c r="D58" i="72"/>
  <c r="D59" i="72"/>
  <c r="D60" i="72"/>
  <c r="D61" i="72"/>
  <c r="D62" i="72"/>
  <c r="D63" i="72"/>
  <c r="D64" i="72"/>
  <c r="D65" i="72"/>
  <c r="D66" i="72"/>
  <c r="D67" i="72"/>
  <c r="D68" i="72"/>
  <c r="D69" i="72"/>
  <c r="D70" i="72"/>
  <c r="D71" i="72"/>
  <c r="D72" i="72"/>
  <c r="D73" i="72"/>
  <c r="D74" i="72"/>
  <c r="D75" i="72"/>
  <c r="D76" i="72"/>
  <c r="D77" i="72"/>
  <c r="D78" i="72"/>
  <c r="D79" i="72"/>
  <c r="D80" i="72"/>
  <c r="D81" i="72"/>
  <c r="D82" i="72"/>
  <c r="D83" i="72"/>
  <c r="D84" i="72"/>
  <c r="D85" i="72"/>
  <c r="D86" i="72"/>
  <c r="D87" i="72"/>
  <c r="D88" i="72"/>
  <c r="D89" i="72"/>
  <c r="D90" i="72"/>
  <c r="D91" i="72"/>
  <c r="D92" i="72"/>
  <c r="D93" i="72"/>
  <c r="D94" i="72"/>
  <c r="D95" i="72"/>
  <c r="D96" i="72"/>
  <c r="D97" i="72"/>
  <c r="D98" i="72"/>
  <c r="D99" i="72"/>
  <c r="D100" i="72"/>
  <c r="D101" i="72"/>
  <c r="D102" i="72"/>
  <c r="D103" i="72"/>
  <c r="D104" i="72"/>
  <c r="D105" i="72"/>
  <c r="D106" i="72"/>
  <c r="D107" i="72"/>
  <c r="D108" i="72"/>
  <c r="D109" i="72"/>
  <c r="D110" i="72"/>
  <c r="D111" i="72"/>
  <c r="D112" i="72"/>
  <c r="D113" i="72"/>
  <c r="D114" i="72"/>
  <c r="D115" i="72"/>
  <c r="D116" i="72"/>
  <c r="D117" i="72"/>
  <c r="D118" i="72"/>
  <c r="D119" i="72"/>
  <c r="D120" i="72"/>
  <c r="D121" i="72"/>
  <c r="D122" i="72"/>
  <c r="D123" i="72"/>
  <c r="D124" i="72"/>
  <c r="D125" i="72"/>
  <c r="D126" i="72"/>
  <c r="D127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49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C62" i="72"/>
  <c r="C63" i="72"/>
  <c r="C64" i="72"/>
  <c r="C65" i="72"/>
  <c r="C66" i="72"/>
  <c r="C67" i="72"/>
  <c r="C68" i="72"/>
  <c r="C69" i="72"/>
  <c r="C70" i="72"/>
  <c r="C71" i="72"/>
  <c r="C72" i="72"/>
  <c r="C73" i="72"/>
  <c r="C74" i="72"/>
  <c r="C75" i="72"/>
  <c r="C76" i="72"/>
  <c r="C77" i="72"/>
  <c r="C78" i="72"/>
  <c r="C79" i="72"/>
  <c r="C80" i="72"/>
  <c r="C81" i="72"/>
  <c r="C82" i="72"/>
  <c r="C83" i="72"/>
  <c r="C84" i="72"/>
  <c r="C85" i="72"/>
  <c r="C86" i="72"/>
  <c r="C87" i="72"/>
  <c r="C88" i="72"/>
  <c r="C89" i="72"/>
  <c r="C90" i="72"/>
  <c r="C91" i="72"/>
  <c r="C92" i="72"/>
  <c r="C93" i="72"/>
  <c r="C94" i="72"/>
  <c r="C95" i="72"/>
  <c r="C96" i="72"/>
  <c r="C97" i="72"/>
  <c r="C98" i="72"/>
  <c r="C99" i="72"/>
  <c r="C100" i="72"/>
  <c r="C101" i="72"/>
  <c r="C102" i="72"/>
  <c r="C103" i="72"/>
  <c r="C104" i="72"/>
  <c r="C105" i="72"/>
  <c r="C106" i="72"/>
  <c r="C107" i="72"/>
  <c r="C108" i="72"/>
  <c r="C109" i="72"/>
  <c r="C110" i="72"/>
  <c r="C111" i="72"/>
  <c r="C112" i="72"/>
  <c r="C113" i="72"/>
  <c r="C114" i="72"/>
  <c r="C115" i="72"/>
  <c r="C116" i="72"/>
  <c r="C117" i="72"/>
  <c r="C118" i="72"/>
  <c r="C119" i="72"/>
  <c r="C120" i="72"/>
  <c r="C121" i="72"/>
  <c r="C122" i="72"/>
  <c r="C123" i="72"/>
  <c r="C124" i="72"/>
  <c r="C125" i="72"/>
  <c r="C126" i="72"/>
  <c r="C127" i="72"/>
  <c r="BD17" i="14"/>
  <c r="BB16" i="14"/>
  <c r="J16" i="14"/>
  <c r="H16" i="14"/>
  <c r="B12" i="72"/>
  <c r="B8" i="72"/>
  <c r="S7" i="72" s="1"/>
  <c r="O11" i="72" s="1"/>
  <c r="B7" i="72"/>
  <c r="B9" i="72"/>
  <c r="B10" i="72"/>
  <c r="B13" i="72"/>
  <c r="B14" i="72"/>
  <c r="B15" i="72"/>
  <c r="B16" i="72"/>
  <c r="B17" i="72"/>
  <c r="B18" i="72"/>
  <c r="B19" i="72"/>
  <c r="B20" i="72"/>
  <c r="B21" i="72"/>
  <c r="B22" i="72"/>
  <c r="B23" i="72"/>
  <c r="B24" i="72"/>
  <c r="B25" i="72"/>
  <c r="B26" i="72"/>
  <c r="B27" i="72"/>
  <c r="B28" i="72"/>
  <c r="B29" i="72"/>
  <c r="B30" i="72"/>
  <c r="B31" i="72"/>
  <c r="B32" i="72"/>
  <c r="B33" i="72"/>
  <c r="B34" i="72"/>
  <c r="B35" i="72"/>
  <c r="B36" i="72"/>
  <c r="B37" i="72"/>
  <c r="B38" i="72"/>
  <c r="B39" i="72"/>
  <c r="B40" i="72"/>
  <c r="B41" i="72"/>
  <c r="B42" i="72"/>
  <c r="B43" i="72"/>
  <c r="B44" i="72"/>
  <c r="B45" i="72"/>
  <c r="B46" i="72"/>
  <c r="B47" i="72"/>
  <c r="B48" i="72"/>
  <c r="B49" i="72"/>
  <c r="B50" i="72"/>
  <c r="B51" i="72"/>
  <c r="B52" i="72"/>
  <c r="B53" i="72"/>
  <c r="B54" i="72"/>
  <c r="B55" i="72"/>
  <c r="B56" i="72"/>
  <c r="B57" i="72"/>
  <c r="B58" i="72"/>
  <c r="B59" i="72"/>
  <c r="B60" i="72"/>
  <c r="B61" i="72"/>
  <c r="B62" i="72"/>
  <c r="B63" i="72"/>
  <c r="B64" i="72"/>
  <c r="B65" i="72"/>
  <c r="B66" i="72"/>
  <c r="B67" i="72"/>
  <c r="B68" i="72"/>
  <c r="B69" i="72"/>
  <c r="B70" i="72"/>
  <c r="B71" i="72"/>
  <c r="B72" i="72"/>
  <c r="B73" i="72"/>
  <c r="B74" i="72"/>
  <c r="B75" i="72"/>
  <c r="B76" i="72"/>
  <c r="B77" i="72"/>
  <c r="B78" i="72"/>
  <c r="B79" i="72"/>
  <c r="B80" i="72"/>
  <c r="B81" i="72"/>
  <c r="B82" i="72"/>
  <c r="B83" i="72"/>
  <c r="B84" i="72"/>
  <c r="B85" i="72"/>
  <c r="B86" i="72"/>
  <c r="B87" i="72"/>
  <c r="B88" i="72"/>
  <c r="B89" i="72"/>
  <c r="B90" i="72"/>
  <c r="B91" i="72"/>
  <c r="B92" i="72"/>
  <c r="B93" i="72"/>
  <c r="B94" i="72"/>
  <c r="B95" i="72"/>
  <c r="B96" i="72"/>
  <c r="B97" i="72"/>
  <c r="B98" i="72"/>
  <c r="B99" i="72"/>
  <c r="B100" i="72"/>
  <c r="B101" i="72"/>
  <c r="B102" i="72"/>
  <c r="B103" i="72"/>
  <c r="B104" i="72"/>
  <c r="B105" i="72"/>
  <c r="B106" i="72"/>
  <c r="B107" i="72"/>
  <c r="B108" i="72"/>
  <c r="B109" i="72"/>
  <c r="B110" i="72"/>
  <c r="B111" i="72"/>
  <c r="B112" i="72"/>
  <c r="B113" i="72"/>
  <c r="B114" i="72"/>
  <c r="B115" i="72"/>
  <c r="B116" i="72"/>
  <c r="B117" i="72"/>
  <c r="B118" i="72"/>
  <c r="B119" i="72"/>
  <c r="B120" i="72"/>
  <c r="B121" i="72"/>
  <c r="B122" i="72"/>
  <c r="B123" i="72"/>
  <c r="B124" i="72"/>
  <c r="B125" i="72"/>
  <c r="B126" i="72"/>
  <c r="B127" i="72"/>
  <c r="BD16" i="14"/>
  <c r="B1" i="14"/>
  <c r="F9" i="73"/>
  <c r="J9" i="73"/>
  <c r="H9" i="73"/>
  <c r="K9" i="73"/>
  <c r="C9" i="73"/>
  <c r="D9" i="73"/>
  <c r="G9" i="73"/>
  <c r="V9" i="72"/>
  <c r="Q14" i="72" s="1"/>
  <c r="W10" i="72"/>
  <c r="R15" i="72" s="1"/>
  <c r="R7" i="72"/>
  <c r="O10" i="72" s="1"/>
  <c r="W13" i="72"/>
  <c r="U15" i="72" s="1"/>
  <c r="V13" i="72"/>
  <c r="U14" i="72" s="1"/>
  <c r="S9" i="72"/>
  <c r="Q11" i="72" s="1"/>
  <c r="X7" i="72"/>
  <c r="O16" i="72" s="1"/>
  <c r="W9" i="72"/>
  <c r="Q15" i="72" s="1"/>
  <c r="T8" i="72"/>
  <c r="P12" i="72" s="1"/>
  <c r="T7" i="72"/>
  <c r="O12" i="72" s="1"/>
  <c r="X14" i="72"/>
  <c r="V16" i="72" s="1"/>
  <c r="W14" i="72"/>
  <c r="V15" i="72" s="1"/>
  <c r="V8" i="72"/>
  <c r="P14" i="72" s="1"/>
  <c r="Q8" i="72"/>
  <c r="P9" i="72" s="1"/>
  <c r="J2" i="72"/>
  <c r="B2" i="72"/>
  <c r="I2" i="72"/>
  <c r="F2" i="72"/>
  <c r="E2" i="72"/>
  <c r="O7" i="73"/>
  <c r="F4" i="72"/>
  <c r="C6" i="14"/>
  <c r="E3" i="72"/>
  <c r="B3" i="72"/>
  <c r="F3" i="72"/>
  <c r="I3" i="72"/>
  <c r="H2" i="72"/>
  <c r="C2" i="72"/>
  <c r="C3" i="72" s="1"/>
  <c r="K2" i="72"/>
  <c r="D2" i="72"/>
  <c r="D4" i="72" s="1"/>
  <c r="G2" i="72"/>
  <c r="G4" i="72"/>
  <c r="B4" i="72"/>
  <c r="H3" i="72"/>
  <c r="J3" i="72"/>
  <c r="D3" i="72"/>
  <c r="E4" i="72"/>
  <c r="G3" i="72"/>
  <c r="C4" i="72"/>
  <c r="I4" i="72"/>
  <c r="J4" i="72"/>
  <c r="H4" i="72"/>
  <c r="K3" i="72"/>
  <c r="K4" i="72"/>
  <c r="W7" i="72" l="1"/>
  <c r="O15" i="72" s="1"/>
  <c r="R8" i="72"/>
  <c r="P10" i="72" s="1"/>
  <c r="V10" i="72"/>
  <c r="R14" i="72" s="1"/>
  <c r="X10" i="72"/>
  <c r="R16" i="72" s="1"/>
  <c r="W11" i="72"/>
  <c r="S15" i="72" s="1"/>
  <c r="W12" i="72"/>
  <c r="T15" i="72" s="1"/>
  <c r="U11" i="72"/>
  <c r="S13" i="72" s="1"/>
  <c r="V11" i="72"/>
  <c r="S14" i="72" s="1"/>
  <c r="X11" i="72"/>
  <c r="S16" i="72" s="1"/>
  <c r="N7" i="72" a="1"/>
  <c r="N7" i="72" s="1"/>
  <c r="V7" i="72"/>
  <c r="O14" i="72" s="1"/>
  <c r="X12" i="72"/>
  <c r="T16" i="72" s="1"/>
  <c r="T10" i="72"/>
  <c r="R12" i="72" s="1"/>
  <c r="Q7" i="72"/>
  <c r="O9" i="72" s="1"/>
  <c r="S10" i="72"/>
  <c r="R11" i="72" s="1"/>
  <c r="X9" i="72"/>
  <c r="Q16" i="72" s="1"/>
  <c r="U12" i="72"/>
  <c r="T13" i="72" s="1"/>
  <c r="U10" i="72"/>
  <c r="R13" i="72" s="1"/>
  <c r="V12" i="72"/>
  <c r="T14" i="72" s="1"/>
  <c r="P7" i="72"/>
  <c r="O8" i="72" s="1"/>
  <c r="E7" i="73"/>
  <c r="E26" i="73" s="1"/>
  <c r="K7" i="73"/>
  <c r="K26" i="73" s="1"/>
  <c r="I7" i="73"/>
  <c r="I26" i="73" s="1"/>
  <c r="H7" i="73"/>
  <c r="H26" i="73" s="1"/>
  <c r="G7" i="73"/>
  <c r="G26" i="73" s="1"/>
  <c r="C7" i="73"/>
  <c r="C26" i="73" s="1"/>
  <c r="J7" i="73"/>
  <c r="J26" i="73" s="1"/>
  <c r="F7" i="73"/>
  <c r="F26" i="73" s="1"/>
  <c r="L7" i="73"/>
  <c r="L26" i="73" s="1"/>
  <c r="B7" i="73"/>
  <c r="D7" i="73"/>
  <c r="D26" i="73" s="1"/>
  <c r="H13" i="73"/>
  <c r="K12" i="73"/>
  <c r="J13" i="73"/>
  <c r="I12" i="73"/>
  <c r="I13" i="73"/>
  <c r="F12" i="73"/>
  <c r="C13" i="73"/>
  <c r="C12" i="73"/>
  <c r="G12" i="73"/>
  <c r="B12" i="73"/>
  <c r="E13" i="73"/>
  <c r="E12" i="73"/>
  <c r="D12" i="73"/>
  <c r="J12" i="73"/>
  <c r="F13" i="73"/>
  <c r="H12" i="73"/>
  <c r="D13" i="73"/>
  <c r="B13" i="73"/>
  <c r="K13" i="73"/>
  <c r="G13" i="73"/>
  <c r="N11" i="72"/>
  <c r="N10" i="72"/>
  <c r="N16" i="72"/>
  <c r="N13" i="72"/>
  <c r="N8" i="72"/>
  <c r="U7" i="72"/>
  <c r="O13" i="72" s="1"/>
  <c r="T11" i="72"/>
  <c r="S12" i="72" s="1"/>
  <c r="S8" i="72"/>
  <c r="P11" i="72" s="1"/>
  <c r="X8" i="72"/>
  <c r="P16" i="72" s="1"/>
  <c r="U8" i="72"/>
  <c r="P13" i="72" s="1"/>
  <c r="W8" i="72"/>
  <c r="P15" i="72" s="1"/>
  <c r="R9" i="72"/>
  <c r="Q10" i="72" s="1"/>
  <c r="X13" i="72"/>
  <c r="U16" i="72" s="1"/>
  <c r="X15" i="72"/>
  <c r="W16" i="72" s="1"/>
  <c r="N14" i="72" l="1"/>
  <c r="N15" i="72"/>
  <c r="N9" i="72"/>
  <c r="N12" i="72"/>
  <c r="L17" i="73"/>
  <c r="M7" i="73"/>
  <c r="B26" i="73"/>
  <c r="B28" i="73" s="1"/>
  <c r="B29" i="73"/>
  <c r="O33" i="73"/>
  <c r="O34" i="73"/>
  <c r="O35" i="73"/>
  <c r="B30" i="73"/>
  <c r="D17" i="73" l="1"/>
  <c r="K17" i="73"/>
  <c r="J17" i="73"/>
  <c r="E17" i="73"/>
  <c r="H17" i="73"/>
  <c r="G17" i="73"/>
  <c r="B17" i="73"/>
  <c r="F17" i="73"/>
  <c r="C17" i="73"/>
  <c r="I17" i="73"/>
  <c r="P35" i="73"/>
  <c r="P34" i="73"/>
  <c r="B19" i="73" l="1"/>
  <c r="N33" i="73"/>
  <c r="M33" i="73"/>
  <c r="N34" i="73"/>
  <c r="N35" i="73"/>
  <c r="M34" i="73"/>
  <c r="M35" i="73"/>
</calcChain>
</file>

<file path=xl/sharedStrings.xml><?xml version="1.0" encoding="utf-8"?>
<sst xmlns="http://schemas.openxmlformats.org/spreadsheetml/2006/main" count="307" uniqueCount="210">
  <si>
    <t>Date</t>
  </si>
  <si>
    <t>Adj Close</t>
  </si>
  <si>
    <t>Lockheed Martin</t>
  </si>
  <si>
    <t>Intel Corp.</t>
  </si>
  <si>
    <t>AT&amp;T</t>
  </si>
  <si>
    <t>Exelon</t>
  </si>
  <si>
    <t>GE</t>
  </si>
  <si>
    <t>Honeywell</t>
  </si>
  <si>
    <t>Schlumberger</t>
  </si>
  <si>
    <t>Avery</t>
  </si>
  <si>
    <t>Merck &amp; Company</t>
  </si>
  <si>
    <t>Budget</t>
  </si>
  <si>
    <t>Returns</t>
  </si>
  <si>
    <t>mean</t>
  </si>
  <si>
    <t>std dev</t>
  </si>
  <si>
    <t>Mean</t>
  </si>
  <si>
    <t>Best fit</t>
  </si>
  <si>
    <t>UNUSED</t>
  </si>
  <si>
    <t>Description</t>
  </si>
  <si>
    <t># Time Blocks/All Groups Must Be Present</t>
  </si>
  <si>
    <t>Constraint Range</t>
  </si>
  <si>
    <t>#Ranges</t>
  </si>
  <si>
    <t>Adj. Range</t>
  </si>
  <si>
    <t>Min Val or Range</t>
  </si>
  <si>
    <t>Max Val Or Range</t>
  </si>
  <si>
    <t>Flags</t>
  </si>
  <si>
    <t>HARD CONSTRAINT DEV</t>
  </si>
  <si>
    <t>CONSTRAINT SOLVER</t>
  </si>
  <si>
    <t>ROFUNC</t>
  </si>
  <si>
    <t>RISKOPT</t>
  </si>
  <si>
    <t>SOFT CONSTRAINT DEV</t>
  </si>
  <si>
    <t>EVAL (True/False or penalty)</t>
  </si>
  <si>
    <t>Type (Hard/Soft)</t>
  </si>
  <si>
    <t>Entry Mode</t>
  </si>
  <si>
    <t>Formula</t>
  </si>
  <si>
    <t>Left Val Or Range</t>
  </si>
  <si>
    <t>Left Operator</t>
  </si>
  <si>
    <t>Constrained Cells</t>
  </si>
  <si>
    <t>Right Operator</t>
  </si>
  <si>
    <t>Right Val Or Range</t>
  </si>
  <si>
    <t>Penalty Function</t>
  </si>
  <si>
    <t>RO Eval Time (Iter/Sim)</t>
  </si>
  <si>
    <t>RO Statistic to Constrain</t>
  </si>
  <si>
    <t>RO Statistic Parameter</t>
  </si>
  <si>
    <t>Formula Conversion Cell (not used in v5)</t>
  </si>
  <si>
    <t>Number Formatting Cell (introduced in v5)</t>
  </si>
  <si>
    <t>Std. Dev.</t>
  </si>
  <si>
    <t>Min</t>
  </si>
  <si>
    <t>Max</t>
  </si>
  <si>
    <t>RISKOpt Tag</t>
  </si>
  <si>
    <t># Chromosomes</t>
  </si>
  <si>
    <t># Constraints</t>
  </si>
  <si>
    <t>Compatibility with Old Versions (4 trips pre-v5 versions)</t>
  </si>
  <si>
    <t>Creation Version</t>
  </si>
  <si>
    <t>Required Version</t>
  </si>
  <si>
    <t>Recommended Version</t>
  </si>
  <si>
    <t>Last Modified by Version</t>
  </si>
  <si>
    <t>Constraint Solver, number of Latin Hypercube stratifications, for reproducing results with Actual Convergence</t>
  </si>
  <si>
    <t>Constraint Solver, total of adjustable cell values, to only pass number of stratifications if model hasn't changed</t>
  </si>
  <si>
    <t>Goal (Cell, Statistic, Parameter), E1: RO Formula to Optimize</t>
  </si>
  <si>
    <t>Goal (Type, Target Value)</t>
  </si>
  <si>
    <t>Population Size</t>
  </si>
  <si>
    <t>Seed (Is Auto, Value)</t>
  </si>
  <si>
    <t>Stop on Errors (before v5: Pause on Errors)</t>
  </si>
  <si>
    <t>Trial Count Stopping (enabled, trial count)</t>
  </si>
  <si>
    <t>Formula Stopping (enabled, formula)</t>
  </si>
  <si>
    <t>Timespan Stopping (enabled, trial count)</t>
  </si>
  <si>
    <t>Progress Stopping (enabled, trial count, max % change, change is percent)</t>
  </si>
  <si>
    <t>Minimize Excel on Startup</t>
  </si>
  <si>
    <t>Show Excel Recalcs (replaces "Update Display" used before v5)</t>
  </si>
  <si>
    <t>Ev4/RO1: Graph Progress</t>
  </si>
  <si>
    <t>Ev4/RO1: Update Display (replaced by Show Excel Recalcs in v5)</t>
  </si>
  <si>
    <t>MACROS</t>
  </si>
  <si>
    <t>Start (enabled, macro)</t>
  </si>
  <si>
    <t>After Storage (enabled, macro)</t>
  </si>
  <si>
    <t>Finish (enabled, macro)</t>
  </si>
  <si>
    <t>5.7.1</t>
  </si>
  <si>
    <t>1.0.0</t>
  </si>
  <si>
    <t>DEFAULT PARENT SELECTION</t>
  </si>
  <si>
    <t>DEFAULT MUTATION</t>
  </si>
  <si>
    <t>DEFAULT CROSSOVER</t>
  </si>
  <si>
    <t>DEFAULT BACKTRACK</t>
  </si>
  <si>
    <t/>
  </si>
  <si>
    <t>ARITHMETIC CROSSOVER</t>
  </si>
  <si>
    <t>HEURISTIC CROSSOVER</t>
  </si>
  <si>
    <t>CAUCHY MUTATION</t>
  </si>
  <si>
    <t>BOUNDARY MUTATION</t>
  </si>
  <si>
    <t>NON-UNIFORM MUTATION</t>
  </si>
  <si>
    <t>LINEAR</t>
  </si>
  <si>
    <t>LOCAL SEARCH</t>
  </si>
  <si>
    <t>RECIPE_x0001_11</t>
  </si>
  <si>
    <t>False,False,False</t>
  </si>
  <si>
    <t>5.0.0</t>
  </si>
  <si>
    <t>Minimum Exp Return</t>
  </si>
  <si>
    <t>Created By Version</t>
  </si>
  <si>
    <t>Modified By Version</t>
  </si>
  <si>
    <t>Count</t>
  </si>
  <si>
    <t>GUID</t>
  </si>
  <si>
    <t>Name</t>
  </si>
  <si>
    <t>Range</t>
  </si>
  <si>
    <t>CRC</t>
  </si>
  <si>
    <t>Options</t>
  </si>
  <si>
    <t>Comp. Graph Serialization</t>
  </si>
  <si>
    <t>PP Graph Serialization</t>
  </si>
  <si>
    <t>QQ Graph Serialization</t>
  </si>
  <si>
    <t>Result Display Options</t>
  </si>
  <si>
    <t>FIT_5824A_7215F</t>
  </si>
  <si>
    <t>Boeing Cie returns</t>
  </si>
  <si>
    <t>Boeing Cie</t>
  </si>
  <si>
    <t>GF1_rK0qDwEACACoAQwjACYANwB+AIcAiACUAKAAhgEpAKIBLQD//wAAAAABAQEAAQQAAAAAAAAAAAElRml0IENvbXBhcmlzb24gZm9yIEJvZWluZyBDaWUgcmV0dXJucwEcUmlza0ludmdhdXNzKDEuMDEwMTsxNTAuODU4KQEBBQABAAEDAQEA/wEBAQEBAAEBAQACAAEBAQEBAAEBAQACAAq/AAHNAADeAADzAAAIAQAdAQAyAQBHAQBcAQBxAQAMAAVJbnB1dAAAJQECAA8ACEludkdhdXNzAAEvAQIAEwAMVW51c2VkIEN1cnZlAAJPAQIAEwAMVW51c2VkIEN1cnZlAAOMAQIAEwAMVW51c2VkIEN1cnZlAARMAQIAEwAMVW51c2VkIEN1cnZlAAU5AQIAEwAMVW51c2VkIEN1cnZlAAZOAQIAEwAMVW51c2VkIEN1cnZlAAcjAQIAEwAMVW51c2VkIEN1cnZlAAgpAQIAEwAMVW51c2VkIEN1cnZlAAlgAQIAjgGYAQEBAgGamZmZmZmpPwAAZmZmZmZm7j8AAAUAAQEBAA==</t>
  </si>
  <si>
    <t>FIT_93769_87792</t>
  </si>
  <si>
    <t>LockheedMartin</t>
  </si>
  <si>
    <t>GF1_rK0qDwEACAChAQwjACYANwB4AIEAggCOAJoAfwEpAJsBLQD//wAAAAABAQEAAQQAAAAAAAAAAAEhRml0IENvbXBhcmlzb24gZm9yIExvY2toZWVkTWFydGluARpSaXNrV2VpYnVsbCgxNy44NDY7MS4wMzc2KQEBBQABAAEDAQEA/wEBAQEBAAEBAQACAAEBAQEBAAEBAQACAAq5AAHHAADXAADsAAABAQAWAQArAQBAAQBVAQBqAQAMAAVJbnB1dAAAJQECAA4AB1dlaWJ1bGwAAS8BAgATAAxVbnVzZWQgQ3VydmUAAk8BAgATAAxVbnVzZWQgQ3VydmUAA4wBAgATAAxVbnVzZWQgQ3VydmUABEwBAgATAAxVbnVzZWQgQ3VydmUABTkBAgATAAxVbnVzZWQgQ3VydmUABk4BAgATAAxVbnVzZWQgQ3VydmUAByMBAgATAAxVbnVzZWQgQ3VydmUACCkBAgATAAxVbnVzZWQgQ3VydmUACWABAgCHAZEBAQECAZqZmZmZmak/AABmZmZmZmbuPwAABQABAQEA</t>
  </si>
  <si>
    <t>FIT_B75C6_36E6</t>
  </si>
  <si>
    <t>IntelCorp</t>
  </si>
  <si>
    <t>GF1_rK0qDwEACACbAQwjACYANwB0AH0AfgCKAJYAeQEpAJUBLQD//wAAAAABAQEAAQQAAAAAAAAAAAEcRml0IENvbXBhcmlzb24gZm9yIEludGVsQ29ycAEbUmlza0dhbW1hKDEwNi4wNTswLjAwOTQ3MDIpAQEFAAEAAQMBAQD/AQEBAQEAAQEBAAIAAQEBAQEAAQEBAAIACrUAAcMAANEAAOYAAPsAABABACUBADoBAE8BAGQBAAwABUlucHV0AAAlAQIADAAFR2FtbWEAAS8BAgATAAxVbnVzZWQgQ3VydmUAAk8BAgATAAxVbnVzZWQgQ3VydmUAA4wBAgATAAxVbnVzZWQgQ3VydmUABEwBAgATAAxVbnVzZWQgQ3VydmUABTkBAgATAAxVbnVzZWQgQ3VydmUABk4BAgATAAxVbnVzZWQgQ3VydmUAByMBAgATAAxVbnVzZWQgQ3VydmUACCkBAgATAAxVbnVzZWQgQ3VydmUACWABAgCBAYsBAQECAZqZmZmZmak/AABmZmZmZmbuPwAABQABAQEA</t>
  </si>
  <si>
    <t>FIT_EB084_81559</t>
  </si>
  <si>
    <t>MerckCie</t>
  </si>
  <si>
    <t>GF1_rK0qDwEACACaAQwjACYANwBzAHwAfQCJAJUAeAEpAJQBLQD//wAAAAABAQEAAQQAAAAAAAAAAAEbRml0IENvbXBhcmlzb24gZm9yIE1lcmNrQ2llARtSaXNrR2FtbWEoMTY2LjMzOzAuMDA2MDMxNSkBAQUAAQABAwEBAP8BAQEBAQABAQEAAgABAQEBAQABAQEAAgAKtAABwgAA0AAA5QAA+gAADwEAJAEAOQEATgEAYwEADAAFSW5wdXQAACUBAgAMAAVHYW1tYQABLwECABMADFVudXNlZCBDdXJ2ZQACTwECABMADFVudXNlZCBDdXJ2ZQADjAECABMADFVudXNlZCBDdXJ2ZQAETAECABMADFVudXNlZCBDdXJ2ZQAFOQECABMADFVudXNlZCBDdXJ2ZQAGTgECABMADFVudXNlZCBDdXJ2ZQAHIwECABMADFVudXNlZCBDdXJ2ZQAIKQECABMADFVudXNlZCBDdXJ2ZQAJYAECAIABigEBAQIBmpmZmZmZqT8AAGZmZmZmZu4/AAAFAAEBAQA=</t>
  </si>
  <si>
    <t>FIT_52604_94321</t>
  </si>
  <si>
    <t>ATT</t>
  </si>
  <si>
    <t>GF1_rK0qDwEACACgAQwjACYANwBzAHwAfQCJAJUAfgEpAJoBLQD//wAAAAABAQEAAQQAAAAAAAAAAAEWRml0IENvbXBhcmlzb24gZm9yIEFUVAEgUmlza0xvZ2xvZ2lzdGljKDA7MS4wMDU0OzI3LjQzMykBAQUAAQABAwEBAP8BAQEBAQABAQEAAgABAQEBAQABAQEAAgAKtAABwgAA1gAA6wAAAAEAFQEAKgEAPwEAVAEAaQEADAAFSW5wdXQAACUBAgASAAtMb2dMb2dpc3RpYwABLwECABMADFVudXNlZCBDdXJ2ZQACTwECABMADFVudXNlZCBDdXJ2ZQADjAECABMADFVudXNlZCBDdXJ2ZQAETAECABMADFVudXNlZCBDdXJ2ZQAFOQECABMADFVudXNlZCBDdXJ2ZQAGTgECABMADFVudXNlZCBDdXJ2ZQAHIwECABMADFVudXNlZCBDdXJ2ZQAIKQECABMADFVudXNlZCBDdXJ2ZQAJYAECAIYBkAEBAQIBmpmZmZmZqT8AAGZmZmZmZu4/AAAFAAEBAQA=</t>
  </si>
  <si>
    <t>FIT_6AA36_983D2</t>
  </si>
  <si>
    <t>GF1_rK0qDwEACACdAQwjACYANwBzAHwAfQCJAJUAewEpAJcBLQD//wAAAAABAQEAAQQAAAAAAAAAAAEZRml0IENvbXBhcmlzb24gZm9yIEV4ZWxvbgEdUmlza0ludmdhdXNzKDEuMDA4MjszODEuODU0NSkBAQUAAQABAwEBAP8BAQEBAQABAQEAAgABAQEBAQABAQEAAgAKtAABwgAA0wAA6AAA/QAAEgEAJwEAPAEAUQEAZgEADAAFSW5wdXQAACUBAgAPAAhJbnZHYXVzcwABLwECABMADFVudXNlZCBDdXJ2ZQACTwECABMADFVudXNlZCBDdXJ2ZQADjAECABMADFVudXNlZCBDdXJ2ZQAETAECABMADFVudXNlZCBDdXJ2ZQAFOQECABMADFVudXNlZCBDdXJ2ZQAGTgECABMADFVudXNlZCBDdXJ2ZQAHIwECABMADFVudXNlZCBDdXJ2ZQAIKQECABMADFVudXNlZCBDdXJ2ZQAJYAECAIMBjQEBAQIBmpmZmZmZqT8AAGZmZmZmZu4/AAAFAAEBAQA=</t>
  </si>
  <si>
    <t>FIT_F3F02_6839C</t>
  </si>
  <si>
    <t>GF1_rK0qDwEACACYAQwjACYANwBuAHcAeACEAJAAdgEpAJIBLQD//wAAAAABAQEAAQQAAAAAAAAAAAEVRml0IENvbXBhcmlzb24gZm9yIEdFARxSaXNrSW52Z2F1c3MoMS4wMDE7MTMyLjQyMTIpAQEFAAEAAQMBAQD/AQEBAQEAAQEBAAIAAQEBAQEAAQEBAAIACq8AAb0AAM4AAOMAAPgAAA0BACIBADcBAEwBAGEBAAwABUlucHV0AAAlAQIADwAISW52R2F1c3MAAS8BAgATAAxVbnVzZWQgQ3VydmUAAk8BAgATAAxVbnVzZWQgQ3VydmUAA4wBAgATAAxVbnVzZWQgQ3VydmUABEwBAgATAAxVbnVzZWQgQ3VydmUABTkBAgATAAxVbnVzZWQgQ3VydmUABk4BAgATAAxVbnVzZWQgQ3VydmUAByMBAgATAAxVbnVzZWQgQ3VydmUACCkBAgATAAxVbnVzZWQgQ3VydmUACWABAgB+AYgBAQECAZqZmZmZmak/AABmZmZmZmbuPwAABQABAQEA</t>
  </si>
  <si>
    <t>FIT_13995_DEBDD</t>
  </si>
  <si>
    <t>GF1_rK0qDwEACACgAQwjACYANwB2AH8AgACMAJgAfgEpAJoBLQD//wAAAAABAQEAAQQAAAAAAAAAAAEcRml0IENvbXBhcmlzb24gZm9yIEhvbmV5d2VsbAEdUmlza0ludmdhdXNzKDEuMDEwMjsxNTEuMTcwNikBAQUAAQABAwEBAP8BAQEBAQABAQEAAgABAQEBAQABAQEAAgAKtwABxQAA1gAA6wAAAAEAFQEAKgEAPwEAVAEAaQEADAAFSW5wdXQAACUBAgAPAAhJbnZHYXVzcwABLwECABMADFVudXNlZCBDdXJ2ZQACTwECABMADFVudXNlZCBDdXJ2ZQADjAECABMADFVudXNlZCBDdXJ2ZQAETAECABMADFVudXNlZCBDdXJ2ZQAFOQECABMADFVudXNlZCBDdXJ2ZQAGTgECABMADFVudXNlZCBDdXJ2ZQAHIwECABMADFVudXNlZCBDdXJ2ZQAIKQECABMADFVudXNlZCBDdXJ2ZQAJYAECAIYBkAEBAQIBmpmZmZmZqT8AAGZmZmZmZu4/AAAFAAEBAQA=</t>
  </si>
  <si>
    <t>FIT_6C5C3_CFCF9</t>
  </si>
  <si>
    <t>GF1_rK0qDwEACACdAQwjACYANwB2AH8AgACMAJgAewEpAJcBLQD//wAAAAABAQEAAQQAAAAAAAAAAAEfRml0IENvbXBhcmlzb24gZm9yIFNjaGx1bWJlcmdlcgEaUmlza0dhbW1hKDEwNS42ODswLjAwOTU5OSkBAQUAAQABAwEBAP8BAQEBAQABAQEAAgABAQEBAQABAQEAAgAKtwABxQAA0wAA6AAA/QAAEgEAJwEAPAEAUQEAZgEADAAFSW5wdXQAACUBAgAMAAVHYW1tYQABLwECABMADFVudXNlZCBDdXJ2ZQACTwECABMADFVudXNlZCBDdXJ2ZQADjAECABMADFVudXNlZCBDdXJ2ZQAETAECABMADFVudXNlZCBDdXJ2ZQAFOQECABMADFVudXNlZCBDdXJ2ZQAGTgECABMADFVudXNlZCBDdXJ2ZQAHIwECABMADFVudXNlZCBDdXJ2ZQAIKQECABMADFVudXNlZCBDdXJ2ZQAJYAECAIMBjQEBAQIBmpmZmZmZqT8AAGZmZmZmZu4/AAAFAAEBAQA=</t>
  </si>
  <si>
    <t>FIT_315F9_EC88B</t>
  </si>
  <si>
    <t>GF1_rK0qDwEACACcAQwjACYANwByAHsAfACIAJQAegEpAJYBLQD//wAAAAABAQEAAQQAAAAAAAAAAAEYRml0IENvbXBhcmlzb24gZm9yIEF2ZXJ5AR1SaXNrSW52Z2F1c3MoMS4wMDAzOzE0Ni41ODU3KQEBBQABAAEDAQEA/wEBAQEBAAEBAQACAAEBAQEBAAEBAQACAAqzAAHBAADSAADnAAD8AAARAQAmAQA7AQBQAQBlAQAMAAVJbnB1dAAAJQECAA8ACEludkdhdXNzAAEvAQIAEwAMVW51c2VkIEN1cnZlAAJPAQIAEwAMVW51c2VkIEN1cnZlAAOMAQIAEwAMVW51c2VkIEN1cnZlAARMAQIAEwAMVW51c2VkIEN1cnZlAAU5AQIAEwAMVW51c2VkIEN1cnZlAAZOAQIAEwAMVW51c2VkIEN1cnZlAAcjAQIAEwAMVW51c2VkIEN1cnZlAAgpAQIAEwAMVW51c2VkIEN1cnZlAAlgAQIAggGMAQEBAgGamZmZmZmpPwAAZmZmZmZm7j8AAAUAAQEBAA==</t>
  </si>
  <si>
    <t>Monthly interest rate</t>
  </si>
  <si>
    <t>percentile points</t>
  </si>
  <si>
    <t>Cash</t>
  </si>
  <si>
    <t>Investment</t>
  </si>
  <si>
    <t>Minimum</t>
  </si>
  <si>
    <t>=</t>
  </si>
  <si>
    <t>Maximum</t>
  </si>
  <si>
    <t>Returns model</t>
  </si>
  <si>
    <t>Log normal</t>
  </si>
  <si>
    <t>Without correlation</t>
  </si>
  <si>
    <t>Total Return (in pp)</t>
  </si>
  <si>
    <t>Std Dev</t>
  </si>
  <si>
    <t>With correlation</t>
  </si>
  <si>
    <t>Exp return</t>
  </si>
  <si>
    <t>Std. dev. (in pp)</t>
  </si>
  <si>
    <t>(in pp)</t>
  </si>
  <si>
    <t>no correl.</t>
  </si>
  <si>
    <t>correl</t>
  </si>
  <si>
    <t>improv. (%)</t>
  </si>
  <si>
    <t>Correlations</t>
  </si>
  <si>
    <t>No correlation</t>
  </si>
  <si>
    <t>Method + #Operators(Legacy)</t>
  </si>
  <si>
    <t>Mutation Rate (Legacy)</t>
  </si>
  <si>
    <t>Crossover Rate (Legacy)</t>
  </si>
  <si>
    <t>Precision (added 6.0)</t>
  </si>
  <si>
    <t>RO Auto Eval Time (added 6.0)</t>
  </si>
  <si>
    <t>Is Disabled</t>
  </si>
  <si>
    <t>Use for EF</t>
  </si>
  <si>
    <t>EF Settings Have Been Defined</t>
  </si>
  <si>
    <t>EF Location of Constraining Values</t>
  </si>
  <si>
    <t>EF Min Constraining Value</t>
  </si>
  <si>
    <t>EF Max Constraining Value</t>
  </si>
  <si>
    <t>EF # of Constraining Values Between Min and Max</t>
  </si>
  <si>
    <t>EF Range with Constraining Values</t>
  </si>
  <si>
    <t>EF # of Constraining Values Listed</t>
  </si>
  <si>
    <t>Out Stats</t>
  </si>
  <si>
    <t>Genetic Algorithm - Discrete Variable Warning Shown</t>
  </si>
  <si>
    <t>ColorOptimizationCells Called</t>
  </si>
  <si>
    <t>VERSION 6.0 SETTINGS</t>
  </si>
  <si>
    <t>Optimization Engine</t>
  </si>
  <si>
    <t>Mutation Rate (becoming a single settings for all adjustable cell groups)</t>
  </si>
  <si>
    <t>Crossover Rate (becoming a single settings for all adjustable cell groups)</t>
  </si>
  <si>
    <t>Genetic Operators (becoming a single settings for all adjustable cell groups)</t>
  </si>
  <si>
    <t>Stopping on Projected Convergence (added in version 6; other simulation runtime settings got moved to @RISK)</t>
  </si>
  <si>
    <t>Same Seed Each Simulation (this was used in RISKOptimizer version 5 and earlier)</t>
  </si>
  <si>
    <t>Sampling Type (this was used in RISKOptimizer version 5 and earlier)</t>
  </si>
  <si>
    <t>EF Stopping Conditions</t>
  </si>
  <si>
    <t>EF Stop on Trials</t>
  </si>
  <si>
    <t>EF Trial Count</t>
  </si>
  <si>
    <t>EF Stop on Time</t>
  </si>
  <si>
    <t>EF Time Duration</t>
  </si>
  <si>
    <t>EF Time Unit</t>
  </si>
  <si>
    <t>EF Stop on Progress</t>
  </si>
  <si>
    <t>EF Trials (Progress)</t>
  </si>
  <si>
    <t>EF Max. Change (Progress)</t>
  </si>
  <si>
    <t>EF Max. Change is Percent (Progress)</t>
  </si>
  <si>
    <t>Sim. Stopping Mode, Tolerance (legacy settings used in v5 and earlier)</t>
  </si>
  <si>
    <t>#Iterations - Sim Stopping (legacy setting used in v5 and earlier))</t>
  </si>
  <si>
    <t>Keep Trial-by-Trial Log (if cell has anything other than False consider True, since Evolver 4 didn't have this setting); this setting no longer used staring with version 6</t>
  </si>
  <si>
    <t>Before Recalc (enabled, macro), starting with v6 RISKOptimizer uses corresponding @RISK macro</t>
  </si>
  <si>
    <t>After Recalc (enabled, macro), starting with v6 RISKOptimizer uses corresponding @RISK macro</t>
  </si>
  <si>
    <t>Macro Before Simulation (enabled, macro), starting with v6, this is legacy setting</t>
  </si>
  <si>
    <t>Macro After Simulation (enabled, macro), starting with v6, this is legacy setting</t>
  </si>
  <si>
    <t>EFFICIENT FRONTIER</t>
  </si>
  <si>
    <t>Analysis Type (Standard vs. Efficient Frontier)</t>
  </si>
  <si>
    <t>EF Item to Constrain</t>
  </si>
  <si>
    <t>EF Constraint Minimum</t>
  </si>
  <si>
    <t>EF Constraint Maximum</t>
  </si>
  <si>
    <t>EF Formula for Dtools</t>
  </si>
  <si>
    <t>1,1,1,1,1,1,1,1,1,1,1</t>
  </si>
  <si>
    <t>Investment policy id</t>
  </si>
  <si>
    <t>Investment id</t>
  </si>
  <si>
    <t>Cash received</t>
  </si>
  <si>
    <t>7.5.2</t>
  </si>
  <si>
    <t>F1	0	0	-1E+300	1E+300	1	0	3	0	1	1	21	BetaGeneral	BetaSubj	Binomial	Expon	ExtValue	Gamma	Geomet	IntUniform	InvGauss	Logistic	LogLogistic	Lognorm	NegBin	Normal	Pareto	Pearson5	Pearson6	Poisson	Triang	Uniform	Weibull	0	1	-1	1	0	1	0	0	0</t>
  </si>
  <si>
    <t xml:space="preserve">0	8								</t>
  </si>
  <si>
    <t>F1	FALSE	1000	0.95</t>
  </si>
  <si>
    <t>8.2.1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</si>
</sst>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quotePrefix="1" applyFill="1" applyAlignment="1">
      <alignment horizontal="left"/>
    </xf>
    <xf numFmtId="0" fontId="0" fillId="0" borderId="0" xfId="0" quotePrefix="1" applyAlignment="1">
      <alignment horizontal="left"/>
    </xf>
    <xf numFmtId="2" fontId="0" fillId="0" borderId="0" xfId="0" applyNumberFormat="1" applyAlignment="1">
      <alignment horizontal="left"/>
    </xf>
    <xf numFmtId="2" fontId="0" fillId="3" borderId="0" xfId="0" applyNumberFormat="1" applyFill="1" applyAlignment="1">
      <alignment horizontal="left"/>
    </xf>
    <xf numFmtId="9" fontId="0" fillId="0" borderId="0" xfId="0" applyNumberFormat="1"/>
    <xf numFmtId="2" fontId="0" fillId="5" borderId="0" xfId="0" applyNumberFormat="1" applyFill="1"/>
    <xf numFmtId="0" fontId="0" fillId="0" borderId="0" xfId="0" applyAlignment="1">
      <alignment horizontal="center"/>
    </xf>
    <xf numFmtId="0" fontId="0" fillId="6" borderId="0" xfId="0" applyFill="1"/>
    <xf numFmtId="0" fontId="0" fillId="2" borderId="0" xfId="0" applyFill="1"/>
    <xf numFmtId="0" fontId="0" fillId="0" borderId="2" xfId="0" applyBorder="1"/>
    <xf numFmtId="2" fontId="0" fillId="2" borderId="0" xfId="0" applyNumberFormat="1" applyFill="1"/>
    <xf numFmtId="9" fontId="0" fillId="0" borderId="2" xfId="0" applyNumberFormat="1" applyBorder="1"/>
    <xf numFmtId="9" fontId="0" fillId="0" borderId="2" xfId="1" applyFont="1" applyBorder="1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2" fontId="0" fillId="7" borderId="0" xfId="0" applyNumberFormat="1" applyFill="1"/>
    <xf numFmtId="0" fontId="0" fillId="7" borderId="0" xfId="0" applyFill="1"/>
    <xf numFmtId="0" fontId="0" fillId="0" borderId="0" xfId="0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862692</xdr:colOff>
      <xdr:row>12</xdr:row>
      <xdr:rowOff>125186</xdr:rowOff>
    </xdr:from>
    <xdr:to>
      <xdr:col>11</xdr:col>
      <xdr:colOff>50830</xdr:colOff>
      <xdr:row>38</xdr:row>
      <xdr:rowOff>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4121" y="2411186"/>
          <a:ext cx="7025852" cy="4828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4"/>
  <sheetViews>
    <sheetView workbookViewId="0">
      <selection sqref="A1:K22"/>
    </sheetView>
  </sheetViews>
  <sheetFormatPr baseColWidth="10" defaultColWidth="9.140625" defaultRowHeight="15" x14ac:dyDescent="0.25"/>
  <cols>
    <col min="1" max="11" width="18" customWidth="1"/>
  </cols>
  <sheetData>
    <row r="1" spans="1:11" x14ac:dyDescent="0.25">
      <c r="B1" t="s">
        <v>108</v>
      </c>
      <c r="C1" t="s">
        <v>2</v>
      </c>
      <c r="D1" t="s">
        <v>3</v>
      </c>
      <c r="E1" t="s">
        <v>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</row>
    <row r="3" spans="1:11" x14ac:dyDescent="0.25">
      <c r="A3" s="1">
        <v>40967</v>
      </c>
      <c r="B3">
        <v>75.16</v>
      </c>
      <c r="C3">
        <v>88.7</v>
      </c>
      <c r="D3">
        <v>27.24</v>
      </c>
      <c r="E3">
        <v>38.380000000000003</v>
      </c>
      <c r="F3">
        <v>30.53</v>
      </c>
      <c r="G3">
        <v>39.01</v>
      </c>
      <c r="H3">
        <v>19.16</v>
      </c>
      <c r="I3">
        <v>59.75</v>
      </c>
      <c r="J3">
        <v>78.78</v>
      </c>
      <c r="K3">
        <v>30.86</v>
      </c>
    </row>
    <row r="4" spans="1:11" x14ac:dyDescent="0.25">
      <c r="A4" s="1">
        <v>40939</v>
      </c>
      <c r="B4">
        <v>73.75</v>
      </c>
      <c r="C4">
        <v>81.400000000000006</v>
      </c>
      <c r="D4">
        <v>26.21</v>
      </c>
      <c r="E4">
        <v>38.270000000000003</v>
      </c>
      <c r="F4">
        <v>29.41</v>
      </c>
      <c r="G4">
        <v>39.26</v>
      </c>
      <c r="H4">
        <v>18.55</v>
      </c>
      <c r="I4">
        <v>57.68</v>
      </c>
      <c r="J4">
        <v>74.91</v>
      </c>
      <c r="K4">
        <v>27.15</v>
      </c>
    </row>
    <row r="5" spans="1:11" x14ac:dyDescent="0.25">
      <c r="A5" s="1">
        <v>40907</v>
      </c>
      <c r="B5">
        <v>72.92</v>
      </c>
      <c r="C5">
        <v>80</v>
      </c>
      <c r="D5">
        <v>24.06</v>
      </c>
      <c r="E5">
        <v>37.700000000000003</v>
      </c>
      <c r="F5">
        <v>29.8</v>
      </c>
      <c r="G5">
        <v>42.8</v>
      </c>
      <c r="H5">
        <v>17.75</v>
      </c>
      <c r="I5">
        <v>54.01</v>
      </c>
      <c r="J5">
        <v>68.069999999999993</v>
      </c>
      <c r="K5">
        <v>28.68</v>
      </c>
    </row>
    <row r="6" spans="1:11" x14ac:dyDescent="0.25">
      <c r="A6" s="1">
        <v>40877</v>
      </c>
      <c r="B6">
        <v>68.290000000000006</v>
      </c>
      <c r="C6">
        <v>77.28</v>
      </c>
      <c r="D6">
        <v>24.71</v>
      </c>
      <c r="E6">
        <v>35.33</v>
      </c>
      <c r="F6">
        <v>28.56</v>
      </c>
      <c r="G6">
        <v>43.73</v>
      </c>
      <c r="H6">
        <v>15.62</v>
      </c>
      <c r="I6">
        <v>53.81</v>
      </c>
      <c r="J6">
        <v>75.06</v>
      </c>
      <c r="K6">
        <v>25.97</v>
      </c>
    </row>
    <row r="7" spans="1:11" x14ac:dyDescent="0.25">
      <c r="A7" s="1">
        <v>40847</v>
      </c>
      <c r="B7">
        <v>64.989999999999995</v>
      </c>
      <c r="C7">
        <v>74.09</v>
      </c>
      <c r="D7">
        <v>24.13</v>
      </c>
      <c r="E7">
        <v>34.090000000000003</v>
      </c>
      <c r="F7">
        <v>28.89</v>
      </c>
      <c r="G7">
        <v>43.29</v>
      </c>
      <c r="H7">
        <v>16.399999999999999</v>
      </c>
      <c r="I7">
        <v>51.72</v>
      </c>
      <c r="J7">
        <v>72.95</v>
      </c>
      <c r="K7">
        <v>26.35</v>
      </c>
    </row>
    <row r="8" spans="1:11" x14ac:dyDescent="0.25">
      <c r="A8" s="1">
        <v>40816</v>
      </c>
      <c r="B8">
        <v>59.77</v>
      </c>
      <c r="C8">
        <v>70.91</v>
      </c>
      <c r="D8">
        <v>20.98</v>
      </c>
      <c r="E8">
        <v>32.31</v>
      </c>
      <c r="F8">
        <v>27.68</v>
      </c>
      <c r="G8">
        <v>41.56</v>
      </c>
      <c r="H8">
        <v>14.94</v>
      </c>
      <c r="I8">
        <v>43.34</v>
      </c>
      <c r="J8">
        <v>59.3</v>
      </c>
      <c r="K8">
        <v>24.85</v>
      </c>
    </row>
    <row r="9" spans="1:11" x14ac:dyDescent="0.25">
      <c r="A9" s="1">
        <v>40786</v>
      </c>
      <c r="B9">
        <v>66.05</v>
      </c>
      <c r="C9">
        <v>72.42</v>
      </c>
      <c r="D9">
        <v>19.79</v>
      </c>
      <c r="E9">
        <v>32.32</v>
      </c>
      <c r="F9">
        <v>27.64</v>
      </c>
      <c r="G9">
        <v>42.06</v>
      </c>
      <c r="H9">
        <v>15.86</v>
      </c>
      <c r="I9">
        <v>47.19</v>
      </c>
      <c r="J9">
        <v>77.56</v>
      </c>
      <c r="K9">
        <v>28.59</v>
      </c>
    </row>
    <row r="10" spans="1:11" x14ac:dyDescent="0.25">
      <c r="A10" s="1">
        <v>40753</v>
      </c>
      <c r="B10">
        <v>69.14</v>
      </c>
      <c r="C10">
        <v>73.17</v>
      </c>
      <c r="D10">
        <v>21.75</v>
      </c>
      <c r="E10">
        <v>33.32</v>
      </c>
      <c r="F10">
        <v>28.4</v>
      </c>
      <c r="G10">
        <v>42.42</v>
      </c>
      <c r="H10">
        <v>17.420000000000002</v>
      </c>
      <c r="I10">
        <v>52.03</v>
      </c>
      <c r="J10">
        <v>89.44</v>
      </c>
      <c r="K10">
        <v>30.98</v>
      </c>
    </row>
    <row r="11" spans="1:11" x14ac:dyDescent="0.25">
      <c r="A11" s="1">
        <v>40724</v>
      </c>
      <c r="B11">
        <v>72.540000000000006</v>
      </c>
      <c r="C11">
        <v>78.239999999999995</v>
      </c>
      <c r="D11">
        <v>21.58</v>
      </c>
      <c r="E11">
        <v>34.46</v>
      </c>
      <c r="F11">
        <v>30.07</v>
      </c>
      <c r="G11">
        <v>41.24</v>
      </c>
      <c r="H11">
        <v>18.34</v>
      </c>
      <c r="I11">
        <v>58.39</v>
      </c>
      <c r="J11">
        <v>85.51</v>
      </c>
      <c r="K11">
        <v>37.93</v>
      </c>
    </row>
    <row r="12" spans="1:11" x14ac:dyDescent="0.25">
      <c r="A12" s="1">
        <v>40694</v>
      </c>
      <c r="B12">
        <v>76.56</v>
      </c>
      <c r="C12">
        <v>75.27</v>
      </c>
      <c r="D12">
        <v>21.92</v>
      </c>
      <c r="E12">
        <v>35.5</v>
      </c>
      <c r="F12">
        <v>30.21</v>
      </c>
      <c r="G12">
        <v>40.29</v>
      </c>
      <c r="H12">
        <v>18.940000000000001</v>
      </c>
      <c r="I12">
        <v>58.35</v>
      </c>
      <c r="J12">
        <v>84.83</v>
      </c>
      <c r="K12">
        <v>41.58</v>
      </c>
    </row>
    <row r="13" spans="1:11" x14ac:dyDescent="0.25">
      <c r="A13" s="1">
        <v>40662</v>
      </c>
      <c r="B13">
        <v>77.87</v>
      </c>
      <c r="C13">
        <v>75.84</v>
      </c>
      <c r="D13">
        <v>22.37</v>
      </c>
      <c r="E13">
        <v>34.729999999999997</v>
      </c>
      <c r="F13">
        <v>29.79</v>
      </c>
      <c r="G13">
        <v>40.090000000000003</v>
      </c>
      <c r="H13">
        <v>19.72</v>
      </c>
      <c r="I13">
        <v>59.66</v>
      </c>
      <c r="J13">
        <v>88.56</v>
      </c>
      <c r="K13">
        <v>40.74</v>
      </c>
    </row>
    <row r="14" spans="1:11" x14ac:dyDescent="0.25">
      <c r="A14" s="1">
        <v>40633</v>
      </c>
      <c r="B14">
        <v>72.16</v>
      </c>
      <c r="C14">
        <v>76.94</v>
      </c>
      <c r="D14">
        <v>19.5</v>
      </c>
      <c r="E14">
        <v>31.89</v>
      </c>
      <c r="F14">
        <v>28.89</v>
      </c>
      <c r="G14">
        <v>39.200000000000003</v>
      </c>
      <c r="H14">
        <v>19.34</v>
      </c>
      <c r="I14">
        <v>58.18</v>
      </c>
      <c r="J14">
        <v>92.03</v>
      </c>
      <c r="K14">
        <v>40.96</v>
      </c>
    </row>
    <row r="15" spans="1:11" x14ac:dyDescent="0.25">
      <c r="A15" s="1">
        <v>40602</v>
      </c>
      <c r="B15">
        <v>70.28</v>
      </c>
      <c r="C15">
        <v>75.75</v>
      </c>
      <c r="D15">
        <v>20.75</v>
      </c>
      <c r="E15">
        <v>31.1</v>
      </c>
      <c r="F15">
        <v>26.79</v>
      </c>
      <c r="G15">
        <v>39.700000000000003</v>
      </c>
      <c r="H15">
        <v>20.18</v>
      </c>
      <c r="I15">
        <v>56.42</v>
      </c>
      <c r="J15">
        <v>92.18</v>
      </c>
      <c r="K15">
        <v>38.97</v>
      </c>
    </row>
    <row r="16" spans="1:11" x14ac:dyDescent="0.25">
      <c r="A16" s="1">
        <v>40574</v>
      </c>
      <c r="B16">
        <v>67.42</v>
      </c>
      <c r="C16">
        <v>75.459999999999994</v>
      </c>
      <c r="D16">
        <v>20.56</v>
      </c>
      <c r="E16">
        <v>31.67</v>
      </c>
      <c r="F16">
        <v>25.98</v>
      </c>
      <c r="G16">
        <v>39.92</v>
      </c>
      <c r="H16">
        <v>19.29</v>
      </c>
      <c r="I16">
        <v>54.25</v>
      </c>
      <c r="J16">
        <v>87.57</v>
      </c>
      <c r="K16">
        <v>40.82</v>
      </c>
    </row>
    <row r="17" spans="1:11" x14ac:dyDescent="0.25">
      <c r="A17" s="1">
        <v>40543</v>
      </c>
      <c r="B17">
        <v>63.33</v>
      </c>
      <c r="C17">
        <v>66.27</v>
      </c>
      <c r="D17">
        <v>20.149999999999999</v>
      </c>
      <c r="E17">
        <v>34.409999999999997</v>
      </c>
      <c r="F17">
        <v>27.34</v>
      </c>
      <c r="G17">
        <v>39.1</v>
      </c>
      <c r="H17">
        <v>17.52</v>
      </c>
      <c r="I17">
        <v>51.49</v>
      </c>
      <c r="J17">
        <v>82.17</v>
      </c>
      <c r="K17">
        <v>41.07</v>
      </c>
    </row>
    <row r="18" spans="1:11" x14ac:dyDescent="0.25">
      <c r="A18" s="1">
        <v>40512</v>
      </c>
      <c r="B18">
        <v>61.88</v>
      </c>
      <c r="C18">
        <v>64.5</v>
      </c>
      <c r="D18">
        <v>20.27</v>
      </c>
      <c r="E18">
        <v>32.56</v>
      </c>
      <c r="F18">
        <v>25.86</v>
      </c>
      <c r="G18">
        <v>36.97</v>
      </c>
      <c r="H18">
        <v>15.04</v>
      </c>
      <c r="I18">
        <v>48.15</v>
      </c>
      <c r="J18">
        <v>76.099999999999994</v>
      </c>
      <c r="K18">
        <v>36.409999999999997</v>
      </c>
    </row>
    <row r="19" spans="1:11" x14ac:dyDescent="0.25">
      <c r="A19" s="1">
        <v>40480</v>
      </c>
      <c r="B19">
        <v>68.14</v>
      </c>
      <c r="C19">
        <v>66.849999999999994</v>
      </c>
      <c r="D19">
        <v>19.059999999999999</v>
      </c>
      <c r="E19">
        <v>34.299999999999997</v>
      </c>
      <c r="F19">
        <v>26.54</v>
      </c>
      <c r="G19">
        <v>37.85</v>
      </c>
      <c r="H19">
        <v>15.22</v>
      </c>
      <c r="I19">
        <v>45.35</v>
      </c>
      <c r="J19">
        <v>68.58</v>
      </c>
      <c r="K19">
        <v>35.07</v>
      </c>
    </row>
    <row r="20" spans="1:11" x14ac:dyDescent="0.25">
      <c r="A20" s="1">
        <v>40451</v>
      </c>
      <c r="B20">
        <v>64.180000000000007</v>
      </c>
      <c r="C20">
        <v>66.84</v>
      </c>
      <c r="D20">
        <v>18.25</v>
      </c>
      <c r="E20">
        <v>34.770000000000003</v>
      </c>
      <c r="F20">
        <v>26.23</v>
      </c>
      <c r="G20">
        <v>39.479999999999997</v>
      </c>
      <c r="H20">
        <v>15.44</v>
      </c>
      <c r="I20">
        <v>42.3</v>
      </c>
      <c r="J20">
        <v>60.46</v>
      </c>
      <c r="K20">
        <v>35.81</v>
      </c>
    </row>
    <row r="21" spans="1:11" x14ac:dyDescent="0.25">
      <c r="A21" s="1">
        <v>40421</v>
      </c>
      <c r="B21">
        <v>58.96</v>
      </c>
      <c r="C21">
        <v>65.19</v>
      </c>
      <c r="D21">
        <v>16.8</v>
      </c>
      <c r="E21">
        <v>32.869999999999997</v>
      </c>
      <c r="F21">
        <v>24.79</v>
      </c>
      <c r="G21">
        <v>37.76</v>
      </c>
      <c r="H21">
        <v>13.66</v>
      </c>
      <c r="I21">
        <v>37.6</v>
      </c>
      <c r="J21">
        <v>52.33</v>
      </c>
      <c r="K21">
        <v>31.38</v>
      </c>
    </row>
    <row r="22" spans="1:11" x14ac:dyDescent="0.25">
      <c r="A22" s="1">
        <v>40389</v>
      </c>
      <c r="B22">
        <v>65.33</v>
      </c>
      <c r="C22">
        <v>69.849999999999994</v>
      </c>
      <c r="D22">
        <v>19.440000000000001</v>
      </c>
      <c r="E22">
        <v>32.22</v>
      </c>
      <c r="F22">
        <v>23.79</v>
      </c>
      <c r="G22">
        <v>38.299999999999997</v>
      </c>
      <c r="H22">
        <v>15.21</v>
      </c>
      <c r="I22">
        <v>40.96</v>
      </c>
      <c r="J22">
        <v>58.32</v>
      </c>
      <c r="K22">
        <v>34.380000000000003</v>
      </c>
    </row>
    <row r="23" spans="1:11" x14ac:dyDescent="0.25">
      <c r="A23" s="1">
        <v>40359</v>
      </c>
      <c r="B23">
        <v>60.16</v>
      </c>
      <c r="C23">
        <v>69.25</v>
      </c>
      <c r="D23">
        <v>18.350000000000001</v>
      </c>
      <c r="E23">
        <v>32.69</v>
      </c>
      <c r="F23">
        <v>21.8</v>
      </c>
      <c r="G23">
        <v>34.770000000000003</v>
      </c>
      <c r="H23">
        <v>13.6</v>
      </c>
      <c r="I23">
        <v>37.299999999999997</v>
      </c>
      <c r="J23">
        <v>54.1</v>
      </c>
      <c r="K23">
        <v>30.81</v>
      </c>
    </row>
    <row r="24" spans="1:11" x14ac:dyDescent="0.25">
      <c r="A24" s="1">
        <v>40326</v>
      </c>
      <c r="B24">
        <v>61.53</v>
      </c>
      <c r="C24">
        <v>74.28</v>
      </c>
      <c r="D24">
        <v>20.21</v>
      </c>
      <c r="E24">
        <v>31.15</v>
      </c>
      <c r="F24">
        <v>21.9</v>
      </c>
      <c r="G24">
        <v>35.340000000000003</v>
      </c>
      <c r="H24">
        <v>15.33</v>
      </c>
      <c r="I24">
        <v>40.880000000000003</v>
      </c>
      <c r="J24">
        <v>54.89</v>
      </c>
      <c r="K24">
        <v>32.78</v>
      </c>
    </row>
    <row r="25" spans="1:11" x14ac:dyDescent="0.25">
      <c r="A25" s="1">
        <v>40298</v>
      </c>
      <c r="B25">
        <v>69.040000000000006</v>
      </c>
      <c r="C25">
        <v>78.28</v>
      </c>
      <c r="D25">
        <v>21.4</v>
      </c>
      <c r="E25">
        <v>32.4</v>
      </c>
      <c r="F25">
        <v>23.49</v>
      </c>
      <c r="G25">
        <v>39.42</v>
      </c>
      <c r="H25">
        <v>17.68</v>
      </c>
      <c r="I25">
        <v>45.06</v>
      </c>
      <c r="J25">
        <v>69.58</v>
      </c>
      <c r="K25">
        <v>37.21</v>
      </c>
    </row>
    <row r="26" spans="1:11" x14ac:dyDescent="0.25">
      <c r="A26" s="1">
        <v>40268</v>
      </c>
      <c r="B26">
        <v>69.209999999999994</v>
      </c>
      <c r="C26">
        <v>76.739999999999995</v>
      </c>
      <c r="D26">
        <v>20.88</v>
      </c>
      <c r="E26">
        <v>34.54</v>
      </c>
      <c r="F26">
        <v>22.92</v>
      </c>
      <c r="G26">
        <v>39.619999999999997</v>
      </c>
      <c r="H26">
        <v>17.059999999999999</v>
      </c>
      <c r="I26">
        <v>42.98</v>
      </c>
      <c r="J26">
        <v>61.82</v>
      </c>
      <c r="K26">
        <v>34.71</v>
      </c>
    </row>
    <row r="27" spans="1:11" x14ac:dyDescent="0.25">
      <c r="A27" s="1">
        <v>40235</v>
      </c>
      <c r="B27">
        <v>60.2</v>
      </c>
      <c r="C27">
        <v>71.709999999999994</v>
      </c>
      <c r="D27">
        <v>19.23</v>
      </c>
      <c r="E27">
        <v>33.75</v>
      </c>
      <c r="F27">
        <v>22</v>
      </c>
      <c r="G27">
        <v>39.159999999999997</v>
      </c>
      <c r="H27">
        <v>15.05</v>
      </c>
      <c r="I27">
        <v>38.119999999999997</v>
      </c>
      <c r="J27">
        <v>59.52</v>
      </c>
      <c r="K27">
        <v>29.94</v>
      </c>
    </row>
    <row r="28" spans="1:11" x14ac:dyDescent="0.25">
      <c r="A28" s="1">
        <v>40207</v>
      </c>
      <c r="B28">
        <v>57.37</v>
      </c>
      <c r="C28">
        <v>68.16</v>
      </c>
      <c r="D28">
        <v>18.03</v>
      </c>
      <c r="E28">
        <v>34.94</v>
      </c>
      <c r="F28">
        <v>22.49</v>
      </c>
      <c r="G28">
        <v>40.770000000000003</v>
      </c>
      <c r="H28">
        <v>14.98</v>
      </c>
      <c r="I28">
        <v>36.4</v>
      </c>
      <c r="J28">
        <v>61.62</v>
      </c>
      <c r="K28">
        <v>30.8</v>
      </c>
    </row>
    <row r="29" spans="1:11" x14ac:dyDescent="0.25">
      <c r="A29" s="1">
        <v>40178</v>
      </c>
      <c r="B29">
        <v>51.25</v>
      </c>
      <c r="C29">
        <v>68.92</v>
      </c>
      <c r="D29">
        <v>18.96</v>
      </c>
      <c r="E29">
        <v>33.44</v>
      </c>
      <c r="F29">
        <v>24.49</v>
      </c>
      <c r="G29">
        <v>43.67</v>
      </c>
      <c r="H29">
        <v>14.09</v>
      </c>
      <c r="I29">
        <v>36.92</v>
      </c>
      <c r="J29">
        <v>63.2</v>
      </c>
      <c r="K29">
        <v>34.57</v>
      </c>
    </row>
    <row r="30" spans="1:11" x14ac:dyDescent="0.25">
      <c r="A30" s="1">
        <v>40147</v>
      </c>
      <c r="B30">
        <v>49.62</v>
      </c>
      <c r="C30">
        <v>70.64</v>
      </c>
      <c r="D30">
        <v>17.850000000000001</v>
      </c>
      <c r="E30">
        <v>32.799999999999997</v>
      </c>
      <c r="F30">
        <v>23.54</v>
      </c>
      <c r="G30">
        <v>43.06</v>
      </c>
      <c r="H30">
        <v>14.83</v>
      </c>
      <c r="I30">
        <v>36.24</v>
      </c>
      <c r="J30">
        <v>62.04</v>
      </c>
      <c r="K30">
        <v>35.58</v>
      </c>
    </row>
    <row r="31" spans="1:11" x14ac:dyDescent="0.25">
      <c r="A31" s="1">
        <v>40116</v>
      </c>
      <c r="B31">
        <v>44.86</v>
      </c>
      <c r="C31">
        <v>62.41</v>
      </c>
      <c r="D31">
        <v>17.63</v>
      </c>
      <c r="E31">
        <v>28.02</v>
      </c>
      <c r="F31">
        <v>22.43</v>
      </c>
      <c r="G31">
        <v>41.5</v>
      </c>
      <c r="H31">
        <v>13.2</v>
      </c>
      <c r="I31">
        <v>33.549999999999997</v>
      </c>
      <c r="J31">
        <v>60.2</v>
      </c>
      <c r="K31">
        <v>33.6</v>
      </c>
    </row>
    <row r="32" spans="1:11" x14ac:dyDescent="0.25">
      <c r="A32" s="1">
        <v>40086</v>
      </c>
      <c r="B32">
        <v>50.82</v>
      </c>
      <c r="C32">
        <v>70.84</v>
      </c>
      <c r="D32">
        <v>18.05</v>
      </c>
      <c r="E32">
        <v>28.65</v>
      </c>
      <c r="F32">
        <v>23.25</v>
      </c>
      <c r="G32">
        <v>43.85</v>
      </c>
      <c r="H32">
        <v>15.2</v>
      </c>
      <c r="I32">
        <v>34.729999999999997</v>
      </c>
      <c r="J32">
        <v>57.68</v>
      </c>
      <c r="K32">
        <v>33.93</v>
      </c>
    </row>
    <row r="33" spans="1:11" x14ac:dyDescent="0.25">
      <c r="A33" s="1">
        <v>40056</v>
      </c>
      <c r="B33">
        <v>46.61</v>
      </c>
      <c r="C33">
        <v>68.03</v>
      </c>
      <c r="D33">
        <v>18.739999999999998</v>
      </c>
      <c r="E33">
        <v>29.02</v>
      </c>
      <c r="F33">
        <v>22.42</v>
      </c>
      <c r="G33">
        <v>44.21</v>
      </c>
      <c r="H33">
        <v>12.79</v>
      </c>
      <c r="I33">
        <v>34.36</v>
      </c>
      <c r="J33">
        <v>54.39</v>
      </c>
      <c r="K33">
        <v>29.12</v>
      </c>
    </row>
    <row r="34" spans="1:11" x14ac:dyDescent="0.25">
      <c r="A34" s="1">
        <v>40025</v>
      </c>
      <c r="B34">
        <v>39.89</v>
      </c>
      <c r="C34">
        <v>67.319999999999993</v>
      </c>
      <c r="D34">
        <v>17.63</v>
      </c>
      <c r="E34">
        <v>26.86</v>
      </c>
      <c r="F34">
        <v>22.57</v>
      </c>
      <c r="G34">
        <v>44.48</v>
      </c>
      <c r="H34">
        <v>12.33</v>
      </c>
      <c r="I34">
        <v>32.15</v>
      </c>
      <c r="J34">
        <v>51.59</v>
      </c>
      <c r="K34">
        <v>25.03</v>
      </c>
    </row>
    <row r="35" spans="1:11" x14ac:dyDescent="0.25">
      <c r="A35" s="1">
        <v>39994</v>
      </c>
      <c r="B35">
        <v>39.51</v>
      </c>
      <c r="C35">
        <v>72.62</v>
      </c>
      <c r="D35">
        <v>15.16</v>
      </c>
      <c r="E35">
        <v>25.02</v>
      </c>
      <c r="F35">
        <v>21.02</v>
      </c>
      <c r="G35">
        <v>44.79</v>
      </c>
      <c r="H35">
        <v>10.78</v>
      </c>
      <c r="I35">
        <v>29.1</v>
      </c>
      <c r="J35">
        <v>52.18</v>
      </c>
      <c r="K35">
        <v>24.05</v>
      </c>
    </row>
    <row r="36" spans="1:11" x14ac:dyDescent="0.25">
      <c r="A36" s="1">
        <v>39962</v>
      </c>
      <c r="B36">
        <v>41.69</v>
      </c>
      <c r="C36">
        <v>75.31</v>
      </c>
      <c r="D36">
        <v>14.4</v>
      </c>
      <c r="E36">
        <v>24.34</v>
      </c>
      <c r="F36">
        <v>20.98</v>
      </c>
      <c r="G36">
        <v>41.99</v>
      </c>
      <c r="H36">
        <v>12.3</v>
      </c>
      <c r="I36">
        <v>30.73</v>
      </c>
      <c r="J36">
        <v>54.98</v>
      </c>
      <c r="K36">
        <v>25.42</v>
      </c>
    </row>
    <row r="37" spans="1:11" x14ac:dyDescent="0.25">
      <c r="A37" s="1">
        <v>39933</v>
      </c>
      <c r="B37">
        <v>36.869999999999997</v>
      </c>
      <c r="C37">
        <v>70.22</v>
      </c>
      <c r="D37">
        <v>14.33</v>
      </c>
      <c r="E37">
        <v>21.4</v>
      </c>
      <c r="F37">
        <v>21.68</v>
      </c>
      <c r="G37">
        <v>39.93</v>
      </c>
      <c r="H37">
        <v>11.54</v>
      </c>
      <c r="I37">
        <v>28.65</v>
      </c>
      <c r="J37">
        <v>47.07</v>
      </c>
      <c r="K37">
        <v>26.51</v>
      </c>
    </row>
    <row r="38" spans="1:11" x14ac:dyDescent="0.25">
      <c r="A38" s="1">
        <v>39903</v>
      </c>
      <c r="B38">
        <v>32.75</v>
      </c>
      <c r="C38">
        <v>61.73</v>
      </c>
      <c r="D38">
        <v>13.65</v>
      </c>
      <c r="E38">
        <v>23.61</v>
      </c>
      <c r="F38">
        <v>20.99</v>
      </c>
      <c r="G38">
        <v>39.29</v>
      </c>
      <c r="H38">
        <v>9.23</v>
      </c>
      <c r="I38">
        <v>25.57</v>
      </c>
      <c r="J38">
        <v>39.020000000000003</v>
      </c>
      <c r="K38">
        <v>20.61</v>
      </c>
    </row>
    <row r="39" spans="1:11" x14ac:dyDescent="0.25">
      <c r="A39" s="1">
        <v>39871</v>
      </c>
      <c r="B39">
        <v>28.94</v>
      </c>
      <c r="C39">
        <v>56.43</v>
      </c>
      <c r="D39">
        <v>11.57</v>
      </c>
      <c r="E39">
        <v>21.01</v>
      </c>
      <c r="F39">
        <v>19.8</v>
      </c>
      <c r="G39">
        <v>40.869999999999997</v>
      </c>
      <c r="H39">
        <v>7.77</v>
      </c>
      <c r="I39">
        <v>24.63</v>
      </c>
      <c r="J39">
        <v>36.57</v>
      </c>
      <c r="K39">
        <v>18.21</v>
      </c>
    </row>
    <row r="40" spans="1:11" x14ac:dyDescent="0.25">
      <c r="A40" s="1">
        <v>39843</v>
      </c>
      <c r="B40">
        <v>38.56</v>
      </c>
      <c r="C40">
        <v>72.77</v>
      </c>
      <c r="D40">
        <v>11.59</v>
      </c>
      <c r="E40">
        <v>24.78</v>
      </c>
      <c r="F40">
        <v>20.51</v>
      </c>
      <c r="G40">
        <v>46.49</v>
      </c>
      <c r="H40">
        <v>10.75</v>
      </c>
      <c r="I40">
        <v>29.82</v>
      </c>
      <c r="J40">
        <v>39.01</v>
      </c>
      <c r="K40">
        <v>21.9</v>
      </c>
    </row>
    <row r="41" spans="1:11" x14ac:dyDescent="0.25">
      <c r="A41" s="1">
        <v>39813</v>
      </c>
      <c r="B41">
        <v>38.89</v>
      </c>
      <c r="C41">
        <v>74.58</v>
      </c>
      <c r="D41">
        <v>13.18</v>
      </c>
      <c r="E41">
        <v>26.39</v>
      </c>
      <c r="F41">
        <v>23.4</v>
      </c>
      <c r="G41">
        <v>47.68</v>
      </c>
      <c r="H41">
        <v>14.36</v>
      </c>
      <c r="I41">
        <v>29.84</v>
      </c>
      <c r="J41">
        <v>40.46</v>
      </c>
      <c r="K41">
        <v>29.58</v>
      </c>
    </row>
    <row r="42" spans="1:11" x14ac:dyDescent="0.25">
      <c r="A42" s="1">
        <v>39780</v>
      </c>
      <c r="B42">
        <v>38.85</v>
      </c>
      <c r="C42">
        <v>68.39</v>
      </c>
      <c r="D42">
        <v>12.4</v>
      </c>
      <c r="E42">
        <v>22.87</v>
      </c>
      <c r="F42">
        <v>23.45</v>
      </c>
      <c r="G42">
        <v>48.2</v>
      </c>
      <c r="H42">
        <v>14.94</v>
      </c>
      <c r="I42">
        <v>25.32</v>
      </c>
      <c r="J42">
        <v>48.3</v>
      </c>
      <c r="K42">
        <v>27.73</v>
      </c>
    </row>
    <row r="43" spans="1:11" x14ac:dyDescent="0.25">
      <c r="A43" s="1">
        <v>39752</v>
      </c>
      <c r="B43">
        <v>47.41</v>
      </c>
      <c r="C43">
        <v>74.849999999999994</v>
      </c>
      <c r="D43">
        <v>14.28</v>
      </c>
      <c r="E43">
        <v>26.49</v>
      </c>
      <c r="F43">
        <v>21.98</v>
      </c>
      <c r="G43">
        <v>46.04</v>
      </c>
      <c r="H43">
        <v>16.97</v>
      </c>
      <c r="I43">
        <v>27.39</v>
      </c>
      <c r="J43">
        <v>49.17</v>
      </c>
      <c r="K43">
        <v>31.23</v>
      </c>
    </row>
    <row r="44" spans="1:11" x14ac:dyDescent="0.25">
      <c r="A44" s="1">
        <v>39721</v>
      </c>
      <c r="B44">
        <v>51.87</v>
      </c>
      <c r="C44">
        <v>96.51</v>
      </c>
      <c r="D44">
        <v>16.690000000000001</v>
      </c>
      <c r="E44">
        <v>27.01</v>
      </c>
      <c r="F44">
        <v>22.57</v>
      </c>
      <c r="G44">
        <v>53.16</v>
      </c>
      <c r="H44">
        <v>22.18</v>
      </c>
      <c r="I44">
        <v>37.369999999999997</v>
      </c>
      <c r="J44">
        <v>74.34</v>
      </c>
      <c r="K44">
        <v>39.67</v>
      </c>
    </row>
    <row r="45" spans="1:11" x14ac:dyDescent="0.25">
      <c r="A45" s="1">
        <v>39689</v>
      </c>
      <c r="B45">
        <v>59.3</v>
      </c>
      <c r="C45">
        <v>102.47</v>
      </c>
      <c r="D45">
        <v>20.38</v>
      </c>
      <c r="E45">
        <v>30.19</v>
      </c>
      <c r="F45">
        <v>25.86</v>
      </c>
      <c r="G45">
        <v>64.48</v>
      </c>
      <c r="H45">
        <v>24.12</v>
      </c>
      <c r="I45">
        <v>45.12</v>
      </c>
      <c r="J45">
        <v>89.69</v>
      </c>
      <c r="K45">
        <v>43.02</v>
      </c>
    </row>
    <row r="46" spans="1:11" x14ac:dyDescent="0.25">
      <c r="A46" s="1">
        <v>39660</v>
      </c>
      <c r="B46">
        <v>54.94</v>
      </c>
      <c r="C46">
        <v>91.48</v>
      </c>
      <c r="D46">
        <v>19.649999999999999</v>
      </c>
      <c r="E46">
        <v>27.85</v>
      </c>
      <c r="F46">
        <v>24.9</v>
      </c>
      <c r="G46">
        <v>66.290000000000006</v>
      </c>
      <c r="H46">
        <v>24.28</v>
      </c>
      <c r="I46">
        <v>45.48</v>
      </c>
      <c r="J46">
        <v>96.51</v>
      </c>
      <c r="K46">
        <v>38.92</v>
      </c>
    </row>
    <row r="47" spans="1:11" x14ac:dyDescent="0.25">
      <c r="A47" s="1">
        <v>39629</v>
      </c>
      <c r="B47">
        <v>59.08</v>
      </c>
      <c r="C47">
        <v>86.51</v>
      </c>
      <c r="D47">
        <v>19.02</v>
      </c>
      <c r="E47">
        <v>31.9</v>
      </c>
      <c r="F47">
        <v>26.9</v>
      </c>
      <c r="G47">
        <v>75.849999999999994</v>
      </c>
      <c r="H47">
        <v>22.91</v>
      </c>
      <c r="I47">
        <v>44.98</v>
      </c>
      <c r="J47">
        <v>102.05</v>
      </c>
      <c r="K47">
        <v>38.85</v>
      </c>
    </row>
    <row r="48" spans="1:11" x14ac:dyDescent="0.25">
      <c r="A48" s="1">
        <v>39598</v>
      </c>
      <c r="B48">
        <v>74.41</v>
      </c>
      <c r="C48">
        <v>95.96</v>
      </c>
      <c r="D48">
        <v>20.53</v>
      </c>
      <c r="E48">
        <v>32.65</v>
      </c>
      <c r="F48">
        <v>31.85</v>
      </c>
      <c r="G48">
        <v>74.2</v>
      </c>
      <c r="H48">
        <v>26.08</v>
      </c>
      <c r="I48">
        <v>53.33</v>
      </c>
      <c r="J48">
        <v>95.86</v>
      </c>
      <c r="K48">
        <v>45.25</v>
      </c>
    </row>
    <row r="49" spans="1:11" x14ac:dyDescent="0.25">
      <c r="A49" s="1">
        <v>39568</v>
      </c>
      <c r="B49">
        <v>75.930000000000007</v>
      </c>
      <c r="C49">
        <v>92.62</v>
      </c>
      <c r="D49">
        <v>19.59</v>
      </c>
      <c r="E49">
        <v>31.88</v>
      </c>
      <c r="F49">
        <v>30.9</v>
      </c>
      <c r="G49">
        <v>71.650000000000006</v>
      </c>
      <c r="H49">
        <v>27.76</v>
      </c>
      <c r="I49">
        <v>52.9</v>
      </c>
      <c r="J49">
        <v>95.31</v>
      </c>
      <c r="K49">
        <v>42.28</v>
      </c>
    </row>
    <row r="50" spans="1:11" x14ac:dyDescent="0.25">
      <c r="A50" s="1">
        <v>39538</v>
      </c>
      <c r="B50">
        <v>66.55</v>
      </c>
      <c r="C50">
        <v>86.73</v>
      </c>
      <c r="D50">
        <v>18.64</v>
      </c>
      <c r="E50">
        <v>31.8</v>
      </c>
      <c r="F50">
        <v>30.26</v>
      </c>
      <c r="G50">
        <v>68.12</v>
      </c>
      <c r="H50">
        <v>31.42</v>
      </c>
      <c r="I50">
        <v>50.25</v>
      </c>
      <c r="J50">
        <v>82.47</v>
      </c>
      <c r="K50">
        <v>43.21</v>
      </c>
    </row>
    <row r="51" spans="1:11" x14ac:dyDescent="0.25">
      <c r="A51" s="1">
        <v>39507</v>
      </c>
      <c r="B51">
        <v>74.08</v>
      </c>
      <c r="C51">
        <v>90.14</v>
      </c>
      <c r="D51">
        <v>17.579999999999998</v>
      </c>
      <c r="E51">
        <v>36.799999999999997</v>
      </c>
      <c r="F51">
        <v>27.52</v>
      </c>
      <c r="G51">
        <v>62.74</v>
      </c>
      <c r="H51">
        <v>28.13</v>
      </c>
      <c r="I51">
        <v>51.25</v>
      </c>
      <c r="J51">
        <v>81.95</v>
      </c>
      <c r="K51">
        <v>44.67</v>
      </c>
    </row>
    <row r="52" spans="1:11" x14ac:dyDescent="0.25">
      <c r="A52" s="1">
        <v>39478</v>
      </c>
      <c r="B52">
        <v>74.06</v>
      </c>
      <c r="C52">
        <v>93.88</v>
      </c>
      <c r="D52">
        <v>18.46</v>
      </c>
      <c r="E52">
        <v>38.299999999999997</v>
      </c>
      <c r="F52">
        <v>30.41</v>
      </c>
      <c r="G52">
        <v>63.38</v>
      </c>
      <c r="H52">
        <v>29.75</v>
      </c>
      <c r="I52">
        <v>52.35</v>
      </c>
      <c r="J52">
        <v>71.290000000000006</v>
      </c>
      <c r="K52">
        <v>45.04</v>
      </c>
    </row>
    <row r="53" spans="1:11" x14ac:dyDescent="0.25">
      <c r="A53" s="1">
        <v>39447</v>
      </c>
      <c r="B53">
        <v>77.88</v>
      </c>
      <c r="C53">
        <v>91.57</v>
      </c>
      <c r="D53">
        <v>23.33</v>
      </c>
      <c r="E53">
        <v>48.27</v>
      </c>
      <c r="F53">
        <v>32.520000000000003</v>
      </c>
      <c r="G53">
        <v>68</v>
      </c>
      <c r="H53">
        <v>31.18</v>
      </c>
      <c r="I53">
        <v>54.57</v>
      </c>
      <c r="J53">
        <v>93.01</v>
      </c>
      <c r="K53">
        <v>46.25</v>
      </c>
    </row>
    <row r="54" spans="1:11" x14ac:dyDescent="0.25">
      <c r="A54" s="1">
        <v>39416</v>
      </c>
      <c r="B54">
        <v>82.4</v>
      </c>
      <c r="C54">
        <v>96.28</v>
      </c>
      <c r="D54">
        <v>22.82</v>
      </c>
      <c r="E54">
        <v>48.99</v>
      </c>
      <c r="F54">
        <v>29.9</v>
      </c>
      <c r="G54">
        <v>67.52</v>
      </c>
      <c r="H54">
        <v>31.94</v>
      </c>
      <c r="I54">
        <v>50.18</v>
      </c>
      <c r="J54">
        <v>88.2</v>
      </c>
      <c r="K54">
        <v>45</v>
      </c>
    </row>
    <row r="55" spans="1:11" x14ac:dyDescent="0.25">
      <c r="A55" s="1">
        <v>39386</v>
      </c>
      <c r="B55">
        <v>87.47</v>
      </c>
      <c r="C55">
        <v>95.37</v>
      </c>
      <c r="D55">
        <v>23.44</v>
      </c>
      <c r="E55">
        <v>48.08</v>
      </c>
      <c r="F55">
        <v>32.700000000000003</v>
      </c>
      <c r="G55">
        <v>68.56</v>
      </c>
      <c r="H55">
        <v>34.33</v>
      </c>
      <c r="I55">
        <v>53.31</v>
      </c>
      <c r="J55">
        <v>91.14</v>
      </c>
      <c r="K55">
        <v>50</v>
      </c>
    </row>
    <row r="56" spans="1:11" x14ac:dyDescent="0.25">
      <c r="A56" s="1">
        <v>39353</v>
      </c>
      <c r="B56">
        <v>93.15</v>
      </c>
      <c r="C56">
        <v>94.02</v>
      </c>
      <c r="D56">
        <v>22.53</v>
      </c>
      <c r="E56">
        <v>42.66</v>
      </c>
      <c r="F56">
        <v>32.83</v>
      </c>
      <c r="G56">
        <v>62.42</v>
      </c>
      <c r="H56">
        <v>34.53</v>
      </c>
      <c r="I56">
        <v>52.48</v>
      </c>
      <c r="J56">
        <v>99.1</v>
      </c>
      <c r="K56">
        <v>49.24</v>
      </c>
    </row>
    <row r="57" spans="1:11" x14ac:dyDescent="0.25">
      <c r="A57" s="1">
        <v>39325</v>
      </c>
      <c r="B57">
        <v>85.79</v>
      </c>
      <c r="C57">
        <v>85.92</v>
      </c>
      <c r="D57">
        <v>22.43</v>
      </c>
      <c r="E57">
        <v>41.09</v>
      </c>
      <c r="F57">
        <v>30.94</v>
      </c>
      <c r="G57">
        <v>58.53</v>
      </c>
      <c r="H57">
        <v>32.200000000000003</v>
      </c>
      <c r="I57">
        <v>49.55</v>
      </c>
      <c r="J57">
        <v>91.08</v>
      </c>
      <c r="K57">
        <v>51.63</v>
      </c>
    </row>
    <row r="58" spans="1:11" x14ac:dyDescent="0.25">
      <c r="A58" s="1">
        <v>39294</v>
      </c>
      <c r="B58">
        <v>91.45</v>
      </c>
      <c r="C58">
        <v>85.05</v>
      </c>
      <c r="D58">
        <v>20.48</v>
      </c>
      <c r="E58">
        <v>40.67</v>
      </c>
      <c r="F58">
        <v>30.39</v>
      </c>
      <c r="G58">
        <v>57.75</v>
      </c>
      <c r="H58">
        <v>32.11</v>
      </c>
      <c r="I58">
        <v>50.52</v>
      </c>
      <c r="J58">
        <v>89.23</v>
      </c>
      <c r="K58">
        <v>52.61</v>
      </c>
    </row>
    <row r="59" spans="1:11" x14ac:dyDescent="0.25">
      <c r="A59" s="1">
        <v>39262</v>
      </c>
      <c r="B59">
        <v>85.03</v>
      </c>
      <c r="C59">
        <v>81.290000000000006</v>
      </c>
      <c r="D59">
        <v>20.59</v>
      </c>
      <c r="E59">
        <v>40.79</v>
      </c>
      <c r="F59">
        <v>31.92</v>
      </c>
      <c r="G59">
        <v>59.77</v>
      </c>
      <c r="H59">
        <v>31.71</v>
      </c>
      <c r="I59">
        <v>49.44</v>
      </c>
      <c r="J59">
        <v>80.02</v>
      </c>
      <c r="K59">
        <v>57.02</v>
      </c>
    </row>
    <row r="60" spans="1:11" x14ac:dyDescent="0.25">
      <c r="A60" s="1">
        <v>39233</v>
      </c>
      <c r="B60">
        <v>88.94</v>
      </c>
      <c r="C60">
        <v>84.72</v>
      </c>
      <c r="D60">
        <v>19.23</v>
      </c>
      <c r="E60">
        <v>42.64</v>
      </c>
      <c r="F60">
        <v>31.8</v>
      </c>
      <c r="G60">
        <v>64.209999999999994</v>
      </c>
      <c r="H60">
        <v>30.91</v>
      </c>
      <c r="I60">
        <v>50.87</v>
      </c>
      <c r="J60">
        <v>73.19</v>
      </c>
      <c r="K60">
        <v>55.64</v>
      </c>
    </row>
    <row r="61" spans="1:11" x14ac:dyDescent="0.25">
      <c r="A61" s="1">
        <v>39202</v>
      </c>
      <c r="B61">
        <v>81.93</v>
      </c>
      <c r="C61">
        <v>82.73</v>
      </c>
      <c r="D61">
        <v>18.55</v>
      </c>
      <c r="E61">
        <v>41.82</v>
      </c>
      <c r="F61">
        <v>29.78</v>
      </c>
      <c r="G61">
        <v>61.72</v>
      </c>
      <c r="H61">
        <v>30.32</v>
      </c>
      <c r="I61">
        <v>47.39</v>
      </c>
      <c r="J61">
        <v>69.400000000000006</v>
      </c>
      <c r="K61">
        <v>53.03</v>
      </c>
    </row>
    <row r="62" spans="1:11" x14ac:dyDescent="0.25">
      <c r="A62" s="1">
        <v>39171</v>
      </c>
      <c r="B62">
        <v>78.319999999999993</v>
      </c>
      <c r="C62">
        <v>83.49</v>
      </c>
      <c r="D62">
        <v>16.5</v>
      </c>
      <c r="E62">
        <v>35.909999999999997</v>
      </c>
      <c r="F62">
        <v>30.06</v>
      </c>
      <c r="G62">
        <v>56.24</v>
      </c>
      <c r="H62">
        <v>29.09</v>
      </c>
      <c r="I62">
        <v>40.28</v>
      </c>
      <c r="J62">
        <v>64.95</v>
      </c>
      <c r="K62">
        <v>54.78</v>
      </c>
    </row>
    <row r="63" spans="1:11" x14ac:dyDescent="0.25">
      <c r="A63" s="1">
        <v>39141</v>
      </c>
      <c r="B63">
        <v>76.87</v>
      </c>
      <c r="C63">
        <v>83.7</v>
      </c>
      <c r="D63">
        <v>17.13</v>
      </c>
      <c r="E63">
        <v>35.590000000000003</v>
      </c>
      <c r="F63">
        <v>28.05</v>
      </c>
      <c r="G63">
        <v>53.96</v>
      </c>
      <c r="H63">
        <v>28.72</v>
      </c>
      <c r="I63">
        <v>40.58</v>
      </c>
      <c r="J63">
        <v>59.03</v>
      </c>
      <c r="K63">
        <v>56.28</v>
      </c>
    </row>
    <row r="64" spans="1:11" x14ac:dyDescent="0.25">
      <c r="A64" s="1">
        <v>39113</v>
      </c>
      <c r="B64">
        <v>78.59</v>
      </c>
      <c r="C64">
        <v>83.35</v>
      </c>
      <c r="D64">
        <v>17.989999999999998</v>
      </c>
      <c r="E64">
        <v>36.07</v>
      </c>
      <c r="F64">
        <v>28.68</v>
      </c>
      <c r="G64">
        <v>48.76</v>
      </c>
      <c r="H64">
        <v>29.42</v>
      </c>
      <c r="I64">
        <v>39.75</v>
      </c>
      <c r="J64">
        <v>59.51</v>
      </c>
      <c r="K64">
        <v>57.92</v>
      </c>
    </row>
    <row r="65" spans="1:11" x14ac:dyDescent="0.25">
      <c r="A65" s="1">
        <v>39080</v>
      </c>
      <c r="B65">
        <v>77.959999999999994</v>
      </c>
      <c r="C65">
        <v>78.959999999999994</v>
      </c>
      <c r="D65">
        <v>17.38</v>
      </c>
      <c r="E65">
        <v>35.15</v>
      </c>
      <c r="F65">
        <v>26.97</v>
      </c>
      <c r="G65">
        <v>50.31</v>
      </c>
      <c r="H65">
        <v>30.37</v>
      </c>
      <c r="I65">
        <v>39.36</v>
      </c>
      <c r="J65">
        <v>59.2</v>
      </c>
      <c r="K65">
        <v>57.55</v>
      </c>
    </row>
    <row r="66" spans="1:11" x14ac:dyDescent="0.25">
      <c r="A66" s="1">
        <v>39051</v>
      </c>
      <c r="B66">
        <v>77.69</v>
      </c>
      <c r="C66">
        <v>77.569999999999993</v>
      </c>
      <c r="D66">
        <v>18.36</v>
      </c>
      <c r="E66">
        <v>35.58</v>
      </c>
      <c r="F66">
        <v>25.58</v>
      </c>
      <c r="G66">
        <v>49.36</v>
      </c>
      <c r="H66">
        <v>28.58</v>
      </c>
      <c r="I66">
        <v>37.4</v>
      </c>
      <c r="J66">
        <v>64.069999999999993</v>
      </c>
      <c r="K66">
        <v>56.82</v>
      </c>
    </row>
    <row r="67" spans="1:11" x14ac:dyDescent="0.25">
      <c r="A67" s="1">
        <v>39021</v>
      </c>
      <c r="B67">
        <v>69.83</v>
      </c>
      <c r="C67">
        <v>74.260000000000005</v>
      </c>
      <c r="D67">
        <v>18.22</v>
      </c>
      <c r="E67">
        <v>36.31</v>
      </c>
      <c r="F67">
        <v>25.83</v>
      </c>
      <c r="G67">
        <v>50.05</v>
      </c>
      <c r="H67">
        <v>28.44</v>
      </c>
      <c r="I67">
        <v>36.46</v>
      </c>
      <c r="J67">
        <v>59.02</v>
      </c>
      <c r="K67">
        <v>53.18</v>
      </c>
    </row>
    <row r="68" spans="1:11" x14ac:dyDescent="0.25">
      <c r="A68" s="1">
        <v>38989</v>
      </c>
      <c r="B68">
        <v>68.95</v>
      </c>
      <c r="C68">
        <v>73.510000000000005</v>
      </c>
      <c r="D68">
        <v>17.57</v>
      </c>
      <c r="E68">
        <v>33.49</v>
      </c>
      <c r="F68">
        <v>24.31</v>
      </c>
      <c r="G68">
        <v>48.88</v>
      </c>
      <c r="H68">
        <v>28.6</v>
      </c>
      <c r="I68">
        <v>35.4</v>
      </c>
      <c r="J68">
        <v>58.04</v>
      </c>
      <c r="K68">
        <v>50.67</v>
      </c>
    </row>
    <row r="69" spans="1:11" x14ac:dyDescent="0.25">
      <c r="A69" s="1">
        <v>38960</v>
      </c>
      <c r="B69">
        <v>65.5</v>
      </c>
      <c r="C69">
        <v>70.56</v>
      </c>
      <c r="D69">
        <v>16.71</v>
      </c>
      <c r="E69">
        <v>32.409999999999997</v>
      </c>
      <c r="F69">
        <v>23.24</v>
      </c>
      <c r="G69">
        <v>49.24</v>
      </c>
      <c r="H69">
        <v>27.4</v>
      </c>
      <c r="I69">
        <v>33.51</v>
      </c>
      <c r="J69">
        <v>57.24</v>
      </c>
      <c r="K69">
        <v>51.84</v>
      </c>
    </row>
    <row r="70" spans="1:11" x14ac:dyDescent="0.25">
      <c r="A70" s="1">
        <v>38929</v>
      </c>
      <c r="B70">
        <v>67.44</v>
      </c>
      <c r="C70">
        <v>67.819999999999993</v>
      </c>
      <c r="D70">
        <v>15.28</v>
      </c>
      <c r="E70">
        <v>31.89</v>
      </c>
      <c r="F70">
        <v>22.39</v>
      </c>
      <c r="G70">
        <v>46.43</v>
      </c>
      <c r="H70">
        <v>26.29</v>
      </c>
      <c r="I70">
        <v>33.299999999999997</v>
      </c>
      <c r="J70">
        <v>62.42</v>
      </c>
      <c r="K70">
        <v>49.07</v>
      </c>
    </row>
    <row r="71" spans="1:11" x14ac:dyDescent="0.25">
      <c r="A71" s="1">
        <v>38898</v>
      </c>
      <c r="B71">
        <v>71.349999999999994</v>
      </c>
      <c r="C71">
        <v>61.06</v>
      </c>
      <c r="D71">
        <v>16.13</v>
      </c>
      <c r="E71">
        <v>28.85</v>
      </c>
      <c r="F71">
        <v>20.57</v>
      </c>
      <c r="G71">
        <v>45.57</v>
      </c>
      <c r="H71">
        <v>26.51</v>
      </c>
      <c r="I71">
        <v>34.67</v>
      </c>
      <c r="J71">
        <v>60.8</v>
      </c>
      <c r="K71">
        <v>48.59</v>
      </c>
    </row>
    <row r="72" spans="1:11" x14ac:dyDescent="0.25">
      <c r="A72" s="1">
        <v>38868</v>
      </c>
      <c r="B72">
        <v>72.52</v>
      </c>
      <c r="C72">
        <v>61.7</v>
      </c>
      <c r="D72">
        <v>15.3</v>
      </c>
      <c r="E72">
        <v>26.37</v>
      </c>
      <c r="F72">
        <v>19.22</v>
      </c>
      <c r="G72">
        <v>45.4</v>
      </c>
      <c r="H72">
        <v>27.35</v>
      </c>
      <c r="I72">
        <v>35.43</v>
      </c>
      <c r="J72">
        <v>61.11</v>
      </c>
      <c r="K72">
        <v>49.37</v>
      </c>
    </row>
    <row r="73" spans="1:11" x14ac:dyDescent="0.25">
      <c r="A73" s="1">
        <v>38835</v>
      </c>
      <c r="B73">
        <v>72.44</v>
      </c>
      <c r="C73">
        <v>64.33</v>
      </c>
      <c r="D73">
        <v>16.88</v>
      </c>
      <c r="E73">
        <v>26.95</v>
      </c>
      <c r="F73">
        <v>19.34</v>
      </c>
      <c r="G73">
        <v>42.99</v>
      </c>
      <c r="H73">
        <v>27.62</v>
      </c>
      <c r="I73">
        <v>36.369999999999997</v>
      </c>
      <c r="J73">
        <v>64.44</v>
      </c>
      <c r="K73">
        <v>51.95</v>
      </c>
    </row>
    <row r="74" spans="1:11" x14ac:dyDescent="0.25">
      <c r="A74" s="1">
        <v>38807</v>
      </c>
      <c r="B74">
        <v>67.650000000000006</v>
      </c>
      <c r="C74">
        <v>63.68</v>
      </c>
      <c r="D74">
        <v>16.440000000000001</v>
      </c>
      <c r="E74">
        <v>27.58</v>
      </c>
      <c r="F74">
        <v>19.7</v>
      </c>
      <c r="G74">
        <v>42.11</v>
      </c>
      <c r="H74">
        <v>27.77</v>
      </c>
      <c r="I74">
        <v>36.61</v>
      </c>
      <c r="J74">
        <v>58.98</v>
      </c>
      <c r="K74">
        <v>48.61</v>
      </c>
    </row>
    <row r="75" spans="1:11" x14ac:dyDescent="0.25">
      <c r="A75" s="1">
        <v>38776</v>
      </c>
      <c r="B75">
        <v>63.1</v>
      </c>
      <c r="C75">
        <v>61.77</v>
      </c>
      <c r="D75">
        <v>17.399999999999999</v>
      </c>
      <c r="E75">
        <v>26.99</v>
      </c>
      <c r="F75">
        <v>20.100000000000001</v>
      </c>
      <c r="G75">
        <v>45.46</v>
      </c>
      <c r="H75">
        <v>26.24</v>
      </c>
      <c r="I75">
        <v>35.049999999999997</v>
      </c>
      <c r="J75">
        <v>53.59</v>
      </c>
      <c r="K75">
        <v>49.88</v>
      </c>
    </row>
    <row r="76" spans="1:11" x14ac:dyDescent="0.25">
      <c r="A76" s="1">
        <v>38748</v>
      </c>
      <c r="B76">
        <v>59.05</v>
      </c>
      <c r="C76">
        <v>57.11</v>
      </c>
      <c r="D76">
        <v>17.88</v>
      </c>
      <c r="E76">
        <v>26.72</v>
      </c>
      <c r="F76">
        <v>18.91</v>
      </c>
      <c r="G76">
        <v>45.39</v>
      </c>
      <c r="H76">
        <v>25.95</v>
      </c>
      <c r="I76">
        <v>32.700000000000003</v>
      </c>
      <c r="J76">
        <v>59.26</v>
      </c>
      <c r="K76">
        <v>49.34</v>
      </c>
    </row>
    <row r="77" spans="1:11" x14ac:dyDescent="0.25">
      <c r="A77" s="1">
        <v>38716</v>
      </c>
      <c r="B77">
        <v>60.72</v>
      </c>
      <c r="C77">
        <v>53.72</v>
      </c>
      <c r="D77">
        <v>20.99</v>
      </c>
      <c r="E77">
        <v>24.63</v>
      </c>
      <c r="F77">
        <v>17.61</v>
      </c>
      <c r="G77">
        <v>42</v>
      </c>
      <c r="H77">
        <v>27.78</v>
      </c>
      <c r="I77">
        <v>31.71</v>
      </c>
      <c r="J77">
        <v>45.17</v>
      </c>
      <c r="K77">
        <v>45.65</v>
      </c>
    </row>
    <row r="78" spans="1:11" x14ac:dyDescent="0.25">
      <c r="A78" s="1">
        <v>38686</v>
      </c>
      <c r="B78">
        <v>58.95</v>
      </c>
      <c r="C78">
        <v>51.16</v>
      </c>
      <c r="D78">
        <v>22.43</v>
      </c>
      <c r="E78">
        <v>22.77</v>
      </c>
      <c r="F78">
        <v>17.91</v>
      </c>
      <c r="G78">
        <v>41.14</v>
      </c>
      <c r="H78">
        <v>28.11</v>
      </c>
      <c r="I78">
        <v>31.1</v>
      </c>
      <c r="J78">
        <v>44.42</v>
      </c>
      <c r="K78">
        <v>48.24</v>
      </c>
    </row>
    <row r="79" spans="1:11" x14ac:dyDescent="0.25">
      <c r="A79" s="1">
        <v>38656</v>
      </c>
      <c r="B79">
        <v>55.67</v>
      </c>
      <c r="C79">
        <v>50.87</v>
      </c>
      <c r="D79">
        <v>19.690000000000001</v>
      </c>
      <c r="E79">
        <v>21.58</v>
      </c>
      <c r="F79">
        <v>17.149999999999999</v>
      </c>
      <c r="G79">
        <v>40.81</v>
      </c>
      <c r="H79">
        <v>26.68</v>
      </c>
      <c r="I79">
        <v>28.95</v>
      </c>
      <c r="J79">
        <v>42.12</v>
      </c>
      <c r="K79">
        <v>46.48</v>
      </c>
    </row>
    <row r="80" spans="1:11" x14ac:dyDescent="0.25">
      <c r="A80" s="1">
        <v>38625</v>
      </c>
      <c r="B80">
        <v>58.52</v>
      </c>
      <c r="C80">
        <v>51.27</v>
      </c>
      <c r="D80">
        <v>20.65</v>
      </c>
      <c r="E80">
        <v>20.8</v>
      </c>
      <c r="F80">
        <v>17</v>
      </c>
      <c r="G80">
        <v>41.92</v>
      </c>
      <c r="H80">
        <v>26.49</v>
      </c>
      <c r="I80">
        <v>31.74</v>
      </c>
      <c r="J80">
        <v>39.15</v>
      </c>
      <c r="K80">
        <v>42.99</v>
      </c>
    </row>
    <row r="81" spans="1:11" x14ac:dyDescent="0.25">
      <c r="A81" s="1">
        <v>38595</v>
      </c>
      <c r="B81">
        <v>57.72</v>
      </c>
      <c r="C81">
        <v>52.28</v>
      </c>
      <c r="D81">
        <v>21.55</v>
      </c>
      <c r="E81">
        <v>21.58</v>
      </c>
      <c r="F81">
        <v>17.079999999999998</v>
      </c>
      <c r="G81">
        <v>42.27</v>
      </c>
      <c r="H81">
        <v>26.27</v>
      </c>
      <c r="I81">
        <v>32.4</v>
      </c>
      <c r="J81">
        <v>39.92</v>
      </c>
      <c r="K81">
        <v>43.53</v>
      </c>
    </row>
    <row r="82" spans="1:11" x14ac:dyDescent="0.25">
      <c r="A82" s="1">
        <v>38562</v>
      </c>
      <c r="B82">
        <v>56.63</v>
      </c>
      <c r="C82">
        <v>52.21</v>
      </c>
      <c r="D82">
        <v>22.68</v>
      </c>
      <c r="E82">
        <v>23.43</v>
      </c>
      <c r="F82">
        <v>17.34</v>
      </c>
      <c r="G82">
        <v>41.65</v>
      </c>
      <c r="H82">
        <v>26.97</v>
      </c>
      <c r="I82">
        <v>33.07</v>
      </c>
      <c r="J82">
        <v>38.76</v>
      </c>
      <c r="K82">
        <v>46.17</v>
      </c>
    </row>
    <row r="83" spans="1:11" x14ac:dyDescent="0.25">
      <c r="A83" s="1">
        <v>38533</v>
      </c>
      <c r="B83">
        <v>56.63</v>
      </c>
      <c r="C83">
        <v>54.27</v>
      </c>
      <c r="D83">
        <v>21.74</v>
      </c>
      <c r="E83">
        <v>23.23</v>
      </c>
      <c r="F83">
        <v>16.62</v>
      </c>
      <c r="G83">
        <v>39.950000000000003</v>
      </c>
      <c r="H83">
        <v>27.09</v>
      </c>
      <c r="I83">
        <v>30.84</v>
      </c>
      <c r="J83">
        <v>35.15</v>
      </c>
      <c r="K83">
        <v>43.14</v>
      </c>
    </row>
    <row r="84" spans="1:11" x14ac:dyDescent="0.25">
      <c r="A84" s="1">
        <v>38503</v>
      </c>
      <c r="B84">
        <v>54.82</v>
      </c>
      <c r="C84">
        <v>54.29</v>
      </c>
      <c r="D84">
        <v>22.52</v>
      </c>
      <c r="E84">
        <v>24.18</v>
      </c>
      <c r="F84">
        <v>16.36</v>
      </c>
      <c r="G84">
        <v>36.46</v>
      </c>
      <c r="H84">
        <v>28.34</v>
      </c>
      <c r="I84">
        <v>30.5</v>
      </c>
      <c r="J84">
        <v>31.55</v>
      </c>
      <c r="K84">
        <v>42.73</v>
      </c>
    </row>
    <row r="85" spans="1:11" x14ac:dyDescent="0.25">
      <c r="A85" s="1">
        <v>38471</v>
      </c>
      <c r="B85">
        <v>50.86</v>
      </c>
      <c r="C85">
        <v>50.8</v>
      </c>
      <c r="D85">
        <v>19.579999999999998</v>
      </c>
      <c r="E85">
        <v>25.27</v>
      </c>
      <c r="F85">
        <v>16.649999999999999</v>
      </c>
      <c r="G85">
        <v>38.21</v>
      </c>
      <c r="H85">
        <v>28.12</v>
      </c>
      <c r="I85">
        <v>29.93</v>
      </c>
      <c r="J85">
        <v>31.57</v>
      </c>
      <c r="K85">
        <v>42.34</v>
      </c>
    </row>
    <row r="86" spans="1:11" x14ac:dyDescent="0.25">
      <c r="A86" s="1">
        <v>38442</v>
      </c>
      <c r="B86">
        <v>49.95</v>
      </c>
      <c r="C86">
        <v>50.89</v>
      </c>
      <c r="D86">
        <v>19.34</v>
      </c>
      <c r="E86">
        <v>24.13</v>
      </c>
      <c r="F86">
        <v>16.350000000000001</v>
      </c>
      <c r="G86">
        <v>35.42</v>
      </c>
      <c r="H86">
        <v>28.01</v>
      </c>
      <c r="I86">
        <v>31.15</v>
      </c>
      <c r="J86">
        <v>32.53</v>
      </c>
      <c r="K86">
        <v>50.09</v>
      </c>
    </row>
    <row r="87" spans="1:11" x14ac:dyDescent="0.25">
      <c r="A87" s="1">
        <v>38411</v>
      </c>
      <c r="B87">
        <v>46.97</v>
      </c>
      <c r="C87">
        <v>49.36</v>
      </c>
      <c r="D87">
        <v>19.98</v>
      </c>
      <c r="E87">
        <v>23.35</v>
      </c>
      <c r="F87">
        <v>16.61</v>
      </c>
      <c r="G87">
        <v>35.01</v>
      </c>
      <c r="H87">
        <v>27.35</v>
      </c>
      <c r="I87">
        <v>31.78</v>
      </c>
      <c r="J87">
        <v>34.82</v>
      </c>
      <c r="K87">
        <v>49.1</v>
      </c>
    </row>
    <row r="88" spans="1:11" x14ac:dyDescent="0.25">
      <c r="A88" s="1">
        <v>38383</v>
      </c>
      <c r="B88">
        <v>43.03</v>
      </c>
      <c r="C88">
        <v>47.98</v>
      </c>
      <c r="D88">
        <v>18.63</v>
      </c>
      <c r="E88">
        <v>20.66</v>
      </c>
      <c r="F88">
        <v>16.399999999999999</v>
      </c>
      <c r="G88">
        <v>33.85</v>
      </c>
      <c r="H88">
        <v>27.89</v>
      </c>
      <c r="I88">
        <v>29.96</v>
      </c>
      <c r="J88">
        <v>31.32</v>
      </c>
      <c r="K88">
        <v>48.3</v>
      </c>
    </row>
    <row r="89" spans="1:11" x14ac:dyDescent="0.25">
      <c r="A89" s="1">
        <v>38352</v>
      </c>
      <c r="B89">
        <v>44.03</v>
      </c>
      <c r="C89">
        <v>46.1</v>
      </c>
      <c r="D89">
        <v>19.41</v>
      </c>
      <c r="E89">
        <v>23.68</v>
      </c>
      <c r="F89">
        <v>17.559999999999999</v>
      </c>
      <c r="G89">
        <v>33.72</v>
      </c>
      <c r="H89">
        <v>28.18</v>
      </c>
      <c r="I89">
        <v>29.48</v>
      </c>
      <c r="J89">
        <v>30.81</v>
      </c>
      <c r="K89">
        <v>48.2</v>
      </c>
    </row>
    <row r="90" spans="1:11" x14ac:dyDescent="0.25">
      <c r="A90" s="1">
        <v>38321</v>
      </c>
      <c r="B90">
        <v>45.56</v>
      </c>
      <c r="C90">
        <v>50.49</v>
      </c>
      <c r="D90">
        <v>18.57</v>
      </c>
      <c r="E90">
        <v>20.36</v>
      </c>
      <c r="F90">
        <v>17.16</v>
      </c>
      <c r="G90">
        <v>31.91</v>
      </c>
      <c r="H90">
        <v>27.14</v>
      </c>
      <c r="I90">
        <v>29.42</v>
      </c>
      <c r="J90">
        <v>30.12</v>
      </c>
      <c r="K90">
        <v>47.15</v>
      </c>
    </row>
    <row r="91" spans="1:11" x14ac:dyDescent="0.25">
      <c r="A91" s="1">
        <v>38289</v>
      </c>
      <c r="B91">
        <v>42.28</v>
      </c>
      <c r="C91">
        <v>45.53</v>
      </c>
      <c r="D91">
        <v>18.440000000000001</v>
      </c>
      <c r="E91">
        <v>22.75</v>
      </c>
      <c r="F91">
        <v>17.22</v>
      </c>
      <c r="G91">
        <v>30.02</v>
      </c>
      <c r="H91">
        <v>26.19</v>
      </c>
      <c r="I91">
        <v>27.9</v>
      </c>
      <c r="J91">
        <v>28.88</v>
      </c>
      <c r="K91">
        <v>48.58</v>
      </c>
    </row>
    <row r="92" spans="1:11" x14ac:dyDescent="0.25">
      <c r="A92" s="1">
        <v>38260</v>
      </c>
      <c r="B92">
        <v>43.73</v>
      </c>
      <c r="C92">
        <v>46.1</v>
      </c>
      <c r="D92">
        <v>16.62</v>
      </c>
      <c r="E92">
        <v>23.98</v>
      </c>
      <c r="F92">
        <v>17.48</v>
      </c>
      <c r="G92">
        <v>27.8</v>
      </c>
      <c r="H92">
        <v>25.77</v>
      </c>
      <c r="I92">
        <v>29.7</v>
      </c>
      <c r="J92">
        <v>30.89</v>
      </c>
      <c r="K92">
        <v>52.53</v>
      </c>
    </row>
    <row r="93" spans="1:11" x14ac:dyDescent="0.25">
      <c r="A93" s="1">
        <v>38230</v>
      </c>
      <c r="B93">
        <v>44.24</v>
      </c>
      <c r="C93">
        <v>44.45</v>
      </c>
      <c r="D93">
        <v>17.63</v>
      </c>
      <c r="E93">
        <v>32.4</v>
      </c>
      <c r="F93">
        <v>17.38</v>
      </c>
      <c r="G93">
        <v>27.92</v>
      </c>
      <c r="H93">
        <v>25.02</v>
      </c>
      <c r="I93">
        <v>29.8</v>
      </c>
      <c r="J93">
        <v>28.36</v>
      </c>
      <c r="K93">
        <v>49.63</v>
      </c>
    </row>
    <row r="94" spans="1:11" x14ac:dyDescent="0.25">
      <c r="A94" s="1">
        <v>38198</v>
      </c>
      <c r="B94">
        <v>42.82</v>
      </c>
      <c r="C94">
        <v>43.61</v>
      </c>
      <c r="D94">
        <v>20.16</v>
      </c>
      <c r="E94">
        <v>32.68</v>
      </c>
      <c r="F94">
        <v>17.07</v>
      </c>
      <c r="G94">
        <v>26.22</v>
      </c>
      <c r="H94">
        <v>25.37</v>
      </c>
      <c r="I94">
        <v>30.98</v>
      </c>
      <c r="J94">
        <v>29.43</v>
      </c>
      <c r="K94">
        <v>48.08</v>
      </c>
    </row>
    <row r="95" spans="1:11" x14ac:dyDescent="0.25">
      <c r="A95" s="1">
        <v>38168</v>
      </c>
      <c r="B95">
        <v>43.11</v>
      </c>
      <c r="C95">
        <v>42.86</v>
      </c>
      <c r="D95">
        <v>22.82</v>
      </c>
      <c r="E95">
        <v>34.229999999999997</v>
      </c>
      <c r="F95">
        <v>16.13</v>
      </c>
      <c r="G95">
        <v>25.01</v>
      </c>
      <c r="H95">
        <v>24.72</v>
      </c>
      <c r="I95">
        <v>30.18</v>
      </c>
      <c r="J95">
        <v>29.06</v>
      </c>
      <c r="K95">
        <v>50.81</v>
      </c>
    </row>
    <row r="96" spans="1:11" x14ac:dyDescent="0.25">
      <c r="A96" s="1">
        <v>38135</v>
      </c>
      <c r="B96">
        <v>38.65</v>
      </c>
      <c r="C96">
        <v>40.770000000000003</v>
      </c>
      <c r="D96">
        <v>23.61</v>
      </c>
      <c r="E96">
        <v>33.82</v>
      </c>
      <c r="F96">
        <v>15.76</v>
      </c>
      <c r="G96">
        <v>25.02</v>
      </c>
      <c r="H96">
        <v>23.6</v>
      </c>
      <c r="I96">
        <v>27.76</v>
      </c>
      <c r="J96">
        <v>26.16</v>
      </c>
      <c r="K96">
        <v>46.87</v>
      </c>
    </row>
    <row r="97" spans="1:11" x14ac:dyDescent="0.25">
      <c r="A97" s="1">
        <v>38107</v>
      </c>
      <c r="B97">
        <v>35.85</v>
      </c>
      <c r="C97">
        <v>39.08</v>
      </c>
      <c r="D97">
        <v>21.24</v>
      </c>
      <c r="E97">
        <v>33.61</v>
      </c>
      <c r="F97">
        <v>16.559999999999999</v>
      </c>
      <c r="G97">
        <v>24.93</v>
      </c>
      <c r="H97">
        <v>22.71</v>
      </c>
      <c r="I97">
        <v>28.32</v>
      </c>
      <c r="J97">
        <v>26.69</v>
      </c>
      <c r="K97">
        <v>50.67</v>
      </c>
    </row>
    <row r="98" spans="1:11" x14ac:dyDescent="0.25">
      <c r="A98" s="1">
        <v>38077</v>
      </c>
      <c r="B98">
        <v>34.49</v>
      </c>
      <c r="C98">
        <v>37.39</v>
      </c>
      <c r="D98">
        <v>22.46</v>
      </c>
      <c r="E98">
        <v>31.6</v>
      </c>
      <c r="F98">
        <v>16.12</v>
      </c>
      <c r="G98">
        <v>25.65</v>
      </c>
      <c r="H98">
        <v>23.15</v>
      </c>
      <c r="I98">
        <v>27.73</v>
      </c>
      <c r="J98">
        <v>29.12</v>
      </c>
      <c r="K98">
        <v>49.08</v>
      </c>
    </row>
    <row r="99" spans="1:11" x14ac:dyDescent="0.25">
      <c r="A99" s="1">
        <v>38044</v>
      </c>
      <c r="B99">
        <v>36.42</v>
      </c>
      <c r="C99">
        <v>37.92</v>
      </c>
      <c r="D99">
        <v>24.11</v>
      </c>
      <c r="E99">
        <v>34.11</v>
      </c>
      <c r="F99">
        <v>15.77</v>
      </c>
      <c r="G99">
        <v>25</v>
      </c>
      <c r="H99">
        <v>24.66</v>
      </c>
      <c r="I99">
        <v>28.71</v>
      </c>
      <c r="J99">
        <v>29.41</v>
      </c>
      <c r="K99">
        <v>49.7</v>
      </c>
    </row>
    <row r="100" spans="1:11" x14ac:dyDescent="0.25">
      <c r="A100" s="1">
        <v>38016</v>
      </c>
      <c r="B100">
        <v>34.93</v>
      </c>
      <c r="C100">
        <v>39.65</v>
      </c>
      <c r="D100">
        <v>25.17</v>
      </c>
      <c r="E100">
        <v>33.770000000000003</v>
      </c>
      <c r="F100">
        <v>16.75</v>
      </c>
      <c r="G100">
        <v>24.74</v>
      </c>
      <c r="H100">
        <v>25.35</v>
      </c>
      <c r="I100">
        <v>29.43</v>
      </c>
      <c r="J100">
        <v>27.82</v>
      </c>
      <c r="K100">
        <v>48.75</v>
      </c>
    </row>
    <row r="101" spans="1:11" x14ac:dyDescent="0.25">
      <c r="A101" s="1">
        <v>37986</v>
      </c>
      <c r="B101">
        <v>35.25</v>
      </c>
      <c r="C101">
        <v>41.92</v>
      </c>
      <c r="D101">
        <v>26.43</v>
      </c>
      <c r="E101">
        <v>32.78</v>
      </c>
      <c r="F101">
        <v>16.93</v>
      </c>
      <c r="G101">
        <v>24.51</v>
      </c>
      <c r="H101">
        <v>23.35</v>
      </c>
      <c r="I101">
        <v>27.24</v>
      </c>
      <c r="J101">
        <v>24.88</v>
      </c>
      <c r="K101">
        <v>43.94</v>
      </c>
    </row>
    <row r="102" spans="1:11" x14ac:dyDescent="0.25">
      <c r="A102" s="1">
        <v>37953</v>
      </c>
      <c r="B102">
        <v>32.119999999999997</v>
      </c>
      <c r="C102">
        <v>37.46</v>
      </c>
      <c r="D102">
        <v>27.66</v>
      </c>
      <c r="E102">
        <v>28.55</v>
      </c>
      <c r="F102">
        <v>15.11</v>
      </c>
      <c r="G102">
        <v>22.83</v>
      </c>
      <c r="H102">
        <v>21.47</v>
      </c>
      <c r="I102">
        <v>24.19</v>
      </c>
      <c r="J102">
        <v>21.25</v>
      </c>
      <c r="K102">
        <v>42.91</v>
      </c>
    </row>
    <row r="103" spans="1:11" x14ac:dyDescent="0.25">
      <c r="A103" s="1">
        <v>37925</v>
      </c>
      <c r="B103">
        <v>32.06</v>
      </c>
      <c r="C103">
        <v>37.619999999999997</v>
      </c>
      <c r="D103">
        <v>27.15</v>
      </c>
      <c r="E103">
        <v>31.12</v>
      </c>
      <c r="F103">
        <v>15.57</v>
      </c>
      <c r="G103">
        <v>23.25</v>
      </c>
      <c r="H103">
        <v>21.72</v>
      </c>
      <c r="I103">
        <v>24.79</v>
      </c>
      <c r="J103">
        <v>21.28</v>
      </c>
      <c r="K103">
        <v>40.96</v>
      </c>
    </row>
    <row r="104" spans="1:11" x14ac:dyDescent="0.25">
      <c r="A104" s="1">
        <v>37894</v>
      </c>
      <c r="B104">
        <v>28.59</v>
      </c>
      <c r="C104">
        <v>37.450000000000003</v>
      </c>
      <c r="D104">
        <v>22.68</v>
      </c>
      <c r="E104">
        <v>35.6</v>
      </c>
      <c r="F104">
        <v>14.2</v>
      </c>
      <c r="G104">
        <v>23.27</v>
      </c>
      <c r="H104">
        <v>22.32</v>
      </c>
      <c r="I104">
        <v>21.34</v>
      </c>
      <c r="J104">
        <v>21.92</v>
      </c>
      <c r="K104">
        <v>39.36</v>
      </c>
    </row>
    <row r="105" spans="1:11" x14ac:dyDescent="0.25">
      <c r="A105" s="1">
        <v>37862</v>
      </c>
      <c r="B105">
        <v>31.14</v>
      </c>
      <c r="C105">
        <v>41.58</v>
      </c>
      <c r="D105">
        <v>23.56</v>
      </c>
      <c r="E105">
        <v>35.130000000000003</v>
      </c>
      <c r="F105">
        <v>14.34</v>
      </c>
      <c r="G105">
        <v>21.58</v>
      </c>
      <c r="H105">
        <v>22.01</v>
      </c>
      <c r="I105">
        <v>23.47</v>
      </c>
      <c r="J105">
        <v>22.43</v>
      </c>
      <c r="K105">
        <v>42.65</v>
      </c>
    </row>
    <row r="106" spans="1:11" x14ac:dyDescent="0.25">
      <c r="A106" s="1">
        <v>37833</v>
      </c>
      <c r="B106">
        <v>27.44</v>
      </c>
      <c r="C106">
        <v>42.38</v>
      </c>
      <c r="D106">
        <v>20.5</v>
      </c>
      <c r="E106">
        <v>36.53</v>
      </c>
      <c r="F106">
        <v>14.91</v>
      </c>
      <c r="G106">
        <v>20.88</v>
      </c>
      <c r="H106">
        <v>21.17</v>
      </c>
      <c r="I106">
        <v>22.75</v>
      </c>
      <c r="J106">
        <v>20.34</v>
      </c>
      <c r="K106">
        <v>41.76</v>
      </c>
    </row>
    <row r="107" spans="1:11" x14ac:dyDescent="0.25">
      <c r="A107" s="1">
        <v>37802</v>
      </c>
      <c r="B107">
        <v>28.44</v>
      </c>
      <c r="C107">
        <v>38.520000000000003</v>
      </c>
      <c r="D107">
        <v>17.14</v>
      </c>
      <c r="E107">
        <v>40.01</v>
      </c>
      <c r="F107">
        <v>16.07</v>
      </c>
      <c r="G107">
        <v>21.73</v>
      </c>
      <c r="H107">
        <v>21.34</v>
      </c>
      <c r="I107">
        <v>21.6</v>
      </c>
      <c r="J107">
        <v>21.47</v>
      </c>
      <c r="K107">
        <v>38.85</v>
      </c>
    </row>
    <row r="108" spans="1:11" x14ac:dyDescent="0.25">
      <c r="A108" s="1">
        <v>37771</v>
      </c>
      <c r="B108">
        <v>25.41</v>
      </c>
      <c r="C108">
        <v>37.590000000000003</v>
      </c>
      <c r="D108">
        <v>17.14</v>
      </c>
      <c r="E108">
        <v>36.49</v>
      </c>
      <c r="F108">
        <v>16.02</v>
      </c>
      <c r="G108">
        <v>20.82</v>
      </c>
      <c r="H108">
        <v>21.22</v>
      </c>
      <c r="I108">
        <v>21.07</v>
      </c>
      <c r="J108">
        <v>21.86</v>
      </c>
      <c r="K108">
        <v>42.66</v>
      </c>
    </row>
    <row r="109" spans="1:11" x14ac:dyDescent="0.25">
      <c r="A109" s="1">
        <v>37741</v>
      </c>
      <c r="B109">
        <v>22.47</v>
      </c>
      <c r="C109">
        <v>40.42</v>
      </c>
      <c r="D109">
        <v>15.14</v>
      </c>
      <c r="E109">
        <v>38.200000000000003</v>
      </c>
      <c r="F109">
        <v>14.7</v>
      </c>
      <c r="G109">
        <v>19.11</v>
      </c>
      <c r="H109">
        <v>21.78</v>
      </c>
      <c r="I109">
        <v>18.84</v>
      </c>
      <c r="J109">
        <v>18.850000000000001</v>
      </c>
      <c r="K109">
        <v>40.76</v>
      </c>
    </row>
    <row r="110" spans="1:11" x14ac:dyDescent="0.25">
      <c r="A110" s="1">
        <v>37711</v>
      </c>
      <c r="B110">
        <v>20.64</v>
      </c>
      <c r="C110">
        <v>38.4</v>
      </c>
      <c r="D110">
        <v>13.39</v>
      </c>
      <c r="E110">
        <v>35.97</v>
      </c>
      <c r="F110">
        <v>12.43</v>
      </c>
      <c r="G110">
        <v>18.16</v>
      </c>
      <c r="H110">
        <v>18.86</v>
      </c>
      <c r="I110">
        <v>17.05</v>
      </c>
      <c r="J110">
        <v>17.09</v>
      </c>
      <c r="K110">
        <v>45.11</v>
      </c>
    </row>
    <row r="111" spans="1:11" x14ac:dyDescent="0.25">
      <c r="A111" s="1">
        <v>37680</v>
      </c>
      <c r="B111">
        <v>22.7</v>
      </c>
      <c r="C111">
        <v>36.92</v>
      </c>
      <c r="D111">
        <v>14.19</v>
      </c>
      <c r="E111">
        <v>34.39</v>
      </c>
      <c r="F111">
        <v>12.89</v>
      </c>
      <c r="G111">
        <v>17.71</v>
      </c>
      <c r="H111">
        <v>17.78</v>
      </c>
      <c r="I111">
        <v>18.27</v>
      </c>
      <c r="J111">
        <v>18.7</v>
      </c>
      <c r="K111">
        <v>43.86</v>
      </c>
    </row>
    <row r="112" spans="1:11" x14ac:dyDescent="0.25">
      <c r="A112" s="1">
        <v>37652</v>
      </c>
      <c r="B112">
        <v>25.88</v>
      </c>
      <c r="C112">
        <v>41.13</v>
      </c>
      <c r="D112">
        <v>12.87</v>
      </c>
      <c r="E112">
        <v>36.119999999999997</v>
      </c>
      <c r="F112">
        <v>15.14</v>
      </c>
      <c r="G112">
        <v>18.18</v>
      </c>
      <c r="H112">
        <v>16.97</v>
      </c>
      <c r="I112">
        <v>19.350000000000001</v>
      </c>
      <c r="J112">
        <v>16.87</v>
      </c>
      <c r="K112">
        <v>45.53</v>
      </c>
    </row>
    <row r="113" spans="1:11" x14ac:dyDescent="0.25">
      <c r="A113" s="1">
        <v>37621</v>
      </c>
      <c r="B113">
        <v>27.03</v>
      </c>
      <c r="C113">
        <v>46.53</v>
      </c>
      <c r="D113">
        <v>12.79</v>
      </c>
      <c r="E113">
        <v>36.909999999999997</v>
      </c>
      <c r="F113">
        <v>16.649999999999999</v>
      </c>
      <c r="G113">
        <v>18.829999999999998</v>
      </c>
      <c r="H113">
        <v>17.86</v>
      </c>
      <c r="I113">
        <v>19.010000000000002</v>
      </c>
      <c r="J113">
        <v>18.829999999999998</v>
      </c>
      <c r="K113">
        <v>46.67</v>
      </c>
    </row>
    <row r="114" spans="1:11" x14ac:dyDescent="0.25">
      <c r="A114" s="1">
        <v>37589</v>
      </c>
      <c r="B114">
        <v>27.9</v>
      </c>
      <c r="C114">
        <v>42.06</v>
      </c>
      <c r="D114">
        <v>17.149999999999999</v>
      </c>
      <c r="E114">
        <v>38.5</v>
      </c>
      <c r="F114">
        <v>17.5</v>
      </c>
      <c r="G114">
        <v>17.91</v>
      </c>
      <c r="H114">
        <v>19.739999999999998</v>
      </c>
      <c r="I114">
        <v>20.6</v>
      </c>
      <c r="J114">
        <v>19.71</v>
      </c>
      <c r="K114">
        <v>48.96</v>
      </c>
    </row>
    <row r="115" spans="1:11" x14ac:dyDescent="0.25">
      <c r="A115" s="1">
        <v>37560</v>
      </c>
      <c r="B115">
        <v>24.24</v>
      </c>
      <c r="C115">
        <v>46.55</v>
      </c>
      <c r="D115">
        <v>14.2</v>
      </c>
      <c r="E115">
        <v>35.15</v>
      </c>
      <c r="F115">
        <v>15.76</v>
      </c>
      <c r="G115">
        <v>17.829999999999998</v>
      </c>
      <c r="H115">
        <v>18.38</v>
      </c>
      <c r="I115">
        <v>18.809999999999999</v>
      </c>
      <c r="J115">
        <v>17.87</v>
      </c>
      <c r="K115">
        <v>47.29</v>
      </c>
    </row>
    <row r="116" spans="1:11" x14ac:dyDescent="0.25">
      <c r="A116" s="1">
        <v>37529</v>
      </c>
      <c r="B116">
        <v>27.81</v>
      </c>
      <c r="C116">
        <v>51.99</v>
      </c>
      <c r="D116">
        <v>11.4</v>
      </c>
      <c r="E116">
        <v>29.62</v>
      </c>
      <c r="F116">
        <v>12.18</v>
      </c>
      <c r="G116">
        <v>16.8</v>
      </c>
      <c r="H116">
        <v>17.95</v>
      </c>
      <c r="I116">
        <v>17.010000000000002</v>
      </c>
      <c r="J116">
        <v>17.13</v>
      </c>
      <c r="K116">
        <v>43.29</v>
      </c>
    </row>
    <row r="117" spans="1:11" x14ac:dyDescent="0.25">
      <c r="A117" s="1">
        <v>37498</v>
      </c>
      <c r="B117">
        <v>30.21</v>
      </c>
      <c r="C117">
        <v>50.91</v>
      </c>
      <c r="D117">
        <v>13.68</v>
      </c>
      <c r="E117">
        <v>32.49</v>
      </c>
      <c r="F117">
        <v>15</v>
      </c>
      <c r="G117">
        <v>16.559999999999999</v>
      </c>
      <c r="H117">
        <v>21.8</v>
      </c>
      <c r="I117">
        <v>23.53</v>
      </c>
      <c r="J117">
        <v>19.25</v>
      </c>
      <c r="K117">
        <v>47.96</v>
      </c>
    </row>
    <row r="118" spans="1:11" x14ac:dyDescent="0.25">
      <c r="A118" s="1">
        <v>37468</v>
      </c>
      <c r="B118">
        <v>33.68</v>
      </c>
      <c r="C118">
        <v>51.45</v>
      </c>
      <c r="D118">
        <v>15.4</v>
      </c>
      <c r="E118">
        <v>31.9</v>
      </c>
      <c r="F118">
        <v>16.77</v>
      </c>
      <c r="G118">
        <v>17.2</v>
      </c>
      <c r="H118">
        <v>23.28</v>
      </c>
      <c r="I118">
        <v>25.27</v>
      </c>
      <c r="J118">
        <v>19.04</v>
      </c>
      <c r="K118">
        <v>47.02</v>
      </c>
    </row>
    <row r="119" spans="1:11" x14ac:dyDescent="0.25">
      <c r="A119" s="1">
        <v>37435</v>
      </c>
      <c r="B119">
        <v>36.5</v>
      </c>
      <c r="C119">
        <v>55.78</v>
      </c>
      <c r="D119">
        <v>14.98</v>
      </c>
      <c r="E119">
        <v>32.57</v>
      </c>
      <c r="F119">
        <v>18.329999999999998</v>
      </c>
      <c r="G119">
        <v>18.329999999999998</v>
      </c>
      <c r="H119">
        <v>21</v>
      </c>
      <c r="I119">
        <v>27.51</v>
      </c>
      <c r="J119">
        <v>20.62</v>
      </c>
      <c r="K119">
        <v>47.43</v>
      </c>
    </row>
    <row r="120" spans="1:11" x14ac:dyDescent="0.25">
      <c r="A120" s="1">
        <v>37407</v>
      </c>
      <c r="B120">
        <v>34.6</v>
      </c>
      <c r="C120">
        <v>49.8</v>
      </c>
      <c r="D120">
        <v>22.64</v>
      </c>
      <c r="E120">
        <v>36.49</v>
      </c>
      <c r="F120">
        <v>20.61</v>
      </c>
      <c r="G120">
        <v>18.75</v>
      </c>
      <c r="H120">
        <v>22.37</v>
      </c>
      <c r="I120">
        <v>30.61</v>
      </c>
      <c r="J120">
        <v>22.82</v>
      </c>
      <c r="K120">
        <v>49.16</v>
      </c>
    </row>
    <row r="121" spans="1:11" x14ac:dyDescent="0.25">
      <c r="A121" s="1">
        <v>37376</v>
      </c>
      <c r="B121">
        <v>36.04</v>
      </c>
      <c r="C121">
        <v>50.39</v>
      </c>
      <c r="D121">
        <v>23.43</v>
      </c>
      <c r="E121">
        <v>34.729999999999997</v>
      </c>
      <c r="F121">
        <v>18.670000000000002</v>
      </c>
      <c r="G121">
        <v>18.89</v>
      </c>
      <c r="H121">
        <v>22.67</v>
      </c>
      <c r="I121">
        <v>28.51</v>
      </c>
      <c r="J121">
        <v>24.2</v>
      </c>
      <c r="K121">
        <v>48.16</v>
      </c>
    </row>
    <row r="122" spans="1:11" x14ac:dyDescent="0.25">
      <c r="A122" s="1">
        <v>37343</v>
      </c>
      <c r="B122">
        <v>38.99</v>
      </c>
      <c r="C122">
        <v>46.13</v>
      </c>
      <c r="D122">
        <v>24.91</v>
      </c>
      <c r="E122">
        <v>36.799999999999997</v>
      </c>
      <c r="F122">
        <v>22.34</v>
      </c>
      <c r="G122">
        <v>18.420000000000002</v>
      </c>
      <c r="H122">
        <v>26.87</v>
      </c>
      <c r="I122">
        <v>29.74</v>
      </c>
      <c r="J122">
        <v>25.99</v>
      </c>
      <c r="K122">
        <v>45.89</v>
      </c>
    </row>
    <row r="123" spans="1:11" x14ac:dyDescent="0.25">
      <c r="A123" s="1">
        <v>37315</v>
      </c>
      <c r="B123">
        <v>37.14</v>
      </c>
      <c r="C123">
        <v>45.19</v>
      </c>
      <c r="D123">
        <v>23.38</v>
      </c>
      <c r="E123">
        <v>38.97</v>
      </c>
      <c r="F123">
        <v>22.58</v>
      </c>
      <c r="G123">
        <v>17.14</v>
      </c>
      <c r="H123">
        <v>27.66</v>
      </c>
      <c r="I123">
        <v>29.63</v>
      </c>
      <c r="J123">
        <v>25.72</v>
      </c>
      <c r="K123">
        <v>47.87</v>
      </c>
    </row>
    <row r="124" spans="1:11" x14ac:dyDescent="0.25">
      <c r="A124" s="1">
        <v>37287</v>
      </c>
      <c r="B124">
        <v>32.96</v>
      </c>
      <c r="C124">
        <v>42.35</v>
      </c>
      <c r="D124">
        <v>28.68</v>
      </c>
      <c r="E124">
        <v>37.6</v>
      </c>
      <c r="F124">
        <v>22.34</v>
      </c>
      <c r="G124">
        <v>16.98</v>
      </c>
      <c r="H124">
        <v>26.57</v>
      </c>
      <c r="I124">
        <v>25.98</v>
      </c>
      <c r="J124">
        <v>24.84</v>
      </c>
      <c r="K124">
        <v>44.51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0"/>
  <sheetViews>
    <sheetView workbookViewId="0"/>
  </sheetViews>
  <sheetFormatPr baseColWidth="10" defaultColWidth="25.7109375" defaultRowHeight="15" x14ac:dyDescent="0.25"/>
  <sheetData>
    <row r="1" spans="1:16" x14ac:dyDescent="0.25">
      <c r="A1" t="s">
        <v>94</v>
      </c>
      <c r="B1" t="s">
        <v>76</v>
      </c>
    </row>
    <row r="2" spans="1:16" x14ac:dyDescent="0.25">
      <c r="A2" t="s">
        <v>54</v>
      </c>
      <c r="B2" t="s">
        <v>92</v>
      </c>
    </row>
    <row r="3" spans="1:16" x14ac:dyDescent="0.25">
      <c r="A3" t="s">
        <v>55</v>
      </c>
      <c r="B3" t="s">
        <v>92</v>
      </c>
    </row>
    <row r="4" spans="1:16" x14ac:dyDescent="0.25">
      <c r="A4" t="s">
        <v>95</v>
      </c>
      <c r="B4" t="s">
        <v>209</v>
      </c>
    </row>
    <row r="9" spans="1:16" x14ac:dyDescent="0.25">
      <c r="A9" t="s">
        <v>96</v>
      </c>
      <c r="B9">
        <v>10</v>
      </c>
    </row>
    <row r="10" spans="1:16" x14ac:dyDescent="0.25">
      <c r="A10" t="s">
        <v>97</v>
      </c>
      <c r="B10" t="s">
        <v>98</v>
      </c>
      <c r="C10" t="s">
        <v>99</v>
      </c>
      <c r="D10" t="s">
        <v>100</v>
      </c>
      <c r="E10" t="s">
        <v>101</v>
      </c>
      <c r="F10" t="s">
        <v>102</v>
      </c>
      <c r="G10" t="s">
        <v>103</v>
      </c>
      <c r="H10" t="s">
        <v>104</v>
      </c>
      <c r="I10" t="s">
        <v>105</v>
      </c>
    </row>
    <row r="11" spans="1:16" x14ac:dyDescent="0.25">
      <c r="A11" t="s">
        <v>106</v>
      </c>
      <c r="B11" s="2" t="s">
        <v>107</v>
      </c>
      <c r="C11">
        <f>'Return rate'!$B$7:$B$127</f>
        <v>1.0873347833361218</v>
      </c>
      <c r="D11">
        <v>0</v>
      </c>
      <c r="E11" s="2" t="s">
        <v>206</v>
      </c>
      <c r="F11" t="s">
        <v>109</v>
      </c>
      <c r="J11" t="s">
        <v>207</v>
      </c>
      <c r="K11" t="s">
        <v>208</v>
      </c>
      <c r="O11">
        <v>4</v>
      </c>
      <c r="P11" t="b">
        <v>0</v>
      </c>
    </row>
    <row r="12" spans="1:16" x14ac:dyDescent="0.25">
      <c r="A12" t="s">
        <v>110</v>
      </c>
      <c r="B12" s="2" t="s">
        <v>111</v>
      </c>
      <c r="C12">
        <f>'Return rate'!$C$7:$C$127</f>
        <v>0.9791494062413697</v>
      </c>
      <c r="D12">
        <v>0</v>
      </c>
      <c r="E12" s="2" t="s">
        <v>206</v>
      </c>
      <c r="F12" t="s">
        <v>112</v>
      </c>
      <c r="J12" t="s">
        <v>207</v>
      </c>
      <c r="K12" t="s">
        <v>208</v>
      </c>
      <c r="O12">
        <v>4</v>
      </c>
      <c r="P12" t="b">
        <v>0</v>
      </c>
    </row>
    <row r="13" spans="1:16" x14ac:dyDescent="0.25">
      <c r="A13" t="s">
        <v>113</v>
      </c>
      <c r="B13" s="2" t="s">
        <v>114</v>
      </c>
      <c r="C13">
        <f>'Return rate'!$D$7:$D$127</f>
        <v>0.90988505747126436</v>
      </c>
      <c r="D13">
        <v>0</v>
      </c>
      <c r="E13" s="2" t="s">
        <v>206</v>
      </c>
      <c r="F13" t="s">
        <v>115</v>
      </c>
      <c r="J13" t="s">
        <v>207</v>
      </c>
      <c r="K13" t="s">
        <v>208</v>
      </c>
      <c r="O13">
        <v>4</v>
      </c>
      <c r="P13" t="b">
        <v>0</v>
      </c>
    </row>
    <row r="14" spans="1:16" x14ac:dyDescent="0.25">
      <c r="A14" t="s">
        <v>116</v>
      </c>
      <c r="B14" s="2" t="s">
        <v>117</v>
      </c>
      <c r="C14">
        <f>'Return rate'!$E$7:$E$127</f>
        <v>0.96691816598955305</v>
      </c>
      <c r="D14">
        <v>0</v>
      </c>
      <c r="E14" s="2" t="s">
        <v>206</v>
      </c>
      <c r="F14" t="s">
        <v>118</v>
      </c>
      <c r="J14" t="s">
        <v>207</v>
      </c>
      <c r="K14" t="s">
        <v>208</v>
      </c>
      <c r="O14">
        <v>4</v>
      </c>
      <c r="P14" t="b">
        <v>0</v>
      </c>
    </row>
    <row r="15" spans="1:16" x14ac:dyDescent="0.25">
      <c r="A15" t="s">
        <v>119</v>
      </c>
      <c r="B15" s="2" t="s">
        <v>120</v>
      </c>
      <c r="C15">
        <f>'Return rate'!$F$7:$F$127</f>
        <v>0.9953657729228732</v>
      </c>
      <c r="D15">
        <v>0</v>
      </c>
      <c r="E15" s="2" t="s">
        <v>206</v>
      </c>
      <c r="F15" t="s">
        <v>121</v>
      </c>
      <c r="J15" t="s">
        <v>207</v>
      </c>
      <c r="K15" t="s">
        <v>208</v>
      </c>
      <c r="O15">
        <v>4</v>
      </c>
      <c r="P15" t="b">
        <v>0</v>
      </c>
    </row>
    <row r="16" spans="1:16" x14ac:dyDescent="0.25">
      <c r="A16" t="s">
        <v>122</v>
      </c>
      <c r="B16" s="2" t="s">
        <v>5</v>
      </c>
      <c r="C16">
        <f>'Return rate'!$G$7:$G$127</f>
        <v>1.0049887752556745</v>
      </c>
      <c r="D16">
        <v>0</v>
      </c>
      <c r="E16" s="2" t="s">
        <v>206</v>
      </c>
      <c r="F16" t="s">
        <v>123</v>
      </c>
      <c r="J16" t="s">
        <v>207</v>
      </c>
      <c r="K16" t="s">
        <v>208</v>
      </c>
      <c r="O16">
        <v>4</v>
      </c>
      <c r="P16" t="b">
        <v>0</v>
      </c>
    </row>
    <row r="17" spans="1:16" x14ac:dyDescent="0.25">
      <c r="A17" t="s">
        <v>124</v>
      </c>
      <c r="B17" s="2" t="s">
        <v>6</v>
      </c>
      <c r="C17">
        <f>'Return rate'!$H$7:$H$127</f>
        <v>1.0196483971044468</v>
      </c>
      <c r="D17">
        <v>0</v>
      </c>
      <c r="E17" s="2" t="s">
        <v>206</v>
      </c>
      <c r="F17" t="s">
        <v>125</v>
      </c>
      <c r="J17" t="s">
        <v>207</v>
      </c>
      <c r="K17" t="s">
        <v>208</v>
      </c>
      <c r="O17">
        <v>4</v>
      </c>
      <c r="P17" t="b">
        <v>0</v>
      </c>
    </row>
    <row r="18" spans="1:16" x14ac:dyDescent="0.25">
      <c r="A18" t="s">
        <v>126</v>
      </c>
      <c r="B18" s="2" t="s">
        <v>7</v>
      </c>
      <c r="C18">
        <f>'Return rate'!$I$7:$I$127</f>
        <v>1.031194611839773</v>
      </c>
      <c r="D18">
        <v>0</v>
      </c>
      <c r="E18" s="2" t="s">
        <v>206</v>
      </c>
      <c r="F18" t="s">
        <v>127</v>
      </c>
      <c r="J18" t="s">
        <v>207</v>
      </c>
      <c r="K18" t="s">
        <v>208</v>
      </c>
      <c r="O18">
        <v>4</v>
      </c>
      <c r="P18" t="b">
        <v>0</v>
      </c>
    </row>
    <row r="19" spans="1:16" x14ac:dyDescent="0.25">
      <c r="A19" t="s">
        <v>128</v>
      </c>
      <c r="B19" s="2" t="s">
        <v>8</v>
      </c>
      <c r="C19">
        <f>'Return rate'!$J$7:$J$127</f>
        <v>1.0526435994061896</v>
      </c>
      <c r="D19">
        <v>0</v>
      </c>
      <c r="E19" s="2" t="s">
        <v>206</v>
      </c>
      <c r="F19" t="s">
        <v>129</v>
      </c>
      <c r="J19" t="s">
        <v>207</v>
      </c>
      <c r="K19" t="s">
        <v>208</v>
      </c>
      <c r="O19">
        <v>4</v>
      </c>
      <c r="P19" t="b">
        <v>0</v>
      </c>
    </row>
    <row r="20" spans="1:16" x14ac:dyDescent="0.25">
      <c r="A20" t="s">
        <v>130</v>
      </c>
      <c r="B20" s="2" t="s">
        <v>9</v>
      </c>
      <c r="C20">
        <f>'Return rate'!$K$7:$K$127</f>
        <v>0.99391283175066958</v>
      </c>
      <c r="D20">
        <v>0</v>
      </c>
      <c r="E20" s="2" t="s">
        <v>206</v>
      </c>
      <c r="F20" t="s">
        <v>131</v>
      </c>
      <c r="J20" t="s">
        <v>207</v>
      </c>
      <c r="K20" t="s">
        <v>208</v>
      </c>
      <c r="O20">
        <v>4</v>
      </c>
      <c r="P2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28"/>
  <sheetViews>
    <sheetView topLeftCell="E1" zoomScale="70" zoomScaleNormal="70" zoomScalePageLayoutView="70" workbookViewId="0">
      <selection activeCell="H6" sqref="H6"/>
    </sheetView>
  </sheetViews>
  <sheetFormatPr baseColWidth="10" defaultColWidth="9.140625" defaultRowHeight="15" x14ac:dyDescent="0.25"/>
  <cols>
    <col min="1" max="11" width="19.42578125" customWidth="1"/>
    <col min="14" max="14" width="11" bestFit="1" customWidth="1"/>
  </cols>
  <sheetData>
    <row r="1" spans="1:24" x14ac:dyDescent="0.25">
      <c r="B1" t="s">
        <v>108</v>
      </c>
      <c r="C1" t="s">
        <v>2</v>
      </c>
      <c r="D1" t="s">
        <v>3</v>
      </c>
      <c r="E1" t="s">
        <v>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24" x14ac:dyDescent="0.25">
      <c r="A2" t="s">
        <v>16</v>
      </c>
      <c r="B2">
        <f ca="1">_xll.RiskLognorm(1.0102,0.08265,_xll.RiskName("Boeing Cie returns"))</f>
        <v>1.0102</v>
      </c>
      <c r="C2">
        <f ca="1">_xll.RiskLognorm(1.0084,0.067323,_xll.RiskName("LockheedMartin"))</f>
        <v>1.0084</v>
      </c>
      <c r="D2">
        <f ca="1">_xll.RiskLognorm(1.0044,0.099085,_xll.RiskName("IntelCorp"))</f>
        <v>1.0044</v>
      </c>
      <c r="E2">
        <f ca="1">_xll.RiskLognorm(1.0032,0.078483,_xll.RiskName("MerckCie"))</f>
        <v>1.0032000000000001</v>
      </c>
      <c r="F2">
        <f ca="1">_xll.RiskLognorm(1.0049,0.068432,_xll.RiskName("ATT"))</f>
        <v>1.0048999999999999</v>
      </c>
      <c r="G2">
        <f ca="1">_xll.RiskLognorm(1.0082,0.051797,_xll.RiskName("Exelon"))</f>
        <v>1.0082</v>
      </c>
      <c r="H2">
        <f ca="1">_xll.RiskLognorm(1.0011,0.086978,_xll.RiskName("GE"))</f>
        <v>1.0011000000000001</v>
      </c>
      <c r="I2">
        <f ca="1">_xll.RiskLognorm(1.0103,0.082517,_xll.RiskName("Honeywell"))</f>
        <v>1.0103</v>
      </c>
      <c r="J2">
        <f ca="1">_xll.RiskLognorm(1.0145,0.10039,_xll.RiskName("Schlumberger"))</f>
        <v>1.0145</v>
      </c>
      <c r="K2">
        <f ca="1">_xll.RiskLognorm(1.0004,0.082606,_xll.RiskName("Avery"))</f>
        <v>1.0004</v>
      </c>
    </row>
    <row r="3" spans="1:24" x14ac:dyDescent="0.25">
      <c r="A3" t="s">
        <v>13</v>
      </c>
      <c r="B3" s="22">
        <f ca="1">_xll.RiskTheoMean(B2)</f>
        <v>1.0102</v>
      </c>
      <c r="C3" s="22">
        <f ca="1">_xll.RiskTheoMean(C2)</f>
        <v>1.0084</v>
      </c>
      <c r="D3" s="22">
        <f ca="1">_xll.RiskTheoMean(D2)</f>
        <v>1.0044</v>
      </c>
      <c r="E3" s="22">
        <f ca="1">_xll.RiskTheoMean(E2)</f>
        <v>1.0032000000000001</v>
      </c>
      <c r="F3" s="22">
        <f ca="1">_xll.RiskTheoMean(F2)</f>
        <v>1.0048999999999999</v>
      </c>
      <c r="G3" s="22">
        <f ca="1">_xll.RiskTheoMean(G2)</f>
        <v>1.0082</v>
      </c>
      <c r="H3" s="22">
        <f ca="1">_xll.RiskTheoMean(H2)</f>
        <v>1.0011000000000001</v>
      </c>
      <c r="I3" s="22">
        <f ca="1">_xll.RiskTheoMean(I2)</f>
        <v>1.0103</v>
      </c>
      <c r="J3" s="22">
        <f ca="1">_xll.RiskTheoMean(J2)</f>
        <v>1.0145</v>
      </c>
      <c r="K3" s="22">
        <f ca="1">_xll.RiskTheoMean(K2)</f>
        <v>1.0004</v>
      </c>
    </row>
    <row r="4" spans="1:24" x14ac:dyDescent="0.25">
      <c r="A4" t="s">
        <v>14</v>
      </c>
      <c r="B4">
        <f ca="1">_xll.RiskTheoStdDev(B2)</f>
        <v>8.2650000000000001E-2</v>
      </c>
      <c r="C4">
        <f ca="1">_xll.RiskTheoStdDev(C2)</f>
        <v>6.7322999999999994E-2</v>
      </c>
      <c r="D4">
        <f ca="1">_xll.RiskTheoStdDev(D2)</f>
        <v>9.9085000000000006E-2</v>
      </c>
      <c r="E4">
        <f ca="1">_xll.RiskTheoStdDev(E2)</f>
        <v>7.8482999999999997E-2</v>
      </c>
      <c r="F4">
        <f ca="1">_xll.RiskTheoStdDev(F2)</f>
        <v>6.8432000000000007E-2</v>
      </c>
      <c r="G4">
        <f ca="1">_xll.RiskTheoStdDev(G2)</f>
        <v>5.1797000000000003E-2</v>
      </c>
      <c r="H4">
        <f ca="1">_xll.RiskTheoStdDev(H2)</f>
        <v>8.6978E-2</v>
      </c>
      <c r="I4">
        <f ca="1">_xll.RiskTheoStdDev(I2)</f>
        <v>8.2516999999999993E-2</v>
      </c>
      <c r="J4">
        <f ca="1">_xll.RiskTheoStdDev(J2)</f>
        <v>0.10038999999999999</v>
      </c>
      <c r="K4">
        <f ca="1">_xll.RiskTheoStdDev(K2)</f>
        <v>8.2605999999999999E-2</v>
      </c>
    </row>
    <row r="6" spans="1:24" x14ac:dyDescent="0.25">
      <c r="A6" t="s">
        <v>0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N6" s="14" t="s">
        <v>151</v>
      </c>
      <c r="O6" s="14" t="str">
        <f>B1</f>
        <v>Boeing Cie</v>
      </c>
      <c r="P6" s="14" t="str">
        <f t="shared" ref="P6:X6" si="0">C1</f>
        <v>Lockheed Martin</v>
      </c>
      <c r="Q6" s="14" t="str">
        <f t="shared" si="0"/>
        <v>Intel Corp.</v>
      </c>
      <c r="R6" s="14" t="str">
        <f t="shared" si="0"/>
        <v>Merck &amp; Company</v>
      </c>
      <c r="S6" s="14" t="str">
        <f t="shared" si="0"/>
        <v>AT&amp;T</v>
      </c>
      <c r="T6" s="14" t="str">
        <f t="shared" si="0"/>
        <v>Exelon</v>
      </c>
      <c r="U6" s="14" t="str">
        <f t="shared" si="0"/>
        <v>GE</v>
      </c>
      <c r="V6" s="14" t="str">
        <f t="shared" si="0"/>
        <v>Honeywell</v>
      </c>
      <c r="W6" s="14" t="str">
        <f t="shared" si="0"/>
        <v>Schlumberger</v>
      </c>
      <c r="X6" s="14" t="str">
        <f t="shared" si="0"/>
        <v>Avery</v>
      </c>
    </row>
    <row r="7" spans="1:24" x14ac:dyDescent="0.25">
      <c r="A7" s="1">
        <v>40967</v>
      </c>
      <c r="B7">
        <f>'Adjusted close'!B3/'Adjusted close'!B4</f>
        <v>1.0191186440677966</v>
      </c>
      <c r="C7">
        <f>'Adjusted close'!C3/'Adjusted close'!C4</f>
        <v>1.0896805896805897</v>
      </c>
      <c r="D7">
        <f>'Adjusted close'!D3/'Adjusted close'!D4</f>
        <v>1.0392979778710414</v>
      </c>
      <c r="E7">
        <f>'Adjusted close'!E3/'Adjusted close'!E4</f>
        <v>1.002874314084139</v>
      </c>
      <c r="F7">
        <f>'Adjusted close'!F3/'Adjusted close'!F4</f>
        <v>1.0380822849370963</v>
      </c>
      <c r="G7">
        <f>'Adjusted close'!G3/'Adjusted close'!G4</f>
        <v>0.99363219561895055</v>
      </c>
      <c r="H7">
        <f>'Adjusted close'!H3/'Adjusted close'!H4</f>
        <v>1.0328840970350404</v>
      </c>
      <c r="I7">
        <f>'Adjusted close'!I3/'Adjusted close'!I4</f>
        <v>1.035887656033287</v>
      </c>
      <c r="J7">
        <f>'Adjusted close'!J3/'Adjusted close'!J4</f>
        <v>1.0516619943932719</v>
      </c>
      <c r="K7">
        <f>'Adjusted close'!K3/'Adjusted close'!K4</f>
        <v>1.1366482504604052</v>
      </c>
      <c r="N7" s="21" t="str">
        <f t="array" ref="N7:N16">TRANSPOSE(O6:X6)</f>
        <v>Boeing Cie</v>
      </c>
      <c r="O7" s="14">
        <v>1</v>
      </c>
      <c r="P7" s="14">
        <f t="shared" ref="P7:X7" si="1">CORREL($B$7:$B$127,C$7:C$127)</f>
        <v>0.54422796556918884</v>
      </c>
      <c r="Q7" s="14">
        <f t="shared" si="1"/>
        <v>0.28657911275791814</v>
      </c>
      <c r="R7" s="14">
        <f t="shared" si="1"/>
        <v>0.3020069407055167</v>
      </c>
      <c r="S7" s="14">
        <f t="shared" si="1"/>
        <v>0.2846258883063979</v>
      </c>
      <c r="T7" s="14">
        <f t="shared" si="1"/>
        <v>0.23060766669167376</v>
      </c>
      <c r="U7" s="14">
        <f t="shared" si="1"/>
        <v>0.53729597747962776</v>
      </c>
      <c r="V7" s="14">
        <f t="shared" si="1"/>
        <v>0.63826973302809242</v>
      </c>
      <c r="W7" s="14">
        <f t="shared" si="1"/>
        <v>0.41388878000600549</v>
      </c>
      <c r="X7" s="14">
        <f t="shared" si="1"/>
        <v>0.42258747830869975</v>
      </c>
    </row>
    <row r="8" spans="1:24" x14ac:dyDescent="0.25">
      <c r="A8" s="1">
        <v>40939</v>
      </c>
      <c r="B8">
        <f>'Adjusted close'!B4/'Adjusted close'!B5</f>
        <v>1.0113823368074601</v>
      </c>
      <c r="C8">
        <f>'Adjusted close'!C4/'Adjusted close'!C5</f>
        <v>1.0175000000000001</v>
      </c>
      <c r="D8">
        <f>'Adjusted close'!D4/'Adjusted close'!D5</f>
        <v>1.0893599334995845</v>
      </c>
      <c r="E8">
        <f>'Adjusted close'!E4/'Adjusted close'!E5</f>
        <v>1.0151193633952256</v>
      </c>
      <c r="F8">
        <f>'Adjusted close'!F4/'Adjusted close'!F5</f>
        <v>0.98691275167785231</v>
      </c>
      <c r="G8">
        <f>'Adjusted close'!G4/'Adjusted close'!G5</f>
        <v>0.91728971962616823</v>
      </c>
      <c r="H8">
        <f>'Adjusted close'!H4/'Adjusted close'!H5</f>
        <v>1.0450704225352112</v>
      </c>
      <c r="I8">
        <f>'Adjusted close'!I4/'Adjusted close'!I5</f>
        <v>1.0679503795593408</v>
      </c>
      <c r="J8">
        <f>'Adjusted close'!J4/'Adjusted close'!J5</f>
        <v>1.100484795063905</v>
      </c>
      <c r="K8">
        <f>'Adjusted close'!K4/'Adjusted close'!K5</f>
        <v>0.94665271966527198</v>
      </c>
      <c r="N8" s="21" t="str">
        <v>Lockheed Martin</v>
      </c>
      <c r="O8" s="14">
        <f>$P$7</f>
        <v>0.54422796556918884</v>
      </c>
      <c r="P8" s="14">
        <v>1</v>
      </c>
      <c r="Q8" s="14">
        <f t="shared" ref="Q8:X8" si="2">CORREL($C$7:$C$127,D$7:D$127)</f>
        <v>-2.5113380013896357E-2</v>
      </c>
      <c r="R8" s="14">
        <f t="shared" si="2"/>
        <v>0.11716690442613954</v>
      </c>
      <c r="S8" s="14">
        <f t="shared" si="2"/>
        <v>8.1036260362176857E-2</v>
      </c>
      <c r="T8" s="14">
        <f t="shared" si="2"/>
        <v>0.21057304812308664</v>
      </c>
      <c r="U8" s="14">
        <f t="shared" si="2"/>
        <v>0.41028153503923614</v>
      </c>
      <c r="V8" s="14">
        <f t="shared" si="2"/>
        <v>0.41609217159472034</v>
      </c>
      <c r="W8" s="14">
        <f t="shared" si="2"/>
        <v>0.20967324523854705</v>
      </c>
      <c r="X8" s="14">
        <f t="shared" si="2"/>
        <v>0.41178439162052094</v>
      </c>
    </row>
    <row r="9" spans="1:24" x14ac:dyDescent="0.25">
      <c r="A9" s="1">
        <v>40907</v>
      </c>
      <c r="B9">
        <f>'Adjusted close'!B5/'Adjusted close'!B6</f>
        <v>1.0677990921071898</v>
      </c>
      <c r="C9">
        <f>'Adjusted close'!C5/'Adjusted close'!C6</f>
        <v>1.0351966873706004</v>
      </c>
      <c r="D9">
        <f>'Adjusted close'!D5/'Adjusted close'!D6</f>
        <v>0.97369486038041275</v>
      </c>
      <c r="E9">
        <f>'Adjusted close'!E5/'Adjusted close'!E6</f>
        <v>1.0670818001698275</v>
      </c>
      <c r="F9">
        <f>'Adjusted close'!F5/'Adjusted close'!F6</f>
        <v>1.0434173669467788</v>
      </c>
      <c r="G9">
        <f>'Adjusted close'!G5/'Adjusted close'!G6</f>
        <v>0.97873313514749605</v>
      </c>
      <c r="H9">
        <f>'Adjusted close'!H5/'Adjusted close'!H6</f>
        <v>1.1363636363636365</v>
      </c>
      <c r="I9">
        <f>'Adjusted close'!I5/'Adjusted close'!I6</f>
        <v>1.0037167812674224</v>
      </c>
      <c r="J9">
        <f>'Adjusted close'!J5/'Adjusted close'!J6</f>
        <v>0.90687450039968009</v>
      </c>
      <c r="K9">
        <f>'Adjusted close'!K5/'Adjusted close'!K6</f>
        <v>1.1043511744320369</v>
      </c>
      <c r="N9" s="21" t="str">
        <v>Intel Corp.</v>
      </c>
      <c r="O9" s="14">
        <f>$Q$7</f>
        <v>0.28657911275791814</v>
      </c>
      <c r="P9" s="14">
        <f>$Q$8</f>
        <v>-2.5113380013896357E-2</v>
      </c>
      <c r="Q9" s="14">
        <v>1</v>
      </c>
      <c r="R9" s="14">
        <f t="shared" ref="R9:X9" si="3">CORREL($D$7:$D$127,E$7:E$127)</f>
        <v>0.28938439469340416</v>
      </c>
      <c r="S9" s="14">
        <f t="shared" si="3"/>
        <v>0.40040851950581352</v>
      </c>
      <c r="T9" s="14">
        <f t="shared" si="3"/>
        <v>0.15222592932407711</v>
      </c>
      <c r="U9" s="14">
        <f t="shared" si="3"/>
        <v>0.4197554687351871</v>
      </c>
      <c r="V9" s="14">
        <f t="shared" si="3"/>
        <v>0.52654022064763562</v>
      </c>
      <c r="W9" s="14">
        <f t="shared" si="3"/>
        <v>0.30023704057216877</v>
      </c>
      <c r="X9" s="14">
        <f t="shared" si="3"/>
        <v>0.29434426296919181</v>
      </c>
    </row>
    <row r="10" spans="1:24" x14ac:dyDescent="0.25">
      <c r="A10" s="1">
        <v>40877</v>
      </c>
      <c r="B10">
        <f>'Adjusted close'!B6/'Adjusted close'!B7</f>
        <v>1.050777042621942</v>
      </c>
      <c r="C10">
        <f>'Adjusted close'!C6/'Adjusted close'!C7</f>
        <v>1.0430557430152516</v>
      </c>
      <c r="D10">
        <f>'Adjusted close'!D6/'Adjusted close'!D7</f>
        <v>1.0240364691255699</v>
      </c>
      <c r="E10">
        <f>'Adjusted close'!E6/'Adjusted close'!E7</f>
        <v>1.036374303314755</v>
      </c>
      <c r="F10">
        <f>'Adjusted close'!F6/'Adjusted close'!F7</f>
        <v>0.98857736240913807</v>
      </c>
      <c r="G10">
        <f>'Adjusted close'!G6/'Adjusted close'!G7</f>
        <v>1.0101640101640101</v>
      </c>
      <c r="H10">
        <f>'Adjusted close'!H6/'Adjusted close'!H7</f>
        <v>0.95243902439024397</v>
      </c>
      <c r="I10">
        <f>'Adjusted close'!I6/'Adjusted close'!I7</f>
        <v>1.0404098994586235</v>
      </c>
      <c r="J10">
        <f>'Adjusted close'!J6/'Adjusted close'!J7</f>
        <v>1.0289239204934886</v>
      </c>
      <c r="K10">
        <f>'Adjusted close'!K6/'Adjusted close'!K7</f>
        <v>0.9855787476280834</v>
      </c>
      <c r="N10" s="21" t="str">
        <v>Merck &amp; Company</v>
      </c>
      <c r="O10" s="14">
        <f>$R$7</f>
        <v>0.3020069407055167</v>
      </c>
      <c r="P10" s="14">
        <f>$R$8</f>
        <v>0.11716690442613954</v>
      </c>
      <c r="Q10" s="14">
        <f>$R$9</f>
        <v>0.28938439469340416</v>
      </c>
      <c r="R10" s="14">
        <v>1</v>
      </c>
      <c r="S10" s="14">
        <f t="shared" ref="S10:X10" si="4">CORREL($E$7:$E$127,F$7:F$127)</f>
        <v>0.40921193259061545</v>
      </c>
      <c r="T10" s="14">
        <f t="shared" si="4"/>
        <v>0.28282268339331135</v>
      </c>
      <c r="U10" s="14">
        <f t="shared" si="4"/>
        <v>0.27292062460457367</v>
      </c>
      <c r="V10" s="14">
        <f t="shared" si="4"/>
        <v>0.36352953505686136</v>
      </c>
      <c r="W10" s="14">
        <f t="shared" si="4"/>
        <v>0.17359778419007219</v>
      </c>
      <c r="X10" s="14">
        <f t="shared" si="4"/>
        <v>0.20816503652037052</v>
      </c>
    </row>
    <row r="11" spans="1:24" x14ac:dyDescent="0.25">
      <c r="A11" s="1">
        <v>40847</v>
      </c>
      <c r="B11">
        <f>'Adjusted close'!B7/'Adjusted close'!B8</f>
        <v>1.0873347833361218</v>
      </c>
      <c r="C11">
        <f>'Adjusted close'!C7/'Adjusted close'!C8</f>
        <v>1.0448455789028346</v>
      </c>
      <c r="D11">
        <f>'Adjusted close'!D7/'Adjusted close'!D8</f>
        <v>1.150142993326978</v>
      </c>
      <c r="E11">
        <f>'Adjusted close'!E7/'Adjusted close'!E8</f>
        <v>1.0550913030021665</v>
      </c>
      <c r="F11">
        <f>'Adjusted close'!F7/'Adjusted close'!F8</f>
        <v>1.04371387283237</v>
      </c>
      <c r="G11">
        <f>'Adjusted close'!G7/'Adjusted close'!G8</f>
        <v>1.0416265640038498</v>
      </c>
      <c r="H11">
        <f>'Adjusted close'!H7/'Adjusted close'!H8</f>
        <v>1.0977242302543506</v>
      </c>
      <c r="I11">
        <f>'Adjusted close'!I7/'Adjusted close'!I8</f>
        <v>1.1933548684817719</v>
      </c>
      <c r="J11">
        <f>'Adjusted close'!J7/'Adjusted close'!J8</f>
        <v>1.2301854974704891</v>
      </c>
      <c r="K11">
        <f>'Adjusted close'!K7/'Adjusted close'!K8</f>
        <v>1.0603621730382293</v>
      </c>
      <c r="N11" s="21" t="str">
        <v>AT&amp;T</v>
      </c>
      <c r="O11" s="14">
        <f>$S$7</f>
        <v>0.2846258883063979</v>
      </c>
      <c r="P11" s="14">
        <f>$S$8</f>
        <v>8.1036260362176857E-2</v>
      </c>
      <c r="Q11" s="14">
        <f>$S$9</f>
        <v>0.40040851950581352</v>
      </c>
      <c r="R11" s="14">
        <f>$S$10</f>
        <v>0.40921193259061545</v>
      </c>
      <c r="S11" s="14">
        <v>1</v>
      </c>
      <c r="T11" s="14">
        <f>CORREL($F$7:$F$127,G$7:G$127)</f>
        <v>0.38804348963828095</v>
      </c>
      <c r="U11" s="14">
        <f>CORREL($F$7:$F$127,H$7:H$127)</f>
        <v>0.40953615954465222</v>
      </c>
      <c r="V11" s="14">
        <f>CORREL($F$7:$F$127,I$7:I$127)</f>
        <v>0.54724717616010576</v>
      </c>
      <c r="W11" s="14">
        <f>CORREL($F$7:$F$127,J$7:J$127)</f>
        <v>0.28173962973794098</v>
      </c>
      <c r="X11" s="14">
        <f>CORREL($F$7:$F$127,K$7:K$127)</f>
        <v>0.3756914892572854</v>
      </c>
    </row>
    <row r="12" spans="1:24" x14ac:dyDescent="0.25">
      <c r="A12" s="1">
        <v>40816</v>
      </c>
      <c r="B12">
        <f>'Adjusted close'!B8/'Adjusted close'!B9</f>
        <v>0.90492051476154434</v>
      </c>
      <c r="C12">
        <f>'Adjusted close'!C8/'Adjusted close'!C9</f>
        <v>0.9791494062413697</v>
      </c>
      <c r="D12">
        <f>'Adjusted close'!D8/'Adjusted close'!D9</f>
        <v>1.0601313794845881</v>
      </c>
      <c r="E12">
        <f>'Adjusted close'!E8/'Adjusted close'!E9</f>
        <v>0.99969059405940597</v>
      </c>
      <c r="F12">
        <f>'Adjusted close'!F8/'Adjusted close'!F9</f>
        <v>1.0014471780028944</v>
      </c>
      <c r="G12">
        <f>'Adjusted close'!G8/'Adjusted close'!G9</f>
        <v>0.98811222063718496</v>
      </c>
      <c r="H12">
        <f>'Adjusted close'!H8/'Adjusted close'!H9</f>
        <v>0.94199243379571251</v>
      </c>
      <c r="I12">
        <f>'Adjusted close'!I8/'Adjusted close'!I9</f>
        <v>0.91841491841491851</v>
      </c>
      <c r="J12">
        <f>'Adjusted close'!J8/'Adjusted close'!J9</f>
        <v>0.76456936565239808</v>
      </c>
      <c r="K12">
        <f>'Adjusted close'!K8/'Adjusted close'!K9</f>
        <v>0.86918502973067513</v>
      </c>
      <c r="N12" s="21" t="str">
        <v>Exelon</v>
      </c>
      <c r="O12" s="14">
        <f>$T$7</f>
        <v>0.23060766669167376</v>
      </c>
      <c r="P12" s="14">
        <f>$T$8</f>
        <v>0.21057304812308664</v>
      </c>
      <c r="Q12" s="14">
        <f>$T$9</f>
        <v>0.15222592932407711</v>
      </c>
      <c r="R12" s="14">
        <f>$T$10</f>
        <v>0.28282268339331135</v>
      </c>
      <c r="S12" s="14">
        <f>$T$11</f>
        <v>0.38804348963828095</v>
      </c>
      <c r="T12" s="14">
        <v>1</v>
      </c>
      <c r="U12" s="14">
        <f>CORREL($G$7:$G$127,H$7:H$127)</f>
        <v>0.2292661428661199</v>
      </c>
      <c r="V12" s="14">
        <f>CORREL($G$7:$G$127,I$7:I$127)</f>
        <v>0.33319457508281086</v>
      </c>
      <c r="W12" s="14">
        <f>CORREL($G$7:$G$127,J$7:J$127)</f>
        <v>0.37272714682789615</v>
      </c>
      <c r="X12" s="14">
        <f>CORREL($G$7:$G$127,K$7:K$127)</f>
        <v>0.15527982108475966</v>
      </c>
    </row>
    <row r="13" spans="1:24" x14ac:dyDescent="0.25">
      <c r="A13" s="1">
        <v>40786</v>
      </c>
      <c r="B13">
        <f>'Adjusted close'!B9/'Adjusted close'!B10</f>
        <v>0.95530807058142897</v>
      </c>
      <c r="C13">
        <f>'Adjusted close'!C9/'Adjusted close'!C10</f>
        <v>0.98974989749897502</v>
      </c>
      <c r="D13">
        <f>'Adjusted close'!D9/'Adjusted close'!D10</f>
        <v>0.90988505747126436</v>
      </c>
      <c r="E13">
        <f>'Adjusted close'!E9/'Adjusted close'!E10</f>
        <v>0.96998799519807921</v>
      </c>
      <c r="F13">
        <f>'Adjusted close'!F9/'Adjusted close'!F10</f>
        <v>0.97323943661971835</v>
      </c>
      <c r="G13">
        <f>'Adjusted close'!G9/'Adjusted close'!G10</f>
        <v>0.99151343705799155</v>
      </c>
      <c r="H13">
        <f>'Adjusted close'!H9/'Adjusted close'!H10</f>
        <v>0.9104477611940297</v>
      </c>
      <c r="I13">
        <f>'Adjusted close'!I9/'Adjusted close'!I10</f>
        <v>0.90697674418604646</v>
      </c>
      <c r="J13">
        <f>'Adjusted close'!J9/'Adjusted close'!J10</f>
        <v>0.86717352415026838</v>
      </c>
      <c r="K13">
        <f>'Adjusted close'!K9/'Adjusted close'!K10</f>
        <v>0.92285345384118789</v>
      </c>
      <c r="N13" s="21" t="str">
        <v>GE</v>
      </c>
      <c r="O13" s="14">
        <f>$U$7</f>
        <v>0.53729597747962776</v>
      </c>
      <c r="P13" s="14">
        <f>$U$8</f>
        <v>0.41028153503923614</v>
      </c>
      <c r="Q13" s="14">
        <f>$U$9</f>
        <v>0.4197554687351871</v>
      </c>
      <c r="R13" s="14">
        <f>$U$10</f>
        <v>0.27292062460457367</v>
      </c>
      <c r="S13" s="14">
        <f>$U$11</f>
        <v>0.40953615954465222</v>
      </c>
      <c r="T13" s="14">
        <f>$U$12</f>
        <v>0.2292661428661199</v>
      </c>
      <c r="U13" s="14">
        <v>1</v>
      </c>
      <c r="V13" s="14">
        <f>CORREL($H$7:$H$127,I$7:I$127)</f>
        <v>0.59749589313344642</v>
      </c>
      <c r="W13" s="14">
        <f>CORREL($H$7:$H$127,J$7:J$127)</f>
        <v>0.41692441402330571</v>
      </c>
      <c r="X13" s="14">
        <f>CORREL($H$7:$H$127,K$7:K$127)</f>
        <v>0.6097561770020582</v>
      </c>
    </row>
    <row r="14" spans="1:24" x14ac:dyDescent="0.25">
      <c r="A14" s="1">
        <v>40753</v>
      </c>
      <c r="B14">
        <f>'Adjusted close'!B10/'Adjusted close'!B11</f>
        <v>0.95312930796801754</v>
      </c>
      <c r="C14">
        <f>'Adjusted close'!C10/'Adjusted close'!C11</f>
        <v>0.93519938650306755</v>
      </c>
      <c r="D14">
        <f>'Adjusted close'!D10/'Adjusted close'!D11</f>
        <v>1.0078776645041707</v>
      </c>
      <c r="E14">
        <f>'Adjusted close'!E10/'Adjusted close'!E11</f>
        <v>0.96691816598955305</v>
      </c>
      <c r="F14">
        <f>'Adjusted close'!F10/'Adjusted close'!F11</f>
        <v>0.9444629198536747</v>
      </c>
      <c r="G14">
        <f>'Adjusted close'!G10/'Adjusted close'!G11</f>
        <v>1.0286129970902036</v>
      </c>
      <c r="H14">
        <f>'Adjusted close'!H10/'Adjusted close'!H11</f>
        <v>0.94983642311886596</v>
      </c>
      <c r="I14">
        <f>'Adjusted close'!I10/'Adjusted close'!I11</f>
        <v>0.89107723925329685</v>
      </c>
      <c r="J14">
        <f>'Adjusted close'!J10/'Adjusted close'!J11</f>
        <v>1.0459595368962693</v>
      </c>
      <c r="K14">
        <f>'Adjusted close'!K10/'Adjusted close'!K11</f>
        <v>0.81676773002900083</v>
      </c>
      <c r="N14" s="21" t="str">
        <v>Honeywell</v>
      </c>
      <c r="O14" s="14">
        <f>$V$7</f>
        <v>0.63826973302809242</v>
      </c>
      <c r="P14" s="14">
        <f>$V$8</f>
        <v>0.41609217159472034</v>
      </c>
      <c r="Q14" s="14">
        <f>$V$9</f>
        <v>0.52654022064763562</v>
      </c>
      <c r="R14" s="14">
        <f>$V$10</f>
        <v>0.36352953505686136</v>
      </c>
      <c r="S14" s="14">
        <f>$V$11</f>
        <v>0.54724717616010576</v>
      </c>
      <c r="T14" s="14">
        <f>$V$12</f>
        <v>0.33319457508281086</v>
      </c>
      <c r="U14" s="14">
        <f>$V$13</f>
        <v>0.59749589313344642</v>
      </c>
      <c r="V14" s="14">
        <v>1</v>
      </c>
      <c r="W14" s="14">
        <f>CORREL($I$7:$I$127,J$7:J$127)</f>
        <v>0.53622268369569925</v>
      </c>
      <c r="X14" s="14">
        <f>CORREL($I$7:$I$127,K$7:K$127)</f>
        <v>0.56777129099655921</v>
      </c>
    </row>
    <row r="15" spans="1:24" x14ac:dyDescent="0.25">
      <c r="A15" s="1">
        <v>40724</v>
      </c>
      <c r="B15">
        <f>'Adjusted close'!B11/'Adjusted close'!B12</f>
        <v>0.94749216300940442</v>
      </c>
      <c r="C15">
        <f>'Adjusted close'!C11/'Adjusted close'!C12</f>
        <v>1.0394579513750497</v>
      </c>
      <c r="D15">
        <f>'Adjusted close'!D11/'Adjusted close'!D12</f>
        <v>0.98448905109489038</v>
      </c>
      <c r="E15">
        <f>'Adjusted close'!E11/'Adjusted close'!E12</f>
        <v>0.97070422535211265</v>
      </c>
      <c r="F15">
        <f>'Adjusted close'!F11/'Adjusted close'!F12</f>
        <v>0.9953657729228732</v>
      </c>
      <c r="G15">
        <f>'Adjusted close'!G11/'Adjusted close'!G12</f>
        <v>1.0235790518739143</v>
      </c>
      <c r="H15">
        <f>'Adjusted close'!H11/'Adjusted close'!H12</f>
        <v>0.96832101372756063</v>
      </c>
      <c r="I15">
        <f>'Adjusted close'!I11/'Adjusted close'!I12</f>
        <v>1.0006855184233077</v>
      </c>
      <c r="J15">
        <f>'Adjusted close'!J11/'Adjusted close'!J12</f>
        <v>1.0080160320641283</v>
      </c>
      <c r="K15">
        <f>'Adjusted close'!K11/'Adjusted close'!K12</f>
        <v>0.91221741221741226</v>
      </c>
      <c r="N15" s="21" t="str">
        <v>Schlumberger</v>
      </c>
      <c r="O15" s="14">
        <f>$W$7</f>
        <v>0.41388878000600549</v>
      </c>
      <c r="P15" s="14">
        <f>$W$8</f>
        <v>0.20967324523854705</v>
      </c>
      <c r="Q15" s="14">
        <f>$W$9</f>
        <v>0.30023704057216877</v>
      </c>
      <c r="R15" s="14">
        <f>$W$10</f>
        <v>0.17359778419007219</v>
      </c>
      <c r="S15" s="14">
        <f>$W$11</f>
        <v>0.28173962973794098</v>
      </c>
      <c r="T15" s="14">
        <f>$W$12</f>
        <v>0.37272714682789615</v>
      </c>
      <c r="U15" s="14">
        <f>$W$13</f>
        <v>0.41692441402330571</v>
      </c>
      <c r="V15" s="14">
        <f>$W$14</f>
        <v>0.53622268369569925</v>
      </c>
      <c r="W15" s="14">
        <v>1</v>
      </c>
      <c r="X15" s="14">
        <f>CORREL($J$7:$J$127,K$7:K$127)</f>
        <v>0.40604701028581774</v>
      </c>
    </row>
    <row r="16" spans="1:24" x14ac:dyDescent="0.25">
      <c r="A16" s="1">
        <v>40694</v>
      </c>
      <c r="B16">
        <f>'Adjusted close'!B12/'Adjusted close'!B13</f>
        <v>0.98317709002183118</v>
      </c>
      <c r="C16">
        <f>'Adjusted close'!C12/'Adjusted close'!C13</f>
        <v>0.99248417721518978</v>
      </c>
      <c r="D16">
        <f>'Adjusted close'!D12/'Adjusted close'!D13</f>
        <v>0.9798837729101475</v>
      </c>
      <c r="E16">
        <f>'Adjusted close'!E12/'Adjusted close'!E13</f>
        <v>1.022171033688454</v>
      </c>
      <c r="F16">
        <f>'Adjusted close'!F12/'Adjusted close'!F13</f>
        <v>1.0140986908358509</v>
      </c>
      <c r="G16">
        <f>'Adjusted close'!G12/'Adjusted close'!G13</f>
        <v>1.0049887752556745</v>
      </c>
      <c r="H16">
        <f>'Adjusted close'!H12/'Adjusted close'!H13</f>
        <v>0.96044624746450313</v>
      </c>
      <c r="I16">
        <f>'Adjusted close'!I12/'Adjusted close'!I13</f>
        <v>0.97804223935635271</v>
      </c>
      <c r="J16">
        <f>'Adjusted close'!J12/'Adjusted close'!J13</f>
        <v>0.95788166214995474</v>
      </c>
      <c r="K16">
        <f>'Adjusted close'!K12/'Adjusted close'!K13</f>
        <v>1.0206185567010309</v>
      </c>
      <c r="N16" s="21" t="str">
        <v>Avery</v>
      </c>
      <c r="O16" s="14">
        <f>$X$7</f>
        <v>0.42258747830869975</v>
      </c>
      <c r="P16" s="14">
        <f>$X$8</f>
        <v>0.41178439162052094</v>
      </c>
      <c r="Q16" s="14">
        <f>$X$9</f>
        <v>0.29434426296919181</v>
      </c>
      <c r="R16" s="14">
        <f>$X$10</f>
        <v>0.20816503652037052</v>
      </c>
      <c r="S16" s="14">
        <f>$X$11</f>
        <v>0.3756914892572854</v>
      </c>
      <c r="T16" s="14">
        <f>$X$12</f>
        <v>0.15527982108475966</v>
      </c>
      <c r="U16" s="14">
        <f>$X$13</f>
        <v>0.6097561770020582</v>
      </c>
      <c r="V16" s="14">
        <f>$X$14</f>
        <v>0.56777129099655921</v>
      </c>
      <c r="W16" s="14">
        <f>$X$15</f>
        <v>0.40604701028581774</v>
      </c>
      <c r="X16" s="14">
        <v>1</v>
      </c>
    </row>
    <row r="17" spans="1:24" x14ac:dyDescent="0.25">
      <c r="A17" s="1">
        <v>40662</v>
      </c>
      <c r="B17">
        <f>'Adjusted close'!B13/'Adjusted close'!B14</f>
        <v>1.0791297117516632</v>
      </c>
      <c r="C17">
        <f>'Adjusted close'!C13/'Adjusted close'!C14</f>
        <v>0.98570314530803227</v>
      </c>
      <c r="D17">
        <f>'Adjusted close'!D13/'Adjusted close'!D14</f>
        <v>1.1471794871794871</v>
      </c>
      <c r="E17">
        <f>'Adjusted close'!E13/'Adjusted close'!E14</f>
        <v>1.0890561304484163</v>
      </c>
      <c r="F17">
        <f>'Adjusted close'!F13/'Adjusted close'!F14</f>
        <v>1.0311526479750779</v>
      </c>
      <c r="G17">
        <f>'Adjusted close'!G13/'Adjusted close'!G14</f>
        <v>1.0227040816326531</v>
      </c>
      <c r="H17">
        <f>'Adjusted close'!H13/'Adjusted close'!H14</f>
        <v>1.0196483971044468</v>
      </c>
      <c r="I17">
        <f>'Adjusted close'!I13/'Adjusted close'!I14</f>
        <v>1.0254382949467171</v>
      </c>
      <c r="J17">
        <f>'Adjusted close'!J13/'Adjusted close'!J14</f>
        <v>0.96229490383570571</v>
      </c>
      <c r="K17">
        <f>'Adjusted close'!K13/'Adjusted close'!K14</f>
        <v>0.99462890625</v>
      </c>
    </row>
    <row r="18" spans="1:24" x14ac:dyDescent="0.25">
      <c r="A18" s="1">
        <v>40633</v>
      </c>
      <c r="B18">
        <f>'Adjusted close'!B14/'Adjusted close'!B15</f>
        <v>1.0267501422879908</v>
      </c>
      <c r="C18">
        <f>'Adjusted close'!C14/'Adjusted close'!C15</f>
        <v>1.0157095709570956</v>
      </c>
      <c r="D18">
        <f>'Adjusted close'!D14/'Adjusted close'!D15</f>
        <v>0.93975903614457834</v>
      </c>
      <c r="E18">
        <f>'Adjusted close'!E14/'Adjusted close'!E15</f>
        <v>1.0254019292604502</v>
      </c>
      <c r="F18">
        <f>'Adjusted close'!F14/'Adjusted close'!F15</f>
        <v>1.078387458006719</v>
      </c>
      <c r="G18">
        <f>'Adjusted close'!G14/'Adjusted close'!G15</f>
        <v>0.9874055415617129</v>
      </c>
      <c r="H18">
        <f>'Adjusted close'!H14/'Adjusted close'!H15</f>
        <v>0.95837462834489595</v>
      </c>
      <c r="I18">
        <f>'Adjusted close'!I14/'Adjusted close'!I15</f>
        <v>1.031194611839773</v>
      </c>
      <c r="J18">
        <f>'Adjusted close'!J14/'Adjusted close'!J15</f>
        <v>0.99837274896940764</v>
      </c>
      <c r="K18">
        <f>'Adjusted close'!K14/'Adjusted close'!K15</f>
        <v>1.0510649217346677</v>
      </c>
      <c r="N18" s="14" t="s">
        <v>152</v>
      </c>
    </row>
    <row r="19" spans="1:24" x14ac:dyDescent="0.25">
      <c r="A19" s="1">
        <v>40602</v>
      </c>
      <c r="B19">
        <f>'Adjusted close'!B15/'Adjusted close'!B16</f>
        <v>1.0424206466923762</v>
      </c>
      <c r="C19">
        <f>'Adjusted close'!C15/'Adjusted close'!C16</f>
        <v>1.0038430956798305</v>
      </c>
      <c r="D19">
        <f>'Adjusted close'!D15/'Adjusted close'!D16</f>
        <v>1.0092412451361867</v>
      </c>
      <c r="E19">
        <f>'Adjusted close'!E15/'Adjusted close'!E16</f>
        <v>0.98200189453741715</v>
      </c>
      <c r="F19">
        <f>'Adjusted close'!F15/'Adjusted close'!F16</f>
        <v>1.0311778290993072</v>
      </c>
      <c r="G19">
        <f>'Adjusted close'!G15/'Adjusted close'!G16</f>
        <v>0.99448897795591185</v>
      </c>
      <c r="H19">
        <f>'Adjusted close'!H15/'Adjusted close'!H16</f>
        <v>1.0461378952825298</v>
      </c>
      <c r="I19">
        <f>'Adjusted close'!I15/'Adjusted close'!I16</f>
        <v>1.04</v>
      </c>
      <c r="J19">
        <f>'Adjusted close'!J15/'Adjusted close'!J16</f>
        <v>1.0526435994061896</v>
      </c>
      <c r="K19">
        <f>'Adjusted close'!K15/'Adjusted close'!K16</f>
        <v>0.95467907888290049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25">
      <c r="A20" s="1">
        <v>40574</v>
      </c>
      <c r="B20">
        <f>'Adjusted close'!B16/'Adjusted close'!B17</f>
        <v>1.0645823464392863</v>
      </c>
      <c r="C20">
        <f>'Adjusted close'!C16/'Adjusted close'!C17</f>
        <v>1.1386751169458276</v>
      </c>
      <c r="D20">
        <f>'Adjusted close'!D16/'Adjusted close'!D17</f>
        <v>1.0203473945409429</v>
      </c>
      <c r="E20">
        <f>'Adjusted close'!E16/'Adjusted close'!E17</f>
        <v>0.92037198488811411</v>
      </c>
      <c r="F20">
        <f>'Adjusted close'!F16/'Adjusted close'!F17</f>
        <v>0.95025603511338697</v>
      </c>
      <c r="G20">
        <f>'Adjusted close'!G16/'Adjusted close'!G17</f>
        <v>1.0209718670076726</v>
      </c>
      <c r="H20">
        <f>'Adjusted close'!H16/'Adjusted close'!H17</f>
        <v>1.101027397260274</v>
      </c>
      <c r="I20">
        <f>'Adjusted close'!I16/'Adjusted close'!I17</f>
        <v>1.0536026412895707</v>
      </c>
      <c r="J20">
        <f>'Adjusted close'!J16/'Adjusted close'!J17</f>
        <v>1.0657174151150053</v>
      </c>
      <c r="K20">
        <f>'Adjusted close'!K16/'Adjusted close'!K17</f>
        <v>0.99391283175066958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25">
      <c r="A21" s="1">
        <v>40543</v>
      </c>
      <c r="B21">
        <f>'Adjusted close'!B17/'Adjusted close'!B18</f>
        <v>1.0234324499030381</v>
      </c>
      <c r="C21">
        <f>'Adjusted close'!C17/'Adjusted close'!C18</f>
        <v>1.0274418604651163</v>
      </c>
      <c r="D21">
        <f>'Adjusted close'!D17/'Adjusted close'!D18</f>
        <v>0.99407992106561416</v>
      </c>
      <c r="E21">
        <f>'Adjusted close'!E17/'Adjusted close'!E18</f>
        <v>1.0568181818181817</v>
      </c>
      <c r="F21">
        <f>'Adjusted close'!F17/'Adjusted close'!F18</f>
        <v>1.05723124516628</v>
      </c>
      <c r="G21">
        <f>'Adjusted close'!G17/'Adjusted close'!G18</f>
        <v>1.0576142818501488</v>
      </c>
      <c r="H21">
        <f>'Adjusted close'!H17/'Adjusted close'!H18</f>
        <v>1.1648936170212767</v>
      </c>
      <c r="I21">
        <f>'Adjusted close'!I17/'Adjusted close'!I18</f>
        <v>1.0693665628245068</v>
      </c>
      <c r="J21">
        <f>'Adjusted close'!J17/'Adjusted close'!J18</f>
        <v>1.0797634691195797</v>
      </c>
      <c r="K21">
        <f>'Adjusted close'!K17/'Adjusted close'!K18</f>
        <v>1.1279868168085692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5">
      <c r="A22" s="1">
        <v>40512</v>
      </c>
      <c r="B22">
        <f>'Adjusted close'!B18/'Adjusted close'!B19</f>
        <v>0.90813031992955684</v>
      </c>
      <c r="C22">
        <f>'Adjusted close'!C18/'Adjusted close'!C19</f>
        <v>0.96484667165295446</v>
      </c>
      <c r="D22">
        <f>'Adjusted close'!D18/'Adjusted close'!D19</f>
        <v>1.0634837355718783</v>
      </c>
      <c r="E22">
        <f>'Adjusted close'!E18/'Adjusted close'!E19</f>
        <v>0.94927113702623922</v>
      </c>
      <c r="F22">
        <f>'Adjusted close'!F18/'Adjusted close'!F19</f>
        <v>0.97437829691032407</v>
      </c>
      <c r="G22">
        <f>'Adjusted close'!G18/'Adjusted close'!G19</f>
        <v>0.97675033025099067</v>
      </c>
      <c r="H22">
        <f>'Adjusted close'!H18/'Adjusted close'!H19</f>
        <v>0.98817345597897499</v>
      </c>
      <c r="I22">
        <f>'Adjusted close'!I18/'Adjusted close'!I19</f>
        <v>1.061742006615215</v>
      </c>
      <c r="J22">
        <f>'Adjusted close'!J18/'Adjusted close'!J19</f>
        <v>1.1096529600466607</v>
      </c>
      <c r="K22">
        <f>'Adjusted close'!K18/'Adjusted close'!K19</f>
        <v>1.0382092956943256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5">
      <c r="A23" s="1">
        <v>40480</v>
      </c>
      <c r="B23">
        <f>'Adjusted close'!B19/'Adjusted close'!B20</f>
        <v>1.0617014646307259</v>
      </c>
      <c r="C23">
        <f>'Adjusted close'!C19/'Adjusted close'!C20</f>
        <v>1.0001496110113703</v>
      </c>
      <c r="D23">
        <f>'Adjusted close'!D19/'Adjusted close'!D20</f>
        <v>1.0443835616438355</v>
      </c>
      <c r="E23">
        <f>'Adjusted close'!E19/'Adjusted close'!E20</f>
        <v>0.986482599942479</v>
      </c>
      <c r="F23">
        <f>'Adjusted close'!F19/'Adjusted close'!F20</f>
        <v>1.0118185284025925</v>
      </c>
      <c r="G23">
        <f>'Adjusted close'!G19/'Adjusted close'!G20</f>
        <v>0.95871327254305994</v>
      </c>
      <c r="H23">
        <f>'Adjusted close'!H19/'Adjusted close'!H20</f>
        <v>0.98575129533678763</v>
      </c>
      <c r="I23">
        <f>'Adjusted close'!I19/'Adjusted close'!I20</f>
        <v>1.0721040189125297</v>
      </c>
      <c r="J23">
        <f>'Adjusted close'!J19/'Adjusted close'!J20</f>
        <v>1.1343036718491564</v>
      </c>
      <c r="K23">
        <f>'Adjusted close'!K19/'Adjusted close'!K20</f>
        <v>0.97933538117844177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5">
      <c r="A24" s="1">
        <v>40451</v>
      </c>
      <c r="B24">
        <f>'Adjusted close'!B20/'Adjusted close'!B21</f>
        <v>1.0885345997286298</v>
      </c>
      <c r="C24">
        <f>'Adjusted close'!C20/'Adjusted close'!C21</f>
        <v>1.0253106304647952</v>
      </c>
      <c r="D24">
        <f>'Adjusted close'!D20/'Adjusted close'!D21</f>
        <v>1.0863095238095237</v>
      </c>
      <c r="E24">
        <f>'Adjusted close'!E20/'Adjusted close'!E21</f>
        <v>1.0578034682080926</v>
      </c>
      <c r="F24">
        <f>'Adjusted close'!F20/'Adjusted close'!F21</f>
        <v>1.0580879386849538</v>
      </c>
      <c r="G24">
        <f>'Adjusted close'!G20/'Adjusted close'!G21</f>
        <v>1.0455508474576272</v>
      </c>
      <c r="H24">
        <f>'Adjusted close'!H20/'Adjusted close'!H21</f>
        <v>1.1303074670571009</v>
      </c>
      <c r="I24">
        <f>'Adjusted close'!I20/'Adjusted close'!I21</f>
        <v>1.1249999999999998</v>
      </c>
      <c r="J24">
        <f>'Adjusted close'!J20/'Adjusted close'!J21</f>
        <v>1.1553602140263712</v>
      </c>
      <c r="K24">
        <f>'Adjusted close'!K20/'Adjusted close'!K21</f>
        <v>1.1411727214786489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</row>
    <row r="25" spans="1:24" x14ac:dyDescent="0.25">
      <c r="A25" s="1">
        <v>40421</v>
      </c>
      <c r="B25">
        <f>'Adjusted close'!B21/'Adjusted close'!B22</f>
        <v>0.90249502525639069</v>
      </c>
      <c r="C25">
        <f>'Adjusted close'!C21/'Adjusted close'!C22</f>
        <v>0.93328561202576954</v>
      </c>
      <c r="D25">
        <f>'Adjusted close'!D21/'Adjusted close'!D22</f>
        <v>0.86419753086419748</v>
      </c>
      <c r="E25">
        <f>'Adjusted close'!E21/'Adjusted close'!E22</f>
        <v>1.0201738050900062</v>
      </c>
      <c r="F25">
        <f>'Adjusted close'!F21/'Adjusted close'!F22</f>
        <v>1.0420344682639764</v>
      </c>
      <c r="G25">
        <f>'Adjusted close'!G21/'Adjusted close'!G22</f>
        <v>0.98590078328981723</v>
      </c>
      <c r="H25">
        <f>'Adjusted close'!H21/'Adjusted close'!H22</f>
        <v>0.89809335963182113</v>
      </c>
      <c r="I25">
        <f>'Adjusted close'!I21/'Adjusted close'!I22</f>
        <v>0.91796875</v>
      </c>
      <c r="J25">
        <f>'Adjusted close'!J21/'Adjusted close'!J22</f>
        <v>0.89729080932784633</v>
      </c>
      <c r="K25">
        <f>'Adjusted close'!K21/'Adjusted close'!K22</f>
        <v>0.91273996509598598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</row>
    <row r="26" spans="1:24" x14ac:dyDescent="0.25">
      <c r="A26" s="1">
        <v>40389</v>
      </c>
      <c r="B26">
        <f>'Adjusted close'!B22/'Adjusted close'!B23</f>
        <v>1.0859375</v>
      </c>
      <c r="C26">
        <f>'Adjusted close'!C22/'Adjusted close'!C23</f>
        <v>1.0086642599277977</v>
      </c>
      <c r="D26">
        <f>'Adjusted close'!D22/'Adjusted close'!D23</f>
        <v>1.0594005449591279</v>
      </c>
      <c r="E26">
        <f>'Adjusted close'!E22/'Adjusted close'!E23</f>
        <v>0.98562251453043748</v>
      </c>
      <c r="F26">
        <f>'Adjusted close'!F22/'Adjusted close'!F23</f>
        <v>1.0912844036697247</v>
      </c>
      <c r="G26">
        <f>'Adjusted close'!G22/'Adjusted close'!G23</f>
        <v>1.1015243025596777</v>
      </c>
      <c r="H26">
        <f>'Adjusted close'!H22/'Adjusted close'!H23</f>
        <v>1.1183823529411765</v>
      </c>
      <c r="I26">
        <f>'Adjusted close'!I22/'Adjusted close'!I23</f>
        <v>1.098123324396783</v>
      </c>
      <c r="J26">
        <f>'Adjusted close'!J22/'Adjusted close'!J23</f>
        <v>1.0780036968576709</v>
      </c>
      <c r="K26">
        <f>'Adjusted close'!K22/'Adjusted close'!K23</f>
        <v>1.1158714703018502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</row>
    <row r="27" spans="1:24" x14ac:dyDescent="0.25">
      <c r="A27" s="1">
        <v>40359</v>
      </c>
      <c r="B27">
        <f>'Adjusted close'!B23/'Adjusted close'!B24</f>
        <v>0.97773443848529162</v>
      </c>
      <c r="C27">
        <f>'Adjusted close'!C23/'Adjusted close'!C24</f>
        <v>0.93228325255788902</v>
      </c>
      <c r="D27">
        <f>'Adjusted close'!D23/'Adjusted close'!D24</f>
        <v>0.90796635329045028</v>
      </c>
      <c r="E27">
        <f>'Adjusted close'!E23/'Adjusted close'!E24</f>
        <v>1.0494382022471911</v>
      </c>
      <c r="F27">
        <f>'Adjusted close'!F23/'Adjusted close'!F24</f>
        <v>0.99543378995433796</v>
      </c>
      <c r="G27">
        <f>'Adjusted close'!G23/'Adjusted close'!G24</f>
        <v>0.9838709677419355</v>
      </c>
      <c r="H27">
        <f>'Adjusted close'!H23/'Adjusted close'!H24</f>
        <v>0.88714938030006518</v>
      </c>
      <c r="I27">
        <f>'Adjusted close'!I23/'Adjusted close'!I24</f>
        <v>0.91242661448140883</v>
      </c>
      <c r="J27">
        <f>'Adjusted close'!J23/'Adjusted close'!J24</f>
        <v>0.98560757879395156</v>
      </c>
      <c r="K27">
        <f>'Adjusted close'!K23/'Adjusted close'!K24</f>
        <v>0.93990237949969491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</row>
    <row r="28" spans="1:24" x14ac:dyDescent="0.25">
      <c r="A28" s="1">
        <v>40326</v>
      </c>
      <c r="B28">
        <f>'Adjusted close'!B24/'Adjusted close'!B25</f>
        <v>0.89122247972190027</v>
      </c>
      <c r="C28">
        <f>'Adjusted close'!C24/'Adjusted close'!C25</f>
        <v>0.94890137966274912</v>
      </c>
      <c r="D28">
        <f>'Adjusted close'!D24/'Adjusted close'!D25</f>
        <v>0.94439252336448609</v>
      </c>
      <c r="E28">
        <f>'Adjusted close'!E24/'Adjusted close'!E25</f>
        <v>0.9614197530864198</v>
      </c>
      <c r="F28">
        <f>'Adjusted close'!F24/'Adjusted close'!F25</f>
        <v>0.9323116219667944</v>
      </c>
      <c r="G28">
        <f>'Adjusted close'!G24/'Adjusted close'!G25</f>
        <v>0.8964992389649924</v>
      </c>
      <c r="H28">
        <f>'Adjusted close'!H24/'Adjusted close'!H25</f>
        <v>0.86708144796380093</v>
      </c>
      <c r="I28">
        <f>'Adjusted close'!I24/'Adjusted close'!I25</f>
        <v>0.90723479804704843</v>
      </c>
      <c r="J28">
        <f>'Adjusted close'!J24/'Adjusted close'!J25</f>
        <v>0.78887611382581202</v>
      </c>
      <c r="K28">
        <f>'Adjusted close'!K24/'Adjusted close'!K25</f>
        <v>0.88094598226283261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</row>
    <row r="29" spans="1:24" x14ac:dyDescent="0.25">
      <c r="A29" s="1">
        <v>40298</v>
      </c>
      <c r="B29">
        <f>'Adjusted close'!B25/'Adjusted close'!B26</f>
        <v>0.99754370755671162</v>
      </c>
      <c r="C29">
        <f>'Adjusted close'!C25/'Adjusted close'!C26</f>
        <v>1.020067761271827</v>
      </c>
      <c r="D29">
        <f>'Adjusted close'!D25/'Adjusted close'!D26</f>
        <v>1.024904214559387</v>
      </c>
      <c r="E29">
        <f>'Adjusted close'!E25/'Adjusted close'!E26</f>
        <v>0.9380428488708743</v>
      </c>
      <c r="F29">
        <f>'Adjusted close'!F25/'Adjusted close'!F26</f>
        <v>1.0248691099476439</v>
      </c>
      <c r="G29">
        <f>'Adjusted close'!G25/'Adjusted close'!G26</f>
        <v>0.99495204442200924</v>
      </c>
      <c r="H29">
        <f>'Adjusted close'!H25/'Adjusted close'!H26</f>
        <v>1.0363423212192264</v>
      </c>
      <c r="I29">
        <f>'Adjusted close'!I25/'Adjusted close'!I26</f>
        <v>1.0483946021405306</v>
      </c>
      <c r="J29">
        <f>'Adjusted close'!J25/'Adjusted close'!J26</f>
        <v>1.1255257198317696</v>
      </c>
      <c r="K29">
        <f>'Adjusted close'!K25/'Adjusted close'!K26</f>
        <v>1.0720253529242294</v>
      </c>
    </row>
    <row r="30" spans="1:24" x14ac:dyDescent="0.25">
      <c r="A30" s="1">
        <v>40268</v>
      </c>
      <c r="B30">
        <f>'Adjusted close'!B26/'Adjusted close'!B27</f>
        <v>1.1496677740863785</v>
      </c>
      <c r="C30">
        <f>'Adjusted close'!C26/'Adjusted close'!C27</f>
        <v>1.0701436340817181</v>
      </c>
      <c r="D30">
        <f>'Adjusted close'!D26/'Adjusted close'!D27</f>
        <v>1.0858034321372854</v>
      </c>
      <c r="E30">
        <f>'Adjusted close'!E26/'Adjusted close'!E27</f>
        <v>1.0234074074074073</v>
      </c>
      <c r="F30">
        <f>'Adjusted close'!F26/'Adjusted close'!F27</f>
        <v>1.041818181818182</v>
      </c>
      <c r="G30">
        <f>'Adjusted close'!G26/'Adjusted close'!G27</f>
        <v>1.0117466802860062</v>
      </c>
      <c r="H30">
        <f>'Adjusted close'!H26/'Adjusted close'!H27</f>
        <v>1.1335548172757475</v>
      </c>
      <c r="I30">
        <f>'Adjusted close'!I26/'Adjusted close'!I27</f>
        <v>1.127492130115425</v>
      </c>
      <c r="J30">
        <f>'Adjusted close'!J26/'Adjusted close'!J27</f>
        <v>1.0386424731182795</v>
      </c>
      <c r="K30">
        <f>'Adjusted close'!K26/'Adjusted close'!K27</f>
        <v>1.159318637274549</v>
      </c>
    </row>
    <row r="31" spans="1:24" x14ac:dyDescent="0.25">
      <c r="A31" s="1">
        <v>40235</v>
      </c>
      <c r="B31">
        <f>'Adjusted close'!B27/'Adjusted close'!B28</f>
        <v>1.0493289175527281</v>
      </c>
      <c r="C31">
        <f>'Adjusted close'!C27/'Adjusted close'!C28</f>
        <v>1.0520833333333333</v>
      </c>
      <c r="D31">
        <f>'Adjusted close'!D27/'Adjusted close'!D28</f>
        <v>1.0665557404326123</v>
      </c>
      <c r="E31">
        <f>'Adjusted close'!E27/'Adjusted close'!E28</f>
        <v>0.96594161419576419</v>
      </c>
      <c r="F31">
        <f>'Adjusted close'!F27/'Adjusted close'!F28</f>
        <v>0.97821253890618054</v>
      </c>
      <c r="G31">
        <f>'Adjusted close'!G27/'Adjusted close'!G28</f>
        <v>0.96051017905322522</v>
      </c>
      <c r="H31">
        <f>'Adjusted close'!H27/'Adjusted close'!H28</f>
        <v>1.0046728971962617</v>
      </c>
      <c r="I31">
        <f>'Adjusted close'!I27/'Adjusted close'!I28</f>
        <v>1.0472527472527473</v>
      </c>
      <c r="J31">
        <f>'Adjusted close'!J27/'Adjusted close'!J28</f>
        <v>0.9659201557935736</v>
      </c>
      <c r="K31">
        <f>'Adjusted close'!K27/'Adjusted close'!K28</f>
        <v>0.9720779220779221</v>
      </c>
    </row>
    <row r="32" spans="1:24" x14ac:dyDescent="0.25">
      <c r="A32" s="1">
        <v>40207</v>
      </c>
      <c r="B32">
        <f>'Adjusted close'!B28/'Adjusted close'!B29</f>
        <v>1.1194146341463413</v>
      </c>
      <c r="C32">
        <f>'Adjusted close'!C28/'Adjusted close'!C29</f>
        <v>0.98897272199651765</v>
      </c>
      <c r="D32">
        <f>'Adjusted close'!D28/'Adjusted close'!D29</f>
        <v>0.95094936708860767</v>
      </c>
      <c r="E32">
        <f>'Adjusted close'!E28/'Adjusted close'!E29</f>
        <v>1.0448564593301435</v>
      </c>
      <c r="F32">
        <f>'Adjusted close'!F28/'Adjusted close'!F29</f>
        <v>0.91833401388321767</v>
      </c>
      <c r="G32">
        <f>'Adjusted close'!G28/'Adjusted close'!G29</f>
        <v>0.93359285550721327</v>
      </c>
      <c r="H32">
        <f>'Adjusted close'!H28/'Adjusted close'!H29</f>
        <v>1.0631653655074522</v>
      </c>
      <c r="I32">
        <f>'Adjusted close'!I28/'Adjusted close'!I29</f>
        <v>0.98591549295774639</v>
      </c>
      <c r="J32">
        <f>'Adjusted close'!J28/'Adjusted close'!J29</f>
        <v>0.97499999999999987</v>
      </c>
      <c r="K32">
        <f>'Adjusted close'!K28/'Adjusted close'!K29</f>
        <v>0.89094590685565522</v>
      </c>
    </row>
    <row r="33" spans="1:11" x14ac:dyDescent="0.25">
      <c r="A33" s="1">
        <v>40178</v>
      </c>
      <c r="B33">
        <f>'Adjusted close'!B29/'Adjusted close'!B30</f>
        <v>1.0328496573962112</v>
      </c>
      <c r="C33">
        <f>'Adjusted close'!C29/'Adjusted close'!C30</f>
        <v>0.97565118912797288</v>
      </c>
      <c r="D33">
        <f>'Adjusted close'!D29/'Adjusted close'!D30</f>
        <v>1.0621848739495798</v>
      </c>
      <c r="E33">
        <f>'Adjusted close'!E29/'Adjusted close'!E30</f>
        <v>1.0195121951219512</v>
      </c>
      <c r="F33">
        <f>'Adjusted close'!F29/'Adjusted close'!F30</f>
        <v>1.04035683942226</v>
      </c>
      <c r="G33">
        <f>'Adjusted close'!G29/'Adjusted close'!G30</f>
        <v>1.0141662796098467</v>
      </c>
      <c r="H33">
        <f>'Adjusted close'!H29/'Adjusted close'!H30</f>
        <v>0.95010114632501685</v>
      </c>
      <c r="I33">
        <f>'Adjusted close'!I29/'Adjusted close'!I30</f>
        <v>1.0187637969094923</v>
      </c>
      <c r="J33">
        <f>'Adjusted close'!J29/'Adjusted close'!J30</f>
        <v>1.0186976144422955</v>
      </c>
      <c r="K33">
        <f>'Adjusted close'!K29/'Adjusted close'!K30</f>
        <v>0.97161326587970775</v>
      </c>
    </row>
    <row r="34" spans="1:11" x14ac:dyDescent="0.25">
      <c r="A34" s="1">
        <v>40147</v>
      </c>
      <c r="B34">
        <f>'Adjusted close'!B30/'Adjusted close'!B31</f>
        <v>1.1061078912171198</v>
      </c>
      <c r="C34">
        <f>'Adjusted close'!C30/'Adjusted close'!C31</f>
        <v>1.1318698926454094</v>
      </c>
      <c r="D34">
        <f>'Adjusted close'!D30/'Adjusted close'!D31</f>
        <v>1.0124787294384574</v>
      </c>
      <c r="E34">
        <f>'Adjusted close'!E30/'Adjusted close'!E31</f>
        <v>1.1705924339757314</v>
      </c>
      <c r="F34">
        <f>'Adjusted close'!F30/'Adjusted close'!F31</f>
        <v>1.0494872938029425</v>
      </c>
      <c r="G34">
        <f>'Adjusted close'!G30/'Adjusted close'!G31</f>
        <v>1.0375903614457831</v>
      </c>
      <c r="H34">
        <f>'Adjusted close'!H30/'Adjusted close'!H31</f>
        <v>1.1234848484848485</v>
      </c>
      <c r="I34">
        <f>'Adjusted close'!I30/'Adjusted close'!I31</f>
        <v>1.080178837555887</v>
      </c>
      <c r="J34">
        <f>'Adjusted close'!J30/'Adjusted close'!J31</f>
        <v>1.030564784053156</v>
      </c>
      <c r="K34">
        <f>'Adjusted close'!K30/'Adjusted close'!K31</f>
        <v>1.0589285714285714</v>
      </c>
    </row>
    <row r="35" spans="1:11" x14ac:dyDescent="0.25">
      <c r="A35" s="1">
        <v>40116</v>
      </c>
      <c r="B35">
        <f>'Adjusted close'!B31/'Adjusted close'!B32</f>
        <v>0.88272333726879182</v>
      </c>
      <c r="C35">
        <f>'Adjusted close'!C31/'Adjusted close'!C32</f>
        <v>0.88099943534726133</v>
      </c>
      <c r="D35">
        <f>'Adjusted close'!D31/'Adjusted close'!D32</f>
        <v>0.97673130193905811</v>
      </c>
      <c r="E35">
        <f>'Adjusted close'!E31/'Adjusted close'!E32</f>
        <v>0.97801047120418849</v>
      </c>
      <c r="F35">
        <f>'Adjusted close'!F31/'Adjusted close'!F32</f>
        <v>0.96473118279569892</v>
      </c>
      <c r="G35">
        <f>'Adjusted close'!G31/'Adjusted close'!G32</f>
        <v>0.94640820980615736</v>
      </c>
      <c r="H35">
        <f>'Adjusted close'!H31/'Adjusted close'!H32</f>
        <v>0.86842105263157898</v>
      </c>
      <c r="I35">
        <f>'Adjusted close'!I31/'Adjusted close'!I32</f>
        <v>0.96602361071120069</v>
      </c>
      <c r="J35">
        <f>'Adjusted close'!J31/'Adjusted close'!J32</f>
        <v>1.0436893203883495</v>
      </c>
      <c r="K35">
        <f>'Adjusted close'!K31/'Adjusted close'!K32</f>
        <v>0.99027409372236963</v>
      </c>
    </row>
    <row r="36" spans="1:11" x14ac:dyDescent="0.25">
      <c r="A36" s="1">
        <v>40086</v>
      </c>
      <c r="B36">
        <f>'Adjusted close'!B32/'Adjusted close'!B33</f>
        <v>1.0903239648144176</v>
      </c>
      <c r="C36">
        <f>'Adjusted close'!C32/'Adjusted close'!C33</f>
        <v>1.0413053064824342</v>
      </c>
      <c r="D36">
        <f>'Adjusted close'!D32/'Adjusted close'!D33</f>
        <v>0.96318036286019226</v>
      </c>
      <c r="E36">
        <f>'Adjusted close'!E32/'Adjusted close'!E33</f>
        <v>0.98725017229496892</v>
      </c>
      <c r="F36">
        <f>'Adjusted close'!F32/'Adjusted close'!F33</f>
        <v>1.0370205173951828</v>
      </c>
      <c r="G36">
        <f>'Adjusted close'!G32/'Adjusted close'!G33</f>
        <v>0.99185704591721335</v>
      </c>
      <c r="H36">
        <f>'Adjusted close'!H32/'Adjusted close'!H33</f>
        <v>1.1884284597341674</v>
      </c>
      <c r="I36">
        <f>'Adjusted close'!I32/'Adjusted close'!I33</f>
        <v>1.0107683352735739</v>
      </c>
      <c r="J36">
        <f>'Adjusted close'!J32/'Adjusted close'!J33</f>
        <v>1.0604890604890604</v>
      </c>
      <c r="K36">
        <f>'Adjusted close'!K32/'Adjusted close'!K33</f>
        <v>1.1651785714285714</v>
      </c>
    </row>
    <row r="37" spans="1:11" x14ac:dyDescent="0.25">
      <c r="A37" s="1">
        <v>40056</v>
      </c>
      <c r="B37">
        <f>'Adjusted close'!B33/'Adjusted close'!B34</f>
        <v>1.1684632740035097</v>
      </c>
      <c r="C37">
        <f>'Adjusted close'!C33/'Adjusted close'!C34</f>
        <v>1.0105466428995842</v>
      </c>
      <c r="D37">
        <f>'Adjusted close'!D33/'Adjusted close'!D34</f>
        <v>1.0629608621667612</v>
      </c>
      <c r="E37">
        <f>'Adjusted close'!E33/'Adjusted close'!E34</f>
        <v>1.0804169769173493</v>
      </c>
      <c r="F37">
        <f>'Adjusted close'!F33/'Adjusted close'!F34</f>
        <v>0.99335400974745247</v>
      </c>
      <c r="G37">
        <f>'Adjusted close'!G33/'Adjusted close'!G34</f>
        <v>0.99392985611510798</v>
      </c>
      <c r="H37">
        <f>'Adjusted close'!H33/'Adjusted close'!H34</f>
        <v>1.0373073803730737</v>
      </c>
      <c r="I37">
        <f>'Adjusted close'!I33/'Adjusted close'!I34</f>
        <v>1.0687402799377916</v>
      </c>
      <c r="J37">
        <f>'Adjusted close'!J33/'Adjusted close'!J34</f>
        <v>1.0542740841248304</v>
      </c>
      <c r="K37">
        <f>'Adjusted close'!K33/'Adjusted close'!K34</f>
        <v>1.163403915301638</v>
      </c>
    </row>
    <row r="38" spans="1:11" x14ac:dyDescent="0.25">
      <c r="A38" s="1">
        <v>40025</v>
      </c>
      <c r="B38">
        <f>'Adjusted close'!B34/'Adjusted close'!B35</f>
        <v>1.0096178182738549</v>
      </c>
      <c r="C38">
        <f>'Adjusted close'!C34/'Adjusted close'!C35</f>
        <v>0.9270173505921232</v>
      </c>
      <c r="D38">
        <f>'Adjusted close'!D34/'Adjusted close'!D35</f>
        <v>1.1629287598944591</v>
      </c>
      <c r="E38">
        <f>'Adjusted close'!E34/'Adjusted close'!E35</f>
        <v>1.0735411670663468</v>
      </c>
      <c r="F38">
        <f>'Adjusted close'!F34/'Adjusted close'!F35</f>
        <v>1.0737392959086585</v>
      </c>
      <c r="G38">
        <f>'Adjusted close'!G34/'Adjusted close'!G35</f>
        <v>0.99307881223487382</v>
      </c>
      <c r="H38">
        <f>'Adjusted close'!H34/'Adjusted close'!H35</f>
        <v>1.1437847866419295</v>
      </c>
      <c r="I38">
        <f>'Adjusted close'!I34/'Adjusted close'!I35</f>
        <v>1.1048109965635737</v>
      </c>
      <c r="J38">
        <f>'Adjusted close'!J34/'Adjusted close'!J35</f>
        <v>0.98869298581832121</v>
      </c>
      <c r="K38">
        <f>'Adjusted close'!K34/'Adjusted close'!K35</f>
        <v>1.0407484407484409</v>
      </c>
    </row>
    <row r="39" spans="1:11" x14ac:dyDescent="0.25">
      <c r="A39" s="1">
        <v>39994</v>
      </c>
      <c r="B39">
        <f>'Adjusted close'!B35/'Adjusted close'!B36</f>
        <v>0.94770928280163114</v>
      </c>
      <c r="C39">
        <f>'Adjusted close'!C35/'Adjusted close'!C36</f>
        <v>0.96428097198247242</v>
      </c>
      <c r="D39">
        <f>'Adjusted close'!D35/'Adjusted close'!D36</f>
        <v>1.0527777777777778</v>
      </c>
      <c r="E39">
        <f>'Adjusted close'!E35/'Adjusted close'!E36</f>
        <v>1.0279375513557929</v>
      </c>
      <c r="F39">
        <f>'Adjusted close'!F35/'Adjusted close'!F36</f>
        <v>1.0019065776930409</v>
      </c>
      <c r="G39">
        <f>'Adjusted close'!G35/'Adjusted close'!G36</f>
        <v>1.0666825434627292</v>
      </c>
      <c r="H39">
        <f>'Adjusted close'!H35/'Adjusted close'!H36</f>
        <v>0.8764227642276422</v>
      </c>
      <c r="I39">
        <f>'Adjusted close'!I35/'Adjusted close'!I36</f>
        <v>0.94695737064757568</v>
      </c>
      <c r="J39">
        <f>'Adjusted close'!J35/'Adjusted close'!J36</f>
        <v>0.94907238995998555</v>
      </c>
      <c r="K39">
        <f>'Adjusted close'!K35/'Adjusted close'!K36</f>
        <v>0.94610542879622339</v>
      </c>
    </row>
    <row r="40" spans="1:11" x14ac:dyDescent="0.25">
      <c r="A40" s="1">
        <v>39962</v>
      </c>
      <c r="B40">
        <f>'Adjusted close'!B36/'Adjusted close'!B37</f>
        <v>1.1307295904529429</v>
      </c>
      <c r="C40">
        <f>'Adjusted close'!C36/'Adjusted close'!C37</f>
        <v>1.0724864710908573</v>
      </c>
      <c r="D40">
        <f>'Adjusted close'!D36/'Adjusted close'!D37</f>
        <v>1.0048848569434752</v>
      </c>
      <c r="E40">
        <f>'Adjusted close'!E36/'Adjusted close'!E37</f>
        <v>1.1373831775700936</v>
      </c>
      <c r="F40">
        <f>'Adjusted close'!F36/'Adjusted close'!F37</f>
        <v>0.96771217712177127</v>
      </c>
      <c r="G40">
        <f>'Adjusted close'!G36/'Adjusted close'!G37</f>
        <v>1.0515902829952417</v>
      </c>
      <c r="H40">
        <f>'Adjusted close'!H36/'Adjusted close'!H37</f>
        <v>1.0658578856152514</v>
      </c>
      <c r="I40">
        <f>'Adjusted close'!I36/'Adjusted close'!I37</f>
        <v>1.0726003490401397</v>
      </c>
      <c r="J40">
        <f>'Adjusted close'!J36/'Adjusted close'!J37</f>
        <v>1.1680475886976842</v>
      </c>
      <c r="K40">
        <f>'Adjusted close'!K36/'Adjusted close'!K37</f>
        <v>0.95888344021124106</v>
      </c>
    </row>
    <row r="41" spans="1:11" x14ac:dyDescent="0.25">
      <c r="A41" s="1">
        <v>39933</v>
      </c>
      <c r="B41">
        <f>'Adjusted close'!B37/'Adjusted close'!B38</f>
        <v>1.1258015267175572</v>
      </c>
      <c r="C41">
        <f>'Adjusted close'!C37/'Adjusted close'!C38</f>
        <v>1.1375344241049734</v>
      </c>
      <c r="D41">
        <f>'Adjusted close'!D37/'Adjusted close'!D38</f>
        <v>1.0498168498168499</v>
      </c>
      <c r="E41">
        <f>'Adjusted close'!E37/'Adjusted close'!E38</f>
        <v>0.90639559508682754</v>
      </c>
      <c r="F41">
        <f>'Adjusted close'!F37/'Adjusted close'!F38</f>
        <v>1.0328727965697952</v>
      </c>
      <c r="G41">
        <f>'Adjusted close'!G37/'Adjusted close'!G38</f>
        <v>1.0162891320946805</v>
      </c>
      <c r="H41">
        <f>'Adjusted close'!H37/'Adjusted close'!H38</f>
        <v>1.2502708559046585</v>
      </c>
      <c r="I41">
        <f>'Adjusted close'!I37/'Adjusted close'!I38</f>
        <v>1.1204536566288619</v>
      </c>
      <c r="J41">
        <f>'Adjusted close'!J37/'Adjusted close'!J38</f>
        <v>1.2063044592516656</v>
      </c>
      <c r="K41">
        <f>'Adjusted close'!K37/'Adjusted close'!K38</f>
        <v>1.2862688015526444</v>
      </c>
    </row>
    <row r="42" spans="1:11" x14ac:dyDescent="0.25">
      <c r="A42" s="1">
        <v>39903</v>
      </c>
      <c r="B42">
        <f>'Adjusted close'!B38/'Adjusted close'!B39</f>
        <v>1.1316516931582583</v>
      </c>
      <c r="C42">
        <f>'Adjusted close'!C38/'Adjusted close'!C39</f>
        <v>1.0939216728690413</v>
      </c>
      <c r="D42">
        <f>'Adjusted close'!D38/'Adjusted close'!D39</f>
        <v>1.1797752808988764</v>
      </c>
      <c r="E42">
        <f>'Adjusted close'!E38/'Adjusted close'!E39</f>
        <v>1.1237505949547832</v>
      </c>
      <c r="F42">
        <f>'Adjusted close'!F38/'Adjusted close'!F39</f>
        <v>1.06010101010101</v>
      </c>
      <c r="G42">
        <f>'Adjusted close'!G38/'Adjusted close'!G39</f>
        <v>0.96134083679960858</v>
      </c>
      <c r="H42">
        <f>'Adjusted close'!H38/'Adjusted close'!H39</f>
        <v>1.187902187902188</v>
      </c>
      <c r="I42">
        <f>'Adjusted close'!I38/'Adjusted close'!I39</f>
        <v>1.0381648396264718</v>
      </c>
      <c r="J42">
        <f>'Adjusted close'!J38/'Adjusted close'!J39</f>
        <v>1.0669948044845503</v>
      </c>
      <c r="K42">
        <f>'Adjusted close'!K38/'Adjusted close'!K39</f>
        <v>1.1317957166392092</v>
      </c>
    </row>
    <row r="43" spans="1:11" x14ac:dyDescent="0.25">
      <c r="A43" s="1">
        <v>39871</v>
      </c>
      <c r="B43">
        <f>'Adjusted close'!B39/'Adjusted close'!B40</f>
        <v>0.75051867219917012</v>
      </c>
      <c r="C43">
        <f>'Adjusted close'!C39/'Adjusted close'!C40</f>
        <v>0.77545691906005221</v>
      </c>
      <c r="D43">
        <f>'Adjusted close'!D39/'Adjusted close'!D40</f>
        <v>0.99827437446074208</v>
      </c>
      <c r="E43">
        <f>'Adjusted close'!E39/'Adjusted close'!E40</f>
        <v>0.84786117836965302</v>
      </c>
      <c r="F43">
        <f>'Adjusted close'!F39/'Adjusted close'!F40</f>
        <v>0.96538274012676739</v>
      </c>
      <c r="G43">
        <f>'Adjusted close'!G39/'Adjusted close'!G40</f>
        <v>0.87911378791137873</v>
      </c>
      <c r="H43">
        <f>'Adjusted close'!H39/'Adjusted close'!H40</f>
        <v>0.72279069767441861</v>
      </c>
      <c r="I43">
        <f>'Adjusted close'!I39/'Adjusted close'!I40</f>
        <v>0.82595573440643855</v>
      </c>
      <c r="J43">
        <f>'Adjusted close'!J39/'Adjusted close'!J40</f>
        <v>0.93745193540117921</v>
      </c>
      <c r="K43">
        <f>'Adjusted close'!K39/'Adjusted close'!K40</f>
        <v>0.83150684931506857</v>
      </c>
    </row>
    <row r="44" spans="1:11" x14ac:dyDescent="0.25">
      <c r="A44" s="1">
        <v>39843</v>
      </c>
      <c r="B44">
        <f>'Adjusted close'!B40/'Adjusted close'!B41</f>
        <v>0.99151452815633845</v>
      </c>
      <c r="C44">
        <f>'Adjusted close'!C40/'Adjusted close'!C41</f>
        <v>0.97573075891659955</v>
      </c>
      <c r="D44">
        <f>'Adjusted close'!D40/'Adjusted close'!D41</f>
        <v>0.87936267071320184</v>
      </c>
      <c r="E44">
        <f>'Adjusted close'!E40/'Adjusted close'!E41</f>
        <v>0.93899204244031831</v>
      </c>
      <c r="F44">
        <f>'Adjusted close'!F40/'Adjusted close'!F41</f>
        <v>0.8764957264957266</v>
      </c>
      <c r="G44">
        <f>'Adjusted close'!G40/'Adjusted close'!G41</f>
        <v>0.97504194630872487</v>
      </c>
      <c r="H44">
        <f>'Adjusted close'!H40/'Adjusted close'!H41</f>
        <v>0.74860724233983289</v>
      </c>
      <c r="I44">
        <f>'Adjusted close'!I40/'Adjusted close'!I41</f>
        <v>0.99932975871313678</v>
      </c>
      <c r="J44">
        <f>'Adjusted close'!J40/'Adjusted close'!J41</f>
        <v>0.96416213544241214</v>
      </c>
      <c r="K44">
        <f>'Adjusted close'!K40/'Adjusted close'!K41</f>
        <v>0.74036511156186613</v>
      </c>
    </row>
    <row r="45" spans="1:11" x14ac:dyDescent="0.25">
      <c r="A45" s="1">
        <v>39813</v>
      </c>
      <c r="B45">
        <f>'Adjusted close'!B41/'Adjusted close'!B42</f>
        <v>1.0010296010296009</v>
      </c>
      <c r="C45">
        <f>'Adjusted close'!C41/'Adjusted close'!C42</f>
        <v>1.0905103085246382</v>
      </c>
      <c r="D45">
        <f>'Adjusted close'!D41/'Adjusted close'!D42</f>
        <v>1.0629032258064515</v>
      </c>
      <c r="E45">
        <f>'Adjusted close'!E41/'Adjusted close'!E42</f>
        <v>1.1539134236991693</v>
      </c>
      <c r="F45">
        <f>'Adjusted close'!F41/'Adjusted close'!F42</f>
        <v>0.99786780383795304</v>
      </c>
      <c r="G45">
        <f>'Adjusted close'!G41/'Adjusted close'!G42</f>
        <v>0.98921161825726134</v>
      </c>
      <c r="H45">
        <f>'Adjusted close'!H41/'Adjusted close'!H42</f>
        <v>0.96117804551539487</v>
      </c>
      <c r="I45">
        <f>'Adjusted close'!I41/'Adjusted close'!I42</f>
        <v>1.1785150078988942</v>
      </c>
      <c r="J45">
        <f>'Adjusted close'!J41/'Adjusted close'!J42</f>
        <v>0.83768115942028987</v>
      </c>
      <c r="K45">
        <f>'Adjusted close'!K41/'Adjusted close'!K42</f>
        <v>1.0667147493689144</v>
      </c>
    </row>
    <row r="46" spans="1:11" x14ac:dyDescent="0.25">
      <c r="A46" s="1">
        <v>39780</v>
      </c>
      <c r="B46">
        <f>'Adjusted close'!B42/'Adjusted close'!B43</f>
        <v>0.81944737397173606</v>
      </c>
      <c r="C46">
        <f>'Adjusted close'!C42/'Adjusted close'!C43</f>
        <v>0.91369405477621923</v>
      </c>
      <c r="D46">
        <f>'Adjusted close'!D42/'Adjusted close'!D43</f>
        <v>0.86834733893557425</v>
      </c>
      <c r="E46">
        <f>'Adjusted close'!E42/'Adjusted close'!E43</f>
        <v>0.86334465836164598</v>
      </c>
      <c r="F46">
        <f>'Adjusted close'!F42/'Adjusted close'!F43</f>
        <v>1.0668789808917196</v>
      </c>
      <c r="G46">
        <f>'Adjusted close'!G42/'Adjusted close'!G43</f>
        <v>1.0469157254561252</v>
      </c>
      <c r="H46">
        <f>'Adjusted close'!H42/'Adjusted close'!H43</f>
        <v>0.88037713612256929</v>
      </c>
      <c r="I46">
        <f>'Adjusted close'!I42/'Adjusted close'!I43</f>
        <v>0.9244249726177437</v>
      </c>
      <c r="J46">
        <f>'Adjusted close'!J42/'Adjusted close'!J43</f>
        <v>0.98230628431970701</v>
      </c>
      <c r="K46">
        <f>'Adjusted close'!K42/'Adjusted close'!K43</f>
        <v>0.88792827409542108</v>
      </c>
    </row>
    <row r="47" spans="1:11" x14ac:dyDescent="0.25">
      <c r="A47" s="1">
        <v>39752</v>
      </c>
      <c r="B47">
        <f>'Adjusted close'!B43/'Adjusted close'!B44</f>
        <v>0.91401580875265087</v>
      </c>
      <c r="C47">
        <f>'Adjusted close'!C43/'Adjusted close'!C44</f>
        <v>0.77556729872552055</v>
      </c>
      <c r="D47">
        <f>'Adjusted close'!D43/'Adjusted close'!D44</f>
        <v>0.85560215698022757</v>
      </c>
      <c r="E47">
        <f>'Adjusted close'!E43/'Adjusted close'!E44</f>
        <v>0.98074787115883</v>
      </c>
      <c r="F47">
        <f>'Adjusted close'!F43/'Adjusted close'!F44</f>
        <v>0.97385910500664596</v>
      </c>
      <c r="G47">
        <f>'Adjusted close'!G43/'Adjusted close'!G44</f>
        <v>0.86606471030850263</v>
      </c>
      <c r="H47">
        <f>'Adjusted close'!H43/'Adjusted close'!H44</f>
        <v>0.76510369702434622</v>
      </c>
      <c r="I47">
        <f>'Adjusted close'!I43/'Adjusted close'!I44</f>
        <v>0.73294086165373296</v>
      </c>
      <c r="J47">
        <f>'Adjusted close'!J43/'Adjusted close'!J44</f>
        <v>0.66142050040355127</v>
      </c>
      <c r="K47">
        <f>'Adjusted close'!K43/'Adjusted close'!K44</f>
        <v>0.78724476934711363</v>
      </c>
    </row>
    <row r="48" spans="1:11" x14ac:dyDescent="0.25">
      <c r="A48" s="1">
        <v>39721</v>
      </c>
      <c r="B48">
        <f>'Adjusted close'!B44/'Adjusted close'!B45</f>
        <v>0.87470489038785837</v>
      </c>
      <c r="C48">
        <f>'Adjusted close'!C44/'Adjusted close'!C45</f>
        <v>0.94183663511271598</v>
      </c>
      <c r="D48">
        <f>'Adjusted close'!D44/'Adjusted close'!D45</f>
        <v>0.8189401373895977</v>
      </c>
      <c r="E48">
        <f>'Adjusted close'!E44/'Adjusted close'!E45</f>
        <v>0.89466710831401131</v>
      </c>
      <c r="F48">
        <f>'Adjusted close'!F44/'Adjusted close'!F45</f>
        <v>0.87277648878576952</v>
      </c>
      <c r="G48">
        <f>'Adjusted close'!G44/'Adjusted close'!G45</f>
        <v>0.82444168734491308</v>
      </c>
      <c r="H48">
        <f>'Adjusted close'!H44/'Adjusted close'!H45</f>
        <v>0.91956882255389716</v>
      </c>
      <c r="I48">
        <f>'Adjusted close'!I44/'Adjusted close'!I45</f>
        <v>0.82823581560283688</v>
      </c>
      <c r="J48">
        <f>'Adjusted close'!J44/'Adjusted close'!J45</f>
        <v>0.82885494480990085</v>
      </c>
      <c r="K48">
        <f>'Adjusted close'!K44/'Adjusted close'!K45</f>
        <v>0.92212924221292414</v>
      </c>
    </row>
    <row r="49" spans="1:11" x14ac:dyDescent="0.25">
      <c r="A49" s="1">
        <v>39689</v>
      </c>
      <c r="B49">
        <f>'Adjusted close'!B45/'Adjusted close'!B46</f>
        <v>1.0793593010556972</v>
      </c>
      <c r="C49">
        <f>'Adjusted close'!C45/'Adjusted close'!C46</f>
        <v>1.1201355487538258</v>
      </c>
      <c r="D49">
        <f>'Adjusted close'!D45/'Adjusted close'!D46</f>
        <v>1.0371501272264632</v>
      </c>
      <c r="E49">
        <f>'Adjusted close'!E45/'Adjusted close'!E46</f>
        <v>1.0840215439856373</v>
      </c>
      <c r="F49">
        <f>'Adjusted close'!F45/'Adjusted close'!F46</f>
        <v>1.03855421686747</v>
      </c>
      <c r="G49">
        <f>'Adjusted close'!G45/'Adjusted close'!G46</f>
        <v>0.97269573087946892</v>
      </c>
      <c r="H49">
        <f>'Adjusted close'!H45/'Adjusted close'!H46</f>
        <v>0.99341021416803954</v>
      </c>
      <c r="I49">
        <f>'Adjusted close'!I45/'Adjusted close'!I46</f>
        <v>0.9920844327176781</v>
      </c>
      <c r="J49">
        <f>'Adjusted close'!J45/'Adjusted close'!J46</f>
        <v>0.92933374779815558</v>
      </c>
      <c r="K49">
        <f>'Adjusted close'!K45/'Adjusted close'!K46</f>
        <v>1.1053442959917781</v>
      </c>
    </row>
    <row r="50" spans="1:11" x14ac:dyDescent="0.25">
      <c r="A50" s="1">
        <v>39660</v>
      </c>
      <c r="B50">
        <f>'Adjusted close'!B46/'Adjusted close'!B47</f>
        <v>0.92992552471225454</v>
      </c>
      <c r="C50">
        <f>'Adjusted close'!C46/'Adjusted close'!C47</f>
        <v>1.0574500057796787</v>
      </c>
      <c r="D50">
        <f>'Adjusted close'!D46/'Adjusted close'!D47</f>
        <v>1.0331230283911672</v>
      </c>
      <c r="E50">
        <f>'Adjusted close'!E46/'Adjusted close'!E47</f>
        <v>0.87304075235109724</v>
      </c>
      <c r="F50">
        <f>'Adjusted close'!F46/'Adjusted close'!F47</f>
        <v>0.92565055762081783</v>
      </c>
      <c r="G50">
        <f>'Adjusted close'!G46/'Adjusted close'!G47</f>
        <v>0.87396176664469361</v>
      </c>
      <c r="H50">
        <f>'Adjusted close'!H46/'Adjusted close'!H47</f>
        <v>1.0597992143168922</v>
      </c>
      <c r="I50">
        <f>'Adjusted close'!I46/'Adjusted close'!I47</f>
        <v>1.0111160515784794</v>
      </c>
      <c r="J50">
        <f>'Adjusted close'!J46/'Adjusted close'!J47</f>
        <v>0.94571288584027446</v>
      </c>
      <c r="K50">
        <f>'Adjusted close'!K46/'Adjusted close'!K47</f>
        <v>1.0018018018018018</v>
      </c>
    </row>
    <row r="51" spans="1:11" x14ac:dyDescent="0.25">
      <c r="A51" s="1">
        <v>39629</v>
      </c>
      <c r="B51">
        <f>'Adjusted close'!B47/'Adjusted close'!B48</f>
        <v>0.79397930385700843</v>
      </c>
      <c r="C51">
        <f>'Adjusted close'!C47/'Adjusted close'!C48</f>
        <v>0.90152146727803262</v>
      </c>
      <c r="D51">
        <f>'Adjusted close'!D47/'Adjusted close'!D48</f>
        <v>0.92644909887968818</v>
      </c>
      <c r="E51">
        <f>'Adjusted close'!E47/'Adjusted close'!E48</f>
        <v>0.97702909647779479</v>
      </c>
      <c r="F51">
        <f>'Adjusted close'!F47/'Adjusted close'!F48</f>
        <v>0.84458398744113017</v>
      </c>
      <c r="G51">
        <f>'Adjusted close'!G47/'Adjusted close'!G48</f>
        <v>1.0222371967654986</v>
      </c>
      <c r="H51">
        <f>'Adjusted close'!H47/'Adjusted close'!H48</f>
        <v>0.87845092024539884</v>
      </c>
      <c r="I51">
        <f>'Adjusted close'!I47/'Adjusted close'!I48</f>
        <v>0.84342771423213947</v>
      </c>
      <c r="J51">
        <f>'Adjusted close'!J47/'Adjusted close'!J48</f>
        <v>1.0645733361151679</v>
      </c>
      <c r="K51">
        <f>'Adjusted close'!K47/'Adjusted close'!K48</f>
        <v>0.85856353591160228</v>
      </c>
    </row>
    <row r="52" spans="1:11" x14ac:dyDescent="0.25">
      <c r="A52" s="1">
        <v>39598</v>
      </c>
      <c r="B52">
        <f>'Adjusted close'!B48/'Adjusted close'!B49</f>
        <v>0.97998156196496755</v>
      </c>
      <c r="C52">
        <f>'Adjusted close'!C48/'Adjusted close'!C49</f>
        <v>1.0360613258475491</v>
      </c>
      <c r="D52">
        <f>'Adjusted close'!D48/'Adjusted close'!D49</f>
        <v>1.0479836651352732</v>
      </c>
      <c r="E52">
        <f>'Adjusted close'!E48/'Adjusted close'!E49</f>
        <v>1.0241530740276035</v>
      </c>
      <c r="F52">
        <f>'Adjusted close'!F48/'Adjusted close'!F49</f>
        <v>1.0307443365695794</v>
      </c>
      <c r="G52">
        <f>'Adjusted close'!G48/'Adjusted close'!G49</f>
        <v>1.0355896720167481</v>
      </c>
      <c r="H52">
        <f>'Adjusted close'!H48/'Adjusted close'!H49</f>
        <v>0.93948126801152732</v>
      </c>
      <c r="I52">
        <f>'Adjusted close'!I48/'Adjusted close'!I49</f>
        <v>1.0081285444234405</v>
      </c>
      <c r="J52">
        <f>'Adjusted close'!J48/'Adjusted close'!J49</f>
        <v>1.0057706431644109</v>
      </c>
      <c r="K52">
        <f>'Adjusted close'!K48/'Adjusted close'!K49</f>
        <v>1.0702459791863765</v>
      </c>
    </row>
    <row r="53" spans="1:11" x14ac:dyDescent="0.25">
      <c r="A53" s="1">
        <v>39568</v>
      </c>
      <c r="B53">
        <f>'Adjusted close'!B49/'Adjusted close'!B50</f>
        <v>1.1409466566491362</v>
      </c>
      <c r="C53">
        <f>'Adjusted close'!C49/'Adjusted close'!C50</f>
        <v>1.0679119105269226</v>
      </c>
      <c r="D53">
        <f>'Adjusted close'!D49/'Adjusted close'!D50</f>
        <v>1.0509656652360515</v>
      </c>
      <c r="E53">
        <f>'Adjusted close'!E49/'Adjusted close'!E50</f>
        <v>1.0025157232704403</v>
      </c>
      <c r="F53">
        <f>'Adjusted close'!F49/'Adjusted close'!F50</f>
        <v>1.0211500330469265</v>
      </c>
      <c r="G53">
        <f>'Adjusted close'!G49/'Adjusted close'!G50</f>
        <v>1.0518203170874927</v>
      </c>
      <c r="H53">
        <f>'Adjusted close'!H49/'Adjusted close'!H50</f>
        <v>0.88351368555060472</v>
      </c>
      <c r="I53">
        <f>'Adjusted close'!I49/'Adjusted close'!I50</f>
        <v>1.0527363184079601</v>
      </c>
      <c r="J53">
        <f>'Adjusted close'!J49/'Adjusted close'!J50</f>
        <v>1.1556929792651873</v>
      </c>
      <c r="K53">
        <f>'Adjusted close'!K49/'Adjusted close'!K50</f>
        <v>0.97847720435084473</v>
      </c>
    </row>
    <row r="54" spans="1:11" x14ac:dyDescent="0.25">
      <c r="A54" s="1">
        <v>39538</v>
      </c>
      <c r="B54">
        <f>'Adjusted close'!B50/'Adjusted close'!B51</f>
        <v>0.89835313174946008</v>
      </c>
      <c r="C54">
        <f>'Adjusted close'!C50/'Adjusted close'!C51</f>
        <v>0.9621699578433548</v>
      </c>
      <c r="D54">
        <f>'Adjusted close'!D50/'Adjusted close'!D51</f>
        <v>1.0602957906712174</v>
      </c>
      <c r="E54">
        <f>'Adjusted close'!E50/'Adjusted close'!E51</f>
        <v>0.86413043478260876</v>
      </c>
      <c r="F54">
        <f>'Adjusted close'!F50/'Adjusted close'!F51</f>
        <v>1.0995639534883721</v>
      </c>
      <c r="G54">
        <f>'Adjusted close'!G50/'Adjusted close'!G51</f>
        <v>1.0857507172457763</v>
      </c>
      <c r="H54">
        <f>'Adjusted close'!H50/'Adjusted close'!H51</f>
        <v>1.1169569854248134</v>
      </c>
      <c r="I54">
        <f>'Adjusted close'!I50/'Adjusted close'!I51</f>
        <v>0.98048780487804876</v>
      </c>
      <c r="J54">
        <f>'Adjusted close'!J50/'Adjusted close'!J51</f>
        <v>1.006345332519829</v>
      </c>
      <c r="K54">
        <f>'Adjusted close'!K50/'Adjusted close'!K51</f>
        <v>0.96731587194985447</v>
      </c>
    </row>
    <row r="55" spans="1:11" x14ac:dyDescent="0.25">
      <c r="A55" s="1">
        <v>39507</v>
      </c>
      <c r="B55">
        <f>'Adjusted close'!B51/'Adjusted close'!B52</f>
        <v>1.0002700513097489</v>
      </c>
      <c r="C55">
        <f>'Adjusted close'!C51/'Adjusted close'!C52</f>
        <v>0.96016190881976993</v>
      </c>
      <c r="D55">
        <f>'Adjusted close'!D51/'Adjusted close'!D52</f>
        <v>0.95232936078006492</v>
      </c>
      <c r="E55">
        <f>'Adjusted close'!E51/'Adjusted close'!E52</f>
        <v>0.96083550913838123</v>
      </c>
      <c r="F55">
        <f>'Adjusted close'!F51/'Adjusted close'!F52</f>
        <v>0.90496547188424858</v>
      </c>
      <c r="G55">
        <f>'Adjusted close'!G51/'Adjusted close'!G52</f>
        <v>0.98990217734301045</v>
      </c>
      <c r="H55">
        <f>'Adjusted close'!H51/'Adjusted close'!H52</f>
        <v>0.94554621848739495</v>
      </c>
      <c r="I55">
        <f>'Adjusted close'!I51/'Adjusted close'!I52</f>
        <v>0.9789875835721108</v>
      </c>
      <c r="J55">
        <f>'Adjusted close'!J51/'Adjusted close'!J52</f>
        <v>1.1495300883714406</v>
      </c>
      <c r="K55">
        <f>'Adjusted close'!K51/'Adjusted close'!K52</f>
        <v>0.99178507992895215</v>
      </c>
    </row>
    <row r="56" spans="1:11" x14ac:dyDescent="0.25">
      <c r="A56" s="1">
        <v>39478</v>
      </c>
      <c r="B56">
        <f>'Adjusted close'!B52/'Adjusted close'!B53</f>
        <v>0.95095017976373919</v>
      </c>
      <c r="C56">
        <f>'Adjusted close'!C52/'Adjusted close'!C53</f>
        <v>1.0252266025991046</v>
      </c>
      <c r="D56">
        <f>'Adjusted close'!D52/'Adjusted close'!D53</f>
        <v>0.79125589369909999</v>
      </c>
      <c r="E56">
        <f>'Adjusted close'!E52/'Adjusted close'!E53</f>
        <v>0.79345349078102334</v>
      </c>
      <c r="F56">
        <f>'Adjusted close'!F52/'Adjusted close'!F53</f>
        <v>0.93511685116851162</v>
      </c>
      <c r="G56">
        <f>'Adjusted close'!G52/'Adjusted close'!G53</f>
        <v>0.93205882352941183</v>
      </c>
      <c r="H56">
        <f>'Adjusted close'!H52/'Adjusted close'!H53</f>
        <v>0.95413726747915328</v>
      </c>
      <c r="I56">
        <f>'Adjusted close'!I52/'Adjusted close'!I53</f>
        <v>0.95931830676195717</v>
      </c>
      <c r="J56">
        <f>'Adjusted close'!J52/'Adjusted close'!J53</f>
        <v>0.76647672293301794</v>
      </c>
      <c r="K56">
        <f>'Adjusted close'!K52/'Adjusted close'!K53</f>
        <v>0.97383783783783784</v>
      </c>
    </row>
    <row r="57" spans="1:11" x14ac:dyDescent="0.25">
      <c r="A57" s="1">
        <v>39447</v>
      </c>
      <c r="B57">
        <f>'Adjusted close'!B53/'Adjusted close'!B54</f>
        <v>0.94514563106796101</v>
      </c>
      <c r="C57">
        <f>'Adjusted close'!C53/'Adjusted close'!C54</f>
        <v>0.95108018280016615</v>
      </c>
      <c r="D57">
        <f>'Adjusted close'!D53/'Adjusted close'!D54</f>
        <v>1.0223488168273442</v>
      </c>
      <c r="E57">
        <f>'Adjusted close'!E53/'Adjusted close'!E54</f>
        <v>0.98530312308634416</v>
      </c>
      <c r="F57">
        <f>'Adjusted close'!F53/'Adjusted close'!F54</f>
        <v>1.0876254180602007</v>
      </c>
      <c r="G57">
        <f>'Adjusted close'!G53/'Adjusted close'!G54</f>
        <v>1.0071090047393365</v>
      </c>
      <c r="H57">
        <f>'Adjusted close'!H53/'Adjusted close'!H54</f>
        <v>0.9762053850970569</v>
      </c>
      <c r="I57">
        <f>'Adjusted close'!I53/'Adjusted close'!I54</f>
        <v>1.0874850538062972</v>
      </c>
      <c r="J57">
        <f>'Adjusted close'!J53/'Adjusted close'!J54</f>
        <v>1.0545351473922904</v>
      </c>
      <c r="K57">
        <f>'Adjusted close'!K53/'Adjusted close'!K54</f>
        <v>1.0277777777777777</v>
      </c>
    </row>
    <row r="58" spans="1:11" x14ac:dyDescent="0.25">
      <c r="A58" s="1">
        <v>39416</v>
      </c>
      <c r="B58">
        <f>'Adjusted close'!B54/'Adjusted close'!B55</f>
        <v>0.94203726992111592</v>
      </c>
      <c r="C58">
        <f>'Adjusted close'!C54/'Adjusted close'!C55</f>
        <v>1.0095417846282897</v>
      </c>
      <c r="D58">
        <f>'Adjusted close'!D54/'Adjusted close'!D55</f>
        <v>0.9735494880546075</v>
      </c>
      <c r="E58">
        <f>'Adjusted close'!E54/'Adjusted close'!E55</f>
        <v>1.0189267886855242</v>
      </c>
      <c r="F58">
        <f>'Adjusted close'!F54/'Adjusted close'!F55</f>
        <v>0.91437308868501521</v>
      </c>
      <c r="G58">
        <f>'Adjusted close'!G54/'Adjusted close'!G55</f>
        <v>0.98483080513418897</v>
      </c>
      <c r="H58">
        <f>'Adjusted close'!H54/'Adjusted close'!H55</f>
        <v>0.93038159044567437</v>
      </c>
      <c r="I58">
        <f>'Adjusted close'!I54/'Adjusted close'!I55</f>
        <v>0.94128681298067896</v>
      </c>
      <c r="J58">
        <f>'Adjusted close'!J54/'Adjusted close'!J55</f>
        <v>0.967741935483871</v>
      </c>
      <c r="K58">
        <f>'Adjusted close'!K54/'Adjusted close'!K55</f>
        <v>0.9</v>
      </c>
    </row>
    <row r="59" spans="1:11" x14ac:dyDescent="0.25">
      <c r="A59" s="1">
        <v>39386</v>
      </c>
      <c r="B59">
        <f>'Adjusted close'!B55/'Adjusted close'!B56</f>
        <v>0.93902308105206644</v>
      </c>
      <c r="C59">
        <f>'Adjusted close'!C55/'Adjusted close'!C56</f>
        <v>1.0143586470963626</v>
      </c>
      <c r="D59">
        <f>'Adjusted close'!D55/'Adjusted close'!D56</f>
        <v>1.0403905903240125</v>
      </c>
      <c r="E59">
        <f>'Adjusted close'!E55/'Adjusted close'!E56</f>
        <v>1.1270511017346461</v>
      </c>
      <c r="F59">
        <f>'Adjusted close'!F55/'Adjusted close'!F56</f>
        <v>0.99604020712762731</v>
      </c>
      <c r="G59">
        <f>'Adjusted close'!G55/'Adjusted close'!G56</f>
        <v>1.0983659083627042</v>
      </c>
      <c r="H59">
        <f>'Adjusted close'!H55/'Adjusted close'!H56</f>
        <v>0.9942079351288734</v>
      </c>
      <c r="I59">
        <f>'Adjusted close'!I55/'Adjusted close'!I56</f>
        <v>1.0158155487804879</v>
      </c>
      <c r="J59">
        <f>'Adjusted close'!J55/'Adjusted close'!J56</f>
        <v>0.9196770938446015</v>
      </c>
      <c r="K59">
        <f>'Adjusted close'!K55/'Adjusted close'!K56</f>
        <v>1.0154346060113728</v>
      </c>
    </row>
    <row r="60" spans="1:11" x14ac:dyDescent="0.25">
      <c r="A60" s="1">
        <v>39353</v>
      </c>
      <c r="B60">
        <f>'Adjusted close'!B56/'Adjusted close'!B57</f>
        <v>1.0857908847184987</v>
      </c>
      <c r="C60">
        <f>'Adjusted close'!C56/'Adjusted close'!C57</f>
        <v>1.0942737430167597</v>
      </c>
      <c r="D60">
        <f>'Adjusted close'!D56/'Adjusted close'!D57</f>
        <v>1.0044583147570219</v>
      </c>
      <c r="E60">
        <f>'Adjusted close'!E56/'Adjusted close'!E57</f>
        <v>1.0382088099294231</v>
      </c>
      <c r="F60">
        <f>'Adjusted close'!F56/'Adjusted close'!F57</f>
        <v>1.0610859728506787</v>
      </c>
      <c r="G60">
        <f>'Adjusted close'!G56/'Adjusted close'!G57</f>
        <v>1.0664616436015719</v>
      </c>
      <c r="H60">
        <f>'Adjusted close'!H56/'Adjusted close'!H57</f>
        <v>1.072360248447205</v>
      </c>
      <c r="I60">
        <f>'Adjusted close'!I56/'Adjusted close'!I57</f>
        <v>1.0591321897073662</v>
      </c>
      <c r="J60">
        <f>'Adjusted close'!J56/'Adjusted close'!J57</f>
        <v>1.0880544576196749</v>
      </c>
      <c r="K60">
        <f>'Adjusted close'!K56/'Adjusted close'!K57</f>
        <v>0.95370908386596942</v>
      </c>
    </row>
    <row r="61" spans="1:11" x14ac:dyDescent="0.25">
      <c r="A61" s="1">
        <v>39325</v>
      </c>
      <c r="B61">
        <f>'Adjusted close'!B57/'Adjusted close'!B58</f>
        <v>0.93810825587752877</v>
      </c>
      <c r="C61">
        <f>'Adjusted close'!C57/'Adjusted close'!C58</f>
        <v>1.0102292768959436</v>
      </c>
      <c r="D61">
        <f>'Adjusted close'!D57/'Adjusted close'!D58</f>
        <v>1.09521484375</v>
      </c>
      <c r="E61">
        <f>'Adjusted close'!E57/'Adjusted close'!E58</f>
        <v>1.0103270223752152</v>
      </c>
      <c r="F61">
        <f>'Adjusted close'!F57/'Adjusted close'!F58</f>
        <v>1.0180980585718986</v>
      </c>
      <c r="G61">
        <f>'Adjusted close'!G57/'Adjusted close'!G58</f>
        <v>1.0135064935064935</v>
      </c>
      <c r="H61">
        <f>'Adjusted close'!H57/'Adjusted close'!H58</f>
        <v>1.0028028651510434</v>
      </c>
      <c r="I61">
        <f>'Adjusted close'!I57/'Adjusted close'!I58</f>
        <v>0.98079968329374489</v>
      </c>
      <c r="J61">
        <f>'Adjusted close'!J57/'Adjusted close'!J58</f>
        <v>1.0207329373529082</v>
      </c>
      <c r="K61">
        <f>'Adjusted close'!K57/'Adjusted close'!K58</f>
        <v>0.98137236266869421</v>
      </c>
    </row>
    <row r="62" spans="1:11" x14ac:dyDescent="0.25">
      <c r="A62" s="1">
        <v>39294</v>
      </c>
      <c r="B62">
        <f>'Adjusted close'!B58/'Adjusted close'!B59</f>
        <v>1.0755027637304482</v>
      </c>
      <c r="C62">
        <f>'Adjusted close'!C58/'Adjusted close'!C59</f>
        <v>1.0462541518021895</v>
      </c>
      <c r="D62">
        <f>'Adjusted close'!D58/'Adjusted close'!D59</f>
        <v>0.99465760077707632</v>
      </c>
      <c r="E62">
        <f>'Adjusted close'!E58/'Adjusted close'!E59</f>
        <v>0.99705810247609716</v>
      </c>
      <c r="F62">
        <f>'Adjusted close'!F58/'Adjusted close'!F59</f>
        <v>0.95206766917293228</v>
      </c>
      <c r="G62">
        <f>'Adjusted close'!G58/'Adjusted close'!G59</f>
        <v>0.9662037811611176</v>
      </c>
      <c r="H62">
        <f>'Adjusted close'!H58/'Adjusted close'!H59</f>
        <v>1.0126143172500788</v>
      </c>
      <c r="I62">
        <f>'Adjusted close'!I58/'Adjusted close'!I59</f>
        <v>1.0218446601941749</v>
      </c>
      <c r="J62">
        <f>'Adjusted close'!J58/'Adjusted close'!J59</f>
        <v>1.1150962259435142</v>
      </c>
      <c r="K62">
        <f>'Adjusted close'!K58/'Adjusted close'!K59</f>
        <v>0.9226587162399158</v>
      </c>
    </row>
    <row r="63" spans="1:11" x14ac:dyDescent="0.25">
      <c r="A63" s="1">
        <v>39262</v>
      </c>
      <c r="B63">
        <f>'Adjusted close'!B59/'Adjusted close'!B60</f>
        <v>0.95603777827749048</v>
      </c>
      <c r="C63">
        <f>'Adjusted close'!C59/'Adjusted close'!C60</f>
        <v>0.95951369216241744</v>
      </c>
      <c r="D63">
        <f>'Adjusted close'!D59/'Adjusted close'!D60</f>
        <v>1.0707228289131565</v>
      </c>
      <c r="E63">
        <f>'Adjusted close'!E59/'Adjusted close'!E60</f>
        <v>0.95661350844277671</v>
      </c>
      <c r="F63">
        <f>'Adjusted close'!F59/'Adjusted close'!F60</f>
        <v>1.0037735849056604</v>
      </c>
      <c r="G63">
        <f>'Adjusted close'!G59/'Adjusted close'!G60</f>
        <v>0.93085189222862497</v>
      </c>
      <c r="H63">
        <f>'Adjusted close'!H59/'Adjusted close'!H60</f>
        <v>1.0258815917178907</v>
      </c>
      <c r="I63">
        <f>'Adjusted close'!I59/'Adjusted close'!I60</f>
        <v>0.97188912915274228</v>
      </c>
      <c r="J63">
        <f>'Adjusted close'!J59/'Adjusted close'!J60</f>
        <v>1.0933187593933598</v>
      </c>
      <c r="K63">
        <f>'Adjusted close'!K59/'Adjusted close'!K60</f>
        <v>1.0248023005032352</v>
      </c>
    </row>
    <row r="64" spans="1:11" x14ac:dyDescent="0.25">
      <c r="A64" s="1">
        <v>39233</v>
      </c>
      <c r="B64">
        <f>'Adjusted close'!B60/'Adjusted close'!B61</f>
        <v>1.085560844623459</v>
      </c>
      <c r="C64">
        <f>'Adjusted close'!C60/'Adjusted close'!C61</f>
        <v>1.024054152060921</v>
      </c>
      <c r="D64">
        <f>'Adjusted close'!D60/'Adjusted close'!D61</f>
        <v>1.0366576819407007</v>
      </c>
      <c r="E64">
        <f>'Adjusted close'!E60/'Adjusted close'!E61</f>
        <v>1.0196078431372548</v>
      </c>
      <c r="F64">
        <f>'Adjusted close'!F60/'Adjusted close'!F61</f>
        <v>1.0678307588985896</v>
      </c>
      <c r="G64">
        <f>'Adjusted close'!G60/'Adjusted close'!G61</f>
        <v>1.040343486714193</v>
      </c>
      <c r="H64">
        <f>'Adjusted close'!H60/'Adjusted close'!H61</f>
        <v>1.0194591029023747</v>
      </c>
      <c r="I64">
        <f>'Adjusted close'!I60/'Adjusted close'!I61</f>
        <v>1.0734332137581768</v>
      </c>
      <c r="J64">
        <f>'Adjusted close'!J60/'Adjusted close'!J61</f>
        <v>1.0546109510086454</v>
      </c>
      <c r="K64">
        <f>'Adjusted close'!K60/'Adjusted close'!K61</f>
        <v>1.0492174240995662</v>
      </c>
    </row>
    <row r="65" spans="1:11" x14ac:dyDescent="0.25">
      <c r="A65" s="1">
        <v>39202</v>
      </c>
      <c r="B65">
        <f>'Adjusted close'!B61/'Adjusted close'!B62</f>
        <v>1.0460929519918285</v>
      </c>
      <c r="C65">
        <f>'Adjusted close'!C61/'Adjusted close'!C62</f>
        <v>0.99089711342675779</v>
      </c>
      <c r="D65">
        <f>'Adjusted close'!D61/'Adjusted close'!D62</f>
        <v>1.1242424242424243</v>
      </c>
      <c r="E65">
        <f>'Adjusted close'!E61/'Adjusted close'!E62</f>
        <v>1.164578111946533</v>
      </c>
      <c r="F65">
        <f>'Adjusted close'!F61/'Adjusted close'!F62</f>
        <v>0.99068529607451772</v>
      </c>
      <c r="G65">
        <f>'Adjusted close'!G61/'Adjusted close'!G62</f>
        <v>1.0974395448079659</v>
      </c>
      <c r="H65">
        <f>'Adjusted close'!H61/'Adjusted close'!H62</f>
        <v>1.0422825713303541</v>
      </c>
      <c r="I65">
        <f>'Adjusted close'!I61/'Adjusted close'!I62</f>
        <v>1.1765143992055611</v>
      </c>
      <c r="J65">
        <f>'Adjusted close'!J61/'Adjusted close'!J62</f>
        <v>1.0685142417244033</v>
      </c>
      <c r="K65">
        <f>'Adjusted close'!K61/'Adjusted close'!K62</f>
        <v>0.96805403431909454</v>
      </c>
    </row>
    <row r="66" spans="1:11" x14ac:dyDescent="0.25">
      <c r="A66" s="1">
        <v>39171</v>
      </c>
      <c r="B66">
        <f>'Adjusted close'!B62/'Adjusted close'!B63</f>
        <v>1.0188630154806815</v>
      </c>
      <c r="C66">
        <f>'Adjusted close'!C62/'Adjusted close'!C63</f>
        <v>0.99749103942652317</v>
      </c>
      <c r="D66">
        <f>'Adjusted close'!D62/'Adjusted close'!D63</f>
        <v>0.96322241681260956</v>
      </c>
      <c r="E66">
        <f>'Adjusted close'!E62/'Adjusted close'!E63</f>
        <v>1.0089912896881144</v>
      </c>
      <c r="F66">
        <f>'Adjusted close'!F62/'Adjusted close'!F63</f>
        <v>1.0716577540106951</v>
      </c>
      <c r="G66">
        <f>'Adjusted close'!G62/'Adjusted close'!G63</f>
        <v>1.0422535211267605</v>
      </c>
      <c r="H66">
        <f>'Adjusted close'!H62/'Adjusted close'!H63</f>
        <v>1.0128830083565461</v>
      </c>
      <c r="I66">
        <f>'Adjusted close'!I62/'Adjusted close'!I63</f>
        <v>0.99260719566288824</v>
      </c>
      <c r="J66">
        <f>'Adjusted close'!J62/'Adjusted close'!J63</f>
        <v>1.1002879891580553</v>
      </c>
      <c r="K66">
        <f>'Adjusted close'!K62/'Adjusted close'!K63</f>
        <v>0.9733475479744137</v>
      </c>
    </row>
    <row r="67" spans="1:11" x14ac:dyDescent="0.25">
      <c r="A67" s="1">
        <v>39141</v>
      </c>
      <c r="B67">
        <f>'Adjusted close'!B63/'Adjusted close'!B64</f>
        <v>0.97811426390125977</v>
      </c>
      <c r="C67">
        <f>'Adjusted close'!C63/'Adjusted close'!C64</f>
        <v>1.0041991601679665</v>
      </c>
      <c r="D67">
        <f>'Adjusted close'!D63/'Adjusted close'!D64</f>
        <v>0.95219566425792113</v>
      </c>
      <c r="E67">
        <f>'Adjusted close'!E63/'Adjusted close'!E64</f>
        <v>0.98669254227890224</v>
      </c>
      <c r="F67">
        <f>'Adjusted close'!F63/'Adjusted close'!F64</f>
        <v>0.97803347280334729</v>
      </c>
      <c r="G67">
        <f>'Adjusted close'!G63/'Adjusted close'!G64</f>
        <v>1.1066447908121411</v>
      </c>
      <c r="H67">
        <f>'Adjusted close'!H63/'Adjusted close'!H64</f>
        <v>0.97620666213460217</v>
      </c>
      <c r="I67">
        <f>'Adjusted close'!I63/'Adjusted close'!I64</f>
        <v>1.020880503144654</v>
      </c>
      <c r="J67">
        <f>'Adjusted close'!J63/'Adjusted close'!J64</f>
        <v>0.99193412871786257</v>
      </c>
      <c r="K67">
        <f>'Adjusted close'!K63/'Adjusted close'!K64</f>
        <v>0.97168508287292821</v>
      </c>
    </row>
    <row r="68" spans="1:11" x14ac:dyDescent="0.25">
      <c r="A68" s="1">
        <v>39113</v>
      </c>
      <c r="B68">
        <f>'Adjusted close'!B64/'Adjusted close'!B65</f>
        <v>1.008081067213956</v>
      </c>
      <c r="C68">
        <f>'Adjusted close'!C64/'Adjusted close'!C65</f>
        <v>1.0555977710233029</v>
      </c>
      <c r="D68">
        <f>'Adjusted close'!D64/'Adjusted close'!D65</f>
        <v>1.0350978135788262</v>
      </c>
      <c r="E68">
        <f>'Adjusted close'!E64/'Adjusted close'!E65</f>
        <v>1.0261735419630158</v>
      </c>
      <c r="F68">
        <f>'Adjusted close'!F64/'Adjusted close'!F65</f>
        <v>1.0634037819799778</v>
      </c>
      <c r="G68">
        <f>'Adjusted close'!G64/'Adjusted close'!G65</f>
        <v>0.96919101570264354</v>
      </c>
      <c r="H68">
        <f>'Adjusted close'!H64/'Adjusted close'!H65</f>
        <v>0.96871913072110638</v>
      </c>
      <c r="I68">
        <f>'Adjusted close'!I64/'Adjusted close'!I65</f>
        <v>1.0099085365853659</v>
      </c>
      <c r="J68">
        <f>'Adjusted close'!J64/'Adjusted close'!J65</f>
        <v>1.0052364864864864</v>
      </c>
      <c r="K68">
        <f>'Adjusted close'!K64/'Adjusted close'!K65</f>
        <v>1.0064291920069506</v>
      </c>
    </row>
    <row r="69" spans="1:11" x14ac:dyDescent="0.25">
      <c r="A69" s="1">
        <v>39080</v>
      </c>
      <c r="B69">
        <f>'Adjusted close'!B65/'Adjusted close'!B66</f>
        <v>1.0034753507529925</v>
      </c>
      <c r="C69">
        <f>'Adjusted close'!C65/'Adjusted close'!C66</f>
        <v>1.0179192986979502</v>
      </c>
      <c r="D69">
        <f>'Adjusted close'!D65/'Adjusted close'!D66</f>
        <v>0.94662309368191722</v>
      </c>
      <c r="E69">
        <f>'Adjusted close'!E65/'Adjusted close'!E66</f>
        <v>0.98791455874086564</v>
      </c>
      <c r="F69">
        <f>'Adjusted close'!F65/'Adjusted close'!F66</f>
        <v>1.0543393275996873</v>
      </c>
      <c r="G69">
        <f>'Adjusted close'!G65/'Adjusted close'!G66</f>
        <v>1.0192463533225284</v>
      </c>
      <c r="H69">
        <f>'Adjusted close'!H65/'Adjusted close'!H66</f>
        <v>1.062631210636809</v>
      </c>
      <c r="I69">
        <f>'Adjusted close'!I65/'Adjusted close'!I66</f>
        <v>1.0524064171122995</v>
      </c>
      <c r="J69">
        <f>'Adjusted close'!J65/'Adjusted close'!J66</f>
        <v>0.92398938660839725</v>
      </c>
      <c r="K69">
        <f>'Adjusted close'!K65/'Adjusted close'!K66</f>
        <v>1.012847588877156</v>
      </c>
    </row>
    <row r="70" spans="1:11" x14ac:dyDescent="0.25">
      <c r="A70" s="1">
        <v>39051</v>
      </c>
      <c r="B70">
        <f>'Adjusted close'!B66/'Adjusted close'!B67</f>
        <v>1.1125590720320779</v>
      </c>
      <c r="C70">
        <f>'Adjusted close'!C66/'Adjusted close'!C67</f>
        <v>1.0445731214651224</v>
      </c>
      <c r="D70">
        <f>'Adjusted close'!D66/'Adjusted close'!D67</f>
        <v>1.0076838638858399</v>
      </c>
      <c r="E70">
        <f>'Adjusted close'!E66/'Adjusted close'!E67</f>
        <v>0.97989534563481129</v>
      </c>
      <c r="F70">
        <f>'Adjusted close'!F66/'Adjusted close'!F67</f>
        <v>0.99032133178474646</v>
      </c>
      <c r="G70">
        <f>'Adjusted close'!G66/'Adjusted close'!G67</f>
        <v>0.9862137862137863</v>
      </c>
      <c r="H70">
        <f>'Adjusted close'!H66/'Adjusted close'!H67</f>
        <v>1.0049226441631505</v>
      </c>
      <c r="I70">
        <f>'Adjusted close'!I66/'Adjusted close'!I67</f>
        <v>1.0257816785518377</v>
      </c>
      <c r="J70">
        <f>'Adjusted close'!J66/'Adjusted close'!J67</f>
        <v>1.0855642155201626</v>
      </c>
      <c r="K70">
        <f>'Adjusted close'!K66/'Adjusted close'!K67</f>
        <v>1.0684467845054533</v>
      </c>
    </row>
    <row r="71" spans="1:11" x14ac:dyDescent="0.25">
      <c r="A71" s="1">
        <v>39021</v>
      </c>
      <c r="B71">
        <f>'Adjusted close'!B67/'Adjusted close'!B68</f>
        <v>1.0127628716461203</v>
      </c>
      <c r="C71">
        <f>'Adjusted close'!C67/'Adjusted close'!C68</f>
        <v>1.0102026935110868</v>
      </c>
      <c r="D71">
        <f>'Adjusted close'!D67/'Adjusted close'!D68</f>
        <v>1.0369948776323277</v>
      </c>
      <c r="E71">
        <f>'Adjusted close'!E67/'Adjusted close'!E68</f>
        <v>1.0842042400716632</v>
      </c>
      <c r="F71">
        <f>'Adjusted close'!F67/'Adjusted close'!F68</f>
        <v>1.0625257095845331</v>
      </c>
      <c r="G71">
        <f>'Adjusted close'!G67/'Adjusted close'!G68</f>
        <v>1.0239361702127658</v>
      </c>
      <c r="H71">
        <f>'Adjusted close'!H67/'Adjusted close'!H68</f>
        <v>0.9944055944055944</v>
      </c>
      <c r="I71">
        <f>'Adjusted close'!I67/'Adjusted close'!I68</f>
        <v>1.0299435028248589</v>
      </c>
      <c r="J71">
        <f>'Adjusted close'!J67/'Adjusted close'!J68</f>
        <v>1.0168849069607169</v>
      </c>
      <c r="K71">
        <f>'Adjusted close'!K67/'Adjusted close'!K68</f>
        <v>1.0495362147227156</v>
      </c>
    </row>
    <row r="72" spans="1:11" x14ac:dyDescent="0.25">
      <c r="A72" s="1">
        <v>38989</v>
      </c>
      <c r="B72">
        <f>'Adjusted close'!B68/'Adjusted close'!B69</f>
        <v>1.0526717557251908</v>
      </c>
      <c r="C72">
        <f>'Adjusted close'!C68/'Adjusted close'!C69</f>
        <v>1.0418083900226758</v>
      </c>
      <c r="D72">
        <f>'Adjusted close'!D68/'Adjusted close'!D69</f>
        <v>1.0514661879114302</v>
      </c>
      <c r="E72">
        <f>'Adjusted close'!E68/'Adjusted close'!E69</f>
        <v>1.0333230484418392</v>
      </c>
      <c r="F72">
        <f>'Adjusted close'!F68/'Adjusted close'!F69</f>
        <v>1.0460413080895008</v>
      </c>
      <c r="G72">
        <f>'Adjusted close'!G68/'Adjusted close'!G69</f>
        <v>0.99268887083671808</v>
      </c>
      <c r="H72">
        <f>'Adjusted close'!H68/'Adjusted close'!H69</f>
        <v>1.0437956204379564</v>
      </c>
      <c r="I72">
        <f>'Adjusted close'!I68/'Adjusted close'!I69</f>
        <v>1.0564010743061774</v>
      </c>
      <c r="J72">
        <f>'Adjusted close'!J68/'Adjusted close'!J69</f>
        <v>1.0139762403913346</v>
      </c>
      <c r="K72">
        <f>'Adjusted close'!K68/'Adjusted close'!K69</f>
        <v>0.97743055555555547</v>
      </c>
    </row>
    <row r="73" spans="1:11" x14ac:dyDescent="0.25">
      <c r="A73" s="1">
        <v>38960</v>
      </c>
      <c r="B73">
        <f>'Adjusted close'!B69/'Adjusted close'!B70</f>
        <v>0.97123368920521946</v>
      </c>
      <c r="C73">
        <f>'Adjusted close'!C69/'Adjusted close'!C70</f>
        <v>1.0404010616337365</v>
      </c>
      <c r="D73">
        <f>'Adjusted close'!D69/'Adjusted close'!D70</f>
        <v>1.0935863874345551</v>
      </c>
      <c r="E73">
        <f>'Adjusted close'!E69/'Adjusted close'!E70</f>
        <v>1.0163060520539353</v>
      </c>
      <c r="F73">
        <f>'Adjusted close'!F69/'Adjusted close'!F70</f>
        <v>1.0379633765073693</v>
      </c>
      <c r="G73">
        <f>'Adjusted close'!G69/'Adjusted close'!G70</f>
        <v>1.0605212147318543</v>
      </c>
      <c r="H73">
        <f>'Adjusted close'!H69/'Adjusted close'!H70</f>
        <v>1.0422213769494104</v>
      </c>
      <c r="I73">
        <f>'Adjusted close'!I69/'Adjusted close'!I70</f>
        <v>1.0063063063063062</v>
      </c>
      <c r="J73">
        <f>'Adjusted close'!J69/'Adjusted close'!J70</f>
        <v>0.91701377763537328</v>
      </c>
      <c r="K73">
        <f>'Adjusted close'!K69/'Adjusted close'!K70</f>
        <v>1.0564499694314247</v>
      </c>
    </row>
    <row r="74" spans="1:11" x14ac:dyDescent="0.25">
      <c r="A74" s="1">
        <v>38929</v>
      </c>
      <c r="B74">
        <f>'Adjusted close'!B70/'Adjusted close'!B71</f>
        <v>0.94519971969166083</v>
      </c>
      <c r="C74">
        <f>'Adjusted close'!C70/'Adjusted close'!C71</f>
        <v>1.1107107762856205</v>
      </c>
      <c r="D74">
        <f>'Adjusted close'!D70/'Adjusted close'!D71</f>
        <v>0.94730316181029139</v>
      </c>
      <c r="E74">
        <f>'Adjusted close'!E70/'Adjusted close'!E71</f>
        <v>1.105372616984402</v>
      </c>
      <c r="F74">
        <f>'Adjusted close'!F70/'Adjusted close'!F71</f>
        <v>1.0884783665532329</v>
      </c>
      <c r="G74">
        <f>'Adjusted close'!G70/'Adjusted close'!G71</f>
        <v>1.0188720649550143</v>
      </c>
      <c r="H74">
        <f>'Adjusted close'!H70/'Adjusted close'!H71</f>
        <v>0.99170124481327793</v>
      </c>
      <c r="I74">
        <f>'Adjusted close'!I70/'Adjusted close'!I71</f>
        <v>0.96048456879146227</v>
      </c>
      <c r="J74">
        <f>'Adjusted close'!J70/'Adjusted close'!J71</f>
        <v>1.0266447368421054</v>
      </c>
      <c r="K74">
        <f>'Adjusted close'!K70/'Adjusted close'!K71</f>
        <v>1.0098785758386499</v>
      </c>
    </row>
    <row r="75" spans="1:11" x14ac:dyDescent="0.25">
      <c r="A75" s="1">
        <v>38898</v>
      </c>
      <c r="B75">
        <f>'Adjusted close'!B71/'Adjusted close'!B72</f>
        <v>0.98386651958080529</v>
      </c>
      <c r="C75">
        <f>'Adjusted close'!C71/'Adjusted close'!C72</f>
        <v>0.98962722852512153</v>
      </c>
      <c r="D75">
        <f>'Adjusted close'!D71/'Adjusted close'!D72</f>
        <v>1.0542483660130717</v>
      </c>
      <c r="E75">
        <f>'Adjusted close'!E71/'Adjusted close'!E72</f>
        <v>1.0940462646947289</v>
      </c>
      <c r="F75">
        <f>'Adjusted close'!F71/'Adjusted close'!F72</f>
        <v>1.0702393340270553</v>
      </c>
      <c r="G75">
        <f>'Adjusted close'!G71/'Adjusted close'!G72</f>
        <v>1.0037444933920705</v>
      </c>
      <c r="H75">
        <f>'Adjusted close'!H71/'Adjusted close'!H72</f>
        <v>0.96928702010968926</v>
      </c>
      <c r="I75">
        <f>'Adjusted close'!I71/'Adjusted close'!I72</f>
        <v>0.97854925204628851</v>
      </c>
      <c r="J75">
        <f>'Adjusted close'!J71/'Adjusted close'!J72</f>
        <v>0.99492718049419082</v>
      </c>
      <c r="K75">
        <f>'Adjusted close'!K71/'Adjusted close'!K72</f>
        <v>0.98420093173992318</v>
      </c>
    </row>
    <row r="76" spans="1:11" x14ac:dyDescent="0.25">
      <c r="A76" s="1">
        <v>38868</v>
      </c>
      <c r="B76">
        <f>'Adjusted close'!B72/'Adjusted close'!B73</f>
        <v>1.0011043622308118</v>
      </c>
      <c r="C76">
        <f>'Adjusted close'!C72/'Adjusted close'!C73</f>
        <v>0.95911705269703096</v>
      </c>
      <c r="D76">
        <f>'Adjusted close'!D72/'Adjusted close'!D73</f>
        <v>0.9063981042654029</v>
      </c>
      <c r="E76">
        <f>'Adjusted close'!E72/'Adjusted close'!E73</f>
        <v>0.97847866419294993</v>
      </c>
      <c r="F76">
        <f>'Adjusted close'!F72/'Adjusted close'!F73</f>
        <v>0.99379524301964839</v>
      </c>
      <c r="G76">
        <f>'Adjusted close'!G72/'Adjusted close'!G73</f>
        <v>1.0560595487322633</v>
      </c>
      <c r="H76">
        <f>'Adjusted close'!H72/'Adjusted close'!H73</f>
        <v>0.99022447501810285</v>
      </c>
      <c r="I76">
        <f>'Adjusted close'!I72/'Adjusted close'!I73</f>
        <v>0.97415452295848237</v>
      </c>
      <c r="J76">
        <f>'Adjusted close'!J72/'Adjusted close'!J73</f>
        <v>0.9483240223463687</v>
      </c>
      <c r="K76">
        <f>'Adjusted close'!K72/'Adjusted close'!K73</f>
        <v>0.95033686236766113</v>
      </c>
    </row>
    <row r="77" spans="1:11" x14ac:dyDescent="0.25">
      <c r="A77" s="1">
        <v>38835</v>
      </c>
      <c r="B77">
        <f>'Adjusted close'!B73/'Adjusted close'!B74</f>
        <v>1.0708056171470803</v>
      </c>
      <c r="C77">
        <f>'Adjusted close'!C73/'Adjusted close'!C74</f>
        <v>1.0102072864321607</v>
      </c>
      <c r="D77">
        <f>'Adjusted close'!D73/'Adjusted close'!D74</f>
        <v>1.0267639902676398</v>
      </c>
      <c r="E77">
        <f>'Adjusted close'!E73/'Adjusted close'!E74</f>
        <v>0.97715736040609136</v>
      </c>
      <c r="F77">
        <f>'Adjusted close'!F73/'Adjusted close'!F74</f>
        <v>0.98172588832487317</v>
      </c>
      <c r="G77">
        <f>'Adjusted close'!G73/'Adjusted close'!G74</f>
        <v>1.0208976490144859</v>
      </c>
      <c r="H77">
        <f>'Adjusted close'!H73/'Adjusted close'!H74</f>
        <v>0.99459848757652147</v>
      </c>
      <c r="I77">
        <f>'Adjusted close'!I73/'Adjusted close'!I74</f>
        <v>0.99344441409450968</v>
      </c>
      <c r="J77">
        <f>'Adjusted close'!J73/'Adjusted close'!J74</f>
        <v>1.0925737538148526</v>
      </c>
      <c r="K77">
        <f>'Adjusted close'!K73/'Adjusted close'!K74</f>
        <v>1.0687101419461016</v>
      </c>
    </row>
    <row r="78" spans="1:11" x14ac:dyDescent="0.25">
      <c r="A78" s="1">
        <v>38807</v>
      </c>
      <c r="B78">
        <f>'Adjusted close'!B74/'Adjusted close'!B75</f>
        <v>1.0721077654516642</v>
      </c>
      <c r="C78">
        <f>'Adjusted close'!C74/'Adjusted close'!C75</f>
        <v>1.0309211591387404</v>
      </c>
      <c r="D78">
        <f>'Adjusted close'!D74/'Adjusted close'!D75</f>
        <v>0.94482758620689666</v>
      </c>
      <c r="E78">
        <f>'Adjusted close'!E74/'Adjusted close'!E75</f>
        <v>1.0218599481289365</v>
      </c>
      <c r="F78">
        <f>'Adjusted close'!F74/'Adjusted close'!F75</f>
        <v>0.98009950248756206</v>
      </c>
      <c r="G78">
        <f>'Adjusted close'!G74/'Adjusted close'!G75</f>
        <v>0.9263088429388473</v>
      </c>
      <c r="H78">
        <f>'Adjusted close'!H74/'Adjusted close'!H75</f>
        <v>1.0583079268292683</v>
      </c>
      <c r="I78">
        <f>'Adjusted close'!I74/'Adjusted close'!I75</f>
        <v>1.0445078459343795</v>
      </c>
      <c r="J78">
        <f>'Adjusted close'!J74/'Adjusted close'!J75</f>
        <v>1.1005784661317408</v>
      </c>
      <c r="K78">
        <f>'Adjusted close'!K74/'Adjusted close'!K75</f>
        <v>0.97453889334402555</v>
      </c>
    </row>
    <row r="79" spans="1:11" x14ac:dyDescent="0.25">
      <c r="A79" s="1">
        <v>38776</v>
      </c>
      <c r="B79">
        <f>'Adjusted close'!B75/'Adjusted close'!B76</f>
        <v>1.0685859441151566</v>
      </c>
      <c r="C79">
        <f>'Adjusted close'!C75/'Adjusted close'!C76</f>
        <v>1.0815969182279812</v>
      </c>
      <c r="D79">
        <f>'Adjusted close'!D75/'Adjusted close'!D76</f>
        <v>0.97315436241610731</v>
      </c>
      <c r="E79">
        <f>'Adjusted close'!E75/'Adjusted close'!E76</f>
        <v>1.0101047904191616</v>
      </c>
      <c r="F79">
        <f>'Adjusted close'!F75/'Adjusted close'!F76</f>
        <v>1.0629296668429402</v>
      </c>
      <c r="G79">
        <f>'Adjusted close'!G75/'Adjusted close'!G76</f>
        <v>1.0015421899096717</v>
      </c>
      <c r="H79">
        <f>'Adjusted close'!H75/'Adjusted close'!H76</f>
        <v>1.0111753371868979</v>
      </c>
      <c r="I79">
        <f>'Adjusted close'!I75/'Adjusted close'!I76</f>
        <v>1.0718654434250763</v>
      </c>
      <c r="J79">
        <f>'Adjusted close'!J75/'Adjusted close'!J76</f>
        <v>0.90431994600067511</v>
      </c>
      <c r="K79">
        <f>'Adjusted close'!K75/'Adjusted close'!K76</f>
        <v>1.0109444669639238</v>
      </c>
    </row>
    <row r="80" spans="1:11" x14ac:dyDescent="0.25">
      <c r="A80" s="1">
        <v>38748</v>
      </c>
      <c r="B80">
        <f>'Adjusted close'!B76/'Adjusted close'!B77</f>
        <v>0.97249670619235828</v>
      </c>
      <c r="C80">
        <f>'Adjusted close'!C76/'Adjusted close'!C77</f>
        <v>1.0631049888309754</v>
      </c>
      <c r="D80">
        <f>'Adjusted close'!D76/'Adjusted close'!D77</f>
        <v>0.85183420676512622</v>
      </c>
      <c r="E80">
        <f>'Adjusted close'!E76/'Adjusted close'!E77</f>
        <v>1.0848558668290702</v>
      </c>
      <c r="F80">
        <f>'Adjusted close'!F76/'Adjusted close'!F77</f>
        <v>1.0738216922203294</v>
      </c>
      <c r="G80">
        <f>'Adjusted close'!G76/'Adjusted close'!G77</f>
        <v>1.0807142857142857</v>
      </c>
      <c r="H80">
        <f>'Adjusted close'!H76/'Adjusted close'!H77</f>
        <v>0.93412526997840162</v>
      </c>
      <c r="I80">
        <f>'Adjusted close'!I76/'Adjusted close'!I77</f>
        <v>1.0312204351939451</v>
      </c>
      <c r="J80">
        <f>'Adjusted close'!J76/'Adjusted close'!J77</f>
        <v>1.3119326986938233</v>
      </c>
      <c r="K80">
        <f>'Adjusted close'!K76/'Adjusted close'!K77</f>
        <v>1.0808324205914568</v>
      </c>
    </row>
    <row r="81" spans="1:11" x14ac:dyDescent="0.25">
      <c r="A81" s="1">
        <v>38716</v>
      </c>
      <c r="B81">
        <f>'Adjusted close'!B77/'Adjusted close'!B78</f>
        <v>1.0300254452926207</v>
      </c>
      <c r="C81">
        <f>'Adjusted close'!C77/'Adjusted close'!C78</f>
        <v>1.0500390930414387</v>
      </c>
      <c r="D81">
        <f>'Adjusted close'!D77/'Adjusted close'!D78</f>
        <v>0.93580026749888534</v>
      </c>
      <c r="E81">
        <f>'Adjusted close'!E77/'Adjusted close'!E78</f>
        <v>1.0816864295125164</v>
      </c>
      <c r="F81">
        <f>'Adjusted close'!F77/'Adjusted close'!F78</f>
        <v>0.98324958123953099</v>
      </c>
      <c r="G81">
        <f>'Adjusted close'!G77/'Adjusted close'!G78</f>
        <v>1.0209042294603792</v>
      </c>
      <c r="H81">
        <f>'Adjusted close'!H77/'Adjusted close'!H78</f>
        <v>0.98826040554962657</v>
      </c>
      <c r="I81">
        <f>'Adjusted close'!I77/'Adjusted close'!I78</f>
        <v>1.0196141479099678</v>
      </c>
      <c r="J81">
        <f>'Adjusted close'!J77/'Adjusted close'!J78</f>
        <v>1.0168842863574967</v>
      </c>
      <c r="K81">
        <f>'Adjusted close'!K77/'Adjusted close'!K78</f>
        <v>0.94631011608623539</v>
      </c>
    </row>
    <row r="82" spans="1:11" x14ac:dyDescent="0.25">
      <c r="A82" s="1">
        <v>38686</v>
      </c>
      <c r="B82">
        <f>'Adjusted close'!B78/'Adjusted close'!B79</f>
        <v>1.0589186276270883</v>
      </c>
      <c r="C82">
        <f>'Adjusted close'!C78/'Adjusted close'!C79</f>
        <v>1.0057008059760173</v>
      </c>
      <c r="D82">
        <f>'Adjusted close'!D78/'Adjusted close'!D79</f>
        <v>1.1391569324530217</v>
      </c>
      <c r="E82">
        <f>'Adjusted close'!E78/'Adjusted close'!E79</f>
        <v>1.0551436515291939</v>
      </c>
      <c r="F82">
        <f>'Adjusted close'!F78/'Adjusted close'!F79</f>
        <v>1.0443148688046648</v>
      </c>
      <c r="G82">
        <f>'Adjusted close'!G78/'Adjusted close'!G79</f>
        <v>1.0080862533692723</v>
      </c>
      <c r="H82">
        <f>'Adjusted close'!H78/'Adjusted close'!H79</f>
        <v>1.0535982008995501</v>
      </c>
      <c r="I82">
        <f>'Adjusted close'!I78/'Adjusted close'!I79</f>
        <v>1.0742659758203801</v>
      </c>
      <c r="J82">
        <f>'Adjusted close'!J78/'Adjusted close'!J79</f>
        <v>1.0546058879392213</v>
      </c>
      <c r="K82">
        <f>'Adjusted close'!K78/'Adjusted close'!K79</f>
        <v>1.0378657487091223</v>
      </c>
    </row>
    <row r="83" spans="1:11" x14ac:dyDescent="0.25">
      <c r="A83" s="1">
        <v>38656</v>
      </c>
      <c r="B83">
        <f>'Adjusted close'!B79/'Adjusted close'!B80</f>
        <v>0.95129870129870131</v>
      </c>
      <c r="C83">
        <f>'Adjusted close'!C79/'Adjusted close'!C80</f>
        <v>0.99219816656914361</v>
      </c>
      <c r="D83">
        <f>'Adjusted close'!D79/'Adjusted close'!D80</f>
        <v>0.95351089588377735</v>
      </c>
      <c r="E83">
        <f>'Adjusted close'!E79/'Adjusted close'!E80</f>
        <v>1.0374999999999999</v>
      </c>
      <c r="F83">
        <f>'Adjusted close'!F79/'Adjusted close'!F80</f>
        <v>1.0088235294117647</v>
      </c>
      <c r="G83">
        <f>'Adjusted close'!G79/'Adjusted close'!G80</f>
        <v>0.97352099236641221</v>
      </c>
      <c r="H83">
        <f>'Adjusted close'!H79/'Adjusted close'!H80</f>
        <v>1.0071725179312949</v>
      </c>
      <c r="I83">
        <f>'Adjusted close'!I79/'Adjusted close'!I80</f>
        <v>0.91209829867674863</v>
      </c>
      <c r="J83">
        <f>'Adjusted close'!J79/'Adjusted close'!J80</f>
        <v>1.0758620689655172</v>
      </c>
      <c r="K83">
        <f>'Adjusted close'!K79/'Adjusted close'!K80</f>
        <v>1.0811816701558501</v>
      </c>
    </row>
    <row r="84" spans="1:11" x14ac:dyDescent="0.25">
      <c r="A84" s="1">
        <v>38625</v>
      </c>
      <c r="B84">
        <f>'Adjusted close'!B80/'Adjusted close'!B81</f>
        <v>1.013860013860014</v>
      </c>
      <c r="C84">
        <f>'Adjusted close'!C80/'Adjusted close'!C81</f>
        <v>0.98068094873756695</v>
      </c>
      <c r="D84">
        <f>'Adjusted close'!D80/'Adjusted close'!D81</f>
        <v>0.95823665893271448</v>
      </c>
      <c r="E84">
        <f>'Adjusted close'!E80/'Adjusted close'!E81</f>
        <v>0.96385542168674709</v>
      </c>
      <c r="F84">
        <f>'Adjusted close'!F80/'Adjusted close'!F81</f>
        <v>0.99531615925058559</v>
      </c>
      <c r="G84">
        <f>'Adjusted close'!G80/'Adjusted close'!G81</f>
        <v>0.99171989590726284</v>
      </c>
      <c r="H84">
        <f>'Adjusted close'!H80/'Adjusted close'!H81</f>
        <v>1.0083745717548533</v>
      </c>
      <c r="I84">
        <f>'Adjusted close'!I80/'Adjusted close'!I81</f>
        <v>0.97962962962962963</v>
      </c>
      <c r="J84">
        <f>'Adjusted close'!J80/'Adjusted close'!J81</f>
        <v>0.98071142284569135</v>
      </c>
      <c r="K84">
        <f>'Adjusted close'!K80/'Adjusted close'!K81</f>
        <v>0.98759476223294285</v>
      </c>
    </row>
    <row r="85" spans="1:11" x14ac:dyDescent="0.25">
      <c r="A85" s="1">
        <v>38595</v>
      </c>
      <c r="B85">
        <f>'Adjusted close'!B81/'Adjusted close'!B82</f>
        <v>1.019247748543175</v>
      </c>
      <c r="C85">
        <f>'Adjusted close'!C81/'Adjusted close'!C82</f>
        <v>1.0013407393219689</v>
      </c>
      <c r="D85">
        <f>'Adjusted close'!D81/'Adjusted close'!D82</f>
        <v>0.95017636684303353</v>
      </c>
      <c r="E85">
        <f>'Adjusted close'!E81/'Adjusted close'!E82</f>
        <v>0.92104139991463929</v>
      </c>
      <c r="F85">
        <f>'Adjusted close'!F81/'Adjusted close'!F82</f>
        <v>0.98500576701268738</v>
      </c>
      <c r="G85">
        <f>'Adjusted close'!G81/'Adjusted close'!G82</f>
        <v>1.0148859543817528</v>
      </c>
      <c r="H85">
        <f>'Adjusted close'!H81/'Adjusted close'!H82</f>
        <v>0.97404523544679278</v>
      </c>
      <c r="I85">
        <f>'Adjusted close'!I81/'Adjusted close'!I82</f>
        <v>0.97973994557000299</v>
      </c>
      <c r="J85">
        <f>'Adjusted close'!J81/'Adjusted close'!J82</f>
        <v>1.0299277605779156</v>
      </c>
      <c r="K85">
        <f>'Adjusted close'!K81/'Adjusted close'!K82</f>
        <v>0.9428200129954516</v>
      </c>
    </row>
    <row r="86" spans="1:11" x14ac:dyDescent="0.25">
      <c r="A86" s="1">
        <v>38562</v>
      </c>
      <c r="B86">
        <f>'Adjusted close'!B82/'Adjusted close'!B83</f>
        <v>1</v>
      </c>
      <c r="C86">
        <f>'Adjusted close'!C82/'Adjusted close'!C83</f>
        <v>0.96204164363368339</v>
      </c>
      <c r="D86">
        <f>'Adjusted close'!D82/'Adjusted close'!D83</f>
        <v>1.0432382704691814</v>
      </c>
      <c r="E86">
        <f>'Adjusted close'!E82/'Adjusted close'!E83</f>
        <v>1.0086095566078346</v>
      </c>
      <c r="F86">
        <f>'Adjusted close'!F82/'Adjusted close'!F83</f>
        <v>1.0433212996389891</v>
      </c>
      <c r="G86">
        <f>'Adjusted close'!G82/'Adjusted close'!G83</f>
        <v>1.0425531914893615</v>
      </c>
      <c r="H86">
        <f>'Adjusted close'!H82/'Adjusted close'!H83</f>
        <v>0.99557032115171651</v>
      </c>
      <c r="I86">
        <f>'Adjusted close'!I82/'Adjusted close'!I83</f>
        <v>1.0723086900129701</v>
      </c>
      <c r="J86">
        <f>'Adjusted close'!J82/'Adjusted close'!J83</f>
        <v>1.1027027027027028</v>
      </c>
      <c r="K86">
        <f>'Adjusted close'!K82/'Adjusted close'!K83</f>
        <v>1.0702364394993047</v>
      </c>
    </row>
    <row r="87" spans="1:11" x14ac:dyDescent="0.25">
      <c r="A87" s="1">
        <v>38533</v>
      </c>
      <c r="B87">
        <f>'Adjusted close'!B83/'Adjusted close'!B84</f>
        <v>1.0330171470266327</v>
      </c>
      <c r="C87">
        <f>'Adjusted close'!C83/'Adjusted close'!C84</f>
        <v>0.99963160803094497</v>
      </c>
      <c r="D87">
        <f>'Adjusted close'!D83/'Adjusted close'!D84</f>
        <v>0.96536412078152745</v>
      </c>
      <c r="E87">
        <f>'Adjusted close'!E83/'Adjusted close'!E84</f>
        <v>0.96071133167907363</v>
      </c>
      <c r="F87">
        <f>'Adjusted close'!F83/'Adjusted close'!F84</f>
        <v>1.0158924205378974</v>
      </c>
      <c r="G87">
        <f>'Adjusted close'!G83/'Adjusted close'!G84</f>
        <v>1.0957213384530993</v>
      </c>
      <c r="H87">
        <f>'Adjusted close'!H83/'Adjusted close'!H84</f>
        <v>0.95589273112208895</v>
      </c>
      <c r="I87">
        <f>'Adjusted close'!I83/'Adjusted close'!I84</f>
        <v>1.0111475409836066</v>
      </c>
      <c r="J87">
        <f>'Adjusted close'!J83/'Adjusted close'!J84</f>
        <v>1.1141045958795561</v>
      </c>
      <c r="K87">
        <f>'Adjusted close'!K83/'Adjusted close'!K84</f>
        <v>1.0095951322256027</v>
      </c>
    </row>
    <row r="88" spans="1:11" x14ac:dyDescent="0.25">
      <c r="A88" s="1">
        <v>38503</v>
      </c>
      <c r="B88">
        <f>'Adjusted close'!B84/'Adjusted close'!B85</f>
        <v>1.0778607943373968</v>
      </c>
      <c r="C88">
        <f>'Adjusted close'!C84/'Adjusted close'!C85</f>
        <v>1.0687007874015748</v>
      </c>
      <c r="D88">
        <f>'Adjusted close'!D84/'Adjusted close'!D85</f>
        <v>1.1501532175689479</v>
      </c>
      <c r="E88">
        <f>'Adjusted close'!E84/'Adjusted close'!E85</f>
        <v>0.95686584883260783</v>
      </c>
      <c r="F88">
        <f>'Adjusted close'!F84/'Adjusted close'!F85</f>
        <v>0.98258258258258269</v>
      </c>
      <c r="G88">
        <f>'Adjusted close'!G84/'Adjusted close'!G85</f>
        <v>0.95420047108086892</v>
      </c>
      <c r="H88">
        <f>'Adjusted close'!H84/'Adjusted close'!H85</f>
        <v>1.007823613086771</v>
      </c>
      <c r="I88">
        <f>'Adjusted close'!I84/'Adjusted close'!I85</f>
        <v>1.0190444370197127</v>
      </c>
      <c r="J88">
        <f>'Adjusted close'!J84/'Adjusted close'!J85</f>
        <v>0.99936648717136523</v>
      </c>
      <c r="K88">
        <f>'Adjusted close'!K84/'Adjusted close'!K85</f>
        <v>1.009211147850732</v>
      </c>
    </row>
    <row r="89" spans="1:11" x14ac:dyDescent="0.25">
      <c r="A89" s="1">
        <v>38471</v>
      </c>
      <c r="B89">
        <f>'Adjusted close'!B85/'Adjusted close'!B86</f>
        <v>1.0182182182182182</v>
      </c>
      <c r="C89">
        <f>'Adjusted close'!C85/'Adjusted close'!C86</f>
        <v>0.99823147966201609</v>
      </c>
      <c r="D89">
        <f>'Adjusted close'!D85/'Adjusted close'!D86</f>
        <v>1.0124095139607032</v>
      </c>
      <c r="E89">
        <f>'Adjusted close'!E85/'Adjusted close'!E86</f>
        <v>1.0472440944881889</v>
      </c>
      <c r="F89">
        <f>'Adjusted close'!F85/'Adjusted close'!F86</f>
        <v>1.0183486238532109</v>
      </c>
      <c r="G89">
        <f>'Adjusted close'!G85/'Adjusted close'!G86</f>
        <v>1.0787690570299266</v>
      </c>
      <c r="H89">
        <f>'Adjusted close'!H85/'Adjusted close'!H86</f>
        <v>1.0039271688682614</v>
      </c>
      <c r="I89">
        <f>'Adjusted close'!I85/'Adjusted close'!I86</f>
        <v>0.96083467094703057</v>
      </c>
      <c r="J89">
        <f>'Adjusted close'!J85/'Adjusted close'!J86</f>
        <v>0.97048877958807256</v>
      </c>
      <c r="K89">
        <f>'Adjusted close'!K85/'Adjusted close'!K86</f>
        <v>0.84527849870233585</v>
      </c>
    </row>
    <row r="90" spans="1:11" x14ac:dyDescent="0.25">
      <c r="A90" s="1">
        <v>38442</v>
      </c>
      <c r="B90">
        <f>'Adjusted close'!B86/'Adjusted close'!B87</f>
        <v>1.0634447519693422</v>
      </c>
      <c r="C90">
        <f>'Adjusted close'!C86/'Adjusted close'!C87</f>
        <v>1.0309967585089141</v>
      </c>
      <c r="D90">
        <f>'Adjusted close'!D86/'Adjusted close'!D87</f>
        <v>0.96796796796796791</v>
      </c>
      <c r="E90">
        <f>'Adjusted close'!E86/'Adjusted close'!E87</f>
        <v>1.0334047109207707</v>
      </c>
      <c r="F90">
        <f>'Adjusted close'!F86/'Adjusted close'!F87</f>
        <v>0.98434677904876589</v>
      </c>
      <c r="G90">
        <f>'Adjusted close'!G86/'Adjusted close'!G87</f>
        <v>1.0117109397315054</v>
      </c>
      <c r="H90">
        <f>'Adjusted close'!H86/'Adjusted close'!H87</f>
        <v>1.0241316270566727</v>
      </c>
      <c r="I90">
        <f>'Adjusted close'!I86/'Adjusted close'!I87</f>
        <v>0.98017621145374445</v>
      </c>
      <c r="J90">
        <f>'Adjusted close'!J86/'Adjusted close'!J87</f>
        <v>0.934233199310741</v>
      </c>
      <c r="K90">
        <f>'Adjusted close'!K86/'Adjusted close'!K87</f>
        <v>1.020162932790224</v>
      </c>
    </row>
    <row r="91" spans="1:11" x14ac:dyDescent="0.25">
      <c r="A91" s="1">
        <v>38411</v>
      </c>
      <c r="B91">
        <f>'Adjusted close'!B87/'Adjusted close'!B88</f>
        <v>1.0915640250987682</v>
      </c>
      <c r="C91">
        <f>'Adjusted close'!C87/'Adjusted close'!C88</f>
        <v>1.0287619841600668</v>
      </c>
      <c r="D91">
        <f>'Adjusted close'!D87/'Adjusted close'!D88</f>
        <v>1.0724637681159421</v>
      </c>
      <c r="E91">
        <f>'Adjusted close'!E87/'Adjusted close'!E88</f>
        <v>1.1302032913843176</v>
      </c>
      <c r="F91">
        <f>'Adjusted close'!F87/'Adjusted close'!F88</f>
        <v>1.0128048780487806</v>
      </c>
      <c r="G91">
        <f>'Adjusted close'!G87/'Adjusted close'!G88</f>
        <v>1.034268833087149</v>
      </c>
      <c r="H91">
        <f>'Adjusted close'!H87/'Adjusted close'!H88</f>
        <v>0.98063822158479741</v>
      </c>
      <c r="I91">
        <f>'Adjusted close'!I87/'Adjusted close'!I88</f>
        <v>1.0607476635514019</v>
      </c>
      <c r="J91">
        <f>'Adjusted close'!J87/'Adjusted close'!J88</f>
        <v>1.1117496807151979</v>
      </c>
      <c r="K91">
        <f>'Adjusted close'!K87/'Adjusted close'!K88</f>
        <v>1.0165631469979297</v>
      </c>
    </row>
    <row r="92" spans="1:11" x14ac:dyDescent="0.25">
      <c r="A92" s="1">
        <v>38383</v>
      </c>
      <c r="B92">
        <f>'Adjusted close'!B88/'Adjusted close'!B89</f>
        <v>0.97728821258233023</v>
      </c>
      <c r="C92">
        <f>'Adjusted close'!C88/'Adjusted close'!C89</f>
        <v>1.0407809110629067</v>
      </c>
      <c r="D92">
        <f>'Adjusted close'!D88/'Adjusted close'!D89</f>
        <v>0.95981452859350846</v>
      </c>
      <c r="E92">
        <f>'Adjusted close'!E88/'Adjusted close'!E89</f>
        <v>0.87246621621621623</v>
      </c>
      <c r="F92">
        <f>'Adjusted close'!F88/'Adjusted close'!F89</f>
        <v>0.93394077448747148</v>
      </c>
      <c r="G92">
        <f>'Adjusted close'!G88/'Adjusted close'!G89</f>
        <v>1.0038552787663109</v>
      </c>
      <c r="H92">
        <f>'Adjusted close'!H88/'Adjusted close'!H89</f>
        <v>0.98970901348474094</v>
      </c>
      <c r="I92">
        <f>'Adjusted close'!I88/'Adjusted close'!I89</f>
        <v>1.016282225237449</v>
      </c>
      <c r="J92">
        <f>'Adjusted close'!J88/'Adjusted close'!J89</f>
        <v>1.0165530671859786</v>
      </c>
      <c r="K92">
        <f>'Adjusted close'!K88/'Adjusted close'!K89</f>
        <v>1.0020746887966805</v>
      </c>
    </row>
    <row r="93" spans="1:11" x14ac:dyDescent="0.25">
      <c r="A93" s="1">
        <v>38352</v>
      </c>
      <c r="B93">
        <f>'Adjusted close'!B89/'Adjusted close'!B90</f>
        <v>0.96641791044776115</v>
      </c>
      <c r="C93">
        <f>'Adjusted close'!C89/'Adjusted close'!C90</f>
        <v>0.9130520895226778</v>
      </c>
      <c r="D93">
        <f>'Adjusted close'!D89/'Adjusted close'!D90</f>
        <v>1.0452342487883683</v>
      </c>
      <c r="E93">
        <f>'Adjusted close'!E89/'Adjusted close'!E90</f>
        <v>1.1630648330058939</v>
      </c>
      <c r="F93">
        <f>'Adjusted close'!F89/'Adjusted close'!F90</f>
        <v>1.0233100233100232</v>
      </c>
      <c r="G93">
        <f>'Adjusted close'!G89/'Adjusted close'!G90</f>
        <v>1.0567220307113756</v>
      </c>
      <c r="H93">
        <f>'Adjusted close'!H89/'Adjusted close'!H90</f>
        <v>1.0383198231392778</v>
      </c>
      <c r="I93">
        <f>'Adjusted close'!I89/'Adjusted close'!I90</f>
        <v>1.0020394289598913</v>
      </c>
      <c r="J93">
        <f>'Adjusted close'!J89/'Adjusted close'!J90</f>
        <v>1.0229083665338645</v>
      </c>
      <c r="K93">
        <f>'Adjusted close'!K89/'Adjusted close'!K90</f>
        <v>1.022269353128314</v>
      </c>
    </row>
    <row r="94" spans="1:11" x14ac:dyDescent="0.25">
      <c r="A94" s="1">
        <v>38321</v>
      </c>
      <c r="B94">
        <f>'Adjusted close'!B90/'Adjusted close'!B91</f>
        <v>1.0775780510879849</v>
      </c>
      <c r="C94">
        <f>'Adjusted close'!C90/'Adjusted close'!C91</f>
        <v>1.1089391609927521</v>
      </c>
      <c r="D94">
        <f>'Adjusted close'!D90/'Adjusted close'!D91</f>
        <v>1.00704989154013</v>
      </c>
      <c r="E94">
        <f>'Adjusted close'!E90/'Adjusted close'!E91</f>
        <v>0.89494505494505494</v>
      </c>
      <c r="F94">
        <f>'Adjusted close'!F90/'Adjusted close'!F91</f>
        <v>0.99651567944250874</v>
      </c>
      <c r="G94">
        <f>'Adjusted close'!G90/'Adjusted close'!G91</f>
        <v>1.0629580279813458</v>
      </c>
      <c r="H94">
        <f>'Adjusted close'!H90/'Adjusted close'!H91</f>
        <v>1.0362733867888507</v>
      </c>
      <c r="I94">
        <f>'Adjusted close'!I90/'Adjusted close'!I91</f>
        <v>1.0544802867383514</v>
      </c>
      <c r="J94">
        <f>'Adjusted close'!J90/'Adjusted close'!J91</f>
        <v>1.0429362880886428</v>
      </c>
      <c r="K94">
        <f>'Adjusted close'!K90/'Adjusted close'!K91</f>
        <v>0.97056401811445037</v>
      </c>
    </row>
    <row r="95" spans="1:11" x14ac:dyDescent="0.25">
      <c r="A95" s="1">
        <v>38289</v>
      </c>
      <c r="B95">
        <f>'Adjusted close'!B91/'Adjusted close'!B92</f>
        <v>0.96684198490738638</v>
      </c>
      <c r="C95">
        <f>'Adjusted close'!C91/'Adjusted close'!C92</f>
        <v>0.98763557483731024</v>
      </c>
      <c r="D95">
        <f>'Adjusted close'!D91/'Adjusted close'!D92</f>
        <v>1.1095066185318894</v>
      </c>
      <c r="E95">
        <f>'Adjusted close'!E91/'Adjusted close'!E92</f>
        <v>0.94870725604670558</v>
      </c>
      <c r="F95">
        <f>'Adjusted close'!F91/'Adjusted close'!F92</f>
        <v>0.98512585812356968</v>
      </c>
      <c r="G95">
        <f>'Adjusted close'!G91/'Adjusted close'!G92</f>
        <v>1.0798561151079136</v>
      </c>
      <c r="H95">
        <f>'Adjusted close'!H91/'Adjusted close'!H92</f>
        <v>1.0162980209545984</v>
      </c>
      <c r="I95">
        <f>'Adjusted close'!I91/'Adjusted close'!I92</f>
        <v>0.93939393939393934</v>
      </c>
      <c r="J95">
        <f>'Adjusted close'!J91/'Adjusted close'!J92</f>
        <v>0.93493039818711554</v>
      </c>
      <c r="K95">
        <f>'Adjusted close'!K91/'Adjusted close'!K92</f>
        <v>0.92480487340567286</v>
      </c>
    </row>
    <row r="96" spans="1:11" x14ac:dyDescent="0.25">
      <c r="A96" s="1">
        <v>38260</v>
      </c>
      <c r="B96">
        <f>'Adjusted close'!B92/'Adjusted close'!B93</f>
        <v>0.98847197106690765</v>
      </c>
      <c r="C96">
        <f>'Adjusted close'!C92/'Adjusted close'!C93</f>
        <v>1.0371203599550056</v>
      </c>
      <c r="D96">
        <f>'Adjusted close'!D92/'Adjusted close'!D93</f>
        <v>0.94271128757799216</v>
      </c>
      <c r="E96">
        <f>'Adjusted close'!E92/'Adjusted close'!E93</f>
        <v>0.74012345679012348</v>
      </c>
      <c r="F96">
        <f>'Adjusted close'!F92/'Adjusted close'!F93</f>
        <v>1.0057537399309553</v>
      </c>
      <c r="G96">
        <f>'Adjusted close'!G92/'Adjusted close'!G93</f>
        <v>0.99570200573065903</v>
      </c>
      <c r="H96">
        <f>'Adjusted close'!H92/'Adjusted close'!H93</f>
        <v>1.0299760191846523</v>
      </c>
      <c r="I96">
        <f>'Adjusted close'!I92/'Adjusted close'!I93</f>
        <v>0.99664429530201337</v>
      </c>
      <c r="J96">
        <f>'Adjusted close'!J92/'Adjusted close'!J93</f>
        <v>1.0892101551480959</v>
      </c>
      <c r="K96">
        <f>'Adjusted close'!K92/'Adjusted close'!K93</f>
        <v>1.0584323997582108</v>
      </c>
    </row>
    <row r="97" spans="1:11" x14ac:dyDescent="0.25">
      <c r="A97" s="1">
        <v>38230</v>
      </c>
      <c r="B97">
        <f>'Adjusted close'!B93/'Adjusted close'!B94</f>
        <v>1.0331620737972911</v>
      </c>
      <c r="C97">
        <f>'Adjusted close'!C93/'Adjusted close'!C94</f>
        <v>1.0192616372391654</v>
      </c>
      <c r="D97">
        <f>'Adjusted close'!D93/'Adjusted close'!D94</f>
        <v>0.87450396825396814</v>
      </c>
      <c r="E97">
        <f>'Adjusted close'!E93/'Adjusted close'!E94</f>
        <v>0.99143206854345167</v>
      </c>
      <c r="F97">
        <f>'Adjusted close'!F93/'Adjusted close'!F94</f>
        <v>1.0181605155243116</v>
      </c>
      <c r="G97">
        <f>'Adjusted close'!G93/'Adjusted close'!G94</f>
        <v>1.0648360030511062</v>
      </c>
      <c r="H97">
        <f>'Adjusted close'!H93/'Adjusted close'!H94</f>
        <v>0.98620417816318484</v>
      </c>
      <c r="I97">
        <f>'Adjusted close'!I93/'Adjusted close'!I94</f>
        <v>0.96191091026468689</v>
      </c>
      <c r="J97">
        <f>'Adjusted close'!J93/'Adjusted close'!J94</f>
        <v>0.96364254162419294</v>
      </c>
      <c r="K97">
        <f>'Adjusted close'!K93/'Adjusted close'!K94</f>
        <v>1.0322379367720467</v>
      </c>
    </row>
    <row r="98" spans="1:11" x14ac:dyDescent="0.25">
      <c r="A98" s="1">
        <v>38198</v>
      </c>
      <c r="B98">
        <f>'Adjusted close'!B94/'Adjusted close'!B95</f>
        <v>0.99327302250057992</v>
      </c>
      <c r="C98">
        <f>'Adjusted close'!C94/'Adjusted close'!C95</f>
        <v>1.0174988334111059</v>
      </c>
      <c r="D98">
        <f>'Adjusted close'!D94/'Adjusted close'!D95</f>
        <v>0.8834355828220859</v>
      </c>
      <c r="E98">
        <f>'Adjusted close'!E94/'Adjusted close'!E95</f>
        <v>0.95471808355243948</v>
      </c>
      <c r="F98">
        <f>'Adjusted close'!F94/'Adjusted close'!F95</f>
        <v>1.0582765034097954</v>
      </c>
      <c r="G98">
        <f>'Adjusted close'!G94/'Adjusted close'!G95</f>
        <v>1.0483806477409034</v>
      </c>
      <c r="H98">
        <f>'Adjusted close'!H94/'Adjusted close'!H95</f>
        <v>1.0262944983818771</v>
      </c>
      <c r="I98">
        <f>'Adjusted close'!I94/'Adjusted close'!I95</f>
        <v>1.0265076209410207</v>
      </c>
      <c r="J98">
        <f>'Adjusted close'!J94/'Adjusted close'!J95</f>
        <v>1.0127322780454233</v>
      </c>
      <c r="K98">
        <f>'Adjusted close'!K94/'Adjusted close'!K95</f>
        <v>0.94627041920881705</v>
      </c>
    </row>
    <row r="99" spans="1:11" x14ac:dyDescent="0.25">
      <c r="A99" s="1">
        <v>38168</v>
      </c>
      <c r="B99">
        <f>'Adjusted close'!B95/'Adjusted close'!B96</f>
        <v>1.1153945666235447</v>
      </c>
      <c r="C99">
        <f>'Adjusted close'!C95/'Adjusted close'!C96</f>
        <v>1.0512631837135147</v>
      </c>
      <c r="D99">
        <f>'Adjusted close'!D95/'Adjusted close'!D96</f>
        <v>0.96653960186361709</v>
      </c>
      <c r="E99">
        <f>'Adjusted close'!E95/'Adjusted close'!E96</f>
        <v>1.0121230041395624</v>
      </c>
      <c r="F99">
        <f>'Adjusted close'!F95/'Adjusted close'!F96</f>
        <v>1.023477157360406</v>
      </c>
      <c r="G99">
        <f>'Adjusted close'!G95/'Adjusted close'!G96</f>
        <v>0.99960031974420471</v>
      </c>
      <c r="H99">
        <f>'Adjusted close'!H95/'Adjusted close'!H96</f>
        <v>1.047457627118644</v>
      </c>
      <c r="I99">
        <f>'Adjusted close'!I95/'Adjusted close'!I96</f>
        <v>1.0871757925072045</v>
      </c>
      <c r="J99">
        <f>'Adjusted close'!J95/'Adjusted close'!J96</f>
        <v>1.1108562691131498</v>
      </c>
      <c r="K99">
        <f>'Adjusted close'!K95/'Adjusted close'!K96</f>
        <v>1.0840622999786644</v>
      </c>
    </row>
    <row r="100" spans="1:11" x14ac:dyDescent="0.25">
      <c r="A100" s="1">
        <v>38135</v>
      </c>
      <c r="B100">
        <f>'Adjusted close'!B96/'Adjusted close'!B97</f>
        <v>1.0781032078103208</v>
      </c>
      <c r="C100">
        <f>'Adjusted close'!C96/'Adjusted close'!C97</f>
        <v>1.0432446264073696</v>
      </c>
      <c r="D100">
        <f>'Adjusted close'!D96/'Adjusted close'!D97</f>
        <v>1.1115819209039548</v>
      </c>
      <c r="E100">
        <f>'Adjusted close'!E96/'Adjusted close'!E97</f>
        <v>1.0062481404343946</v>
      </c>
      <c r="F100">
        <f>'Adjusted close'!F96/'Adjusted close'!F97</f>
        <v>0.95169082125603865</v>
      </c>
      <c r="G100">
        <f>'Adjusted close'!G96/'Adjusted close'!G97</f>
        <v>1.0036101083032491</v>
      </c>
      <c r="H100">
        <f>'Adjusted close'!H96/'Adjusted close'!H97</f>
        <v>1.0391897842360194</v>
      </c>
      <c r="I100">
        <f>'Adjusted close'!I96/'Adjusted close'!I97</f>
        <v>0.98022598870056499</v>
      </c>
      <c r="J100">
        <f>'Adjusted close'!J96/'Adjusted close'!J97</f>
        <v>0.98014237542150617</v>
      </c>
      <c r="K100">
        <f>'Adjusted close'!K96/'Adjusted close'!K97</f>
        <v>0.92500493388592853</v>
      </c>
    </row>
    <row r="101" spans="1:11" x14ac:dyDescent="0.25">
      <c r="A101" s="1">
        <v>38107</v>
      </c>
      <c r="B101">
        <f>'Adjusted close'!B97/'Adjusted close'!B98</f>
        <v>1.0394317193389389</v>
      </c>
      <c r="C101">
        <f>'Adjusted close'!C97/'Adjusted close'!C98</f>
        <v>1.0451992511366675</v>
      </c>
      <c r="D101">
        <f>'Adjusted close'!D97/'Adjusted close'!D98</f>
        <v>0.9456812110418521</v>
      </c>
      <c r="E101">
        <f>'Adjusted close'!E97/'Adjusted close'!E98</f>
        <v>1.0636075949367088</v>
      </c>
      <c r="F101">
        <f>'Adjusted close'!F97/'Adjusted close'!F98</f>
        <v>1.0272952853598014</v>
      </c>
      <c r="G101">
        <f>'Adjusted close'!G97/'Adjusted close'!G98</f>
        <v>0.97192982456140353</v>
      </c>
      <c r="H101">
        <f>'Adjusted close'!H97/'Adjusted close'!H98</f>
        <v>0.98099352051835864</v>
      </c>
      <c r="I101">
        <f>'Adjusted close'!I97/'Adjusted close'!I98</f>
        <v>1.0212765957446808</v>
      </c>
      <c r="J101">
        <f>'Adjusted close'!J97/'Adjusted close'!J98</f>
        <v>0.91655219780219777</v>
      </c>
      <c r="K101">
        <f>'Adjusted close'!K97/'Adjusted close'!K98</f>
        <v>1.03239608801956</v>
      </c>
    </row>
    <row r="102" spans="1:11" x14ac:dyDescent="0.25">
      <c r="A102" s="1">
        <v>38077</v>
      </c>
      <c r="B102">
        <f>'Adjusted close'!B98/'Adjusted close'!B99</f>
        <v>0.94700713893465127</v>
      </c>
      <c r="C102">
        <f>'Adjusted close'!C98/'Adjusted close'!C99</f>
        <v>0.98602320675105481</v>
      </c>
      <c r="D102">
        <f>'Adjusted close'!D98/'Adjusted close'!D99</f>
        <v>0.93156366652841149</v>
      </c>
      <c r="E102">
        <f>'Adjusted close'!E98/'Adjusted close'!E99</f>
        <v>0.92641454119026689</v>
      </c>
      <c r="F102">
        <f>'Adjusted close'!F98/'Adjusted close'!F99</f>
        <v>1.0221940393151554</v>
      </c>
      <c r="G102">
        <f>'Adjusted close'!G98/'Adjusted close'!G99</f>
        <v>1.026</v>
      </c>
      <c r="H102">
        <f>'Adjusted close'!H98/'Adjusted close'!H99</f>
        <v>0.93876723438767229</v>
      </c>
      <c r="I102">
        <f>'Adjusted close'!I98/'Adjusted close'!I99</f>
        <v>0.96586555207244862</v>
      </c>
      <c r="J102">
        <f>'Adjusted close'!J98/'Adjusted close'!J99</f>
        <v>0.99013940836450187</v>
      </c>
      <c r="K102">
        <f>'Adjusted close'!K98/'Adjusted close'!K99</f>
        <v>0.98752515090543247</v>
      </c>
    </row>
    <row r="103" spans="1:11" x14ac:dyDescent="0.25">
      <c r="A103" s="1">
        <v>38044</v>
      </c>
      <c r="B103">
        <f>'Adjusted close'!B99/'Adjusted close'!B100</f>
        <v>1.0426567420555397</v>
      </c>
      <c r="C103">
        <f>'Adjusted close'!C99/'Adjusted close'!C100</f>
        <v>0.95636822194199256</v>
      </c>
      <c r="D103">
        <f>'Adjusted close'!D99/'Adjusted close'!D100</f>
        <v>0.95788637266587195</v>
      </c>
      <c r="E103">
        <f>'Adjusted close'!E99/'Adjusted close'!E100</f>
        <v>1.0100681077879774</v>
      </c>
      <c r="F103">
        <f>'Adjusted close'!F99/'Adjusted close'!F100</f>
        <v>0.94149253731343285</v>
      </c>
      <c r="G103">
        <f>'Adjusted close'!G99/'Adjusted close'!G100</f>
        <v>1.0105092966855296</v>
      </c>
      <c r="H103">
        <f>'Adjusted close'!H99/'Adjusted close'!H100</f>
        <v>0.97278106508875739</v>
      </c>
      <c r="I103">
        <f>'Adjusted close'!I99/'Adjusted close'!I100</f>
        <v>0.97553516819571873</v>
      </c>
      <c r="J103">
        <f>'Adjusted close'!J99/'Adjusted close'!J100</f>
        <v>1.0571531272465853</v>
      </c>
      <c r="K103">
        <f>'Adjusted close'!K99/'Adjusted close'!K100</f>
        <v>1.0194871794871796</v>
      </c>
    </row>
    <row r="104" spans="1:11" x14ac:dyDescent="0.25">
      <c r="A104" s="1">
        <v>38016</v>
      </c>
      <c r="B104">
        <f>'Adjusted close'!B100/'Adjusted close'!B101</f>
        <v>0.99092198581560287</v>
      </c>
      <c r="C104">
        <f>'Adjusted close'!C100/'Adjusted close'!C101</f>
        <v>0.94584923664122134</v>
      </c>
      <c r="D104">
        <f>'Adjusted close'!D100/'Adjusted close'!D101</f>
        <v>0.95232690124858121</v>
      </c>
      <c r="E104">
        <f>'Adjusted close'!E100/'Adjusted close'!E101</f>
        <v>1.0302013422818792</v>
      </c>
      <c r="F104">
        <f>'Adjusted close'!F100/'Adjusted close'!F101</f>
        <v>0.98936798582398111</v>
      </c>
      <c r="G104">
        <f>'Adjusted close'!G100/'Adjusted close'!G101</f>
        <v>1.0093839249286005</v>
      </c>
      <c r="H104">
        <f>'Adjusted close'!H100/'Adjusted close'!H101</f>
        <v>1.0856531049250535</v>
      </c>
      <c r="I104">
        <f>'Adjusted close'!I100/'Adjusted close'!I101</f>
        <v>1.0803964757709252</v>
      </c>
      <c r="J104">
        <f>'Adjusted close'!J100/'Adjusted close'!J101</f>
        <v>1.1181672025723473</v>
      </c>
      <c r="K104">
        <f>'Adjusted close'!K100/'Adjusted close'!K101</f>
        <v>1.1094674556213018</v>
      </c>
    </row>
    <row r="105" spans="1:11" x14ac:dyDescent="0.25">
      <c r="A105" s="1">
        <v>37986</v>
      </c>
      <c r="B105">
        <f>'Adjusted close'!B101/'Adjusted close'!B102</f>
        <v>1.0974470734744708</v>
      </c>
      <c r="C105">
        <f>'Adjusted close'!C101/'Adjusted close'!C102</f>
        <v>1.1190603310197544</v>
      </c>
      <c r="D105">
        <f>'Adjusted close'!D101/'Adjusted close'!D102</f>
        <v>0.95553145336225598</v>
      </c>
      <c r="E105">
        <f>'Adjusted close'!E101/'Adjusted close'!E102</f>
        <v>1.1481611208406304</v>
      </c>
      <c r="F105">
        <f>'Adjusted close'!F101/'Adjusted close'!F102</f>
        <v>1.1204500330906684</v>
      </c>
      <c r="G105">
        <f>'Adjusted close'!G101/'Adjusted close'!G102</f>
        <v>1.0735873850197111</v>
      </c>
      <c r="H105">
        <f>'Adjusted close'!H101/'Adjusted close'!H102</f>
        <v>1.0875640428504891</v>
      </c>
      <c r="I105">
        <f>'Adjusted close'!I101/'Adjusted close'!I102</f>
        <v>1.1260851591566763</v>
      </c>
      <c r="J105">
        <f>'Adjusted close'!J101/'Adjusted close'!J102</f>
        <v>1.1708235294117646</v>
      </c>
      <c r="K105">
        <f>'Adjusted close'!K101/'Adjusted close'!K102</f>
        <v>1.0240037287345607</v>
      </c>
    </row>
    <row r="106" spans="1:11" x14ac:dyDescent="0.25">
      <c r="A106" s="1">
        <v>37953</v>
      </c>
      <c r="B106">
        <f>'Adjusted close'!B102/'Adjusted close'!B103</f>
        <v>1.0018714909544602</v>
      </c>
      <c r="C106">
        <f>'Adjusted close'!C102/'Adjusted close'!C103</f>
        <v>0.99574694311536427</v>
      </c>
      <c r="D106">
        <f>'Adjusted close'!D102/'Adjusted close'!D103</f>
        <v>1.0187845303867404</v>
      </c>
      <c r="E106">
        <f>'Adjusted close'!E102/'Adjusted close'!E103</f>
        <v>0.91741645244215941</v>
      </c>
      <c r="F106">
        <f>'Adjusted close'!F102/'Adjusted close'!F103</f>
        <v>0.97045600513808605</v>
      </c>
      <c r="G106">
        <f>'Adjusted close'!G102/'Adjusted close'!G103</f>
        <v>0.98193548387096763</v>
      </c>
      <c r="H106">
        <f>'Adjusted close'!H102/'Adjusted close'!H103</f>
        <v>0.98848987108655617</v>
      </c>
      <c r="I106">
        <f>'Adjusted close'!I102/'Adjusted close'!I103</f>
        <v>0.97579669221460275</v>
      </c>
      <c r="J106">
        <f>'Adjusted close'!J102/'Adjusted close'!J103</f>
        <v>0.99859022556390975</v>
      </c>
      <c r="K106">
        <f>'Adjusted close'!K102/'Adjusted close'!K103</f>
        <v>1.047607421875</v>
      </c>
    </row>
    <row r="107" spans="1:11" x14ac:dyDescent="0.25">
      <c r="A107" s="1">
        <v>37925</v>
      </c>
      <c r="B107">
        <f>'Adjusted close'!B103/'Adjusted close'!B104</f>
        <v>1.1213711087792935</v>
      </c>
      <c r="C107">
        <f>'Adjusted close'!C103/'Adjusted close'!C104</f>
        <v>1.0045393858477969</v>
      </c>
      <c r="D107">
        <f>'Adjusted close'!D103/'Adjusted close'!D104</f>
        <v>1.197089947089947</v>
      </c>
      <c r="E107">
        <f>'Adjusted close'!E103/'Adjusted close'!E104</f>
        <v>0.87415730337078656</v>
      </c>
      <c r="F107">
        <f>'Adjusted close'!F103/'Adjusted close'!F104</f>
        <v>1.0964788732394366</v>
      </c>
      <c r="G107">
        <f>'Adjusted close'!G103/'Adjusted close'!G104</f>
        <v>0.99914052428018907</v>
      </c>
      <c r="H107">
        <f>'Adjusted close'!H103/'Adjusted close'!H104</f>
        <v>0.97311827956989239</v>
      </c>
      <c r="I107">
        <f>'Adjusted close'!I103/'Adjusted close'!I104</f>
        <v>1.161668228678538</v>
      </c>
      <c r="J107">
        <f>'Adjusted close'!J103/'Adjusted close'!J104</f>
        <v>0.97080291970802912</v>
      </c>
      <c r="K107">
        <f>'Adjusted close'!K103/'Adjusted close'!K104</f>
        <v>1.0406504065040652</v>
      </c>
    </row>
    <row r="108" spans="1:11" x14ac:dyDescent="0.25">
      <c r="A108" s="1">
        <v>37894</v>
      </c>
      <c r="B108">
        <f>'Adjusted close'!B104/'Adjusted close'!B105</f>
        <v>0.91811175337186901</v>
      </c>
      <c r="C108">
        <f>'Adjusted close'!C104/'Adjusted close'!C105</f>
        <v>0.90067340067340074</v>
      </c>
      <c r="D108">
        <f>'Adjusted close'!D104/'Adjusted close'!D105</f>
        <v>0.96264855687606121</v>
      </c>
      <c r="E108">
        <f>'Adjusted close'!E104/'Adjusted close'!E105</f>
        <v>1.0133788784514659</v>
      </c>
      <c r="F108">
        <f>'Adjusted close'!F104/'Adjusted close'!F105</f>
        <v>0.99023709902370982</v>
      </c>
      <c r="G108">
        <f>'Adjusted close'!G104/'Adjusted close'!G105</f>
        <v>1.0783132530120483</v>
      </c>
      <c r="H108">
        <f>'Adjusted close'!H104/'Adjusted close'!H105</f>
        <v>1.0140845070422535</v>
      </c>
      <c r="I108">
        <f>'Adjusted close'!I104/'Adjusted close'!I105</f>
        <v>0.90924584576054546</v>
      </c>
      <c r="J108">
        <f>'Adjusted close'!J104/'Adjusted close'!J105</f>
        <v>0.97726259473918864</v>
      </c>
      <c r="K108">
        <f>'Adjusted close'!K104/'Adjusted close'!K105</f>
        <v>0.92286049237983592</v>
      </c>
    </row>
    <row r="109" spans="1:11" x14ac:dyDescent="0.25">
      <c r="A109" s="1">
        <v>37862</v>
      </c>
      <c r="B109">
        <f>'Adjusted close'!B105/'Adjusted close'!B106</f>
        <v>1.1348396501457725</v>
      </c>
      <c r="C109">
        <f>'Adjusted close'!C105/'Adjusted close'!C106</f>
        <v>0.98112317130722027</v>
      </c>
      <c r="D109">
        <f>'Adjusted close'!D105/'Adjusted close'!D106</f>
        <v>1.1492682926829267</v>
      </c>
      <c r="E109">
        <f>'Adjusted close'!E105/'Adjusted close'!E106</f>
        <v>0.96167533534081584</v>
      </c>
      <c r="F109">
        <f>'Adjusted close'!F105/'Adjusted close'!F106</f>
        <v>0.9617706237424547</v>
      </c>
      <c r="G109">
        <f>'Adjusted close'!G105/'Adjusted close'!G106</f>
        <v>1.0335249042145593</v>
      </c>
      <c r="H109">
        <f>'Adjusted close'!H105/'Adjusted close'!H106</f>
        <v>1.0396787907416154</v>
      </c>
      <c r="I109">
        <f>'Adjusted close'!I105/'Adjusted close'!I106</f>
        <v>1.0316483516483517</v>
      </c>
      <c r="J109">
        <f>'Adjusted close'!J105/'Adjusted close'!J106</f>
        <v>1.1027531956735497</v>
      </c>
      <c r="K109">
        <f>'Adjusted close'!K105/'Adjusted close'!K106</f>
        <v>1.0213122605363985</v>
      </c>
    </row>
    <row r="110" spans="1:11" x14ac:dyDescent="0.25">
      <c r="A110" s="1">
        <v>37833</v>
      </c>
      <c r="B110">
        <f>'Adjusted close'!B106/'Adjusted close'!B107</f>
        <v>0.96483825597749651</v>
      </c>
      <c r="C110">
        <f>'Adjusted close'!C106/'Adjusted close'!C107</f>
        <v>1.1002076843198338</v>
      </c>
      <c r="D110">
        <f>'Adjusted close'!D106/'Adjusted close'!D107</f>
        <v>1.1960326721120187</v>
      </c>
      <c r="E110">
        <f>'Adjusted close'!E106/'Adjusted close'!E107</f>
        <v>0.91302174456385909</v>
      </c>
      <c r="F110">
        <f>'Adjusted close'!F106/'Adjusted close'!F107</f>
        <v>0.92781580584940881</v>
      </c>
      <c r="G110">
        <f>'Adjusted close'!G106/'Adjusted close'!G107</f>
        <v>0.96088357109986189</v>
      </c>
      <c r="H110">
        <f>'Adjusted close'!H106/'Adjusted close'!H107</f>
        <v>0.99203373945641993</v>
      </c>
      <c r="I110">
        <f>'Adjusted close'!I106/'Adjusted close'!I107</f>
        <v>1.0532407407407407</v>
      </c>
      <c r="J110">
        <f>'Adjusted close'!J106/'Adjusted close'!J107</f>
        <v>0.94736842105263164</v>
      </c>
      <c r="K110">
        <f>'Adjusted close'!K106/'Adjusted close'!K107</f>
        <v>1.0749034749034747</v>
      </c>
    </row>
    <row r="111" spans="1:11" x14ac:dyDescent="0.25">
      <c r="A111" s="1">
        <v>37802</v>
      </c>
      <c r="B111">
        <f>'Adjusted close'!B107/'Adjusted close'!B108</f>
        <v>1.1192443919716648</v>
      </c>
      <c r="C111">
        <f>'Adjusted close'!C107/'Adjusted close'!C108</f>
        <v>1.0247406225059856</v>
      </c>
      <c r="D111">
        <f>'Adjusted close'!D107/'Adjusted close'!D108</f>
        <v>1</v>
      </c>
      <c r="E111">
        <f>'Adjusted close'!E107/'Adjusted close'!E108</f>
        <v>1.0964647848725677</v>
      </c>
      <c r="F111">
        <f>'Adjusted close'!F107/'Adjusted close'!F108</f>
        <v>1.0031210986267167</v>
      </c>
      <c r="G111">
        <f>'Adjusted close'!G107/'Adjusted close'!G108</f>
        <v>1.0437079731027858</v>
      </c>
      <c r="H111">
        <f>'Adjusted close'!H107/'Adjusted close'!H108</f>
        <v>1.0056550424128181</v>
      </c>
      <c r="I111">
        <f>'Adjusted close'!I107/'Adjusted close'!I108</f>
        <v>1.0251542477456099</v>
      </c>
      <c r="J111">
        <f>'Adjusted close'!J107/'Adjusted close'!J108</f>
        <v>0.98215919487648673</v>
      </c>
      <c r="K111">
        <f>'Adjusted close'!K107/'Adjusted close'!K108</f>
        <v>0.91068917018284112</v>
      </c>
    </row>
    <row r="112" spans="1:11" x14ac:dyDescent="0.25">
      <c r="A112" s="1">
        <v>37771</v>
      </c>
      <c r="B112">
        <f>'Adjusted close'!B108/'Adjusted close'!B109</f>
        <v>1.1308411214953271</v>
      </c>
      <c r="C112">
        <f>'Adjusted close'!C108/'Adjusted close'!C109</f>
        <v>0.929985155863434</v>
      </c>
      <c r="D112">
        <f>'Adjusted close'!D108/'Adjusted close'!D109</f>
        <v>1.1321003963011889</v>
      </c>
      <c r="E112">
        <f>'Adjusted close'!E108/'Adjusted close'!E109</f>
        <v>0.95523560209424085</v>
      </c>
      <c r="F112">
        <f>'Adjusted close'!F108/'Adjusted close'!F109</f>
        <v>1.0897959183673469</v>
      </c>
      <c r="G112">
        <f>'Adjusted close'!G108/'Adjusted close'!G109</f>
        <v>1.0894819466248038</v>
      </c>
      <c r="H112">
        <f>'Adjusted close'!H108/'Adjusted close'!H109</f>
        <v>0.97428833792470149</v>
      </c>
      <c r="I112">
        <f>'Adjusted close'!I108/'Adjusted close'!I109</f>
        <v>1.1183651804670913</v>
      </c>
      <c r="J112">
        <f>'Adjusted close'!J108/'Adjusted close'!J109</f>
        <v>1.159681697612732</v>
      </c>
      <c r="K112">
        <f>'Adjusted close'!K108/'Adjusted close'!K109</f>
        <v>1.0466143277723259</v>
      </c>
    </row>
    <row r="113" spans="1:11" x14ac:dyDescent="0.25">
      <c r="A113" s="1">
        <v>37741</v>
      </c>
      <c r="B113">
        <f>'Adjusted close'!B109/'Adjusted close'!B110</f>
        <v>1.0886627906976742</v>
      </c>
      <c r="C113">
        <f>'Adjusted close'!C109/'Adjusted close'!C110</f>
        <v>1.0526041666666668</v>
      </c>
      <c r="D113">
        <f>'Adjusted close'!D109/'Adjusted close'!D110</f>
        <v>1.1306945481702764</v>
      </c>
      <c r="E113">
        <f>'Adjusted close'!E109/'Adjusted close'!E110</f>
        <v>1.0619961078676676</v>
      </c>
      <c r="F113">
        <f>'Adjusted close'!F109/'Adjusted close'!F110</f>
        <v>1.1826226870474659</v>
      </c>
      <c r="G113">
        <f>'Adjusted close'!G109/'Adjusted close'!G110</f>
        <v>1.0523127753303965</v>
      </c>
      <c r="H113">
        <f>'Adjusted close'!H109/'Adjusted close'!H110</f>
        <v>1.1548250265111348</v>
      </c>
      <c r="I113">
        <f>'Adjusted close'!I109/'Adjusted close'!I110</f>
        <v>1.1049853372434018</v>
      </c>
      <c r="J113">
        <f>'Adjusted close'!J109/'Adjusted close'!J110</f>
        <v>1.1029842012873026</v>
      </c>
      <c r="K113">
        <f>'Adjusted close'!K109/'Adjusted close'!K110</f>
        <v>0.90356905342496119</v>
      </c>
    </row>
    <row r="114" spans="1:11" x14ac:dyDescent="0.25">
      <c r="A114" s="1">
        <v>37711</v>
      </c>
      <c r="B114">
        <f>'Adjusted close'!B110/'Adjusted close'!B111</f>
        <v>0.90925110132158593</v>
      </c>
      <c r="C114">
        <f>'Adjusted close'!C110/'Adjusted close'!C111</f>
        <v>1.0400866738894907</v>
      </c>
      <c r="D114">
        <f>'Adjusted close'!D110/'Adjusted close'!D111</f>
        <v>0.94362226920366465</v>
      </c>
      <c r="E114">
        <f>'Adjusted close'!E110/'Adjusted close'!E111</f>
        <v>1.0459435882523989</v>
      </c>
      <c r="F114">
        <f>'Adjusted close'!F110/'Adjusted close'!F111</f>
        <v>0.96431342125678809</v>
      </c>
      <c r="G114">
        <f>'Adjusted close'!G110/'Adjusted close'!G111</f>
        <v>1.0254093732354601</v>
      </c>
      <c r="H114">
        <f>'Adjusted close'!H110/'Adjusted close'!H111</f>
        <v>1.0607424071991001</v>
      </c>
      <c r="I114">
        <f>'Adjusted close'!I110/'Adjusted close'!I111</f>
        <v>0.93322386425834702</v>
      </c>
      <c r="J114">
        <f>'Adjusted close'!J110/'Adjusted close'!J111</f>
        <v>0.91390374331550805</v>
      </c>
      <c r="K114">
        <f>'Adjusted close'!K110/'Adjusted close'!K111</f>
        <v>1.0284997720018241</v>
      </c>
    </row>
    <row r="115" spans="1:11" x14ac:dyDescent="0.25">
      <c r="A115" s="1">
        <v>37680</v>
      </c>
      <c r="B115">
        <f>'Adjusted close'!B111/'Adjusted close'!B112</f>
        <v>0.87712519319938176</v>
      </c>
      <c r="C115">
        <f>'Adjusted close'!C111/'Adjusted close'!C112</f>
        <v>0.89764162411864823</v>
      </c>
      <c r="D115">
        <f>'Adjusted close'!D111/'Adjusted close'!D112</f>
        <v>1.1025641025641026</v>
      </c>
      <c r="E115">
        <f>'Adjusted close'!E111/'Adjusted close'!E112</f>
        <v>0.95210409745293478</v>
      </c>
      <c r="F115">
        <f>'Adjusted close'!F111/'Adjusted close'!F112</f>
        <v>0.85138705416116245</v>
      </c>
      <c r="G115">
        <f>'Adjusted close'!G111/'Adjusted close'!G112</f>
        <v>0.97414741474147426</v>
      </c>
      <c r="H115">
        <f>'Adjusted close'!H111/'Adjusted close'!H112</f>
        <v>1.0477312905126694</v>
      </c>
      <c r="I115">
        <f>'Adjusted close'!I111/'Adjusted close'!I112</f>
        <v>0.94418604651162785</v>
      </c>
      <c r="J115">
        <f>'Adjusted close'!J111/'Adjusted close'!J112</f>
        <v>1.1084765856550087</v>
      </c>
      <c r="K115">
        <f>'Adjusted close'!K111/'Adjusted close'!K112</f>
        <v>0.96332088732703713</v>
      </c>
    </row>
    <row r="116" spans="1:11" x14ac:dyDescent="0.25">
      <c r="A116" s="1">
        <v>37652</v>
      </c>
      <c r="B116">
        <f>'Adjusted close'!B112/'Adjusted close'!B113</f>
        <v>0.95745467998520151</v>
      </c>
      <c r="C116">
        <f>'Adjusted close'!C112/'Adjusted close'!C113</f>
        <v>0.88394584139264998</v>
      </c>
      <c r="D116">
        <f>'Adjusted close'!D112/'Adjusted close'!D113</f>
        <v>1.0062548866301799</v>
      </c>
      <c r="E116">
        <f>'Adjusted close'!E112/'Adjusted close'!E113</f>
        <v>0.97859658629097812</v>
      </c>
      <c r="F116">
        <f>'Adjusted close'!F112/'Adjusted close'!F113</f>
        <v>0.90930930930930942</v>
      </c>
      <c r="G116">
        <f>'Adjusted close'!G112/'Adjusted close'!G113</f>
        <v>0.96548061603823698</v>
      </c>
      <c r="H116">
        <f>'Adjusted close'!H112/'Adjusted close'!H113</f>
        <v>0.95016797312430012</v>
      </c>
      <c r="I116">
        <f>'Adjusted close'!I112/'Adjusted close'!I113</f>
        <v>1.01788532351394</v>
      </c>
      <c r="J116">
        <f>'Adjusted close'!J112/'Adjusted close'!J113</f>
        <v>0.89591078066914509</v>
      </c>
      <c r="K116">
        <f>'Adjusted close'!K112/'Adjusted close'!K113</f>
        <v>0.97557317334476112</v>
      </c>
    </row>
    <row r="117" spans="1:11" x14ac:dyDescent="0.25">
      <c r="A117" s="1">
        <v>37621</v>
      </c>
      <c r="B117">
        <f>'Adjusted close'!B113/'Adjusted close'!B114</f>
        <v>0.96881720430107532</v>
      </c>
      <c r="C117">
        <f>'Adjusted close'!C113/'Adjusted close'!C114</f>
        <v>1.1062767475035662</v>
      </c>
      <c r="D117">
        <f>'Adjusted close'!D113/'Adjusted close'!D114</f>
        <v>0.7457725947521866</v>
      </c>
      <c r="E117">
        <f>'Adjusted close'!E113/'Adjusted close'!E114</f>
        <v>0.95870129870129861</v>
      </c>
      <c r="F117">
        <f>'Adjusted close'!F113/'Adjusted close'!F114</f>
        <v>0.9514285714285714</v>
      </c>
      <c r="G117">
        <f>'Adjusted close'!G113/'Adjusted close'!G114</f>
        <v>1.0513679508654381</v>
      </c>
      <c r="H117">
        <f>'Adjusted close'!H113/'Adjusted close'!H114</f>
        <v>0.90476190476190477</v>
      </c>
      <c r="I117">
        <f>'Adjusted close'!I113/'Adjusted close'!I114</f>
        <v>0.92281553398058258</v>
      </c>
      <c r="J117">
        <f>'Adjusted close'!J113/'Adjusted close'!J114</f>
        <v>0.95535261288685935</v>
      </c>
      <c r="K117">
        <f>'Adjusted close'!K113/'Adjusted close'!K114</f>
        <v>0.95322712418300659</v>
      </c>
    </row>
    <row r="118" spans="1:11" x14ac:dyDescent="0.25">
      <c r="A118" s="1">
        <v>37589</v>
      </c>
      <c r="B118">
        <f>'Adjusted close'!B114/'Adjusted close'!B115</f>
        <v>1.1509900990099009</v>
      </c>
      <c r="C118">
        <f>'Adjusted close'!C114/'Adjusted close'!C115</f>
        <v>0.903544575725027</v>
      </c>
      <c r="D118">
        <f>'Adjusted close'!D114/'Adjusted close'!D115</f>
        <v>1.2077464788732395</v>
      </c>
      <c r="E118">
        <f>'Adjusted close'!E114/'Adjusted close'!E115</f>
        <v>1.0953058321479374</v>
      </c>
      <c r="F118">
        <f>'Adjusted close'!F114/'Adjusted close'!F115</f>
        <v>1.1104060913705585</v>
      </c>
      <c r="G118">
        <f>'Adjusted close'!G114/'Adjusted close'!G115</f>
        <v>1.004486819966349</v>
      </c>
      <c r="H118">
        <f>'Adjusted close'!H114/'Adjusted close'!H115</f>
        <v>1.0739934711643091</v>
      </c>
      <c r="I118">
        <f>'Adjusted close'!I114/'Adjusted close'!I115</f>
        <v>1.0951621477937268</v>
      </c>
      <c r="J118">
        <f>'Adjusted close'!J114/'Adjusted close'!J115</f>
        <v>1.1029658645775042</v>
      </c>
      <c r="K118">
        <f>'Adjusted close'!K114/'Adjusted close'!K115</f>
        <v>1.0353140198773525</v>
      </c>
    </row>
    <row r="119" spans="1:11" x14ac:dyDescent="0.25">
      <c r="A119" s="1">
        <v>37560</v>
      </c>
      <c r="B119">
        <f>'Adjusted close'!B115/'Adjusted close'!B116</f>
        <v>0.87162891046386193</v>
      </c>
      <c r="C119">
        <f>'Adjusted close'!C115/'Adjusted close'!C116</f>
        <v>0.8953644931717637</v>
      </c>
      <c r="D119">
        <f>'Adjusted close'!D115/'Adjusted close'!D116</f>
        <v>1.2456140350877192</v>
      </c>
      <c r="E119">
        <f>'Adjusted close'!E115/'Adjusted close'!E116</f>
        <v>1.1866981769074949</v>
      </c>
      <c r="F119">
        <f>'Adjusted close'!F115/'Adjusted close'!F116</f>
        <v>1.2939244663382594</v>
      </c>
      <c r="G119">
        <f>'Adjusted close'!G115/'Adjusted close'!G116</f>
        <v>1.0613095238095236</v>
      </c>
      <c r="H119">
        <f>'Adjusted close'!H115/'Adjusted close'!H116</f>
        <v>1.0239554317548747</v>
      </c>
      <c r="I119">
        <f>'Adjusted close'!I115/'Adjusted close'!I116</f>
        <v>1.1058201058201056</v>
      </c>
      <c r="J119">
        <f>'Adjusted close'!J115/'Adjusted close'!J116</f>
        <v>1.0431990659661414</v>
      </c>
      <c r="K119">
        <f>'Adjusted close'!K115/'Adjusted close'!K116</f>
        <v>1.0924000924000925</v>
      </c>
    </row>
    <row r="120" spans="1:11" x14ac:dyDescent="0.25">
      <c r="A120" s="1">
        <v>37529</v>
      </c>
      <c r="B120">
        <f>'Adjusted close'!B116/'Adjusted close'!B117</f>
        <v>0.92055610724925518</v>
      </c>
      <c r="C120">
        <f>'Adjusted close'!C116/'Adjusted close'!C117</f>
        <v>1.0212139068945199</v>
      </c>
      <c r="D120">
        <f>'Adjusted close'!D116/'Adjusted close'!D117</f>
        <v>0.83333333333333337</v>
      </c>
      <c r="E120">
        <f>'Adjusted close'!E116/'Adjusted close'!E117</f>
        <v>0.91166512773160968</v>
      </c>
      <c r="F120">
        <f>'Adjusted close'!F116/'Adjusted close'!F117</f>
        <v>0.81199999999999994</v>
      </c>
      <c r="G120">
        <f>'Adjusted close'!G116/'Adjusted close'!G117</f>
        <v>1.0144927536231885</v>
      </c>
      <c r="H120">
        <f>'Adjusted close'!H116/'Adjusted close'!H117</f>
        <v>0.82339449541284393</v>
      </c>
      <c r="I120">
        <f>'Adjusted close'!I116/'Adjusted close'!I117</f>
        <v>0.72290692732681683</v>
      </c>
      <c r="J120">
        <f>'Adjusted close'!J116/'Adjusted close'!J117</f>
        <v>0.88987012987012981</v>
      </c>
      <c r="K120">
        <f>'Adjusted close'!K116/'Adjusted close'!K117</f>
        <v>0.90262718932443697</v>
      </c>
    </row>
    <row r="121" spans="1:11" x14ac:dyDescent="0.25">
      <c r="A121" s="1">
        <v>37498</v>
      </c>
      <c r="B121">
        <f>'Adjusted close'!B117/'Adjusted close'!B118</f>
        <v>0.89697149643705465</v>
      </c>
      <c r="C121">
        <f>'Adjusted close'!C117/'Adjusted close'!C118</f>
        <v>0.98950437317784246</v>
      </c>
      <c r="D121">
        <f>'Adjusted close'!D117/'Adjusted close'!D118</f>
        <v>0.88831168831168827</v>
      </c>
      <c r="E121">
        <f>'Adjusted close'!E117/'Adjusted close'!E118</f>
        <v>1.0184952978056427</v>
      </c>
      <c r="F121">
        <f>'Adjusted close'!F117/'Adjusted close'!F118</f>
        <v>0.89445438282647582</v>
      </c>
      <c r="G121">
        <f>'Adjusted close'!G117/'Adjusted close'!G118</f>
        <v>0.96279069767441861</v>
      </c>
      <c r="H121">
        <f>'Adjusted close'!H117/'Adjusted close'!H118</f>
        <v>0.93642611683848798</v>
      </c>
      <c r="I121">
        <f>'Adjusted close'!I117/'Adjusted close'!I118</f>
        <v>0.93114364859517218</v>
      </c>
      <c r="J121">
        <f>'Adjusted close'!J117/'Adjusted close'!J118</f>
        <v>1.0110294117647058</v>
      </c>
      <c r="K121">
        <f>'Adjusted close'!K117/'Adjusted close'!K118</f>
        <v>1.0199914929817098</v>
      </c>
    </row>
    <row r="122" spans="1:11" x14ac:dyDescent="0.25">
      <c r="A122" s="1">
        <v>37468</v>
      </c>
      <c r="B122">
        <f>'Adjusted close'!B118/'Adjusted close'!B119</f>
        <v>0.92273972602739729</v>
      </c>
      <c r="C122">
        <f>'Adjusted close'!C118/'Adjusted close'!C119</f>
        <v>0.92237361061312306</v>
      </c>
      <c r="D122">
        <f>'Adjusted close'!D118/'Adjusted close'!D119</f>
        <v>1.02803738317757</v>
      </c>
      <c r="E122">
        <f>'Adjusted close'!E118/'Adjusted close'!E119</f>
        <v>0.97942892232115442</v>
      </c>
      <c r="F122">
        <f>'Adjusted close'!F118/'Adjusted close'!F119</f>
        <v>0.91489361702127669</v>
      </c>
      <c r="G122">
        <f>'Adjusted close'!G118/'Adjusted close'!G119</f>
        <v>0.93835242771412986</v>
      </c>
      <c r="H122">
        <f>'Adjusted close'!H118/'Adjusted close'!H119</f>
        <v>1.1085714285714285</v>
      </c>
      <c r="I122">
        <f>'Adjusted close'!I118/'Adjusted close'!I119</f>
        <v>0.91857506361323149</v>
      </c>
      <c r="J122">
        <f>'Adjusted close'!J118/'Adjusted close'!J119</f>
        <v>0.92337536372453921</v>
      </c>
      <c r="K122">
        <f>'Adjusted close'!K118/'Adjusted close'!K119</f>
        <v>0.99135568205776936</v>
      </c>
    </row>
    <row r="123" spans="1:11" x14ac:dyDescent="0.25">
      <c r="A123" s="1">
        <v>37435</v>
      </c>
      <c r="B123">
        <f>'Adjusted close'!B119/'Adjusted close'!B120</f>
        <v>1.0549132947976878</v>
      </c>
      <c r="C123">
        <f>'Adjusted close'!C119/'Adjusted close'!C120</f>
        <v>1.1200803212851407</v>
      </c>
      <c r="D123">
        <f>'Adjusted close'!D119/'Adjusted close'!D120</f>
        <v>0.66166077738515905</v>
      </c>
      <c r="E123">
        <f>'Adjusted close'!E119/'Adjusted close'!E120</f>
        <v>0.89257330775554944</v>
      </c>
      <c r="F123">
        <f>'Adjusted close'!F119/'Adjusted close'!F120</f>
        <v>0.88937409024745262</v>
      </c>
      <c r="G123">
        <f>'Adjusted close'!G119/'Adjusted close'!G120</f>
        <v>0.97759999999999991</v>
      </c>
      <c r="H123">
        <f>'Adjusted close'!H119/'Adjusted close'!H120</f>
        <v>0.93875726419311578</v>
      </c>
      <c r="I123">
        <f>'Adjusted close'!I119/'Adjusted close'!I120</f>
        <v>0.89872590656648166</v>
      </c>
      <c r="J123">
        <f>'Adjusted close'!J119/'Adjusted close'!J120</f>
        <v>0.90359333917616125</v>
      </c>
      <c r="K123">
        <f>'Adjusted close'!K119/'Adjusted close'!K120</f>
        <v>0.96480878763222133</v>
      </c>
    </row>
    <row r="124" spans="1:11" x14ac:dyDescent="0.25">
      <c r="A124" s="1">
        <v>37407</v>
      </c>
      <c r="B124">
        <f>'Adjusted close'!B120/'Adjusted close'!B121</f>
        <v>0.96004439511653727</v>
      </c>
      <c r="C124">
        <f>'Adjusted close'!C120/'Adjusted close'!C121</f>
        <v>0.98829132764437377</v>
      </c>
      <c r="D124">
        <f>'Adjusted close'!D120/'Adjusted close'!D121</f>
        <v>0.96628254374733247</v>
      </c>
      <c r="E124">
        <f>'Adjusted close'!E120/'Adjusted close'!E121</f>
        <v>1.0506766484307517</v>
      </c>
      <c r="F124">
        <f>'Adjusted close'!F120/'Adjusted close'!F121</f>
        <v>1.1039100160685591</v>
      </c>
      <c r="G124">
        <f>'Adjusted close'!G120/'Adjusted close'!G121</f>
        <v>0.99258867125463202</v>
      </c>
      <c r="H124">
        <f>'Adjusted close'!H120/'Adjusted close'!H121</f>
        <v>0.98676665196294655</v>
      </c>
      <c r="I124">
        <f>'Adjusted close'!I120/'Adjusted close'!I121</f>
        <v>1.0736583654857943</v>
      </c>
      <c r="J124">
        <f>'Adjusted close'!J120/'Adjusted close'!J121</f>
        <v>0.9429752066115703</v>
      </c>
      <c r="K124">
        <f>'Adjusted close'!K120/'Adjusted close'!K121</f>
        <v>1.0207641196013288</v>
      </c>
    </row>
    <row r="125" spans="1:11" x14ac:dyDescent="0.25">
      <c r="A125" s="1">
        <v>37376</v>
      </c>
      <c r="B125">
        <f>'Adjusted close'!B121/'Adjusted close'!B122</f>
        <v>0.92433957424980762</v>
      </c>
      <c r="C125">
        <f>'Adjusted close'!C121/'Adjusted close'!C122</f>
        <v>1.0923477129850423</v>
      </c>
      <c r="D125">
        <f>'Adjusted close'!D121/'Adjusted close'!D122</f>
        <v>0.94058610999598558</v>
      </c>
      <c r="E125">
        <f>'Adjusted close'!E121/'Adjusted close'!E122</f>
        <v>0.94374999999999998</v>
      </c>
      <c r="F125">
        <f>'Adjusted close'!F121/'Adjusted close'!F122</f>
        <v>0.83572068039391234</v>
      </c>
      <c r="G125">
        <f>'Adjusted close'!G121/'Adjusted close'!G122</f>
        <v>1.0255157437567861</v>
      </c>
      <c r="H125">
        <f>'Adjusted close'!H121/'Adjusted close'!H122</f>
        <v>0.84369184964644584</v>
      </c>
      <c r="I125">
        <f>'Adjusted close'!I121/'Adjusted close'!I122</f>
        <v>0.95864156018829871</v>
      </c>
      <c r="J125">
        <f>'Adjusted close'!J121/'Adjusted close'!J122</f>
        <v>0.9311273566756445</v>
      </c>
      <c r="K125">
        <f>'Adjusted close'!K121/'Adjusted close'!K122</f>
        <v>1.049466114621922</v>
      </c>
    </row>
    <row r="126" spans="1:11" x14ac:dyDescent="0.25">
      <c r="A126" s="1">
        <v>37343</v>
      </c>
      <c r="B126">
        <f>'Adjusted close'!B122/'Adjusted close'!B123</f>
        <v>1.0498115239633818</v>
      </c>
      <c r="C126">
        <f>'Adjusted close'!C122/'Adjusted close'!C123</f>
        <v>1.0208010621818988</v>
      </c>
      <c r="D126">
        <f>'Adjusted close'!D122/'Adjusted close'!D123</f>
        <v>1.0654405474764757</v>
      </c>
      <c r="E126">
        <f>'Adjusted close'!E122/'Adjusted close'!E123</f>
        <v>0.94431614062099045</v>
      </c>
      <c r="F126">
        <f>'Adjusted close'!F122/'Adjusted close'!F123</f>
        <v>0.98937112488928258</v>
      </c>
      <c r="G126">
        <f>'Adjusted close'!G122/'Adjusted close'!G123</f>
        <v>1.0746791131855309</v>
      </c>
      <c r="H126">
        <f>'Adjusted close'!H122/'Adjusted close'!H123</f>
        <v>0.97143890093998553</v>
      </c>
      <c r="I126">
        <f>'Adjusted close'!I122/'Adjusted close'!I123</f>
        <v>1.00371245359433</v>
      </c>
      <c r="J126">
        <f>'Adjusted close'!J122/'Adjusted close'!J123</f>
        <v>1.0104976671850701</v>
      </c>
      <c r="K126">
        <f>'Adjusted close'!K122/'Adjusted close'!K123</f>
        <v>0.95863797785669524</v>
      </c>
    </row>
    <row r="127" spans="1:11" x14ac:dyDescent="0.25">
      <c r="A127" s="1">
        <v>37315</v>
      </c>
      <c r="B127">
        <f>'Adjusted close'!B123/'Adjusted close'!B124</f>
        <v>1.1268203883495145</v>
      </c>
      <c r="C127">
        <f>'Adjusted close'!C123/'Adjusted close'!C124</f>
        <v>1.0670602125147579</v>
      </c>
      <c r="D127">
        <f>'Adjusted close'!D123/'Adjusted close'!D124</f>
        <v>0.81520223152022309</v>
      </c>
      <c r="E127">
        <f>'Adjusted close'!E123/'Adjusted close'!E124</f>
        <v>1.0364361702127658</v>
      </c>
      <c r="F127">
        <f>'Adjusted close'!F123/'Adjusted close'!F124</f>
        <v>1.0107430617726052</v>
      </c>
      <c r="G127">
        <f>'Adjusted close'!G123/'Adjusted close'!G124</f>
        <v>1.0094228504122498</v>
      </c>
      <c r="H127">
        <f>'Adjusted close'!H123/'Adjusted close'!H124</f>
        <v>1.0410237109522018</v>
      </c>
      <c r="I127">
        <f>'Adjusted close'!I123/'Adjusted close'!I124</f>
        <v>1.1404926866820631</v>
      </c>
      <c r="J127">
        <f>'Adjusted close'!J123/'Adjusted close'!J124</f>
        <v>1.0354267310789049</v>
      </c>
      <c r="K127">
        <f>'Adjusted close'!K123/'Adjusted close'!K124</f>
        <v>1.0754886542350033</v>
      </c>
    </row>
    <row r="128" spans="1:11" x14ac:dyDescent="0.25">
      <c r="A128" s="1"/>
    </row>
  </sheetData>
  <pageMargins left="0.70866141732283472" right="0.70866141732283472" top="0.74803149606299213" bottom="0.74803149606299213" header="0.31496062992125984" footer="0.31496062992125984"/>
  <pageSetup scale="27" fitToWidth="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P35"/>
  <sheetViews>
    <sheetView tabSelected="1" zoomScale="85" zoomScaleNormal="85" zoomScalePageLayoutView="85" workbookViewId="0"/>
  </sheetViews>
  <sheetFormatPr baseColWidth="10" defaultColWidth="9.140625" defaultRowHeight="15" x14ac:dyDescent="0.25"/>
  <cols>
    <col min="1" max="1" width="19.28515625" customWidth="1"/>
    <col min="2" max="11" width="11.7109375" customWidth="1"/>
    <col min="12" max="12" width="12" bestFit="1" customWidth="1"/>
    <col min="13" max="13" width="10.85546875" customWidth="1"/>
  </cols>
  <sheetData>
    <row r="2" spans="1:16" x14ac:dyDescent="0.25">
      <c r="A2" t="s">
        <v>11</v>
      </c>
      <c r="B2">
        <v>10000</v>
      </c>
    </row>
    <row r="4" spans="1:16" x14ac:dyDescent="0.25">
      <c r="A4" t="s">
        <v>132</v>
      </c>
      <c r="B4">
        <f>(1.01^(1/12)-1)*100</f>
        <v>8.295381143461622E-2</v>
      </c>
      <c r="C4" t="s">
        <v>133</v>
      </c>
      <c r="D4" s="12"/>
    </row>
    <row r="6" spans="1:16" x14ac:dyDescent="0.25">
      <c r="B6" t="s">
        <v>108</v>
      </c>
      <c r="C6" t="s">
        <v>2</v>
      </c>
      <c r="D6" t="s">
        <v>3</v>
      </c>
      <c r="E6" t="s">
        <v>10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134</v>
      </c>
      <c r="O6" t="s">
        <v>203</v>
      </c>
    </row>
    <row r="7" spans="1:16" x14ac:dyDescent="0.25">
      <c r="A7" t="s">
        <v>135</v>
      </c>
      <c r="B7" s="13">
        <f ca="1">VLOOKUP($O$7,$A$33:$L$35,2,FALSE)</f>
        <v>1000</v>
      </c>
      <c r="C7" s="13">
        <f ca="1">VLOOKUP($O$7,$A$33:$L$35,3,FALSE)</f>
        <v>1000</v>
      </c>
      <c r="D7" s="13">
        <f ca="1">VLOOKUP($O$7,$A$33:$L$35,4,FALSE)</f>
        <v>1000</v>
      </c>
      <c r="E7" s="13">
        <f ca="1">VLOOKUP($O$7,$A$33:$L$35,5,FALSE)</f>
        <v>1000</v>
      </c>
      <c r="F7" s="13">
        <f ca="1">VLOOKUP($O$7,$A$33:$L$35,6,FALSE)</f>
        <v>1000</v>
      </c>
      <c r="G7" s="13">
        <f ca="1">VLOOKUP($O$7,$A$33:$L$35,7,FALSE)</f>
        <v>1000</v>
      </c>
      <c r="H7" s="13">
        <f ca="1">VLOOKUP($O$7,$A$33:$L$35,8,FALSE)</f>
        <v>1000</v>
      </c>
      <c r="I7" s="13">
        <f ca="1">VLOOKUP($O$7,$A$33:$L$35,9,FALSE)</f>
        <v>1000</v>
      </c>
      <c r="J7" s="13">
        <f ca="1">VLOOKUP($O$7,$A$33:$L$35,10,FALSE)</f>
        <v>1000</v>
      </c>
      <c r="K7" s="13">
        <f ca="1">VLOOKUP($O$7,$A$33:$L$35,11,FALSE)</f>
        <v>1000</v>
      </c>
      <c r="L7" s="13">
        <f ca="1">VLOOKUP($O$7,$A$33:$L$35,12,FALSE)</f>
        <v>0</v>
      </c>
      <c r="M7">
        <f ca="1">SUM(B7:L7)</f>
        <v>10000</v>
      </c>
      <c r="O7">
        <f ca="1">_xll.RiskCurrentSim()</f>
        <v>1</v>
      </c>
    </row>
    <row r="8" spans="1:16" x14ac:dyDescent="0.25">
      <c r="A8" t="s">
        <v>136</v>
      </c>
      <c r="B8">
        <v>0</v>
      </c>
      <c r="C8">
        <f>$B$8</f>
        <v>0</v>
      </c>
      <c r="D8">
        <f t="shared" ref="D8:K8" si="0">$B$8</f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0"/>
        <v>0</v>
      </c>
      <c r="L8">
        <v>0</v>
      </c>
      <c r="M8" t="s">
        <v>137</v>
      </c>
    </row>
    <row r="9" spans="1:16" x14ac:dyDescent="0.25">
      <c r="A9" t="s">
        <v>138</v>
      </c>
      <c r="B9">
        <f>B2</f>
        <v>10000</v>
      </c>
      <c r="C9">
        <f>$B$9</f>
        <v>10000</v>
      </c>
      <c r="D9">
        <f t="shared" ref="D9:K9" si="1">$B$9</f>
        <v>10000</v>
      </c>
      <c r="E9">
        <f t="shared" si="1"/>
        <v>10000</v>
      </c>
      <c r="F9">
        <f t="shared" si="1"/>
        <v>10000</v>
      </c>
      <c r="G9">
        <f t="shared" si="1"/>
        <v>10000</v>
      </c>
      <c r="H9">
        <f t="shared" si="1"/>
        <v>10000</v>
      </c>
      <c r="I9">
        <f t="shared" si="1"/>
        <v>10000</v>
      </c>
      <c r="J9">
        <f t="shared" si="1"/>
        <v>10000</v>
      </c>
      <c r="K9">
        <f t="shared" si="1"/>
        <v>10000</v>
      </c>
      <c r="L9">
        <f>B2</f>
        <v>10000</v>
      </c>
      <c r="M9">
        <f>B2</f>
        <v>10000</v>
      </c>
    </row>
    <row r="11" spans="1:16" x14ac:dyDescent="0.25">
      <c r="A11" t="s">
        <v>139</v>
      </c>
      <c r="B11" s="14" t="s">
        <v>140</v>
      </c>
      <c r="C11" s="14" t="s">
        <v>140</v>
      </c>
      <c r="D11" s="14" t="s">
        <v>140</v>
      </c>
      <c r="E11" s="14" t="s">
        <v>140</v>
      </c>
      <c r="F11" s="14" t="s">
        <v>140</v>
      </c>
      <c r="G11" s="14" t="s">
        <v>140</v>
      </c>
      <c r="H11" s="14" t="s">
        <v>140</v>
      </c>
      <c r="I11" s="14" t="s">
        <v>140</v>
      </c>
      <c r="J11" s="14" t="s">
        <v>140</v>
      </c>
      <c r="K11" s="14" t="s">
        <v>140</v>
      </c>
    </row>
    <row r="12" spans="1:16" x14ac:dyDescent="0.25">
      <c r="A12" t="s">
        <v>13</v>
      </c>
      <c r="B12">
        <f ca="1">'Return rate'!B3</f>
        <v>1.0102</v>
      </c>
      <c r="C12">
        <f ca="1">'Return rate'!C3</f>
        <v>1.0084</v>
      </c>
      <c r="D12">
        <f ca="1">'Return rate'!D3</f>
        <v>1.0044</v>
      </c>
      <c r="E12">
        <f ca="1">'Return rate'!E3</f>
        <v>1.0032000000000001</v>
      </c>
      <c r="F12">
        <f ca="1">'Return rate'!F3</f>
        <v>1.0048999999999999</v>
      </c>
      <c r="G12">
        <f ca="1">'Return rate'!G3</f>
        <v>1.0082</v>
      </c>
      <c r="H12">
        <f ca="1">'Return rate'!H3</f>
        <v>1.0011000000000001</v>
      </c>
      <c r="I12">
        <f ca="1">'Return rate'!I3</f>
        <v>1.0103</v>
      </c>
      <c r="J12">
        <f ca="1">'Return rate'!J3</f>
        <v>1.0145</v>
      </c>
      <c r="K12">
        <f ca="1">'Return rate'!K3</f>
        <v>1.0004</v>
      </c>
    </row>
    <row r="13" spans="1:16" x14ac:dyDescent="0.25">
      <c r="A13" t="s">
        <v>14</v>
      </c>
      <c r="B13">
        <f ca="1">'Return rate'!B4</f>
        <v>8.2650000000000001E-2</v>
      </c>
      <c r="C13">
        <f ca="1">'Return rate'!C4</f>
        <v>6.7322999999999994E-2</v>
      </c>
      <c r="D13">
        <f ca="1">'Return rate'!D4</f>
        <v>9.9085000000000006E-2</v>
      </c>
      <c r="E13">
        <f ca="1">'Return rate'!E4</f>
        <v>7.8482999999999997E-2</v>
      </c>
      <c r="F13">
        <f ca="1">'Return rate'!F4</f>
        <v>6.8432000000000007E-2</v>
      </c>
      <c r="G13">
        <f ca="1">'Return rate'!G4</f>
        <v>5.1797000000000003E-2</v>
      </c>
      <c r="H13">
        <f ca="1">'Return rate'!H4</f>
        <v>8.6978E-2</v>
      </c>
      <c r="I13">
        <f ca="1">'Return rate'!I4</f>
        <v>8.2516999999999993E-2</v>
      </c>
      <c r="J13">
        <f ca="1">'Return rate'!J4</f>
        <v>0.10038999999999999</v>
      </c>
      <c r="K13">
        <f ca="1">'Return rate'!K4</f>
        <v>8.2605999999999999E-2</v>
      </c>
    </row>
    <row r="15" spans="1:16" x14ac:dyDescent="0.25">
      <c r="A15" t="s">
        <v>141</v>
      </c>
    </row>
    <row r="16" spans="1:16" x14ac:dyDescent="0.25">
      <c r="A16" t="s">
        <v>12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>
        <f>1+B4/100</f>
        <v>1.0008295381143462</v>
      </c>
      <c r="P16" s="14"/>
    </row>
    <row r="17" spans="1:16" x14ac:dyDescent="0.25">
      <c r="A17" t="s">
        <v>204</v>
      </c>
      <c r="B17">
        <f ca="1">B16*B7</f>
        <v>0</v>
      </c>
      <c r="C17">
        <f t="shared" ref="C17:L17" ca="1" si="2">C16*C7</f>
        <v>0</v>
      </c>
      <c r="D17">
        <f t="shared" ca="1" si="2"/>
        <v>0</v>
      </c>
      <c r="E17">
        <f t="shared" ca="1" si="2"/>
        <v>0</v>
      </c>
      <c r="F17">
        <f t="shared" ca="1" si="2"/>
        <v>0</v>
      </c>
      <c r="G17">
        <f t="shared" ca="1" si="2"/>
        <v>0</v>
      </c>
      <c r="H17">
        <f t="shared" ca="1" si="2"/>
        <v>0</v>
      </c>
      <c r="I17">
        <f t="shared" ca="1" si="2"/>
        <v>0</v>
      </c>
      <c r="J17">
        <f t="shared" ca="1" si="2"/>
        <v>0</v>
      </c>
      <c r="K17">
        <f t="shared" ca="1" si="2"/>
        <v>0</v>
      </c>
      <c r="L17">
        <f t="shared" ca="1" si="2"/>
        <v>0</v>
      </c>
      <c r="P17" s="14"/>
    </row>
    <row r="19" spans="1:16" x14ac:dyDescent="0.25">
      <c r="A19" t="s">
        <v>142</v>
      </c>
      <c r="B19">
        <f ca="1">(SUM(B17:L17)/$B$2-1)*100</f>
        <v>-100</v>
      </c>
    </row>
    <row r="20" spans="1:16" x14ac:dyDescent="0.25">
      <c r="A20" t="s">
        <v>15</v>
      </c>
      <c r="B20" s="16"/>
    </row>
    <row r="21" spans="1:16" x14ac:dyDescent="0.25">
      <c r="A21" t="s">
        <v>143</v>
      </c>
      <c r="B21" s="16"/>
    </row>
    <row r="24" spans="1:16" x14ac:dyDescent="0.25">
      <c r="A24" t="s">
        <v>144</v>
      </c>
    </row>
    <row r="25" spans="1:16" x14ac:dyDescent="0.25">
      <c r="A25" t="s">
        <v>12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>
        <f>1+B4/100</f>
        <v>1.0008295381143462</v>
      </c>
    </row>
    <row r="26" spans="1:16" x14ac:dyDescent="0.25">
      <c r="A26" t="s">
        <v>204</v>
      </c>
      <c r="B26">
        <f ca="1">B25*B7</f>
        <v>0</v>
      </c>
      <c r="C26">
        <f t="shared" ref="C26:L26" ca="1" si="3">C25*C7</f>
        <v>0</v>
      </c>
      <c r="D26">
        <f t="shared" ca="1" si="3"/>
        <v>0</v>
      </c>
      <c r="E26">
        <f t="shared" ca="1" si="3"/>
        <v>0</v>
      </c>
      <c r="F26">
        <f t="shared" ca="1" si="3"/>
        <v>0</v>
      </c>
      <c r="G26">
        <f t="shared" ca="1" si="3"/>
        <v>0</v>
      </c>
      <c r="H26">
        <f t="shared" ca="1" si="3"/>
        <v>0</v>
      </c>
      <c r="I26">
        <f t="shared" ca="1" si="3"/>
        <v>0</v>
      </c>
      <c r="J26">
        <f t="shared" ca="1" si="3"/>
        <v>0</v>
      </c>
      <c r="K26">
        <f t="shared" ca="1" si="3"/>
        <v>0</v>
      </c>
      <c r="L26">
        <f t="shared" ca="1" si="3"/>
        <v>0</v>
      </c>
    </row>
    <row r="28" spans="1:16" x14ac:dyDescent="0.25">
      <c r="A28" t="s">
        <v>142</v>
      </c>
      <c r="B28">
        <f ca="1">(SUM(B26:L26)/$B$2-1)*100</f>
        <v>-100</v>
      </c>
    </row>
    <row r="29" spans="1:16" x14ac:dyDescent="0.25">
      <c r="A29" t="s">
        <v>15</v>
      </c>
      <c r="B29" s="16">
        <f ca="1">_xll.RiskMean(B28)</f>
        <v>-100</v>
      </c>
    </row>
    <row r="30" spans="1:16" x14ac:dyDescent="0.25">
      <c r="A30" t="s">
        <v>143</v>
      </c>
      <c r="B30" s="16">
        <f ca="1">_xll.RiskStdDev(B28)</f>
        <v>0</v>
      </c>
    </row>
    <row r="31" spans="1:16" x14ac:dyDescent="0.25">
      <c r="M31" t="s">
        <v>145</v>
      </c>
      <c r="N31" s="26" t="s">
        <v>146</v>
      </c>
      <c r="O31" s="26"/>
    </row>
    <row r="32" spans="1:16" x14ac:dyDescent="0.25">
      <c r="A32" t="s">
        <v>202</v>
      </c>
      <c r="M32" s="23" t="s">
        <v>147</v>
      </c>
      <c r="N32" t="s">
        <v>148</v>
      </c>
      <c r="O32" s="17" t="s">
        <v>149</v>
      </c>
      <c r="P32" s="17" t="s">
        <v>150</v>
      </c>
    </row>
    <row r="33" spans="1:16" x14ac:dyDescent="0.25">
      <c r="A33">
        <v>1</v>
      </c>
      <c r="B33" s="24">
        <v>1000</v>
      </c>
      <c r="C33" s="24">
        <v>1000</v>
      </c>
      <c r="D33" s="24">
        <v>1000</v>
      </c>
      <c r="E33" s="24">
        <v>1000</v>
      </c>
      <c r="F33" s="24">
        <v>1000</v>
      </c>
      <c r="G33" s="24">
        <v>1000</v>
      </c>
      <c r="H33" s="24">
        <v>1000</v>
      </c>
      <c r="I33" s="24">
        <v>1000</v>
      </c>
      <c r="J33" s="24">
        <v>1000</v>
      </c>
      <c r="K33" s="24">
        <v>1000</v>
      </c>
      <c r="L33" s="24">
        <v>0</v>
      </c>
      <c r="M33" s="18">
        <f ca="1">_xll.RiskMean($B$19,A33)</f>
        <v>-100</v>
      </c>
      <c r="N33" s="18">
        <f ca="1">_xll.RiskStdDev($B$19,A33)</f>
        <v>0</v>
      </c>
      <c r="O33" s="18">
        <f ca="1">_xll.RiskStdDev($B$28,A33)</f>
        <v>0</v>
      </c>
      <c r="P33" s="19">
        <v>0</v>
      </c>
    </row>
    <row r="34" spans="1:16" x14ac:dyDescent="0.25">
      <c r="A34">
        <v>2</v>
      </c>
      <c r="B34" s="25">
        <v>850</v>
      </c>
      <c r="C34" s="25">
        <v>1040</v>
      </c>
      <c r="D34" s="25">
        <v>230</v>
      </c>
      <c r="E34" s="25">
        <v>240</v>
      </c>
      <c r="F34" s="25">
        <v>520</v>
      </c>
      <c r="G34" s="25">
        <v>1700</v>
      </c>
      <c r="H34" s="25">
        <v>10</v>
      </c>
      <c r="I34" s="25">
        <v>880</v>
      </c>
      <c r="J34" s="25">
        <v>860</v>
      </c>
      <c r="K34" s="25">
        <v>0</v>
      </c>
      <c r="L34" s="25">
        <f>$B$2-SUM(B34:K34)</f>
        <v>3670</v>
      </c>
      <c r="M34" s="18" t="e">
        <f ca="1">_xll.RiskMean($B$19,A34)</f>
        <v>#N/A</v>
      </c>
      <c r="N34" s="18" t="e">
        <f ca="1">_xll.RiskStdDev($B$19,A34)</f>
        <v>#N/A</v>
      </c>
      <c r="O34" s="18" t="e">
        <f ca="1">_xll.RiskStdDev($B$28,A34)</f>
        <v>#N/A</v>
      </c>
      <c r="P34" s="20" t="e">
        <f ca="1">-(O34-O33)/O33</f>
        <v>#N/A</v>
      </c>
    </row>
    <row r="35" spans="1:16" x14ac:dyDescent="0.25">
      <c r="A35">
        <v>3</v>
      </c>
      <c r="B35" s="25">
        <v>460</v>
      </c>
      <c r="C35" s="25">
        <v>1420</v>
      </c>
      <c r="D35" s="25">
        <v>0</v>
      </c>
      <c r="E35" s="25">
        <v>0</v>
      </c>
      <c r="F35" s="25">
        <v>0</v>
      </c>
      <c r="G35" s="25">
        <v>2760</v>
      </c>
      <c r="H35" s="25">
        <v>0</v>
      </c>
      <c r="I35" s="25">
        <v>0</v>
      </c>
      <c r="J35" s="25">
        <v>1200</v>
      </c>
      <c r="K35" s="25">
        <v>0</v>
      </c>
      <c r="L35" s="25">
        <f>$B$2-SUM(B35:K35)</f>
        <v>4160</v>
      </c>
      <c r="M35" s="18" t="e">
        <f ca="1">_xll.RiskMean($B$19,A35)</f>
        <v>#N/A</v>
      </c>
      <c r="N35" s="18" t="e">
        <f ca="1">_xll.RiskStdDev($B$19,A35)</f>
        <v>#N/A</v>
      </c>
      <c r="O35" s="18" t="e">
        <f ca="1">_xll.RiskStdDev($B$28,A35)</f>
        <v>#N/A</v>
      </c>
      <c r="P35" s="20" t="e">
        <f ca="1">-(O35-O34)/O34</f>
        <v>#N/A</v>
      </c>
    </row>
  </sheetData>
  <mergeCells count="1">
    <mergeCell ref="N31:O31"/>
  </mergeCells>
  <pageMargins left="0.7" right="0.7" top="0.75" bottom="0.75" header="0.3" footer="0.3"/>
  <pageSetup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/>
  <dimension ref="A1:BU27"/>
  <sheetViews>
    <sheetView workbookViewId="0"/>
  </sheetViews>
  <sheetFormatPr baseColWidth="10" defaultColWidth="15.7109375" defaultRowHeight="15" x14ac:dyDescent="0.25"/>
  <cols>
    <col min="1" max="16384" width="15.7109375" style="3"/>
  </cols>
  <sheetData>
    <row r="1" spans="1:73" x14ac:dyDescent="0.25">
      <c r="A1" s="3" t="s">
        <v>59</v>
      </c>
      <c r="B1" s="6" t="e">
        <f>#REF!</f>
        <v>#REF!</v>
      </c>
      <c r="C1" s="7">
        <v>2</v>
      </c>
      <c r="D1" s="7">
        <v>0.5</v>
      </c>
      <c r="E1" s="5"/>
      <c r="F1" s="3" t="s">
        <v>72</v>
      </c>
      <c r="I1" s="3" t="s">
        <v>52</v>
      </c>
      <c r="J1" s="5">
        <v>4</v>
      </c>
      <c r="L1" s="3" t="s">
        <v>49</v>
      </c>
      <c r="M1" s="5" t="b">
        <v>1</v>
      </c>
      <c r="O1" s="3" t="s">
        <v>167</v>
      </c>
      <c r="Y1" s="3" t="s">
        <v>170</v>
      </c>
      <c r="AA1" s="3" t="s">
        <v>195</v>
      </c>
      <c r="AD1" s="3" t="s">
        <v>178</v>
      </c>
    </row>
    <row r="2" spans="1:73" x14ac:dyDescent="0.25">
      <c r="A2" s="3" t="s">
        <v>60</v>
      </c>
      <c r="B2" s="6">
        <v>1</v>
      </c>
      <c r="C2" s="6">
        <v>0</v>
      </c>
      <c r="F2" s="3" t="s">
        <v>73</v>
      </c>
      <c r="G2" s="6" t="b">
        <v>0</v>
      </c>
      <c r="H2" s="6"/>
      <c r="I2" s="3" t="s">
        <v>44</v>
      </c>
      <c r="J2" s="5"/>
      <c r="L2" s="3" t="s">
        <v>189</v>
      </c>
      <c r="M2" s="7">
        <v>1000</v>
      </c>
      <c r="O2" s="3" t="s">
        <v>15</v>
      </c>
      <c r="P2" s="5"/>
      <c r="R2" s="3" t="s">
        <v>53</v>
      </c>
      <c r="S2" s="8" t="s">
        <v>76</v>
      </c>
      <c r="U2" s="3" t="s">
        <v>57</v>
      </c>
      <c r="V2" s="5"/>
      <c r="X2" s="3" t="s">
        <v>171</v>
      </c>
      <c r="Y2" s="6">
        <v>0</v>
      </c>
      <c r="AA2" s="3" t="s">
        <v>196</v>
      </c>
      <c r="AB2" s="6">
        <v>0</v>
      </c>
      <c r="AD2" s="3" t="s">
        <v>179</v>
      </c>
      <c r="AE2" s="6" t="b">
        <v>1</v>
      </c>
    </row>
    <row r="3" spans="1:73" x14ac:dyDescent="0.25">
      <c r="A3" s="3" t="s">
        <v>64</v>
      </c>
      <c r="B3" s="6" t="b">
        <v>0</v>
      </c>
      <c r="C3" s="6">
        <v>1000</v>
      </c>
      <c r="F3" s="3" t="s">
        <v>191</v>
      </c>
      <c r="G3" s="6" t="b">
        <v>0</v>
      </c>
      <c r="H3" s="6"/>
      <c r="I3" s="3" t="s">
        <v>45</v>
      </c>
      <c r="J3" s="11">
        <v>0</v>
      </c>
      <c r="L3" s="3" t="s">
        <v>188</v>
      </c>
      <c r="M3" s="7">
        <v>0</v>
      </c>
      <c r="N3" s="7">
        <v>0</v>
      </c>
      <c r="O3" s="3" t="s">
        <v>46</v>
      </c>
      <c r="P3" s="5"/>
      <c r="R3" s="3" t="s">
        <v>54</v>
      </c>
      <c r="S3" s="8" t="s">
        <v>92</v>
      </c>
      <c r="U3" s="3" t="s">
        <v>58</v>
      </c>
      <c r="V3" s="5"/>
      <c r="X3" s="3" t="s">
        <v>172</v>
      </c>
      <c r="Y3" s="6">
        <v>0.1</v>
      </c>
      <c r="AA3" s="3" t="s">
        <v>197</v>
      </c>
      <c r="AB3" s="5"/>
      <c r="AD3" s="3" t="s">
        <v>180</v>
      </c>
      <c r="AE3" s="6">
        <v>250</v>
      </c>
    </row>
    <row r="4" spans="1:73" x14ac:dyDescent="0.25">
      <c r="A4" s="3" t="s">
        <v>66</v>
      </c>
      <c r="B4" s="6" t="b">
        <v>1</v>
      </c>
      <c r="C4" s="6">
        <v>8</v>
      </c>
      <c r="D4" s="6">
        <v>1</v>
      </c>
      <c r="F4" s="3" t="s">
        <v>192</v>
      </c>
      <c r="G4" s="6" t="b">
        <v>0</v>
      </c>
      <c r="H4" s="6"/>
      <c r="L4" s="3" t="s">
        <v>176</v>
      </c>
      <c r="M4" s="7" t="b">
        <v>1</v>
      </c>
      <c r="O4" s="3" t="s">
        <v>47</v>
      </c>
      <c r="P4" s="5"/>
      <c r="R4" s="3" t="s">
        <v>55</v>
      </c>
      <c r="S4" s="8" t="s">
        <v>77</v>
      </c>
      <c r="X4" s="3" t="s">
        <v>173</v>
      </c>
      <c r="Y4" s="6">
        <v>0.5</v>
      </c>
      <c r="AA4" s="3" t="s">
        <v>198</v>
      </c>
      <c r="AB4" s="5"/>
      <c r="AD4" s="3" t="s">
        <v>181</v>
      </c>
      <c r="AE4" s="6" t="b">
        <v>0</v>
      </c>
    </row>
    <row r="5" spans="1:73" x14ac:dyDescent="0.25">
      <c r="A5" s="3" t="s">
        <v>67</v>
      </c>
      <c r="B5" s="6" t="b">
        <v>0</v>
      </c>
      <c r="C5" s="6">
        <v>100</v>
      </c>
      <c r="D5" s="6">
        <v>0.01</v>
      </c>
      <c r="E5" s="6" t="b">
        <v>1</v>
      </c>
      <c r="F5" s="3" t="s">
        <v>74</v>
      </c>
      <c r="G5" s="6" t="b">
        <v>0</v>
      </c>
      <c r="H5" s="6"/>
      <c r="L5" s="3" t="s">
        <v>177</v>
      </c>
      <c r="M5" s="7">
        <v>3</v>
      </c>
      <c r="O5" s="3" t="s">
        <v>48</v>
      </c>
      <c r="P5" s="5"/>
      <c r="R5" s="3" t="s">
        <v>56</v>
      </c>
      <c r="S5" s="8" t="s">
        <v>205</v>
      </c>
      <c r="X5" s="3" t="s">
        <v>174</v>
      </c>
      <c r="Y5" s="6" t="s">
        <v>201</v>
      </c>
      <c r="AA5" s="3" t="s">
        <v>199</v>
      </c>
      <c r="AB5" s="5"/>
      <c r="AD5" s="3" t="s">
        <v>182</v>
      </c>
      <c r="AE5" s="6">
        <v>15</v>
      </c>
    </row>
    <row r="6" spans="1:73" x14ac:dyDescent="0.25">
      <c r="A6" s="3" t="s">
        <v>65</v>
      </c>
      <c r="B6" s="6" t="b">
        <v>0</v>
      </c>
      <c r="C6" s="6" t="e">
        <f ca="1">IF(_xll.RiskStdDev(#REF!)&lt;=1.1,TRUE,FALSE)</f>
        <v>#REF!</v>
      </c>
      <c r="F6" s="3" t="s">
        <v>75</v>
      </c>
      <c r="G6" s="6" t="b">
        <v>0</v>
      </c>
      <c r="H6" s="6"/>
      <c r="L6" s="3" t="s">
        <v>193</v>
      </c>
      <c r="M6" s="7" t="b">
        <v>0</v>
      </c>
      <c r="N6" s="7"/>
      <c r="R6" s="3" t="s">
        <v>168</v>
      </c>
      <c r="S6" s="5"/>
      <c r="X6" s="3" t="s">
        <v>175</v>
      </c>
      <c r="Y6" s="7" t="b">
        <v>1</v>
      </c>
      <c r="AA6" s="3" t="s">
        <v>200</v>
      </c>
      <c r="AB6" s="5"/>
      <c r="AD6" s="3" t="s">
        <v>183</v>
      </c>
      <c r="AE6" s="6">
        <v>2</v>
      </c>
    </row>
    <row r="7" spans="1:73" x14ac:dyDescent="0.25">
      <c r="A7" s="3" t="s">
        <v>61</v>
      </c>
      <c r="B7" s="6">
        <v>50</v>
      </c>
      <c r="L7" s="3" t="s">
        <v>194</v>
      </c>
      <c r="M7" s="7" t="b">
        <v>0</v>
      </c>
      <c r="N7" s="7"/>
      <c r="R7" s="3" t="s">
        <v>169</v>
      </c>
      <c r="S7" s="5"/>
      <c r="AD7" s="3" t="s">
        <v>184</v>
      </c>
      <c r="AE7" s="6" t="b">
        <v>0</v>
      </c>
    </row>
    <row r="8" spans="1:73" x14ac:dyDescent="0.25">
      <c r="A8" s="3" t="s">
        <v>17</v>
      </c>
      <c r="B8" s="3" t="s">
        <v>17</v>
      </c>
      <c r="F8" s="3" t="s">
        <v>62</v>
      </c>
      <c r="G8" s="6" t="b">
        <v>1</v>
      </c>
      <c r="H8" s="6">
        <v>1</v>
      </c>
      <c r="AD8" s="3" t="s">
        <v>185</v>
      </c>
      <c r="AE8" s="6">
        <v>100</v>
      </c>
    </row>
    <row r="9" spans="1:73" x14ac:dyDescent="0.25">
      <c r="A9" s="3" t="s">
        <v>71</v>
      </c>
      <c r="B9" s="6">
        <v>3</v>
      </c>
      <c r="F9" s="3" t="s">
        <v>68</v>
      </c>
      <c r="G9" s="6" t="b">
        <v>0</v>
      </c>
      <c r="AD9" s="3" t="s">
        <v>186</v>
      </c>
      <c r="AE9" s="6">
        <v>0.01</v>
      </c>
    </row>
    <row r="10" spans="1:73" x14ac:dyDescent="0.25">
      <c r="A10" s="3" t="s">
        <v>63</v>
      </c>
      <c r="B10" s="6" t="b">
        <v>0</v>
      </c>
      <c r="AD10" s="3" t="s">
        <v>187</v>
      </c>
      <c r="AE10" s="6" t="b">
        <v>1</v>
      </c>
    </row>
    <row r="11" spans="1:73" x14ac:dyDescent="0.25">
      <c r="A11" s="3" t="s">
        <v>190</v>
      </c>
      <c r="B11" s="6" t="b">
        <v>1</v>
      </c>
    </row>
    <row r="12" spans="1:73" x14ac:dyDescent="0.25">
      <c r="A12" s="3" t="s">
        <v>70</v>
      </c>
      <c r="B12" s="6" t="b">
        <v>0</v>
      </c>
      <c r="F12" s="3" t="s">
        <v>69</v>
      </c>
      <c r="G12" s="6">
        <v>2</v>
      </c>
    </row>
    <row r="14" spans="1:73" ht="15.75" thickBot="1" x14ac:dyDescent="0.3">
      <c r="A14" s="3" t="s">
        <v>50</v>
      </c>
      <c r="B14" s="5">
        <v>1</v>
      </c>
      <c r="AX14" s="3" t="s">
        <v>51</v>
      </c>
      <c r="AY14" s="5">
        <v>2</v>
      </c>
    </row>
    <row r="15" spans="1:73" s="4" customFormat="1" ht="15.75" thickTop="1" x14ac:dyDescent="0.25">
      <c r="A15" s="4" t="s">
        <v>153</v>
      </c>
      <c r="B15" s="4" t="s">
        <v>154</v>
      </c>
      <c r="C15" s="4" t="s">
        <v>155</v>
      </c>
      <c r="D15" s="4" t="s">
        <v>18</v>
      </c>
      <c r="E15" s="4" t="s">
        <v>19</v>
      </c>
      <c r="F15" s="4" t="s">
        <v>20</v>
      </c>
      <c r="G15" s="4" t="s">
        <v>21</v>
      </c>
      <c r="H15" s="4" t="s">
        <v>22</v>
      </c>
      <c r="I15" s="4" t="s">
        <v>23</v>
      </c>
      <c r="J15" s="4" t="s">
        <v>24</v>
      </c>
      <c r="K15" s="4" t="s">
        <v>25</v>
      </c>
      <c r="AR15" s="4" t="s">
        <v>26</v>
      </c>
      <c r="AS15" s="4" t="s">
        <v>27</v>
      </c>
      <c r="AT15" s="4" t="s">
        <v>28</v>
      </c>
      <c r="AU15" s="4" t="s">
        <v>29</v>
      </c>
      <c r="AV15" s="4" t="s">
        <v>30</v>
      </c>
      <c r="AW15" s="4" t="s">
        <v>31</v>
      </c>
      <c r="AX15" s="4" t="s">
        <v>32</v>
      </c>
      <c r="AY15" s="4" t="s">
        <v>33</v>
      </c>
      <c r="AZ15" s="4" t="s">
        <v>34</v>
      </c>
      <c r="BA15" s="4" t="s">
        <v>18</v>
      </c>
      <c r="BB15" s="4" t="s">
        <v>35</v>
      </c>
      <c r="BC15" s="4" t="s">
        <v>36</v>
      </c>
      <c r="BD15" s="4" t="s">
        <v>37</v>
      </c>
      <c r="BE15" s="4" t="s">
        <v>38</v>
      </c>
      <c r="BF15" s="4" t="s">
        <v>39</v>
      </c>
      <c r="BG15" s="4" t="s">
        <v>40</v>
      </c>
      <c r="BH15" s="4" t="s">
        <v>41</v>
      </c>
      <c r="BI15" s="4" t="s">
        <v>42</v>
      </c>
      <c r="BJ15" s="4" t="s">
        <v>43</v>
      </c>
      <c r="BK15" s="4" t="s">
        <v>156</v>
      </c>
      <c r="BL15" s="4" t="s">
        <v>157</v>
      </c>
      <c r="BM15" s="4" t="s">
        <v>158</v>
      </c>
      <c r="BN15" s="4" t="s">
        <v>159</v>
      </c>
      <c r="BO15" s="4" t="s">
        <v>160</v>
      </c>
      <c r="BP15" s="4" t="s">
        <v>161</v>
      </c>
      <c r="BQ15" s="4" t="s">
        <v>162</v>
      </c>
      <c r="BR15" s="4" t="s">
        <v>163</v>
      </c>
      <c r="BS15" s="4" t="s">
        <v>164</v>
      </c>
      <c r="BT15" s="4" t="s">
        <v>165</v>
      </c>
      <c r="BU15" s="4" t="s">
        <v>166</v>
      </c>
    </row>
    <row r="16" spans="1:73" x14ac:dyDescent="0.25">
      <c r="A16" s="3" t="s">
        <v>90</v>
      </c>
      <c r="B16" s="3">
        <v>0.1</v>
      </c>
      <c r="C16" s="3">
        <v>0.5</v>
      </c>
      <c r="D16" s="9" t="s">
        <v>82</v>
      </c>
      <c r="G16" s="3">
        <v>1</v>
      </c>
      <c r="H16" s="10" t="e">
        <f>#REF!</f>
        <v>#REF!</v>
      </c>
      <c r="I16" s="3">
        <v>0</v>
      </c>
      <c r="J16" s="3" t="e">
        <f>#REF!</f>
        <v>#REF!</v>
      </c>
      <c r="K16" s="3" t="s">
        <v>91</v>
      </c>
      <c r="AX16" s="3">
        <v>2</v>
      </c>
      <c r="AY16" s="3">
        <v>1</v>
      </c>
      <c r="BA16" s="3" t="s">
        <v>93</v>
      </c>
      <c r="BB16" s="3" t="e">
        <f>#REF!</f>
        <v>#REF!</v>
      </c>
      <c r="BC16" s="3">
        <v>2</v>
      </c>
      <c r="BD16" s="3" t="e">
        <f>#REF!</f>
        <v>#REF!</v>
      </c>
      <c r="BE16" s="3">
        <v>2</v>
      </c>
      <c r="BF16" s="3">
        <v>100</v>
      </c>
      <c r="BH16" s="3">
        <v>1</v>
      </c>
      <c r="BI16" s="3">
        <v>1</v>
      </c>
      <c r="BJ16" s="3">
        <v>0</v>
      </c>
    </row>
    <row r="17" spans="1:62" x14ac:dyDescent="0.25">
      <c r="A17" s="3" t="s">
        <v>78</v>
      </c>
      <c r="AX17" s="3">
        <v>2</v>
      </c>
      <c r="AY17" s="3">
        <v>1</v>
      </c>
      <c r="BA17" s="3" t="s">
        <v>11</v>
      </c>
      <c r="BB17" s="3">
        <v>0</v>
      </c>
      <c r="BC17" s="3">
        <v>6</v>
      </c>
      <c r="BD17" s="10" t="e">
        <f>#REF!</f>
        <v>#REF!</v>
      </c>
      <c r="BE17" s="3">
        <v>4</v>
      </c>
      <c r="BF17" s="3">
        <v>0</v>
      </c>
      <c r="BH17" s="3">
        <v>1</v>
      </c>
      <c r="BI17" s="3">
        <v>12</v>
      </c>
      <c r="BJ17" s="3">
        <v>0</v>
      </c>
    </row>
    <row r="18" spans="1:62" x14ac:dyDescent="0.25">
      <c r="A18" s="3" t="s">
        <v>79</v>
      </c>
    </row>
    <row r="19" spans="1:62" x14ac:dyDescent="0.25">
      <c r="A19" s="3" t="s">
        <v>80</v>
      </c>
    </row>
    <row r="20" spans="1:62" x14ac:dyDescent="0.25">
      <c r="A20" s="3" t="s">
        <v>81</v>
      </c>
    </row>
    <row r="21" spans="1:62" x14ac:dyDescent="0.25">
      <c r="A21" s="3" t="s">
        <v>83</v>
      </c>
    </row>
    <row r="22" spans="1:62" x14ac:dyDescent="0.25">
      <c r="A22" s="3" t="s">
        <v>84</v>
      </c>
    </row>
    <row r="23" spans="1:62" x14ac:dyDescent="0.25">
      <c r="A23" s="3" t="s">
        <v>85</v>
      </c>
    </row>
    <row r="24" spans="1:62" x14ac:dyDescent="0.25">
      <c r="A24" s="3" t="s">
        <v>86</v>
      </c>
    </row>
    <row r="25" spans="1:62" x14ac:dyDescent="0.25">
      <c r="A25" s="3" t="s">
        <v>87</v>
      </c>
    </row>
    <row r="26" spans="1:62" x14ac:dyDescent="0.25">
      <c r="A26" s="3" t="s">
        <v>88</v>
      </c>
    </row>
    <row r="27" spans="1:62" x14ac:dyDescent="0.25">
      <c r="A27" s="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Adjusted close</vt:lpstr>
      <vt:lpstr>_@RISKFitInformation</vt:lpstr>
      <vt:lpstr>Return rate</vt:lpstr>
      <vt:lpstr>Correlation effect</vt:lpstr>
      <vt:lpstr>ro_HiddenInfo</vt:lpstr>
    </vt:vector>
  </TitlesOfParts>
  <Company>HEC Montréal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clihec3</dc:creator>
  <cp:lastModifiedBy>Erick Delage</cp:lastModifiedBy>
  <cp:lastPrinted>2012-04-04T21:47:15Z</cp:lastPrinted>
  <dcterms:created xsi:type="dcterms:W3CDTF">2012-02-29T15:37:09Z</dcterms:created>
  <dcterms:modified xsi:type="dcterms:W3CDTF">2022-01-28T14:58:56Z</dcterms:modified>
</cp:coreProperties>
</file>