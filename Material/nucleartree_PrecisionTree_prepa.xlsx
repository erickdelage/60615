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326"/>
  <workbookPr defaultThemeVersion="124226"/>
  <mc:AlternateContent xmlns:mc="http://schemas.openxmlformats.org/markup-compatibility/2006">
    <mc:Choice Requires="x15">
      <x15ac:absPath xmlns:x15ac="http://schemas.microsoft.com/office/spreadsheetml/2010/11/ac" url="D:\11131697\Dropbox\MyDocuments\My Classes\MSc_AnalyseDecisions\AD_Automne2017\Lectures\Seance_6\source\NuclearTree\"/>
    </mc:Choice>
  </mc:AlternateContent>
  <bookViews>
    <workbookView xWindow="-15" yWindow="-15" windowWidth="14235" windowHeight="12120" xr2:uid="{00000000-000D-0000-FFFF-FFFF00000000}"/>
  </bookViews>
  <sheets>
    <sheet name="cash flows" sheetId="20" r:id="rId1"/>
    <sheet name="CB_DATA_" sheetId="8" state="hidden" r:id="rId2"/>
    <sheet name="ro_HiddenInfo" sheetId="19" state="hidden" r:id="rId3"/>
    <sheet name="Assumptions" sheetId="24" r:id="rId4"/>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256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CB_0586a49258974a04a5e3e4ef56caa8a1" localSheetId="1" hidden="1">#N/A</definedName>
    <definedName name="CB_Block_00000000000000000000000000000000" localSheetId="1" hidden="1">"'7.0.0.0"</definedName>
    <definedName name="CB_Block_00000000000000000000000000000001" localSheetId="1" hidden="1">"'633389339899062500"</definedName>
    <definedName name="CB_Block_00000000000000000000000000000003" localSheetId="1" hidden="1">"'7.3.960.0"</definedName>
    <definedName name="CB_BlockExt_00000000000000000000000000000003" localSheetId="1" hidden="1">"'7.3.1"</definedName>
    <definedName name="CBWorkbookPriority" hidden="1">-1474084343</definedName>
    <definedName name="CBx_12678692a5f948458c394d3e4a231c9b" localSheetId="1" hidden="1">"'CB_DATA_'!$A$1"</definedName>
    <definedName name="CBx_aed80c88d725493e9a11647d35d79232" localSheetId="1" hidden="1">"'simulation'!$A$1"</definedName>
    <definedName name="CBx_Sheet_Guid" localSheetId="1" hidden="1">"'12678692-a5f9-4845-8c39-4d3e4a231c9b"</definedName>
    <definedName name="CBx_SheetRef" localSheetId="1" hidden="1">CB_DATA_!$A$14</definedName>
    <definedName name="CBx_StorageType" localSheetId="1" hidden="1">2</definedName>
    <definedName name="Pal_Workbook_GUID" hidden="1">"I8Z52SP3TZ9KWJ27RWK4V8C9"</definedName>
    <definedName name="PalisadeReportWorkbookCreatedBy">"AtRisk"</definedName>
    <definedName name="PTree_PolicySuggestion_IncludeDecisionTable" hidden="1">FALSE</definedName>
    <definedName name="PTree_PolicySuggestion_IncludeOptimalDecisionTree" hidden="1">TRUE</definedName>
    <definedName name="PTree_PolicySuggestion_Model" hidden="1">PTreeObjectReference(PTDecisionTree_1,#REF!)</definedName>
    <definedName name="PTree_PolicySuggestion_StartingNode" hidden="1">PTreeObjectReference(NULL,NULL)</definedName>
    <definedName name="PTree_RiskProfile_IncludeCumulativeChart" hidden="1">FALSE</definedName>
    <definedName name="PTree_RiskProfile_IncludeProbabilityChart" hidden="1">TRUE</definedName>
    <definedName name="PTree_RiskProfile_IncludeStatisticalSummary" hidden="1">FALSE</definedName>
    <definedName name="PTree_RiskProfile_Model" hidden="1">PTreeObjectReference(PTDecisionTree_1,#REF!)</definedName>
    <definedName name="PTree_RiskProfile_PathsToAnalyze" hidden="1">0</definedName>
    <definedName name="PTree_RiskProfile_StartingNode" hidden="1">PTreeObjectReference(NULL,NULL)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corr" hidden="1">1</definedName>
    <definedName name="solver_ctp1" hidden="1">0</definedName>
    <definedName name="solver_ctp2" hidden="1">0</definedName>
    <definedName name="solver_disp" hidden="1">4</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10000</definedName>
    <definedName name="solver_rgen" hidden="1">1</definedName>
    <definedName name="solver_rsmp" hidden="1">2</definedName>
    <definedName name="solver_seed" hidden="1">0</definedName>
    <definedName name="solver_strm" hidden="1">0</definedName>
    <definedName name="solver_ucens" hidden="1">1E+30</definedName>
    <definedName name="solver_ucut" hidden="1">1E+30</definedName>
    <definedName name="solvero_CRMax" hidden="1">"System.Double:Infinity"</definedName>
    <definedName name="solvero_CRMin" hidden="1">"System.Double:-Infinity"</definedName>
    <definedName name="solvero_OSpPars" hidden="1">"RiskSolver.UI.Charts.OutDlgPars:-1000001;29;28;42;42;0;1;90;80;0;0;0;0;1;"</definedName>
  </definedNames>
  <calcPr calcId="171027"/>
</workbook>
</file>

<file path=xl/calcChain.xml><?xml version="1.0" encoding="utf-8"?>
<calcChain xmlns="http://schemas.openxmlformats.org/spreadsheetml/2006/main">
  <c r="C30" i="20" l="1"/>
  <c r="C28" i="20"/>
  <c r="C32" i="20" s="1"/>
  <c r="C18" i="20"/>
  <c r="C11" i="20"/>
  <c r="C10" i="20"/>
  <c r="C8" i="20"/>
  <c r="C7" i="20"/>
  <c r="C5" i="20"/>
  <c r="C4" i="20"/>
  <c r="C29" i="20" l="1"/>
  <c r="C31" i="20"/>
  <c r="D30" i="24" l="1"/>
  <c r="D28" i="24"/>
  <c r="D34" i="24" s="1"/>
  <c r="D21" i="24"/>
  <c r="D23" i="24" s="1"/>
  <c r="D18" i="24"/>
  <c r="D14" i="24"/>
  <c r="D10" i="24"/>
  <c r="H16" i="19"/>
  <c r="B1" i="19"/>
  <c r="B11" i="8"/>
  <c r="A11" i="8"/>
  <c r="H32" i="20"/>
  <c r="H31" i="20"/>
  <c r="H30" i="20"/>
  <c r="H29" i="20"/>
  <c r="H28" i="20"/>
  <c r="E19" i="20"/>
  <c r="H18" i="20"/>
  <c r="I18" i="20" s="1"/>
  <c r="R16" i="20"/>
  <c r="Q16" i="20"/>
  <c r="P16" i="20"/>
  <c r="O16" i="20"/>
  <c r="N16" i="20"/>
  <c r="G15" i="20"/>
  <c r="G14" i="20"/>
  <c r="H9" i="20"/>
  <c r="H6" i="20"/>
  <c r="H2" i="20" s="1"/>
  <c r="H34" i="20" s="1"/>
  <c r="H3" i="20"/>
  <c r="I3" i="20" s="1"/>
  <c r="I1" i="20"/>
  <c r="J1" i="20" s="1"/>
  <c r="I29" i="20"/>
  <c r="I28" i="20"/>
  <c r="I9" i="20"/>
  <c r="D31" i="24"/>
  <c r="I6" i="20" l="1"/>
  <c r="I2" i="20" s="1"/>
  <c r="I34" i="20" s="1"/>
  <c r="H33" i="20"/>
  <c r="H37" i="20" s="1"/>
  <c r="H39" i="20"/>
  <c r="G16" i="20"/>
  <c r="D33" i="24"/>
  <c r="D32" i="24"/>
  <c r="J18" i="20"/>
  <c r="J3" i="20"/>
  <c r="J29" i="20"/>
  <c r="K1" i="20"/>
  <c r="J9" i="20"/>
  <c r="J6" i="20"/>
  <c r="J28" i="20"/>
  <c r="I33" i="20" l="1"/>
  <c r="J33" i="20" s="1"/>
  <c r="I31" i="20"/>
  <c r="I30" i="20"/>
  <c r="I32" i="20"/>
  <c r="H35" i="20"/>
  <c r="H36" i="20" s="1"/>
  <c r="K9" i="20"/>
  <c r="K28" i="20"/>
  <c r="K6" i="20"/>
  <c r="K2" i="20" s="1"/>
  <c r="L1" i="20"/>
  <c r="K3" i="20"/>
  <c r="K18" i="20"/>
  <c r="K29" i="20"/>
  <c r="J2" i="20"/>
  <c r="I37" i="20" l="1"/>
  <c r="J32" i="20"/>
  <c r="J39" i="20" s="1"/>
  <c r="I35" i="20"/>
  <c r="I36" i="20" s="1"/>
  <c r="J30" i="20"/>
  <c r="J31" i="20"/>
  <c r="H38" i="20"/>
  <c r="H40" i="20" s="1"/>
  <c r="I39" i="20"/>
  <c r="L29" i="20"/>
  <c r="L28" i="20"/>
  <c r="M1" i="20"/>
  <c r="L9" i="20"/>
  <c r="L3" i="20"/>
  <c r="L18" i="20"/>
  <c r="L6" i="20"/>
  <c r="J34" i="20"/>
  <c r="K34" i="20"/>
  <c r="K32" i="20"/>
  <c r="J37" i="20"/>
  <c r="J35" i="20"/>
  <c r="J36" i="20" s="1"/>
  <c r="K31" i="20"/>
  <c r="K30" i="20"/>
  <c r="K33" i="20" s="1"/>
  <c r="J38" i="20" l="1"/>
  <c r="J40" i="20" s="1"/>
  <c r="K35" i="20"/>
  <c r="L31" i="20"/>
  <c r="L30" i="20"/>
  <c r="L33" i="20" s="1"/>
  <c r="L32" i="20"/>
  <c r="K37" i="20"/>
  <c r="K39" i="20"/>
  <c r="L2" i="20"/>
  <c r="M9" i="20"/>
  <c r="N1" i="20"/>
  <c r="M29" i="20"/>
  <c r="M18" i="20"/>
  <c r="M6" i="20"/>
  <c r="M2" i="20" s="1"/>
  <c r="M3" i="20"/>
  <c r="M28" i="20"/>
  <c r="I38" i="20"/>
  <c r="H42" i="20"/>
  <c r="M34" i="20" l="1"/>
  <c r="I40" i="20"/>
  <c r="I42" i="20" s="1"/>
  <c r="N29" i="20"/>
  <c r="O1" i="20"/>
  <c r="N18" i="20"/>
  <c r="N9" i="20"/>
  <c r="N28" i="20"/>
  <c r="N3" i="20"/>
  <c r="N6" i="20"/>
  <c r="N2" i="20" s="1"/>
  <c r="L39" i="20"/>
  <c r="K36" i="20"/>
  <c r="L34" i="20"/>
  <c r="M32" i="20"/>
  <c r="M31" i="20"/>
  <c r="L37" i="20"/>
  <c r="L35" i="20"/>
  <c r="L36" i="20" s="1"/>
  <c r="M30" i="20"/>
  <c r="M33" i="20" s="1"/>
  <c r="J42" i="20" l="1"/>
  <c r="J44" i="20" s="1"/>
  <c r="N31" i="20"/>
  <c r="N32" i="20"/>
  <c r="N30" i="20"/>
  <c r="N33" i="20" s="1"/>
  <c r="M35" i="20"/>
  <c r="M37" i="20"/>
  <c r="L38" i="20"/>
  <c r="L40" i="20" s="1"/>
  <c r="M39" i="20"/>
  <c r="I44" i="20"/>
  <c r="O3" i="20"/>
  <c r="O6" i="20"/>
  <c r="O2" i="20" s="1"/>
  <c r="O29" i="20"/>
  <c r="O18" i="20"/>
  <c r="O9" i="20"/>
  <c r="P1" i="20"/>
  <c r="O28" i="20"/>
  <c r="K38" i="20"/>
  <c r="N34" i="20"/>
  <c r="O31" i="20" l="1"/>
  <c r="N37" i="20"/>
  <c r="N35" i="20"/>
  <c r="N36" i="20" s="1"/>
  <c r="O30" i="20"/>
  <c r="K40" i="20"/>
  <c r="K42" i="20" s="1"/>
  <c r="K44" i="20" s="1"/>
  <c r="P28" i="20"/>
  <c r="Q1" i="20"/>
  <c r="P9" i="20"/>
  <c r="P29" i="20"/>
  <c r="P6" i="20"/>
  <c r="P2" i="20" s="1"/>
  <c r="P18" i="20"/>
  <c r="P3" i="20"/>
  <c r="M36" i="20"/>
  <c r="O34" i="20"/>
  <c r="O32" i="20" s="1"/>
  <c r="N39" i="20"/>
  <c r="O33" i="20" l="1"/>
  <c r="O35" i="20" s="1"/>
  <c r="M38" i="20"/>
  <c r="N38" i="20"/>
  <c r="N40" i="20" s="1"/>
  <c r="L42" i="20"/>
  <c r="L44" i="20" s="1"/>
  <c r="P34" i="20"/>
  <c r="Q29" i="20"/>
  <c r="Q6" i="20"/>
  <c r="Q2" i="20" s="1"/>
  <c r="Q18" i="20"/>
  <c r="R1" i="20"/>
  <c r="Q3" i="20"/>
  <c r="Q9" i="20"/>
  <c r="Q28" i="20"/>
  <c r="O39" i="20"/>
  <c r="P32" i="20" l="1"/>
  <c r="P39" i="20" s="1"/>
  <c r="O37" i="20"/>
  <c r="P30" i="20"/>
  <c r="P31" i="20"/>
  <c r="Q34" i="20"/>
  <c r="O36" i="20"/>
  <c r="M40" i="20"/>
  <c r="M42" i="20" s="1"/>
  <c r="M44" i="20" s="1"/>
  <c r="R28" i="20"/>
  <c r="S1" i="20"/>
  <c r="R18" i="20"/>
  <c r="R9" i="20"/>
  <c r="R3" i="20"/>
  <c r="R29" i="20"/>
  <c r="R6" i="20"/>
  <c r="R2" i="20" s="1"/>
  <c r="P33" i="20" l="1"/>
  <c r="Q30" i="20" s="1"/>
  <c r="R34" i="20"/>
  <c r="N42" i="20"/>
  <c r="O38" i="20"/>
  <c r="S9" i="20"/>
  <c r="S28" i="20"/>
  <c r="S6" i="20"/>
  <c r="S2" i="20" s="1"/>
  <c r="T1" i="20"/>
  <c r="S3" i="20"/>
  <c r="S29" i="20"/>
  <c r="S18" i="20"/>
  <c r="Q32" i="20" l="1"/>
  <c r="Q39" i="20" s="1"/>
  <c r="P35" i="20"/>
  <c r="P36" i="20" s="1"/>
  <c r="Q31" i="20"/>
  <c r="Q33" i="20" s="1"/>
  <c r="R31" i="20" s="1"/>
  <c r="P37" i="20"/>
  <c r="T29" i="20"/>
  <c r="T3" i="20"/>
  <c r="T18" i="20"/>
  <c r="U1" i="20"/>
  <c r="T28" i="20"/>
  <c r="T9" i="20"/>
  <c r="T6" i="20"/>
  <c r="T2" i="20" s="1"/>
  <c r="S34" i="20"/>
  <c r="O40" i="20"/>
  <c r="O42" i="20" s="1"/>
  <c r="O44" i="20" s="1"/>
  <c r="N44" i="20"/>
  <c r="P38" i="20" l="1"/>
  <c r="P40" i="20" s="1"/>
  <c r="P42" i="20" s="1"/>
  <c r="P44" i="20" s="1"/>
  <c r="Q37" i="20"/>
  <c r="R30" i="20"/>
  <c r="R33" i="20" s="1"/>
  <c r="S30" i="20" s="1"/>
  <c r="R32" i="20"/>
  <c r="R39" i="20" s="1"/>
  <c r="Q35" i="20"/>
  <c r="Q36" i="20" s="1"/>
  <c r="U29" i="20"/>
  <c r="U6" i="20"/>
  <c r="U2" i="20" s="1"/>
  <c r="V1" i="20"/>
  <c r="U18" i="20"/>
  <c r="U3" i="20"/>
  <c r="U9" i="20"/>
  <c r="U28" i="20"/>
  <c r="T34" i="20"/>
  <c r="Q38" i="20" l="1"/>
  <c r="Q40" i="20" s="1"/>
  <c r="Q42" i="20" s="1"/>
  <c r="R35" i="20"/>
  <c r="R36" i="20" s="1"/>
  <c r="S31" i="20"/>
  <c r="S32" i="20"/>
  <c r="S33" i="20" s="1"/>
  <c r="S35" i="20" s="1"/>
  <c r="S36" i="20" s="1"/>
  <c r="U34" i="20"/>
  <c r="V29" i="20"/>
  <c r="V9" i="20"/>
  <c r="V28" i="20"/>
  <c r="V18" i="20"/>
  <c r="W1" i="20"/>
  <c r="V6" i="20"/>
  <c r="V2" i="20" s="1"/>
  <c r="V3" i="20"/>
  <c r="T32" i="20" l="1"/>
  <c r="R37" i="20"/>
  <c r="R38" i="20" s="1"/>
  <c r="R40" i="20" s="1"/>
  <c r="R42" i="20" s="1"/>
  <c r="R44" i="20" s="1"/>
  <c r="T31" i="20"/>
  <c r="S39" i="20"/>
  <c r="S37" i="20"/>
  <c r="S38" i="20" s="1"/>
  <c r="T30" i="20"/>
  <c r="V34" i="20"/>
  <c r="W6" i="20"/>
  <c r="W2" i="20" s="1"/>
  <c r="W18" i="20"/>
  <c r="W9" i="20"/>
  <c r="X1" i="20"/>
  <c r="W3" i="20"/>
  <c r="W29" i="20"/>
  <c r="W28" i="20"/>
  <c r="Q44" i="20"/>
  <c r="T33" i="20" l="1"/>
  <c r="U31" i="20" s="1"/>
  <c r="T39" i="20"/>
  <c r="S40" i="20"/>
  <c r="S42" i="20" s="1"/>
  <c r="S44" i="20" s="1"/>
  <c r="W34" i="20"/>
  <c r="X18" i="20"/>
  <c r="X6" i="20"/>
  <c r="X2" i="20" s="1"/>
  <c r="X9" i="20"/>
  <c r="Y1" i="20"/>
  <c r="X3" i="20"/>
  <c r="X28" i="20"/>
  <c r="X29" i="20"/>
  <c r="U32" i="20" l="1"/>
  <c r="U30" i="20"/>
  <c r="T35" i="20"/>
  <c r="T36" i="20" s="1"/>
  <c r="X34" i="20"/>
  <c r="Y18" i="20"/>
  <c r="Y3" i="20"/>
  <c r="Y29" i="20"/>
  <c r="Y9" i="20"/>
  <c r="Y28" i="20"/>
  <c r="Z1" i="20"/>
  <c r="Y6" i="20"/>
  <c r="Y2" i="20" s="1"/>
  <c r="U33" i="20" l="1"/>
  <c r="V30" i="20" s="1"/>
  <c r="T37" i="20"/>
  <c r="T38" i="20" s="1"/>
  <c r="T40" i="20" s="1"/>
  <c r="T42" i="20" s="1"/>
  <c r="T44" i="20" s="1"/>
  <c r="U39" i="20"/>
  <c r="Z28" i="20"/>
  <c r="Z3" i="20"/>
  <c r="Z6" i="20"/>
  <c r="Z2" i="20" s="1"/>
  <c r="AA1" i="20"/>
  <c r="Z9" i="20"/>
  <c r="Z18" i="20"/>
  <c r="Z29" i="20"/>
  <c r="Y34" i="20"/>
  <c r="V32" i="20" l="1"/>
  <c r="V33" i="20" s="1"/>
  <c r="W31" i="20" s="1"/>
  <c r="U35" i="20"/>
  <c r="U36" i="20" s="1"/>
  <c r="V31" i="20"/>
  <c r="Z34" i="20"/>
  <c r="AA6" i="20"/>
  <c r="AA2" i="20" s="1"/>
  <c r="AA18" i="20"/>
  <c r="AA9" i="20"/>
  <c r="AB1" i="20"/>
  <c r="AA29" i="20"/>
  <c r="AA28" i="20"/>
  <c r="AA3" i="20"/>
  <c r="W32" i="20" l="1"/>
  <c r="W39" i="20" s="1"/>
  <c r="V39" i="20"/>
  <c r="V35" i="20"/>
  <c r="V36" i="20" s="1"/>
  <c r="W30" i="20"/>
  <c r="U37" i="20"/>
  <c r="U38" i="20" s="1"/>
  <c r="U40" i="20" s="1"/>
  <c r="U42" i="20" s="1"/>
  <c r="U44" i="20" s="1"/>
  <c r="AB18" i="20"/>
  <c r="AB6" i="20"/>
  <c r="AB2" i="20" s="1"/>
  <c r="AB28" i="20"/>
  <c r="AB29" i="20"/>
  <c r="AC1" i="20"/>
  <c r="AB3" i="20"/>
  <c r="AB9" i="20"/>
  <c r="AA34" i="20"/>
  <c r="V37" i="20" l="1"/>
  <c r="V38" i="20" s="1"/>
  <c r="V40" i="20" s="1"/>
  <c r="V42" i="20" s="1"/>
  <c r="V44" i="20" s="1"/>
  <c r="W33" i="20"/>
  <c r="X31" i="20" s="1"/>
  <c r="AB34" i="20"/>
  <c r="AC28" i="20"/>
  <c r="AC18" i="20"/>
  <c r="AC3" i="20"/>
  <c r="AC29" i="20"/>
  <c r="AD1" i="20"/>
  <c r="AC9" i="20"/>
  <c r="AC6" i="20"/>
  <c r="AC2" i="20" s="1"/>
  <c r="W35" i="20" l="1"/>
  <c r="W36" i="20" s="1"/>
  <c r="X30" i="20"/>
  <c r="X32" i="20"/>
  <c r="X39" i="20" s="1"/>
  <c r="AD29" i="20"/>
  <c r="AD9" i="20"/>
  <c r="AD6" i="20"/>
  <c r="AD2" i="20" s="1"/>
  <c r="AD18" i="20"/>
  <c r="AD3" i="20"/>
  <c r="AE1" i="20"/>
  <c r="AD28" i="20"/>
  <c r="AC34" i="20"/>
  <c r="X33" i="20" l="1"/>
  <c r="Y30" i="20" s="1"/>
  <c r="W37" i="20"/>
  <c r="W38" i="20" s="1"/>
  <c r="W40" i="20" s="1"/>
  <c r="W42" i="20" s="1"/>
  <c r="W44" i="20" s="1"/>
  <c r="AE29" i="20"/>
  <c r="AE3" i="20"/>
  <c r="AE28" i="20"/>
  <c r="AE18" i="20"/>
  <c r="AF1" i="20"/>
  <c r="AE6" i="20"/>
  <c r="AE2" i="20" s="1"/>
  <c r="AE9" i="20"/>
  <c r="AD34" i="20"/>
  <c r="Y31" i="20" l="1"/>
  <c r="Y32" i="20"/>
  <c r="Y33" i="20" s="1"/>
  <c r="X35" i="20"/>
  <c r="X36" i="20" s="1"/>
  <c r="AF9" i="20"/>
  <c r="AF28" i="20"/>
  <c r="AF6" i="20"/>
  <c r="AF2" i="20" s="1"/>
  <c r="AF18" i="20"/>
  <c r="AF29" i="20"/>
  <c r="AG1" i="20"/>
  <c r="AF3" i="20"/>
  <c r="AE34" i="20"/>
  <c r="X37" i="20" l="1"/>
  <c r="X38" i="20" s="1"/>
  <c r="X40" i="20" s="1"/>
  <c r="X42" i="20" s="1"/>
  <c r="X44" i="20" s="1"/>
  <c r="Y39" i="20"/>
  <c r="Y35" i="20"/>
  <c r="Y36" i="20" s="1"/>
  <c r="Z31" i="20"/>
  <c r="Z30" i="20"/>
  <c r="Z32" i="20"/>
  <c r="Z39" i="20" s="1"/>
  <c r="AG18" i="20"/>
  <c r="AG29" i="20"/>
  <c r="AG3" i="20"/>
  <c r="AG6" i="20"/>
  <c r="AG2" i="20" s="1"/>
  <c r="AH1" i="20"/>
  <c r="AG28" i="20"/>
  <c r="AG9" i="20"/>
  <c r="AF34" i="20"/>
  <c r="Y37" i="20" l="1"/>
  <c r="Y38" i="20" s="1"/>
  <c r="Y40" i="20" s="1"/>
  <c r="Y42" i="20" s="1"/>
  <c r="Y44" i="20" s="1"/>
  <c r="Z33" i="20"/>
  <c r="AH18" i="20"/>
  <c r="AH29" i="20"/>
  <c r="AH28" i="20"/>
  <c r="AH9" i="20"/>
  <c r="AH3" i="20"/>
  <c r="AI1" i="20"/>
  <c r="AH6" i="20"/>
  <c r="AH2" i="20" s="1"/>
  <c r="AG34" i="20"/>
  <c r="AA30" i="20" l="1"/>
  <c r="AA32" i="20"/>
  <c r="AA31" i="20"/>
  <c r="Z35" i="20"/>
  <c r="Z36" i="20" s="1"/>
  <c r="AH34" i="20"/>
  <c r="AI9" i="20"/>
  <c r="AI28" i="20"/>
  <c r="AI6" i="20"/>
  <c r="AI2" i="20" s="1"/>
  <c r="AJ1" i="20"/>
  <c r="AI29" i="20"/>
  <c r="AI18" i="20"/>
  <c r="AI3" i="20"/>
  <c r="Z37" i="20" l="1"/>
  <c r="Z38" i="20" s="1"/>
  <c r="Z40" i="20" s="1"/>
  <c r="Z42" i="20" s="1"/>
  <c r="Z44" i="20" s="1"/>
  <c r="AA33" i="20"/>
  <c r="AA39" i="20"/>
  <c r="AJ29" i="20"/>
  <c r="AJ3" i="20"/>
  <c r="AJ28" i="20"/>
  <c r="AJ6" i="20"/>
  <c r="AJ2" i="20" s="1"/>
  <c r="AK1" i="20"/>
  <c r="AJ9" i="20"/>
  <c r="AJ18" i="20"/>
  <c r="AI34" i="20"/>
  <c r="AB30" i="20" l="1"/>
  <c r="AB31" i="20"/>
  <c r="AA35" i="20"/>
  <c r="AA36" i="20" s="1"/>
  <c r="AB32" i="20"/>
  <c r="AJ34" i="20"/>
  <c r="AK28" i="20"/>
  <c r="AK6" i="20"/>
  <c r="AK2" i="20" s="1"/>
  <c r="AK9" i="20"/>
  <c r="AK18" i="20"/>
  <c r="AK29" i="20"/>
  <c r="AK3" i="20"/>
  <c r="AL1" i="20"/>
  <c r="AA37" i="20" l="1"/>
  <c r="AA38" i="20" s="1"/>
  <c r="AA40" i="20" s="1"/>
  <c r="AA42" i="20" s="1"/>
  <c r="AA44" i="20" s="1"/>
  <c r="AB33" i="20"/>
  <c r="AB39" i="20"/>
  <c r="AL28" i="20"/>
  <c r="AL3" i="20"/>
  <c r="AL6" i="20"/>
  <c r="AL2" i="20" s="1"/>
  <c r="AL18" i="20"/>
  <c r="AL9" i="20"/>
  <c r="AM1" i="20"/>
  <c r="AL29" i="20"/>
  <c r="AK34" i="20"/>
  <c r="AC30" i="20" l="1"/>
  <c r="AC31" i="20"/>
  <c r="AC32" i="20"/>
  <c r="AB35" i="20"/>
  <c r="AB36" i="20" s="1"/>
  <c r="AN1" i="20"/>
  <c r="AM3" i="20"/>
  <c r="AM9" i="20"/>
  <c r="AM29" i="20"/>
  <c r="AM18" i="20"/>
  <c r="AM28" i="20"/>
  <c r="AM6" i="20"/>
  <c r="AM2" i="20" s="1"/>
  <c r="AL34" i="20"/>
  <c r="AB37" i="20" l="1"/>
  <c r="AB38" i="20" s="1"/>
  <c r="AB40" i="20" s="1"/>
  <c r="AB42" i="20" s="1"/>
  <c r="AB44" i="20" s="1"/>
  <c r="AC33" i="20"/>
  <c r="AC39" i="20"/>
  <c r="AM34" i="20"/>
  <c r="AN29" i="20"/>
  <c r="AO1" i="20"/>
  <c r="AN9" i="20"/>
  <c r="AN28" i="20"/>
  <c r="AN6" i="20"/>
  <c r="AN2" i="20" s="1"/>
  <c r="AN18" i="20"/>
  <c r="AN3" i="20"/>
  <c r="AD30" i="20" l="1"/>
  <c r="AC35" i="20"/>
  <c r="AC36" i="20" s="1"/>
  <c r="AD31" i="20"/>
  <c r="AD32" i="20"/>
  <c r="AD39" i="20" s="1"/>
  <c r="AO29" i="20"/>
  <c r="AO6" i="20"/>
  <c r="AO2" i="20" s="1"/>
  <c r="AP1" i="20"/>
  <c r="AO9" i="20"/>
  <c r="AO28" i="20"/>
  <c r="AO3" i="20"/>
  <c r="AO18" i="20"/>
  <c r="AN34" i="20"/>
  <c r="AC37" i="20" l="1"/>
  <c r="AC38" i="20" s="1"/>
  <c r="AC40" i="20" s="1"/>
  <c r="AC42" i="20" s="1"/>
  <c r="AC44" i="20" s="1"/>
  <c r="AD33" i="20"/>
  <c r="AP18" i="20"/>
  <c r="AP6" i="20"/>
  <c r="AP2" i="20" s="1"/>
  <c r="AP29" i="20"/>
  <c r="AP3" i="20"/>
  <c r="AP9" i="20"/>
  <c r="AQ1" i="20"/>
  <c r="AP28" i="20"/>
  <c r="AO34" i="20"/>
  <c r="AD35" i="20" l="1"/>
  <c r="AD36" i="20" s="1"/>
  <c r="AE31" i="20"/>
  <c r="AE30" i="20"/>
  <c r="AE32" i="20"/>
  <c r="AQ29" i="20"/>
  <c r="AQ3" i="20"/>
  <c r="AQ6" i="20"/>
  <c r="AQ2" i="20" s="1"/>
  <c r="AR1" i="20"/>
  <c r="AQ18" i="20"/>
  <c r="AQ9" i="20"/>
  <c r="AQ28" i="20"/>
  <c r="AP34" i="20"/>
  <c r="AD37" i="20" l="1"/>
  <c r="AD38" i="20" s="1"/>
  <c r="AD40" i="20" s="1"/>
  <c r="AD42" i="20" s="1"/>
  <c r="AD44" i="20" s="1"/>
  <c r="AE33" i="20"/>
  <c r="AE39" i="20"/>
  <c r="AR29" i="20"/>
  <c r="AR3" i="20"/>
  <c r="AR18" i="20"/>
  <c r="AR6" i="20"/>
  <c r="AR2" i="20" s="1"/>
  <c r="AR9" i="20"/>
  <c r="AS1" i="20"/>
  <c r="AR28" i="20"/>
  <c r="AQ34" i="20"/>
  <c r="AF31" i="20" l="1"/>
  <c r="AF32" i="20"/>
  <c r="AE35" i="20"/>
  <c r="AE36" i="20" s="1"/>
  <c r="AF30" i="20"/>
  <c r="AS9" i="20"/>
  <c r="AS3" i="20"/>
  <c r="AS28" i="20"/>
  <c r="AS6" i="20"/>
  <c r="AS2" i="20" s="1"/>
  <c r="AS29" i="20"/>
  <c r="AT1" i="20"/>
  <c r="AS18" i="20"/>
  <c r="AR34" i="20"/>
  <c r="AE37" i="20" l="1"/>
  <c r="AE38" i="20" s="1"/>
  <c r="AE40" i="20" s="1"/>
  <c r="AE42" i="20" s="1"/>
  <c r="AE44" i="20" s="1"/>
  <c r="AF33" i="20"/>
  <c r="AF39" i="20"/>
  <c r="AS34" i="20"/>
  <c r="AT18" i="20"/>
  <c r="AT29" i="20"/>
  <c r="AT3" i="20"/>
  <c r="AT28" i="20"/>
  <c r="AT9" i="20"/>
  <c r="AU1" i="20"/>
  <c r="AT6" i="20"/>
  <c r="AT2" i="20" s="1"/>
  <c r="AG31" i="20" l="1"/>
  <c r="AF35" i="20"/>
  <c r="AF36" i="20" s="1"/>
  <c r="AG32" i="20"/>
  <c r="AG39" i="20" s="1"/>
  <c r="AG30" i="20"/>
  <c r="AT34" i="20"/>
  <c r="AU29" i="20"/>
  <c r="AU3" i="20"/>
  <c r="AU6" i="20"/>
  <c r="AU2" i="20" s="1"/>
  <c r="AU18" i="20"/>
  <c r="AU9" i="20"/>
  <c r="AV1" i="20"/>
  <c r="AU28" i="20"/>
  <c r="AF37" i="20" l="1"/>
  <c r="AF38" i="20" s="1"/>
  <c r="AF40" i="20" s="1"/>
  <c r="AF42" i="20" s="1"/>
  <c r="AF44" i="20" s="1"/>
  <c r="AG33" i="20"/>
  <c r="AU34" i="20"/>
  <c r="AV28" i="20"/>
  <c r="AV9" i="20"/>
  <c r="AW1" i="20"/>
  <c r="AV18" i="20"/>
  <c r="AV29" i="20"/>
  <c r="AV3" i="20"/>
  <c r="AV6" i="20"/>
  <c r="AV2" i="20" s="1"/>
  <c r="AH30" i="20" l="1"/>
  <c r="AH31" i="20"/>
  <c r="AH32" i="20"/>
  <c r="AG35" i="20"/>
  <c r="AG36" i="20" s="1"/>
  <c r="AV34" i="20"/>
  <c r="AW18" i="20"/>
  <c r="AW3" i="20"/>
  <c r="AW28" i="20"/>
  <c r="AX1" i="20"/>
  <c r="AW6" i="20"/>
  <c r="AW2" i="20" s="1"/>
  <c r="AW29" i="20"/>
  <c r="AW9" i="20"/>
  <c r="AH33" i="20" l="1"/>
  <c r="AH39" i="20"/>
  <c r="AG37" i="20"/>
  <c r="AG38" i="20" s="1"/>
  <c r="AG40" i="20" s="1"/>
  <c r="AG42" i="20" s="1"/>
  <c r="AG44" i="20" s="1"/>
  <c r="AW34" i="20"/>
  <c r="AY1" i="20"/>
  <c r="AX9" i="20"/>
  <c r="AX6" i="20"/>
  <c r="AX2" i="20" s="1"/>
  <c r="AX18" i="20"/>
  <c r="AX28" i="20"/>
  <c r="AX29" i="20"/>
  <c r="AX3" i="20"/>
  <c r="AI31" i="20" l="1"/>
  <c r="AI32" i="20"/>
  <c r="AI39" i="20" s="1"/>
  <c r="AI30" i="20"/>
  <c r="AH35" i="20"/>
  <c r="AH36" i="20" s="1"/>
  <c r="AX34" i="20"/>
  <c r="AY6" i="20"/>
  <c r="AY2" i="20" s="1"/>
  <c r="AZ1" i="20"/>
  <c r="AY9" i="20"/>
  <c r="AY28" i="20"/>
  <c r="AY29" i="20"/>
  <c r="AY18" i="20"/>
  <c r="AY3" i="20"/>
  <c r="AH37" i="20" l="1"/>
  <c r="AH38" i="20" s="1"/>
  <c r="AH40" i="20" s="1"/>
  <c r="AH42" i="20" s="1"/>
  <c r="AH44" i="20" s="1"/>
  <c r="AI33" i="20"/>
  <c r="AJ31" i="20" s="1"/>
  <c r="AY34" i="20"/>
  <c r="AZ18" i="20"/>
  <c r="AZ6" i="20"/>
  <c r="AZ2" i="20" s="1"/>
  <c r="BA1" i="20"/>
  <c r="AZ29" i="20"/>
  <c r="AZ28" i="20"/>
  <c r="AZ9" i="20"/>
  <c r="AZ3" i="20"/>
  <c r="AI35" i="20" l="1"/>
  <c r="AI36" i="20" s="1"/>
  <c r="AJ32" i="20"/>
  <c r="AJ39" i="20" s="1"/>
  <c r="AJ30" i="20"/>
  <c r="BA18" i="20"/>
  <c r="BA3" i="20"/>
  <c r="BA29" i="20"/>
  <c r="BB1" i="20"/>
  <c r="BA6" i="20"/>
  <c r="BA2" i="20" s="1"/>
  <c r="BA9" i="20"/>
  <c r="BA28" i="20"/>
  <c r="AZ34" i="20"/>
  <c r="AI37" i="20" l="1"/>
  <c r="AI38" i="20" s="1"/>
  <c r="AI40" i="20" s="1"/>
  <c r="AI42" i="20" s="1"/>
  <c r="AI44" i="20" s="1"/>
  <c r="AJ33" i="20"/>
  <c r="AK32" i="20" s="1"/>
  <c r="AK39" i="20" s="1"/>
  <c r="BC1" i="20"/>
  <c r="BB3" i="20"/>
  <c r="BB29" i="20"/>
  <c r="BB18" i="20"/>
  <c r="BB28" i="20"/>
  <c r="BB9" i="20"/>
  <c r="BB6" i="20"/>
  <c r="BB2" i="20" s="1"/>
  <c r="BA34" i="20"/>
  <c r="AK30" i="20" l="1"/>
  <c r="AK33" i="20" s="1"/>
  <c r="AK31" i="20"/>
  <c r="AJ35" i="20"/>
  <c r="AJ36" i="20" s="1"/>
  <c r="BB34" i="20"/>
  <c r="BC9" i="20"/>
  <c r="BD1" i="20"/>
  <c r="BC29" i="20"/>
  <c r="BC28" i="20"/>
  <c r="BC3" i="20"/>
  <c r="BC18" i="20"/>
  <c r="BC6" i="20"/>
  <c r="BC2" i="20" s="1"/>
  <c r="AJ37" i="20" l="1"/>
  <c r="AJ38" i="20" s="1"/>
  <c r="AJ40" i="20" s="1"/>
  <c r="AJ42" i="20" s="1"/>
  <c r="AJ44" i="20" s="1"/>
  <c r="AK35" i="20"/>
  <c r="AK36" i="20" s="1"/>
  <c r="AL31" i="20"/>
  <c r="AL32" i="20"/>
  <c r="AL39" i="20" s="1"/>
  <c r="AL30" i="20"/>
  <c r="BC34" i="20"/>
  <c r="BD18" i="20"/>
  <c r="BD6" i="20"/>
  <c r="BD2" i="20" s="1"/>
  <c r="BE1" i="20"/>
  <c r="BD28" i="20"/>
  <c r="BD3" i="20"/>
  <c r="BD9" i="20"/>
  <c r="BD29" i="20"/>
  <c r="AK37" i="20" l="1"/>
  <c r="AK38" i="20" s="1"/>
  <c r="AK40" i="20" s="1"/>
  <c r="AK42" i="20" s="1"/>
  <c r="AK44" i="20" s="1"/>
  <c r="AL33" i="20"/>
  <c r="BD34" i="20"/>
  <c r="BE18" i="20"/>
  <c r="BE3" i="20"/>
  <c r="BE6" i="20"/>
  <c r="BE2" i="20" s="1"/>
  <c r="BE28" i="20"/>
  <c r="BE29" i="20"/>
  <c r="BF1" i="20"/>
  <c r="BE9" i="20"/>
  <c r="AM32" i="20" l="1"/>
  <c r="AM39" i="20" s="1"/>
  <c r="AM31" i="20"/>
  <c r="AM30" i="20"/>
  <c r="AL35" i="20"/>
  <c r="AL36" i="20" s="1"/>
  <c r="BE34" i="20"/>
  <c r="BF29" i="20"/>
  <c r="BF3" i="20"/>
  <c r="BF18" i="20"/>
  <c r="BF9" i="20"/>
  <c r="BF6" i="20"/>
  <c r="BF2" i="20" s="1"/>
  <c r="BG1" i="20"/>
  <c r="BF28" i="20"/>
  <c r="AL37" i="20" l="1"/>
  <c r="AL38" i="20" s="1"/>
  <c r="AL40" i="20" s="1"/>
  <c r="AL42" i="20" s="1"/>
  <c r="AL44" i="20" s="1"/>
  <c r="AM33" i="20"/>
  <c r="BG6" i="20"/>
  <c r="BG2" i="20" s="1"/>
  <c r="BH1" i="20"/>
  <c r="BG28" i="20"/>
  <c r="BG29" i="20"/>
  <c r="BG18" i="20"/>
  <c r="BG9" i="20"/>
  <c r="BG3" i="20"/>
  <c r="BF34" i="20"/>
  <c r="AN31" i="20" l="1"/>
  <c r="AN30" i="20"/>
  <c r="AN32" i="20"/>
  <c r="AN39" i="20" s="1"/>
  <c r="AM35" i="20"/>
  <c r="AM36" i="20" s="1"/>
  <c r="BI1" i="20"/>
  <c r="BH28" i="20"/>
  <c r="BH3" i="20"/>
  <c r="BH18" i="20"/>
  <c r="BH29" i="20"/>
  <c r="BH6" i="20"/>
  <c r="BH2" i="20" s="1"/>
  <c r="BH9" i="20"/>
  <c r="BG34" i="20"/>
  <c r="AM37" i="20" l="1"/>
  <c r="AM38" i="20" s="1"/>
  <c r="AM40" i="20" s="1"/>
  <c r="AM42" i="20" s="1"/>
  <c r="AM44" i="20" s="1"/>
  <c r="AN33" i="20"/>
  <c r="BI18" i="20"/>
  <c r="BI3" i="20"/>
  <c r="BI29" i="20"/>
  <c r="BI9" i="20"/>
  <c r="BI28" i="20"/>
  <c r="BI6" i="20"/>
  <c r="BI2" i="20" s="1"/>
  <c r="BJ1" i="20"/>
  <c r="BH34" i="20"/>
  <c r="AO30" i="20" l="1"/>
  <c r="AN35" i="20"/>
  <c r="AN36" i="20" s="1"/>
  <c r="AO31" i="20"/>
  <c r="AO32" i="20"/>
  <c r="AO39" i="20" s="1"/>
  <c r="BK1" i="20"/>
  <c r="BJ3" i="20"/>
  <c r="BJ29" i="20"/>
  <c r="BJ6" i="20"/>
  <c r="BJ2" i="20" s="1"/>
  <c r="BJ18" i="20"/>
  <c r="BJ9" i="20"/>
  <c r="BJ28" i="20"/>
  <c r="BI34" i="20"/>
  <c r="AN37" i="20" l="1"/>
  <c r="AN38" i="20" s="1"/>
  <c r="AN40" i="20" s="1"/>
  <c r="AN42" i="20" s="1"/>
  <c r="AO33" i="20"/>
  <c r="BK9" i="20"/>
  <c r="BK28" i="20"/>
  <c r="BK6" i="20"/>
  <c r="BK2" i="20" s="1"/>
  <c r="BK18" i="20"/>
  <c r="BK3" i="20"/>
  <c r="BK29" i="20"/>
  <c r="BL1" i="20"/>
  <c r="BJ34" i="20"/>
  <c r="AP32" i="20" l="1"/>
  <c r="AP39" i="20" s="1"/>
  <c r="AP31" i="20"/>
  <c r="AP30" i="20"/>
  <c r="AO35" i="20"/>
  <c r="AO36" i="20" s="1"/>
  <c r="AN44" i="20"/>
  <c r="BL28" i="20"/>
  <c r="BL9" i="20"/>
  <c r="G9" i="20" s="1"/>
  <c r="BL6" i="20"/>
  <c r="BL18" i="20"/>
  <c r="G18" i="20" s="1"/>
  <c r="BL3" i="20"/>
  <c r="G3" i="20" s="1"/>
  <c r="BL29" i="20"/>
  <c r="BK34" i="20"/>
  <c r="AO37" i="20" l="1"/>
  <c r="AO38" i="20" s="1"/>
  <c r="AO40" i="20" s="1"/>
  <c r="AO42" i="20" s="1"/>
  <c r="AO44" i="20" s="1"/>
  <c r="AP33" i="20"/>
  <c r="BL2" i="20"/>
  <c r="G6" i="20"/>
  <c r="AQ30" i="20" l="1"/>
  <c r="AQ31" i="20"/>
  <c r="AQ32" i="20"/>
  <c r="AQ39" i="20" s="1"/>
  <c r="AP35" i="20"/>
  <c r="AP36" i="20" s="1"/>
  <c r="BL34" i="20"/>
  <c r="G2" i="20"/>
  <c r="AQ33" i="20" l="1"/>
  <c r="AR30" i="20" s="1"/>
  <c r="AP37" i="20"/>
  <c r="AP38" i="20" s="1"/>
  <c r="AP40" i="20" s="1"/>
  <c r="AP42" i="20" s="1"/>
  <c r="G34" i="20"/>
  <c r="AQ35" i="20" l="1"/>
  <c r="AQ36" i="20" s="1"/>
  <c r="AR31" i="20"/>
  <c r="AR32" i="20"/>
  <c r="AR39" i="20" s="1"/>
  <c r="AP44" i="20"/>
  <c r="AQ37" i="20" l="1"/>
  <c r="AQ38" i="20" s="1"/>
  <c r="AQ40" i="20" s="1"/>
  <c r="AQ42" i="20" s="1"/>
  <c r="AQ44" i="20" s="1"/>
  <c r="AR33" i="20"/>
  <c r="AR35" i="20" l="1"/>
  <c r="AR36" i="20" s="1"/>
  <c r="AS30" i="20"/>
  <c r="AS32" i="20"/>
  <c r="AS39" i="20" s="1"/>
  <c r="AS31" i="20"/>
  <c r="AS33" i="20" l="1"/>
  <c r="AR37" i="20"/>
  <c r="AR38" i="20" s="1"/>
  <c r="AR40" i="20" s="1"/>
  <c r="AR42" i="20" s="1"/>
  <c r="AR44" i="20" s="1"/>
  <c r="AT32" i="20" l="1"/>
  <c r="AT39" i="20" s="1"/>
  <c r="AT30" i="20"/>
  <c r="AT31" i="20"/>
  <c r="AS35" i="20"/>
  <c r="AS36" i="20" s="1"/>
  <c r="AT33" i="20" l="1"/>
  <c r="AS37" i="20"/>
  <c r="AS38" i="20" s="1"/>
  <c r="AS40" i="20" s="1"/>
  <c r="AS42" i="20" s="1"/>
  <c r="AS44" i="20" s="1"/>
  <c r="AT35" i="20" l="1"/>
  <c r="AT36" i="20" s="1"/>
  <c r="AU30" i="20"/>
  <c r="AU31" i="20"/>
  <c r="AU32" i="20"/>
  <c r="AU39" i="20" s="1"/>
  <c r="AT37" i="20" l="1"/>
  <c r="AT38" i="20" s="1"/>
  <c r="AT40" i="20" s="1"/>
  <c r="AT42" i="20" s="1"/>
  <c r="AT44" i="20" s="1"/>
  <c r="AU33" i="20"/>
  <c r="AV31" i="20" l="1"/>
  <c r="AV32" i="20"/>
  <c r="AV39" i="20" s="1"/>
  <c r="AV30" i="20"/>
  <c r="AU35" i="20"/>
  <c r="AU36" i="20" s="1"/>
  <c r="AV33" i="20" l="1"/>
  <c r="AU37" i="20"/>
  <c r="AU38" i="20" s="1"/>
  <c r="AU40" i="20" s="1"/>
  <c r="AU42" i="20" s="1"/>
  <c r="AU44" i="20" l="1"/>
  <c r="AW30" i="20"/>
  <c r="AV35" i="20"/>
  <c r="AV36" i="20" s="1"/>
  <c r="AW32" i="20"/>
  <c r="AW39" i="20" s="1"/>
  <c r="AW31" i="20"/>
  <c r="AV37" i="20" l="1"/>
  <c r="AV38" i="20" s="1"/>
  <c r="AV40" i="20" s="1"/>
  <c r="AV42" i="20" s="1"/>
  <c r="AW33" i="20"/>
  <c r="AX30" i="20" l="1"/>
  <c r="AW35" i="20"/>
  <c r="AW36" i="20" s="1"/>
  <c r="AX31" i="20"/>
  <c r="AX32" i="20"/>
  <c r="AX39" i="20" s="1"/>
  <c r="AV44" i="20"/>
  <c r="AW37" i="20" l="1"/>
  <c r="AW38" i="20" s="1"/>
  <c r="AW40" i="20" s="1"/>
  <c r="AW42" i="20" s="1"/>
  <c r="AW44" i="20" s="1"/>
  <c r="AX33" i="20"/>
  <c r="AX35" i="20" l="1"/>
  <c r="AX36" i="20" s="1"/>
  <c r="AY32" i="20"/>
  <c r="AY39" i="20" s="1"/>
  <c r="AY31" i="20"/>
  <c r="AY30" i="20"/>
  <c r="AX37" i="20" l="1"/>
  <c r="AX38" i="20" s="1"/>
  <c r="AX40" i="20" s="1"/>
  <c r="AX42" i="20" s="1"/>
  <c r="AX44" i="20" s="1"/>
  <c r="AY33" i="20"/>
  <c r="AZ32" i="20" s="1"/>
  <c r="AZ39" i="20" s="1"/>
  <c r="AZ30" i="20" l="1"/>
  <c r="AZ33" i="20" s="1"/>
  <c r="AY35" i="20"/>
  <c r="AY36" i="20" s="1"/>
  <c r="AZ31" i="20"/>
  <c r="AY37" i="20" l="1"/>
  <c r="AY38" i="20" s="1"/>
  <c r="AY40" i="20" s="1"/>
  <c r="AY42" i="20" s="1"/>
  <c r="AY44" i="20" s="1"/>
  <c r="BA30" i="20"/>
  <c r="BA32" i="20"/>
  <c r="BA39" i="20" s="1"/>
  <c r="BA31" i="20"/>
  <c r="AZ35" i="20"/>
  <c r="AZ36" i="20" s="1"/>
  <c r="BA33" i="20" l="1"/>
  <c r="BB30" i="20" s="1"/>
  <c r="AZ37" i="20"/>
  <c r="AZ38" i="20" s="1"/>
  <c r="AZ40" i="20" s="1"/>
  <c r="AZ42" i="20" s="1"/>
  <c r="AZ44" i="20" s="1"/>
  <c r="BA35" i="20" l="1"/>
  <c r="BA36" i="20" s="1"/>
  <c r="BB32" i="20"/>
  <c r="BB39" i="20" s="1"/>
  <c r="BB31" i="20"/>
  <c r="BA37" i="20" l="1"/>
  <c r="BA38" i="20" s="1"/>
  <c r="BA40" i="20" s="1"/>
  <c r="BA42" i="20" s="1"/>
  <c r="BA44" i="20" s="1"/>
  <c r="BB33" i="20"/>
  <c r="BB35" i="20" s="1"/>
  <c r="BB36" i="20" s="1"/>
  <c r="BC32" i="20" l="1"/>
  <c r="BC39" i="20" s="1"/>
  <c r="BB37" i="20"/>
  <c r="BB38" i="20" s="1"/>
  <c r="BB40" i="20" s="1"/>
  <c r="BB42" i="20" s="1"/>
  <c r="BB44" i="20" s="1"/>
  <c r="BC31" i="20"/>
  <c r="BC30" i="20"/>
  <c r="BC33" i="20" l="1"/>
  <c r="BC35" i="20" s="1"/>
  <c r="BC36" i="20" s="1"/>
  <c r="BD31" i="20" l="1"/>
  <c r="BC37" i="20"/>
  <c r="BC38" i="20" s="1"/>
  <c r="BC40" i="20" s="1"/>
  <c r="BC42" i="20" s="1"/>
  <c r="BC44" i="20" s="1"/>
  <c r="BD30" i="20"/>
  <c r="BD32" i="20"/>
  <c r="BD39" i="20" s="1"/>
  <c r="BD33" i="20" l="1"/>
  <c r="BE30" i="20" s="1"/>
  <c r="BE32" i="20" l="1"/>
  <c r="BE39" i="20" s="1"/>
  <c r="BE31" i="20"/>
  <c r="BD35" i="20"/>
  <c r="BD36" i="20" s="1"/>
  <c r="BE33" i="20" l="1"/>
  <c r="BE35" i="20" s="1"/>
  <c r="BE36" i="20" s="1"/>
  <c r="BD37" i="20"/>
  <c r="BD38" i="20" s="1"/>
  <c r="BD40" i="20" s="1"/>
  <c r="BD42" i="20" s="1"/>
  <c r="BD44" i="20" s="1"/>
  <c r="BE37" i="20" l="1"/>
  <c r="BE38" i="20" s="1"/>
  <c r="BE40" i="20" s="1"/>
  <c r="BE42" i="20" s="1"/>
  <c r="BE44" i="20" s="1"/>
  <c r="BF32" i="20"/>
  <c r="BF39" i="20" s="1"/>
  <c r="BF31" i="20"/>
  <c r="BF30" i="20"/>
  <c r="BF33" i="20" l="1"/>
  <c r="BF35" i="20" s="1"/>
  <c r="BF36" i="20" s="1"/>
  <c r="BG30" i="20" l="1"/>
  <c r="BG32" i="20"/>
  <c r="BG39" i="20" s="1"/>
  <c r="BG31" i="20"/>
  <c r="BF37" i="20"/>
  <c r="BF38" i="20" s="1"/>
  <c r="BF40" i="20" s="1"/>
  <c r="BF42" i="20" s="1"/>
  <c r="BF44" i="20" s="1"/>
  <c r="BG33" i="20" l="1"/>
  <c r="BH30" i="20" s="1"/>
  <c r="BH31" i="20" l="1"/>
  <c r="BG35" i="20"/>
  <c r="BG36" i="20" s="1"/>
  <c r="BH32" i="20"/>
  <c r="BH39" i="20" s="1"/>
  <c r="BG37" i="20" l="1"/>
  <c r="BG38" i="20" s="1"/>
  <c r="BG40" i="20" s="1"/>
  <c r="BG42" i="20" s="1"/>
  <c r="BG44" i="20" s="1"/>
  <c r="BH33" i="20"/>
  <c r="BH35" i="20" s="1"/>
  <c r="BH36" i="20" s="1"/>
  <c r="BI30" i="20" l="1"/>
  <c r="BH37" i="20"/>
  <c r="BH38" i="20" s="1"/>
  <c r="BH40" i="20" s="1"/>
  <c r="BH42" i="20" s="1"/>
  <c r="BH44" i="20" s="1"/>
  <c r="BI32" i="20"/>
  <c r="BI39" i="20" s="1"/>
  <c r="BI31" i="20"/>
  <c r="BI33" i="20" l="1"/>
  <c r="BJ32" i="20" s="1"/>
  <c r="BJ39" i="20" s="1"/>
  <c r="BJ31" i="20" l="1"/>
  <c r="BI35" i="20"/>
  <c r="BI36" i="20" s="1"/>
  <c r="BJ30" i="20"/>
  <c r="BJ33" i="20" s="1"/>
  <c r="BK32" i="20" s="1"/>
  <c r="BK39" i="20" s="1"/>
  <c r="BI37" i="20" l="1"/>
  <c r="BI38" i="20" s="1"/>
  <c r="BI40" i="20" s="1"/>
  <c r="BI42" i="20" s="1"/>
  <c r="BI44" i="20" s="1"/>
  <c r="BJ35" i="20"/>
  <c r="BJ36" i="20" s="1"/>
  <c r="BK30" i="20"/>
  <c r="BK33" i="20" s="1"/>
  <c r="BK35" i="20" s="1"/>
  <c r="BK36" i="20" s="1"/>
  <c r="BK31" i="20"/>
  <c r="BL31" i="20" l="1"/>
  <c r="BL32" i="20"/>
  <c r="BL39" i="20" s="1"/>
  <c r="G39" i="20" s="1"/>
  <c r="BK37" i="20"/>
  <c r="BK38" i="20" s="1"/>
  <c r="BK40" i="20" s="1"/>
  <c r="BL30" i="20"/>
  <c r="BJ37" i="20"/>
  <c r="BJ38" i="20" s="1"/>
  <c r="BJ40" i="20" s="1"/>
  <c r="BJ42" i="20" s="1"/>
  <c r="BJ44" i="20" s="1"/>
  <c r="BL33" i="20" l="1"/>
  <c r="BL35" i="20" s="1"/>
  <c r="BL36" i="20" s="1"/>
  <c r="G36" i="20" s="1"/>
  <c r="BK42" i="20"/>
  <c r="BK44" i="20" s="1"/>
  <c r="G35" i="20" l="1"/>
  <c r="BL37" i="20"/>
  <c r="G37" i="20" s="1"/>
  <c r="BL38" i="20" l="1"/>
  <c r="BL40" i="20" s="1"/>
  <c r="G40" i="20" s="1"/>
  <c r="G38" i="20" l="1"/>
  <c r="BL42" i="20"/>
  <c r="BL44" i="20" s="1"/>
  <c r="E44" i="20" s="1"/>
  <c r="E41" i="20"/>
  <c r="E45" i="20"/>
  <c r="E43"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C23" authorId="0" shapeId="0" xr:uid="{00000000-0006-0000-0000-000001000000}">
      <text>
        <r>
          <rPr>
            <b/>
            <sz val="8"/>
            <color indexed="81"/>
            <rFont val="Tahoma"/>
            <family val="2"/>
          </rPr>
          <t>Need to define the different steps of decisions.</t>
        </r>
      </text>
    </comment>
    <comment ref="H28" authorId="0" shapeId="0" xr:uid="{00000000-0006-0000-0000-000002000000}">
      <text>
        <r>
          <rPr>
            <b/>
            <sz val="8"/>
            <color indexed="81"/>
            <rFont val="Tahoma"/>
            <family val="2"/>
          </rPr>
          <t>Make the cash flow take state of decisions into account.</t>
        </r>
      </text>
    </comment>
  </commentList>
</comments>
</file>

<file path=xl/sharedStrings.xml><?xml version="1.0" encoding="utf-8"?>
<sst xmlns="http://schemas.openxmlformats.org/spreadsheetml/2006/main" count="186" uniqueCount="159">
  <si>
    <t>Capacity factor</t>
  </si>
  <si>
    <t>Rated capacity (MW)</t>
  </si>
  <si>
    <t>Fixed operating cost (M$)</t>
  </si>
  <si>
    <t>Variable operating cost ($/MWhr)</t>
  </si>
  <si>
    <t>Cash flows</t>
  </si>
  <si>
    <t>year</t>
  </si>
  <si>
    <t>rate</t>
  </si>
  <si>
    <t>value</t>
  </si>
  <si>
    <t>total</t>
  </si>
  <si>
    <t>Electricity price scenario</t>
  </si>
  <si>
    <t>Electricity price 1 ($/MWhr)</t>
  </si>
  <si>
    <t>Electricity price 2 ($/MWhr)</t>
  </si>
  <si>
    <t>Electricity price 3 ($/MWhr)</t>
  </si>
  <si>
    <t>Plant efficiency</t>
  </si>
  <si>
    <t>Mean</t>
  </si>
  <si>
    <t>Std. Dev.</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</si>
  <si>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</si>
  <si>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</si>
  <si>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</si>
  <si>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</si>
  <si>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</si>
  <si>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</si>
  <si>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</si>
  <si>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</si>
  <si>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</si>
  <si>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</si>
  <si>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</si>
  <si>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</si>
  <si>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12678692-a5f9-4845-8c39-4d3e4a231c9b</t>
  </si>
  <si>
    <t>CB_Block_0</t>
  </si>
  <si>
    <t>㜸〱敤㕣摦㙦ㅣ㐷ㅤ扦㍤晢捥户戶㉦㜶㘳㈷㙤晡㈳㜵㝦搲攲攸㥡㥦㙤愳㉡愴晥㔱㈷愶㑥敤收㥣㔴愸㉡挷晡㙥搶摥㘶㝦戸扢㝢㑥摣ち㕡愰㐸ㄵ㤴〷挴ぢ㔴〸㠴㠴㉡㜸㐱㉡て愸攵挷㈳㙦ㄴ㈱㈱昱㠲㤰捡ぢ㉦㔰ㄴ㠹㍦愰㝣㍥㌳扢㜷㝢㜷扥戵㜳㙤挱㐱ㅥ挷攳搹㤹敦捣捥捣昷攷㝣扦戳挹㘸㤹㑣收㈳㈴晥㘵敡㘷攱捥昲㘶㄰ち愷㌴攳搹戶愸㠶㤶攷〶愵㈹摦㌷㌶ㄷ慣㈰散〳㐰扥㘲愱㍤挸㔵〲敢㘵㔱愸㙣〸㍦〰㔰㉥㤳㈹ㄴ昴㉣摡㌹〸㝦㐷攳〷㥤扤㠶晢㤱㕤㥣㤹㕥㕣㜹ㄱ愳㤶㐳捦ㄷ㐷㈶㉥慢扥㘷ㅥ㉢㥤㈸㥤㝥昴㘸改攸㤱㠹㤹扡ㅤ搶㝤㜱挶ㄵ昵搰㌷散㈳ㄳ㑢昵ㄵ摢慡㍥㉤㌶㤷扤㉢挲㍤㈳㔶㡥㥥㔸㌱㑥㍥㝥散攴愹㔳收改搳㡦て攳挵㤹㠵㤹改㈵㕦㤸挱㈷㌲㘲㡥搳㍤㌹㉢慡ㄶ搷㈵㠴㙦戹慢愵㤹㘹晣㑢捣ㅤ㑦㡦㤵捡㙢㐲㠴㝣戱昰㠵㕢ㄵ㠱㡥㡥㐳捥㔴㄰搴㥤㜵㙥㥣敥捣㘱㤹㔵㈳〸㜳捥㡣戰㙤摤㠹㐷㉤㌸㡢搸㌷摢搸ㅣ㜶捡挲つ慣搰摡戰挲捤扣戳㡣㠱㙡㐵攷㔲㈰㉥ㅡ敥慡㜸挶㜰㐴捥㌹㔷户㙡晤㉡㘵晡㍥ㄳて㤱㥣㤸㕣㝣㘹㉡㜰㘶搶っ㕦捥㈸攰戶愴挰捥昹搵㔶搸晢扡㡦换愹换㌷㜰捣〷扡挳愱攵戲攱㌷㈰㈷扢㐳㐶㡢㙦㥤挱㈳摤攱ㄳ㝢搴摡攷攱敥㝤攴㔶戶㐲㙢㐳ㄱ㙤换ㅤ挵㘲昴㍣戳〱㘶〵㘶㐴愰㍥挸㙣㠸搹㌰㌲慤晦摦攰㤰㘴㐷㌶㘵㉢㐶戶戲㤲慤㔴戳㤵㕡戶㈲戲ㄵ㌳㕢㔹捤㔶搶戲ㄵ㉢㕢㜹㌱㕢戹〲㤸㌸ㄵ〶〶戲㔱晡㑢昱㜷摦攸晦搳㠷戳㙦扥㝢换㠷挱昷摥㍦㍣扣て㐰捦㐶㤳㥡昵㡤慢㈰戵㈶つㅦ㉦㠱㈳㜶挲ㄳ㘰〹昳㤴昹㤸㜹散㔸敤搴㔱攳㠴㤱攳戲㔲㤰摦㐲㈸愳㠰ㅤ㌶㥦戳摣㥡㜷㔵攲敥捥㘹㈳㄰捤㡤㥢㡣摡愶扤扡㕢ぢ敥搸扡戱ㅣㅡ愱戸扤扤慤㌹㐸㐷户㌲搸㑡〴昲㝤㠷摢扢㕤㌶散扡㤸扡㘶愹收扢摡㥡㥤㈵摦㕢改摥㍡攷㡢㤷ㅡ慤ㅤ㌳㥡㠲㐰摢㤰㘳㜷慣㔲㌵愹㜹㑤捣慣㜹㠱㜰攵昴㈶㥤㈵慢㝡㐵昸㘵㐱㜱㈸㙡㜲愹〷搸ㄴ㜱晤攴愲㡢㠵㠲㕢㙢昷㈶㙢捤愷慥㠵㘰㘶㔱挳㝣搷㠵ㅦ㙥㉥ㅢ㉢戶㌸搸〲愲摥㠹㠶㐳㉤搵㜳㕥戵ㅥ捣㜸㙥攸㝢㜶㙢换㔴㙤挳㠰愴愹㕤昰㙡愲扦㍦㈳㠵〲㠴㙤㕦㥦愶㘵㍥摢㥤ㄷ㈴㈲ㄲ㈸㈶㈳摦搶㑡㜶愵㡢㔸ㅤ㔶㘱ぢ搲㘴昶晥㙤〶攳㝣愵㡣㐹攱挰挴㥡愸㍢昸搲㠷戶ㄹ戶㠱戹㑦ㄷ㌸㥢ㅤ㡢㔶晦搴㠶㜰挳昳㠶㕢戳㠵㥦慡昹㌴捥㐸ㅦ㐱㤶扢づ㠱搰㜵昷愸收戴㙢摡㘶敥慡㔵ぢ搷昲㙢挲㕡㕤ぢ㔱〷敤㔸㈸㜰㙢㍢㤲㝥ぢ慡昴晤捣挶㤰つづ㘶昲攳〴捡て㈲㘵㜲㤴㑥㈹扣摣㈲挸搹慦㠵㤷㠷捤㌹换づ㠵ㄲ捡㈳㈶㌰愲戴㥡㐴㕦㤱㈴敡ㅢ㔵愵㌰挶捤ㄹ㔰愹㘱戹攱㘶㤳㙦㍢戸㐴ㄱ搱㥥㉣搸㜵戲㠰愲愰㔵ㅥ愴昰ㅡ㠸愶㑤ㅡ愴〳㈷㠸㠸㙣㤰愲搹㌱㜲㉢㤱ㄱ㍥㐵㐶〰㍥㐹㠴㠴㍥摡㕤㐶㤰搸㍢㠹㤴㥤扡昲攳㥥㌴摢捡㡥㔷搲散〰㌶㑥㍦挸散㔶㘶户㌱㍢㠴㑣晢㍢㈴ㅣ愵ㅣ捡慤㐹扦〳捦晡㥤捣敥㐲〶昹愴㔳收㐴愲㡡㌶搴㑥散㐸挲ㄵ㘱㈷㑢愳㔸㠹㈲㕡挶つ㍢戳攸㐸㐴㐷㔶攷敥搰戵晤㔲挷㍥搸㥤㌶㤳换㈱㐵愶㠰㈶搷扡つ㘸㜲㈳〸摡愳摥扡ㅢ㕤昵〹㘶昷㈰㔳㡡㠵挶敥捥慣㜹㥡㤳㌷㠵㐹愴っ愱ㅥ㤵㝢㐴挴㌴晦㔳〴㕣挷搱㘵捦㝥愶㈹㌸㘹摥昴昶昳㤱敥扣ㅤ㈱扤㑤㘷敥改ㅣ晡㠹㙥搰㠲扥ㄷ散愵晤戵慢㝥戹ㅦ捤晡〳捣ㅥ㐴搶愶㕦㜸昲扥㔱㉦㠱㌴㠹㥤〴收昶搳攳㈲㉤摣攵捤㜵㈱戵捦戰戹㙣昸慢㈲㠴昷㘲㝥ㄶ㜶戰攷晢挲挶㠱戶㈶㉢㜸㜶戹戵戵㌲㤸昳㍤㠷昵㝢昶㜱㜰㔳㈸㠶晥晥㙣㕦愶捤㍥㑥戱㌳ㄳ晥愶〴攵㔰晦㥥攸㉥㈴ㄲ㥤㕡挹㡢晤搲捦㤶㝢㤲愴〷㐹昲㄰戶㔵㝦ㄸㄹ愴㠴昶攷慥ㄲ㘵㤲㘰㐷㈴㔸慢戵㑡敦㕥捡挹愴捤㝦搸㈱㐷㠶㤴戳㜶ㅡ扥㠳愰攸㤴㉤愷㈱㉣㠶㥣㈵攱㔷攱㔷戰㙣㌱愸㕣戲ㄴ㌵㝢戲攲㈶㤱ㄵ㝤㝤ㅤ㘷改ㄴ摦㥡愴㤳㌶㈹㤱捡敤愹㡤㈹攷昰㈶㔱搱〵㐹愱㤲攲ㄶ㙡㐸㈰㔲ㅥ㘱昷㐴㑣て㈲愶㠴㡤搳ㅦ㘱㜶㤴搹㌱㘴戹㍦㐰搲散㜴攳ㄹ〶ㅢ搸愰㍢扢㔲挹ㄴ㠸〶改ㅥ㝣扦慢戰㍡挹搷㥣㘲昶㈸戲㌶昳㠷捥挷ㄴ㐲㤴㈸㑦㄰㈲慤㈵摤扣㙣㠹慢愴㠱㝤㈶㠲㑡㌳昵㈰昴ㅣ㐶㤵㡡收慣昷㡣ㄷ捥㕡挱㍡愲㔰㘳㘶㔴㜸㙥㑤戸愰㉥ㅦ戶㑦㕢㥤户扥㉥㙡扡㔹昶敡㄰㙤昳戳扢攱㔰㡥昵挱㤶㤴攷昲慣㠶搴摢搹ㄸ㐳㘸昲㐴っ㕦㉢㍤戱㍢昲㝣昳搰㌷搲摣搱㘵㉢戴挵㤰愹㤸㡥攵㠲㠹㕤㐴搴愰㌶㘰㉥慦昹㐲捣ㄶ捤㜳扥㔵戳㉤㔷㄰ㄹ戰㌱ㄹ愸㕢㄰慢㠸㄰㉣㜹㡣晦㜹㙥搱㕣昶つ㌷㔸㌷ㄸ㑣摣摣摦昲㈴㐳㈲㌹㜳摡㜲〳扣㐶㘲㤱攵ㄱ戳扣收㕤㐵愴戶敥戸攷㡣昵㘰㔷㘰㠵㐴慦㤲㐴㡤㤶搵戲㔹慤㤰㉤昴㡡ㅦㅥ挸㌳㤹攳昸敤㘷㈶㜱㤵挹搱㕦㥥愲扤㘹搷㐷昱ㄹ摡改㥣搳㌰㈲㐷㡤捡扥㔴㈹㑣㑥搵ㅦ㘷㥦搳挸捥㥦扢㌴摦㡣捡㝤㡣㔸㜵㡥晥晤ㄴ〹㉦㠹愲ㄱ〲愱㜷㙥㥦㈲ㄴ搶㤱㙥挰㝦挰㌷㥦摡㠹㙦搰㤴㌰愴扤㝤捤攲ㅣ㘲㐸挳收㠲戱㈲㙣㐴愲ㅤ㈳摣愷ㅥ㘸挴㍡㠶ㅤ㐴㙤㌳㥥攳ㄸ㈴㉣ㄲ㘵戹㙡㤰㝥愷敡愱㜷挱㜲㜵ㄳ㤹愴扥愸捡戸㠶㉡攳㥡慣ㅡ㌶㉦㌲㈸㈸换ㅣ换㕢㌵㝣㉢㕣㜳慣㙡㠱てっ摣敤ち㡡〴㡢㔳敥挶㈹㤶ㄸㄳ㙤戶晣㈵ㄸ㙣㐱〹挸㉥㐱㡡㜲敢㠸㝣搰㙤㔶换攳㐷敢搱慤〴昱㈲㝤愴晡ㄳㄸ㉤㈷敦㐴㐰攰挸㜴㍤扥㜹㜱晤㔵搴㈸慦ㅣ戱㥥㐲㈲昰〷㈶㐴㍣㥤摢㜹昳㤲㙢㠵挰ㅥ㌱㌶㘷㠵戳〱㔰㡥っ㐵㜹戸扤㕤㘲㌵搱㘹戲愱ㄳ敥敥㙣㙡㔱ㄲ㠷㍢摢㤳㕡攳晥㉤㥡㤵㍥㐹愸㤱敤㠰愴㕥搹㘲㡥扢㐹搱㘸㔲㙤挷扡㐶㑢㜳㥡㌶昷㥤㌲攴㘳愸㈵㐹㌳ㄹ晤㡣㈴ㄴ㠴㜸㐹ㅤ搰㔰昴搶愷㤳㐷㈲㔶㐳ぢ㘰㤰㕡㑡搵ㄵ愳㘰攰㍣㉥㥣搴挴㘰昴〴晥摥ㄷㄵㄷ敢㘱㑢㡢㜱㙤㉣㙡㤹戲敤㐵ㄷ㌶㐲搵昰㙢扢㠴愵戱㌶愵㕦㈴㜷昶慡晢搵昶㈶ㄸ㌱㘲㐳〶㐴㔲扣挰㘰㐳㌰㔷㈲㤶㑡摢慣挸慤㙥㔴ㄷ昸㜴㐱ㄸ慥挴㐰㌹慣捤㡡つ㘹㠴㌵敤昸㌱搹愱㜱㔶㤴㜲㔴㌷愷㔶〲㈸昴㤰㜲㍣㉡㐹〶搷捤㡢㜴㑡攱晡〲挴㙥㔴㕡慡㠶〸敡㌶〶攰戹㘰昷㘰〷㍢愲㠲㈶戴捤㈸㐱昳㈹㠴摢扡〸昲㑥㡦ㄸ㠵㈰㌵㘵晡搷㔹敤慤敦㌳晤散㙣㈶㉥㐴㑣挴㐰㔷㡡敤〰攴㈶㘳㤲攴愲戱㌸㔴慥㈴㥢ㄴ㕡挳㜱ㅤつ㡣㈲つ㍥㍦挴晤ㅤ㐶戱㐶挸㌶㌶㙥户㠵ㄶ戴愹扤戹捦㥣㜷慢㜶扤㈶愴㉡㡥㘵戵搴挸扢〲㕦昲攲㥦攲愶㤴㝤㠹㌶㘵ㅥ〷㈹㉥㤹㐸敡摤敡搶㍦㠷敥㔲挸㘱っ㈵摢ㄸ㝡㑣㜱捡挹㔰㔸挷つ〵㕡㠷晢㥢㔷ㄷ攴戵㌹㠸戴㡥㉡捡戲〵摣挴㙢挴㡦㈵户㈵挰ㄶ扣〵㡦ㄶ㝢愲敡扣愵慡㜶〵㡥戰㑥㈵昰昲㜹ㄸ㈳㍤㜲〷〷挹㕣㡦攲扡搷㕦㤵㡦㤹敢㘷㈳攳㐳㘳㜴㤷㘷愰っ㜶ㄵ㡣㐴㜳㍢摢戴戹㌵挶㝤㘹㜷敢㑦㈲搳ㄸ〰愶㐱ぢ㐸㘵攰㑣愳扣扤㠱挳㔰㘴㑡㙣㌴ㄹ㐶㘵㠴㜲っ敥㝡㈰つ摣挴㘳昴戲〷㈵ㄴ㡥换㉢㘱昱慤挴㐹〷〷㈰捦㍦搸㔶戹㘴㠴戸昸攲ㅥ㙡慢㥥慡搵㘸敥挲㍢户㉢戰㡡㑢ㅢ捡ㅣㅤ㙦扢㡥㈵搷㐴晢敥扥戶㠶攸㥡攰昱搹搲㜹㈳慣慥㤵挳㑤㜵㘵慢㔷㤲挸晤ㄶ摥㠸㉤摦㑥㥢戹摦攵ㄵ搴つ敥晤攰ㄵ搷扢敡捡㜹攵〲摥昷愳ㄵ慢てっ㜰㤲㠳㤹㡦昰㈳㔳㌶㤳晢つ㐶摣挹戴㌹㐰搳㍤挲㜱㘴㔲搲㘰〲攵ㄴ㍡㠱敤摥戸㉦㐰㍡ㄹ㙦愳ㄳ㈹〸昶〸挵㕤晤挴〸㐵晢㌵搰㑡㘲㔱〷㜲散昹摢㘰㝤敤㔷愸㈱挲昱ㅣ㠹㤱摣㍤㈸愵愰㑥ち昲攸㜲〷慦㠲晣晦㘰㈹收收㉤搹改扦挰捣摡㝢敤㈸㍡㑣ㄴ扤摢㠹㈲㠶㘱㙦㈸攰捤搹敦ㅤ㌵㍦昵㑢扤晦挳愳收攷㠱㘱㈶㘹㡤㈱愴挶㔰㝣挳ㄸ挸㜶ㄸ〳て愰㔹ㅡ〳㑦戳て愳昵捡ㄸ㠸扣ㅤㄷ㔰戱扤㌱挰ㄸ㕥㡡挹㤷〸愹㈶ㅣㄸ㍣㙢ㅤ㜴攸〹㍢㡦换戵㈲㐰摣ㅥ敡㈹㤸㠱敦改搶捥敡㈵挳㌷㥣㐳戲晥㥣㉦愰戶晣㘵摣搶㤶㕤搸攳昶㉤㕢㘴愷㉤扣ㄲ戱㌷㝤捦㜳戲戳㍢敡挰㤴㑡捡㑤慦ㄵ戴晣挷昰㠹㘸㍣㈱㘴㕥ㄹ晦昹戹扦扤晣晡㔹摥㑡㡢㘸㌵挷㌰㜰㉦愱㜹㕡づ〸摥㈶㉥㠴ㅣ攰挷㌷ㄷ昰ㄱ㤲戵㙥㡢㘹挳㤷昶㑥愰㍢㜱㔱ㄱ㕥㠲㌰ㄵ昱敤〶㘳ㄲ昷ㅢ㤴㌱㔹㙡㜳㙣捡㡦㤷愴㌳戰㤴㤸戸昴摥挵攱㐱慤慢捡敡搱慥捣晤〲㑡攷〶㈷搲㙡て昲㝣挹愴㘹敦戴㙢戵㔳搴㙡搲㑣搴㈶〱ㄱ㑢㈹挴ㄹ㐸㈱挹㈳ぢ〳晦㔲㑡㉤愱㤰㉢㈱㑢㠹愰戵㠷㜲㜹昲摦ㄳ〲愲㜱戹慦挷て㔵戰㡢挰㘲散㜵敦昵散㑡慢㌳㔶㑤っ挹捡搳挷戳㈸挸㘳ち㉢ㄸ愳㤵戵ㄷ㔱㠸㔳敥ㄸ㑡㍢㜶㍣昱㈵㐵㐷〵搸ㄴ㘳攷ㅣ㝡搵〶㥤愷摣㍡㙥㜸㐰捦攴愵挲㜰昷戳ㅡ㐷㑦ㄹ㡢㔳愰㠳慡㡡昹㠸㉡㌶㍡つ㐵㑤搰㔹敥㈱㥣㍦ㄱ攴攳搷㐰㙣㥦㙣づ㝤愰扤㠵㍡捥ㅤ挰〲昹ぢ晢敢㜰ち㘳攳慤攴ㄸ㐸搸ㅤ㐱ㄵ搴ㄵ昰㌲扡㐸㝢㕥搳㥢㐵扥㑢搳ㄸ㡢㡥㌹慢慦㔳晦㌳㑡㉤㌹㙢㤹搰っ㔷户攸晦换愸搸㔶晦㙢㡣戱㐹㤴㍤ㄷㄵ昸㤰㘳愴㘴摢攰っ㜷〴㍥㙣㠴㘹攴ㄱ㔸㤷㐵㠶戶㔵愹㡣㡦㔳㔵戳㤴攰昰㜰昵户㕦㠱㘸昴愵㙤㍢搴㔵〰㌲ち㤴晢㈹㐴㔰搷晥㥣㜴攷㌹㌶晦〵㔴㡦㕦戰慡扥ㄷ㜸㘶㌸㔱㐶㜰㜷㠲摦㤷㤹戰㜹愶戴户摢㠵摡㝤搸㠹攱攷搱㘷㘱ㄱ〲晢ㄹㄱ㝥㌲㌱㐷㐶㄰㜶ㄶ戱攰㤷㐶愳㠹㌰ㄲ㜵㐳㜰㡢昹㙣摤戰昱㜱敡㈲㝣㥡㈱慢㜶㠵慡㔳㥥攵昶㝢ㄸ摣㌸摣挴㝡ㅡ㝥ㅦ㘱㤷㄰〴㤳㑢㜸晥〵敥㙡晢ㅥ戴挲㐶㙢ぢ〸搹㥢㙦㙤㌰昷ㄳ㘰㜴㘷㙦㘹㈵ㄸ扥㤳摦ㅣ㉢扦〷晤愲㍢㜷挲㜲愴㌱㔰㜸昴愹㌶㥤㕤㤳㌶㕣㘴㍢㠸㙦扦㠰慥摡㤳捣昰慢㝦㌱㉡昰㐱愳㈷敦〹ㄶ㝥㡣㈵㤱昴㔱捥攴扦㠴慣㍢㍤晦〸㘰㉤摥〱搲戳挶㐳〵㈹㜰㔰晢㈱摡戹㐳㡤㤵㙡昲攰㠰㌶扤㡡㉣㑥ㅡてづ昲摤㍦〰㜰攳摤〲戵摤摦晤搶㤶敦愶捡㤷㙢㕢㡤〷挷摦搱㔸㘵攸㙢㜸搲㉤㘶㉦㌲扢挲挶㔸㜳㡣㔰ㄸ㔲挲攴㔵攸攰扤戳㈸㈳晤㌱晡晢挱搹昷㝦捦昴捦戳㥡ㄴ㝦㘸搲㙤〹愱㌲㡤攲㑦慥攲扢挹㔵戸愸敤扥㡡敦㙣戵㡡㔱㑡㐶㕥㌷搱搷㤱ㄵ㐷㌴㠹㌶㍥扦㠴㉣㑥愳㐴㥦㠴昲㔱㈸㡥㡣㜲㑢昹㕣ㅣㅤ攵敡㔵㌱挷㈵愷㝣愰㈳敤ㅦ㕥㘸愴㔷㈶慦摣慡㜹愵昵ち㑥攴㑦摤ㄵ摣ㅦ㜹挲扢㡡散㝣㡦戱㝡敤摢㌱ち捥㥦㡦扦㝥捡㐶搱㈳㤰㠰戲㌸㐹㌲摣㐸敤捤ㄸ昸㥤㕦㌶㥤㥦㘸㐰〲㥤㈸㘰㤲㤶〴晥㔶っ㝣ㅣ㕦㔶㐹㤸っ敦〲㌰㝤㄰〳㤳〴㈵昰㌷㘳攰㝦ㅣ㍦搴〰㡥㈹㑥㡤㍣㑡㜲㡢搰扡㡥㘲㡡㔹㉢つ晤挴〷搷㍣㍦攷㑣慡捡㈱㔳㔵㔳㑣捡㜸戰㉤㤵攵㌰㙥㜸昸昸攴㜹〱搷㤵㜰慦〳ㄲ㔵晤捦〷昳戸挶㌴㙢㠴〶扥㘸摥㐰〴搹搷攵ㄳ㍢攷捤㐵ㅦㄵ〳收㝣㠰攳㔳㙤㔷㔱ぢ㌴㝦扦摡敡㙤㍣敤㈹㔶㘲㜳㍦攲挸㔷㤶ㄷ㐳㝡搳ㄴ㌲㕡搲慦扤ㄱ㈳㌹昳㕡㤳㝣昴㑤㈰〷捥ㄷ攴㉣っ慡挸捡㌸ㅦ㐶挹昰ち攳ㅡ戹㥣㔸捦扦㠲㙣㈴晥㕦㈶㈶㌶愴㈳㈴慢扤ㅥて㥤愴ㅦ晤换散昰ㄵ㘴㝤昰挰㙡ㄱ昵戵扣㈲挷户敦㜸ㅢ㌸挹ㅥ㜵捦㙢攸慡㜱㍥㝣愱晥㔵㍥扤挶㡣㑦㕦㐳ㄶ㈷㑤㌶攱㐹晦㝡㕣㠵扦愳〴㔱㍢㌱捡㝡㔵ㅣ晡て㠸㙦搳㐵</t>
  </si>
  <si>
    <t>Decisioneering:7.0.0.0</t>
  </si>
  <si>
    <t>CB_Block_7.0.0.0:1</t>
  </si>
  <si>
    <t>㜸〱捤㔸〹㜰ㅢ搵ㄹ搶捡㕡㔹㉢㑢㡥ㄲ〲㙤㐲づ㘱㑣㠱㌸ㄵ捥㘱ㅣ〳㈱戶攴㌳搸㠹㠹散〴〶㌲㘲㉤㍤搹㑢戴㕡戳扢㜲散っ㈹㘷〲㈹愱㤰㑣〲つ㌴っ愱㠴搰っ㈴ㅣ㙤㠶愶搰㑥㍢敤戴搳搲㈹㌳㔰愰㥤㜶愰㌴㌳㥣ㅤ㘸戹愶敤㜴搲晦㝢扢㤲扣㡡ㄴ搲㤰捥攴搹晡㜷摦晢晦昷扤敢扦昶戹〴㤷换㜵㤴ち㥥㈸ㅥ扣捣㡡㑦ㄸ㈶㔳㈳㌱㉤㤳㘱㐹㔳搱戲㐶愴㑤搷攵㠹㕥挵㌰慢㐸挰㥢㔰㠸㙦㠸〹㐳搹挰㝣㠹㌱愶ㅢ㈴㈴扡㕣㍥㥦攴㈶㍥㐰昰ぢ攵㉢ㄲ㝡〵㍣㐴㔶挵愲㉢㠷慥㈷搴戸愹改㙣㝥㜸戵搵㜷㘹㜳㘴㔱愴攵攲挶㐸攳晣㜰㉣㤷㌱㜳㍡㕢㥡㘵㌹㔳㤷㌳昳挳晤戹愱㡣㤲扣㠲㑤っ㘸敢㔸㜶㈹ㅢ㙡㕣㌴㈴㉦㕥戲㘰㜱㔳㔳扡愵㘵㐹㠰〶㜶慤㠸㐵扢㔹㘶㤴搰㑥つ愶㤷㌰㝢㘳搱㝥㥤愵㑦つ愲㠸㉤㘸㘸㘷㐹〵㝢挵㤸慥㘴㠷㈳戱㈸晤㑦摡て慡㌵㐷㔶挶〷㜴㤶㑤㘱㔵㤲扡㌲㌹戴㕡捥攴㤸㔷攵㔳昱愹慢㘵㝤㠵慣戲愰㍡㘸戰㔵㜲㜶㤸愱㈶慡㕤㌹㈵攵愱搳慢扡戰摣㄰昶搶㐴㔶挶愲戱ㄱ㔹㌷㌹㈴〶㈸㉢捤㐷㡡昰㐹㜰㘹㕥挷㠶〸㌵戶㘶昰搱㌰扦㙡㄰ㅦㄱ慦㐴㈴挸晢㠴㜹愷昰〲挱昳ㄹ㘹搶攴㉥㌵㈴攳㑥挸敥挴㤰㍢㤱㜴㈷㔲敥〴㜳㈷搲敥挴戰㍢㌱攲㑥㈸敥挴昵敥挴㍡㤲挹ㄷ㕦㜵戵摢㉥摢ㅦ摤㉣摥㝦㤵㘷昹摥扦ㅥ昹㜰昵慦ㅦ摦ㄳ〰㔶㉦慤㈷戲㠲㤹愷攴挸㐵慣愵散㝥㤴摤扤〰㐹㡢慡戵昹敤捣㐸㑡㌸㤹㥥㙣㡡㡤㝢改㡤㑥㉣愰挶戴慣挹挶捤㜶搹㤴慢搵㝥㤹づ搵㤴㐸愸㠱昷戲摥搰㌳挸摢昲扤晤㜶㡤㄰㐲晣㜵ㄲ㑡つ㙦戰㤰〴㌲戰㉡㡦㐵㝤摥㜲㈶摢㉤ㅢ㈳愶㍣㤴㘱昵㈵㉡㠱㕤㈳扤ㅡ㌴㤵㡣ㄱ㈱挸㉥㕤换㡤㘲㍦㑦ㄵづ㔷㕤㈸㠴㌷㐸㠴㍢ㄸ㍣挹㈱戴㑡戵昴昰㑢㘰㑡㘰挲昹搰㠳㑡㥥ㄷ㤸㐶㤵㉢㙤㐵㙢搷攵昵㘴㈸挵〳㕥ㄸ㈱ㅦ㜱㈲㕥㠲㥣㐴扡㈹摤㥣㕥戰㈰搵搴㈸㉦㤲㐵㘸㘹搹攳㉤慢敥搳㐹㍡愰慥㔱戲㈹㙤㍤ㄷ愸㔱戹㜲㐷攵㙣捡〸慡㜱㠵ㅦ㜷㍢㍣㘲㡤摡捦昴㈴ㅤ慥㤲㘱㝥㤵㉢晦挰挴㈸㥢ㄵ㤵つ㔶戴㥦㠶戴〵ㄶ搵㜲㠴㜰㜶㜹㘶摣㤴㑤㌶戳㤴㔷〴㌹愶㕢㥣晣〸㌳昸〴攷㤴㜶攳㕡搸㌶慥㔸散搹㈵㙣昲㈷摡㔰㘵㙥愷捥㙥㈸㜰㡦㤹㔱ㅢ㐵㠵㌱〶晥㌱慢戴㔸搶扣挸ㄳ㘸〶换昲改㌵愸晤㑡㜲ㅤ搳攳っ㌱㠵愵昸㔲捦〴㡢㤱㘱㈴㤹搱戰㌲㑢ぢ㈵㠷㤶慡㥢摣㥡敥ㄸ㌷挹ㅢ戲ㄴ捤㤷摣扢㌹㌱〰㤵㍥换㈱㘲㡤㐹㡣ㄹ㡥收㑥㉤㤹㌳㘰㍥扡㤶㜱㜲摡㔲㘳㌲㡤㤹敡搳㔲捣㔳㔵攵昱㜸㕣昴㈳㑡づ戴㡡㙣㙡㕥㠹挵㜰㍦つ㙣挳㜲㡢㤳昴〲㝥戱㥣昵ㄵ〲收㜱㤹ㄷ㔴ㅥ愸愸㔴搸㉡っ㜳㝥㘵攱㠲搶㐱昳㈰晢㔵愷〱㐵㔶搱愶搳收㘶ㄸ慣换㕤敡ㄱ㈶慤慦愸㙣㠰㌹㡥挱㑣摡㙡㔸〱愴㡦戳ㅡづ㕢㔰愸晦慦戰摢㝤㠶扤晡㡥㌱㌲换㙥㌲搹っ搳㡦㝢づ〲㘶㈴㥤〱〲换㤷捥〴㌹㡢㠸昸㉥㌹愸ㄳ摤㜸攴㍣搵㘳㜰晥㠹〴㌹㔳慡㈱攵ㄱ摦㈱㠸㡡攷〱〹㘱㕣㤸㄰搷㉢㈹㜳挴㍢挲㤴攱ㄱ㤳摡㈸㤷昲昹㜰㔸ㅢ改㜷㠸㝥㌷㔳㌲戵㠹㐶㄰愴ㄹ㔴㤳㘶㠲㥣㑤挴敦户㍣愹搷㉦捤戶慡ㅥ昸搸㜲换㉤㐴〴㠴㍡㝦慦㈶愷㍡攵㈴攵㘱搵㜶ㄶ收㡢㘹敡㈸挵㈹㍤〴挹ㄸㄹ〷ㄹ摤㤸㤲㘲扡てつ㜱捡昶㍣㤴㠶ㄹ㕥敥㕡っち㐰㔵㉥㔱慣昱㤵ㅢ慢㈷㡦㔵㙦㥦挵攴㙣戲攷ㄸ晣て慥㕣戲っ搹愲摦㡦㐰㈴捤〱㤹㑢㐴挴㤹晣て收㠸摥㌳戹戲㑤戲搱㠶昴㙡㠵慤㠷㘹捣㍤㤶㐵㜹㔴㉣㘷㤸ㅡ㡦捡㜳㡥攵户㙢㉢㌴戳㕤㌱㐶㌳昲㐴㝤ㄹ戶挵㔹㌳挲戲㘴愷㍡㜹戶㉦ㄲ搲㐶㐷㔹慡捣ㅣ攳㕡㡥挲㐸㑦晢改攰ㄴ㘹ㄷ㐹搳戸㉦㜴ぢ㔴㑥捥愰晣〰昱愳戸〴㤸ㄵ散㐳ちㄳ㠱搲㈳㠱ㄲ㘰㘷扣昵ㅣ㝡㠱〸㝥㈲っ敦㌸扥挴改ㄹ㌱㐸㔰戵㡥搰搲㑢㔱㠵挷昴慢ㅤ搹㥣㤵㡡㜹搵昸㠸戶㍥㍢つ捤つづ㔱扦搵〴㍡挵㝡㉤㜴慡戱㔹攸㌹挳㔲㘶㐴ㅥ昰ㅢ㡡搰㘷㤶㜲昸㐸搵戴㐰晣㈸〳㥡㔳搹㘹㘳〰㌸〹㥦㜰㘲㔲㈴㐷搲㔲ㅤㄱ㉣㥡㍣㐱昱㤵搷㐵㜸㠶ㄳ昲敤㈱ㄲ㥣㤲㉥愸晥㠰㘲㘶㔸㑤㥡㙢㌷㝦昷愵㘹㜲ㄴ慥㔳搵改㠱ㄱ㥤戱昶㘰扡㑢㔷㔲ㄹ㈵换㘰㐶搳㉤搱㕥㌶㑣愱戹㕦㌳ㄴ㝣㈴〶搳〳扡㥣㌵攰㐰戲挹㠹㘹㡥ㅡ㍦ㄸ㌱ㅤ㔵戲〶つ挳捤つ敦㔳搲搸㉥昲っ㌹㌵摢㈵㡦ㅡ愷㠵敡㐳ㅦ慤挲昵㕦㜰ぢ㙥户攰㜳晢㑥搲〸㕣㍣搹㈵㕦改㜶㉤㈴㔸㌷〸戹㌹戲〹ㄱ㍥晣挴㈳㉣收ㄵ攰㥦㠱㜶挶㔴㔵捥敦ㄶ昲づ慥㉢昵攸㜳ㅥ㤱敥慥挱㥥㘲ㄶ晤㈵扥戶㐵挴㥣攳ㄸ㈷搷愱㐲愰㠷㝤搷㕡捡㠲㌶攸㡥挴捦ㅣ戵㔲〵昴愷戹っ㜴戱戶昸摡㐹〹㕣㈰摤㉢て戱㑣愷愶慢戲㔹㙢㔵㘰㔷慡㥣㌱㙣ㅥ搹愱㉡㐳戹昰㝤ㅢ㑦捡ㄹ收㑢户攵㑣慤㑦挹㑡㘹㈲㕣〳敤㈶㜹㥣㥡攴㜱摥ㄴ㐸慦㐲㐶㙥㜹づ挲搲㠶㘵㕤㌱㐷㔴㈵改㐳〵㔹昳㘹愱㤵㘴敥摣愱搰㠶愲攴㕤㜳戸挴扤㔸ㅦ㜵㜴搸ㄱ㡡㝦搸㍡ㅣ㍥改慥㕢昰搲㥦㜰㤲㤹㤱㑢㄰昸搷㥡㜴㍥愱㠹㠸搳ㄴㄳ㠸㔲昹㈸㝦㜷昴搱㑤搴㘲昹㝡攴㈱㘰㑢ㄷ搸㉦愸㠴㄰搳搱搵㝢㈱㤱愹戱㘸挲扡昸攸㐹攱搳挹㥣昰捥愳收㕡㙡㥥㤴㔸㠶㤰〲愰㡦搴〰㠲㑦戸㔰㤸〸㜶㐲晡㍡㐸〴攴㈲㤰㐶㈲愱㜳㠸㠴㔱㕢〰〲㔳㤳ㄶ㠱㉣〶㘹〲戹ㄸ愴ㄹ㘴〹㐸ぢ挸㈵㈰㤷㠲㕣〶戲ㄴ攴㜲㤰㘵㈰慤㈰㙤㈰㔱㤰ㄸ㐸㍢㤱㘰㘰㑡ㅤ㍤㌰ㄷ敦〳扢㔰㝥〸㜹㉡㉦搹捦㌷㤷晤昶㐵㤴て㤶〹昵搴㡣㕤㤰㍡㈰㘰ㄷㄱ摢昹㠵㈷㠸〱晣㘹㥣㘵摣㥣挸㤰晤攰ㄵㄷて搶ㅢ戲㌲㡢㑤㝥㔴搳改づ挸㔳㥡㙣ㄶ晡㈲㥦慣㤹㕥昲㘹挰扢㠱〳㔵ㄱて㤷㐹㔶ぢ晤戱㠲㘲㠲㡢㍥㈸摥㉥㈲搳晢㤴愴慥ㄹ㕡摡っ挷㈹ち㠴昱〵㤸㜶戹ㅡ摢挴攷〸戱散㤸㔸㤸㈷㡢敢慢㌱攴捣晥㜵㔹ち戵㝣㌶愲㐱愱㤱昱晤慡慥挶㌰㍣摥搱搳㜵㉥敤㘲〸㙡㠵〸㈶昵㄰〹㑥〹㉣愷㐷㕦㉣摡慥愹戲㤲㍤㌵㕥づ晡㔶昶戶捥ㅡ愴㜰㙤㤷搷㕥㤱攴〳戸慤愳㕢〲㝥㈵攷攳ㄵ昲㜷㐱㜵㡤愶慦ㅢ搲戴㜵㌸戳㕡㕥㌳㐶ㄸ㌳㜱㠹㔶愳㕡㐶㠰㜷㌲愹慡㉡挷㜵㤹㝤㔰㘰㘲㠹摥㉢㠸〴摢㌲㤹㜰ㅥ搱昰昶愲挹㜱慤攷敤愳愶愹搹㕣㌲挳㘴扡㤷㔵㜳㤹挸㜸挶ㄸㄷ㥥愱㘳挰㠵摣昶捤挳搳晥戹户愳㝢㙢㑢摦攵换捦㥤昵愰昰㜴㥥㔱㜲挵㈶挲挰捥㉤昱㉦㤳扥ㄴぢ昷㈱㌰㑢㉦摤㜶㤱昶搹㜷㕦㍥扡敥㌲㑤愶㘷㑦〷搷㐹㙡挶扤㘵㔹ㅤ㠴㜲㜹㑦搲㉢ち㑦搱捥㐱扢晤摤摤昹㕢㉣户慢攰ち㉣㕦〸〷㠵㡤ㄴづ收㠵㥦㍥攴㍡㑡つ㔴攰搹㔰挸㕦㔸挲㜰㘴㕣昸㐰㕥㜸攱搱㡦㑡㠴摦捣ぢ挳攱㜱攱㈷昳挲敦㉦㥣㔱㄰捥㝢ㅥㅢㄹ晥㤰晢搰㈰扤㜸〷㠹㔴㜵敡㐹敥搴㠵敦㔱㝦㘸挶㥤㠱搷て㥣昷摡攵㍤て㑣㑤㙤㙣㝡㙤晢㐲攱㜱㥢昱搲捦扡晦㉤晤昹捤慥㠳㜳㌷㍣户㙢㜱攸ㄵ㘱愱〳敤㙡〷摡摥㑡㘸㡦摡㡣慤攷㌷扥晢㠳㐳㤷戵敤晢㙣摥搱㙦㍥慢つぢ昰搰挵戹慤㜵愰敤愹㠴昶戰捤愸捦昶昹㥦㝡㝢㕡挷晥㑦㥦昸㕡摤慢㠹㐱〱慥扥㠸㈶㍢搰㜶㔷㐲晢㡥捤㤸慤ㅤ㙣摥搸晣㘴昴攰敦㍥晥㐶㙡㐵㙣扦㠰㤸㔱㐴㘳づ戴㕤㤵搰扥㙤㌳㘲㕢㜷㍣昸搶㝢㉤㉢ㅥ㝣㘹㐷攴㕦收㡣ぢ〵〴㥦㈲㥡攲㐰摢㔹〹㙤㠷捤昸昱搵慦扣㜲㥢敦晥摥挳㑦㡡㝦㌰㝡㘶ㅣㄱ㄰挵㡡㘸慡〳㙤㕢㈵戴㝢㙤挶晢㥦晡㉥㜸㙡攰㜰摦愱㌵㉦ㅦ昶捡つ敦〸〸㠷㐵戴ㅢㅣ㘸㜷㔷㐲摢㙡㌳㌶㙣㑦昶摤晢昷㕦㜴敥敢晣攵㥥㥢㥡㕦扣㔶㐰㕣㉤愲攵ㅣ㘸㕢㉡愱摤㘹㌳攲㑢㉦摥㝤愵愷㉥晡扣敦扥て㕥ㅥ㤸㕢㉢㈰㐰ㄷ搱㈶ㅣ㘸㥢㉡愱摤㙥㌳㌶㝦㜲晢攷慦捥扣慤攳戱戱挵㍤㡦㍣昰愷㡣㠰㐸㕦㐴摢攸㐰扢愵ㄲ摡捤㌶攳挰㌳㍦昹敥㍢㐷愲换㥦㕤晢搳㙤慡戶㘵㡢㠰㤴愱㠸㜶㡢〳㙤㘳㈵戴ㅢ㙤挶搴㐷愶搵㝤㝦昶捥摥ㄷ捣㠷晦昲摡㍤㉦て〸挸㍤㡡㘸㥢ㅣ㘸ㄳ㤵搰挶㙤挶㠶㘵扢㉦摤摦㌴戵㜵晦㝤㥢攷㑥晦捤摦收〹㐸㘲㡡㘸㕢ㅣ㘸戹㑡㘸愶捤攸㡤㝣扣㜲摦㠷て戵㝥敢摤晡㙢づ扥㍦扣㔶㐰㔶㔳㐴扢摢㠱㜶㐳㈵戴㔱㥢㌱㜸摥挰㡦づ㠷摥攸㍥㜰挷㡥换㘶摤愸〸㐲慢〳㙤㥢〳㑤慤㠴㤶戱ㄹ㍢昷摥晡㡦攷慦晦㔵敢摥㝢㕥㜴扢ㅥ敡晣扤搰收㐰摢改㐰㔳㉡愱㡤搸㡣摤敦㐵慦扢晢㍦晢扡昷㡣扤昰昳敤㌳攷摦㈵㈰搱㉢慥㜴㤷〳㡤㔵㐲㑢搹㡣㙤挶㐳㜵㥦敦㝤愳攷慥搰㤱晢扦㜲㤵㝡㤱㠰㡣戱㠸戶摢㠱㈶㔷㐲扢捥㘶㍣敡晡攳ぢ晤昲愱摥㝢挲㌳㔷慤㝦㘲晡㈷㐲扢〳㙤㡦〳㙤㙤㈵戴㙢㙤挶扤㙦㙤扥搵搳㜲昶昲㕢づ㜶摥搱昷昶ㄹ慦㠷㍡愸㍦㔲愹㘰㐸㐴㌲㜵㘹攵㜰㍦㈹㉤㙦㈸扤㤳敦愰㍢昶〹㐴戳㉡扡ㅥㄴ昹户㤴挷㝤挹挹㘱攵㙦戰昱晤㉡㕥㐳昳晥ㄲ㌸〲㘱ㄴ昳㔵㈰捥愵㥦昴ㄸ愰㐱㑡㔳〲攴搲㥤㔸㐷挹㙤㙣㑤つ昲㠴挱㕤㠷㕢㕤㡢搷戶搵晣ㄷ㔴㡣ㅢ㝦</t>
  </si>
  <si>
    <t>aed80c88-d725-493e-9a11-647d35d79232</t>
  </si>
  <si>
    <t>㜸〱敤㕣搹㙦㈴㐷ㄹ㥦ㅥ㝢挶搳㘳㝢敤慣扤㥢㙣㑥攷㑥昰㙡戲㘷㤲㔵戴㙣㝣挴㙢ㄳ㙦散散㜸㌷㐲㔱㌴㙡捦㔴摢㥤敤挳㜴昷㜸搷〹㈲㈰愱㍣㈰づ〹昱〲㠸㐳〸㐵㈰㈴愴昰㠰〸挷㝦㐰㄰㑦扣㈱㠵ㄷ㜸〰愱ㄵ晣〱攱昷慢敡㥥改㤹昱戴扤㤳〴㘶㤱换敢㜲㜵搵㔷搵㔵昵㥤昵㝤搵㥢搱㌲㤹捣㠷㐸晣换㌴挸挲扤攵㥤㈰ㄴ㑥㘹捥戳㙤㔱つ㉤捦つ㑡㌳扥㙦散㉣㕢㐱㌸〰㠰㝣挵㐲㝢㤰慢〴搶ㅢ愲㔰搹ㄶ㝥〰愰㕣㈶㔳㈸攸㔹戴㜳㄰晥㡥挷て㍡㝢㡤っ㈲扢㍣㌷扢戲晥㍡㐶㉤㠷㥥㉦㡥㑦㕤㔵㝤捦㍦㔳㍡㕤㍡昷昴㠹搲㠹攳㔳㜳㜵㍢慣晢攲扣㉢敡愱㙦搸挷愷㔶敢敢戶㔵㝤㔱散慣㜹搷㠴㝢㕥慣㥦㌸扤㙥㥣㜹昶攴㤹戳㘷捤㜳攷㥥ㅤ挱㡢㌳换㜳戳慢扥㌰㠳㡦㘵挴ㅣ愷㝢㘶㕥㔴㉤慥㑢〸摦㜲㌷㑡㜳戳昸㤷㤸㍢㥥㥥㈹㤵㌷㠵〸昹㘲攱ぢ户㉡〲ㅤㅤ㠷㥤㤹㈰愸㍢㕢摣㌸摤㔹挰㌲慢㐶㄰收㥣㌹㘱摢扡ㄳ㡦㕡㜰㔶戰㙦戶戱㌳攲㤴㠵ㅢ㔸愱戵㙤㠵㍢㜹㘷つ〳搵㐶㥤㉢㠱戸㙣戸ㅢ攲㈵挳ㄱ㌹攷㘲摤慡つ慡㤴ㄹ㜸㍣ㅥ㈲㌹㌱戹昸搲㑣攰捣㙤ㅡ扥㥣㔱挰㙤㐹㠱㕤昰慢慤戰て㜷ㅦ㤷㔳㤷㙦攰㤸㡦㜶㠷㐳换㔵挳㙦㐰㑥㜷㠷㡣ㄶ摦㍡㠳愷扡挳㈷昶愸戵捦㤳摤晢挸慤㙣㠵搶㠶㈳摡㤶㍢㡡挵攸㜹㘶㐳捣ち捣㠸㐰扤挸㙣㤸搹〸㌲㙤昰摦攰㤰㘴㐷㌶㘵㉢㐶戶戲㥥慤㔴戳㤵㕡戶㈲戲ㄵ㌳㕢搹挸㔶㌶戳ㄵ㉢㕢㜹㍤㕢戹〶㤸㌸ㄵ㠶㠶戲㔱㝡攸㕦戵㥦扤昳敡昸攲昷㥤愷ㅥ㝦晢挴摦扥㌴㜲〸㐰㉦㐷㤳㥡昷㡤敢㈰戵㈶つ㥦㉡㠱㈳昶挳ㄳ㘰〹昳慣昹㡣㜹昲㘴敤散〹攳戴㤱攳戲㔲㤰摦㐲㈸攳㠰ㅤ㌱㕦戱摣㥡㜷㕤攲敥摥㔹㈳㄰捤㡤㥢㡥摡㘶扤扡㕢ぢ敥搹扤戱ㅣㅡ愱戸扢扤慤㌹㐸㐷户㌲搸㑡〴昲㝤昷户㜷扢㙡搸㜵㌱㜳挳㔲捤昷戵㌵㍢慢扥户摥扤㜵挱ㄷ㥦㙢戴㜶捣㘸〶〲㙤㕢㡥摤戱㑡搵愴收㌵㌵户改〵挲㤵搳㥢㜶㔶慤敡㌵攱㤷〵挵愱愸挹愵ㅥ㘱㔳挴昵搳㉢㉥ㄶち㙥慤㍤㤴慣㌵㕦戸ㄱ㠲㤹㐵つ昳摤ㄲ㝥戸戳㘶慣摢攲㘸ぢ㠸㝡㈷ㅡ㡥戵㔴㉦㜸搵㝡㌰攷戹愱敦搹慤㉤㌳戵㙤〳㤲愶㜶挹慢㠹挱挱㡣ㄴち㄰戶〳〳㥡㤶昹㔴㜷㕥㤰㠸㐸愰㤸㡣㝣㔷㉢搹㤵㉥㘳㜵㔸㠵㉤㐸㤳搹㐷昶ㄸ㡣昳㤵㌲㈶㠵〳ㄳ㙢愲敥攰㑢㥦搸㘳搸〶收㍥㔹攰㙣㜶㈲㕡晤ぢ摢挲つㄷつ户㘶ぢ㍦㔵昳㘹㥣㤱㍥㠶㉣㜷ㄳ〲愱敢敥㔱捤㘹㌷戴㥤摣㜵慢ㄶ㙥收㌷㠵戵戱ㄹ愲づ摡戱㔰攰搶㜶㈴晤づ㔴改㠷㤹㑤㈰㉢ㄶ㌳昹㐹〲攵㡢㐸㤹ㅣ愵㔳ち㉦户〸㜲昶㙢攱攵ㄱ㜳挱戲㐳愱㠴昲㤸〹㡣㈸慤㈶搱㌷㑡ㄲ昵㡤慡㔲ㄸ㤳收ㅣ愸搴戰摣㜰愷挹户ㅤ㕣愲㠸攸㐰ㄶ昴㥤㉣愰㈸㘸㤵〷㈹扣〶愲㘹㤳〶改挰〹㈲㈲ㅢ愴㘸㜶㡣摣㑡㘴㠴㑦㤱ㄱ㠰㑦ㄲ㈱愱㑦㜴㤷ㄱ㈴昶㑥㈲㘵愷慥晣㜸㈰捤㜶戳攳㤵㌴㍢㠲㡤搳㡦㌲扢㤳搹㕤捣㡥㈱搳晥ち〹㐷㈹㠷㜲㙢搲敦挱戳㝥㉦戳晢㤰㐱㍥改㤴㌹㤱愸愲つ戵ㅦ㍢㤲㜰愳戰㤳愵㔱慣㐴ㄱ㉤攳㠶㥤㌹敡㐸㐴㐷㔶㘷㝦攸摡㐱愹㘳ㅦ敢㑥㥢挹攵㤰㈲㔳㐰㤳㙢摤〳㌴戹ㄱ〴敤㔱㙦㍤㠰慥晡ㄴ戳〷㤱㈹挵㐲㘳㜷㝦搶㍣捤挹摢挲㈴㔲㠶㔰㡦捡㍤㈲㘲㥡晦㈹〲慥攳攸㜲㘰㍦搳ㄴ㥣㌶㙦㝢晢昹㜸㜷摥㡥㤰摥愶㌳て㜴づ晤㐴户㘸㐱㍦〴昶搲晥摣㔵扦㍣㠲㘶晤㔱㘶㡦㈱㙢搳㉦㍣㜹摦慡㤷㐰㥡挴㑥〲㜳㠷改㜱㤱ㄶ敥摡捥㤶㤰摡㘷挴㕣㌳晣つㄱ挲㝢戱㌴て㍢搸昳㝤㘱攳㐰㕢㤳ㄵ㍣扢摣搹㕡ㄹ㉣昸㥥挳晡〳晢㌸戸㉤ㄴ挳攰㘰㜶㈰搳㘶ㅦ愷搸㤹〹㝦㔳㠲㜲愸㝦㑦㜷ㄷㄲ㠹㑥慤攴挵㝥改㘷换〳㐹搲㠳㈴㜹〲摢慡㍦㠹っ㔲㐲晢㔳㔷㠹㌲㑤戰攳ㄲ慣搵㕡愵㜷㉦攵㘴搲收㍦散㤰㈳挳捡㔹㍢ぢ摦㐱㌰敡㤴㉤愷㈱㉣㠶㥤㔵攱㔷攱㔷戰㙣㔱㔴㉥㔹㡡㥡〳㔹㜱㥢挸㡡㠱㠱㡥戳㜴㡡㙦㑤搲㐹㥢㤴㐸攵昶搴挶㤴㜳㜸㤳愸攸㠲愴㔰㐹㜱ぢ㌵㈴㄰㈹㡦戰〷㈲愶〷ㄱ㔳挲挶改㑦㌱㍢挱散㈴戲摣ㅦ㈰㘹昶扢昱っ㠳つ㙤搳㥤㕤愹㘴ち㐴㠳㜴て扥摦㔵㔸㥤攱㙢捥㌲㝢ㅡ㔹㥢昹㐳攷㘳ち㈱㑡㤴㈷〸㤱搶㤲㙥㕥戵挴㜵搲挰㈱ㄳ㐱愵戹㝡㄰㝡づ愳㑡愳收扣昷㤲ㄷ捥㕢挱ㄶ愲㔰ㄳ㘶㔴㜸㘵㔳戸愰㉥ㅦ戶㑦㕢㥤户戵㈵㙡扡㔹昶敡㄰㙤㑢昳晤㜰㈸挷晡㘰㑢捡㜳㜹㔶㐳敡敤㙣㡣㈱㌴㜹㈲㠶慦㤵㥥搸㝤㜹扥㜹攸ㅢ㙢敥攸㥡ㄵ摡㘲搸㔴㑣挷㜲挱挴㉥㈲㙡㔰ㅢ㌲搷㌶㝤㈱收㐷捤㡢扥㔵戳㉤㔷㄰ㄹ戰㌱ㄹ愸㕢ㄶㅢ㠸㄰慣㝡㡣晦㜹敥愸戹收ㅢ㙥戰㘵㌰㤸戸㜳戸攵㐹㠶㐴㜲收慣攵〶㜸㡤挴㈲换㘳㘶㜹搳扢㡥㐸㙤摤㜱㉦ㅡ㕢㐱㕦㘰㠵㐴慦㤲㐴㡤㤶搵戲㔹慤㤰㉤昴㡡ㅦㅥ挸㌳㤹㔳昸ㅤ㘴㈶㜱㤵挹搱㕦㥥愲扤㘹搷㐷昱ㄹ摡改㥣搳〸㈲㐷㡤捡㠱㔴㈹㑣㑥搵㥦㘵㥦㜳挸ㄶ㉦㕥㔹㙡㐶攵㍥㐲慣㍡㐷晦㝥㡡㠴㤷㐴搱〸㠱搰㍢㜷㐸ㄱち敢㐸㌷攰㍦攰㥢㑦敤挴㔷㌴㈵っ㘹敦㔰戳戸㠰ㄸ搲㠸戹㙣慣ぢㅢ㤱㘸挷〸て愹〷ㅡ戱㡥㘱〷㔱摢㥣攷㌸〶〹㡢㐴㔹慥ㅡ愴摦㤹㝡攸㕤戲㕣摤㐴㈶愹㉦慡㌲㙥愰捡戸㈱慢㐶捣换っち捡㌲挷昲㌶っ摦ち㌷ㅤ慢㕡攰〳〳㜷㝤㐱㤱㘰㜱捡摤㌸挵ㄲ㘳慡捤㤶扦〲㠳㉤㈸〱搹㈵㐸㔱㙥ㅤ㤱て扡捤㙡㜹晣㘸㍤扡㤵㈰㕥愴㡦㔴㝦づ愳攵攴㥤〸〸ㅣ㤹㙥挶㌷㉦㙥扥㠵ㅡ攵㤵㈳搶㔳㐸〴晥挰㠴㠸愷㜳㍢㙦㕥㜱慤㄰搸㈳挶ㄶ慣㜰㍥〰捡㤱愱㈸て户㜷㑢慣㈶㍡㑤㌷㜴挲〳㥤㑤㉤㑡攲晥捥昶愴搶㜸㘴㤷㘶愵㑦ㄲ㙡㘴㉦㈰愹㔷㜶㤹㘳㍦㈹ㅡ㑤慡敤㔸搷㘸㘹㑥搳收扥㔳㠶㝣〴戵㈴㘹㈶愳㥦㤷㠴㠲㄰㉦愹〳ㅡ㡡摥晡㜴昲㐸挴㙡㘸〱ㄴ愹愵㔴摤㘸ㄴっ㕣挲㠵㤳㥡㈸㐶㑦攰敦㐳㔱㜱愵ㅥ戶戴ㄸ㌷㈶愲㤶ㄹ摢㕥㜱㘱㈳㔴つ扦搶㈷㉣㡤戵㈹晤㈲戹戳㔷摤慦戶㌷挱㠸ㄱㅢ㌲㈰㤲攲〵〶ㅢ㠲戹ㄲ戱㔴摡㘶愳摣敡㐶㜵㠱㑦㤷㠴攱㑡っ㤴挳摡扣搸㤶㐶㔸搳㡥㥦㤰ㅤㅡ㘷㐵㈹㐷㜵㜳㘶㍤㠰㐲て㈹挷愳㤲㘴㜰摤扣㑣愷ㄴ慥㉦㐰散㐶愵搵㙡㠸愰㙥㘳〰㥥ぢ晡〷㍢搸ㄱㄵ㌴愱㙤㐶〹㥡㑦㈱摣搶㐵㤰㜷㝡挴㈸〴愹㈹搳㍦㉦㘸摦昹㌶搳㑦㉦㘴攲㐲挴㐴っ㜴愵搸づ㐰㙥㌲㈶㐹㉥㥡㠸㐳攵㑡戲㐹愱㌵ㄲ搷搱挰ㄸ愵挱攷㠷戸扦挳㈸搶ㄸ搹挶挶敤戶搰㠲㌶戵㜷づ㤹㑢㙥搵慥搷㠴㔴挵戱慣㤶ㅡ戹㉦昰㈵㉦晥㈹㙥㑡搹㤷㘸㔳㤶㜰㤰攲㤲㠹愴摥慤㙥晤搳攸㉥㠵ㅣ挶㔰戲㡤愱挷ㄴ愷㥣っ㠵㜵摣㔰愰㜵㜸戸㜹㜵㐱㕥㥢㠳㐸敢愸愲㉣㕢挶㑤扣㐶晣㔸㜲㕢〲㙣搹㕢昶㘸戱㈷慡ㄶ㉤㔵搵ㄷ㌸挲㍡㤵挰换攷㘱㡣昴挸ㅤㅣ㈴㜳㌳㡡敢摥㝣㑢㍥㘶㙥㕥㠸㡣て㡤搱㕤㥥㠱㌲搸㔵㌰ㄲ捤敤㙣搳收搶ㄸ昷愵摤慤㍦㡦㑣㘳〰㤸〶㉤㈰㤵㠱㌳㡢昲摥〶づ㐳㤱㈹戱搱㘴ㄸ㤵ㄱ捡〹戸敢㠱㌴㜰ㄳ㡦搱㙢ㅥ㤴㔰㌸㈹慦㠴挵户ㄲ愷ㅤㅣ㠰㍣晦㘸㕢攵慡ㄱ攲攲㡢㝢慣慤㝡愶㔶愳戹ぢ敦㕣㕦㘰ㄵ㤷㌶㤴㌹㍡搹㜶ㅤ㑢慥㠹昶摤挳㙤つ搱㌵挱㔳昳愵㐵㈳慣㙥㤶挳ㅤ㜵㘵慢㔷㤲挸晤づ摥㠸㕤摦㑥㥢㜹搰攵ㄵ搴㙤敥㝤昱㥡敢㕤㜷攵扣㜲〱敦晢搱㡡搵㠷㠶㌸挹㘲收㐳晣挸㤴捤攴㝥㡢ㄱ昷㌳㙤づ搰㜴㡦㜰ㅣ㤹㤴㌴㤸㐲㌹㠵㑥㘰扢㌷敥ぢ㤰㑥㈶摢攸㐴ち㠲〳㐲㜱㌷㍥㌶㐲搱㝥〳戴㤲㔸搴㠱ㅣ㝢晥づ㔸㕦晢㌵㙡㠸㜰㍣㐷㘲㈴昷㈰㑡㈹愸㤳㠲㍣扡摣挱慢㈰晦㍦㔸㡡戹㜹㔷㜶晡㉦㌰戳昶㕥㍢㡡敥㈷㡡㝥搵㠹㈲㠶㘱㙦㈹攰捤搹ㅦㅣ㌵㍦昱㑢扤晦挳愳收㘷㠰㘱㈶㘹㡤㈱愴挶㔰㝣挳ㄸ挸㜶ㄸ〳㡦愲㔹ㅡ〳㉦戲て愳昵捡ㄸ㠸扣ㅤ㤷㔰戱户㌱挰ㄸ㕥㡡挹㤷〸愹㈶ㅣㄸ㍣㙢ㅤ㜵攸〹㕢挴攵㕡ㄱ㈰㙥て昵ㄴ捣挱昷㜴㘷㘷昵慡攱ㅢ捥㌱㔹㝦搱ㄷ㔰㕢晥ㅡ㙥㙢换㉥散㜱昷慥㉤戲搳㉥㕥㠹搸㥢㝥攰㌹搹摦ㅤ㜵㘰㑡㈵攵愶搷ち㕡晥㈳昸㐴㌴㥥㄰㌲㙦㑥晥晣攲㕦摥昸昲〵摥㑡㡢㘸㌵挷㌰㜰㉦愱㜹㕡づ〸摥㈶㉥㠴ㅣ攱挷㌷㤷昰ㄱ㤲戵㘵㡢㔹挳㤷昶㑥愰㍢㜱㔱ㄱ㕥㠲㌰ㄵ昱昵㠳㌱㠹晢つ捡㤸㉣戵㌹㌶攵挷㑢搲ㄹ㔸㑡㑣㕣㝡敦攲昰愰搶㔵㘵昵㘸㔷收㝥〱愵㜳㡢ㄳ㘹戵〷㜹扥㘴搲戴㜷摢戵摡㔹㙡㌵㘹㈶㙡搳㠰㠸愵ㄴ攲っ愴㤰攴㤱㠵㠱㝦㈹愵㔶㔱挸㤵㤰愵㐴搰摡㐳戹㍣昹ㅦ〸〱搱戸摣搷攳㠷㉡搸㐵㘰㌱昶扡昷㝡㜶愵搵ㄹ慢㈶㠶㘴攵改攳㘵ㄴ攴㌱㠵ㄵ㡣搱捡摡换㈸挴㈹㜷ㄲ愵㝤㍢㥥昸㤲㔱㐷〵搸ㄴ㘳攷ㅣ㝡搵㡡捥ぢ㙥ㅤ㌷㍣愰㘷昲㔲㘱戸㠷㔹㡤愳愷㡣挵㈹搰愲慡㘲㍥愶㡡㡤㑥挳㔱ㄳ㜴㤶㝢っ攷㑦〴昹昸㌵㄰摢愷㥢㐳ㅦ㘹㙦愱㡥㜳㠷戰㐰晥挲晥扡㍦㠵戱昱㔶㜲っ㈴散扥愰ち敡ち㜸ㄹ㕤愴㍤慦改捤㈲摦愵㘹㡣㐵挷㥣㌵搰愹晦ㄹ愵㤶㥣戵㐶㘸㠶慢㕢昴晦㔵㔴散愹晦㌵挶搸㈴捡㕥㠹ち㝣挸㌱㔲戲㘷㜰㠶㍢〲ㅦ㌶挲㌴昲〸慣换㈲㐳摢慡㔴挶挷愹慡㔹㑡㜰㜸戸〶摢慦㐰㌴晡搲戶ㅤ敥㉡〰ㄹ〵捡晤〴㈲愸㙢㝦㑥扡昳ㅣ㥢晦㉣慡㈷㉦㔹㔵摦ぢ㍣㌳㥣㉡㈳戸㍢挵敦换㑣搸㍣㌳摡㍢敤㐲敤㘱散挴挸慢攸戳扣〲㠱晤㤲〸㍦㥥㤸㈳㈳〸晢㡢㔸昰㑢愳昱㐴ㄸ㠹扡㈱戸挳㝣戹㙥搸昸㌸㜵〵㍥捤㤰㔵㝤愱敡㤴㘷戹晤ㅥ〶㌷づ㌷戱㕥㠴摦㐷搸㈵〴挱攴ㄲ㕥㝤㡤扢摡扥〷慤戰搱摡〲㐲昶收㕢㉢收㝥っ㡣敥敦㉤慤〴挳㜷昲㥢㘳攵昷愰㕦㜴晦㑥㔸㡥㌴〱ち㡦㍥搵愶戳㙢摡㠶㡢㙣敦昸㜶㔱㝢ㅥ㝤搹㕦㝦㉤㉡昰㐱愳ㄷ敦㌹ㄶ㝥㠴攵㤰散㔱挶㌷摦挸扡搳昲て㜷愳㘵㡤〷ち㔲㕦㔱晢〱摡戹㍢㡤㔵㙡昲搰㠰㌶㝤ㅤ㔹㥣㌴ㅥㅡ攴扢扦〷攰挶扢㙢愸敤晥敥敦〲戴挵㉢㐱㍥搲愸敥攵摡挰㙣㡤㌴ㅥ慢ぢ㝤〳㜵晡㈶㌳㡢搹敢挸挶㘳慤㌱㐶㐱㐸改㤲㔷㘱㠳昷㉥愰㡣昴挷攸敦〷ㄷ摥晦㍤搳㍦㉥㘸㔲昴愱㐹扦㈶㈱㔴愶㔱昴挹㔵㝣㉢戹ち〷戵摤㔷昱捤摤㔶㌱㑥愹挸慢㈶扡㠷㙣㜴㙣㥣㠸㤲捦㕢敡㤹㥢挷攷搱昱㜱慥㔳ㄵ㜳㕣㕣捡㘷㌸搲捡攱戵㐵晡㕥昲捡㜹㥡㔷扡慤攰㐴㕥搳扥攰昱挸摦摤㔵㌰攷㝢㡣挸㙢摦㠸㌷㝢㜱㌱晥挶㈹ㅢ挵㠸㠰㙣㘵㔷㤲㌸戸㤱摡搷㘳攰㜷㝦搹㜴㜱愲〱〹ㄴ愱㠰㐹㐴ㄲ昸㙢㌱昰㈹㝣㍦㈵㘱㌲㔹昵㈷昳㐱っ㑣㘲㤳挰㕦㡤㠱晦㝥敡㔸〳㌸愶㉤㌵昲㌸〹㉢㐲㉢㘹㈰挵㜸㤵收㝣攲戳㙡㥥㤲㜳㈶ㄵ攲戰愹慡㈹っ㘵搴搷㤶㉡㜱〴昷㌸㝣㝣搸扣㡣㑢㐹戸扤〱戹愹晥㝦㠳㈵㕣㔶㥡㌷㐲〳摦㉤㙦㈳㑥散敢昲㠹㥤昳收㡡㡦㡡㈱㜳㈹挰㈱愹搶㔷搴〲晤㍥愸戶㝡て㝦㝡㡡㉤搸摣㡦㌸扥㤵攵昵㡦摥昴㠱㡣㠹っ㙡㕦㠹㤱㥣昹㘲㤳㝣昴敢㐰づ㕣㉣挸㔹㈸慡昸挹㈴ㅦ㌴戲㌶㔱㥤摦㐱㌶ㄶ晦〷ㄲ㔳摢搲挷㤱搵摥㡥挷㑢ㄲ㡤晥㈶㍢㝣ㅥ搹〰㥣慢㕡㐴㜲㉤攳收昸捡㝤慦㥤㌳敢㑤慤攸㕦㐰㔷㡤昳㤱㙢搴攴㈳㥥昴户㤰挵㘹㥣て㡡慣㠷晦〳慣㈴捤㝡</t>
  </si>
  <si>
    <t>CB_Block_7.0.0.0:2</t>
  </si>
  <si>
    <t>㜸〱捤㕡㙢㜰㘴㐷㜵扥㍤㥡㝢㌵㍤㥡㤱㘶㜷㙤㠳ㅤ㘳ぢ扦㜸㘸㈳昶攱㡤敤戸㡣㤱㐶慢㕤ㄵ㕡㙢㉤㘹搷㄰㤷ㄹ慥㘶晡㑡㜷昷㍥挴扤㜷戴ㄲ㈹捡㔵㠴ち㈱ㄴ㘵散愲ち㜰〲搸ㄴ挴戱㈹ㅥ〹〴〷㈷㠰挳戳㈰㔰㤵晣㠲㝦晣㈱㝦ㄲ㉡攵攴㑦㝥愵捣昷昵扤昳搴㐸㉢㡢愵㑡㍤㌵㘷㑥㥦㍥摤户晢㥣搳愷㑦㥦㍢㠶㌰っ攳㔵ㄴ晥戲攴㠹摣扣戴ㄵ㈷捡㥦慣㠶㥥愷敡㠹ㅢ〶昱攴㔴ㄴ搹㕢昳㙥㥣っ㠱挱慡戹㘸㡦捤㕡散扥㕦ㄵ㙡ㅢ㉡㡡挱㘴ㅡ㐶愱㈰㜳㘸㙦㝤㉢㉤㐴戲㤷捣〳㤴挰㘵㉣㔶愷ㄷ㔶㉥㘱攸愵㈴㡣搴搱昱㡢改〰て摣㌳㜹㜲昲扥㍦㍡㌶㜹散攸㜸戵改㈵捤㐸㍤㄰愸㘶ㄲ搹摥搱昱昳捤ㄵ捦慤扦㔳㙤㉤㠷㤷㔵昰㠰㕡㌹㜶㜲挵扥晢摥攳㜷㥦㍡攵摣㜷摦扤㈵ぢ攳捥㔷愷捦㐷捡㠹慦捤㠸挳ㅣ㜱愱㍡㍤昹㤰㑡慥捤㠸〵㡣㜸慥㍡㍤ㄳ晡戶ㅢ㕣㤳㈱㑤ち昶攴㡣慡扢搴㠰㔲㤱ㅢ慣㑥㘲捡㍤〲㐶敤㥥挹㔹㐸扡㙥挷㐹㔵㜹摥愲㜲戸戸㤲㑦㘹愹㐸〵㜵ㄵ㡦晡愷㌷敢捡换㥡攳㠲㝦搱㡥ㅥ戲㝤㤵㈷㌲收愷晡㥡㙢愸㈰㜱㤳慤戲㝦㈱㔶㡢㜶戰慡挸㘲晡㘷㥡㙥㈳㥦ㄷ昹扣㌱昴愶㐱㤳搱㕡㤹㥣㡤敡搵㌵㍢㑡㜴㡤晡㍡㍥㠸户换㌲昴挴㝢愶㐵敢ㄹ敦敢㐵ㄵ㉤戹晥㍢㔵ㄴ㈸㡦て攱摡㈶晡㤸戴㑣㔲挱户㠵搳㕡つ搵㈲㐶㌲愳攷㔲昸ㄴ㈹〹㡡〰搶〸㐰晥挴戱ㄳ挷㘵㠹戴㌲㠰挸晦㉦㜶㑤㜷ㅦ㌲攵㙡㜶慥戶㤲慢搵㜳戵㐶慥愶㜲㌵㈷㔷㕢捤搵搶㜲㌵㌷㔷扢㤴慢㕤〶㑦慢ㄴ㠶㠷㜳㔹昹捣㝦㑥扦昷㘳晦晦摣搹㘷㌷扥晤㠳愷㙥㍡晡㔱挱㡤愲㜷捣ㄸ㄰㔹〱戰づ〱㜰づ㈷攴㘱搲㡥〰〸昱ㅢ捣㠱昳㜸㌲晥散㙤晦昷挵㕦捤㝤戴昲敢㑦扥敥㕤晥摢㑡搷愳昹攱㙣㐱㌳㤱㝤〵㔶搱㌱户ㄳ㤳搸㘱㝢搹㘳搸㘲捥㈹攷ㅥ攷昸昱挶愹㘳昶㐹摢愴㐸昶慡摦敢挰㕢㜲ㅥ㜱㠳㐶㜸㐵㉢扣攴捣扡㕥愲㈲㕤ㄹ㜳昰㤳ㅡ慤慥㤷㥤搳㥢搸攷昵搴㌶慥㜳慡㉡㑡戰㐷㤲慤㡥挱摣㍣㙤挷慡㔳㥤挸挶㥥づ㥢㐱㈳晥㠳挱㡤㑢㠹㥤愸㥢晡摢㍡㠳㙣敢戶㠴ㅤ愴㘲㍤愵㕢晡扢㕤戴扤愶㥡摡㜴搳收㌷昴㌵㘳㉦㠵㉢㍢户捥㐶敡㝤敤搶㙤㌳㥡㠲㤷摤搰㘳㙦㕢㘵摡㤴捥㙢扣扡ㄶ挶㉡搰搳㥢昰捦扢昵换㉡㕡㔲昴搱慡愱㤷㝡㍤㥢戲つ㍤戱㄰㘰愱搸愲㡤摢扡愹ㄴ戴ちㅡ慡㠱昹慥㐳捡㕢换昶㡡愷㙥攸㘱㐹㥦㠹㠶ㅢ㝢挸戳㘱扤ㄹ㔷挳㈰㠹㐲慦户㘵慡戱㘱挳㠹㌴捥㠵つ㤵搷挵㐸愱㌰㠶㠶㠴㌰摥㍣㘸㌷㜲散㤸晢戵换㐸攸ㄵ㜶㘷敥㌲㈲㌲て摣攷敤㤱㠱㜴ㄹㄹ昹摦戲敢㑣扡㡤㤰摣挷㜶攵ㅥ㘰愴散昴晡摥㡤㌷戹〸晤㐰て㥥攲慥捣摤戱昳㤰ㅤ扢扣捡㑣扢戴挲㈳㤹摣扢〸㑤て摢戶扤摦㉦㜳㉥㜷㈴㕢晤改つㅣㄵ㘷敤愰攱愹㘸搷㠰㐲㜰㐶昲〶㠲搷ㄱ扣㥥攰㐶㠲㥢〰捣晦㠰㝦摢㔱愲㜴㤴㘲㔳㙣㤹㔷摣㐶戲㘶慤㈹㜷㜵㉤〱つ㠱㐸愱㐰㜱〷昸挶昸摥㠵㐸攴㈳㡣㙤攴捤〴㙦㈰戸〵愰㔸㌴慣㕢昱㙢攴㡡㜲ㅣ㍦搶ㅢ〱挶㕡㘷攵㜸㙡㤹㐵挳攴㌹昰摡㑦㉢㠶㍦㔲ㅦ㡥㠸㕢㘲搳挷戸昱搰搰㈰㘹㥣戵攳戵㠴ㅢ㜱搷㐶㝤㉥摤挶㐱㙦〷㈸摤〱㌰㝦㔶㜹搸挶搷㈶攴㌱㜹扥㕤昵㜸攵〱㜴㠳扦戴ㄵ搴搷愲㌰㐰〴㌸㘳㈷昶㔴ㅤ㌱㐴㉣㙣换㥦て慢捤挴昲捦扡昸㈹昹㡢㙡㕤搹㐹ㄵ㑥㍡㈹晢昳㠸㍦戴ㄷ㥤㙢㙣㥡㝥ㅡ㍡捣愸戸㉥ㄹ㘳捣挱㈹㙤㕡挰攰㘵㑢㍥摤㡣摡㑣㌸昴戰㝦摥㐶㡣㤲㐸㌰㑤攸㕥㈹挶㥥㘵㑤㙢昵㉥㘶㌵㡣㔰搱㘸搷㈸㈳㥡㤰㡥㘴搰㙥㜰㝥攲㤴捤㘷戰㝦晦㕣㐸㕣㉦㥥捣㠴㍢㌹ㄳ㈲晡㔴㍡〶愶搰㉤ぢ收㘵敤慡慡晥㙤捥㈰㘵愱扥㤲づ㡢愹㥣㠹挲收㍡〳㤵㙢㌵づ挷㌲攴㥤〰㥦晢㥦ㄷ敥扦昳㌳㕦㝤㌵晢㝤ㅣㅢ㐸ㄷ敢㉥㌴敡㌸挶㝡ㄳ㤹㐹攴㉦㡢㝣㌳㐰㔱㤲㐳戲㜱㝢㥢挹戰㘷愰户摤㈱慡愲戱㤶㝣慣㜹㌹㔲㍡㑣㉣攸捡搶扡㉡晢㡦㠴搱攵㤵㌰扣㑣ㄳㄸ搵戵㜸㑤愹㠴戱搷㐸ㄶ㙡ㄲㄷ㐲っつ昵〴㔹㕤㐱ㅡ愳㌶敢㈸㐰㜹捡昳挶㕢㈳挶搶ㅦ㠲㌴㠴㔳挵㥡〴㜲㈸㘸搶㍤㘵攳㝥攲㌷扤挹㑤㉦摥ㄴ晦㡥戵㌱㘸晡㡢搲㉦扦㜲攷㉦摥㍥昷昴愱挶〷㑥晤攲愹ㄳ攲摦戲㠶㙤攱㤸㡥挲㌰㤸㍣㑥㜰㠲攰㈴挱摤〴愷〰挴㑦搱㤵㡥敡㐳愸晣㈵扥ㅤ㜷㜳て㜹敥㈵戸て〰敥㐶搲摤挰摢摣㑦ㅡ扤㑤搱㄰㡣昰攸㘱攴〳〴㙦〷㄰摣㘴摣㡤㠶㝣㄰㘰㐷㤵扥〳㡤㘹㔸戸㑤㙢搳㘸㉡㑡㌲㙣搷愸㙥ㄳっ㈲愹㔵㐹㈹㑡捡㑤㔲㘶攲挵㑣㄰摢㈴昴捤慣愱㍦摥㌴改扤晢㜷㤰㡥戸摢㈷㜱搷ㄹ㍦ち㘶换戹㄰戸㐹㍣攲㑣㌵㤳㜰搶㑤㘶攲愴攴〰〰搵㕤㙥搲㠷㔶㔷愷〹攷愲慢慥㉣挳㝡㙥摤摥㠴换㐸戵ㄹ㈷愱㜶づ户㙣㙦㥦〹ㅦち㤳ㄹ㌷㕥昷散慤㍢〶㌴愷㉤㡦慣愹〰㔱㔴㠴㘰敡㙡㑣攱晡扡㙡っ㤸攳㔲搸㡣敡㙡㙥收㈰挴㘱㈲昵㜲〶戶㄰㝣㥣戸㜳攷戸愳㑢敥㍣㡢㜳搸㜶㘲㥦挷戸㍥㑢攵㍣㐶㌱昰㑣搸㍢㡡㘱昲㕣摦摤㍣扡愲㍡㕥愴㡡づ㔴㥡搲捡搹戵㘱㉥㠸摤㠶㉡㘶戵㜳㙥㌰㥡愱ぢ捤愴愷挵摥㍣㤲戵挰㉦㉣〴㔰㝢摤㡥ㅡ〷㐱㈳㤴ち㝣㤳㔶㠷戰昰搹㥦㤰搳㘱っ攳㤵㔶搶收㤵挷戵愰つ㤳愱搳㐰ㄷ摤摥㠶㐰扡〲㘲㍡戶㌲㐵摤㈶ㄷ㔸㍢愷散㐰㙢㘰㈹㘹捣愸㡤㔱捤愱㘰搸戸晢㝢敡㐸㙦㔵㥦搷搲㤹㕡㠹㐳慦㤹愸搱㌶愶㌷戸㜴ㄶ㤵㘷昳㜲㔳㙡㘳攷敢〹慥㝦敤昱㜸㜱㌹㌸摡㠱㐴昲㤹㠶㠴搶㤱戵㡢攱昶㉥㠲㝢㘷㥦ㅡ㐵㈴攲攸昲摦て㡡愷㍦捤昲晣㠳㐶ぢ挹㌶ㄱ㐳攲扤摦㕥戸㡢㡥戴㉥搵愹㘷搳㑥慢搴愲昱攲㔰㜶戴扦㐳㜶㠰㘹㥦㌱㙥ㅢて戹戸挴慤摢㥥户㌵敡捣〵㜵慦搹㔰昳昶㡡昲㕡扥㍡㡣晣〳愲㉦㥤慢㑣㜵戵㡢㕣戲㉢摤ㅣㄲ㤶慤扢搲扥摤㥢㈱捦㐱慣晡〴挷ㄸ愹㙦攳㈵攵㌵㕦ㄳ㜹搸ㅦ敥㈴㌹㜴㈶つ㉥㙤ㅢ㠹扥㡣㐱㜳晢愶愹㜷㕢ㄷ摢㝣㌸ㅦ㈲ぢ搰攸㈲㥤㜵㔳搲㠱搹㔳㕡㐵㤶㘵敤昷㔰㠱慣㔰㕥挹㘲㔵㌸扢戴㡥戸㈸搵〰㙦㜴晤攱㜶㔷昰愱捦㝢敤〰ㄹ㘶㡤搱㝢愵挱挲戲㥢㜸㙡挴搱敤ㅡ㉦㜰㍢㔰㥡挳捥昲ㅡ㠲搶㤹戲㜳㈶㜲ㅢ㥥ㅢ㈸〶ㅥ挸㑡㌱㝢㌹慦㔶㤱㍦㌹ㅦ挶㉥㌳攳㘵㘷㌹戲㠳㜸㥤㌷㤴晡搶攱㥥㥡㔶㤶改㑣扢〱㌶㑦晡㑣攲㘳捥搲㕡㜸〵挹昵愶ㅦ㥣戱搷攳〳愱㈸㜸愰慣愴㍢㉡㈷㜲㌹㔱挸ㄵ昶㝢㐶㔹ぢㄸ㑥㕦㌶ㄸ〹ㄸっ㥡㜳〴㤹捥㜸〱摦㘵搳㔲㕤㔹ㅡ㡢㥢㤶㤳敢㐹㔶て扣㐳户㕦㔱搰ㄱ换昳散昳㌰挰搹㌳ㄷ收㍡挹捦摦攱ㄵ㠳挹㠴挱㉥愷㠱戶㡥㜶㥥㠵搹㠷搱搴㘲㐸愳〱㐹慤㜸搶晡慤戰攸㘸ㅥㅡ㈴づ㔰戲ㄳ㥤挵ㅤ戸㠴晤て敦㡢捣〱摣敥㘸㕡㘱㈴攷摢㕥㥣戵㔵㐳摦户㘹㘱戴捥㈵戸㙥㔵搰㘱㌵ㅣ㡡㜴〰戴ㄹ㘶㈴㝢ㄳ㈴㝢㔳㤳㜰㈲㌳㜷慡㜱㡥ㄵ慥摡㤱㥢慣昹㙥扤挰ち昳㥢〷挲㌴㘱㐰晡扥づ㠱戲㘸晢㐴㡣摡㥦愷㐸慦搶㔰昶㈴慥つㄴㅤ㤵て〳捥改㘳㕣散㌳㌱〵攳搵晥㕥㉥㘱㌴㤳〹ㅤ㜸㝥㐰㤴慥昸ぢㄴ敤㡢挴㌸攸㙣㤶换ㄹ挲㑡㥥㈹㥢㕤戳〵扣扣ㄷ攷㐳扢㌱㡢ㄴ㜸ㄸつ㘷㉦挴ち㔰㉤㍤㑢㔴㘱㝥愸㡡攴㉡㤲戶ㅢ〸㠳愳〲〹㑢挸扤攴㤹㔹戲㔲ㅤ㔲㌶㠶㘹㡥ㄴ〶㍤㙢慥㌵搶ㅤ搹ㅤ扡晢敤摥摣戶昱㝦昳昰扤㜰戰㕣ㄶ㈳〹㜹㠱攰㈲㠰㘰收㠹敢改㘳㜸㠴っ敦〲㌰㤹㠲攸摦㈵㍢㘶㔳昸㤶挳昴㤹攵㈹昸㕣づ㈲づぢ戹ㅦ㘴㡢㈰ㄲ㙢愴挰㙣㡢㝣㌷挰捦㝦昶㌳㕥㡥つ挱㐴㐵敢昹㌴㡢㙣㠲㝦〲㔴㍥㑡〶㕥搲㜵㌶昱㔶㈰㠶㝣㡣戰㜳ㄷㄱ㜴㐲扣㡦戴㑡㤷ㄶ㌳ㅤ昲㙥捦㐸㥡㡡扣㕡㔴㈶㤸〳㘰㘴㘶挸昷㄰昰㤹慤搰㐰㌰㌵挰昰㈰㉤㍢ㅥ㘰㠲㌹〲ㅥ㘲㠶昵㕥〰㝤㥤搷て敦㜳㥡㠲㘹〴㍡㑥㘹〳〸收ㄳ攸㤱摡ㄶ㕡〷㝥㜵ぢ㘵摥㐱㕢㘸㈳㐳㔸ㄱ㤴㙤㑢慡㐰㕢㔲㔵㐰愵〳㈰㤸㤴ㄸ挰戰㑡㠶㌵㌲搰㕡愸㝡改〲戴戵㌵㡤㑡慢㕢㤷戶㉥㤱昱㌲㠰挹慢攲摥慥愶摣㈳㤵慥㝣〱㍤㙡㝣挸㜹戸㘹㝢㜸㈳戹㠰攰㌵㈱改㈰戸慣㝣㝡㠵攸㝦㔵搶晢愲ㄲ户㙥扤㠴㐷ㅦ攳捡晡㘵搰换㥢慤㉤㈶攷晥慥ㄸ㐵昳ㄳ㐸摥散敤㈹戴㠸攱つ收㘱㙢㌵愳挰㘷㜲㥢愶挱ㄶ〳攰㕤づ敥扥㘸㥢㈳ㅤ改㌸ㅡㅥ㈹ㄳㅥ晦㐴㌰挸㐳昵㥥摦㍥扡ちㅥ攲摡㔸㤹挷㈷愲晤〵㕤昱㔵扤扦戶㌶㠷攷挰㔲戲攵攱散㈵捡㝣㘳㡡搱搹㈰㤹〰ㅡ愶ㄷ㐶戸㑢攴晢摦㌲戴晢昲㈸ㅦ戹慥敦慤㡥敥挶ㄶㅥ㌳收㤳㄰敥㡥晤㝢攵挹㍥㉣搶㍡挰㜵攷摣㝡ㄴ挶愱㤳㡣㉦㈱㡣ㅣ攷㝢㍥散户㘳㔳收ㄳㄸ㜱攰㌳戹戰㝣挰搷敥㕡㐵挵换㐱㜸㈵搰戳㌱㘳扥敥搴昲ㅡㅥ收㘳㜸捤搰攵㜶〸慦挲㈳㠹㈱戰㡣〰捡㘳㤵ぢ扡〹㌴晡㜵㤶ち㥤㌸㑢㠵㡥㥣㘵㡣慥㤷愳㌰愴扡愶愵㐲㠷㑤㙤㕡㌱挰愱敡㜴慤昷ㅦ〶㔶〲㜲〹㘴㝤戴㉤攲㑤愱搵〴㘵ㄴ㤴慥攰戰㐲㡦捦㔱攴〶〱㘷慡摦摢ぢ㝡㝤扡㤶愲昸㌰攴㐸搳㙦㥢戰愰愳搶昷戸昷〳ㄱ㌶〱扥昲㑦㌳㠴㡣愲づ㐰㌳ㄳㅦ㐲㔷㉡ㄷ戸㈱愹㌱㉡㐷㝣㄰ㄴ㉡愸㔷挰昴愸㕡挰㡦〳㠱㠰改㍤㔹㉡昴愰㉣㤵搵昴搷愸搰㘵戲㡣搱㕢晥㝥〴㝣〹㈳㙢搱㔰挰㤲攲㤴㤴㘰㠵㙥㔷搳晦㡣㈴㍤㕦收㠱㠴摥㜰㈴晤㌹〰ぢ愵㔲攱挶搳㍣ㅦ〶㔲ㅥ㌳㘹㍢昷敦㥣㑡散搲捤〴㝣㐱捦㡢收搳㜸㜱扣㤵㐳晦㈱挴㉣愶搶㙢㍥昷挷晢ㅢ㡢㥥㤳㌶挹慦戹〹㑤晣づ攳㜰㥤ㅤ㜷挷ㄱ㜹㡡换㡦〰〸㥡㔵㤹戵扥ㄴ㜹㡣㐷づ㝣㠹㄰㘵つ摢㕥㈲㘸㘳攳㐸㑦〰戰㘸昱搲攸戴㜸㍦づ愴㍣㈶㘸㌹ㄴ戱〸㌱づ搷愵愷昲ㄴ㈹㔴搷愰愹㕣摡㘹㉡㙥搶搰㥦慤慦㔰挱㝣㘸戹㘲㔲慢㙦摤㔹〵改㤵愲昳㥦〸ㅡ㡡改搰㡢㡥㌸改㕦ㄲ愸〸㥤㤴昵戴ぢ㉡攱㜶ㄱ攱㕦〹昳戸㌳攳㑥㠱扦攵㘴摢ㅡ㜷㘹㐶㜹慤昸㔵敡㥡搶愲戳㄰㈱愰ㅤ㜶收㘲摣捣ㅢ〵扣散㑢昰㉦㤱攰㈰㥣攳㌸ㄴ昲㌴㔸㤸㉣㤳戶戹㠱晥㤸㡥戶㍦摥敤㑡㍦㜴攴搱㑡㍦攵㜸㈹搹摦㈹㙥㝤ちて敢扣㥥搶〷㐰㥣ㄳ慢搰戴㜶㐷晦㜵攲挶㔷㌹㕤㕣㝣っ昹㌴㝥慣扦〲攰摢㌰愱搷㠱㡣扣晣㙢㔰搲㉢つ㙤换㌰㘹攷晤ぢ攳改㌸换ㅥ㝤㉦搶㐷㐶戸摡ぢ㥦㝥改ㅤ挶摤㡦㑤㔵㘸捡愹㈱〹摡㉦㡤㐹㜲㠶㌹㘱て㥣搱㌳㘸戳㥥〵攸㥤搱攷㐱改㥡㤱愰戹㜳㔶慤攷㤸㕣挹㥥㐵捣㝤戵捦㤸攳ぢ攸㉡㈸ㅦ㡥㈱扦㤸㈱慣㠸㘷〰㌸つ昹㌷慣㜱挶㥡攷戹っ搱㍣扡㍢㜹晥ㄶ愰㔵㉡ㅣ㠶㐲㤲捦〳㘰㡢敢〱㔸㝦〱愰㔵㉡ㅣ㐸㜳㝤〹〸捥づづ㤱㠹㤶晤戴㑦㔸㠶㔰改ㄳ㌴摦㤷挹挰㈱㌲㉥昶搳㕣㡢摤㕣㕦〵㔵㤰㔵捦晤㙢慣㤱愴㙢㝦挷㥡㈶〱㤱㝦捦㕡敢慢㥢㐸晤㝡㡢㠲摦ち㔹昴戳扦〱〴㜳㘴愳慥晦㠳慥㥢㈴敦㤲㠸敢散㠴〲ㄸ愵捦挴㍦昷㐴搱㍦ㅤ㌴搳昷晥㤶捦搴㔸㜰㈸ぢ㈳㈷摡㍣㠷摢㤴㌶敦㘸㥢愴晢摣㤸摥㙦昹ㅦち戲㑣㜴〶扤扥扦㐵昳攷ㄱ㐵㘱ㅡ挶㙤㍢㝢扦搶〴㜹㈴ㄴ挴㥥ㄹぢ改㍦㕡扥挹㐵攲㉢㘴〷㘳㔵㔰㕡ㄴ㤵㝣㤱㠰愴㉥㡣㔵㤳ㅤ昶昰㌸慡㙢㥦㤶晥㡦㝣づ㥦慦攷昶㉤搶㌴〹㠸㝣〹㠰〱〲扦㐲㌷㤱晡㑦㕤搴ち㔹戴收晦㤹㑤摦㈶昸づ㐰戹㕣㈱㥢㙥昹㉥㠹㉦ㄳ晣ぢ㐰戹㙣㤲昵昶㥤㠵慤攳〱㑡㝣〴㝣昸ㄷ〹戳㕥㘵㍦捤㥡敡㌶晣㝦㠶捤摢慤攵㌰挹ㄳ㍤慣挵㤴㐴㌸㤶愲㙤戳ㄹ挹㥡㘸㘷慦搵㘶挴㌰㑣㠶㕦捣昰㤶㥤㤷挲㈷愴㌶戳㌷慥搴㘰慣敦㘱搸愱昹愵㜹昹㝤㈰㡣〹㘱ㄸㅤ㔴搷〵㐵㑤㐱㕡㍦〰ㄸ扡〰收ㅦ〲挹㤸㍢㈸㘸㌰㌴慡㐴㌳晦〸㠸戵㍣戵㜸收昴戲晣㌱昰㡣扦㠳㠲〶㝥慡㑣㉢㤴㌳㤱㍦〱挸ㄸ㍢㈸㘸㘰㝣ㄹ㔰㌳㜲ㄶ昲㕦〱㌲挶づちㅡㄸ愹㝡捤挸ㄹ挸㥦〳㘴㡣ㅤㄴ㌴㐳㡣㜱㥤㌴㘷㡡㑤㤷㌱㉥愶㤷挲改昶㔲㌸慦㕥ち㈷搰㑢攱㤳㝡㈸㈳扦〵〲愲㉦㜹</t>
  </si>
  <si>
    <t>㜸〱敤㝤㜷㝣㔵㐵ㅡ昶㥤㤰㕣㌲㠱㤰慢搸戰〶〱ぢ戸ㄸ㤲㐰㠸㡡㤴㔰㤵愲㠰㕤挴㥢攴〶㈲㈹㤸㐲㕢㝢ㄷ㜵㉤敢摡㔶搴戵㡢㈸慥㕤搷〲㔲㙣㔸㜶㜵敤㝤㉤㙢㕤搷扥敡㉥摦昳扣㌳攷㥥㌹昷㥣㥢愰㥦晣㍥晦昸づ摣㌷昳扥昳㑣㌹捦㍢㌳攷㥣㌹㌳昷挶㔴㉣ㄶ㕢㡦㠳㝦㜹攴㌲戰敤戴㠵慤㙤愹挶㠱㔵捤つつ愹㥡戶晡收愶搶㠱㈳㕢㕡㤲ぢ㈷搶户戶㜵〱㈰㍥戳ㅥ昱慤㜹㌳㕢敢ㄷ愵昲㘷捥㑢戵戴〲㤴ㄷ㡢攵攷敢ㅣ挴昷戲㥦㠴愷㘸愶搲戹ㄴ㐰挵㜴㥣愲㉢㐵㍥㠵愶㈸愰攸㐶搱㥤愲㤰愲〷㐵ㄱ㐵㠲㘲ㄳ㡡㑤㈹㝡㔲㙣㐶戱㌹挵ㄶㄴ㕢㔲㙣㐵挱昲昵搶ㄴ摢㐰㜴摦ㄶ㘲㙡搵愸㈹搵㐷攱㙣愶戵㌵户愴㜶㉢㍥搰搴㜹㔸挵挰戲㠱㤵㐳㑡〶㤶散㔶㕣搵摥搰搶摥㤲ㅡ搶㤴㙡㙦㙢㐹㌶散㔶扣㕦㝢㜵㐳㝤捤扥愹㠵搳㥢攷愴㥡㠶愵慡㑢捡慡㤳攵㐳〷㤵てㅥ㕣㔷㔹㌹戴晢㜶挸㜷㘲搵愸晤㕡㔲㜵慤扦㑣㡥摢㌳挷㈹㔵愳〶㑥㑥戵晤㌲㌹敥㠰ㅣ㈷㔵㡤ㅡ摤摣㤸慣㙦晡㐵戲捣愳㉦换㐶愷㙡敡改昴㔴慡愵扥㘹搶㐰㔴㌹㐰㌰戴㡡㠱㘳挱㜴㑤戲戵慤㉡搵搰㌰㌵㔵㐷㝦㜷㙦㈴㕢愹㤶㔴㔳㑤慡戵㐷攳㤸〵㌵愹〶ㅢ摤㥡摦㜸㘰戲㘵㜲戲㌱㤵换㐰㔱愳昱搷㠴摡㔴㔳㕢㝤摢挲挲挶〳㕡㔳㔳㤳㑤戳㔲㠴攴㌵㡥㙢慦慦捤捤㔵戹戹戱㉥㍢㐷㔵㐶扣㌲㜰㙣㑢㑤搵散㘴㑢㥢㘸昴搷愰㈸慣搳㌲愴攲㠱㙡戱昵ㄴ㘷愴愲㡢愶搵㌷敥㥢㙡㘹㑡㌵戰㄰㍡㙥㐰〶㐸㌸㌱挴愷挹昱捥㠶㙥㔱摤㙣㍦攳愹戰ㄴ㕤㑣搱ㅢ㈲扥㈳㐴㤷愶戹昳㜴ㅦ㥡晡㐲愸摣㔷搱㑦摤㈴散㉢㌹㌳㤳㌹㌳慢㜳㘶搶攴捣慣捤㤹㤹捡㤹㔹㤷㌳㜳㔶捥捣搹㌹㌳敢㜳㘶ㅥ㤵㌳㜳づ㌰摥㤱摦戵㙢㡥㍤㡥扡㜸㔴晢つ㑢摥㥦戴㝣㑣昹㤱昷ㅤ戳敤〵㜹散㥡㠳愳敡㥦㐹捤挸搶搶昶挶戹ㅣㄳ慣摢愴〳㌷㡥㙥㙤摢㉦搹搲搸晡换晡ㄷ摥敤捣挱㈳㕢ㅢ㌷扥㠳㔱挸㉦攲攰昸㑥愰㜹慢〳㥡敡敢㥡㕢ㅡ昷㥣㔴摦㌴慣慣愴㘴捦㐹挹〵挳〶㤵㤴㤴攸㥤ㄱ慢㜷㠱㠸敦ち㤱㍢㙣㘴㘹㠹敥㑦摢〰〸愵㥥㠷晦搹〶昶㜸敤昱㡡㌳晦晥昱㍥㔷㌷㉣㍤㘳换㠶敢㕦㔵ㅣ㔲㘵㠰晤つ挱〳㈱攲扢㐳攴㤶㤶っ㉡搳㈵戴つ㠲㔰敡㘹㥢挱戴㘱㐳㤶散㥦扢攳愸〷昲㉦晡攴戹改㍢昴㔰ㅣ㡥㈵㠳㌲㠲换㈱攲㠳㈱㤸㐱愵ㅥ㐲㕢〵㠴㔲㡦搹っづ攸㌷晤㉦昷㈷摥ㅣ㝦敢改ㄷ敥戵敤㌱昵㑡戱㙢㑢〶㤵〴敦〱ㄱ摦ㄳ㠲ㄹっ搲㝢搱㌶っ㐲愹㐷㙣〶ㅦ㝦㥤扦换㙤搳敦㥦㜴昷㐱捦摤ㅦ㑦づ昸愷㘲㉢㤲っ㠶ㄳ㍣〲㈲㍥ㄲ㠲ㄹ㤴敢㔱戴㔵㐱㈸昵㠰捤攰戴慦㑥昹昶㠵慤㑦ㅥ㜳晤扣昲〹㔷㕦昶㕡㠳攲㈵㐴㌲ㄸ㐳昰㔸㠸昸㌸〸㘴㔰㔲愱挷搳㌶〱㐲愹扢㙤〶㝤㥢㈶ㄵ摣昶挱愶㘳㤶㝥扤㙣愷ㅤ㕦㤸㜹㠰攲攵㐷㌲搸㤷攰㠹㄰昱㐹㄰挸〰㕥㤸㑣摢ㄴ〸愵㙥戳ㄹ晣攱扡㤳扥㜸攰愸挷㐶㕣㜷敥扡㥣搸ㄵ㘳晦慥扡㈱㕡㌲搸㥦攰愹㄰昱㘹㄰㍣㠵挱㝡㍡㙤〷㐰㈸戵搴㘶㜰敢敤て㕦昳捦㜷㐷敤㜳挷㡣㤵攷㌷㌶㥦㜹愶攲㘵㑦㌲㌸㠸攰㠳㈱攲㠷㐰戰〶攵晡㔰摡づ㠳㔰敡㕡㥢挱㜹敦㥣㜶㔲㙥攵㌶晢㥣戸㝣散改㤳㍥攸昹㤲攲㈵㔳㌲㤸㐱昰ㄱ㄰昱㤹㄰捣愰㑣ㅦ㐹㕢ㄲ㐲愹㉢㙣〶搷挶㕥㜹㜰扦攴摤ㄳ捦㉤摥㝡敡晣㘵㥢㝤愵㜸戹㤵っ㙡〸慥㠵㠸愷㈰㜸ち㐳㜵ㅤ㙤戳㈰㤴扡挴㘶㌰㜱攰㤷㔳㙥昸搷ㄵ㈳㝥昷㘱摦挳㤶㝦㍣㙢㠶攲愵㕡㌲愸㈷昸㈸㠸昸ㅣ〸㘴㔰㔲愹ㅢ㘸㙢㠴㔰敡〲㥢㐱搵搹ㄷ晥昱㥤㡦㉡㈷晦昱搹ぢ〷㝥摦搶㙢㔷挵换㍣挷愲㜸㌳挴㙥搳㕢敡㌱攰户㌷㈴㕢愴戳攰㉡㕤扥攷挴晡㌹愹㠶晡㔴㙢摢㌰愸㐳愴昳㌰㌰㐴捦㐵ち㝤㌴搳戶㐰愰昷愰捥慤戴戵㐱㈸㜵㤶㉤昲戸晢㉥敤㌷昹晤㕥㘳㉦㝦晥摣挲㠷㈷慦摢㑥昱愶㐲敡㍣㡦攰昹㄰昱〵㌴つㅢ㌷㐸㉦愴㘹ㄱ㠴㔲愷摡昴捦㍥㌲晥〷晤晡㕢攳㤶敦戰攸摥㑢换ㄳ捦㉢摥㡦㐸晡㘳〸㍥ㄶ㈲㝥ㅣ〴㐹ㅢ愲㡦愷敤〴〸愵㡥户ㄹ㙣㜲昵愶㍢摥戹摤ㅦ㈶㍥搸㜶搵摢㉦㥥晢摣㜴挵㝢ㄹ㌹攷㤳㄰㠸㔷戵户戶㌵㌷敡㤳ㄱ搶愷搰㜰㉡㐴ㄷ㡣〵晡㌴㥡㑥㠷㔰㙡㠱捤慢晣收捡ㅢ慥㔹户攳㤴㑢㕦㕥晤户㌱㐳晢散愵㜸㑢㈴㤵㌹㤳攰挵㄰昱戳㈰㔸㤹ち㝤㌶㙤攷㐰㈸搵㘲㌳㔸㌴㝣挹㥥㑢〷㙦㌲㘲改㐵愷敤戰搹㤳㥦昶㔷扣㥤㤲捡㥣㡢㐰扦っ〷っ㉡㜳攸ㅦ㌴搸㡣㕣㐳昴㜹捣昷㝣㠸昸〵㑣つ收㉢昴敦㘹扢㄰㐲愹㌹戶慣搳搶ㅥ㝣攲戵换ㅡ㐶㉦晦㐷摥慤戹㌹敢㙦㔵扣㙢㤳捡㕥㐴昰挵㄰昱㑢㈰㔸搹㔲㝤㈹㙤㤷㐱㈸㤵昲㉡㝢㐱捤愴昳晥扤㘶散つ㘳ㅦ晤搳昱ㄵ敢づ㔷㕢㈲㕡㌲戸㥣攰㈵㄰昱㉢㈰搸摣㠶攸㉢㘹扢ち㐲愹㤹㌶㠳戳㜷㉥昹昰慥扢昷ㅡ㜹挳㌷晤搷㉦扥愳㜹㤶攲摤愲㘴㜰㌵挱搷㐰挴慦㠵㘰〶㐳昵㜵戴㕤て愱搴㈱㌶㠳敤㥡㤷㔷ㅣ㕢㜱换愸攵捦㝣㜹㕣敤攴慡愵慡ㄷ搱昸挴㙦㠴搸㘶㌲㠶昵㘴挳㥥㤳㔲挹愶㘱㠳〶づ摥㜳㕡㕢敤攸搴㍣㌶搴挱晡㈶〰昴㔲㐲㙦㠶㈰㐹愵㝡ㄹ㙤户㐰㈸㌵搵㤶昰攲慢ぢ㘷て㝤戸捦攸㙢㉦敤昹㘵晤敢户㉤㔶㕢ㄳ㡤㑦㝣㌹挴慥ㄹづ㈹ㄹ㌸搴昱㐸挹挰㑡摢ㅦ㉡㑢昵㙤㠰敢㍦㌳攱敤㄰㉣慦㕣摦㐱摢㥤㄰㑡敤㙢换晢㘰扦挵㤷㝦㜶晤㘳㘳㑥戸戱㝥昰㠷㝢晦㘵㠹攲ㅤ戳㔰㜲㌷挱昷㐰挴敦㠵愰㔳㑡昴㝤戴摤て愱搴ㄸ㥢挱㐳㠷㍣晦晣挹昹ㄷ㑦扣晦㤶扣㤷㕢㈷昴㝡户晢〳㠸摥摦摥搹㡣㙥㐹捥挷敤愱㝦摦㔹㍡㄰㘴㙣挸捤㌶敥戵敢〶搷㔵搴つㅡ㔴㍢戸㈴㔹㤶捣㉢㐶戶ㅢ㝡愳挷㕥搰扤敥愰晡愶摡收昹㜲攷搷扤㙥㙣㝤㐳㕢慡㐵㤴愲㍡晣㌱㜷慦愲ㄷ搶㡤㔹㠰ㅢ晥ㅡ㜳㤳戸㔹㕤㔵慡愵つ㌷换㙤ぢ晤ㅢ㡢㙤㐷㈵㕢㔳扥㍡挰收㍤慡戹扤愹戶㜵㥢攸挸㘹㙤挹戶搴搶㤹㜱㝥㈶愱㘴搳㜰㉢㥤㙡㤵㉡㙤㥦㤹散挰㘴㐳㝢㙡攴㠲㝡ㄳ扤㕤㐶㌴㙥慡㥢慢戳挷㡥㙤㐹ㅤ㥤㡥つ搵㘸㈴㥥昰收㐹摥愱戳㌴㔱愶㕥挵㔵戳㥢㕢㔳㑤㔲扤〱㡤晢搵搷捣㐹戵㑣㑢昱昹㌰㔵㉢愷扡㌹愳散㥤晤㠰㈹㑤㌸㔱摣慢搷敥攸㕡㐹㜴慡愹㌶㔵㡢晡捥〵换ぢ愷㈷慢ㅢ㔲㕢〴㈰愶㑣㐴昴ち㤸挷㌶搷戴户㔶㌵㌷戵戵㌴㌷〴㘳㐶搶捥㑢攲㘹愲㜶㔲㜳㙤㉡㔷㡥㤸㤱㉡搶愵㡢㔲戱㕤愲㙥㙢㤹㜷㉢㙦摣㥤㐶戲ㅤ㕡㑤挷㘰愷ㄱㄱㅣ㜹挳㥦捥ㄹ〱愷㤱ㄱ扦㙢㠷㌵㜱ㅢ㈱搱㈵ㅤ愲㈳ㅡ㈹ㄳ㙤ㄵ散㜸〳愷挲㍦昰㐳㐳㡡扤㌲愷㙦昶㉣晤㜶搹㐹㑤ㅤ慦㜰㍡㠰攸づ㐸㤳㙣搳㙤㙦攳㠲㜳㜲㝡摡戳ㅦ㌳て捦㡣攳㤳㑤戵つ愹㤶づ㈷㌳ㄴ㙢愴ㅦ愴㜸㠸攲㘱㡡ㄵㄴ㉢㈱昲昶挶ㄸ㤷㤵㔱づ捡㙡㠱㕡㤸㌷扦扥戶㙤㜶㝣㜶慡㝥搶散㌶搸㌰〹㤲㥦㑦扡换昱挹挳㘷愷㥣㔸散㑣㠵㠰㕥㐵戱㥡㘲つ㐴㐱㐱㉣扥ㄶ㝦㘳昱〲晤㈸晦㍣〶搱㜵㕣慡㈹㠵搹㠷〲㤵搷ㅢ敡㑦㝦㕣㐵㘱戸换攲㈳㈵㈶㉥㕡昳ㅡ昱㄰摥摡愵㑢ㄴぢ攳㤳慤戳摢搸〱㍢㡥㘴㝥㡦㔳㍣〱搱晤㐹㠸㠹攳㔳つ攸扥扦捣㥣㐷㕥ㅦ攴搸改昳㌵㙦戲戶㘸㥣戶戰愹㘶㜶㑢㜳ㄳ㘶㥤㐶㈷摢㤲㈳㙢㌰㠹搰慡㤲昱挶㠹捤㔵敤㙤昱挶昱昵昸搳扤㜱㙡㙡㙥㉡搹㔶㠵挱戹慤戰㜱㈲㈶㈰㘴昴㥣㔰扢㈰慦搱捣ㅤ㡣㑥戵搶㘸㑥㌲㑣挰㘰戴㈰㡥㄰㐶搷敥㡤ㅣ㕥㔲ぢ摡㤸㜵搷㐶㍣捥愲ㄱ㘹㠰〶㐸㉡ㄳ㘲捡㐲戱㜹愹ぢ慣㠶ㅣㄲㄲ㜴㜲改㈶〶㤳㤳㕣挴㜱摤挴搵㌵搷捡捣㝥㜳㐰㕢㝤㐳敢㐰㑢敥挰搱捤㤸㝥㑡挹扣ㅢ㐹㡦挷搱慣攲ㅤ扡㉡戳㝢㜳㤶㘲㑡㑤戵挹ㄶ㔵ㄹ搷搲摣㍥㜷㝢攴昵㑢攵挳扣㘲㝡ㅤ挴㤵晦㕥扡㘷扦㈵换搷摢扦挷愳攳挸ㄱ㝦ち㤱㥣挸㠸㍦㑤㉣㙤晣换㐳㍦〳㔱愰〹搰㡣っ挷攵昵㠵㌹㜲㤰捤㌲慢挲摥搶扤ㄱ愷㍣扤㈵㈵搳㐴昹愲㉣㥣㥢㉡㙣㍣愸戹㘵㑥㜵㜳昳ㅣ戶㠰ㅥ愲戵捥㑥愵摡搸㔱扡搹愹㈶㠶㤵㔲㕤扡〴㘶㔹㥣㐹㥡ㅤ㤰㝦晣㌹㠸挲㤱つつ挵㕥㡥慤昱攷㘱敡㠲㡢㐹晣敦〸㙣搲搴㕥搳㤰㑡㘲㑡戴戱扤㘱攰㠲㠶搶〵慡㍦捥㡤㑦敥㘷㜴㝦改搶㝥㉦敥㍤攱戲㑤㙡㡦ㅤ晣攲〵愵㙡㔷ㅢㄱ㥡㡦搹ㄹㄹ㜵㜰户ㄳ㤸昵攰㌳㔳攰㙥㈷㜴ㅤ㌷ㄷ戹晦㝦户昲慢扢㕢〹摥愹昴敦攴昲㥣㜱慦㤲昵捡昴晦慦昵㔱㉦㉥捣戵晥㈵㜴ㄶ戵㌳扡ㅤ慦敤〸〷て晤ち㜴晤㉡挵㙢㄰戸㐲㙢㕥愱㜱㠱㝥挳愸㙡ㄷ晣攵㠵㔹扦㐹昱ㄶ㐴㕥㝦㠸㡥㉦㘰攸慥㐵〰攵㜲㥡戴戰㜱㜴慡㉥㠹㔷つ㜲搱㔱挹晦㤷搷愴㕣扣敦㜱㉥㐸ㅤ㥦〴敡捥昱㍥㥥㜹ㄷㅢ㥣ぢ挷っ㝤㉤㙥㘱愶㘳捣㙤晤㈵㉦㌵扦攴㈵㑢扦㡤昳昰㡥扣敤搱㄰㌶晣㥣㐰㔷慣敢㍣摥㉦捣㥣ㄹ换攷ㄹ搲愲㜷愵〸㕤挵摥㠳戵愰愳㌸㌵〰〸㕥攵㌴慦㉡昱㡦㈰扡愰戱㘸㕥㐷搴㘶昶攲㄰扡㙡昴戴ㄱ愱㠹攰摦㈰㔹㌱㍥晡㌳㡡㝦㔱㝣㑥昱㙦㡡㉦㈰㔴㈱㤲戲攵㌷㐱㘹挵挷扦㌷晤㡡㤸慦㈹扥㠱昰㕡㝥㑥㠱晥づ㙡晣㍦㄰㐵摥晢㥣㘲㌳㄰ㄵ挴搴㐰㤸㝢攳愳扦愷昸〱㐲㤵㐰昰㤶㉥愶㝦㠴挸㝡㕦昰㕦㐴㜲㑥愱㉣捣ㅡ扢㘵㠱㈶㈰㑢㥣ㅡ㠴戸㌴㙢㥡㔷㕦挳搸昷晦换㜲㥤晤㡦㡤〸捤㝣㤷㈱㙤㌱搳攷挳㡤㕡㔳ㄴ㔰㜴愳攸づ愱扥㐴㔲㌲㌶ち愸㌱昸昸㡣昵㈰愶㠸㈲〱攱㌰戶㈹㙤㘴っっ昱㈱愰㌷㍥㝡㌳ㅡ㌷㠷㔰㐳愰ㅡ㠶戶㠰㥡㤵愱㉤ㄱ㐹㠶㉡挳㉣昴㐲㔴㠱㈶㈰㑢㥣慡㐰ㄹ㔱っ扤㤵㡤愱㌷㙤㐴㘸㙡扦ㄲ㌹ㄵ攳愳㜷㘴㜱㝤㈸晡㔲昴愳搸〹㐲扤㥣㤵愱㕤㠸搹㤵愲㍦㠴挳搰㙥戴㔹㠶昶㐰收扤㔹挰㐰ㅡ㜷㠷㔰㝢㐱㌵っ㤵㐰捤捡搰㈰㐴㤲愱㐱㘱ㄶ捡㄰㔵愰〹挸ㄲ愷㠶愱㡣㈸㠶搶㘶㘳㘸㡤㡤〸扤扢ㄸ㡥㥣㡡昱搱㝢戱戸㘱ㄴ㝢㔳っ愷ㄸ〱愱ㅥ戶っ㥤〲搴㘲㝣晣㌶㌴㡡㤸㉡㡡搱㄰づ㐳㘳㘹戳っ㡤㐰㤲摥昸攸昱㌴㑥㠰㔰㙣㡤㠶愱㝤愰㘶㘵㘸㕦㐴㤲愱昲㌰ぢ㤳㄰㔵愰〹挸ㄲ愷慡㔰㐶ㄴ㐳换戲㌱㜴戳㡤〸扤㥣㘱扦㈹挶㐷ㅦ挸攲づ愲㌸㤸攲㄰㡡㐳㈱搴㜵㤶愱换㠰晡ㄳ㍥㍥㐳㠷ㄳ㌳㠳攲〸〸㠷愱㈳㘹戳っ㡤㐵㤲摥㉣愰㥡挶ㅡ〸挵㜷㍥㠶愱㕡愸㔹ㄹ㑡㈱ㄲっ攱㈵㔱㘸昴㥥㠵愸〲㑤㐰㤶㌸㌵〱㘵㐴㌱㜴㐱㌶㠶捥户ㄱ愱户㑦晢㈲愷㘲㝣昴㕣ㄶ㜷㌴㐵ぢ㐵㉢㐵ㅢ㠴㍡换㌲㜴㌰㔰㠷攳攳㌳㌴㡦㤸昹ㄴぢ㈰ㅣ㠶ㄶ搱㘶ㄹ㥡㠸㈴扤㔹挰㌱㌴ㅥぢ愱㈶㐳㌵っㅤ〷㌵㉢㐳挷㈳ㄲっ攱㉤㔸㠸愱ㄳㄱ㔵愰〹挸ㄲ愷愶愰㡣㈸㠶ㄶ㘴㘳㘸扥㡤〸扤㕥摢ㅦ㌹ㄵ攳愳ㄷ戳戸戳㈸捥愶㌸㠷攲㜷㄰敡㘸换㔰戸つ㥤㐷捣昹ㄴㄷ㐰㌸っ㕤㐸㥢㘵㘸㉡㌲敦捤〲㉥愲昱㘲〸㌵ㅤ慡㘱攸ㄲ愸㔹ㄹ扡ㄴ㤱散㘵㠳挳㉣晣ㄱ㔱〵㥡㠰㉣㜱敡〰㤴ㄱ挵搰ㄱ搹ㄸ㥡㘱㈳㐲敦てて㐲㑥挵昸攸㙢㔹摣㜵ㄴ搷㔳摣㐰㜱㈳㠴㍡挸㌲戴〵㔰㝣㜷攲户愱愵挴摣㑣戱っ挲㘱攸㔶愸昱攵㄰ㄱ㔷㝦㌶挵摥㉣昰㌶挴敢㍦㐳愸㐳愱ㅡ挶㙥㠷㥡㤵戱㍢㄰挹㌶ㄵ㌱㉥摤㠵愸〲㑤㐰㤸㌱㠹㔳㝣ぢㅡ挵搸攸㙣㡣㔵搹㠸搰ぢ搳ㄹ挸愹ㄸㅦ晤㄰㡢㝢㤸㘲〵挵㑡㡡㐷㈰搴㌰换㔸戸㑤慤㈶㘶つ挵㕡〸㠷戱挷㘸㈳㘳戸晡ㅦ㠱捣㝢戳㠰㈷㘸㝣ㄲ㐲ㅤ〹搵㌰戴づ㙡㔶㠶㥥㐲㈴ㄹ㡡戸㍦㝡〶㔱㤸㌷㠱っ㌳㈴㜱㉡㠹㌲愲ㄸ敡㥦㡤愱㕤㙤㐴攸㡤㜰つ㜲㉡挶㐷扦挴攲㕥愶㜸㠵攲㔵㡡搷㈰㔴ㅦ换搰㙥㐰昱㜶搰㙦㔳㙦㄰昳㈶挵㕢㄰づ㐳敦搰㘶㝢㕤㉤㤲昴㘶〱敦搲昸ㅥ㠴慡㠳㙡ㄸ㝡ㅦ㙡㔶㠶㍥㐰㈴㝢摤搰㌰ぢㅦ㈲慡㐰ㄳ㤰㈵㑥昱㍤㜶ㄴ㐳㠹㙣っㄵ搹㠸搰㉢敦㝡攴㔴㡣㡦晥㠲挵㝤㐹昱ㄵ挵搷ㄴ摦㐰㈸㙤ㄹち昷扡敦㠸昹て挵昷㄰づ㐳㍦㑡〴㜲㐵ㅢ㍡ち㝦㝡戳㠰晦搱戸ㅥ㐲㌵㐰㌵っ挵㌰摤㥢㤵㈱㠵㐸㌰㠴㔷敦愱㤱扢ぢ愲ち㌴〱㔹攲㔴㈳捡㠸㘲攸㥢晦㘶戹挷晥摡㐶㠴摥改捦㐵㑥㥣捦搲摤㔱㥣晡ㄲ戰扤㜱㍦つ㐳昰搰㍤㔸㥢㈲ち慥ㅢ昴搸挰戳昷愶㐶㔵㐷㈳㠱㌰搱㤳愰捤㈰ㄴ㥦㘱昸晣慤㌷㠷收ㅤ敡㈳㤴戱㍤捡〰㔷戸㡥㔲㠴〸攸挵㍣㍢㡡㔳㙤㐸攷ㄳ挰㐷㌳昳㤰昱㔶㌶〲摥戴ㄱ愱ㄵ〶昳㤰戶㤸改㜷㘴扤晢㔰昴愵攸㐷挱晥愲㕥戶愴㌴〱ㄵ㝣㉣摢㠵㤸㕤㈹晡㐳㜸愴攰戱㙣㌷摡㙣㈷㥡㡦㘴㐲捣㐰ㅡ㜷㠷㔰ぢ㘱㌲㑤愴〴㙡搶㈶㌲〸㤱戲搲㈱㐴㔰ㄹ㘲㜰〷つㄹ㈶㑦攲搴㈲ㄴ攱ㄳ攴㍦㠵慤捤㐶搰ㅡㅢㄱ㕡㐲㜱っ㜲㉡挶㐷敦挵攲㠶㔱散㑤㌱㥣㘲〴㠴㝡搸ㄲㄴ敥㐳愳㠸愹愲ㄸつ攱㄰㌴㤶㌶㑢搰戱挸㕣〸ㅡ㑦攳〴〸㜵㍣㑣㠶愰㝤愰㘶㈵㘸㕦㐴㜲㤴ㄹㄲ㘶㘱ㄲ愲㜰〷つ㤹㈵㑥㥤㠰㌲愲ㄸ㕡㤶㡤愱㥢㙤㐴㘸㡤挸挹挸㐹晡搰㠱㈸㑥摤㘴搹㠰㌱㜸攸㠳㔹㥢㐳㈸づ㠵昰搸㐰ㅦ㍡摣愸敡ㄴ㈴㄰㈶㘶㄰㜴〴㠴㍡つ㈶改㐳㌳愱㜹㠷扡ち㘵愴晢搰愹㌰㠷㑦戲㠶㜹敡づ攲搴改㐸攷ㄳ攰昷愱㡢戲ㄱ昰〷ㅢㄱ㕡搸㜲㈶㜲㉡㘶㉤ㅡ㔸敦㐶㡡㈶㡡㘶㡡戹㄰敡㕣㑢㑡戸㠹戴㄰搳㑡搱〶攱㤱㠲㍥㌴㡦㌶摢㐴ㄶ㈳㜳㈱㘶〱㡤ぢ㈱搴搹㌰㤹㈶戲〸㙡搶㈶昲㕢㐴戲㠹㐴㍣㐲ㅣ㡢愸〲㑤㐰㤸㍤㠹㔳攷愰っ㥦㈱扦ㄳㅤ㤳㡤愱摦摡㠸搰捡㥤昳㤰㤳㌴㤱搳㔰㥣㕡㘸搹㠰㌱㜸攸㌳㔸㥢㌳㈹ㄶ㐳㜸㙣愰㠹㥣㙤㔴㜵㍥ㄲ〸ㄳ攷㄰昴㍢〸昵㝢㤸愴㠹㥣ぢ捤㍢搴㕣㤴㤱㙥㈲ㄷ挰ㅣ㍥挹摦㌳㑦摤㐱㥣扡㄰改㝣〲晣㈶㔲㤷㡤㠰㤴㡤〸㉤㈷扡〸㌹ㄵ戳ㄶ㤷戳摥㑢㈸慥愰戸㤲攲㉡〸㌵搳㤲ㄲ㝥㠶扡㥡㤸㙢㈸慥㠵昰㐸㐱ㄳ戹㥥㌶摢㐴㉥㐶收㐲捣㡤㌴摥〴愱㉥㠵挹㌴㤱愵㔰戳㌶㤱㥢ㄱ挹㈶㔲ㅡ㘶攸ㄶ㐴ㄵ㘸〲戲挴㈹摥㝢晡っ昹㑤㘴㘲㌶㠶昶戵ㄱ㡢㌲搷㑢㕤㡥㥣㡡昱搱㜷戳戸㝢㈸敥愵戸㡦攲㝥〸㌵挶㌲㜴ち㔰散ㄱ扣㍡㥤愹㤸攴〱㘲ㅥ愴㜸〸挲㘱㘸〵㙤㤶愱㈵㐰ち㐳㡦搰戸ち㐲㕤〹㤳㘱㘸㌵搴慣っ慤㐱㈴敦㔵㈲挶搹㐷ㄱ㔵愰〹〸㌳㈴㜱敡㉡㤴ㄱ挵㔰㘹㌶㠶〶搹㠸搰㠲戰慢㤱㔳㌱㍥晡㔹ㄶ昷㔷㡡扦㔱㍣㐷昱㍣㠴ㅡ㘰ㄹちて㌳㉦㄰昳㈲挵㑢㄰づ㐳慦搰㘶ㄹ扡〶㤹ぢ㐳慦搱昸㍡㠴扡づ㈶挳搰ㅢ㔰戳㌲昴㈶㈲挹㔰挴晤敥摢㠸㉡搰〴㠴ㄹ㤲㌸㜵㍤捡㠸㘲㘸慢㙣っ㙤㘹㈳㐲㉢摥㙥㐲㑥㌲捣㝣㠴攲搴收㤶つㄸ㠳㠷晥㠴戵昹㤴攲㌳〸㡦つっ㌳㥦ㅢ㔵㉤㐵〲㘱攲摦〴㝤〱愱㤶挱㈴挳捣㤷搰扣㐳㜵㐷ㄹ改㘱收㘶㤸挳㈷昹㉤昳搴ㅤ挴愹㕢㤰捥㈷挰ㅦ㘶㜲戲ㄱ愰㙣㐴㘸㐱摥㙤挸㐹〸攰㌲㌹戵晥挷㙣户戳㌹㠸搶㕤㈸㜲㈱ㅣ〲攲㐶㔵㝦㐶㐶㐲㐰㔷㠲昲㈱搴ㅤ㌰〹〱戲㘱〶ちて昵つ捡㐸ㄳ㜰㍢㉣㘱〲ち㤹愷敥㈰㑥摤㠹㜴㔱〴㝣㠲捣㈳摦㑤㝦㙣㈳㐲㉢〴敦㐶㑥挵慣挵ㄶ慣昷㤶ㄴ㕢㔱昴愲搸ㅡ㐲扤㘷㐹〹㍦ㄳ㙥㑢捣㜶ㄴ摢㐳㜸愴㘰㥣㉤愶捤昶㤱㝢㤰戹㄰戳㈳㡤㝤㈰搴㝤㌰昵挱〷㜷捥㔰戳昶㤱㝥㠸攴㌸ㅢ㌱㔷戵㌳愲ち㌴〱㘱昶㈴㑥摤㡦散㝤㠶晣㜱昶㙦搹ㄸ晡慢㡤挸㕣〲㤹昷㈰㜲捡㕣摣㈱扢㐱搲㡢挳㥣㔷戹㍤〰㡥搷㘱㔳㐰㕢㙢户扡㤱敤㙤捤㘳敢摢昰慥慤㝢ㅤ〴㠲㤲㘴㙢㔹㐷攵㈴ㅡ㔰㜷㘰㝤㙡㍥摦戲敤㄰㡥挲㐶ㄹ戳㡡㤸㙢ㅤ戶て挷㡦㙥㥥摣摣㌶扡扥㜵㙥㐳㜲㘱摦㠸㘸ㄳ㜳搰散㔴ㄳㄶ昶戵㘰㝤㕦㘷愰收戹㜳㔳戵ㄱ㜵㥣搶摣摥㔲㤳㥡㌰晡搷戰㌴㔰㤹〵㌸㌱㉣敦㔰㉡愶晡㘵㝦搷敥昰扥ㅤ㝣㤳㠳㈵㈱敡攷慤㉣㡢㤷愰戹攵㌷搶㌷㌴㜰てㅤ戶㘱㐰㡤愱㜰㌴㝣㕤捡昶㔸㄰换㝢愸搳戶攲慣㍡散〶㜰㐱ㅤ晣㙢㙣㠵㜶㔹敢㠴愶搶晡摡㔴㠱搵戰慦愴㠷つ㑥㘹㙦ぢ挴㈴ㄷ昴戴㌱㔸挰㌲愵〹㙤愰㈶搹㔲晢㙢㜰て㑥っ㠷昱㡤㡡攳摦捦㘳摣㘴ㄳ㡢㝤㉥捦晥搰㍥㍦ㅥ㉣㤳攷㠷愱㐴慥㈵㑡昷㐹〴㥣〵㥢㝣㘱㕦㐸慡搳收㝣㙡㕣摢㉤ㅥ㌰㙢扢㝢〸㈲㠵㔶㡥㑤㙡つ愹㥥㐱㔵㕥昱敢扡㤱搵慤捤つ敤㙤愹ㅥ改㤰昴㜶㕤㌷㌵搵㤰攴攲摢敥改搰㝥㌵㙤㔸㥥㥣捥㡦ぢ㙢㝦㍤摥〱㈳戹搶㐳㑡㝣ㄴ敦㘰㤰ぢ㥥〴㍢搲捦昴愸㡡挵敡攴昸㙣戸扡散㔲ㅥ㌷つ㡦㜹〱晡ㄶ捥㕤㠱散㌳摦攱〷〷㕣㜷㜵㉤㝢㔱㑦㙦搱户ㄹ收㘴〴敢敥搹戸戰戵戰㑥〶㍦慣㕥攷㐶户㈲㜶㥢〶㙣ㅡ㙤慢慦㐹㌶㌴㉣散㔱㌷愱愹愶愱扤㌶㌵㌱㔹㥤㙡昰〶㙥㉥晦晦㜵昸㉢ㄷ慣搹摥搴〱㉦㤶㤴〹搸捣敢慤攵晤搹㘳㕤㑣㤷㘱㐴㤳攵㌲挸挳戸㘵㈵㉡昱㤳㤷㌱ㄷ㈰搱愶晥㈲㝣搹昲㠹㈱㉤㘴攲㔸挶挵㥤改㤵搰搲摢ㅣ搸挴收㠹捤㔸愵㕥敢㤸挶搷ㅢ搳慦愶㑦㐹㜷㡡挷攳㍦昷ち㌳晣愸搷㉢㥢收㥣戸㘲摢㍤扦晣昶挶㘱㘷㡦昰㝡ち慦㉤散ㄸ慢㐰㘶收戲㔰愷㘳挸挵㕦〶挰〴㠰㐵ㅣ扤捣㥤挳昴晡戶㠶㔴户㍡㠹㤷㜰㍥扢〳搹散㕡㌷㝤㌶㔶㔷㡥㉥慣ㅢ搷㔲㕦摢㔰摦㤴攲㕤〸㜶㑤㜰㥢敤挴搴㉣慣敦摦慦戹戵㥥㍢㐴ぢ敢愶户㈴㥢㕡攷㜲㈵㙤捤挲㑤〳㥡㌸㉢慦㙥㔴㝤ㄳ㍡㡦㈹㤳攱愲扡㘹戳㥢攷㘳攳㜹㝢㘳搳戸攴摣搶㕦㠵愳搸㤷捣㘱㐶扦ㅣ㤵㤳愳昲㜳昲㝦敥㌵㑡搶扣昲㐶㈰㔶㡡㙣㜳㈸慣扢㔶㈳搴㐱㝦愵愷散づぢ昶㔷搶㉢戰攱㌶㜲㤹㜷㝡攷㍥挷㘰㍤〴㥤戴㝢〵挴昸㜱〷㑣昰昷攵晣㕦㙣㠳捦㕢㠳㝣㍢戸㄰㐸挳㐸㙦〱搸ㅣ攰ㅥ愶戱搰挶戶愳挵攷搴㌲ㅢ㘰㐱㥤㘰搸ㄶ㜱敤㈴㥣挱戱㔸愶摤ㅤ㕤ㅦ〳㉦㔶㈴㘱挴敤㘱ㄴ摥搱㘱晢㔵慢㡤慢㙡㙥㙣㑣戲㜱戱㘱㑥挳愸㥤捡㤷摢㙢㡣㈵扡づ㐲㕡愰㌵㈵ㄷ挰㤴㕣㈰㈶㕣㡣戹慤㐷挲捣慢㜹㔶戲愵扥㙤㜶㘳㝤㑤㍥ㄵ㙥扤昹㔵戴㑡㌴愰㕣㤰改ㅤ搲㌴㜱慦㥡戹㠸捦慣晥㠶戳〷攲昱㠱搴搱昹㘸扢㌹㜲〵㔷㍦㜳捦〴ㅡ慦收捤慤慥㠴挸攳搳㍡〶㝤㔳ㄵ攷搶ぢㄶㄹ㠶搴愳〴攰愳昷〰㥣〱㝥㜲ㅦ㠷攸㜰㐱㝢㔷〰ち㈶㌶㈷㙢挷㘲㜷㔶㜳㑢㔷晢愵つ昹㜰㉤〷㤵㤶〴户㌰㔴㘱摦て昶ㄳ捤挳ㅤ㜰㑢㍥つ搳戰㍤㈰㤷㥢ㅦ攲挶㠷扣㄰挶昲昲扡攵㐷㤵㌵挱换慢慦㕤攷敤㝥改挵㠴㔰晥㥦散㍦㜴㌸㉡㠵搳攲㑤㠴摥㤳ㄴ散挵㜳㝡〲㉡捦㈷〳㌰㡣㠰扤㈱昲搶㈱㌲戳㤷㘴㕤昰㡦〴戱扣㐶㙥㐴挸㙦攴改攰㘶㈳㡥敤〹搸搰〰㑡攲摤昲㥦㐴扣ㅥづ搴㔳敢搶つ㐳㌸愶㥥㠱昰捡㘷戳戰ㄵㅣ挱昲㐷戲晣㤷㘰晣〹ぢ㡣攵昴搲て㤹㜲㥢敢㍦㔳ㄶ搶戹㡦㤰㍤敢散戳愴昳挴㤸㘱㤳摢㉢昴昳㕦搱昳㈰攸〰㙤㕥慦昹戹搷㕦㘹昶㙣攳㜸㔱晢ち㌲㕣挵㕣攳愳㐰昸㘶㜶㥢㝦㌱挸㘹㙢愹慦㙥攷ㄵ㤱戱㌲攸攷晡㠳扥攲㜲㘳づ晣扡ち挹搴㙢〸㜱㐴㐵捥㜲㌳愵挷搰㝢㥤昶戰㌷㤸〲ㅦ㍤㤶㤹㔸㐵扤㠹㠰搷㉡㘸戴慤㘲ㅣ㌰㝡㍣㠱㙦㐵〳㈶㄰戰て㐴摥摢〰㘴づ㈹挱ㄵ扦㜸㕣搶〰攵㜲戲㈱㤷晢㘳昲戱搵㐴㌶搶攴㐹晦敢收㙣㠸㠹㥢扤㌰昹㐸㠳㔰㘳㙢㝣ㅡ〶攷㔴㙤㠱㘹㕡㙣敦ㅣ㐵㜲㜲㜲㌱㐲挵㌳昷㍦㠴㡡㘵ㄶ搳㔲戲㉡㔹㜱㈵㙥㝣㕦搴戸ㅢ愷㔰㤰晦捣搱㔸戱戴ㄶ㔶扣〷㕥㡦㍦㜲攰戹㝢ㄲ㌰戱〲昵ㅥ愴挷㡣搳㕦㈶昳挴愷㐰愸捦〰㜸㄰ㅦ挹㈳愶昷㘷㌲昳攸㉥捥收攲㕡㍥扡㝢㠷㌳敡搹㌱敦㜳㐴昱愱㤳摥昰㙥换戲㍤挰愸㝦〳户㠲㘰㍤㤵㌵㘰扤扤扢㘸昵〵㤴㤵㡣㤳攳㜳㝢㌲㜸戰㌵晡㜰扡㤵敤敦㉢攸慢㘸㤳戵戳㔲㙥挶晤㠵攲晡㕥㘹㙡〷昰ㄴ扦㠱㘶㥡㥡㤹ㄳ搳〷挱摡㜹㔳晢づ挹㜰㑥㔸挳挷㑣慣愲扥㐷挰㈳ㄴ㐱慦愹ㅤ〲㡣㍥㤴㐰慥づ㡥〰ㅣ㐶挰攱〴晣〸〰㐷㐹㍤〳㕡㝡㘰攳改㝡挹ㅣ㐷ㅤ挱㘴㌳㤹㉣ㅦ㔵㜰ㅣ㤵㠴捤㜵㤴㐶㜴挷㡥㉡〰攲㘱㈴摡㈰㐷㜵〳㜸〵挱扡㥡㌵〸㌸慡㍢攲㔶㌲㑥㡥散㡥攲挲攱㔵挴挸ㄲ㕥㈹㌷搳㔱㐵㠰㠸愳㔲㍣挵〴戴㠰愳㘶挱摡戹愳㌶㐵㌲晣㡦改搹捣〴〱昹㙣〶改ㄱ捡㑡搸㌱愱ㅥㄸ㝤ㄴ㠱㕣愴ㅣ〱㤸㐳㐰〳〱㕢〰㈰㡥㙡㠴㤶㜶㔴㉦㈷㤹攳愸㈶㈶㙢㘶戲ㅤ〱㜰ㅣ㜵㌴㙣愸ㄱ㈷挳愴昹㜲㘹㜱挷㡥敡ぢ挴〶㍢慡ㅦ挰㉢㜸㝥扡㠵㌵〸㌸㙡㈷挴慤㘴㥣ㅣ搹ㅤ戵ぢ㜰慢㠸㤱㤵挴慣㙤收ㅤ扢摡ㄵ㌶㜱㔴㍢㑦戱㍦戴㠰愳收挳摡戹愳㜶㐳㌲晣挷〲㑥㘶㠲㠰㝣戸ㅥ㍡挲てぢ㠱搱㡢〸摣㍤ㅡ昰㕢〲㡥㈱愰〴〰㜱搴戱搰搲㡥㉡㜳㤲㌹㡥㍡㡥挹㡥㘷戲扤〰㜰ㅣ㜵㈲㙣愸㔱摡㔱㕣攱摣戱愳昶〶㘲㠳ㅤ㌵ㅣ攰ㄵ㈸㈱愶㑦㘲つ〲㡥ㅡ㠱戸㤵㡣㤳㈳扢愳㐶〱户㡡ㄸ㔹搰捣摡㠶ㅣ挵㐵搶攲愸㔳㜹㡡愳愱〵ㅣ㜵㍡慣㥤㍢㙡㉣㤲攱㝦㑣㥦挱㑣㄰㤰捦㜸挸〸㐷㥤〹㡣㕥㑣攰㠴㘸挰㔹〴㥣㑤挰㍥〰㠸愳捥㠱㤶㜶ㄴ㤷㘸㝢昹㍡㡥晡ㅤ㤳㥤换㘴〷〲攰㌸敡㝣搸㔰愳戴愳戸搰扡㘳㐷ㅤっ挴〶㍢敡㄰㠰㔷愰〴慣愲㘵つ〲㡥攲㈲敥㤵㡣㤳㈳扢愳づ〷㙥ㄵ㌱戲慥㥡戵つ㌹㡡㙢扤挵㔱㝦攰㈹ㅥ〱㉤攰愸㡢㘱敤摣㔱㐷㈲ㄹ晥挷昴㈵捣〴〱昹㔴㐳㝡㠴戲ㄲ㜶攸扢ㄴㄸ㝤ㄹ㠱㕣㌹ㅥ〱昸㈳〱㤷ㄳ㔰ぢ㠰㌸㙡〹戴戴愳戸㔲摣㑢收㌸敡ち㈶扢㤲挹收〲攰㌸敡㑦戰愱㐶㘹㐷㜱扤㜷挷㡥㙡〱㘲㠳ㅤ搵ち昰ち㥥㥦扥㥡㌵〸㌸㡡㤳〶㉢ㄹ㈷㐷㜶㐷捤〳㙥ㄵ㌱戲扣㥢戵つ㌹㡡㑢捥挵㔱搷昱ㄴㄷ㐰ぢ㌸敡〶㔸㍢㜷ㄴ搷愸攳㍦ㄶ㈸㌳ㄳ〴攴㜳っ愴㐷㈸㉢㘱ㅤ㜵ㄳ㌰㝡㈹㠱㕣挰ㅥ〱戸㤹㠰㘵〴ㅣ〷㠰㌸敡ㄶ㘸㘹㐷㥤攸㈴㜳ㅣ㜵㉢㤳㉤㘷戲挵〰㌸㡥晡㌳㙣愸㔱摡㔱㕣㜶摥戱愳捥〶㘲㠳ㅤ挵戵敢㉢㜸㝥晡㜶搶㈰攰㈸㉥㘹㕦挹㌸㌹戲㍢敡㍣攰㔶ㄱ㈳慢捣㔹摢㤰愳戸昲㕤ㅣ㜵ㄷ㑦昱〲㘸〱㐷摤〳㙢攷㡥扡㄰挹昰ㅦ㉢㐶㤸〹〲昲戹〸㌲挲て昷〱愳敦㈷㤰敢攸㈳〰㝦㈱攰〱〲㉥〱㐰ㅣ昵㈰戴戴愳戸㙥摥㑢收㌸敡㈱㈶㝢㤸挹慥〵挰㜱搴㑡搸㔰愳戴愳戸晡扤㘳㐷㕤て挴〶㍢㡡㑢攸㔷愰〴慣ち㘷つ〲㡥扡ㄱ㜱㉢ㄹ㈷㐷㜶㐷㉤〵㙥ㄵ㌱戲戸㥤戵つ㌹㡡ぢ昰挵㔱㙢㜸㡡换愰〵ㅣ昵㈸慣㥤㍢㡡㉢昶昱㍦愶ㅦ㘳㈶〸挸攷㌶㐸㡦㔰㔶挲昶愸挷㠱搱㑦㄰挸攵晢ㄱ㠰㈷〹㔸㐷挰敤〰㠸愳㥥㠲㤶㜶ㄴ㤷攴㝢挹ㅣ㐷㍤捤㘴捦㌰搹㐳〰㌸㡥晡㉢㙣愸㔱摡㔱て㈳扡㘳㐷慤〰㘲㠳ㅤ戵ㄲ攰ㄵ㍣㍦晤㌷搶㈰攰愸㐷㄰户㤲㜱㜲㘴㜷搴㙡攰㔶ㄱ㈳㙢散㔹摢㤰愳戸敥㕦ㅣ昵㜷㥥攲㕡㘸〱㐷扤〸㙢攷㡥㝡っ挹昰ㅦ换㠵㤸〹〲昲㜹〲搲㈳㤴㤵戰㡥㝡ㄹㄸ晤ち㠱摣㐵㄰〱㜸㤵㠰搷〸㔸〷㠰㌸敡㜵㘸㘹㐷㜱㘷㠰㤷捣㜱搴ㅢ㑣昶㈶㤳扤〴㠰攳愸户㘱㐳㡤搲㡥攲摡晦㡥ㅤ挵㡤〱ㅢ散㈸㙥㈰㔸挱昳搳敦戰〶〱㐷扤㠶戸㤵㡣㤳㈳扢愳摥〰㙥ㄵ㌱戲搴㥦戵つ㌹敡㑤搸挴㔱敦昱ㄴ摦㠲ㄶ㜰搴〷戰㜶敥愸㜷㤰っ晦㘳晡㥦捣〴〱昹扣ぢ改ㄱ捡㑡㔸㐷㝤〸㡣晥㠸㐰㙥㘶㠸〰㝣㑣挰㈷〴扣て㠰㌸敡㔳㘸㘹㐷㝤攸㈴㜳ㅣ昵ㄹ㤳晤㡢挹扥〰挰㜱搴扦㘱㐳㡤搲㡥攲ㄶ㠴㡥ㅤ昵ㄵ㄰ㅢ散㈸敥㘳㔸挱昳搳㕦戰〶〱㐷㝤㠳戸㤵㡣㤳㈳扢愳扥〳㙥ㄵ㌱戲攳㠰戵つ㌹㡡扢㈰挴㔱㕦昳ㄴ戹ㅤ㈲攰愸㙦㘱敤摣㔱㍦㈲ㄹ晥挷昴㜷捣〴〱昹晣て㌲挲て晦〱㐶㝦㑦㈰搷ち㐴〰㝥㈰攰㐷挹〹搳㙦攲愸晦㐲㑢㍢慡ぢ慣㕥㌲挷㔱晦㘳戲昵㑣搶ㅤ〰㑥扢扡㤳㠴㍤㘰㕢㐵㕢㥣敢㔱戶昴扦捦慤昳㜹㐲㙥㡤㄰㡡㌸敦慦ㄲ搰っ㐵㜶㥥戰ぢ慣㥤㔳挴扤ㄴ㘴㐵攳㡢㜳㝤㡡㝡挲敡㥤ち㘳㙤㕢收搷挲敡㌸㠱摣㙣ㄱ〱攸㑡㐰㍥〱摣㝦昱㌶㑦㡢摦昲㥣㥥㠳慢挲敥ㅣ戶㤸㡣㌹戸㙥挰㘰づ㡥㝢㌰扣㑣挵㘲㈶搵扢㈳慣ぢ㈱ㄴ昷㑢㌸㉤扤㠸㈰愷愵昷㐱㜴挷㉤㥤摢㉣㌶戸愵昷〳㜸〵㑡挰晥ㄳ搶㈰搰搲戹づ㜶㈵攳攴挸摥搲戹㕤挳戸㜷㔳攴挱攵㥡㠳㔹攵㔰㜳攷㡥㡥搵挸㑢昷〴㑣昵㠷ㄶ㘸敥㥢挳摡戹㉦㜷㐳㌲㝡㑢㙦挱㑣㄰㤰捦㐰㔸㍤㔶ㄱ昴㝣戹㈵㌰㝡㉢〲戹㍦㈴〲搰㡢㠰慤〹㈸〱㐰㥡晢㌶搰搲捤扤捣㐹〶扢㤷敦戶㑣戶ㅤ㤳敤〵㠰攳慤ㅤ〸㜲扣㌵っ搱ㅤ㝢㙢㙦㈰㌶搸㕢挳〱㕥㠱ㄲ昰慤挹慣㐱挰㕢摣㌲戲㤲㜱㜲㘴昷ㄶ昷㡥㠸户㘴ㄷ〷㙢ㅢ㜲㔴ㄵ㈰慢㤱㡤敥挳㔳攴ㄶ㤳㠰愳晡挱摡戹愳挶㈲ㄹ㝤愳㜷㘲㈶〸挸㠷㝢㔱㍣㍦戰愲戶搳敤っ㡣摥㠵㐰敥㔳㠹〰散㑡㐰㝦〲昶〱㐰ㅣ㌵〰㕡摡㔱㤳㥣㘴㜹㝥扥扢㌱搹㙦㤸㡣㝢㐸㌲挷㈵㙥ㅣ㌱つ㜷㈰㈰㍤捤㠴㝣攷㘳ㄲ户㥡慣㐶ㄹ㝡㜷㘶捣㍤㈷㠱㌱㘹㄰慣㥤搳㜳㌸㤲〹㍤愵㠰㈳㉣ㅦ㌵〳㈱敦散ㄹ㙢改㈹〳㐶㤷戳戴㈳愲〱㠳〹ㄸ〲㤱㌷ㄳ㠰晦ㄷ敦㉥扡晣挴㜷ㄷ㔱敦㈵搳㙦敤户挷愹挷㉢㜰㍡㠵摥㡢㡤㜹晣昶㤱愸㘱戵ㄲ㈸扣㘲㠵㔴㌵づ㌷戴㕡昲昶㐴㔸敦㐵㐰〳〰㑥㘷摤㥢㈰愷戳㌶㈲扡攳捥摡〴挴〶㜷㔶敥搲㔹㠱ㄲ昰搲㤲㌵〸㜴搶戹㠸㕢挹㌸㌹戲㜷㔶敥攲㌱㥤㤵晢㘹㔸摢㔰㘷㙤㐵挴㙡㐴改㔱㍣㐵㙥昶〹㜴搶搱戰㜶摥ㅡ戹㈹㐸㕡攳ㄸ㘶㘲ち挲昴〶慣㕥㙢㘴改㤶搰戱挰攸㜱〴㜲挷㔰〴㘰㍣〱ㄳ〸攰ㅥ㈲改慣晢㐰㑢㜷搶㘳㥤㘴戰㝢昹敥换㘴ㄳ㤹散㌴〰㌲㍢㉢户昰㤸捥㍡〹㤰㥦㜴ㄳ挱㡤㍦慢㔱㡥㥥捣捣ㄷ㐳ぢ㜴搸晤㘰敤㥣愲戳㤱㑣㈸摡㥦㤹㈰㌷昹㥣〳慢挷〰つ㤶愲愹挰攸㘹〴晥㉥ㅡ㌰㥤㠰〳〸攰敥愲户㤱㌲㝥㈰戴昴㑤挴㘸散慣㘲㡢挹戸㠹㌸ㄸㄸ摣㐴晣摥挹㔴㉣收㈶攲㄰㠴昵愱㄰敡㜲〰㥣㤶㝥㌸㐱㑥㑢㕦㠲攸㡥㕢晡ㄵ㐰㙣㜰㑢扦ㄲ攰ㄵ㈸〱㙦戱㔸㠳㐰㑢扦ち㜱㉢ㄹ㈷㐷昶㤶捥捤㐸愶愵㜳㕢㄰㙢ㅢ㙡改搷㈰㘲㌵愲昴㤱㍣㐵敥㔹ち戴昴㙡㔸㍢㜷攳昵㐸㐶㐷改ㅡ㘶㘲ち㡡㈹㙥㙥昲摣〸㥢攷挶㕡㘰㜴㡡㐰㙥㝣㡡〰搴ㄱ㌰㡢㠰愵〰㐸㑢㥦つ㉤摤搲㙦㜱㤲挱敥攵㕢捦㘴㐷㌱ㄹ㌷㈵㌹㡥㙡㈰挸㜱ㄴ户㉢㜵散㈸敥㘵摡㘰㐷㜱捦搳ち㤴㠰捤㠴慣㐱挰㔱摣ち戵㈱㡥㝡〰㌸攳愸㌵〸戱戶㈱㐷㍤㠸㠸搵㉣㘵㉥㑦昱㈱㘸〱㐷戵挰摡戹愳㔶㈰㤹㌸慡㤵㤹㤸㠲㘲㡡㝢慣㈲晣搰〶㡣㙥㈷㜰㔵㌴㘰ㅥ〱昳〹攰㡥㉣㜱搴〲㘸㘹㐷㜱㑦㤵㤷㉦散㥥愳ㄶ㌲搹㈲㈶㝢ㄶ〰挷㔱挷㄰攴㌸㡡扢愶㍡㜶ㄴ户㔴㙤戰愳㥥〳㜸〵㑡挰户㤶戰〶〱㐷㜱㐷搶㠶㌸㡡㕢戳㡣愳戸㐹㡡戵つ㌹㡡ㅢ户㔶戳㤴ㄳ㜸㡡摣挱ㄵ㜰搴㐹戰㜶敥㈸敥昴ㄲ㐷㥤捣㑣㑣㐱㔸搲〱慢㐷㈸㑢户〳攳㈹挰攸㔳〹㝣㍤ㅡ㜰ㅡ〱愷ㄳ昰〶〰攲愸㌳愰愵ㅤ挵慤㕤㕥扥戰㝢昹㥥挹㘴㡢㤹散㈳〰㌲慦ㅤ㥦挰㘶慥ㅤ㘷〱搲搳㝣㘵㜹攷㌷㝡㥦㈲搹㙡㤴愱捦㘶挶㥦㐱ぢ㕣㌷㝥〷㙢攷昴㝣㡥㘴㐲捦戹捣〴戹挹㠷晢扦扣搳愰挱搲㜳ㅥ㌰晡㝣〲戹㌷㉣〲㜰〱〱扦㈷攰㑢〰摥㐶捡昸㠵搰㥣敢㐶㘹搴㜵攳㈲㘰㜰摤攰㤶㌱㉦㔳戱㤸敢挶挵〸敢㑢㈰昰敤搱㘱昲㜲㘰㌳攴㕤ち挸㑦扡昰㘲つ㥡㈱昰㌲㘶捥㉤㘱〱〲㉦㠷戵㜳〲攳㐸㐶㡡昴ㄲ愹愱㔱㔴㔷㔸扤㔳㜱〸扣〲ㄸ㝤㈵㠱昹搱㠰慢〸昸ㄳ〱ㅡ〰㈱昰㙡㘸づ㠱攵㔱〴㕥ぢっ〸㉣㜴㌲ㄵ㡢㈱昰㍡㠴昵昵㄰㡡摢挳㥣㘱攲㐶㠲㥣㘱㘲㑢㐴㜷㍣㑣㙣〵挴〶てㄳ扤〰㕥㠱ㄲ戰㌱㤷㌵〸っㄳ㕢㈳㙥㈵攳攴挸㝥攱摤ㄶ戸㔵挴挸㍥㌱搶㌶㌴㑣㙣〷挸㙡㈲㤶昱ㄴ户㠷ㄶㄸ㈶㙥㠵戵㜳㌷㜲戳ㅢㅤ愵㤷㌳ㄳ〴攴戳㈳慣㥥ㅢ㘱昳晡挱㙤挰攸㍦ㄳ搸㈷ㅡ㜰㍢〱㜷㄰挰扤㜱㌲㑣摣〹㉤㍤㑣散散㈴㠳摤换昷㉥㈶扢ㅢ㈲㙦㄰〰ㅢ戶ㅦ㡡ぢ㌲ㄳ捥㈶㌵昹㥡挷㑤敡昶㙦㑦㌶攰㈷㥡愶㘰㤳㐴ㅢ㑤扦㠶昵戱戹㘶慢㑡愷㡢挸攴ㄴづ㥢戱㍤捥㉣㤳㠳攰㠲㌳㝢㙥昲慤㤶㍦㙦㉢㑢㐱摥㠴ㅦ搶慦摦戰㔲搸㈲㠲摦㌳〹㈷挱㜵㕣攸㔵㡡愰㌴㥦㝢攱㍤慦昹攴㜱晢㐵〷㙢挷㌳昶㝡㌰㔹㑦㝦慤㉢㔷㌵て㘸挰㑡挵つ㔸㐲㝥ㅦ㑢攵㍡㜲愹挳晤戶づ㜱㘴㤸㔷〹㙢收ㄳ㜷㘸〱㌲ㄲ㘰ㄳㅢ㤷㈲㑦㙢㕢搸㠰攵摦っ㜲昵愰〹㜱扤慢㠹㐶昵㥡㕢㜲戱㜱㉦昳㥢㙥搳㘹ㅦ㐰㔶摤㌶换昸捥㝢㐹挶㤸ち搴㈶㙦っ㈸捦㥡㥥㘷攰戳捣㌴㍣攲て愰㡡㥢㑤慡慦㘹㘹㙥㙤慥㙢㉢㥥㠶㑤っ挵晣ㄵ㠴㍡㙣㘷ㄹ㤹㔷㠵ㅣ㈳换攴㠹攵㌶攱㐴昲攴ㄱ扤㘰㑥㔳昳晣㈶愹㑤㕥㉢㝦っ㐲昸敡摡㤵挵㜰㤳㡢ㅣ㝤挰㘲㘲て㔴㤴ㅢ㌰昴㐳挸愲戰㈸戱㈷㜴ㅥ㠹扤扣挰㌰㉦戰户つㄴつ㐷㠰戹㤰昷㕦昴㐸㜰捤㌰㑢㠹㍦㡣摡㙣㔲㌵㙡㘶昰㠷搸攲㉢㘰敥づ戳慣敥㥣㡡摦㔱㠸慦㠴愵〷㉣捥晥㠴挴㐸㥢㡢㝥〴㤱扡㌷昲搳挵㄰㑡ㄶ戹㔲㕢〳㍢ㄹ㘱㔱㙡っ㈴ㅢ㡦摡〳攴搲㘵㌰挶攲㡦〲㤲搵て㙡㈸㘰昴㐵㤰换戱挸㐵戸㝣ㅣ㠹挱攵㌸收捡捣㥥㠰摥慦㙡㔴搵搴㤹搵搵愵㜵戵㤵愵愵攵㐳㠶っ㉡慦㑥㈶慢〷㈵慢换捡昱攳㝥㜵昸挹㤱㤲摡愱㠹昱㌶㡤㝥ㄲ㘹ㄲㄳ㍣㙤ㅤ戵㝤㍣㡤㜱㜹㤳愰㜵㍡挴搸㜵慡挰挷㔴㌵搶㤸搴慡㔴㙥搷慥愱㉤愸挱攱〶㑢㔸㘵㘸攲挰ㄴ㡦㔳收㤵攲㘴㍢ㅥ㍤扣㐴㍣㘱扦㕤㌳㌱㉤晡ㄹ㔴㐱㍦ぢ㔱㤰㤸㡣㡡攳㍦摥愶搳㐶㤷㙡㝡㌱㌱挵戳㍦㑦ㄳ扦敤㔸㝥㤶㑣敤て㍢慦ㄳ〵㙡㔷搴㠲攳ㄸ㔳㥢昱㘸㉡㠲戲昹敢㈵愴㔱〷㐰㤳搲㕥愶〶㄰㠱敡㈰㐸㜱昰㑥㐸㥡㜶昰慢㠰㘴㜷㜰㕦㐰挳づ㍥ㄸ㌹㠹㠳㕦㐷㘲㌸昸㄰收㡦㈳㜱愸ㄷ㌸捣ぢㅣ㙥〳㐵㌳㄰搸㌸㥤攵〸攴捣㔲㌲㜹㥣改搹摦㐶㉤攵㌷搹㌴扦㥤㔷㈵㘱㌷㍣㙥ㅢ攲戱ㅡ㜱挲攳㝢㘴㉥〵㑤㜸㝣㥦ㅡ搲㐲㡦愹㔹㤰挲㘳㉦㠷㐷㑤ㅥ㌹㌶愹㉤㈳㈹㥢㡤㐴㐲搹㐷挰㠱戲㝡㘶㠵㈳㜱㤴ㄷ㤸攳〵ㅡ㙣愰愸ㄱ㠱㡤㐳㔹ㄳ㜲㘶㈹㤹㤴㌵㝢昶捦㔰㑢昹ㄵ㍡㕤〶㤸㍡ㅡ㜶㐳㔹㔱㠸戲ㄶ挴〹㘵㕦㤰愴㜶㘸㐲搹㤷搴㤰ㄶ㝡㑣捤㠷ㄴ捡扡㐷㔲㔶㄰㐹搹〲㈴ㄲ捡扥㌵㤴㉤㘴㔶㌸ㄲ㡢扣挰㙦扤挰㌱㌶㔰㜴㉣〲ㅢ㠷戲攳㤰㌳㑢挹愴散㜸捦晥〳㈹摢㠳㠸㑡〸㜵㈲散㠶戲㥣㄰㘵㈷㈱㑥㈸㕢㑦㤲㑥㠵㈶㤴昱愷㑡搲㤴㥤づ慢㔰戶晥㝢扦户晡慤散扦戰㠶㍢收ㄹ㐸㈴㤴攵㈲㉢戴戲㌳愱昳㐸㉣昶〲㘷㜹㠱戳㙤愰攸ㅣ〴㌶づ㘵扦㐳捥㉣㈵㤳戲㜳㍤㝢㍥㙡愹㐷㄰㌱ㅣ㐲㥤て扢愱散㙢㥣㕤㜰㠰扢〰㜱㐲㔹㜷㤲昴〷㘸㐲㔹愱㑢搹挵戰ち㘵㕦㐴㔲昶㜹㈴㘵㤷㈰㤱㔰戶㠹愱散㔲攸㍣ㄲ㤷㜹㠱㍦㝡㠱换㙤愰㘸〹〲ㅢ㠷戲㉢㤰㌳㑢挹愴散㑡捦扥㌹㈹ㅢ㑢挴ㄸ〸昵㈷搸つ㘵晦っ㔱㜶㌵攲㠴戲㕥㈴改㍡㘸㐲搹搶搴㤰ㄶ㝡㑣摤〰㈹㤴扤ㄷ㐹搹㍦㈲㈹扢ㄱ㠹㠴戲敤㤱ㄵ㕡搹㑤捣ち㐷㘲愹ㄷ戸搹ぢ㉣戳㠱愲㕢㄰搸㌸㤴摤㡡㥣㔹㑡㈶㘵换㍤晢㡥愸愵晣㥡愴摥ㄷ㌰昵㘷搸つ㘵慦㠶㈸扢ㅤ㜱㐲搹㑥㈴改㉥㘸㐲搹捥㉥㘵昷挰㉡㤴扤ㄴ㐹搹ぢ㤱㤴摤㡢㐴㐲搹〰㐳搹㝤搰㜹㈴敥昷〲㝦昱〲て搸㐰搱㠳〸㙣ㅣ捡ㅥ㐲捥㉣㈵㤳戲㠷㍤晢敥愴㙣㉡ㄱ晢㐳愸㤵戰ㅢ捡㥥づ㔱昶〸攲㠴戲㌲㤲戴〶㥡㔰㔶敥㔲昶㈸慣㐲搹㤳づ㘵昱㈱㠰㘴扦昳㜸㍣㤲挷挷㤰㤳昰㌸ㄴ㠹搱昴ㅥ㠷捥㈳昱㠴ㄷ㜸搲ぢ慣戳㠱愲愷㄰搸㌸㍣㍥㡤㥣㔹㑡㈶㡦捦㜸昶扤㔰㑢昹ㄹ㔱㝤㄰㘰敡慦戰ㅢㅥ㔷㠶㜸晣ㅢ攲㠴挷ㄱ㘴敥敦搰㠴挷㤱搴㤰ㄶ㝡㑣扤〸㈹㍣㍥攴昰愸挹愳摣㜹㍣㄰㐹搹㑢㐸㈴㤴㡤〱づ㤴扤捣慣㜰㈴㕥昱〲慦㝡㠱搷㙣愰攸㜵〴㌶づ㘵㙦㈰㘷㤶㤲㐹搹㥢㥥㝤〲㙡㈹㍦㥣慡㘷〰愶摥㠶摤㔰㜶㘷㠸戲㜷㄰㈷㤴㑤㈲㐹敦㐱ㄳ捡㈶㔳㐳㕡攸㌱昵〱愴㔰昶㘷㤷戲昴捤摡昲㐸捡晥㠹㐴㐲搹㔴㐳搹㠷捣ち㐷攲㈳㉦昰戱ㄷ昸挴〶㡡㍥㐵㘰攳㔰昶ㄹ㜲㘶㈹㤹㤴晤换戳ㅦ㐸捡㙡㠹愸㠱㔰晦㠶摤㔰㜶㐳㠸戲㉦㄰㈷㤴ㅤ㑡㤲扥㠶㈶㤴ㅤ收㔲昶㉤慣㐲搹戵㤱㤴㕤ㅤ㐹搹㜷㐸㈴㤴捤㌴㤴晤〷㍡㡦挴昷㕥攰〷㉦昰愳つㄴ晤ㄷ㠱㡤㐳搹晦㤰㌳㑢挹愴㙣扤㘷慦㈱㘵㐷ㄱ㔱て愱ㄴ敦挳愸搵戹㐴㜰㌹㤷㄰㜱愹㑢〴㥦㠸愵扢㕤ㅣ㐹㐴㉥愲㠵㠸愳っㄱ㜹㌶敢昸ㅣ攸收攱户㌶㔹㔶㕤㔶㤱ㅣ㍣戴㈲㔵㕥㕥㔱㕥㤹ㅣ㔲㥢㑡㔶㈴敢㉡㔳攵㜸晥慤慥㑥挴㙤ㅡ摤㠰㌴㠹慥㥥搶㐸㉤摦搳ㄸ愷扡㐱㥢㠴㤳㔲攷愳㌲㝣㌸挵㤴㍡㕥㜴㈱㑡ㅦつ㔱㤰攸づ㐰ㄴㄳ㕣摣㈵昶㜶挱㑡㉡〸㔵〴扢㘹㍣㘷㈰挷攰㍤㔸〲㜱搲㜸ㄶ戲攸㥥搰㠴戳㐵搴㤰㤶搹愹捤㘱ㄵ捥㑥㜵㌹㑢昷户㤳㈳㌹摢〲㠹㠴戳攳㤰ㄵ㠶愸㉤㙤搶昱攳愱ㅢ捥㤲㐳㌱㍤㔰㔹㕢㔱㕡㌶戸扣ㅣ㍦㐷㍡戴慣扡戴扡㜲㘸㐹㑤㘵捤㤰搲敡㐱ㄵ㠹慤扣敡㥣㠰㌴㠹㕥㥥㜶㈲戵慤㍤㡤㜱㐵摢㐰摢㌸捤㙥㕢攴ㅣ㐵昶㜶㥥晤㌴㤴㉦扦㙦慣攷㤱慣ㅤ㘰㌷㘴捦て㤱㕤㡣㌸㈱㝢㌱搲㈸㔹晡㠴㈴晡㉣㙡ㅥ搹晤㠰ㄱ戲摢㈲挹㙥㠹㈴㝢㈷㈴ㄲ戲捦㐵㔶㈰㝢㘷攸㍣ㄲ扢㜸㠱㕤扤㐰㝦ㅢ㈸ㅡ㠰挰挶愱㙣㌷攴ㅣ㐵ㄹ㔷㐹㠹晤昷愴散㔸搴㑦ㅦ〳愱㜶㠷㕤㕡摤㐵㤶〸㉡㡡㡢㥣㠴㠸㝡㤷㠸㜴㑦㥤ㄵ㐹㐴㈹ㄲ〹ㄱ㤷戱㠸㍦㤲㡤ㅥ㠹㌲㥢㝦晣㜲攸戶扢㤶㔵づ慥㈹ㅦ㔲㕡㔶㍡㈴㔵㕥㕡㍢戸戲扣愲㝡㐸㜹捤攰戲㈱㐳〷搷っ㉡ㅤ㥡㈸昷敡戴〴㘹ㄲ㠳㍤敤ち㙡㐳㍣㡤㜱慡ㄲ㥡㜴搷㈳㔱㈳㜶㔷㈹晦㑦㠸搲㔷㐳ㄴ愸㍤㍣昸㌵㔰㜹晥晣㈴昶㠴㌵㡡愴扤㍣晢つ捣攱ㄴ㐰昵挹愴㠳㑢㠹㑣扢㍡㄰攵〴㍢昱㜰挴㐹扢扡ㄹ㘹搴㈸㘸㐲攷㌲㙡戶㍣㌵ㅡ㔶愱㜳㥡㑢㘷扡ㄳ敦ㅦ㐹攷ㄸ㈴㤲搳戹つ㔹愱㕤㡤㠵捥㈳㌱捥ぢ㡣昷〲ㄳ㙣愰㘸ㅦ〴㌶㑥扢摡ㄷ㌹㐷㔱㌶搱戳摦㐹捡ㄶ愳㝥晡㑣〸㈵㙢㜱愸摤攳ㄲ戱ㅦ搰㐲挴㜸㤷㠸㜴扢ㅡㅢ㐹〴㔷攴〸ㄱ㝦㌱㐴㑣㠵㑥㙡攳て㐰户愳搹攰㤲㡡搴搰㡡愱攵㤸昹㉣ㅦ㍡愴㈴㔹㕡㔶㕢㌱戸㘴㘸㌵㝥㐵㍤㔹㌶㘴㐸㘲㥡㑤愳ㅦ㐴㥡挴㜴㑦㝢㠸摡〱㥥挶㌸㜵㌰㌴㘹㔲㈳㔰㤹昴ㄵ㘰㈵愲昴㈳㄰〵㠹㐳〰㠸㘲攲㔰捦扥㤶㔸㝥攳戰晣㡡戸㍡ㅣ㜶搳㜸㉡㤰㘳戰昱捣㐰㥣㌴㥥㈷㔸昴㤱搰愴昱㍣㐹つㄹ戰ㄸ㔵つ慢㜰㔶敥㜲㤶㙥㍣愵㤱㥣㜱昹㡢㜰昶っ戲㐲攳愹㠵捥㈳㤱昲〲㜵㕥㘰㤶つㄴ捤㐶㘰攳㌴㥥㝡攴ㅣ㐵搹㔱㥥晤㌹㔲挶敦㈲搶ㄷ㐱愸〶搸つ㘵晤㐳㤴㜱㘹㡢㔰昶㈲㐹㥡ぢ㑤㈸㝢挹愵慣〵㔶愱㙣攷㐸捡晡㐵㔲搶㡡㐴㐲搹㙢㠶戲㌶攸㍣ㄲ敤㕥㘰㥥ㄷ攰㑡ㄳㅥ㐵ぢ㄰搸㌸㤴㉤㐴捥㔱㤴㉤昲散㙦㤱戲㈵愸㠴扥ㅣ㐲ㅤ〳扢愱㙣扢㄰㘵挷㈲㑥㈸㝢㤷㈴㥤〰㑤㈸㝢捦愵散㈴㔸㠵戲慤㈳㈹摢㉡㤲㌲㉥〹ㄱ捡㍥㌴㤴㥤〲㥤㐷攲㔴㉦㜰㥡ㄷ㌸摤〶㡡捥㐰㘰攳㔰㜶㈶㜲㡥愲㙣戱㘷晦㤴㤴㕤㠳晡改慢㈱搴搹戰ぢㄱ㥦扢㐴㜰搹㠷㄰㔱攴ㄲ㤱ㅥ愲ち㈳㠹㌸ㄷ㠹㠴㠸慦っㄱ攷搹慣攳㕦㐳户㔷扤摡扡敡㘴㐵㑤敤愰摡戲㡡昲挱㘵㤵挹摡攴㤰敡搲㤲戲㥡戲㔴㐵挹愰㘴㐹㐲搶㠵戰㜲摦㈰㑤攲〲慦㜲摦㔲晢扤愷㌱㑥㕤〴㑤㠶愸慥愸っ㠷㈸㌹敢敦ㄱ愵㝦㠰㈸㐸㜰挵㐷ㄴㄳ㤷㜸昶昵挴㉥㘵㘱㌷㤱㠹换扣散㜳昰敡㉤㍤昰㕣づ慢㌰昱摦晦㌸㌳愶㘹㈶㝥㠰㌵㍣㘳扡〴㠹㠴㠹㌸戲挲挰挳ㄵㅢ捣㌱摥ㄵ扡㘱愲㙥㔰㐹㜲㌰敥㍤换敢㜸扢㕥㔲㕤㔹㌹愸慣㜲㘸㙡㐸㑤㔹㐹㕤㙤慡扣㈴㜱愵㔷㥤㝣愴㐹㕣攵㘹㥡摡㥦㍣㡤㜱敡㕡㘸挲挴搷愸㑣㝡戰敥㡥㈸㕤〸㔱㤰戸づ㠰㈸㈶慥昷散㥢㄰换慦㉤搶户㤱㠹ㅢ㘱㌷摤攸ㄳ攴ㄸㅣ慣㙦㐲㥣㜴愳捤㔹昴㌲㘸搲㝡戶愰㠶戴㉣㐶㜱戱㠴㜰昶愱换㔹㝡戰晥㈰㤲戳攵㐸㈴㥣㙤㡤慣挰搹㙤搰㜹㈴戸㐴㐲〲户㝢㠱㍢㙣愰攸㑥〴㌶㑥㌷扡ぢ㌹㐷㔱㜶户㘷摦㥥㤴昱ぢ㡤㌵扦㌶㌹㜱㉦散㔲晢摥㔲㝢㜵ㅦ㜴㈱㘶㐷攸㍣愸㈴敥昷㔰㝤〴㤵挷搷挲㝢㘶晦挲㕡攷戵敢〰扣收挷㌷昰愵㙡昱㡤㔸昸㠹敥戶㠵㘳㥡摡㕡戸㌴㌹搶〵摦㠸㘵扥㤰㈷㌷㘷㡦㥦㤷ㄷ摦㐷㙥㠷慣昸挹㝢つ摥昹扦挸㠷攷改扦愱㘴㡥㍢攰愳晢攱㠴ㄵ摦ㄸ昷愵昶ㅣ㠵晦㐵捣㉦愲挸㔷戱ち㌸昴㠳㤸㉦搸㠸捣㥦㔱㑥慣昱㠸ㅣ㘰攸㝥ㅣ㍡挹㔴捦㈳〵捦㐰ち晤つ㈲昳昸㍡㌷昲扢㉡捤摢敦㘹昸晥戱搴挰慡㔱ㄵ〳挷㉣愸㐹㌵㔴攱㍢㐱昱敡ㅢ〹㘳㥢㌷㑥㘸㐵㄰扦㠷㍥扤㜹愴㝣㕢㈵搷㌲㙣攲扤ㅤㅦ攰晤ㄶ㝢㍦摦攲㝤㈱慣㤷㙣㑡㑢㍡ㅤ㝥㕣ㅣ慢晢ㄱ㌱㠰扦摣扥戹慦㌹摦愲戴㡤㙦挵㌷晦挲换愹㕡㉦挷㔶㑥㈷攴㜴㔱㤱摦昴㘵㝦㌵ㅢ㍦㌰敡㘵㌰愶愹扤㤱ㄴ㙣ㄳ昱攵㘷愳敡摢㘴ㄳ挲戶㠸㔷晡〹搰ㄳ摦ㅤ攷ㅢㅦ搶㜷㘴摦搲㤲扣㘷挱摥㑦㈸㈵攸㙦㤶挹〳㍦㌰㠳㉣搵㍡㘴捥晣㘸㉡㝡〶ち㐶摣捣㠵つ㥦て㘷㉣㡥ㄱ㈲㘳昹昶㙦㘲㐴搱戳㕥㡡ㄹ慡昷〵㈳昳摥㍡㍥昳晢挱㈵挵㡡ㄶ㤳㘲挴戹㈳搴昳㐸搱ㄷ㔶搳挲㍥㘲攸敦㄰敡㐹㔴㈲戲㠵㍤㘱㈳㐲㍦戹晡ㄲ㜲㤲づ㕣挱戶挰㍣昰㐹扣っ慢㜴昳愱戰ㄶㄶ愹搷愱㑢扢㝢ㄴ昹愴摢摤ㅥ㍣昷户ㄱ搵ㄷ㘹㌲ㅢ晢㈳搹慡戲搲㐶㠴㝥换昴㍤攴㈴㔵ㄹ攱㔶攵㝤㔸愵㉡㈳㑤㔵㍥㠲㉥㔵㜹挸慤㑡ㄵ慢挲昷慥㝤㈳慡㜲㕦戶慡摣㙢㈳㐲㍦ㅡ晡〵㜲㤲慡㑣㜰慢昲㈵慣㔲㤵㝤㑣㔵昸㙡㔵慡㜲㤷㕢㤵㠹慣捡て㠸敡ㅢ㔱㤵摢戲㔵㘵戹㡤〸晤㍡愷扣攵㘴㑥㔳摤慡戰㠵㐹㔵愶㤹慡昰㤵愵㔴㘵㤹㕢㤵〳㔸ㄵ扥㈷㡣慡捡つ搹慡㜲扤㡤〸晤っ愶扣㍤㘴㔵づ㜳慢挲户㠸㔲㤵挳㑤㔵昸㉡㔰慡㜲㡤㕢㤵㈳㔸ㄵ扥㝦㡢慡捡ㄵ搹慡戲挴㐶㠴㝥㙦㔲摥捡戱㉡戵㙥㔵戶昶慡㤲㌲㔵攱㉢㌶愹捡㘵㙥㔵㘶戱㉡㝣慦ㄵ㔵㤵㍦㘴慢捡㠵㌶㈲昴挳㡥昲戶㡢㔵㘹㜴慢挲户㕥挲㑡㤳愹捡〰慦㉡攷扢㔵㤹换慡昰㝤㔱㔴㔵捥捥㔶㤵戳㙣㐴攸ㄷㄴ攵㉤ㄲ慢㌲捦慤ち摦㈶㐹㔵收㥢慡昰敤㡦戰㜲㠶㕢㤵㠵慣ち㕦戹㐴㔵攵攴㙣㔵㌹挹㐶㠴㝥㥡㜰〴㜲㤲ㅥ㜴扣㕢ㄵ扥㤰㤱慡㥣㘰慡挲户㉡㔲㤵攳摤慡㥣挴慡昰㔵㐶㔴㔵ㄶ㘵慢捡㐲ㅢㄱ晡つ㐰㜹挱㐱㔶捥㜰慢挲ㄷㅤ㔲㤵㌳㑤㔵昸戶㐲慡㌲捦慤捡㔹慣ち㕦ㄱ㐴㔵攵攸㙣㔵㤹㙢㈳㐲㍦戶㜷㈸㜲ㄲ㔶捥㜷慢挲ㄷ〸㔲㤵ぢ㑣㔵昸ㄶ㐰慡搲攸㔶攵㐲㔶㠵㔳敦㔱㔵㤹㥤慤㉡戳㙣㐴收慦摡㈵㌸㔹㉦㠵㕥㘶ち攵㡣扢ㄴ㥡㜲ぢ扤㥣㠵㜲戲㥣户ㄷ㑡捦㐱㈸㝥〵㙣㜲ㄵㅤ㌴㔴㈵〱昶慥㝣〵晡㉡愲㌹搱敥㤹㡡㌸㤹づ愳㝣昰挷㍢戲㕦っつ㘲戳ㄱ㐵㥣㠱㤷㤴搹㉥㡡扦摤散搶㜱㙦㉦扡㜶昸扤摢㥦晡昱晥昷摥㍡㝣㘲挵㤹㈳㡦㝣敦戶攱㡡㤳昲㍥㐷晥挵昱昰㙣ㅣㅤ㘶㈳㐲㍦㝣㈷㔳昵愸㤱扥㥥㌵挱㐱摦㈵ㄶ㈱㝦㘱敥〶㔸㜱㜱攴扣扢㌰㜷戰换摣㑤㠸㔴㈷㈰捡㌰挷挹昸昸捤戰攵つ敢㍢慥敦愰扣改挰㜶㜴晢㌱戶愵挶扤挹㘱挱晥敤愶㝦晢㜱ぢ㑢攱㌴㍤昳㤳ㅡ㜲㤶摣㍦㝢晦收㜳㡡㍤挹搰捤攷㘴ㅢㄱ晡㔵㍢㤹㍢㐷㥥晡づㄴ㈲㜹㐳㈴捥㐲晥㜲昶㜷挲㡡戳攷㐴戸㥣晤扥挸㈷㝤㙢㜰㌷敢挵搹攷愸慡㡣捤㔶㤵㌱㌶㈲昳攷攳ㄲ㥣慦㤶㐲ㅦ㌰㠵㕥收ㄵ㕡㘵ぢ㤵㘷㤸㠷㔸㈸愷愲愵㍥㈳摤晡慣㘰ㄴ㘷㤱㡤㌷㌸㍦ㅤ㝦〴㌶㜸〳㜷㠳㙡ㄸ戰㕥㥢㉤搰慢〹收〴戴㘷㉡攲㈴㌳㡢㐰㠴㝢昸捤戸㠸㌳搰㠲挸搶㕣ㄳ摥愴戴㕥㠳㕣昴㕡㡡㐷㔹㄰愷㥦㝤㤶晣收㍡搸㤲ㄱ㜲㔸戹㡤〸晤挶摣捤挸㐹㐶㤷愷㙣㍤愵戹㜲㜲㕡戸㝢ㅡ㔶㌸㡣㌳捣㐲搰㈰㤷愰㘷㔹ㄵ㑥敢晡㔵昱摢捥㙥搹慡㌲挰㐶㘴晥㤸㕢㠲ㄳ挱㔲攸ぢ愶㔰捥收㑡愱扢扡㠵扥挴㐲㌹ㄱ㙢扣挲㈹摥昸㉢戰㤹搱愵㐲昵〳搸昳㐱㠱㝥㡤㘸㑥攲㝡愶㈲㑥搴挲㤸摤㉤挶㔹晥慤戶搱㌱扡㜰㜶㔷㔲㘶㜳㤷㐱昶ㅦ㘱晥づ戴㝦㑢㐶㈸㑥昸晡ㅣ昹敥㉡捥挶搱づ㌶㈲昴㝢㙦㌲つ㡣晣昵㍢慣〹づ㜱搷㤳挸㕦㤸晢〷慣㜰ㄷ攷㜴㠵戹㙤㕤收摥㐳愴攲㐴慡㕦ㄵ摦㕤㕢㘶慢捡ㄶ㌶㈲昴挳㙡㌲扤㡡ㅡ攸㡦摤慡㜰㥡㔵慡昲㠹愹ち攷㑡愵㉡㍤摤慡㝣挶慡扣㤵愵㉡㍤戲㔵愵搰㐶㠴㝥挱㑣愶㉤㔹㤵慦摣慡㜰晡㔲慡昲戵愹ち攷㈰愵㉡〵㙥㔵扥㘵㔵㌸昱ㄷ挵㑡㕥戶慡攴摡㠸捣㥦ち㑢㜰慡㔰ち晤慦㈹㤴昳㝤㔲㘸㡥㕢攸㝡ㄶ捡愹㍡搳㠸㌹〹ㄸ㔷晣㥡㙢づ㉤㠳㑡搵晦扥㜳ㅢ㜱ㄷ挴㈸㑥昳愵ㅢ昱昷㔰昰㝦挳ㅢ㜱ㄱ攷晤㈴㐵挷㡤昷扢攱摥慦㡣㈸㑥〱晡㥣昸㡤昶㍦愸㕢攴昳攲㜷㌶㈲昳搷挳ㄲ㌹㌸㕢攱㐴攳㐴搰㍣㌹昳㈷㥣㝣㠳ㄴ改攱扦ㅢ捦㤲㤳㜶㠶ㄳ㑥〷挶ぢ搳㥣㤴慢㉦〲㥣ㄴㄱ捤〹扦㌴㈷㥣搴挳晦つ攷〴㔸ㅣ攸搸㠵㕥捡㙣摣ㄸ㑥㍥ㅣ㡥敤㐵㌸㍥ㄹ㝥昴戰㠲ㄷ慦㤹晢改㜰挵挹挱㈸㡥㍥捤挶搱㈷㌶㈲昴〳㘳㌲㘵㠸敡攸捤㜱㘲㍣愴㘳㜳敡㔰㤸摢〲㔶㌰挷昹㍦㘱敥㐳㤷戹慤挸〵㈷摤晣慡昸ㅤ晢摤㙣㔵昹㠷㡤挸晣㈵㉦挵㘹㍡㈹攴ㅤ㕢挸㈶愸㑥㝥㑥㤷挴㡥戶㌶㠵㠹㍣㑥搲㐵摥㡡挸て㙢っ㌴扦㍦㠰摤㈳愹㔶㌱昰㠷㠵昲敡㌸㐷搴慤㡥㥢㑡㔲昲㈳〸昲攳㑤つ戲㔹愴㍢㝥㡡愰㘵㑥慡㘵㈲㝥㕢〳㍦㐰㌰慤扥搱㙥挰挰㙦㙥昰㉢戲扤㉦扢搷愲㜱㔲㉥㕥㌷愵〵摦㝥摦戵㙥㐲㉢㝥挱愳㌶扦㜱扦㘴㕢㕢慡愵改搷戰てぢ摢㜷㜲㌹晦㠸换㍢㝦㜸㉢㈷㜲攷っ户挴㘴㝥㌹扥昳㌳㈵㍥ㅦ摥捦搴攴昰ㄷっ㝥摥㉥慣昸づ㘸㈲晥慦搹捦攳㝣㕢㙢㡥㝡ぢづ㤶ㄹ晡㡦㑢㝢挹㥤㈰扦㠶㐴昷〶㔶㘶㈰㤵㥣〳扥㘴㑢昷愱㘹㉤㉡㉣㈲㤶挷㈹换捣㤳攲ㅥ㈶㝥改㑢㉣㙦㝥㝤㙤摢散昸散㔴晤慣搹㙤搸慢搴㡤㘷㝡挰愵昷㡦㠸㤵捦ㄸ愹㌸㉢挹搶ㄳ敦㠷㍣搳㕦ㄸ㕦敢㝣㘱㝣慥㝡挵慢㔷散㠴㤸㕦慦㥤㔹〹㡥㐳搲㌷㈰昰捤收㝥㥤搴㙦㤰㈹敢攵ㅤ戹㥣㘶敢㘸㤲㡦户㕥㕤ㅢ㘷㈶㕢㕡㤲ぢ昳ㅢ㘷㌶愴㥡㘶戵捤捥㥦㌹て戳㥡昸摡㝡ㄴ㤶㥦㥦慦晢攳㉦㑦㡡㥦〴攷扢搸ㅤぢㄳ㡡㤳㕣㍣つ㑤㘶㜳搴昳㕥㡤〳㑣晥㠶㌵㘶㔷昴㤹摣㥤愶戵㌰ㄹ㈶ㄵ攷挳㔸㙢㡦㥦挴〸㈸戶っ捥㕥㌹㘵㍣ㅤ㔹㐶㔹戸㡣挱ㄹ㘵㔴㘵㤶挱ㄹ㉡㕢〶愷愵㥣㌲ㅥ㡢㉣愳㌲㕣挶㥥ㄹ㘵㜰〶㉢㜰ㅥ㥣㝡戲㘵㜰扥挹㈹攳㤱挸㌲㠶㠷换ㄸ㤹㔱〶愷愶〲㘵㜰㑥挹㤶挱㠹㈴愷㡣〷㈲换ㄸㄳ㉥㘳㕣㐶ㄹ㥣㜳ち㤴挱挹㈲㕢㐶㉡㔸挶摤㤱㘵散ㅢ㉥㘳㔲㐶ㄹ㥣㑣ち㤴搱攸㤷挱愹ㅦ攷㍣㙥㡢㉣㘳晦㜰ㄹ搳㌲捡攰㉣㔱愰っ㑥敦搸昳攰㥣㡥㔳挶搲挸㌲づち㤷㜱㐸㐶ㄹ㥣晥〹㤴挱㜹ㅢ㕢挶〹挱㌲慥㡤㉣㘳㐶戸㡣㤹ㄹ㘵㥣㤴㔹〶㈷㘴㙣ㄹ㥣㠵㜱捥攳㡡挸㌲㙡挲㘵愴㌲捡攰㠴㑤攰㍣㌸搳㘲换攰昴㡡㔳挶㈵㤱㘵搴㠷换㤸㤳㔱〶㘷㘲摣㌲ㄴ愷㔰㤸㜱扣ㄱ㐸㜷㔷㝤㜰㈸扣挰㉢㌰㌰ㄴ㌶㌳昷散㐳㈱㘷㘰㔸㤸㜷愸慢愰㜰㌸搴㉤㐸㤸ㅥ捥㌸㐳㘱㑦㤳搳ㄲ捥㘹㥥敤㤵ㅡㄸ捥摡㔹㙡㜰㌸㥢㑦搳㕡㝦㌸攳っ㐶攰㌴㙦㠱㐱㑡㕥攸㤶捣搹〱㕢㌲愷〴㥣㤲㑦㡤㉣昹㤸㜰挹挷㘵㤴捣搹㠳㐰挹㝣散ㄷ㠲㑦〰搲晢㜲慦㈰戹挷㝢㠵〵挸㍤㠹㌹㘷㈵㌷㡦㌳〶ㄵㄹ㉦ㄳ㠳摢ㄸ捤ㄷ㠹挹㔴捣〰ㄳ戶扢㈱昹㈵搵捥㤴㡣户㐷㔱慤戰㜵㑦晢㡢戳〹挲摡愹愸㡢攷慦扣㌵戰㘶摥㌱㘴㉤ㄹ㔸戴㉤愹㠴㙥ㅣ㘳㝦摢㈹慦ㄱ㌷㔲搵昹搴ㄹ挸㙢㥣搶㤶㥡摢慤搱㔴㤲㜷㔵㔲㠳㕣晣㌸㕢㍣㕥晥ㄳ捦㌱扤㜳㤳愷㘵づ㙦慥攳扢昵㘵㜲㍣㌷摣搸扦戳ㄷ昵敦搶攷㉤㠲ぢ㝥㔶㐹㔹愸攴ㅣ〹㜹戲挷〸昳搷㉢昰慤㔰〵搴㐲㔴㠰㤵㘰㝥㡡㤳㉢㝥敡晣㜴㙡昳〰昰㜸㌸昵〲㈷㜵攲㈹愴戶慤㥡昳㈶㑥慢㥥〷㔸昸㐶敢㉣㌶戴㘰㝦㍡㠷愶戵愸㡡扤㍤攰ㄴ㑢愰㔵㜳㙥㐴㕡昵戹㐰㘶ㅦ㌶收㝡〵〶㕡昶昹捣㍤㙢换㔶㥣㕡㘱㘱摥愱㌸㝢㈲捤昰㐲㈴昴㥡㘱攲ㅤ㔸敤㘹晥〳㐱攷㌴㡦昲㑡つっㅢㄷ戳搴攰㘹㕥㑡搳㕡晦㌴摦㐳㍥敥㘹㈶㌸愷㘰换攰㐴㠲㔳㐶㙤㘴ㄹ㑢挲㘵㕣㤹㔱〶攷ㅣ〲㘵㜰戲挰㤶挱ㄹ〲愷㡣㈳㈲换戸㈶㕣挶㜵ㄹ㘵㜰㌲挱㉤㐳㜱ㄶ㠰ㄹ挷㙦〰搲晢攲㤹攰㈰㜴戰㔷㔸挰㔵㌷㌱攷散慥攲〴〲ぢ昲づ挵㌹〲㜱搵㌲〴㍣㔷㈹㍥㜰㑢昱户㈰㤰扤戵㑣㡤慣挲㜲愴改愰ち㝣㕥て㔴愱〸〶愹挲敤〸㜸㔵㐸昰㜹搶戲捣㠷㔸㠷攵㠹㕥愹㠱搶㜲ㄷ㐰ㄹ慤攵ㅥ㥡搶晡慤㠵捦扢㉥换㜹㝣㘲挹ㅣㄸ戳㍥㑡戱愳晦摣㙦㠱㐰㌹㡡捦㐲捣㐳摦㙦〳㌲㜲昰攱㐴ㅥ㥣晥㠲㐰ㄱ㥦ㅡ㘸捥攷㌳㠶晡㡤ㄷ昷〰捤扢摢㌸晤愰つ㐸㝡摥挶㑢晡㠷㘸攵ㅤ扣㤴昱戰㡢攱㙤戸㘰㔶搰捡㍢㜰挱慣㜴㌱扣㡤ㄶ捣㈳戴㡥昴㌰慢㕣っ㙦㠳〵戳㥡㔶摥〱㑢㍥㙢㕣っ㙦㘳〵戳㤶搶㐹ㅥ收㔱ㄷ挳摢㔰挱㍣㐶㉢敦㐰㈵㥦挷㕤っ㙦㈳〵昳〴慤扣㠳ㄴ捣㤳㉥㠶户㠱㠲㔹㐷㉢敦〰〵昳㤴㡢愹昱㌰㑦搳㥡昲㌰捦戸ㄸ摥㠶㐹㍥捦搲㍡挷挳晣搵挵㌴㝢㤸扦㈱㔰挴摢㈱㤶㘵晣挴晢ㅢ㐹晦ㅣ捤扣戵㤱㝡㍣㙦〳㔴㡡㜸ㅢ攳愷攰㝤㠹愴昸㍢捤扣㈵㤱ㄴ㉦搸〰ㄵ挵摢〹挱扣㠸㐰搱愹㌶捡㤴㜸㤶ㄷ昷ㄲ捤攷搸㌸晤戲つ㐸㝡づ摡㤲晥ㄵ〴㡡㌸ㄲ晢攵㕦散挵扤㑡昳愵㌶㑥扦㘶〳㤲㥥㐳愳愴㝦㥤㔶㡥㡡㌴敢㌷㕣捣㌵ㅥ收㑤㕡慦昳㌰㙦戹ㄸ㡥㐸㤲捦摢〸ㄴ㜱㤸昱敢戱摣㡢㝢㠷㜱散晦㝥ㅣ㍢戴愴晢〷捤昷搸㌸晤慥つ㐸ㅤ敦昳慣敦㈱㈰捦攵愸㘲㠲ㅤ㡣㐳㠷㝥ㅦ〱捣㝥戱㙢㐹摤㍦㐰挰㍢㤴㜴㉡愲晥改㔸ㄳ散㕣㤲昶㐳〴㤰㔶扡ㄵ㔱ㅦ戹愸㠷㍤搴挷〶㈵ㅤ㡢愸㑦㕣搴㑡て昵愹㐱㐹搷㈲敡㌳ㄷ挵㉥㈶㈵晥换愰愴㜳ㄱ昵戹㡢㕡攳愱晥㙤㔰搲扤㠸晡挲㐵戱㥢㐹㕥㕦ㅡ㤴㜴㌰愲扥㜲㔱散㘸㠲晡摡愰愴㡢ㄱ昵㡤㡢㘲㔷ㄳ搴户〶㈵㥤㡣愸敦㕣ㄴ㍢㥢愰晥㘳㔰搲捤㠸晡摥㐵戱扢〹敡〷㠳㤲㡥㐶搴㡦㉥㡡ㅤ㑥㔰晦㌵㈸㜶㌵昱摢晦ㅣ㤴㤲㑥挶戴敢ㅤ㙢㠲㥤㑤搲挶昲挵㙦搲戱㠸㔲搰扤㈳挱づ㈶愸ㅣ㠳㘲搷㤲ㄲ扡㌸㈸㈵㥤㡡㘹㜳ㅤ㙢㠲㥤㑢搲收㤹戴散㔶㤲㌶敥愰㤴㜴㈸愶敤敡㔸ㄳ散㔸㤲㌶摦愴㤵㉥㐵㤴㜶㔱散㕡㠲㉡㌰㈸改㔴㐴㜵㜳㔱散㕣㠲敡㙥㔰散㔶㔲㡦㐲〷愵搸愱挴摡挳戵㑡㔷㘲㡥㐵㡥㌵挱㉥㈵㌹㈶㈴挷〴㍢㤳攸㥢㐰搷㥢㔲昴㘴㑣愱㘲㠷㤲㈹摥㑦扥㌵㌳昰〲摢ㅣ㤱〹昶㉤㙡㠵㠹〴㍢㤴〹㉡昶㈲㐹昰㤱㥢㘰㑢㈶㘰㠷戲㈸昶㈲㐱晤搳㐵昵㈲㡡ㅤ捡愲搸㡢〴昵扥㡢摡㠶㈸㜶㈸㡢㘲㉦ㄲ搴扢㉥㙡㍢愲搸愱㉣㡡扤㐸㔰敦戸愸ㅤ㠸㘲㠷戲㈸昶㈲㐱扤攵愲㝡ㄳ挵づ㘵㔱散㐵㠲㝡挳㐵昵㈱㡡ㅤ捡愲搸㡢〴昵㥡㡢敡㐷ㄴ㍢㤴㐵戱ㄷ〹敡ㄵㄷ戵㌳㔱散㔰ㄶ挵㕥㈴愸㤷㕣搴慥㐴戱㐳㔹ㄴ㝢㤱愰㕥㜰㔱〳㠸㘲㠷㌲愸〴㝢㤱㑤挰慥㈳〹㥥㜷ㄳ晣㠶〹搸㡢㉣㡡㕤㐷㔰㝦㜳㔱扢ㄳ挰㕥㘴戳㘵搷戱〹搸㕦㈴挱戳㙥㠲㐱〴戰敢搸〴散㉦㌶〱㍢㠹㈴㜸摡㑤㔰㐶〰晢㡢㐵戱㤳〸㙡㥤㡢ㅡ㑣〰晢㡢㐵戱㤳〸敡〹ㄷ㔵㐱〰晢㡢㉤㥣㥤挴〶搹㌳㙣㕡㜶〷㐹晢㤸㥢戶ㄲ搶㍣昶㡣づ㝥㉢摣㥦㠴〷づ慢戵昰㝢攰㙤㥣㡥㉦挰ㄳ㜴扢㜹戸㡥㌷昲搷扢㥢㌶戱摦㌵㌶㈰㡤搹㌴㙤㐹㘳㝢愴㑤㤲愶㤷昹ㅤ摥㘴㜵㐳㡡㤰〱㝥愶㥢㘷挶〸㍥ㄷ㕦戵㠵㙡挴㜶捣㜸㌲㜷㙥㜵扤ち㜲㜱㜱扥摡㘰㘰扥㘲〲扤〷捦ㄲ㠷昲㐳愲㉡㡥ㅤ㌲㠸散㠹〰㠷㈳愵搳㈱㔱ㄵ〷ㄶ㐱散㠵〰㙦晥㤵㑥㠷㐴㔵ㅣ㕤攴㍥㘰ㄸ昳攰搰㈱摡摥搴㌸㐴㠸㌶㥣ㅡ㠷〲搱㐶㔰㘳㤷ㄷ㙤㈴㌵㜶㙤搱㐶㔱㘳ㄷㄶ慤㡡ㅡ扢慡㘸愳愹戱㑢㡡㌶㠶ㅡ扢㥥㘸㘳愹戱㡢㠹㌶㡥ㅡ扢㤲㘸攳愹戱㥦㠸㌶㠱ㅡ晢㠳㘸晢㔰㘳㘳ㄷ㙤㕦㙡㙣挹愲㑤愴挶ㄶ㉢摡㈴㙡㙣㤹愲㑤愶挶戶㈶摡ㄴ〴昲㐸昳〶戸㠶挴晥捣〷㤵晤㔸㈸㍤挴愲昴晥搴攸つ搱愶㔲ㄳㅦ㈰㝦㍤つㅡて㌶㉣㈵扥㐰㐰㑦㈷㠶ㄶ㝥挴㈷戴ㅥ攰㕡挵㌷戴ㅥ攸㕡挵㐷戴ㅥ攴㕡挵㔷戴ㅥ散㕡挵㘷戴ㅥ攲㕡挵㜷戴ㅥ敡㕡挵㠷戴ㅥ收㕡挵㤷戴ㅥ敥㕡挵愷戴捥㜰慤攲㕢㕡㡦㜰慤攲㘳㕡㘷扡㔶昱㌵慤㐷扡㔶昱㌹慤㐹搷㉡扥愷戵摡戵㑡ㅢ愰戵挶戵㑡㕢愰戵搶戵戲㑤㤰㘸㥤㜲慤攲㐲㕡敢㘰昵づ㈵慥愴㜵㤶㙢ㄵ㤷搲㍡摢戱㈶攸㕡㍢ㄸ搲㥦っ敡㝡〴戰㠱㠴㥥ㄴ晤㈸愳搳㠷愲捦㌱㍡扤㈷㝡㠳搱改㌷搱ㅢ㡤㑥㡦㠹摥㘴㜴晡㑡昴㘶愳搳㑢愲捦㌵㍡晤㈳晡搱㐶愷㘷㐴㙦㌱㍡㝤㈲㝡慢搱改つ搱摢㡣㑥㍦㠸摥㙥㜴㝡㐰昴㜹㐶㈷昷愲捦㌷㍡㔹ㄷ㝤㠱搱挹户攸ぢ㡤㑥愶㐵㕦㘴㜴㜲㑣ㅤ㌷㍤㈴搶〶挹愶〹㉡昲戶〹㍥晡户ㄴ㐰㉡㈷㐴㔵㤱㐹㐱ㅣ㤳㐶昸㈱㐱㤰㕢㐱ㅣ㥢㐶昸㈱㐱㤰㙤㐱ㅣ㤷㐶昸㈱㐱㤰㝦㐱ㅣ㥦㐶昸㈱㐱搰㈳㠲㌸㈱㡤昰㐳㠲愰㡦〴㜱㘲ㅡ攱㠷〴㐱慦〹攲愴㌴挲て〹攲㘸て㜱㜲ㅡ攱㠷〴㐱捦㑡ㅥ愷愴ㄱ㝥㐸㄰昴戵㈰㑥㑤㈳晣㤰㈰攸㝤㐱㥣㤶㐶昸㈱㐱戰㍤〸攲昴㌴挲て〹㠲㉤㐴㄰㘷愴ㄱ㝥㐸㄰㙣㌳㠲㌸㌳㡤昰㐳㠲㘰㉢ㄲ挴攲㌴挲て〹㠲敤㑡㄰㘷愵ㄱ㝥㐸㄰㙣㘹㠲㌸㍢㡤昰㐳㠲㘰搳摡㠳㤱攷㐰㈸㌶ㅥ搱㝥㐷㡤つ㐵戴㜳愹戱㔱㠸㜶ㅥ㌵㌶〰搱捥愷㐶㘷㡢㜶〱㌵㍡㔶戴摦㔳愳ㄳ㐵扢㤰ㅡㅤ㈶摡ㅦ愸搱㌹愲㕤㐴㡤㡥㄰敤㘲㙡㈴㕤戴㑢愸㤱㘰搱㉥愵㐶㌲㐵扢㡣ㅡ㠹ㄳ敤㡦搴㐸㤲㘸㤷㔳㈳㈱愲㉤愱挶㤳ㄷ敤ち㙡㜲捡㘰㐱㕦〹㡤ㄳ〰㌲㜱㈶愷㑥敢㔵慥㔵㈸愰昵㑦慥㔵愸愰昵㙡搷㉡㤴搰㝡㡤㙢ㄵ㙡㘸扤搶戵ち㐵戴㕥攷㕡㠵㉡㕡慦㜷慤㐲ㄹ慤㌷戸㔶愱㡥搶ㅢ㕤慢㔰㐸敢㑤慥㔵愸愴㜵愹㙢ㄵ㑡㘹扤搹戵㕥〶㐵慥㄰换㕣慢㔰㑣散㉤慥㔵愸愶昵㔶搷㉡㤴搳扡摣戵ち昵戴摥收㔸ㄳ㜴㠱っ㡥㝦㐶㐰摦㑥㜱〷㐴㘱㘱㠲㙥㤰㤸㍢㘹扣㡢攲㙥ㄳ㐳㔷㐸捣㍤㌴摥㑢㜱㥦㠹愱㍢㈴收㝥ㅡ晦㐲昱㠰㠹愱㑢㈴收㐱ㅡㅦ愲㜸搸挴搰㉤ㄲ戳㠲挶㤵ㄴ㡦㤸ㄸ扡㐶㘲㔶搱戸㥡㘲㡤㠹愱㝢㈴㘶㉤㡤㡦㔲㍣㘶㘲攸㈲㠹㜹㥣挶㈷㈸㥥㌴㌱㜴㤳挴慣愳昱㈹㡡愷㑤っ㕤㈵㌱捦搰昸㉣挵㕦㑤っ摤㈵㌱㝦愳昱㌹㡡攷㑤っ㕤㈶㌱㝦愷昱〵㡡ㄷ㑤っ摤㈶㌱㉦搱昸㌲挵㉢㈶㠶慥㤳㤸㔷㘹㝣㡤攲㜵ㄳ㐳昷㐹捣ㅢ㌴扥㐹昱㤶㠹愱ぢ㈵收㙤ㅡ摦愱昸㠷㠹愱ㅢ㈵收㕤ㅡ摦愳㜸㕦㘲昲攸捡㍥搹ㅦㅢ攴㌵㈱㥦ㅤ扡愱㌵挴ㅢ㈷㈶慢㔳つ㠵昶戵愰挴戵昲㔵㘱㌲攲戹㘷㔳㥡〷〴愰〵挶㐴㔹㘴㠲改〷愰㙥㌶㡡㑦㑣㍦昵改㐷㜵挵㍤㉡㍦愸攱昶搹㑦㠵㈵㤸愷㥦つ㐳㤹㐷㥦昸〷㈰愸换挴㘹ㄳ昵㍦ㄱ㈸㘰㈱捡〹㡡慥搸ㄵ㐸㘴晣㐳㠲て〰昸㈳ㅦ散〷つ㤸㕤㐶挰ㅦ㌳挵昴㤱㔳挷㡤㤹慥㍦昱昱㝥搰攰搹愵㠸搷慣㠹晥捣〷晡㐱〳㘴户ㄳ㈰㙢愱㍦昷㠱㝥搰〰搹㌵〵挸ㅡ攸㉦㝣愰ㅦ㌴㐰昶㔹扦攸慦㝣愰ㅦ㌴㐰昶㙢扦攸㙦㝣愰ㅦ㌴㐰昶㝤扦攸敦㝣愰ㅦ㌴㐰づち㝥搱摦晢㐰㍦㘸㠰ㅣ㌸晣愲㝦昴㠱㝥搰〰㌹戸昸㐵晦捦〷晡㐱〳攴愸攳ㄷ捤㥢㍡敢㜶㍦㘸㠰ㅣ㤹晣愲㜳㝣愰ㅦ㌴㐰㡥㕥㝥搱戹㍥搰てㅡ㈰㠷㌵扦攸戸て昴㠳〶挸愱捦㉦㍡摦〷晡㐱〳攴昰攸ㄷ㕤攰〳晤愰〱㜲摣昴㡢敥敥〳晤愰〱㜲㙣昵㡢敥攱〳晤愰〱㜲晣昵㡢㑥昸㐰㍦㘸㠰ㅣ㤸〹㡣㙦〲㡣昴戵㑤㝤戰ㅦ㌴㘰づ攰〲敥㐹㌰晢摡㘶㍥搸てㅡ㌰〷㝡〱㙦づ㡣搷搷戶昰昱㝥搰攰㜹㈱㤰㉡戳㈶㝡㉢ㅦ攸〷つ㤰ㄷぢ〱戲ㄶ㝡㙢ㅦ攸〷つ㤰ㄷㄴ〱戲〶㝡㕢ㅦ攸〷つ㤰㔷ㅡ〱㑡㌷摦摥〷晡㐱〳攴搵㐸㠰搲捤㡢㝤愰ㅦ㌴㐰㕥戱〴㈸摤㝣㐷ㅦ攸〷つ㤰㤷㌲扦攸扥㍥搰てㅡ㈰㉦㜷㝥搱㍢昹㐰㍦㘸㠰㝦昵㠰㔲昴㉥㍥搰てㅡ㈰慦㤵㝥搱晤㝤愰ㅦ㌴㐰㕥㑦晤愲㜷昳㠱㝥搰〰㜹捤ㄵ愰ㄴ㍤搰〷晡㐱〳攴挵搸㉦扡挴〷晡㐱〳攴〵摢㉦扡搴〷晡㐱〳攴㐵摤㉦扡摣〷晡㐱〳攴搵摥㉦㝡㠸て昴㠳〶挸㍢〲扦攸愱㍥搰てㅡ㈰敦ㅡ晣愲昷昰㠱㝥搰〰㜹㍢攱ㄷ扤㤷て昴㠳〶挸㕢づ扦攸扤㝤愰ㅦ㌴㐰摥㤶昸㐵㡦昰㠱㝥搰〰㜹扦攲ㄷ㍤捡〷晡㐱〳攴㍤㡤㕦昴㘸ㅦ攸〷つ㤰昷㍤㝥搱㘳㝤愰ㅦ㌴㐰摥㄰昹㐵㡦昷㠱㝥搰〰㜹搳攴ㄷ扤㡦て昴㠳〶挸ㅢ㉢扦攸㠹㍥搰てㅡ㈰敦戸晣愲㈷晢㐰㍦㘸㠰扣㉢昳㡢摥捦〷晡㐱〳攴㥤㥢㕦昴㔴ㅦ攸〷〵㔸挴㍢ㄶ㍥ㅤ愴㤷㠳ㄴ昱㕥㈴㘸攱摤㐶搰挲摢㡡愰㠵昷て㐱ぢ㙦ㄴ㠲ㄶ摥ㄱ〴㉤扣昴〷㉤扣挶〷㉤扣㤸〷㉤扣㙡〷㉤扣㍣〷㉤㌱㥣㜲搰㤲ㄳ戲攴㠶㉣昱㤰㈵㍦㘴㈹〸㔹扡㠷㉣㍤㐲㤶㐴挸戲㘹挸挲㉢㔳戰捥扣昶〴㉤扣挸〴㉤扣㥡〴㉤扣㙣〴㉤扣㍥〴㉤扣㄰〴㉤ㅣ昱㠳ㄶづ敤㐱ぢ挷昰愰㠵㠳㜵搰挲㔱㌹㘸攱昰ㅢ戴㜰㥣つ㕡㌸愰〶㉤ㅣ㌹㠳ㄶづ㤱㐱ぢ挷挲愰㠵㠳㕥搰挲搱㉤㘸攱㌰ㄶ戴㜰扣ち㕡㌸㌰〵㉤ㅣ㠱㠲ㄶづ㌵㐱ぢ挷㤴愰㠵㠳㐷搰挲㔱㈲㘸攱㜰㄰戴戰摦〷㉤散攰㐱ぢ㝢㜲挰搲敤晦〰愹敦慡㘰</t>
  </si>
  <si>
    <t>Cash flows (M$)</t>
  </si>
  <si>
    <t>Parameters</t>
  </si>
  <si>
    <t>Permit (M$)</t>
  </si>
  <si>
    <t>Perform feasibility</t>
  </si>
  <si>
    <t>Apply for permit</t>
  </si>
  <si>
    <t>Start construction</t>
  </si>
  <si>
    <t>Start producing</t>
  </si>
  <si>
    <t>Abandon project</t>
  </si>
  <si>
    <t>Project phase (1=initial, 2=eval, 3=license, 4=construct, 5=run, 6=abandonned)</t>
  </si>
  <si>
    <t>Project investments (M$)</t>
  </si>
  <si>
    <t>Operation cash flows (M$)</t>
  </si>
  <si>
    <t>Operation expenses (M$)</t>
  </si>
  <si>
    <t>Revenue (M$)</t>
  </si>
  <si>
    <t>Margin ($/MWhr)</t>
  </si>
  <si>
    <t>Net present value (M$)</t>
  </si>
  <si>
    <t>Construction cost (M$)</t>
  </si>
  <si>
    <t>$/W</t>
  </si>
  <si>
    <t>Abandonment cost (M$)</t>
  </si>
  <si>
    <t>Feasibility study (M$)</t>
  </si>
  <si>
    <t>Production (TWhr)</t>
  </si>
  <si>
    <t>UNUSED</t>
  </si>
  <si>
    <t>Method + #Operators</t>
  </si>
  <si>
    <t>Mutation Rate</t>
  </si>
  <si>
    <t>Crossover Rate</t>
  </si>
  <si>
    <t>Description</t>
  </si>
  <si>
    <t># Time Blocks/All Groups Must Be Present</t>
  </si>
  <si>
    <t>Constraint Range</t>
  </si>
  <si>
    <t>#Ranges</t>
  </si>
  <si>
    <t>Adj. Range</t>
  </si>
  <si>
    <t>Min Val or Range</t>
  </si>
  <si>
    <t>Max Val Or Range</t>
  </si>
  <si>
    <t>Flags</t>
  </si>
  <si>
    <t>HARD CONSTRAINT DEV</t>
  </si>
  <si>
    <t>Type (Hard/Soft)</t>
  </si>
  <si>
    <t>Entry Mode</t>
  </si>
  <si>
    <t>Formula</t>
  </si>
  <si>
    <t>Left Val Or Range</t>
  </si>
  <si>
    <t>Left Operator</t>
  </si>
  <si>
    <t>Constrained Cells</t>
  </si>
  <si>
    <t>Right Operator</t>
  </si>
  <si>
    <t>Right Val Or Range</t>
  </si>
  <si>
    <t>Penalty Function</t>
  </si>
  <si>
    <t>RO Eval Time (Iter/Sim)</t>
  </si>
  <si>
    <t>RO Statistic to Constrain</t>
  </si>
  <si>
    <t>RO Statistic Parameter</t>
  </si>
  <si>
    <t>Formula Conversion Cell (not used in v5)</t>
  </si>
  <si>
    <t>Number Formatting Cell (introduced in v5)</t>
  </si>
  <si>
    <t>Out. Stats</t>
  </si>
  <si>
    <t>Min</t>
  </si>
  <si>
    <t>Max</t>
  </si>
  <si>
    <t>RISKOpt Tag</t>
  </si>
  <si>
    <t># Chromosomes</t>
  </si>
  <si>
    <t># Constraints</t>
  </si>
  <si>
    <t>Compatibility with Old Versions (4 trips pre-v5 versions)</t>
  </si>
  <si>
    <t>Creation Version</t>
  </si>
  <si>
    <t>Required Version</t>
  </si>
  <si>
    <t>Recommended Version</t>
  </si>
  <si>
    <t>Last Modified by Version</t>
  </si>
  <si>
    <t>Constraint Solver, number of Latin Hypercube stratifications, for reproducing results with Actual Convergence</t>
  </si>
  <si>
    <t>Constraint Solver, total of adjustable cell values, to only pass number of stratifications if model hasn't changed</t>
  </si>
  <si>
    <t>Goal (Cell, Statistic, Parameter), E1: RO Formula to Optimize</t>
  </si>
  <si>
    <t>Goal (Type, Target Value)</t>
  </si>
  <si>
    <t>Population Size</t>
  </si>
  <si>
    <t>Seed (Is Auto, Value)</t>
  </si>
  <si>
    <t>Same Seed Each Simulation</t>
  </si>
  <si>
    <t>Sampling Type</t>
  </si>
  <si>
    <t>Stop on Errors (before v5: Pause on Errors)</t>
  </si>
  <si>
    <t>Trial Count Stopping (enabled, trial count)</t>
  </si>
  <si>
    <t>Formula Stopping (enabled, formula)</t>
  </si>
  <si>
    <t>Timespan Stopping (enabled, trial count)</t>
  </si>
  <si>
    <t>Progress Stopping (enabled, trial count, max % change, change is percent)</t>
  </si>
  <si>
    <t>Sim. Stopping Mode, Tolerance</t>
  </si>
  <si>
    <t>#Iterations (Sim Stopping)</t>
  </si>
  <si>
    <t>Keep Trial-by-Trial Log (if cell has anything other than False consider True, since Evolver 4 didn't have this setting)</t>
  </si>
  <si>
    <t>Minimize Excel on Startup</t>
  </si>
  <si>
    <t>Show Excel Recalcs (replaces "Update Display" used before v5)</t>
  </si>
  <si>
    <t>Ev4/RO1: Graph Progress</t>
  </si>
  <si>
    <t>Ev4/RO1: Update Display (replaced by Show Excel Recalcs in v5)</t>
  </si>
  <si>
    <t>MACROS</t>
  </si>
  <si>
    <t>Start (enabled, macro)</t>
  </si>
  <si>
    <t>Before Recalc (enabled, macro)</t>
  </si>
  <si>
    <t>After Recalc (enabled, macro)</t>
  </si>
  <si>
    <t>After Storage (enabled, macro)</t>
  </si>
  <si>
    <t>Finish (enabled, macro)</t>
  </si>
  <si>
    <t>Macro Before Simulation (enabled, macro)</t>
  </si>
  <si>
    <t>Macro After Simulation (enabled, macro)</t>
  </si>
  <si>
    <t>5.7.1</t>
  </si>
  <si>
    <t>1.0.0</t>
  </si>
  <si>
    <t>DEFAULT PARENT SELECTION</t>
  </si>
  <si>
    <t>DEFAULT MUTATION</t>
  </si>
  <si>
    <t>DEFAULT CROSSOVER</t>
  </si>
  <si>
    <t>DEFAULT BACKTRACK</t>
  </si>
  <si>
    <t/>
  </si>
  <si>
    <t>ARITHMETIC CROSSOVER</t>
  </si>
  <si>
    <t>HEURISTIC CROSSOVER</t>
  </si>
  <si>
    <t>CAUCHY MUTATION</t>
  </si>
  <si>
    <t>BOUNDARY MUTATION</t>
  </si>
  <si>
    <t>NON-UNIFORM MUTATION</t>
  </si>
  <si>
    <t>LINEAR</t>
  </si>
  <si>
    <t>LOCAL SEARCH</t>
  </si>
  <si>
    <t>RECIPE_x0001_11</t>
  </si>
  <si>
    <t>False,False,False</t>
  </si>
  <si>
    <t>Cumulative (real) cash flows (M$)</t>
  </si>
  <si>
    <t>Maximum exposure (M$)</t>
  </si>
  <si>
    <t>Payback time</t>
  </si>
  <si>
    <t>Internal rate of return</t>
  </si>
  <si>
    <t>Decisions</t>
  </si>
  <si>
    <t>Perform feasibility study</t>
  </si>
  <si>
    <t>Environmental legislation</t>
  </si>
  <si>
    <t>Variable cost increase</t>
  </si>
  <si>
    <t>Probabilities</t>
  </si>
  <si>
    <t>high</t>
  </si>
  <si>
    <t>low</t>
  </si>
  <si>
    <t>medium</t>
  </si>
  <si>
    <t>passes</t>
  </si>
  <si>
    <t>fails</t>
  </si>
  <si>
    <t>Demand</t>
  </si>
  <si>
    <t>without law</t>
  </si>
  <si>
    <t>with law</t>
  </si>
  <si>
    <t>Construction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</si>
</sst>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6" formatCode="0.0%"/>
    <numFmt numFmtId="167" formatCode="0.00_ ;[Red]\-0.00\ "/>
  </numFmts>
  <fonts count="10" x14ac:knownFonts="1">
    <font>
      <sz val="10"/>
      <name val="Arial"/>
    </font>
    <font>
      <sz val="11"/>
      <color theme="1"/>
      <name val="Calibri"/>
      <family val="2"/>
      <scheme val="minor"/>
    </font>
    <font>
      <sz val="11"/>
      <color theme="1"/>
      <name val="Calibri"/>
      <family val="2"/>
      <scheme val="minor"/>
    </font>
    <font>
      <sz val="8"/>
      <name val="Arial"/>
      <family val="2"/>
    </font>
    <font>
      <sz val="10"/>
      <name val="MS Sans Serif"/>
      <family val="2"/>
    </font>
    <font>
      <b/>
      <sz val="10"/>
      <name val="Arial"/>
      <family val="2"/>
    </font>
    <font>
      <sz val="10"/>
      <name val="Arial"/>
      <family val="2"/>
    </font>
    <font>
      <u/>
      <sz val="10"/>
      <name val="Arial"/>
      <family val="2"/>
    </font>
    <font>
      <b/>
      <sz val="8"/>
      <color indexed="81"/>
      <name val="Tahoma"/>
      <family val="2"/>
    </font>
    <font>
      <sz val="10"/>
      <color rgb="FFFF0000"/>
      <name val="Arial"/>
      <family val="2"/>
    </font>
  </fonts>
  <fills count="7">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FF"/>
        <bgColor indexed="64"/>
      </patternFill>
    </fill>
    <fill>
      <patternFill patternType="solid">
        <fgColor theme="3" tint="0.39997558519241921"/>
        <bgColor indexed="64"/>
      </patternFill>
    </fill>
  </fills>
  <borders count="2">
    <border>
      <left/>
      <right/>
      <top/>
      <bottom/>
      <diagonal/>
    </border>
    <border>
      <left/>
      <right/>
      <top style="thick">
        <color indexed="64"/>
      </top>
      <bottom/>
      <diagonal/>
    </border>
  </borders>
  <cellStyleXfs count="6">
    <xf numFmtId="0" fontId="0" fillId="0" borderId="0"/>
    <xf numFmtId="0" fontId="4" fillId="0" borderId="0"/>
    <xf numFmtId="0" fontId="6" fillId="0" borderId="0"/>
    <xf numFmtId="0" fontId="2" fillId="0" borderId="0"/>
    <xf numFmtId="164" fontId="2" fillId="0" borderId="0" applyFont="0" applyFill="0" applyBorder="0" applyAlignment="0" applyProtection="0"/>
    <xf numFmtId="0" fontId="1" fillId="0" borderId="0"/>
  </cellStyleXfs>
  <cellXfs count="28">
    <xf numFmtId="0" fontId="0" fillId="0" borderId="0" xfId="0"/>
    <xf numFmtId="0" fontId="0" fillId="0" borderId="0" xfId="0" applyAlignment="1">
      <alignment horizontal="left"/>
    </xf>
    <xf numFmtId="0" fontId="5" fillId="0" borderId="0" xfId="0" applyFont="1"/>
    <xf numFmtId="0" fontId="0" fillId="0" borderId="0" xfId="0" quotePrefix="1"/>
    <xf numFmtId="0" fontId="6" fillId="0" borderId="0" xfId="2"/>
    <xf numFmtId="166" fontId="6" fillId="0" borderId="0" xfId="2" applyNumberFormat="1"/>
    <xf numFmtId="9" fontId="6" fillId="0" borderId="0" xfId="2" applyNumberFormat="1"/>
    <xf numFmtId="0" fontId="6" fillId="0" borderId="0" xfId="2" applyNumberFormat="1"/>
    <xf numFmtId="2" fontId="6" fillId="0" borderId="0" xfId="2" applyNumberFormat="1"/>
    <xf numFmtId="167" fontId="6" fillId="0" borderId="0" xfId="2" applyNumberFormat="1"/>
    <xf numFmtId="0" fontId="6" fillId="0" borderId="0" xfId="0" applyFont="1"/>
    <xf numFmtId="0" fontId="6" fillId="0" borderId="0" xfId="2" applyFont="1"/>
    <xf numFmtId="0" fontId="6" fillId="4" borderId="0" xfId="2" applyFill="1"/>
    <xf numFmtId="9" fontId="6" fillId="4" borderId="0" xfId="2" applyNumberFormat="1" applyFill="1"/>
    <xf numFmtId="167" fontId="6" fillId="3" borderId="0" xfId="2" applyNumberFormat="1" applyFill="1"/>
    <xf numFmtId="0" fontId="6" fillId="4" borderId="0" xfId="2" applyNumberFormat="1" applyFill="1"/>
    <xf numFmtId="0" fontId="0" fillId="0" borderId="1" xfId="0" applyBorder="1" applyAlignment="1">
      <alignment horizontal="left"/>
    </xf>
    <xf numFmtId="0" fontId="0" fillId="5" borderId="0" xfId="0" applyFill="1" applyAlignment="1">
      <alignment horizontal="left"/>
    </xf>
    <xf numFmtId="0" fontId="0" fillId="2" borderId="0" xfId="0" applyFill="1" applyAlignment="1">
      <alignment horizontal="left"/>
    </xf>
    <xf numFmtId="0" fontId="0" fillId="3" borderId="0" xfId="0" applyFill="1" applyAlignment="1">
      <alignment horizontal="left"/>
    </xf>
    <xf numFmtId="0" fontId="0" fillId="5" borderId="0" xfId="0" quotePrefix="1" applyFill="1" applyAlignment="1">
      <alignment horizontal="left"/>
    </xf>
    <xf numFmtId="0" fontId="0" fillId="0" borderId="0" xfId="0" quotePrefix="1" applyAlignment="1">
      <alignment horizontal="left"/>
    </xf>
    <xf numFmtId="0" fontId="0" fillId="5" borderId="0" xfId="0" applyNumberFormat="1" applyFill="1" applyAlignment="1">
      <alignment horizontal="left"/>
    </xf>
    <xf numFmtId="10" fontId="6" fillId="0" borderId="0" xfId="2" applyNumberFormat="1"/>
    <xf numFmtId="0" fontId="6" fillId="6" borderId="0" xfId="2" applyFill="1"/>
    <xf numFmtId="0" fontId="7" fillId="0" borderId="0" xfId="0" applyFont="1"/>
    <xf numFmtId="0" fontId="9" fillId="0" borderId="0" xfId="2" applyFont="1"/>
    <xf numFmtId="0" fontId="6" fillId="0" borderId="0" xfId="2" applyFill="1"/>
  </cellXfs>
  <cellStyles count="6">
    <cellStyle name="Comma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Normal 5"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03054989816736E-2"/>
          <c:y val="9.9617230967249532E-2"/>
          <c:w val="0.88798370672097759"/>
          <c:h val="0.58620908992265996"/>
        </c:manualLayout>
      </c:layout>
      <c:lineChart>
        <c:grouping val="standard"/>
        <c:varyColors val="0"/>
        <c:ser>
          <c:idx val="2"/>
          <c:order val="0"/>
          <c:tx>
            <c:v>low</c:v>
          </c:tx>
          <c:spPr>
            <a:ln w="12700">
              <a:solidFill>
                <a:srgbClr val="FF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flows'!$H$3:$BL$3</c:f>
              <c:numCache>
                <c:formatCode>General</c:formatCode>
                <c:ptCount val="57"/>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34</c:v>
                </c:pt>
                <c:pt idx="24">
                  <c:v>34</c:v>
                </c:pt>
                <c:pt idx="25">
                  <c:v>34</c:v>
                </c:pt>
                <c:pt idx="26">
                  <c:v>34</c:v>
                </c:pt>
                <c:pt idx="27">
                  <c:v>34</c:v>
                </c:pt>
                <c:pt idx="28">
                  <c:v>34</c:v>
                </c:pt>
                <c:pt idx="29">
                  <c:v>34</c:v>
                </c:pt>
                <c:pt idx="30">
                  <c:v>34</c:v>
                </c:pt>
                <c:pt idx="31">
                  <c:v>34</c:v>
                </c:pt>
                <c:pt idx="32">
                  <c:v>34</c:v>
                </c:pt>
                <c:pt idx="33">
                  <c:v>34</c:v>
                </c:pt>
                <c:pt idx="34">
                  <c:v>34</c:v>
                </c:pt>
                <c:pt idx="35">
                  <c:v>34</c:v>
                </c:pt>
                <c:pt idx="36">
                  <c:v>34</c:v>
                </c:pt>
                <c:pt idx="37">
                  <c:v>34</c:v>
                </c:pt>
                <c:pt idx="38">
                  <c:v>34</c:v>
                </c:pt>
                <c:pt idx="39">
                  <c:v>34</c:v>
                </c:pt>
                <c:pt idx="40">
                  <c:v>34</c:v>
                </c:pt>
                <c:pt idx="41">
                  <c:v>34</c:v>
                </c:pt>
                <c:pt idx="42">
                  <c:v>34</c:v>
                </c:pt>
                <c:pt idx="43">
                  <c:v>34</c:v>
                </c:pt>
                <c:pt idx="44">
                  <c:v>34</c:v>
                </c:pt>
                <c:pt idx="45">
                  <c:v>34</c:v>
                </c:pt>
                <c:pt idx="46">
                  <c:v>34</c:v>
                </c:pt>
                <c:pt idx="47">
                  <c:v>34</c:v>
                </c:pt>
                <c:pt idx="48">
                  <c:v>34</c:v>
                </c:pt>
                <c:pt idx="49">
                  <c:v>34</c:v>
                </c:pt>
                <c:pt idx="50">
                  <c:v>34</c:v>
                </c:pt>
                <c:pt idx="51">
                  <c:v>34</c:v>
                </c:pt>
                <c:pt idx="52">
                  <c:v>34</c:v>
                </c:pt>
                <c:pt idx="53">
                  <c:v>34</c:v>
                </c:pt>
                <c:pt idx="54">
                  <c:v>34</c:v>
                </c:pt>
                <c:pt idx="55">
                  <c:v>34</c:v>
                </c:pt>
                <c:pt idx="56">
                  <c:v>34</c:v>
                </c:pt>
              </c:numCache>
            </c:numRef>
          </c:val>
          <c:smooth val="0"/>
          <c:extLst>
            <c:ext xmlns:c16="http://schemas.microsoft.com/office/drawing/2014/chart" uri="{C3380CC4-5D6E-409C-BE32-E72D297353CC}">
              <c16:uniqueId val="{00000000-CC97-4596-8AC5-8B957D43AAA5}"/>
            </c:ext>
          </c:extLst>
        </c:ser>
        <c:ser>
          <c:idx val="5"/>
          <c:order val="1"/>
          <c:tx>
            <c:v>probable</c:v>
          </c:tx>
          <c:spPr>
            <a:ln w="12700">
              <a:solidFill>
                <a:srgbClr val="80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flows'!$H$6:$BL$6</c:f>
              <c:numCache>
                <c:formatCode>General</c:formatCode>
                <c:ptCount val="57"/>
                <c:pt idx="0">
                  <c:v>34</c:v>
                </c:pt>
                <c:pt idx="1">
                  <c:v>34.067999999999998</c:v>
                </c:pt>
                <c:pt idx="2">
                  <c:v>34.136136</c:v>
                </c:pt>
                <c:pt idx="3">
                  <c:v>34.204408272000002</c:v>
                </c:pt>
                <c:pt idx="4">
                  <c:v>34.272817088544002</c:v>
                </c:pt>
                <c:pt idx="5">
                  <c:v>34.341362722721094</c:v>
                </c:pt>
                <c:pt idx="6">
                  <c:v>34.410045448166535</c:v>
                </c:pt>
                <c:pt idx="7">
                  <c:v>34.478865539062866</c:v>
                </c:pt>
                <c:pt idx="8">
                  <c:v>34.547823270140995</c:v>
                </c:pt>
                <c:pt idx="9">
                  <c:v>34.616918916681279</c:v>
                </c:pt>
                <c:pt idx="10">
                  <c:v>34.686152754514644</c:v>
                </c:pt>
                <c:pt idx="11">
                  <c:v>34.755525060023672</c:v>
                </c:pt>
                <c:pt idx="12">
                  <c:v>34.825036110143721</c:v>
                </c:pt>
                <c:pt idx="13">
                  <c:v>34.894686182364005</c:v>
                </c:pt>
                <c:pt idx="14">
                  <c:v>34.964475554728736</c:v>
                </c:pt>
                <c:pt idx="15">
                  <c:v>35.034404505838197</c:v>
                </c:pt>
                <c:pt idx="16">
                  <c:v>35.104473314849876</c:v>
                </c:pt>
                <c:pt idx="17">
                  <c:v>35.174682261479575</c:v>
                </c:pt>
                <c:pt idx="18">
                  <c:v>35.245031626002536</c:v>
                </c:pt>
                <c:pt idx="19">
                  <c:v>35.315521689254538</c:v>
                </c:pt>
                <c:pt idx="20">
                  <c:v>35.38615273263305</c:v>
                </c:pt>
                <c:pt idx="21">
                  <c:v>35.456925038098319</c:v>
                </c:pt>
                <c:pt idx="22">
                  <c:v>35.527838888174514</c:v>
                </c:pt>
                <c:pt idx="23">
                  <c:v>35.598894565950864</c:v>
                </c:pt>
                <c:pt idx="24">
                  <c:v>35.670092355082765</c:v>
                </c:pt>
                <c:pt idx="25">
                  <c:v>36.347824109829332</c:v>
                </c:pt>
                <c:pt idx="26">
                  <c:v>37.038432767916085</c:v>
                </c:pt>
                <c:pt idx="27">
                  <c:v>37.742162990506486</c:v>
                </c:pt>
                <c:pt idx="28">
                  <c:v>38.459264087326105</c:v>
                </c:pt>
                <c:pt idx="29">
                  <c:v>39.189990104985299</c:v>
                </c:pt>
                <c:pt idx="30">
                  <c:v>39.934599916980012</c:v>
                </c:pt>
                <c:pt idx="31">
                  <c:v>40.693357315402629</c:v>
                </c:pt>
                <c:pt idx="32">
                  <c:v>41.466531104395273</c:v>
                </c:pt>
                <c:pt idx="33">
                  <c:v>42.254395195378777</c:v>
                </c:pt>
                <c:pt idx="34">
                  <c:v>43.057228704090967</c:v>
                </c:pt>
                <c:pt idx="35">
                  <c:v>43.315572076315512</c:v>
                </c:pt>
                <c:pt idx="36">
                  <c:v>43.575465508773405</c:v>
                </c:pt>
                <c:pt idx="37">
                  <c:v>43.836918301826046</c:v>
                </c:pt>
                <c:pt idx="38">
                  <c:v>44.099939811637</c:v>
                </c:pt>
                <c:pt idx="39">
                  <c:v>44.364539450506825</c:v>
                </c:pt>
                <c:pt idx="40">
                  <c:v>44.630726687209865</c:v>
                </c:pt>
                <c:pt idx="41">
                  <c:v>44.898511047333123</c:v>
                </c:pt>
                <c:pt idx="42">
                  <c:v>45.167902113617124</c:v>
                </c:pt>
                <c:pt idx="43">
                  <c:v>45.438909526298829</c:v>
                </c:pt>
                <c:pt idx="44">
                  <c:v>45.711542983456624</c:v>
                </c:pt>
                <c:pt idx="45">
                  <c:v>45.985812241357365</c:v>
                </c:pt>
                <c:pt idx="46">
                  <c:v>46.26172711480551</c:v>
                </c:pt>
                <c:pt idx="47">
                  <c:v>46.539297477494344</c:v>
                </c:pt>
                <c:pt idx="48">
                  <c:v>46.81853326235931</c:v>
                </c:pt>
                <c:pt idx="49">
                  <c:v>47.099444461933466</c:v>
                </c:pt>
                <c:pt idx="50">
                  <c:v>47.382041128705069</c:v>
                </c:pt>
                <c:pt idx="51">
                  <c:v>47.666333375477301</c:v>
                </c:pt>
                <c:pt idx="52">
                  <c:v>47.952331375730168</c:v>
                </c:pt>
                <c:pt idx="53">
                  <c:v>48.240045363984549</c:v>
                </c:pt>
                <c:pt idx="54">
                  <c:v>48.529485636168459</c:v>
                </c:pt>
                <c:pt idx="55">
                  <c:v>48.820662549985471</c:v>
                </c:pt>
                <c:pt idx="56">
                  <c:v>49.113586525285385</c:v>
                </c:pt>
              </c:numCache>
            </c:numRef>
          </c:val>
          <c:smooth val="0"/>
          <c:extLst>
            <c:ext xmlns:c16="http://schemas.microsoft.com/office/drawing/2014/chart" uri="{C3380CC4-5D6E-409C-BE32-E72D297353CC}">
              <c16:uniqueId val="{00000001-CC97-4596-8AC5-8B957D43AAA5}"/>
            </c:ext>
          </c:extLst>
        </c:ser>
        <c:ser>
          <c:idx val="8"/>
          <c:order val="2"/>
          <c:tx>
            <c:v>high</c:v>
          </c:tx>
          <c:spPr>
            <a:ln w="12700">
              <a:solidFill>
                <a:srgbClr val="00CCFF"/>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flows'!$H$9:$BL$9</c:f>
              <c:numCache>
                <c:formatCode>General</c:formatCode>
                <c:ptCount val="57"/>
                <c:pt idx="0">
                  <c:v>34</c:v>
                </c:pt>
                <c:pt idx="1">
                  <c:v>34</c:v>
                </c:pt>
                <c:pt idx="2">
                  <c:v>34</c:v>
                </c:pt>
                <c:pt idx="3">
                  <c:v>34</c:v>
                </c:pt>
                <c:pt idx="4">
                  <c:v>34</c:v>
                </c:pt>
                <c:pt idx="5">
                  <c:v>34.51</c:v>
                </c:pt>
                <c:pt idx="6">
                  <c:v>35.027649999999994</c:v>
                </c:pt>
                <c:pt idx="7">
                  <c:v>35.55306474999999</c:v>
                </c:pt>
                <c:pt idx="8">
                  <c:v>36.086360721249989</c:v>
                </c:pt>
                <c:pt idx="9">
                  <c:v>36.627656132068736</c:v>
                </c:pt>
                <c:pt idx="10">
                  <c:v>37.177070974049762</c:v>
                </c:pt>
                <c:pt idx="11">
                  <c:v>37.734727038660502</c:v>
                </c:pt>
                <c:pt idx="12">
                  <c:v>38.300747944240406</c:v>
                </c:pt>
                <c:pt idx="13">
                  <c:v>38.87525916340401</c:v>
                </c:pt>
                <c:pt idx="14">
                  <c:v>39.458388050855064</c:v>
                </c:pt>
                <c:pt idx="15">
                  <c:v>40.050263871617886</c:v>
                </c:pt>
                <c:pt idx="16">
                  <c:v>40.651017829692151</c:v>
                </c:pt>
                <c:pt idx="17">
                  <c:v>41.260783097137526</c:v>
                </c:pt>
                <c:pt idx="18">
                  <c:v>41.879694843594585</c:v>
                </c:pt>
                <c:pt idx="19">
                  <c:v>42.507890266248502</c:v>
                </c:pt>
                <c:pt idx="20">
                  <c:v>43.145508620242225</c:v>
                </c:pt>
                <c:pt idx="21">
                  <c:v>43.792691249545854</c:v>
                </c:pt>
                <c:pt idx="22">
                  <c:v>44.449581618289038</c:v>
                </c:pt>
                <c:pt idx="23">
                  <c:v>45.116325342563371</c:v>
                </c:pt>
                <c:pt idx="24">
                  <c:v>45.793070222701814</c:v>
                </c:pt>
                <c:pt idx="25">
                  <c:v>46.47996627604234</c:v>
                </c:pt>
                <c:pt idx="26">
                  <c:v>47.177165770182974</c:v>
                </c:pt>
                <c:pt idx="27">
                  <c:v>47.884823256735714</c:v>
                </c:pt>
                <c:pt idx="28">
                  <c:v>48.603095605586745</c:v>
                </c:pt>
                <c:pt idx="29">
                  <c:v>49.332142039670543</c:v>
                </c:pt>
                <c:pt idx="30">
                  <c:v>50.072124170265596</c:v>
                </c:pt>
                <c:pt idx="31">
                  <c:v>50.823206032819577</c:v>
                </c:pt>
                <c:pt idx="32">
                  <c:v>51.585554123311866</c:v>
                </c:pt>
                <c:pt idx="33">
                  <c:v>52.359337435161535</c:v>
                </c:pt>
                <c:pt idx="34">
                  <c:v>53.144727496688951</c:v>
                </c:pt>
                <c:pt idx="35">
                  <c:v>53.941898409139277</c:v>
                </c:pt>
                <c:pt idx="36">
                  <c:v>54.75102688527636</c:v>
                </c:pt>
                <c:pt idx="37">
                  <c:v>55.572292288555502</c:v>
                </c:pt>
                <c:pt idx="38">
                  <c:v>56.405876672883828</c:v>
                </c:pt>
                <c:pt idx="39">
                  <c:v>57.251964822977079</c:v>
                </c:pt>
                <c:pt idx="40">
                  <c:v>58.11074429532173</c:v>
                </c:pt>
                <c:pt idx="41">
                  <c:v>58.982405459751547</c:v>
                </c:pt>
                <c:pt idx="42">
                  <c:v>59.867141541647811</c:v>
                </c:pt>
                <c:pt idx="43">
                  <c:v>60.765148664772525</c:v>
                </c:pt>
                <c:pt idx="44">
                  <c:v>61.676625894744106</c:v>
                </c:pt>
                <c:pt idx="45">
                  <c:v>62.60177528316526</c:v>
                </c:pt>
                <c:pt idx="46">
                  <c:v>63.540801912412732</c:v>
                </c:pt>
                <c:pt idx="47">
                  <c:v>64.49391394109891</c:v>
                </c:pt>
                <c:pt idx="48">
                  <c:v>65.461322650215394</c:v>
                </c:pt>
                <c:pt idx="49">
                  <c:v>66.443242489968611</c:v>
                </c:pt>
                <c:pt idx="50">
                  <c:v>67.439891127318134</c:v>
                </c:pt>
                <c:pt idx="51">
                  <c:v>68.4514894942279</c:v>
                </c:pt>
                <c:pt idx="52">
                  <c:v>69.478261836641309</c:v>
                </c:pt>
                <c:pt idx="53">
                  <c:v>70.520435764190921</c:v>
                </c:pt>
                <c:pt idx="54">
                  <c:v>71.578242300653784</c:v>
                </c:pt>
                <c:pt idx="55">
                  <c:v>72.651915935163586</c:v>
                </c:pt>
                <c:pt idx="56">
                  <c:v>73.741694674191038</c:v>
                </c:pt>
              </c:numCache>
            </c:numRef>
          </c:val>
          <c:smooth val="0"/>
          <c:extLst>
            <c:ext xmlns:c16="http://schemas.microsoft.com/office/drawing/2014/chart" uri="{C3380CC4-5D6E-409C-BE32-E72D297353CC}">
              <c16:uniqueId val="{00000002-CC97-4596-8AC5-8B957D43AAA5}"/>
            </c:ext>
          </c:extLst>
        </c:ser>
        <c:dLbls>
          <c:showLegendKey val="0"/>
          <c:showVal val="0"/>
          <c:showCatName val="0"/>
          <c:showSerName val="0"/>
          <c:showPercent val="0"/>
          <c:showBubbleSize val="0"/>
        </c:dLbls>
        <c:smooth val="0"/>
        <c:axId val="245027968"/>
        <c:axId val="245029504"/>
      </c:lineChart>
      <c:catAx>
        <c:axId val="245027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fr-FR"/>
          </a:p>
        </c:txPr>
        <c:crossAx val="245029504"/>
        <c:crosses val="autoZero"/>
        <c:auto val="1"/>
        <c:lblAlgn val="ctr"/>
        <c:lblOffset val="100"/>
        <c:tickLblSkip val="3"/>
        <c:tickMarkSkip val="1"/>
        <c:noMultiLvlLbl val="0"/>
      </c:catAx>
      <c:valAx>
        <c:axId val="245029504"/>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245027968"/>
        <c:crosses val="autoZero"/>
        <c:crossBetween val="between"/>
      </c:valAx>
      <c:spPr>
        <a:noFill/>
        <a:ln w="12700">
          <a:solidFill>
            <a:srgbClr val="808080"/>
          </a:solidFill>
          <a:prstDash val="solid"/>
        </a:ln>
      </c:spPr>
    </c:plotArea>
    <c:legend>
      <c:legendPos val="b"/>
      <c:layout>
        <c:manualLayout>
          <c:xMode val="edge"/>
          <c:yMode val="edge"/>
          <c:x val="0.32790224032586579"/>
          <c:y val="0.88122935086413012"/>
          <c:w val="0.39918533604887996"/>
          <c:h val="9.195436704669188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78" l="0.78740157499999996" r="0.78740157499999996" t="0.98425196899999978" header="0.49212598450000011" footer="0.49212598450000011"/>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11205</xdr:colOff>
      <xdr:row>0</xdr:row>
      <xdr:rowOff>0</xdr:rowOff>
    </xdr:from>
    <xdr:to>
      <xdr:col>31</xdr:col>
      <xdr:colOff>115980</xdr:colOff>
      <xdr:row>15</xdr:row>
      <xdr:rowOff>132790</xdr:rowOff>
    </xdr:to>
    <xdr:graphicFrame macro="">
      <xdr:nvGraphicFramePr>
        <xdr:cNvPr id="2" name="Chart 2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52"/>
  <sheetViews>
    <sheetView tabSelected="1" zoomScale="115" zoomScaleNormal="115" workbookViewId="0">
      <selection activeCell="A2" sqref="A2"/>
    </sheetView>
  </sheetViews>
  <sheetFormatPr baseColWidth="10" defaultColWidth="5.7109375" defaultRowHeight="12.75" x14ac:dyDescent="0.2"/>
  <cols>
    <col min="1" max="1" width="19.42578125" style="4" customWidth="1"/>
    <col min="2" max="2" width="28.85546875" style="4" customWidth="1"/>
    <col min="3" max="3" width="6.85546875" style="4" customWidth="1"/>
    <col min="4" max="4" width="5.5703125" style="4" customWidth="1"/>
    <col min="5" max="7" width="9.140625" style="4" customWidth="1"/>
    <col min="8" max="8" width="8.7109375" style="4" bestFit="1" customWidth="1"/>
    <col min="9" max="9" width="7.5703125" style="4" bestFit="1" customWidth="1"/>
    <col min="10" max="10" width="5.85546875" style="4" bestFit="1" customWidth="1"/>
    <col min="11" max="18" width="5.7109375" style="4"/>
    <col min="19" max="19" width="5.85546875" style="4" customWidth="1"/>
    <col min="20" max="16384" width="5.7109375" style="4"/>
  </cols>
  <sheetData>
    <row r="1" spans="1:64" x14ac:dyDescent="0.2">
      <c r="A1" s="11" t="s">
        <v>40</v>
      </c>
      <c r="C1" s="4" t="s">
        <v>5</v>
      </c>
      <c r="D1" s="4" t="s">
        <v>6</v>
      </c>
      <c r="E1" s="4" t="s">
        <v>7</v>
      </c>
      <c r="G1" s="4" t="s">
        <v>8</v>
      </c>
      <c r="H1" s="4">
        <v>2018</v>
      </c>
      <c r="I1" s="4">
        <f>H1+1</f>
        <v>2019</v>
      </c>
      <c r="J1" s="4">
        <f t="shared" ref="J1:BF1" si="0">I1+1</f>
        <v>2020</v>
      </c>
      <c r="K1" s="4">
        <f t="shared" si="0"/>
        <v>2021</v>
      </c>
      <c r="L1" s="4">
        <f t="shared" si="0"/>
        <v>2022</v>
      </c>
      <c r="M1" s="4">
        <f t="shared" si="0"/>
        <v>2023</v>
      </c>
      <c r="N1" s="4">
        <f t="shared" si="0"/>
        <v>2024</v>
      </c>
      <c r="O1" s="4">
        <f t="shared" si="0"/>
        <v>2025</v>
      </c>
      <c r="P1" s="4">
        <f t="shared" si="0"/>
        <v>2026</v>
      </c>
      <c r="Q1" s="4">
        <f t="shared" si="0"/>
        <v>2027</v>
      </c>
      <c r="R1" s="4">
        <f t="shared" si="0"/>
        <v>2028</v>
      </c>
      <c r="S1" s="4">
        <f t="shared" si="0"/>
        <v>2029</v>
      </c>
      <c r="T1" s="4">
        <f t="shared" si="0"/>
        <v>2030</v>
      </c>
      <c r="U1" s="4">
        <f t="shared" si="0"/>
        <v>2031</v>
      </c>
      <c r="V1" s="4">
        <f t="shared" si="0"/>
        <v>2032</v>
      </c>
      <c r="W1" s="4">
        <f t="shared" si="0"/>
        <v>2033</v>
      </c>
      <c r="X1" s="4">
        <f t="shared" si="0"/>
        <v>2034</v>
      </c>
      <c r="Y1" s="4">
        <f t="shared" si="0"/>
        <v>2035</v>
      </c>
      <c r="Z1" s="4">
        <f t="shared" si="0"/>
        <v>2036</v>
      </c>
      <c r="AA1" s="4">
        <f t="shared" si="0"/>
        <v>2037</v>
      </c>
      <c r="AB1" s="4">
        <f t="shared" si="0"/>
        <v>2038</v>
      </c>
      <c r="AC1" s="4">
        <f t="shared" si="0"/>
        <v>2039</v>
      </c>
      <c r="AD1" s="4">
        <f t="shared" si="0"/>
        <v>2040</v>
      </c>
      <c r="AE1" s="4">
        <f t="shared" si="0"/>
        <v>2041</v>
      </c>
      <c r="AF1" s="4">
        <f t="shared" si="0"/>
        <v>2042</v>
      </c>
      <c r="AG1" s="4">
        <f t="shared" si="0"/>
        <v>2043</v>
      </c>
      <c r="AH1" s="4">
        <f t="shared" si="0"/>
        <v>2044</v>
      </c>
      <c r="AI1" s="4">
        <f t="shared" si="0"/>
        <v>2045</v>
      </c>
      <c r="AJ1" s="4">
        <f t="shared" si="0"/>
        <v>2046</v>
      </c>
      <c r="AK1" s="4">
        <f t="shared" si="0"/>
        <v>2047</v>
      </c>
      <c r="AL1" s="4">
        <f t="shared" si="0"/>
        <v>2048</v>
      </c>
      <c r="AM1" s="4">
        <f t="shared" si="0"/>
        <v>2049</v>
      </c>
      <c r="AN1" s="4">
        <f t="shared" si="0"/>
        <v>2050</v>
      </c>
      <c r="AO1" s="4">
        <f t="shared" si="0"/>
        <v>2051</v>
      </c>
      <c r="AP1" s="4">
        <f t="shared" si="0"/>
        <v>2052</v>
      </c>
      <c r="AQ1" s="4">
        <f t="shared" si="0"/>
        <v>2053</v>
      </c>
      <c r="AR1" s="4">
        <f t="shared" si="0"/>
        <v>2054</v>
      </c>
      <c r="AS1" s="4">
        <f t="shared" si="0"/>
        <v>2055</v>
      </c>
      <c r="AT1" s="4">
        <f t="shared" si="0"/>
        <v>2056</v>
      </c>
      <c r="AU1" s="4">
        <f t="shared" si="0"/>
        <v>2057</v>
      </c>
      <c r="AV1" s="4">
        <f t="shared" si="0"/>
        <v>2058</v>
      </c>
      <c r="AW1" s="4">
        <f t="shared" si="0"/>
        <v>2059</v>
      </c>
      <c r="AX1" s="4">
        <f t="shared" si="0"/>
        <v>2060</v>
      </c>
      <c r="AY1" s="4">
        <f t="shared" si="0"/>
        <v>2061</v>
      </c>
      <c r="AZ1" s="4">
        <f t="shared" si="0"/>
        <v>2062</v>
      </c>
      <c r="BA1" s="4">
        <f t="shared" si="0"/>
        <v>2063</v>
      </c>
      <c r="BB1" s="4">
        <f t="shared" si="0"/>
        <v>2064</v>
      </c>
      <c r="BC1" s="4">
        <f t="shared" si="0"/>
        <v>2065</v>
      </c>
      <c r="BD1" s="4">
        <f t="shared" si="0"/>
        <v>2066</v>
      </c>
      <c r="BE1" s="4">
        <f t="shared" si="0"/>
        <v>2067</v>
      </c>
      <c r="BF1" s="4">
        <f t="shared" si="0"/>
        <v>2068</v>
      </c>
      <c r="BG1" s="4">
        <f t="shared" ref="BG1:BL1" si="1">BF1+1</f>
        <v>2069</v>
      </c>
      <c r="BH1" s="4">
        <f t="shared" si="1"/>
        <v>2070</v>
      </c>
      <c r="BI1" s="4">
        <f t="shared" si="1"/>
        <v>2071</v>
      </c>
      <c r="BJ1" s="4">
        <f t="shared" si="1"/>
        <v>2072</v>
      </c>
      <c r="BK1" s="4">
        <f t="shared" si="1"/>
        <v>2073</v>
      </c>
      <c r="BL1" s="4">
        <f t="shared" si="1"/>
        <v>2074</v>
      </c>
    </row>
    <row r="2" spans="1:64" x14ac:dyDescent="0.2">
      <c r="B2" s="4" t="s">
        <v>9</v>
      </c>
      <c r="E2" s="12">
        <v>2</v>
      </c>
      <c r="G2" s="4">
        <f>SUM(H2:BL2)</f>
        <v>2282.3493842135272</v>
      </c>
      <c r="H2" s="4">
        <f>IF($E$2=1,H3,IF($E$2=2,H6,H9))</f>
        <v>34</v>
      </c>
      <c r="I2" s="4">
        <f t="shared" ref="I2:BL2" si="2">IF($E$2=1,I3,IF($E$2=2,I6,I9))</f>
        <v>34.067999999999998</v>
      </c>
      <c r="J2" s="4">
        <f t="shared" si="2"/>
        <v>34.136136</v>
      </c>
      <c r="K2" s="4">
        <f t="shared" si="2"/>
        <v>34.204408272000002</v>
      </c>
      <c r="L2" s="4">
        <f t="shared" si="2"/>
        <v>34.272817088544002</v>
      </c>
      <c r="M2" s="4">
        <f t="shared" si="2"/>
        <v>34.341362722721094</v>
      </c>
      <c r="N2" s="4">
        <f t="shared" si="2"/>
        <v>34.410045448166535</v>
      </c>
      <c r="O2" s="4">
        <f t="shared" si="2"/>
        <v>34.478865539062866</v>
      </c>
      <c r="P2" s="4">
        <f t="shared" si="2"/>
        <v>34.547823270140995</v>
      </c>
      <c r="Q2" s="4">
        <f t="shared" si="2"/>
        <v>34.616918916681279</v>
      </c>
      <c r="R2" s="4">
        <f t="shared" si="2"/>
        <v>34.686152754514644</v>
      </c>
      <c r="S2" s="4">
        <f t="shared" si="2"/>
        <v>34.755525060023672</v>
      </c>
      <c r="T2" s="4">
        <f t="shared" si="2"/>
        <v>34.825036110143721</v>
      </c>
      <c r="U2" s="4">
        <f t="shared" si="2"/>
        <v>34.894686182364005</v>
      </c>
      <c r="V2" s="4">
        <f t="shared" si="2"/>
        <v>34.964475554728736</v>
      </c>
      <c r="W2" s="4">
        <f t="shared" si="2"/>
        <v>35.034404505838197</v>
      </c>
      <c r="X2" s="4">
        <f t="shared" si="2"/>
        <v>35.104473314849876</v>
      </c>
      <c r="Y2" s="4">
        <f t="shared" si="2"/>
        <v>35.174682261479575</v>
      </c>
      <c r="Z2" s="4">
        <f t="shared" si="2"/>
        <v>35.245031626002536</v>
      </c>
      <c r="AA2" s="4">
        <f t="shared" si="2"/>
        <v>35.315521689254538</v>
      </c>
      <c r="AB2" s="4">
        <f t="shared" si="2"/>
        <v>35.38615273263305</v>
      </c>
      <c r="AC2" s="4">
        <f t="shared" si="2"/>
        <v>35.456925038098319</v>
      </c>
      <c r="AD2" s="4">
        <f t="shared" si="2"/>
        <v>35.527838888174514</v>
      </c>
      <c r="AE2" s="4">
        <f t="shared" si="2"/>
        <v>35.598894565950864</v>
      </c>
      <c r="AF2" s="4">
        <f t="shared" si="2"/>
        <v>35.670092355082765</v>
      </c>
      <c r="AG2" s="4">
        <f t="shared" si="2"/>
        <v>36.347824109829332</v>
      </c>
      <c r="AH2" s="4">
        <f t="shared" si="2"/>
        <v>37.038432767916085</v>
      </c>
      <c r="AI2" s="4">
        <f t="shared" si="2"/>
        <v>37.742162990506486</v>
      </c>
      <c r="AJ2" s="4">
        <f t="shared" si="2"/>
        <v>38.459264087326105</v>
      </c>
      <c r="AK2" s="4">
        <f t="shared" si="2"/>
        <v>39.189990104985299</v>
      </c>
      <c r="AL2" s="4">
        <f t="shared" si="2"/>
        <v>39.934599916980012</v>
      </c>
      <c r="AM2" s="4">
        <f t="shared" si="2"/>
        <v>40.693357315402629</v>
      </c>
      <c r="AN2" s="4">
        <f t="shared" si="2"/>
        <v>41.466531104395273</v>
      </c>
      <c r="AO2" s="4">
        <f t="shared" si="2"/>
        <v>42.254395195378777</v>
      </c>
      <c r="AP2" s="4">
        <f t="shared" si="2"/>
        <v>43.057228704090967</v>
      </c>
      <c r="AQ2" s="4">
        <f t="shared" si="2"/>
        <v>43.315572076315512</v>
      </c>
      <c r="AR2" s="4">
        <f t="shared" si="2"/>
        <v>43.575465508773405</v>
      </c>
      <c r="AS2" s="4">
        <f t="shared" si="2"/>
        <v>43.836918301826046</v>
      </c>
      <c r="AT2" s="4">
        <f t="shared" si="2"/>
        <v>44.099939811637</v>
      </c>
      <c r="AU2" s="4">
        <f t="shared" si="2"/>
        <v>44.364539450506825</v>
      </c>
      <c r="AV2" s="4">
        <f t="shared" si="2"/>
        <v>44.630726687209865</v>
      </c>
      <c r="AW2" s="4">
        <f t="shared" si="2"/>
        <v>44.898511047333123</v>
      </c>
      <c r="AX2" s="4">
        <f t="shared" si="2"/>
        <v>45.167902113617124</v>
      </c>
      <c r="AY2" s="4">
        <f t="shared" si="2"/>
        <v>45.438909526298829</v>
      </c>
      <c r="AZ2" s="4">
        <f t="shared" si="2"/>
        <v>45.711542983456624</v>
      </c>
      <c r="BA2" s="4">
        <f t="shared" si="2"/>
        <v>45.985812241357365</v>
      </c>
      <c r="BB2" s="4">
        <f t="shared" si="2"/>
        <v>46.26172711480551</v>
      </c>
      <c r="BC2" s="4">
        <f t="shared" si="2"/>
        <v>46.539297477494344</v>
      </c>
      <c r="BD2" s="4">
        <f t="shared" si="2"/>
        <v>46.81853326235931</v>
      </c>
      <c r="BE2" s="4">
        <f t="shared" si="2"/>
        <v>47.099444461933466</v>
      </c>
      <c r="BF2" s="4">
        <f t="shared" si="2"/>
        <v>47.382041128705069</v>
      </c>
      <c r="BG2" s="4">
        <f t="shared" si="2"/>
        <v>47.666333375477301</v>
      </c>
      <c r="BH2" s="4">
        <f t="shared" si="2"/>
        <v>47.952331375730168</v>
      </c>
      <c r="BI2" s="4">
        <f t="shared" si="2"/>
        <v>48.240045363984549</v>
      </c>
      <c r="BJ2" s="4">
        <f t="shared" si="2"/>
        <v>48.529485636168459</v>
      </c>
      <c r="BK2" s="4">
        <f t="shared" si="2"/>
        <v>48.820662549985471</v>
      </c>
      <c r="BL2" s="4">
        <f t="shared" si="2"/>
        <v>49.113586525285385</v>
      </c>
    </row>
    <row r="3" spans="1:64" x14ac:dyDescent="0.2">
      <c r="B3" s="4" t="s">
        <v>10</v>
      </c>
      <c r="D3" s="5">
        <v>0</v>
      </c>
      <c r="E3" s="4">
        <v>34</v>
      </c>
      <c r="G3" s="4">
        <f>SUM(H3:BL3)</f>
        <v>1938</v>
      </c>
      <c r="H3" s="4">
        <f>E3</f>
        <v>34</v>
      </c>
      <c r="I3" s="4">
        <f>IF(I$1&lt;$C4,H3*(1+$D3),IF(I$1&lt;$C5,H3*(1+$D4),H3*(1+$D5)))</f>
        <v>34</v>
      </c>
      <c r="J3" s="4">
        <f t="shared" ref="J3:BL3" si="3">IF(J$1&lt;$C4,I3*(1+$D3),IF(J$1&lt;$C5,I3*(1+$D4),I3*(1+$D5)))</f>
        <v>34</v>
      </c>
      <c r="K3" s="4">
        <f t="shared" si="3"/>
        <v>34</v>
      </c>
      <c r="L3" s="4">
        <f t="shared" si="3"/>
        <v>34</v>
      </c>
      <c r="M3" s="4">
        <f t="shared" si="3"/>
        <v>34</v>
      </c>
      <c r="N3" s="4">
        <f t="shared" si="3"/>
        <v>34</v>
      </c>
      <c r="O3" s="4">
        <f t="shared" si="3"/>
        <v>34</v>
      </c>
      <c r="P3" s="4">
        <f t="shared" si="3"/>
        <v>34</v>
      </c>
      <c r="Q3" s="4">
        <f t="shared" si="3"/>
        <v>34</v>
      </c>
      <c r="R3" s="4">
        <f t="shared" si="3"/>
        <v>34</v>
      </c>
      <c r="S3" s="4">
        <f t="shared" si="3"/>
        <v>34</v>
      </c>
      <c r="T3" s="4">
        <f t="shared" si="3"/>
        <v>34</v>
      </c>
      <c r="U3" s="4">
        <f t="shared" si="3"/>
        <v>34</v>
      </c>
      <c r="V3" s="4">
        <f t="shared" si="3"/>
        <v>34</v>
      </c>
      <c r="W3" s="4">
        <f t="shared" si="3"/>
        <v>34</v>
      </c>
      <c r="X3" s="4">
        <f t="shared" si="3"/>
        <v>34</v>
      </c>
      <c r="Y3" s="4">
        <f t="shared" si="3"/>
        <v>34</v>
      </c>
      <c r="Z3" s="4">
        <f t="shared" si="3"/>
        <v>34</v>
      </c>
      <c r="AA3" s="4">
        <f t="shared" si="3"/>
        <v>34</v>
      </c>
      <c r="AB3" s="4">
        <f t="shared" si="3"/>
        <v>34</v>
      </c>
      <c r="AC3" s="4">
        <f t="shared" si="3"/>
        <v>34</v>
      </c>
      <c r="AD3" s="4">
        <f t="shared" si="3"/>
        <v>34</v>
      </c>
      <c r="AE3" s="4">
        <f t="shared" si="3"/>
        <v>34</v>
      </c>
      <c r="AF3" s="4">
        <f t="shared" si="3"/>
        <v>34</v>
      </c>
      <c r="AG3" s="4">
        <f t="shared" si="3"/>
        <v>34</v>
      </c>
      <c r="AH3" s="4">
        <f t="shared" si="3"/>
        <v>34</v>
      </c>
      <c r="AI3" s="4">
        <f t="shared" si="3"/>
        <v>34</v>
      </c>
      <c r="AJ3" s="4">
        <f t="shared" si="3"/>
        <v>34</v>
      </c>
      <c r="AK3" s="4">
        <f t="shared" si="3"/>
        <v>34</v>
      </c>
      <c r="AL3" s="4">
        <f t="shared" si="3"/>
        <v>34</v>
      </c>
      <c r="AM3" s="4">
        <f t="shared" si="3"/>
        <v>34</v>
      </c>
      <c r="AN3" s="4">
        <f t="shared" si="3"/>
        <v>34</v>
      </c>
      <c r="AO3" s="4">
        <f t="shared" si="3"/>
        <v>34</v>
      </c>
      <c r="AP3" s="4">
        <f t="shared" si="3"/>
        <v>34</v>
      </c>
      <c r="AQ3" s="4">
        <f t="shared" si="3"/>
        <v>34</v>
      </c>
      <c r="AR3" s="4">
        <f t="shared" si="3"/>
        <v>34</v>
      </c>
      <c r="AS3" s="4">
        <f t="shared" si="3"/>
        <v>34</v>
      </c>
      <c r="AT3" s="4">
        <f t="shared" si="3"/>
        <v>34</v>
      </c>
      <c r="AU3" s="4">
        <f t="shared" si="3"/>
        <v>34</v>
      </c>
      <c r="AV3" s="4">
        <f t="shared" si="3"/>
        <v>34</v>
      </c>
      <c r="AW3" s="4">
        <f t="shared" si="3"/>
        <v>34</v>
      </c>
      <c r="AX3" s="4">
        <f t="shared" si="3"/>
        <v>34</v>
      </c>
      <c r="AY3" s="4">
        <f t="shared" si="3"/>
        <v>34</v>
      </c>
      <c r="AZ3" s="4">
        <f t="shared" si="3"/>
        <v>34</v>
      </c>
      <c r="BA3" s="4">
        <f t="shared" si="3"/>
        <v>34</v>
      </c>
      <c r="BB3" s="4">
        <f t="shared" si="3"/>
        <v>34</v>
      </c>
      <c r="BC3" s="4">
        <f t="shared" si="3"/>
        <v>34</v>
      </c>
      <c r="BD3" s="4">
        <f t="shared" si="3"/>
        <v>34</v>
      </c>
      <c r="BE3" s="4">
        <f t="shared" si="3"/>
        <v>34</v>
      </c>
      <c r="BF3" s="4">
        <f t="shared" si="3"/>
        <v>34</v>
      </c>
      <c r="BG3" s="4">
        <f t="shared" si="3"/>
        <v>34</v>
      </c>
      <c r="BH3" s="4">
        <f t="shared" si="3"/>
        <v>34</v>
      </c>
      <c r="BI3" s="4">
        <f t="shared" si="3"/>
        <v>34</v>
      </c>
      <c r="BJ3" s="4">
        <f t="shared" si="3"/>
        <v>34</v>
      </c>
      <c r="BK3" s="4">
        <f t="shared" si="3"/>
        <v>34</v>
      </c>
      <c r="BL3" s="4">
        <f t="shared" si="3"/>
        <v>34</v>
      </c>
    </row>
    <row r="4" spans="1:64" x14ac:dyDescent="0.2">
      <c r="C4" s="4">
        <f>H1+25</f>
        <v>2043</v>
      </c>
      <c r="D4" s="5">
        <v>0</v>
      </c>
    </row>
    <row r="5" spans="1:64" x14ac:dyDescent="0.2">
      <c r="C5" s="4">
        <f>H1+35</f>
        <v>2053</v>
      </c>
      <c r="D5" s="5">
        <v>0</v>
      </c>
    </row>
    <row r="6" spans="1:64" x14ac:dyDescent="0.2">
      <c r="B6" s="4" t="s">
        <v>11</v>
      </c>
      <c r="D6" s="5">
        <v>2E-3</v>
      </c>
      <c r="E6" s="4">
        <v>34</v>
      </c>
      <c r="G6" s="4">
        <f>SUM(H6:BL6)</f>
        <v>2282.3493842135272</v>
      </c>
      <c r="H6" s="4">
        <f>E6</f>
        <v>34</v>
      </c>
      <c r="I6" s="4">
        <f>IF($I4&lt;$C7,H6*(1+$D6),IF($I4&lt;$C8,H6*(1+$D7),H6*(1+$D8)))</f>
        <v>34.067999999999998</v>
      </c>
      <c r="J6" s="4">
        <f t="shared" ref="J6:BL6" si="4">IF(J$1&lt;$C7,I6*(1+$D6),IF(J$1&lt;$C8,I6*(1+$D7),I6*(1+$D8)))</f>
        <v>34.136136</v>
      </c>
      <c r="K6" s="4">
        <f t="shared" si="4"/>
        <v>34.204408272000002</v>
      </c>
      <c r="L6" s="4">
        <f t="shared" si="4"/>
        <v>34.272817088544002</v>
      </c>
      <c r="M6" s="4">
        <f t="shared" si="4"/>
        <v>34.341362722721094</v>
      </c>
      <c r="N6" s="4">
        <f t="shared" si="4"/>
        <v>34.410045448166535</v>
      </c>
      <c r="O6" s="4">
        <f t="shared" si="4"/>
        <v>34.478865539062866</v>
      </c>
      <c r="P6" s="4">
        <f t="shared" si="4"/>
        <v>34.547823270140995</v>
      </c>
      <c r="Q6" s="4">
        <f t="shared" si="4"/>
        <v>34.616918916681279</v>
      </c>
      <c r="R6" s="4">
        <f t="shared" si="4"/>
        <v>34.686152754514644</v>
      </c>
      <c r="S6" s="4">
        <f t="shared" si="4"/>
        <v>34.755525060023672</v>
      </c>
      <c r="T6" s="4">
        <f t="shared" si="4"/>
        <v>34.825036110143721</v>
      </c>
      <c r="U6" s="4">
        <f t="shared" si="4"/>
        <v>34.894686182364005</v>
      </c>
      <c r="V6" s="4">
        <f t="shared" si="4"/>
        <v>34.964475554728736</v>
      </c>
      <c r="W6" s="4">
        <f t="shared" si="4"/>
        <v>35.034404505838197</v>
      </c>
      <c r="X6" s="4">
        <f t="shared" si="4"/>
        <v>35.104473314849876</v>
      </c>
      <c r="Y6" s="4">
        <f t="shared" si="4"/>
        <v>35.174682261479575</v>
      </c>
      <c r="Z6" s="4">
        <f t="shared" si="4"/>
        <v>35.245031626002536</v>
      </c>
      <c r="AA6" s="4">
        <f t="shared" si="4"/>
        <v>35.315521689254538</v>
      </c>
      <c r="AB6" s="4">
        <f t="shared" si="4"/>
        <v>35.38615273263305</v>
      </c>
      <c r="AC6" s="4">
        <f t="shared" si="4"/>
        <v>35.456925038098319</v>
      </c>
      <c r="AD6" s="4">
        <f t="shared" si="4"/>
        <v>35.527838888174514</v>
      </c>
      <c r="AE6" s="4">
        <f t="shared" si="4"/>
        <v>35.598894565950864</v>
      </c>
      <c r="AF6" s="4">
        <f t="shared" si="4"/>
        <v>35.670092355082765</v>
      </c>
      <c r="AG6" s="4">
        <f t="shared" si="4"/>
        <v>36.347824109829332</v>
      </c>
      <c r="AH6" s="4">
        <f t="shared" si="4"/>
        <v>37.038432767916085</v>
      </c>
      <c r="AI6" s="4">
        <f t="shared" si="4"/>
        <v>37.742162990506486</v>
      </c>
      <c r="AJ6" s="4">
        <f t="shared" si="4"/>
        <v>38.459264087326105</v>
      </c>
      <c r="AK6" s="4">
        <f t="shared" si="4"/>
        <v>39.189990104985299</v>
      </c>
      <c r="AL6" s="4">
        <f t="shared" si="4"/>
        <v>39.934599916980012</v>
      </c>
      <c r="AM6" s="4">
        <f t="shared" si="4"/>
        <v>40.693357315402629</v>
      </c>
      <c r="AN6" s="4">
        <f t="shared" si="4"/>
        <v>41.466531104395273</v>
      </c>
      <c r="AO6" s="4">
        <f t="shared" si="4"/>
        <v>42.254395195378777</v>
      </c>
      <c r="AP6" s="4">
        <f t="shared" si="4"/>
        <v>43.057228704090967</v>
      </c>
      <c r="AQ6" s="4">
        <f t="shared" si="4"/>
        <v>43.315572076315512</v>
      </c>
      <c r="AR6" s="4">
        <f t="shared" si="4"/>
        <v>43.575465508773405</v>
      </c>
      <c r="AS6" s="4">
        <f t="shared" si="4"/>
        <v>43.836918301826046</v>
      </c>
      <c r="AT6" s="4">
        <f t="shared" si="4"/>
        <v>44.099939811637</v>
      </c>
      <c r="AU6" s="4">
        <f t="shared" si="4"/>
        <v>44.364539450506825</v>
      </c>
      <c r="AV6" s="4">
        <f t="shared" si="4"/>
        <v>44.630726687209865</v>
      </c>
      <c r="AW6" s="4">
        <f t="shared" si="4"/>
        <v>44.898511047333123</v>
      </c>
      <c r="AX6" s="4">
        <f t="shared" si="4"/>
        <v>45.167902113617124</v>
      </c>
      <c r="AY6" s="4">
        <f t="shared" si="4"/>
        <v>45.438909526298829</v>
      </c>
      <c r="AZ6" s="4">
        <f t="shared" si="4"/>
        <v>45.711542983456624</v>
      </c>
      <c r="BA6" s="4">
        <f t="shared" si="4"/>
        <v>45.985812241357365</v>
      </c>
      <c r="BB6" s="4">
        <f t="shared" si="4"/>
        <v>46.26172711480551</v>
      </c>
      <c r="BC6" s="4">
        <f t="shared" si="4"/>
        <v>46.539297477494344</v>
      </c>
      <c r="BD6" s="4">
        <f t="shared" si="4"/>
        <v>46.81853326235931</v>
      </c>
      <c r="BE6" s="4">
        <f t="shared" si="4"/>
        <v>47.099444461933466</v>
      </c>
      <c r="BF6" s="4">
        <f t="shared" si="4"/>
        <v>47.382041128705069</v>
      </c>
      <c r="BG6" s="4">
        <f t="shared" si="4"/>
        <v>47.666333375477301</v>
      </c>
      <c r="BH6" s="4">
        <f t="shared" si="4"/>
        <v>47.952331375730168</v>
      </c>
      <c r="BI6" s="4">
        <f t="shared" si="4"/>
        <v>48.240045363984549</v>
      </c>
      <c r="BJ6" s="4">
        <f t="shared" si="4"/>
        <v>48.529485636168459</v>
      </c>
      <c r="BK6" s="4">
        <f t="shared" si="4"/>
        <v>48.820662549985471</v>
      </c>
      <c r="BL6" s="4">
        <f t="shared" si="4"/>
        <v>49.113586525285385</v>
      </c>
    </row>
    <row r="7" spans="1:64" x14ac:dyDescent="0.2">
      <c r="C7" s="4">
        <f>H1+25</f>
        <v>2043</v>
      </c>
      <c r="D7" s="5">
        <v>1.9E-2</v>
      </c>
    </row>
    <row r="8" spans="1:64" x14ac:dyDescent="0.2">
      <c r="C8" s="4">
        <f>H1+35</f>
        <v>2053</v>
      </c>
      <c r="D8" s="5">
        <v>6.0000000000000001E-3</v>
      </c>
    </row>
    <row r="9" spans="1:64" x14ac:dyDescent="0.2">
      <c r="B9" s="4" t="s">
        <v>12</v>
      </c>
      <c r="D9" s="5">
        <v>0</v>
      </c>
      <c r="E9" s="4">
        <v>34</v>
      </c>
      <c r="G9" s="4">
        <f>SUM(H9:BL9)</f>
        <v>2859.1880062869454</v>
      </c>
      <c r="H9" s="4">
        <f>E9</f>
        <v>34</v>
      </c>
      <c r="I9" s="4">
        <f t="shared" ref="I9:BL9" si="5">IF(I$1&lt;$C10,H9*(1+$D9),IF(I$1&lt;$C11,H9*(1+$D10),H9*(1+$D11)))</f>
        <v>34</v>
      </c>
      <c r="J9" s="4">
        <f t="shared" si="5"/>
        <v>34</v>
      </c>
      <c r="K9" s="4">
        <f t="shared" si="5"/>
        <v>34</v>
      </c>
      <c r="L9" s="4">
        <f t="shared" si="5"/>
        <v>34</v>
      </c>
      <c r="M9" s="4">
        <f t="shared" si="5"/>
        <v>34.51</v>
      </c>
      <c r="N9" s="4">
        <f t="shared" si="5"/>
        <v>35.027649999999994</v>
      </c>
      <c r="O9" s="4">
        <f t="shared" si="5"/>
        <v>35.55306474999999</v>
      </c>
      <c r="P9" s="4">
        <f t="shared" si="5"/>
        <v>36.086360721249989</v>
      </c>
      <c r="Q9" s="4">
        <f t="shared" si="5"/>
        <v>36.627656132068736</v>
      </c>
      <c r="R9" s="4">
        <f t="shared" si="5"/>
        <v>37.177070974049762</v>
      </c>
      <c r="S9" s="4">
        <f t="shared" si="5"/>
        <v>37.734727038660502</v>
      </c>
      <c r="T9" s="4">
        <f t="shared" si="5"/>
        <v>38.300747944240406</v>
      </c>
      <c r="U9" s="4">
        <f t="shared" si="5"/>
        <v>38.87525916340401</v>
      </c>
      <c r="V9" s="4">
        <f t="shared" si="5"/>
        <v>39.458388050855064</v>
      </c>
      <c r="W9" s="4">
        <f t="shared" si="5"/>
        <v>40.050263871617886</v>
      </c>
      <c r="X9" s="4">
        <f t="shared" si="5"/>
        <v>40.651017829692151</v>
      </c>
      <c r="Y9" s="4">
        <f t="shared" si="5"/>
        <v>41.260783097137526</v>
      </c>
      <c r="Z9" s="4">
        <f t="shared" si="5"/>
        <v>41.879694843594585</v>
      </c>
      <c r="AA9" s="4">
        <f t="shared" si="5"/>
        <v>42.507890266248502</v>
      </c>
      <c r="AB9" s="4">
        <f t="shared" si="5"/>
        <v>43.145508620242225</v>
      </c>
      <c r="AC9" s="4">
        <f t="shared" si="5"/>
        <v>43.792691249545854</v>
      </c>
      <c r="AD9" s="4">
        <f t="shared" si="5"/>
        <v>44.449581618289038</v>
      </c>
      <c r="AE9" s="4">
        <f t="shared" si="5"/>
        <v>45.116325342563371</v>
      </c>
      <c r="AF9" s="4">
        <f t="shared" si="5"/>
        <v>45.793070222701814</v>
      </c>
      <c r="AG9" s="4">
        <f t="shared" si="5"/>
        <v>46.47996627604234</v>
      </c>
      <c r="AH9" s="4">
        <f t="shared" si="5"/>
        <v>47.177165770182974</v>
      </c>
      <c r="AI9" s="4">
        <f t="shared" si="5"/>
        <v>47.884823256735714</v>
      </c>
      <c r="AJ9" s="4">
        <f t="shared" si="5"/>
        <v>48.603095605586745</v>
      </c>
      <c r="AK9" s="4">
        <f t="shared" si="5"/>
        <v>49.332142039670543</v>
      </c>
      <c r="AL9" s="4">
        <f t="shared" si="5"/>
        <v>50.072124170265596</v>
      </c>
      <c r="AM9" s="4">
        <f t="shared" si="5"/>
        <v>50.823206032819577</v>
      </c>
      <c r="AN9" s="4">
        <f t="shared" si="5"/>
        <v>51.585554123311866</v>
      </c>
      <c r="AO9" s="4">
        <f t="shared" si="5"/>
        <v>52.359337435161535</v>
      </c>
      <c r="AP9" s="4">
        <f t="shared" si="5"/>
        <v>53.144727496688951</v>
      </c>
      <c r="AQ9" s="4">
        <f t="shared" si="5"/>
        <v>53.941898409139277</v>
      </c>
      <c r="AR9" s="4">
        <f t="shared" si="5"/>
        <v>54.75102688527636</v>
      </c>
      <c r="AS9" s="4">
        <f t="shared" si="5"/>
        <v>55.572292288555502</v>
      </c>
      <c r="AT9" s="4">
        <f t="shared" si="5"/>
        <v>56.405876672883828</v>
      </c>
      <c r="AU9" s="4">
        <f t="shared" si="5"/>
        <v>57.251964822977079</v>
      </c>
      <c r="AV9" s="4">
        <f t="shared" si="5"/>
        <v>58.11074429532173</v>
      </c>
      <c r="AW9" s="4">
        <f t="shared" si="5"/>
        <v>58.982405459751547</v>
      </c>
      <c r="AX9" s="4">
        <f t="shared" si="5"/>
        <v>59.867141541647811</v>
      </c>
      <c r="AY9" s="4">
        <f t="shared" si="5"/>
        <v>60.765148664772525</v>
      </c>
      <c r="AZ9" s="4">
        <f t="shared" si="5"/>
        <v>61.676625894744106</v>
      </c>
      <c r="BA9" s="4">
        <f t="shared" si="5"/>
        <v>62.60177528316526</v>
      </c>
      <c r="BB9" s="4">
        <f t="shared" si="5"/>
        <v>63.540801912412732</v>
      </c>
      <c r="BC9" s="4">
        <f t="shared" si="5"/>
        <v>64.49391394109891</v>
      </c>
      <c r="BD9" s="4">
        <f t="shared" si="5"/>
        <v>65.461322650215394</v>
      </c>
      <c r="BE9" s="4">
        <f t="shared" si="5"/>
        <v>66.443242489968611</v>
      </c>
      <c r="BF9" s="4">
        <f t="shared" si="5"/>
        <v>67.439891127318134</v>
      </c>
      <c r="BG9" s="4">
        <f t="shared" si="5"/>
        <v>68.4514894942279</v>
      </c>
      <c r="BH9" s="4">
        <f t="shared" si="5"/>
        <v>69.478261836641309</v>
      </c>
      <c r="BI9" s="4">
        <f t="shared" si="5"/>
        <v>70.520435764190921</v>
      </c>
      <c r="BJ9" s="4">
        <f t="shared" si="5"/>
        <v>71.578242300653784</v>
      </c>
      <c r="BK9" s="4">
        <f t="shared" si="5"/>
        <v>72.651915935163586</v>
      </c>
      <c r="BL9" s="4">
        <f t="shared" si="5"/>
        <v>73.741694674191038</v>
      </c>
    </row>
    <row r="10" spans="1:64" x14ac:dyDescent="0.2">
      <c r="C10" s="4">
        <f>H1+5</f>
        <v>2023</v>
      </c>
      <c r="D10" s="5">
        <v>1.4999999999999999E-2</v>
      </c>
    </row>
    <row r="11" spans="1:64" x14ac:dyDescent="0.2">
      <c r="C11" s="4">
        <f>H1+25</f>
        <v>2043</v>
      </c>
      <c r="D11" s="5">
        <v>1.4999999999999999E-2</v>
      </c>
    </row>
    <row r="12" spans="1:64" x14ac:dyDescent="0.2">
      <c r="B12" s="4" t="s">
        <v>1</v>
      </c>
      <c r="E12" s="4">
        <v>2000</v>
      </c>
    </row>
    <row r="13" spans="1:64" x14ac:dyDescent="0.2">
      <c r="B13" s="4" t="s">
        <v>0</v>
      </c>
      <c r="E13" s="13">
        <v>0.9</v>
      </c>
      <c r="F13" s="6"/>
      <c r="G13" s="6"/>
    </row>
    <row r="14" spans="1:64" x14ac:dyDescent="0.2">
      <c r="B14" s="4" t="s">
        <v>57</v>
      </c>
      <c r="F14" s="9"/>
      <c r="G14" s="4">
        <f>SUM(H14:BL14)</f>
        <v>20</v>
      </c>
      <c r="H14" s="4">
        <v>10</v>
      </c>
      <c r="I14" s="4">
        <v>10</v>
      </c>
    </row>
    <row r="15" spans="1:64" x14ac:dyDescent="0.2">
      <c r="B15" s="4" t="s">
        <v>41</v>
      </c>
      <c r="D15" s="6"/>
      <c r="F15" s="9"/>
      <c r="G15" s="4">
        <f>SUM(H15:BL15)</f>
        <v>140</v>
      </c>
      <c r="H15" s="4">
        <v>0</v>
      </c>
      <c r="I15" s="4">
        <v>0</v>
      </c>
      <c r="J15" s="4">
        <v>15</v>
      </c>
      <c r="K15" s="4">
        <v>15</v>
      </c>
      <c r="L15" s="4">
        <v>15</v>
      </c>
      <c r="M15" s="4">
        <v>95</v>
      </c>
    </row>
    <row r="16" spans="1:64" x14ac:dyDescent="0.2">
      <c r="B16" s="4" t="s">
        <v>54</v>
      </c>
      <c r="D16" s="6"/>
      <c r="E16" s="12">
        <v>1.5</v>
      </c>
      <c r="F16" s="9" t="s">
        <v>55</v>
      </c>
      <c r="G16" s="4">
        <f>SUM(H16:BL16)</f>
        <v>3000</v>
      </c>
      <c r="H16" s="4">
        <v>0</v>
      </c>
      <c r="I16" s="4">
        <v>0</v>
      </c>
      <c r="J16" s="4">
        <v>0</v>
      </c>
      <c r="K16" s="4">
        <v>0</v>
      </c>
      <c r="L16" s="4">
        <v>0</v>
      </c>
      <c r="M16" s="4">
        <v>0</v>
      </c>
      <c r="N16" s="4">
        <f>$E16*$E$12*0.2</f>
        <v>600</v>
      </c>
      <c r="O16" s="4">
        <f>$E16*$E$12*0.4</f>
        <v>1200</v>
      </c>
      <c r="P16" s="4">
        <f>$E16*$E$12*0.25</f>
        <v>750</v>
      </c>
      <c r="Q16" s="4">
        <f>$E16*$E$12*0.1</f>
        <v>300</v>
      </c>
      <c r="R16" s="4">
        <f>$E16*$E$12*0.05</f>
        <v>150</v>
      </c>
    </row>
    <row r="17" spans="1:64" x14ac:dyDescent="0.2">
      <c r="B17" s="4" t="s">
        <v>2</v>
      </c>
      <c r="D17" s="6"/>
      <c r="E17" s="15">
        <v>15</v>
      </c>
      <c r="F17" s="7"/>
      <c r="G17" s="7"/>
    </row>
    <row r="18" spans="1:64" x14ac:dyDescent="0.2">
      <c r="B18" s="4" t="s">
        <v>3</v>
      </c>
      <c r="C18" s="4">
        <f>H1+30</f>
        <v>2048</v>
      </c>
      <c r="D18" s="13">
        <v>0.06</v>
      </c>
      <c r="E18" s="4">
        <v>17</v>
      </c>
      <c r="G18" s="4">
        <f>SUM(H18:BL18)</f>
        <v>1657.977897524702</v>
      </c>
      <c r="H18" s="4">
        <f>E18</f>
        <v>17</v>
      </c>
      <c r="I18" s="4">
        <f t="shared" ref="I18:BL18" si="6">IF(I1&lt;$C$18,H18,H18*(1+$D$18))</f>
        <v>17</v>
      </c>
      <c r="J18" s="4">
        <f t="shared" si="6"/>
        <v>17</v>
      </c>
      <c r="K18" s="4">
        <f t="shared" si="6"/>
        <v>17</v>
      </c>
      <c r="L18" s="4">
        <f t="shared" si="6"/>
        <v>17</v>
      </c>
      <c r="M18" s="4">
        <f t="shared" si="6"/>
        <v>17</v>
      </c>
      <c r="N18" s="4">
        <f t="shared" si="6"/>
        <v>17</v>
      </c>
      <c r="O18" s="4">
        <f t="shared" si="6"/>
        <v>17</v>
      </c>
      <c r="P18" s="4">
        <f t="shared" si="6"/>
        <v>17</v>
      </c>
      <c r="Q18" s="4">
        <f t="shared" si="6"/>
        <v>17</v>
      </c>
      <c r="R18" s="4">
        <f t="shared" si="6"/>
        <v>17</v>
      </c>
      <c r="S18" s="4">
        <f t="shared" si="6"/>
        <v>17</v>
      </c>
      <c r="T18" s="4">
        <f t="shared" si="6"/>
        <v>17</v>
      </c>
      <c r="U18" s="4">
        <f t="shared" si="6"/>
        <v>17</v>
      </c>
      <c r="V18" s="4">
        <f t="shared" si="6"/>
        <v>17</v>
      </c>
      <c r="W18" s="4">
        <f t="shared" si="6"/>
        <v>17</v>
      </c>
      <c r="X18" s="4">
        <f t="shared" si="6"/>
        <v>17</v>
      </c>
      <c r="Y18" s="4">
        <f t="shared" si="6"/>
        <v>17</v>
      </c>
      <c r="Z18" s="4">
        <f t="shared" si="6"/>
        <v>17</v>
      </c>
      <c r="AA18" s="4">
        <f t="shared" si="6"/>
        <v>17</v>
      </c>
      <c r="AB18" s="4">
        <f t="shared" si="6"/>
        <v>17</v>
      </c>
      <c r="AC18" s="4">
        <f t="shared" si="6"/>
        <v>17</v>
      </c>
      <c r="AD18" s="4">
        <f t="shared" si="6"/>
        <v>17</v>
      </c>
      <c r="AE18" s="4">
        <f t="shared" si="6"/>
        <v>17</v>
      </c>
      <c r="AF18" s="4">
        <f t="shared" si="6"/>
        <v>17</v>
      </c>
      <c r="AG18" s="4">
        <f t="shared" si="6"/>
        <v>17</v>
      </c>
      <c r="AH18" s="4">
        <f t="shared" si="6"/>
        <v>17</v>
      </c>
      <c r="AI18" s="4">
        <f t="shared" si="6"/>
        <v>17</v>
      </c>
      <c r="AJ18" s="4">
        <f t="shared" si="6"/>
        <v>17</v>
      </c>
      <c r="AK18" s="4">
        <f t="shared" si="6"/>
        <v>17</v>
      </c>
      <c r="AL18" s="4">
        <f t="shared" si="6"/>
        <v>18.02</v>
      </c>
      <c r="AM18" s="4">
        <f t="shared" si="6"/>
        <v>19.101200000000002</v>
      </c>
      <c r="AN18" s="4">
        <f t="shared" si="6"/>
        <v>20.247272000000002</v>
      </c>
      <c r="AO18" s="4">
        <f t="shared" si="6"/>
        <v>21.462108320000002</v>
      </c>
      <c r="AP18" s="4">
        <f t="shared" si="6"/>
        <v>22.749834819200004</v>
      </c>
      <c r="AQ18" s="4">
        <f t="shared" si="6"/>
        <v>24.114824908352006</v>
      </c>
      <c r="AR18" s="4">
        <f t="shared" si="6"/>
        <v>25.561714402853127</v>
      </c>
      <c r="AS18" s="4">
        <f t="shared" si="6"/>
        <v>27.095417267024317</v>
      </c>
      <c r="AT18" s="4">
        <f t="shared" si="6"/>
        <v>28.721142303045777</v>
      </c>
      <c r="AU18" s="4">
        <f t="shared" si="6"/>
        <v>30.444410841228525</v>
      </c>
      <c r="AV18" s="4">
        <f t="shared" si="6"/>
        <v>32.271075491702234</v>
      </c>
      <c r="AW18" s="4">
        <f t="shared" si="6"/>
        <v>34.207340021204367</v>
      </c>
      <c r="AX18" s="4">
        <f t="shared" si="6"/>
        <v>36.259780422476631</v>
      </c>
      <c r="AY18" s="4">
        <f t="shared" si="6"/>
        <v>38.435367247825234</v>
      </c>
      <c r="AZ18" s="4">
        <f t="shared" si="6"/>
        <v>40.741489282694751</v>
      </c>
      <c r="BA18" s="4">
        <f t="shared" si="6"/>
        <v>43.18597863965644</v>
      </c>
      <c r="BB18" s="4">
        <f t="shared" si="6"/>
        <v>45.77713735803583</v>
      </c>
      <c r="BC18" s="4">
        <f t="shared" si="6"/>
        <v>48.523765599517979</v>
      </c>
      <c r="BD18" s="4">
        <f t="shared" si="6"/>
        <v>51.435191535489061</v>
      </c>
      <c r="BE18" s="4">
        <f t="shared" si="6"/>
        <v>54.521303027618409</v>
      </c>
      <c r="BF18" s="4">
        <f t="shared" si="6"/>
        <v>57.792581209275518</v>
      </c>
      <c r="BG18" s="4">
        <f t="shared" si="6"/>
        <v>61.260136081832052</v>
      </c>
      <c r="BH18" s="4">
        <f t="shared" si="6"/>
        <v>64.935744246741976</v>
      </c>
      <c r="BI18" s="4">
        <f t="shared" si="6"/>
        <v>68.831888901546492</v>
      </c>
      <c r="BJ18" s="4">
        <f t="shared" si="6"/>
        <v>72.961802235639283</v>
      </c>
      <c r="BK18" s="4">
        <f t="shared" si="6"/>
        <v>77.339510369777642</v>
      </c>
      <c r="BL18" s="4">
        <f t="shared" si="6"/>
        <v>81.979880991964308</v>
      </c>
    </row>
    <row r="19" spans="1:64" x14ac:dyDescent="0.2">
      <c r="B19" s="4" t="s">
        <v>58</v>
      </c>
      <c r="E19" s="4">
        <f>E12*E13*365*24/1000000</f>
        <v>15.768000000000001</v>
      </c>
    </row>
    <row r="20" spans="1:64" x14ac:dyDescent="0.2">
      <c r="B20" s="4" t="s">
        <v>56</v>
      </c>
      <c r="D20" s="6"/>
      <c r="E20" s="27">
        <v>500</v>
      </c>
    </row>
    <row r="21" spans="1:64" x14ac:dyDescent="0.2">
      <c r="D21" s="6"/>
    </row>
    <row r="22" spans="1:64" x14ac:dyDescent="0.2">
      <c r="A22" s="4" t="s">
        <v>145</v>
      </c>
      <c r="D22" s="6"/>
    </row>
    <row r="23" spans="1:64" x14ac:dyDescent="0.2">
      <c r="B23" s="4" t="s">
        <v>146</v>
      </c>
      <c r="C23" s="24">
        <v>0</v>
      </c>
      <c r="D23" s="6"/>
    </row>
    <row r="24" spans="1:64" x14ac:dyDescent="0.2">
      <c r="B24" s="4" t="s">
        <v>43</v>
      </c>
      <c r="C24" s="24">
        <v>0</v>
      </c>
      <c r="D24" s="6"/>
    </row>
    <row r="25" spans="1:64" x14ac:dyDescent="0.2">
      <c r="B25" s="4" t="s">
        <v>44</v>
      </c>
      <c r="C25" s="24">
        <v>0</v>
      </c>
      <c r="D25" s="6"/>
    </row>
    <row r="26" spans="1:64" x14ac:dyDescent="0.2">
      <c r="D26" s="6"/>
    </row>
    <row r="27" spans="1:64" x14ac:dyDescent="0.2">
      <c r="A27" s="11" t="s">
        <v>4</v>
      </c>
      <c r="D27" s="6"/>
    </row>
    <row r="28" spans="1:64" x14ac:dyDescent="0.2">
      <c r="A28" s="11"/>
      <c r="B28" s="11" t="s">
        <v>42</v>
      </c>
      <c r="C28" s="4">
        <f>H1</f>
        <v>2018</v>
      </c>
      <c r="D28" s="6"/>
      <c r="H28" s="26">
        <f>IF(H1=$C$28,$C$23,0)</f>
        <v>0</v>
      </c>
      <c r="I28" s="4">
        <f t="shared" ref="I28:BL28" si="7">IF(I1=$C$28,$C$23,0)</f>
        <v>0</v>
      </c>
      <c r="J28" s="4">
        <f t="shared" si="7"/>
        <v>0</v>
      </c>
      <c r="K28" s="4">
        <f t="shared" si="7"/>
        <v>0</v>
      </c>
      <c r="L28" s="4">
        <f t="shared" si="7"/>
        <v>0</v>
      </c>
      <c r="M28" s="4">
        <f t="shared" si="7"/>
        <v>0</v>
      </c>
      <c r="N28" s="4">
        <f t="shared" si="7"/>
        <v>0</v>
      </c>
      <c r="O28" s="4">
        <f t="shared" si="7"/>
        <v>0</v>
      </c>
      <c r="P28" s="4">
        <f t="shared" si="7"/>
        <v>0</v>
      </c>
      <c r="Q28" s="4">
        <f t="shared" si="7"/>
        <v>0</v>
      </c>
      <c r="R28" s="4">
        <f t="shared" si="7"/>
        <v>0</v>
      </c>
      <c r="S28" s="4">
        <f t="shared" si="7"/>
        <v>0</v>
      </c>
      <c r="T28" s="4">
        <f t="shared" si="7"/>
        <v>0</v>
      </c>
      <c r="U28" s="4">
        <f t="shared" si="7"/>
        <v>0</v>
      </c>
      <c r="V28" s="4">
        <f t="shared" si="7"/>
        <v>0</v>
      </c>
      <c r="W28" s="4">
        <f t="shared" si="7"/>
        <v>0</v>
      </c>
      <c r="X28" s="4">
        <f t="shared" si="7"/>
        <v>0</v>
      </c>
      <c r="Y28" s="4">
        <f t="shared" si="7"/>
        <v>0</v>
      </c>
      <c r="Z28" s="4">
        <f t="shared" si="7"/>
        <v>0</v>
      </c>
      <c r="AA28" s="4">
        <f t="shared" si="7"/>
        <v>0</v>
      </c>
      <c r="AB28" s="4">
        <f t="shared" si="7"/>
        <v>0</v>
      </c>
      <c r="AC28" s="4">
        <f t="shared" si="7"/>
        <v>0</v>
      </c>
      <c r="AD28" s="4">
        <f t="shared" si="7"/>
        <v>0</v>
      </c>
      <c r="AE28" s="4">
        <f t="shared" si="7"/>
        <v>0</v>
      </c>
      <c r="AF28" s="4">
        <f t="shared" si="7"/>
        <v>0</v>
      </c>
      <c r="AG28" s="4">
        <f t="shared" si="7"/>
        <v>0</v>
      </c>
      <c r="AH28" s="4">
        <f t="shared" si="7"/>
        <v>0</v>
      </c>
      <c r="AI28" s="4">
        <f t="shared" si="7"/>
        <v>0</v>
      </c>
      <c r="AJ28" s="4">
        <f t="shared" si="7"/>
        <v>0</v>
      </c>
      <c r="AK28" s="4">
        <f t="shared" si="7"/>
        <v>0</v>
      </c>
      <c r="AL28" s="4">
        <f t="shared" si="7"/>
        <v>0</v>
      </c>
      <c r="AM28" s="4">
        <f t="shared" si="7"/>
        <v>0</v>
      </c>
      <c r="AN28" s="4">
        <f t="shared" si="7"/>
        <v>0</v>
      </c>
      <c r="AO28" s="4">
        <f t="shared" si="7"/>
        <v>0</v>
      </c>
      <c r="AP28" s="4">
        <f t="shared" si="7"/>
        <v>0</v>
      </c>
      <c r="AQ28" s="4">
        <f t="shared" si="7"/>
        <v>0</v>
      </c>
      <c r="AR28" s="4">
        <f t="shared" si="7"/>
        <v>0</v>
      </c>
      <c r="AS28" s="4">
        <f t="shared" si="7"/>
        <v>0</v>
      </c>
      <c r="AT28" s="4">
        <f t="shared" si="7"/>
        <v>0</v>
      </c>
      <c r="AU28" s="4">
        <f t="shared" si="7"/>
        <v>0</v>
      </c>
      <c r="AV28" s="4">
        <f t="shared" si="7"/>
        <v>0</v>
      </c>
      <c r="AW28" s="4">
        <f t="shared" si="7"/>
        <v>0</v>
      </c>
      <c r="AX28" s="4">
        <f t="shared" si="7"/>
        <v>0</v>
      </c>
      <c r="AY28" s="4">
        <f t="shared" si="7"/>
        <v>0</v>
      </c>
      <c r="AZ28" s="4">
        <f t="shared" si="7"/>
        <v>0</v>
      </c>
      <c r="BA28" s="4">
        <f t="shared" si="7"/>
        <v>0</v>
      </c>
      <c r="BB28" s="4">
        <f t="shared" si="7"/>
        <v>0</v>
      </c>
      <c r="BC28" s="4">
        <f t="shared" si="7"/>
        <v>0</v>
      </c>
      <c r="BD28" s="4">
        <f t="shared" si="7"/>
        <v>0</v>
      </c>
      <c r="BE28" s="4">
        <f t="shared" si="7"/>
        <v>0</v>
      </c>
      <c r="BF28" s="4">
        <f t="shared" si="7"/>
        <v>0</v>
      </c>
      <c r="BG28" s="4">
        <f t="shared" si="7"/>
        <v>0</v>
      </c>
      <c r="BH28" s="4">
        <f t="shared" si="7"/>
        <v>0</v>
      </c>
      <c r="BI28" s="4">
        <f t="shared" si="7"/>
        <v>0</v>
      </c>
      <c r="BJ28" s="4">
        <f t="shared" si="7"/>
        <v>0</v>
      </c>
      <c r="BK28" s="4">
        <f t="shared" si="7"/>
        <v>0</v>
      </c>
      <c r="BL28" s="4">
        <f t="shared" si="7"/>
        <v>0</v>
      </c>
    </row>
    <row r="29" spans="1:64" x14ac:dyDescent="0.2">
      <c r="A29" s="11"/>
      <c r="B29" s="11" t="s">
        <v>43</v>
      </c>
      <c r="C29" s="4">
        <f>C28+2</f>
        <v>2020</v>
      </c>
      <c r="D29" s="6"/>
      <c r="H29" s="26">
        <f>IF(H1=$C$29,$C$24,0)</f>
        <v>0</v>
      </c>
      <c r="I29" s="4">
        <f t="shared" ref="I29:BL29" si="8">IF(I1=$C$29,$C$24,0)</f>
        <v>0</v>
      </c>
      <c r="J29" s="4">
        <f t="shared" si="8"/>
        <v>0</v>
      </c>
      <c r="K29" s="4">
        <f t="shared" si="8"/>
        <v>0</v>
      </c>
      <c r="L29" s="4">
        <f t="shared" si="8"/>
        <v>0</v>
      </c>
      <c r="M29" s="4">
        <f t="shared" si="8"/>
        <v>0</v>
      </c>
      <c r="N29" s="4">
        <f t="shared" si="8"/>
        <v>0</v>
      </c>
      <c r="O29" s="4">
        <f t="shared" si="8"/>
        <v>0</v>
      </c>
      <c r="P29" s="4">
        <f t="shared" si="8"/>
        <v>0</v>
      </c>
      <c r="Q29" s="4">
        <f t="shared" si="8"/>
        <v>0</v>
      </c>
      <c r="R29" s="4">
        <f t="shared" si="8"/>
        <v>0</v>
      </c>
      <c r="S29" s="4">
        <f t="shared" si="8"/>
        <v>0</v>
      </c>
      <c r="T29" s="4">
        <f t="shared" si="8"/>
        <v>0</v>
      </c>
      <c r="U29" s="4">
        <f t="shared" si="8"/>
        <v>0</v>
      </c>
      <c r="V29" s="4">
        <f t="shared" si="8"/>
        <v>0</v>
      </c>
      <c r="W29" s="4">
        <f t="shared" si="8"/>
        <v>0</v>
      </c>
      <c r="X29" s="4">
        <f t="shared" si="8"/>
        <v>0</v>
      </c>
      <c r="Y29" s="4">
        <f t="shared" si="8"/>
        <v>0</v>
      </c>
      <c r="Z29" s="4">
        <f t="shared" si="8"/>
        <v>0</v>
      </c>
      <c r="AA29" s="4">
        <f t="shared" si="8"/>
        <v>0</v>
      </c>
      <c r="AB29" s="4">
        <f t="shared" si="8"/>
        <v>0</v>
      </c>
      <c r="AC29" s="4">
        <f t="shared" si="8"/>
        <v>0</v>
      </c>
      <c r="AD29" s="4">
        <f t="shared" si="8"/>
        <v>0</v>
      </c>
      <c r="AE29" s="4">
        <f t="shared" si="8"/>
        <v>0</v>
      </c>
      <c r="AF29" s="4">
        <f t="shared" si="8"/>
        <v>0</v>
      </c>
      <c r="AG29" s="4">
        <f t="shared" si="8"/>
        <v>0</v>
      </c>
      <c r="AH29" s="4">
        <f t="shared" si="8"/>
        <v>0</v>
      </c>
      <c r="AI29" s="4">
        <f t="shared" si="8"/>
        <v>0</v>
      </c>
      <c r="AJ29" s="4">
        <f t="shared" si="8"/>
        <v>0</v>
      </c>
      <c r="AK29" s="4">
        <f t="shared" si="8"/>
        <v>0</v>
      </c>
      <c r="AL29" s="4">
        <f t="shared" si="8"/>
        <v>0</v>
      </c>
      <c r="AM29" s="4">
        <f t="shared" si="8"/>
        <v>0</v>
      </c>
      <c r="AN29" s="4">
        <f t="shared" si="8"/>
        <v>0</v>
      </c>
      <c r="AO29" s="4">
        <f t="shared" si="8"/>
        <v>0</v>
      </c>
      <c r="AP29" s="4">
        <f t="shared" si="8"/>
        <v>0</v>
      </c>
      <c r="AQ29" s="4">
        <f t="shared" si="8"/>
        <v>0</v>
      </c>
      <c r="AR29" s="4">
        <f t="shared" si="8"/>
        <v>0</v>
      </c>
      <c r="AS29" s="4">
        <f t="shared" si="8"/>
        <v>0</v>
      </c>
      <c r="AT29" s="4">
        <f t="shared" si="8"/>
        <v>0</v>
      </c>
      <c r="AU29" s="4">
        <f t="shared" si="8"/>
        <v>0</v>
      </c>
      <c r="AV29" s="4">
        <f t="shared" si="8"/>
        <v>0</v>
      </c>
      <c r="AW29" s="4">
        <f t="shared" si="8"/>
        <v>0</v>
      </c>
      <c r="AX29" s="4">
        <f t="shared" si="8"/>
        <v>0</v>
      </c>
      <c r="AY29" s="4">
        <f t="shared" si="8"/>
        <v>0</v>
      </c>
      <c r="AZ29" s="4">
        <f t="shared" si="8"/>
        <v>0</v>
      </c>
      <c r="BA29" s="4">
        <f t="shared" si="8"/>
        <v>0</v>
      </c>
      <c r="BB29" s="4">
        <f t="shared" si="8"/>
        <v>0</v>
      </c>
      <c r="BC29" s="4">
        <f t="shared" si="8"/>
        <v>0</v>
      </c>
      <c r="BD29" s="4">
        <f t="shared" si="8"/>
        <v>0</v>
      </c>
      <c r="BE29" s="4">
        <f t="shared" si="8"/>
        <v>0</v>
      </c>
      <c r="BF29" s="4">
        <f t="shared" si="8"/>
        <v>0</v>
      </c>
      <c r="BG29" s="4">
        <f t="shared" si="8"/>
        <v>0</v>
      </c>
      <c r="BH29" s="4">
        <f t="shared" si="8"/>
        <v>0</v>
      </c>
      <c r="BI29" s="4">
        <f t="shared" si="8"/>
        <v>0</v>
      </c>
      <c r="BJ29" s="4">
        <f t="shared" si="8"/>
        <v>0</v>
      </c>
      <c r="BK29" s="4">
        <f t="shared" si="8"/>
        <v>0</v>
      </c>
      <c r="BL29" s="4">
        <f t="shared" si="8"/>
        <v>0</v>
      </c>
    </row>
    <row r="30" spans="1:64" x14ac:dyDescent="0.2">
      <c r="A30" s="11"/>
      <c r="B30" s="11" t="s">
        <v>44</v>
      </c>
      <c r="C30" s="4">
        <f>C28+6</f>
        <v>2024</v>
      </c>
      <c r="H30" s="26">
        <f>IF(AND(G33=3,H1=$C$30),$C$25,0)</f>
        <v>0</v>
      </c>
      <c r="I30" s="4">
        <f t="shared" ref="I30:BL30" si="9">IF(AND(H33=3,I1=$C$30),$C$25,0)</f>
        <v>0</v>
      </c>
      <c r="J30" s="4">
        <f t="shared" si="9"/>
        <v>0</v>
      </c>
      <c r="K30" s="4">
        <f t="shared" si="9"/>
        <v>0</v>
      </c>
      <c r="L30" s="4">
        <f t="shared" si="9"/>
        <v>0</v>
      </c>
      <c r="M30" s="4">
        <f t="shared" si="9"/>
        <v>0</v>
      </c>
      <c r="N30" s="4">
        <f t="shared" si="9"/>
        <v>0</v>
      </c>
      <c r="O30" s="4">
        <f t="shared" si="9"/>
        <v>0</v>
      </c>
      <c r="P30" s="4">
        <f t="shared" si="9"/>
        <v>0</v>
      </c>
      <c r="Q30" s="4">
        <f t="shared" si="9"/>
        <v>0</v>
      </c>
      <c r="R30" s="4">
        <f t="shared" si="9"/>
        <v>0</v>
      </c>
      <c r="S30" s="4">
        <f t="shared" si="9"/>
        <v>0</v>
      </c>
      <c r="T30" s="4">
        <f t="shared" si="9"/>
        <v>0</v>
      </c>
      <c r="U30" s="4">
        <f t="shared" si="9"/>
        <v>0</v>
      </c>
      <c r="V30" s="4">
        <f t="shared" si="9"/>
        <v>0</v>
      </c>
      <c r="W30" s="4">
        <f t="shared" si="9"/>
        <v>0</v>
      </c>
      <c r="X30" s="4">
        <f t="shared" si="9"/>
        <v>0</v>
      </c>
      <c r="Y30" s="4">
        <f t="shared" si="9"/>
        <v>0</v>
      </c>
      <c r="Z30" s="4">
        <f t="shared" si="9"/>
        <v>0</v>
      </c>
      <c r="AA30" s="4">
        <f t="shared" si="9"/>
        <v>0</v>
      </c>
      <c r="AB30" s="4">
        <f t="shared" si="9"/>
        <v>0</v>
      </c>
      <c r="AC30" s="4">
        <f t="shared" si="9"/>
        <v>0</v>
      </c>
      <c r="AD30" s="4">
        <f t="shared" si="9"/>
        <v>0</v>
      </c>
      <c r="AE30" s="4">
        <f t="shared" si="9"/>
        <v>0</v>
      </c>
      <c r="AF30" s="4">
        <f t="shared" si="9"/>
        <v>0</v>
      </c>
      <c r="AG30" s="4">
        <f t="shared" si="9"/>
        <v>0</v>
      </c>
      <c r="AH30" s="4">
        <f t="shared" si="9"/>
        <v>0</v>
      </c>
      <c r="AI30" s="4">
        <f t="shared" si="9"/>
        <v>0</v>
      </c>
      <c r="AJ30" s="4">
        <f t="shared" si="9"/>
        <v>0</v>
      </c>
      <c r="AK30" s="4">
        <f t="shared" si="9"/>
        <v>0</v>
      </c>
      <c r="AL30" s="4">
        <f t="shared" si="9"/>
        <v>0</v>
      </c>
      <c r="AM30" s="4">
        <f t="shared" si="9"/>
        <v>0</v>
      </c>
      <c r="AN30" s="4">
        <f t="shared" si="9"/>
        <v>0</v>
      </c>
      <c r="AO30" s="4">
        <f t="shared" si="9"/>
        <v>0</v>
      </c>
      <c r="AP30" s="4">
        <f t="shared" si="9"/>
        <v>0</v>
      </c>
      <c r="AQ30" s="4">
        <f t="shared" si="9"/>
        <v>0</v>
      </c>
      <c r="AR30" s="4">
        <f t="shared" si="9"/>
        <v>0</v>
      </c>
      <c r="AS30" s="4">
        <f t="shared" si="9"/>
        <v>0</v>
      </c>
      <c r="AT30" s="4">
        <f t="shared" si="9"/>
        <v>0</v>
      </c>
      <c r="AU30" s="4">
        <f t="shared" si="9"/>
        <v>0</v>
      </c>
      <c r="AV30" s="4">
        <f t="shared" si="9"/>
        <v>0</v>
      </c>
      <c r="AW30" s="4">
        <f t="shared" si="9"/>
        <v>0</v>
      </c>
      <c r="AX30" s="4">
        <f t="shared" si="9"/>
        <v>0</v>
      </c>
      <c r="AY30" s="4">
        <f t="shared" si="9"/>
        <v>0</v>
      </c>
      <c r="AZ30" s="4">
        <f t="shared" si="9"/>
        <v>0</v>
      </c>
      <c r="BA30" s="4">
        <f t="shared" si="9"/>
        <v>0</v>
      </c>
      <c r="BB30" s="4">
        <f t="shared" si="9"/>
        <v>0</v>
      </c>
      <c r="BC30" s="4">
        <f t="shared" si="9"/>
        <v>0</v>
      </c>
      <c r="BD30" s="4">
        <f t="shared" si="9"/>
        <v>0</v>
      </c>
      <c r="BE30" s="4">
        <f t="shared" si="9"/>
        <v>0</v>
      </c>
      <c r="BF30" s="4">
        <f t="shared" si="9"/>
        <v>0</v>
      </c>
      <c r="BG30" s="4">
        <f t="shared" si="9"/>
        <v>0</v>
      </c>
      <c r="BH30" s="4">
        <f t="shared" si="9"/>
        <v>0</v>
      </c>
      <c r="BI30" s="4">
        <f t="shared" si="9"/>
        <v>0</v>
      </c>
      <c r="BJ30" s="4">
        <f t="shared" si="9"/>
        <v>0</v>
      </c>
      <c r="BK30" s="4">
        <f t="shared" si="9"/>
        <v>0</v>
      </c>
      <c r="BL30" s="4">
        <f t="shared" si="9"/>
        <v>0</v>
      </c>
    </row>
    <row r="31" spans="1:64" x14ac:dyDescent="0.2">
      <c r="A31" s="11"/>
      <c r="B31" s="11" t="s">
        <v>45</v>
      </c>
      <c r="C31" s="4">
        <f>C28+10</f>
        <v>2028</v>
      </c>
      <c r="H31" s="4">
        <f>IF(AND(G33=4,H1=$C$31),1,0)</f>
        <v>0</v>
      </c>
      <c r="I31" s="4">
        <f t="shared" ref="I31:BL31" si="10">IF(AND(H33=4,I1=$C$31),1,0)</f>
        <v>0</v>
      </c>
      <c r="J31" s="4">
        <f t="shared" si="10"/>
        <v>0</v>
      </c>
      <c r="K31" s="4">
        <f t="shared" si="10"/>
        <v>0</v>
      </c>
      <c r="L31" s="4">
        <f t="shared" si="10"/>
        <v>0</v>
      </c>
      <c r="M31" s="4">
        <f t="shared" si="10"/>
        <v>0</v>
      </c>
      <c r="N31" s="4">
        <f t="shared" si="10"/>
        <v>0</v>
      </c>
      <c r="O31" s="4">
        <f t="shared" si="10"/>
        <v>0</v>
      </c>
      <c r="P31" s="4">
        <f t="shared" si="10"/>
        <v>0</v>
      </c>
      <c r="Q31" s="4">
        <f t="shared" si="10"/>
        <v>0</v>
      </c>
      <c r="R31" s="4">
        <f t="shared" si="10"/>
        <v>0</v>
      </c>
      <c r="S31" s="4">
        <f t="shared" si="10"/>
        <v>0</v>
      </c>
      <c r="T31" s="4">
        <f t="shared" si="10"/>
        <v>0</v>
      </c>
      <c r="U31" s="4">
        <f t="shared" si="10"/>
        <v>0</v>
      </c>
      <c r="V31" s="4">
        <f t="shared" si="10"/>
        <v>0</v>
      </c>
      <c r="W31" s="4">
        <f t="shared" si="10"/>
        <v>0</v>
      </c>
      <c r="X31" s="4">
        <f t="shared" si="10"/>
        <v>0</v>
      </c>
      <c r="Y31" s="4">
        <f t="shared" si="10"/>
        <v>0</v>
      </c>
      <c r="Z31" s="4">
        <f t="shared" si="10"/>
        <v>0</v>
      </c>
      <c r="AA31" s="4">
        <f t="shared" si="10"/>
        <v>0</v>
      </c>
      <c r="AB31" s="4">
        <f t="shared" si="10"/>
        <v>0</v>
      </c>
      <c r="AC31" s="4">
        <f t="shared" si="10"/>
        <v>0</v>
      </c>
      <c r="AD31" s="4">
        <f t="shared" si="10"/>
        <v>0</v>
      </c>
      <c r="AE31" s="4">
        <f t="shared" si="10"/>
        <v>0</v>
      </c>
      <c r="AF31" s="4">
        <f t="shared" si="10"/>
        <v>0</v>
      </c>
      <c r="AG31" s="4">
        <f t="shared" si="10"/>
        <v>0</v>
      </c>
      <c r="AH31" s="4">
        <f t="shared" si="10"/>
        <v>0</v>
      </c>
      <c r="AI31" s="4">
        <f t="shared" si="10"/>
        <v>0</v>
      </c>
      <c r="AJ31" s="4">
        <f t="shared" si="10"/>
        <v>0</v>
      </c>
      <c r="AK31" s="4">
        <f t="shared" si="10"/>
        <v>0</v>
      </c>
      <c r="AL31" s="4">
        <f t="shared" si="10"/>
        <v>0</v>
      </c>
      <c r="AM31" s="4">
        <f t="shared" si="10"/>
        <v>0</v>
      </c>
      <c r="AN31" s="4">
        <f t="shared" si="10"/>
        <v>0</v>
      </c>
      <c r="AO31" s="4">
        <f t="shared" si="10"/>
        <v>0</v>
      </c>
      <c r="AP31" s="4">
        <f t="shared" si="10"/>
        <v>0</v>
      </c>
      <c r="AQ31" s="4">
        <f t="shared" si="10"/>
        <v>0</v>
      </c>
      <c r="AR31" s="4">
        <f t="shared" si="10"/>
        <v>0</v>
      </c>
      <c r="AS31" s="4">
        <f t="shared" si="10"/>
        <v>0</v>
      </c>
      <c r="AT31" s="4">
        <f t="shared" si="10"/>
        <v>0</v>
      </c>
      <c r="AU31" s="4">
        <f t="shared" si="10"/>
        <v>0</v>
      </c>
      <c r="AV31" s="4">
        <f t="shared" si="10"/>
        <v>0</v>
      </c>
      <c r="AW31" s="4">
        <f t="shared" si="10"/>
        <v>0</v>
      </c>
      <c r="AX31" s="4">
        <f t="shared" si="10"/>
        <v>0</v>
      </c>
      <c r="AY31" s="4">
        <f t="shared" si="10"/>
        <v>0</v>
      </c>
      <c r="AZ31" s="4">
        <f t="shared" si="10"/>
        <v>0</v>
      </c>
      <c r="BA31" s="4">
        <f t="shared" si="10"/>
        <v>0</v>
      </c>
      <c r="BB31" s="4">
        <f t="shared" si="10"/>
        <v>0</v>
      </c>
      <c r="BC31" s="4">
        <f t="shared" si="10"/>
        <v>0</v>
      </c>
      <c r="BD31" s="4">
        <f t="shared" si="10"/>
        <v>0</v>
      </c>
      <c r="BE31" s="4">
        <f t="shared" si="10"/>
        <v>0</v>
      </c>
      <c r="BF31" s="4">
        <f t="shared" si="10"/>
        <v>0</v>
      </c>
      <c r="BG31" s="4">
        <f t="shared" si="10"/>
        <v>0</v>
      </c>
      <c r="BH31" s="4">
        <f t="shared" si="10"/>
        <v>0</v>
      </c>
      <c r="BI31" s="4">
        <f t="shared" si="10"/>
        <v>0</v>
      </c>
      <c r="BJ31" s="4">
        <f t="shared" si="10"/>
        <v>0</v>
      </c>
      <c r="BK31" s="4">
        <f t="shared" si="10"/>
        <v>0</v>
      </c>
      <c r="BL31" s="4">
        <f t="shared" si="10"/>
        <v>0</v>
      </c>
    </row>
    <row r="32" spans="1:64" x14ac:dyDescent="0.2">
      <c r="A32" s="11"/>
      <c r="B32" s="11" t="s">
        <v>46</v>
      </c>
      <c r="C32" s="4">
        <f>C28+56</f>
        <v>2074</v>
      </c>
      <c r="D32" s="6"/>
      <c r="H32" s="4">
        <f>IF(OR(G33=4,G33=5),IF(OR(H34*$E$19&lt;$E$17,H1=$C$32),1,0),0)</f>
        <v>0</v>
      </c>
      <c r="I32" s="4">
        <f t="shared" ref="I32:BL32" si="11">IF(OR(H33=4,H33=5),IF(OR(I34*$E$19&lt;$E$17,I1=$C$32),1,0),0)</f>
        <v>0</v>
      </c>
      <c r="J32" s="4">
        <f t="shared" si="11"/>
        <v>0</v>
      </c>
      <c r="K32" s="4">
        <f t="shared" si="11"/>
        <v>0</v>
      </c>
      <c r="L32" s="4">
        <f t="shared" si="11"/>
        <v>0</v>
      </c>
      <c r="M32" s="4">
        <f t="shared" si="11"/>
        <v>0</v>
      </c>
      <c r="N32" s="4">
        <f t="shared" si="11"/>
        <v>0</v>
      </c>
      <c r="O32" s="4">
        <f t="shared" si="11"/>
        <v>0</v>
      </c>
      <c r="P32" s="4">
        <f t="shared" si="11"/>
        <v>0</v>
      </c>
      <c r="Q32" s="4">
        <f t="shared" si="11"/>
        <v>0</v>
      </c>
      <c r="R32" s="4">
        <f t="shared" si="11"/>
        <v>0</v>
      </c>
      <c r="S32" s="4">
        <f t="shared" si="11"/>
        <v>0</v>
      </c>
      <c r="T32" s="4">
        <f t="shared" si="11"/>
        <v>0</v>
      </c>
      <c r="U32" s="4">
        <f t="shared" si="11"/>
        <v>0</v>
      </c>
      <c r="V32" s="4">
        <f t="shared" si="11"/>
        <v>0</v>
      </c>
      <c r="W32" s="4">
        <f t="shared" si="11"/>
        <v>0</v>
      </c>
      <c r="X32" s="4">
        <f t="shared" si="11"/>
        <v>0</v>
      </c>
      <c r="Y32" s="4">
        <f t="shared" si="11"/>
        <v>0</v>
      </c>
      <c r="Z32" s="4">
        <f t="shared" si="11"/>
        <v>0</v>
      </c>
      <c r="AA32" s="4">
        <f t="shared" si="11"/>
        <v>0</v>
      </c>
      <c r="AB32" s="4">
        <f t="shared" si="11"/>
        <v>0</v>
      </c>
      <c r="AC32" s="4">
        <f t="shared" si="11"/>
        <v>0</v>
      </c>
      <c r="AD32" s="4">
        <f t="shared" si="11"/>
        <v>0</v>
      </c>
      <c r="AE32" s="4">
        <f t="shared" si="11"/>
        <v>0</v>
      </c>
      <c r="AF32" s="4">
        <f t="shared" si="11"/>
        <v>0</v>
      </c>
      <c r="AG32" s="4">
        <f t="shared" si="11"/>
        <v>0</v>
      </c>
      <c r="AH32" s="4">
        <f t="shared" si="11"/>
        <v>0</v>
      </c>
      <c r="AI32" s="4">
        <f t="shared" si="11"/>
        <v>0</v>
      </c>
      <c r="AJ32" s="4">
        <f t="shared" si="11"/>
        <v>0</v>
      </c>
      <c r="AK32" s="4">
        <f t="shared" si="11"/>
        <v>0</v>
      </c>
      <c r="AL32" s="4">
        <f t="shared" si="11"/>
        <v>0</v>
      </c>
      <c r="AM32" s="4">
        <f t="shared" si="11"/>
        <v>0</v>
      </c>
      <c r="AN32" s="4">
        <f t="shared" si="11"/>
        <v>0</v>
      </c>
      <c r="AO32" s="4">
        <f t="shared" si="11"/>
        <v>0</v>
      </c>
      <c r="AP32" s="4">
        <f t="shared" si="11"/>
        <v>0</v>
      </c>
      <c r="AQ32" s="4">
        <f t="shared" si="11"/>
        <v>0</v>
      </c>
      <c r="AR32" s="4">
        <f t="shared" si="11"/>
        <v>0</v>
      </c>
      <c r="AS32" s="4">
        <f t="shared" si="11"/>
        <v>0</v>
      </c>
      <c r="AT32" s="4">
        <f t="shared" si="11"/>
        <v>0</v>
      </c>
      <c r="AU32" s="4">
        <f t="shared" si="11"/>
        <v>0</v>
      </c>
      <c r="AV32" s="4">
        <f t="shared" si="11"/>
        <v>0</v>
      </c>
      <c r="AW32" s="4">
        <f t="shared" si="11"/>
        <v>0</v>
      </c>
      <c r="AX32" s="4">
        <f t="shared" si="11"/>
        <v>0</v>
      </c>
      <c r="AY32" s="4">
        <f t="shared" si="11"/>
        <v>0</v>
      </c>
      <c r="AZ32" s="4">
        <f t="shared" si="11"/>
        <v>0</v>
      </c>
      <c r="BA32" s="4">
        <f t="shared" si="11"/>
        <v>0</v>
      </c>
      <c r="BB32" s="4">
        <f t="shared" si="11"/>
        <v>0</v>
      </c>
      <c r="BC32" s="4">
        <f t="shared" si="11"/>
        <v>0</v>
      </c>
      <c r="BD32" s="4">
        <f t="shared" si="11"/>
        <v>0</v>
      </c>
      <c r="BE32" s="4">
        <f t="shared" si="11"/>
        <v>0</v>
      </c>
      <c r="BF32" s="4">
        <f t="shared" si="11"/>
        <v>0</v>
      </c>
      <c r="BG32" s="4">
        <f t="shared" si="11"/>
        <v>0</v>
      </c>
      <c r="BH32" s="4">
        <f t="shared" si="11"/>
        <v>0</v>
      </c>
      <c r="BI32" s="4">
        <f t="shared" si="11"/>
        <v>0</v>
      </c>
      <c r="BJ32" s="4">
        <f t="shared" si="11"/>
        <v>0</v>
      </c>
      <c r="BK32" s="4">
        <f t="shared" si="11"/>
        <v>0</v>
      </c>
      <c r="BL32" s="4">
        <f t="shared" si="11"/>
        <v>0</v>
      </c>
    </row>
    <row r="33" spans="1:64" x14ac:dyDescent="0.2">
      <c r="A33" s="11"/>
      <c r="B33" s="11" t="s">
        <v>47</v>
      </c>
      <c r="D33" s="6"/>
      <c r="G33" s="4">
        <v>1</v>
      </c>
      <c r="H33" s="11">
        <f>CHOOSE(G33,IF(H28=1,2,IF(H29=1,3,1)),IF(H29=1,3,2),IF(H30=1,4,3),IF(H31,5,4),IF(H32=1,6,5),6)</f>
        <v>1</v>
      </c>
      <c r="I33" s="11">
        <f t="shared" ref="I33:BL33" si="12">CHOOSE(H33,IF(I28=1,2,IF(I29=1,3,1)),IF(I29=1,3,2),IF(I30=1,4,3),IF(I31,5,4),IF(I32=1,6,5),6)</f>
        <v>1</v>
      </c>
      <c r="J33" s="11">
        <f t="shared" si="12"/>
        <v>1</v>
      </c>
      <c r="K33" s="11">
        <f t="shared" si="12"/>
        <v>1</v>
      </c>
      <c r="L33" s="11">
        <f t="shared" si="12"/>
        <v>1</v>
      </c>
      <c r="M33" s="11">
        <f t="shared" si="12"/>
        <v>1</v>
      </c>
      <c r="N33" s="11">
        <f t="shared" si="12"/>
        <v>1</v>
      </c>
      <c r="O33" s="11">
        <f t="shared" si="12"/>
        <v>1</v>
      </c>
      <c r="P33" s="11">
        <f t="shared" si="12"/>
        <v>1</v>
      </c>
      <c r="Q33" s="11">
        <f t="shared" si="12"/>
        <v>1</v>
      </c>
      <c r="R33" s="11">
        <f t="shared" si="12"/>
        <v>1</v>
      </c>
      <c r="S33" s="11">
        <f t="shared" si="12"/>
        <v>1</v>
      </c>
      <c r="T33" s="11">
        <f t="shared" si="12"/>
        <v>1</v>
      </c>
      <c r="U33" s="11">
        <f t="shared" si="12"/>
        <v>1</v>
      </c>
      <c r="V33" s="11">
        <f t="shared" si="12"/>
        <v>1</v>
      </c>
      <c r="W33" s="11">
        <f t="shared" si="12"/>
        <v>1</v>
      </c>
      <c r="X33" s="11">
        <f t="shared" si="12"/>
        <v>1</v>
      </c>
      <c r="Y33" s="11">
        <f t="shared" si="12"/>
        <v>1</v>
      </c>
      <c r="Z33" s="11">
        <f t="shared" si="12"/>
        <v>1</v>
      </c>
      <c r="AA33" s="11">
        <f t="shared" si="12"/>
        <v>1</v>
      </c>
      <c r="AB33" s="11">
        <f t="shared" si="12"/>
        <v>1</v>
      </c>
      <c r="AC33" s="11">
        <f t="shared" si="12"/>
        <v>1</v>
      </c>
      <c r="AD33" s="11">
        <f t="shared" si="12"/>
        <v>1</v>
      </c>
      <c r="AE33" s="11">
        <f t="shared" si="12"/>
        <v>1</v>
      </c>
      <c r="AF33" s="11">
        <f t="shared" si="12"/>
        <v>1</v>
      </c>
      <c r="AG33" s="11">
        <f t="shared" si="12"/>
        <v>1</v>
      </c>
      <c r="AH33" s="11">
        <f t="shared" si="12"/>
        <v>1</v>
      </c>
      <c r="AI33" s="11">
        <f t="shared" si="12"/>
        <v>1</v>
      </c>
      <c r="AJ33" s="11">
        <f t="shared" si="12"/>
        <v>1</v>
      </c>
      <c r="AK33" s="11">
        <f t="shared" si="12"/>
        <v>1</v>
      </c>
      <c r="AL33" s="11">
        <f t="shared" si="12"/>
        <v>1</v>
      </c>
      <c r="AM33" s="11">
        <f t="shared" si="12"/>
        <v>1</v>
      </c>
      <c r="AN33" s="11">
        <f t="shared" si="12"/>
        <v>1</v>
      </c>
      <c r="AO33" s="11">
        <f t="shared" si="12"/>
        <v>1</v>
      </c>
      <c r="AP33" s="11">
        <f t="shared" si="12"/>
        <v>1</v>
      </c>
      <c r="AQ33" s="11">
        <f t="shared" si="12"/>
        <v>1</v>
      </c>
      <c r="AR33" s="11">
        <f t="shared" si="12"/>
        <v>1</v>
      </c>
      <c r="AS33" s="11">
        <f t="shared" si="12"/>
        <v>1</v>
      </c>
      <c r="AT33" s="11">
        <f t="shared" si="12"/>
        <v>1</v>
      </c>
      <c r="AU33" s="11">
        <f t="shared" si="12"/>
        <v>1</v>
      </c>
      <c r="AV33" s="11">
        <f t="shared" si="12"/>
        <v>1</v>
      </c>
      <c r="AW33" s="11">
        <f t="shared" si="12"/>
        <v>1</v>
      </c>
      <c r="AX33" s="11">
        <f t="shared" si="12"/>
        <v>1</v>
      </c>
      <c r="AY33" s="11">
        <f t="shared" si="12"/>
        <v>1</v>
      </c>
      <c r="AZ33" s="11">
        <f t="shared" si="12"/>
        <v>1</v>
      </c>
      <c r="BA33" s="11">
        <f t="shared" si="12"/>
        <v>1</v>
      </c>
      <c r="BB33" s="11">
        <f t="shared" si="12"/>
        <v>1</v>
      </c>
      <c r="BC33" s="11">
        <f t="shared" si="12"/>
        <v>1</v>
      </c>
      <c r="BD33" s="11">
        <f t="shared" si="12"/>
        <v>1</v>
      </c>
      <c r="BE33" s="11">
        <f t="shared" si="12"/>
        <v>1</v>
      </c>
      <c r="BF33" s="11">
        <f t="shared" si="12"/>
        <v>1</v>
      </c>
      <c r="BG33" s="11">
        <f t="shared" si="12"/>
        <v>1</v>
      </c>
      <c r="BH33" s="11">
        <f t="shared" si="12"/>
        <v>1</v>
      </c>
      <c r="BI33" s="11">
        <f t="shared" si="12"/>
        <v>1</v>
      </c>
      <c r="BJ33" s="11">
        <f t="shared" si="12"/>
        <v>1</v>
      </c>
      <c r="BK33" s="11">
        <f t="shared" si="12"/>
        <v>1</v>
      </c>
      <c r="BL33" s="11">
        <f t="shared" si="12"/>
        <v>1</v>
      </c>
    </row>
    <row r="34" spans="1:64" x14ac:dyDescent="0.2">
      <c r="B34" s="4" t="s">
        <v>52</v>
      </c>
      <c r="D34" s="6"/>
      <c r="G34" s="4">
        <f t="shared" ref="G34:G40" si="13">SUM(H34:BL34)</f>
        <v>624.3714866888256</v>
      </c>
      <c r="H34" s="4">
        <f t="shared" ref="H34:BL34" si="14">H2-H18</f>
        <v>17</v>
      </c>
      <c r="I34" s="4">
        <f t="shared" si="14"/>
        <v>17.067999999999998</v>
      </c>
      <c r="J34" s="4">
        <f t="shared" si="14"/>
        <v>17.136136</v>
      </c>
      <c r="K34" s="4">
        <f t="shared" si="14"/>
        <v>17.204408272000002</v>
      </c>
      <c r="L34" s="4">
        <f t="shared" si="14"/>
        <v>17.272817088544002</v>
      </c>
      <c r="M34" s="4">
        <f t="shared" si="14"/>
        <v>17.341362722721094</v>
      </c>
      <c r="N34" s="4">
        <f t="shared" si="14"/>
        <v>17.410045448166535</v>
      </c>
      <c r="O34" s="4">
        <f t="shared" si="14"/>
        <v>17.478865539062866</v>
      </c>
      <c r="P34" s="4">
        <f t="shared" si="14"/>
        <v>17.547823270140995</v>
      </c>
      <c r="Q34" s="4">
        <f t="shared" si="14"/>
        <v>17.616918916681279</v>
      </c>
      <c r="R34" s="4">
        <f t="shared" si="14"/>
        <v>17.686152754514644</v>
      </c>
      <c r="S34" s="4">
        <f t="shared" si="14"/>
        <v>17.755525060023672</v>
      </c>
      <c r="T34" s="4">
        <f t="shared" si="14"/>
        <v>17.825036110143721</v>
      </c>
      <c r="U34" s="4">
        <f t="shared" si="14"/>
        <v>17.894686182364005</v>
      </c>
      <c r="V34" s="4">
        <f t="shared" si="14"/>
        <v>17.964475554728736</v>
      </c>
      <c r="W34" s="4">
        <f t="shared" si="14"/>
        <v>18.034404505838197</v>
      </c>
      <c r="X34" s="4">
        <f t="shared" si="14"/>
        <v>18.104473314849876</v>
      </c>
      <c r="Y34" s="4">
        <f t="shared" si="14"/>
        <v>18.174682261479575</v>
      </c>
      <c r="Z34" s="4">
        <f t="shared" si="14"/>
        <v>18.245031626002536</v>
      </c>
      <c r="AA34" s="4">
        <f t="shared" si="14"/>
        <v>18.315521689254538</v>
      </c>
      <c r="AB34" s="4">
        <f t="shared" si="14"/>
        <v>18.38615273263305</v>
      </c>
      <c r="AC34" s="4">
        <f t="shared" si="14"/>
        <v>18.456925038098319</v>
      </c>
      <c r="AD34" s="4">
        <f t="shared" si="14"/>
        <v>18.527838888174514</v>
      </c>
      <c r="AE34" s="4">
        <f t="shared" si="14"/>
        <v>18.598894565950864</v>
      </c>
      <c r="AF34" s="4">
        <f t="shared" si="14"/>
        <v>18.670092355082765</v>
      </c>
      <c r="AG34" s="4">
        <f t="shared" si="14"/>
        <v>19.347824109829332</v>
      </c>
      <c r="AH34" s="4">
        <f t="shared" si="14"/>
        <v>20.038432767916085</v>
      </c>
      <c r="AI34" s="4">
        <f t="shared" si="14"/>
        <v>20.742162990506486</v>
      </c>
      <c r="AJ34" s="4">
        <f t="shared" si="14"/>
        <v>21.459264087326105</v>
      </c>
      <c r="AK34" s="4">
        <f t="shared" si="14"/>
        <v>22.189990104985299</v>
      </c>
      <c r="AL34" s="4">
        <f t="shared" si="14"/>
        <v>21.914599916980013</v>
      </c>
      <c r="AM34" s="4">
        <f t="shared" si="14"/>
        <v>21.592157315402627</v>
      </c>
      <c r="AN34" s="4">
        <f t="shared" si="14"/>
        <v>21.21925910439527</v>
      </c>
      <c r="AO34" s="4">
        <f t="shared" si="14"/>
        <v>20.792286875378775</v>
      </c>
      <c r="AP34" s="4">
        <f t="shared" si="14"/>
        <v>20.307393884890963</v>
      </c>
      <c r="AQ34" s="4">
        <f t="shared" si="14"/>
        <v>19.200747167963506</v>
      </c>
      <c r="AR34" s="4">
        <f t="shared" si="14"/>
        <v>18.013751105920278</v>
      </c>
      <c r="AS34" s="4">
        <f t="shared" si="14"/>
        <v>16.741501034801729</v>
      </c>
      <c r="AT34" s="4">
        <f t="shared" si="14"/>
        <v>15.378797508591223</v>
      </c>
      <c r="AU34" s="4">
        <f t="shared" si="14"/>
        <v>13.920128609278301</v>
      </c>
      <c r="AV34" s="4">
        <f t="shared" si="14"/>
        <v>12.359651195507631</v>
      </c>
      <c r="AW34" s="4">
        <f t="shared" si="14"/>
        <v>10.691171026128757</v>
      </c>
      <c r="AX34" s="4">
        <f t="shared" si="14"/>
        <v>8.9081216911404937</v>
      </c>
      <c r="AY34" s="4">
        <f t="shared" si="14"/>
        <v>7.0035422784735957</v>
      </c>
      <c r="AZ34" s="4">
        <f t="shared" si="14"/>
        <v>4.9700537007618735</v>
      </c>
      <c r="BA34" s="4">
        <f t="shared" si="14"/>
        <v>2.7998336017009251</v>
      </c>
      <c r="BB34" s="4">
        <f t="shared" si="14"/>
        <v>0.48458975676967952</v>
      </c>
      <c r="BC34" s="4">
        <f t="shared" si="14"/>
        <v>-1.9844681220236353</v>
      </c>
      <c r="BD34" s="4">
        <f t="shared" si="14"/>
        <v>-4.616658273129751</v>
      </c>
      <c r="BE34" s="4">
        <f t="shared" si="14"/>
        <v>-7.4218585656849427</v>
      </c>
      <c r="BF34" s="4">
        <f t="shared" si="14"/>
        <v>-10.410540080570449</v>
      </c>
      <c r="BG34" s="4">
        <f t="shared" si="14"/>
        <v>-13.593802706354751</v>
      </c>
      <c r="BH34" s="4">
        <f t="shared" si="14"/>
        <v>-16.983412871011808</v>
      </c>
      <c r="BI34" s="4">
        <f t="shared" si="14"/>
        <v>-20.591843537561942</v>
      </c>
      <c r="BJ34" s="4">
        <f t="shared" si="14"/>
        <v>-24.432316599470823</v>
      </c>
      <c r="BK34" s="4">
        <f t="shared" si="14"/>
        <v>-28.518847819792171</v>
      </c>
      <c r="BL34" s="4">
        <f t="shared" si="14"/>
        <v>-32.866294466678923</v>
      </c>
    </row>
    <row r="35" spans="1:64" x14ac:dyDescent="0.2">
      <c r="B35" s="11" t="s">
        <v>58</v>
      </c>
      <c r="D35" s="6"/>
      <c r="G35" s="4">
        <f t="shared" si="13"/>
        <v>0</v>
      </c>
      <c r="H35" s="4">
        <f>IF(H33=5,$E$19,0)</f>
        <v>0</v>
      </c>
      <c r="I35" s="4">
        <f t="shared" ref="I35:BL35" si="15">IF(I33=5,$E$19,0)</f>
        <v>0</v>
      </c>
      <c r="J35" s="4">
        <f t="shared" si="15"/>
        <v>0</v>
      </c>
      <c r="K35" s="4">
        <f t="shared" si="15"/>
        <v>0</v>
      </c>
      <c r="L35" s="4">
        <f t="shared" si="15"/>
        <v>0</v>
      </c>
      <c r="M35" s="4">
        <f t="shared" si="15"/>
        <v>0</v>
      </c>
      <c r="N35" s="4">
        <f t="shared" si="15"/>
        <v>0</v>
      </c>
      <c r="O35" s="4">
        <f t="shared" si="15"/>
        <v>0</v>
      </c>
      <c r="P35" s="4">
        <f t="shared" si="15"/>
        <v>0</v>
      </c>
      <c r="Q35" s="4">
        <f t="shared" si="15"/>
        <v>0</v>
      </c>
      <c r="R35" s="4">
        <f t="shared" si="15"/>
        <v>0</v>
      </c>
      <c r="S35" s="4">
        <f t="shared" si="15"/>
        <v>0</v>
      </c>
      <c r="T35" s="4">
        <f t="shared" si="15"/>
        <v>0</v>
      </c>
      <c r="U35" s="4">
        <f t="shared" si="15"/>
        <v>0</v>
      </c>
      <c r="V35" s="4">
        <f t="shared" si="15"/>
        <v>0</v>
      </c>
      <c r="W35" s="4">
        <f t="shared" si="15"/>
        <v>0</v>
      </c>
      <c r="X35" s="4">
        <f t="shared" si="15"/>
        <v>0</v>
      </c>
      <c r="Y35" s="4">
        <f t="shared" si="15"/>
        <v>0</v>
      </c>
      <c r="Z35" s="4">
        <f t="shared" si="15"/>
        <v>0</v>
      </c>
      <c r="AA35" s="4">
        <f t="shared" si="15"/>
        <v>0</v>
      </c>
      <c r="AB35" s="4">
        <f t="shared" si="15"/>
        <v>0</v>
      </c>
      <c r="AC35" s="4">
        <f t="shared" si="15"/>
        <v>0</v>
      </c>
      <c r="AD35" s="4">
        <f t="shared" si="15"/>
        <v>0</v>
      </c>
      <c r="AE35" s="4">
        <f t="shared" si="15"/>
        <v>0</v>
      </c>
      <c r="AF35" s="4">
        <f t="shared" si="15"/>
        <v>0</v>
      </c>
      <c r="AG35" s="4">
        <f t="shared" si="15"/>
        <v>0</v>
      </c>
      <c r="AH35" s="4">
        <f t="shared" si="15"/>
        <v>0</v>
      </c>
      <c r="AI35" s="4">
        <f t="shared" si="15"/>
        <v>0</v>
      </c>
      <c r="AJ35" s="4">
        <f t="shared" si="15"/>
        <v>0</v>
      </c>
      <c r="AK35" s="4">
        <f t="shared" si="15"/>
        <v>0</v>
      </c>
      <c r="AL35" s="4">
        <f t="shared" si="15"/>
        <v>0</v>
      </c>
      <c r="AM35" s="4">
        <f t="shared" si="15"/>
        <v>0</v>
      </c>
      <c r="AN35" s="4">
        <f t="shared" si="15"/>
        <v>0</v>
      </c>
      <c r="AO35" s="4">
        <f t="shared" si="15"/>
        <v>0</v>
      </c>
      <c r="AP35" s="4">
        <f t="shared" si="15"/>
        <v>0</v>
      </c>
      <c r="AQ35" s="4">
        <f t="shared" si="15"/>
        <v>0</v>
      </c>
      <c r="AR35" s="4">
        <f t="shared" si="15"/>
        <v>0</v>
      </c>
      <c r="AS35" s="4">
        <f t="shared" si="15"/>
        <v>0</v>
      </c>
      <c r="AT35" s="4">
        <f t="shared" si="15"/>
        <v>0</v>
      </c>
      <c r="AU35" s="4">
        <f t="shared" si="15"/>
        <v>0</v>
      </c>
      <c r="AV35" s="4">
        <f t="shared" si="15"/>
        <v>0</v>
      </c>
      <c r="AW35" s="4">
        <f t="shared" si="15"/>
        <v>0</v>
      </c>
      <c r="AX35" s="4">
        <f t="shared" si="15"/>
        <v>0</v>
      </c>
      <c r="AY35" s="4">
        <f t="shared" si="15"/>
        <v>0</v>
      </c>
      <c r="AZ35" s="4">
        <f t="shared" si="15"/>
        <v>0</v>
      </c>
      <c r="BA35" s="4">
        <f t="shared" si="15"/>
        <v>0</v>
      </c>
      <c r="BB35" s="4">
        <f t="shared" si="15"/>
        <v>0</v>
      </c>
      <c r="BC35" s="4">
        <f t="shared" si="15"/>
        <v>0</v>
      </c>
      <c r="BD35" s="4">
        <f t="shared" si="15"/>
        <v>0</v>
      </c>
      <c r="BE35" s="4">
        <f t="shared" si="15"/>
        <v>0</v>
      </c>
      <c r="BF35" s="4">
        <f t="shared" si="15"/>
        <v>0</v>
      </c>
      <c r="BG35" s="4">
        <f t="shared" si="15"/>
        <v>0</v>
      </c>
      <c r="BH35" s="4">
        <f t="shared" si="15"/>
        <v>0</v>
      </c>
      <c r="BI35" s="4">
        <f t="shared" si="15"/>
        <v>0</v>
      </c>
      <c r="BJ35" s="4">
        <f t="shared" si="15"/>
        <v>0</v>
      </c>
      <c r="BK35" s="4">
        <f t="shared" si="15"/>
        <v>0</v>
      </c>
      <c r="BL35" s="4">
        <f t="shared" si="15"/>
        <v>0</v>
      </c>
    </row>
    <row r="36" spans="1:64" x14ac:dyDescent="0.2">
      <c r="B36" s="4" t="s">
        <v>51</v>
      </c>
      <c r="E36" s="8"/>
      <c r="F36" s="8"/>
      <c r="G36" s="4">
        <f t="shared" si="13"/>
        <v>0</v>
      </c>
      <c r="H36" s="4">
        <f t="shared" ref="H36:BL36" si="16">H$2*H$35</f>
        <v>0</v>
      </c>
      <c r="I36" s="4">
        <f t="shared" si="16"/>
        <v>0</v>
      </c>
      <c r="J36" s="4">
        <f t="shared" si="16"/>
        <v>0</v>
      </c>
      <c r="K36" s="4">
        <f t="shared" si="16"/>
        <v>0</v>
      </c>
      <c r="L36" s="4">
        <f t="shared" si="16"/>
        <v>0</v>
      </c>
      <c r="M36" s="4">
        <f t="shared" si="16"/>
        <v>0</v>
      </c>
      <c r="N36" s="4">
        <f t="shared" si="16"/>
        <v>0</v>
      </c>
      <c r="O36" s="4">
        <f t="shared" si="16"/>
        <v>0</v>
      </c>
      <c r="P36" s="4">
        <f t="shared" si="16"/>
        <v>0</v>
      </c>
      <c r="Q36" s="4">
        <f t="shared" si="16"/>
        <v>0</v>
      </c>
      <c r="R36" s="4">
        <f t="shared" si="16"/>
        <v>0</v>
      </c>
      <c r="S36" s="4">
        <f t="shared" si="16"/>
        <v>0</v>
      </c>
      <c r="T36" s="4">
        <f t="shared" si="16"/>
        <v>0</v>
      </c>
      <c r="U36" s="4">
        <f t="shared" si="16"/>
        <v>0</v>
      </c>
      <c r="V36" s="4">
        <f t="shared" si="16"/>
        <v>0</v>
      </c>
      <c r="W36" s="4">
        <f t="shared" si="16"/>
        <v>0</v>
      </c>
      <c r="X36" s="4">
        <f t="shared" si="16"/>
        <v>0</v>
      </c>
      <c r="Y36" s="4">
        <f t="shared" si="16"/>
        <v>0</v>
      </c>
      <c r="Z36" s="4">
        <f t="shared" si="16"/>
        <v>0</v>
      </c>
      <c r="AA36" s="4">
        <f t="shared" si="16"/>
        <v>0</v>
      </c>
      <c r="AB36" s="4">
        <f t="shared" si="16"/>
        <v>0</v>
      </c>
      <c r="AC36" s="4">
        <f t="shared" si="16"/>
        <v>0</v>
      </c>
      <c r="AD36" s="4">
        <f t="shared" si="16"/>
        <v>0</v>
      </c>
      <c r="AE36" s="4">
        <f t="shared" si="16"/>
        <v>0</v>
      </c>
      <c r="AF36" s="4">
        <f t="shared" si="16"/>
        <v>0</v>
      </c>
      <c r="AG36" s="4">
        <f t="shared" si="16"/>
        <v>0</v>
      </c>
      <c r="AH36" s="4">
        <f t="shared" si="16"/>
        <v>0</v>
      </c>
      <c r="AI36" s="4">
        <f t="shared" si="16"/>
        <v>0</v>
      </c>
      <c r="AJ36" s="4">
        <f t="shared" si="16"/>
        <v>0</v>
      </c>
      <c r="AK36" s="4">
        <f t="shared" si="16"/>
        <v>0</v>
      </c>
      <c r="AL36" s="4">
        <f t="shared" si="16"/>
        <v>0</v>
      </c>
      <c r="AM36" s="4">
        <f t="shared" si="16"/>
        <v>0</v>
      </c>
      <c r="AN36" s="4">
        <f t="shared" si="16"/>
        <v>0</v>
      </c>
      <c r="AO36" s="4">
        <f t="shared" si="16"/>
        <v>0</v>
      </c>
      <c r="AP36" s="4">
        <f t="shared" si="16"/>
        <v>0</v>
      </c>
      <c r="AQ36" s="4">
        <f t="shared" si="16"/>
        <v>0</v>
      </c>
      <c r="AR36" s="4">
        <f t="shared" si="16"/>
        <v>0</v>
      </c>
      <c r="AS36" s="4">
        <f t="shared" si="16"/>
        <v>0</v>
      </c>
      <c r="AT36" s="4">
        <f t="shared" si="16"/>
        <v>0</v>
      </c>
      <c r="AU36" s="4">
        <f t="shared" si="16"/>
        <v>0</v>
      </c>
      <c r="AV36" s="4">
        <f t="shared" si="16"/>
        <v>0</v>
      </c>
      <c r="AW36" s="4">
        <f t="shared" si="16"/>
        <v>0</v>
      </c>
      <c r="AX36" s="4">
        <f t="shared" si="16"/>
        <v>0</v>
      </c>
      <c r="AY36" s="4">
        <f t="shared" si="16"/>
        <v>0</v>
      </c>
      <c r="AZ36" s="4">
        <f t="shared" si="16"/>
        <v>0</v>
      </c>
      <c r="BA36" s="4">
        <f t="shared" si="16"/>
        <v>0</v>
      </c>
      <c r="BB36" s="4">
        <f t="shared" si="16"/>
        <v>0</v>
      </c>
      <c r="BC36" s="4">
        <f t="shared" si="16"/>
        <v>0</v>
      </c>
      <c r="BD36" s="4">
        <f t="shared" si="16"/>
        <v>0</v>
      </c>
      <c r="BE36" s="4">
        <f t="shared" si="16"/>
        <v>0</v>
      </c>
      <c r="BF36" s="4">
        <f t="shared" si="16"/>
        <v>0</v>
      </c>
      <c r="BG36" s="4">
        <f t="shared" si="16"/>
        <v>0</v>
      </c>
      <c r="BH36" s="4">
        <f t="shared" si="16"/>
        <v>0</v>
      </c>
      <c r="BI36" s="4">
        <f t="shared" si="16"/>
        <v>0</v>
      </c>
      <c r="BJ36" s="4">
        <f t="shared" si="16"/>
        <v>0</v>
      </c>
      <c r="BK36" s="4">
        <f t="shared" si="16"/>
        <v>0</v>
      </c>
      <c r="BL36" s="4">
        <f t="shared" si="16"/>
        <v>0</v>
      </c>
    </row>
    <row r="37" spans="1:64" x14ac:dyDescent="0.2">
      <c r="B37" s="4" t="s">
        <v>50</v>
      </c>
      <c r="E37" s="8"/>
      <c r="F37" s="8"/>
      <c r="G37" s="4">
        <f t="shared" si="13"/>
        <v>0</v>
      </c>
      <c r="H37" s="4">
        <f t="shared" ref="H37:BL37" si="17">IF(H33=5,H18*H35+$E$17,0)</f>
        <v>0</v>
      </c>
      <c r="I37" s="4">
        <f t="shared" si="17"/>
        <v>0</v>
      </c>
      <c r="J37" s="4">
        <f t="shared" si="17"/>
        <v>0</v>
      </c>
      <c r="K37" s="4">
        <f t="shared" si="17"/>
        <v>0</v>
      </c>
      <c r="L37" s="4">
        <f t="shared" si="17"/>
        <v>0</v>
      </c>
      <c r="M37" s="4">
        <f t="shared" si="17"/>
        <v>0</v>
      </c>
      <c r="N37" s="4">
        <f t="shared" si="17"/>
        <v>0</v>
      </c>
      <c r="O37" s="4">
        <f t="shared" si="17"/>
        <v>0</v>
      </c>
      <c r="P37" s="4">
        <f t="shared" si="17"/>
        <v>0</v>
      </c>
      <c r="Q37" s="4">
        <f t="shared" si="17"/>
        <v>0</v>
      </c>
      <c r="R37" s="4">
        <f t="shared" si="17"/>
        <v>0</v>
      </c>
      <c r="S37" s="4">
        <f t="shared" si="17"/>
        <v>0</v>
      </c>
      <c r="T37" s="4">
        <f t="shared" si="17"/>
        <v>0</v>
      </c>
      <c r="U37" s="4">
        <f t="shared" si="17"/>
        <v>0</v>
      </c>
      <c r="V37" s="4">
        <f t="shared" si="17"/>
        <v>0</v>
      </c>
      <c r="W37" s="4">
        <f t="shared" si="17"/>
        <v>0</v>
      </c>
      <c r="X37" s="4">
        <f t="shared" si="17"/>
        <v>0</v>
      </c>
      <c r="Y37" s="4">
        <f t="shared" si="17"/>
        <v>0</v>
      </c>
      <c r="Z37" s="4">
        <f t="shared" si="17"/>
        <v>0</v>
      </c>
      <c r="AA37" s="4">
        <f t="shared" si="17"/>
        <v>0</v>
      </c>
      <c r="AB37" s="4">
        <f t="shared" si="17"/>
        <v>0</v>
      </c>
      <c r="AC37" s="4">
        <f t="shared" si="17"/>
        <v>0</v>
      </c>
      <c r="AD37" s="4">
        <f t="shared" si="17"/>
        <v>0</v>
      </c>
      <c r="AE37" s="4">
        <f t="shared" si="17"/>
        <v>0</v>
      </c>
      <c r="AF37" s="4">
        <f t="shared" si="17"/>
        <v>0</v>
      </c>
      <c r="AG37" s="4">
        <f t="shared" si="17"/>
        <v>0</v>
      </c>
      <c r="AH37" s="4">
        <f t="shared" si="17"/>
        <v>0</v>
      </c>
      <c r="AI37" s="4">
        <f t="shared" si="17"/>
        <v>0</v>
      </c>
      <c r="AJ37" s="4">
        <f t="shared" si="17"/>
        <v>0</v>
      </c>
      <c r="AK37" s="4">
        <f t="shared" si="17"/>
        <v>0</v>
      </c>
      <c r="AL37" s="4">
        <f t="shared" si="17"/>
        <v>0</v>
      </c>
      <c r="AM37" s="4">
        <f t="shared" si="17"/>
        <v>0</v>
      </c>
      <c r="AN37" s="4">
        <f t="shared" si="17"/>
        <v>0</v>
      </c>
      <c r="AO37" s="4">
        <f t="shared" si="17"/>
        <v>0</v>
      </c>
      <c r="AP37" s="4">
        <f t="shared" si="17"/>
        <v>0</v>
      </c>
      <c r="AQ37" s="4">
        <f t="shared" si="17"/>
        <v>0</v>
      </c>
      <c r="AR37" s="4">
        <f t="shared" si="17"/>
        <v>0</v>
      </c>
      <c r="AS37" s="4">
        <f t="shared" si="17"/>
        <v>0</v>
      </c>
      <c r="AT37" s="4">
        <f t="shared" si="17"/>
        <v>0</v>
      </c>
      <c r="AU37" s="4">
        <f t="shared" si="17"/>
        <v>0</v>
      </c>
      <c r="AV37" s="4">
        <f t="shared" si="17"/>
        <v>0</v>
      </c>
      <c r="AW37" s="4">
        <f t="shared" si="17"/>
        <v>0</v>
      </c>
      <c r="AX37" s="4">
        <f t="shared" si="17"/>
        <v>0</v>
      </c>
      <c r="AY37" s="4">
        <f t="shared" si="17"/>
        <v>0</v>
      </c>
      <c r="AZ37" s="4">
        <f t="shared" si="17"/>
        <v>0</v>
      </c>
      <c r="BA37" s="4">
        <f t="shared" si="17"/>
        <v>0</v>
      </c>
      <c r="BB37" s="4">
        <f t="shared" si="17"/>
        <v>0</v>
      </c>
      <c r="BC37" s="4">
        <f t="shared" si="17"/>
        <v>0</v>
      </c>
      <c r="BD37" s="4">
        <f t="shared" si="17"/>
        <v>0</v>
      </c>
      <c r="BE37" s="4">
        <f t="shared" si="17"/>
        <v>0</v>
      </c>
      <c r="BF37" s="4">
        <f t="shared" si="17"/>
        <v>0</v>
      </c>
      <c r="BG37" s="4">
        <f t="shared" si="17"/>
        <v>0</v>
      </c>
      <c r="BH37" s="4">
        <f t="shared" si="17"/>
        <v>0</v>
      </c>
      <c r="BI37" s="4">
        <f t="shared" si="17"/>
        <v>0</v>
      </c>
      <c r="BJ37" s="4">
        <f t="shared" si="17"/>
        <v>0</v>
      </c>
      <c r="BK37" s="4">
        <f t="shared" si="17"/>
        <v>0</v>
      </c>
      <c r="BL37" s="4">
        <f t="shared" si="17"/>
        <v>0</v>
      </c>
    </row>
    <row r="38" spans="1:64" x14ac:dyDescent="0.2">
      <c r="B38" s="4" t="s">
        <v>49</v>
      </c>
      <c r="D38" s="7"/>
      <c r="E38" s="8"/>
      <c r="F38" s="9"/>
      <c r="G38" s="4">
        <f>SUM(H38:BL38)</f>
        <v>0</v>
      </c>
      <c r="H38" s="4">
        <f>H36-H37</f>
        <v>0</v>
      </c>
      <c r="I38" s="4">
        <f t="shared" ref="I38:BL38" si="18">I36-I37</f>
        <v>0</v>
      </c>
      <c r="J38" s="4">
        <f t="shared" si="18"/>
        <v>0</v>
      </c>
      <c r="K38" s="4">
        <f t="shared" si="18"/>
        <v>0</v>
      </c>
      <c r="L38" s="4">
        <f t="shared" si="18"/>
        <v>0</v>
      </c>
      <c r="M38" s="4">
        <f t="shared" si="18"/>
        <v>0</v>
      </c>
      <c r="N38" s="4">
        <f t="shared" si="18"/>
        <v>0</v>
      </c>
      <c r="O38" s="4">
        <f t="shared" si="18"/>
        <v>0</v>
      </c>
      <c r="P38" s="4">
        <f t="shared" si="18"/>
        <v>0</v>
      </c>
      <c r="Q38" s="4">
        <f t="shared" si="18"/>
        <v>0</v>
      </c>
      <c r="R38" s="4">
        <f t="shared" si="18"/>
        <v>0</v>
      </c>
      <c r="S38" s="4">
        <f t="shared" si="18"/>
        <v>0</v>
      </c>
      <c r="T38" s="4">
        <f t="shared" si="18"/>
        <v>0</v>
      </c>
      <c r="U38" s="4">
        <f t="shared" si="18"/>
        <v>0</v>
      </c>
      <c r="V38" s="4">
        <f t="shared" si="18"/>
        <v>0</v>
      </c>
      <c r="W38" s="4">
        <f t="shared" si="18"/>
        <v>0</v>
      </c>
      <c r="X38" s="4">
        <f t="shared" si="18"/>
        <v>0</v>
      </c>
      <c r="Y38" s="4">
        <f t="shared" si="18"/>
        <v>0</v>
      </c>
      <c r="Z38" s="4">
        <f t="shared" si="18"/>
        <v>0</v>
      </c>
      <c r="AA38" s="4">
        <f t="shared" si="18"/>
        <v>0</v>
      </c>
      <c r="AB38" s="4">
        <f t="shared" si="18"/>
        <v>0</v>
      </c>
      <c r="AC38" s="4">
        <f t="shared" si="18"/>
        <v>0</v>
      </c>
      <c r="AD38" s="4">
        <f t="shared" si="18"/>
        <v>0</v>
      </c>
      <c r="AE38" s="4">
        <f t="shared" si="18"/>
        <v>0</v>
      </c>
      <c r="AF38" s="4">
        <f t="shared" si="18"/>
        <v>0</v>
      </c>
      <c r="AG38" s="4">
        <f t="shared" si="18"/>
        <v>0</v>
      </c>
      <c r="AH38" s="4">
        <f t="shared" si="18"/>
        <v>0</v>
      </c>
      <c r="AI38" s="4">
        <f t="shared" si="18"/>
        <v>0</v>
      </c>
      <c r="AJ38" s="4">
        <f t="shared" si="18"/>
        <v>0</v>
      </c>
      <c r="AK38" s="4">
        <f t="shared" si="18"/>
        <v>0</v>
      </c>
      <c r="AL38" s="4">
        <f t="shared" si="18"/>
        <v>0</v>
      </c>
      <c r="AM38" s="4">
        <f t="shared" si="18"/>
        <v>0</v>
      </c>
      <c r="AN38" s="4">
        <f t="shared" si="18"/>
        <v>0</v>
      </c>
      <c r="AO38" s="4">
        <f t="shared" si="18"/>
        <v>0</v>
      </c>
      <c r="AP38" s="4">
        <f t="shared" si="18"/>
        <v>0</v>
      </c>
      <c r="AQ38" s="4">
        <f t="shared" si="18"/>
        <v>0</v>
      </c>
      <c r="AR38" s="4">
        <f t="shared" si="18"/>
        <v>0</v>
      </c>
      <c r="AS38" s="4">
        <f t="shared" si="18"/>
        <v>0</v>
      </c>
      <c r="AT38" s="4">
        <f t="shared" si="18"/>
        <v>0</v>
      </c>
      <c r="AU38" s="4">
        <f t="shared" si="18"/>
        <v>0</v>
      </c>
      <c r="AV38" s="4">
        <f t="shared" si="18"/>
        <v>0</v>
      </c>
      <c r="AW38" s="4">
        <f t="shared" si="18"/>
        <v>0</v>
      </c>
      <c r="AX38" s="4">
        <f t="shared" si="18"/>
        <v>0</v>
      </c>
      <c r="AY38" s="4">
        <f t="shared" si="18"/>
        <v>0</v>
      </c>
      <c r="AZ38" s="4">
        <f t="shared" si="18"/>
        <v>0</v>
      </c>
      <c r="BA38" s="4">
        <f t="shared" si="18"/>
        <v>0</v>
      </c>
      <c r="BB38" s="4">
        <f t="shared" si="18"/>
        <v>0</v>
      </c>
      <c r="BC38" s="4">
        <f t="shared" si="18"/>
        <v>0</v>
      </c>
      <c r="BD38" s="4">
        <f t="shared" si="18"/>
        <v>0</v>
      </c>
      <c r="BE38" s="4">
        <f t="shared" si="18"/>
        <v>0</v>
      </c>
      <c r="BF38" s="4">
        <f t="shared" si="18"/>
        <v>0</v>
      </c>
      <c r="BG38" s="4">
        <f t="shared" si="18"/>
        <v>0</v>
      </c>
      <c r="BH38" s="4">
        <f t="shared" si="18"/>
        <v>0</v>
      </c>
      <c r="BI38" s="4">
        <f t="shared" si="18"/>
        <v>0</v>
      </c>
      <c r="BJ38" s="4">
        <f t="shared" si="18"/>
        <v>0</v>
      </c>
      <c r="BK38" s="4">
        <f t="shared" si="18"/>
        <v>0</v>
      </c>
      <c r="BL38" s="4">
        <f t="shared" si="18"/>
        <v>0</v>
      </c>
    </row>
    <row r="39" spans="1:64" x14ac:dyDescent="0.2">
      <c r="B39" s="11" t="s">
        <v>48</v>
      </c>
      <c r="D39" s="6"/>
      <c r="F39" s="9"/>
      <c r="G39" s="4">
        <f t="shared" si="13"/>
        <v>0</v>
      </c>
      <c r="H39" s="26">
        <f>IF($C$23=1,H14,0)+IF($C$24=1,H15,0)+IF($C$25=1,H16,0) +IF(H32=1,$E$20,0)</f>
        <v>0</v>
      </c>
      <c r="I39" s="4">
        <f t="shared" ref="I39:BL39" si="19">IF($C$23=1,I14,0)+IF($C$24=1,I15,0)+IF($C$25=1,I16,0) +IF(I32=1,$E$20,0)</f>
        <v>0</v>
      </c>
      <c r="J39" s="4">
        <f t="shared" si="19"/>
        <v>0</v>
      </c>
      <c r="K39" s="4">
        <f t="shared" si="19"/>
        <v>0</v>
      </c>
      <c r="L39" s="4">
        <f t="shared" si="19"/>
        <v>0</v>
      </c>
      <c r="M39" s="4">
        <f t="shared" si="19"/>
        <v>0</v>
      </c>
      <c r="N39" s="4">
        <f t="shared" si="19"/>
        <v>0</v>
      </c>
      <c r="O39" s="4">
        <f t="shared" si="19"/>
        <v>0</v>
      </c>
      <c r="P39" s="4">
        <f t="shared" si="19"/>
        <v>0</v>
      </c>
      <c r="Q39" s="4">
        <f t="shared" si="19"/>
        <v>0</v>
      </c>
      <c r="R39" s="4">
        <f t="shared" si="19"/>
        <v>0</v>
      </c>
      <c r="S39" s="4">
        <f t="shared" si="19"/>
        <v>0</v>
      </c>
      <c r="T39" s="4">
        <f t="shared" si="19"/>
        <v>0</v>
      </c>
      <c r="U39" s="4">
        <f t="shared" si="19"/>
        <v>0</v>
      </c>
      <c r="V39" s="4">
        <f t="shared" si="19"/>
        <v>0</v>
      </c>
      <c r="W39" s="4">
        <f t="shared" si="19"/>
        <v>0</v>
      </c>
      <c r="X39" s="4">
        <f t="shared" si="19"/>
        <v>0</v>
      </c>
      <c r="Y39" s="4">
        <f t="shared" si="19"/>
        <v>0</v>
      </c>
      <c r="Z39" s="4">
        <f t="shared" si="19"/>
        <v>0</v>
      </c>
      <c r="AA39" s="4">
        <f t="shared" si="19"/>
        <v>0</v>
      </c>
      <c r="AB39" s="4">
        <f t="shared" si="19"/>
        <v>0</v>
      </c>
      <c r="AC39" s="4">
        <f t="shared" si="19"/>
        <v>0</v>
      </c>
      <c r="AD39" s="4">
        <f t="shared" si="19"/>
        <v>0</v>
      </c>
      <c r="AE39" s="4">
        <f t="shared" si="19"/>
        <v>0</v>
      </c>
      <c r="AF39" s="4">
        <f t="shared" si="19"/>
        <v>0</v>
      </c>
      <c r="AG39" s="4">
        <f t="shared" si="19"/>
        <v>0</v>
      </c>
      <c r="AH39" s="4">
        <f t="shared" si="19"/>
        <v>0</v>
      </c>
      <c r="AI39" s="4">
        <f t="shared" si="19"/>
        <v>0</v>
      </c>
      <c r="AJ39" s="4">
        <f t="shared" si="19"/>
        <v>0</v>
      </c>
      <c r="AK39" s="4">
        <f t="shared" si="19"/>
        <v>0</v>
      </c>
      <c r="AL39" s="4">
        <f t="shared" si="19"/>
        <v>0</v>
      </c>
      <c r="AM39" s="4">
        <f t="shared" si="19"/>
        <v>0</v>
      </c>
      <c r="AN39" s="4">
        <f t="shared" si="19"/>
        <v>0</v>
      </c>
      <c r="AO39" s="4">
        <f t="shared" si="19"/>
        <v>0</v>
      </c>
      <c r="AP39" s="4">
        <f t="shared" si="19"/>
        <v>0</v>
      </c>
      <c r="AQ39" s="4">
        <f t="shared" si="19"/>
        <v>0</v>
      </c>
      <c r="AR39" s="4">
        <f t="shared" si="19"/>
        <v>0</v>
      </c>
      <c r="AS39" s="4">
        <f t="shared" si="19"/>
        <v>0</v>
      </c>
      <c r="AT39" s="4">
        <f t="shared" si="19"/>
        <v>0</v>
      </c>
      <c r="AU39" s="4">
        <f t="shared" si="19"/>
        <v>0</v>
      </c>
      <c r="AV39" s="4">
        <f t="shared" si="19"/>
        <v>0</v>
      </c>
      <c r="AW39" s="4">
        <f t="shared" si="19"/>
        <v>0</v>
      </c>
      <c r="AX39" s="4">
        <f t="shared" si="19"/>
        <v>0</v>
      </c>
      <c r="AY39" s="4">
        <f t="shared" si="19"/>
        <v>0</v>
      </c>
      <c r="AZ39" s="4">
        <f t="shared" si="19"/>
        <v>0</v>
      </c>
      <c r="BA39" s="4">
        <f t="shared" si="19"/>
        <v>0</v>
      </c>
      <c r="BB39" s="4">
        <f t="shared" si="19"/>
        <v>0</v>
      </c>
      <c r="BC39" s="4">
        <f t="shared" si="19"/>
        <v>0</v>
      </c>
      <c r="BD39" s="4">
        <f t="shared" si="19"/>
        <v>0</v>
      </c>
      <c r="BE39" s="4">
        <f t="shared" si="19"/>
        <v>0</v>
      </c>
      <c r="BF39" s="4">
        <f t="shared" si="19"/>
        <v>0</v>
      </c>
      <c r="BG39" s="4">
        <f t="shared" si="19"/>
        <v>0</v>
      </c>
      <c r="BH39" s="4">
        <f t="shared" si="19"/>
        <v>0</v>
      </c>
      <c r="BI39" s="4">
        <f t="shared" si="19"/>
        <v>0</v>
      </c>
      <c r="BJ39" s="4">
        <f t="shared" si="19"/>
        <v>0</v>
      </c>
      <c r="BK39" s="4">
        <f t="shared" si="19"/>
        <v>0</v>
      </c>
      <c r="BL39" s="4">
        <f t="shared" si="19"/>
        <v>0</v>
      </c>
    </row>
    <row r="40" spans="1:64" x14ac:dyDescent="0.2">
      <c r="B40" s="11" t="s">
        <v>39</v>
      </c>
      <c r="G40" s="4">
        <f t="shared" si="13"/>
        <v>0</v>
      </c>
      <c r="H40" s="4">
        <f t="shared" ref="H40:BL40" si="20">H38-H39</f>
        <v>0</v>
      </c>
      <c r="I40" s="4">
        <f t="shared" si="20"/>
        <v>0</v>
      </c>
      <c r="J40" s="4">
        <f t="shared" si="20"/>
        <v>0</v>
      </c>
      <c r="K40" s="4">
        <f t="shared" si="20"/>
        <v>0</v>
      </c>
      <c r="L40" s="4">
        <f t="shared" si="20"/>
        <v>0</v>
      </c>
      <c r="M40" s="4">
        <f t="shared" si="20"/>
        <v>0</v>
      </c>
      <c r="N40" s="4">
        <f t="shared" si="20"/>
        <v>0</v>
      </c>
      <c r="O40" s="4">
        <f t="shared" si="20"/>
        <v>0</v>
      </c>
      <c r="P40" s="4">
        <f t="shared" si="20"/>
        <v>0</v>
      </c>
      <c r="Q40" s="4">
        <f t="shared" si="20"/>
        <v>0</v>
      </c>
      <c r="R40" s="4">
        <f t="shared" si="20"/>
        <v>0</v>
      </c>
      <c r="S40" s="4">
        <f t="shared" si="20"/>
        <v>0</v>
      </c>
      <c r="T40" s="4">
        <f t="shared" si="20"/>
        <v>0</v>
      </c>
      <c r="U40" s="4">
        <f t="shared" si="20"/>
        <v>0</v>
      </c>
      <c r="V40" s="4">
        <f t="shared" si="20"/>
        <v>0</v>
      </c>
      <c r="W40" s="4">
        <f t="shared" si="20"/>
        <v>0</v>
      </c>
      <c r="X40" s="4">
        <f t="shared" si="20"/>
        <v>0</v>
      </c>
      <c r="Y40" s="4">
        <f t="shared" si="20"/>
        <v>0</v>
      </c>
      <c r="Z40" s="4">
        <f t="shared" si="20"/>
        <v>0</v>
      </c>
      <c r="AA40" s="4">
        <f t="shared" si="20"/>
        <v>0</v>
      </c>
      <c r="AB40" s="4">
        <f t="shared" si="20"/>
        <v>0</v>
      </c>
      <c r="AC40" s="4">
        <f t="shared" si="20"/>
        <v>0</v>
      </c>
      <c r="AD40" s="4">
        <f t="shared" si="20"/>
        <v>0</v>
      </c>
      <c r="AE40" s="4">
        <f t="shared" si="20"/>
        <v>0</v>
      </c>
      <c r="AF40" s="4">
        <f t="shared" si="20"/>
        <v>0</v>
      </c>
      <c r="AG40" s="4">
        <f t="shared" si="20"/>
        <v>0</v>
      </c>
      <c r="AH40" s="4">
        <f t="shared" si="20"/>
        <v>0</v>
      </c>
      <c r="AI40" s="4">
        <f t="shared" si="20"/>
        <v>0</v>
      </c>
      <c r="AJ40" s="4">
        <f t="shared" si="20"/>
        <v>0</v>
      </c>
      <c r="AK40" s="4">
        <f t="shared" si="20"/>
        <v>0</v>
      </c>
      <c r="AL40" s="4">
        <f t="shared" si="20"/>
        <v>0</v>
      </c>
      <c r="AM40" s="4">
        <f t="shared" si="20"/>
        <v>0</v>
      </c>
      <c r="AN40" s="4">
        <f t="shared" si="20"/>
        <v>0</v>
      </c>
      <c r="AO40" s="4">
        <f t="shared" si="20"/>
        <v>0</v>
      </c>
      <c r="AP40" s="4">
        <f t="shared" si="20"/>
        <v>0</v>
      </c>
      <c r="AQ40" s="4">
        <f t="shared" si="20"/>
        <v>0</v>
      </c>
      <c r="AR40" s="4">
        <f t="shared" si="20"/>
        <v>0</v>
      </c>
      <c r="AS40" s="4">
        <f t="shared" si="20"/>
        <v>0</v>
      </c>
      <c r="AT40" s="4">
        <f t="shared" si="20"/>
        <v>0</v>
      </c>
      <c r="AU40" s="4">
        <f t="shared" si="20"/>
        <v>0</v>
      </c>
      <c r="AV40" s="4">
        <f t="shared" si="20"/>
        <v>0</v>
      </c>
      <c r="AW40" s="4">
        <f t="shared" si="20"/>
        <v>0</v>
      </c>
      <c r="AX40" s="4">
        <f t="shared" si="20"/>
        <v>0</v>
      </c>
      <c r="AY40" s="4">
        <f t="shared" si="20"/>
        <v>0</v>
      </c>
      <c r="AZ40" s="4">
        <f t="shared" si="20"/>
        <v>0</v>
      </c>
      <c r="BA40" s="4">
        <f t="shared" si="20"/>
        <v>0</v>
      </c>
      <c r="BB40" s="4">
        <f t="shared" si="20"/>
        <v>0</v>
      </c>
      <c r="BC40" s="4">
        <f t="shared" si="20"/>
        <v>0</v>
      </c>
      <c r="BD40" s="4">
        <f t="shared" si="20"/>
        <v>0</v>
      </c>
      <c r="BE40" s="4">
        <f t="shared" si="20"/>
        <v>0</v>
      </c>
      <c r="BF40" s="4">
        <f t="shared" si="20"/>
        <v>0</v>
      </c>
      <c r="BG40" s="4">
        <f t="shared" si="20"/>
        <v>0</v>
      </c>
      <c r="BH40" s="4">
        <f t="shared" si="20"/>
        <v>0</v>
      </c>
      <c r="BI40" s="4">
        <f t="shared" si="20"/>
        <v>0</v>
      </c>
      <c r="BJ40" s="4">
        <f t="shared" si="20"/>
        <v>0</v>
      </c>
      <c r="BK40" s="4">
        <f t="shared" si="20"/>
        <v>0</v>
      </c>
      <c r="BL40" s="4">
        <f t="shared" si="20"/>
        <v>0</v>
      </c>
    </row>
    <row r="41" spans="1:64" x14ac:dyDescent="0.2">
      <c r="B41" s="4" t="s">
        <v>53</v>
      </c>
      <c r="D41" s="6">
        <v>0.06</v>
      </c>
      <c r="E41" s="14">
        <f>NPV($D$41,I40:BL40)+H40</f>
        <v>0</v>
      </c>
    </row>
    <row r="42" spans="1:64" x14ac:dyDescent="0.2">
      <c r="B42" s="4" t="s">
        <v>141</v>
      </c>
      <c r="D42" s="6"/>
      <c r="H42" s="4">
        <f>H40</f>
        <v>0</v>
      </c>
      <c r="I42" s="4">
        <f>H42+I40</f>
        <v>0</v>
      </c>
      <c r="J42" s="4">
        <f t="shared" ref="J42:BL42" si="21">I42+J40</f>
        <v>0</v>
      </c>
      <c r="K42" s="4">
        <f t="shared" si="21"/>
        <v>0</v>
      </c>
      <c r="L42" s="4">
        <f t="shared" si="21"/>
        <v>0</v>
      </c>
      <c r="M42" s="4">
        <f t="shared" si="21"/>
        <v>0</v>
      </c>
      <c r="N42" s="4">
        <f t="shared" si="21"/>
        <v>0</v>
      </c>
      <c r="O42" s="4">
        <f t="shared" si="21"/>
        <v>0</v>
      </c>
      <c r="P42" s="4">
        <f t="shared" si="21"/>
        <v>0</v>
      </c>
      <c r="Q42" s="4">
        <f t="shared" si="21"/>
        <v>0</v>
      </c>
      <c r="R42" s="4">
        <f t="shared" si="21"/>
        <v>0</v>
      </c>
      <c r="S42" s="4">
        <f t="shared" si="21"/>
        <v>0</v>
      </c>
      <c r="T42" s="4">
        <f t="shared" si="21"/>
        <v>0</v>
      </c>
      <c r="U42" s="4">
        <f t="shared" si="21"/>
        <v>0</v>
      </c>
      <c r="V42" s="4">
        <f t="shared" si="21"/>
        <v>0</v>
      </c>
      <c r="W42" s="4">
        <f t="shared" si="21"/>
        <v>0</v>
      </c>
      <c r="X42" s="4">
        <f t="shared" si="21"/>
        <v>0</v>
      </c>
      <c r="Y42" s="4">
        <f t="shared" si="21"/>
        <v>0</v>
      </c>
      <c r="Z42" s="4">
        <f t="shared" si="21"/>
        <v>0</v>
      </c>
      <c r="AA42" s="4">
        <f t="shared" si="21"/>
        <v>0</v>
      </c>
      <c r="AB42" s="4">
        <f t="shared" si="21"/>
        <v>0</v>
      </c>
      <c r="AC42" s="4">
        <f t="shared" si="21"/>
        <v>0</v>
      </c>
      <c r="AD42" s="4">
        <f t="shared" si="21"/>
        <v>0</v>
      </c>
      <c r="AE42" s="4">
        <f t="shared" si="21"/>
        <v>0</v>
      </c>
      <c r="AF42" s="4">
        <f t="shared" si="21"/>
        <v>0</v>
      </c>
      <c r="AG42" s="4">
        <f t="shared" si="21"/>
        <v>0</v>
      </c>
      <c r="AH42" s="4">
        <f t="shared" si="21"/>
        <v>0</v>
      </c>
      <c r="AI42" s="4">
        <f t="shared" si="21"/>
        <v>0</v>
      </c>
      <c r="AJ42" s="4">
        <f t="shared" si="21"/>
        <v>0</v>
      </c>
      <c r="AK42" s="4">
        <f t="shared" si="21"/>
        <v>0</v>
      </c>
      <c r="AL42" s="4">
        <f t="shared" si="21"/>
        <v>0</v>
      </c>
      <c r="AM42" s="4">
        <f t="shared" si="21"/>
        <v>0</v>
      </c>
      <c r="AN42" s="4">
        <f t="shared" si="21"/>
        <v>0</v>
      </c>
      <c r="AO42" s="4">
        <f t="shared" si="21"/>
        <v>0</v>
      </c>
      <c r="AP42" s="4">
        <f t="shared" si="21"/>
        <v>0</v>
      </c>
      <c r="AQ42" s="4">
        <f t="shared" si="21"/>
        <v>0</v>
      </c>
      <c r="AR42" s="4">
        <f t="shared" si="21"/>
        <v>0</v>
      </c>
      <c r="AS42" s="4">
        <f t="shared" si="21"/>
        <v>0</v>
      </c>
      <c r="AT42" s="4">
        <f t="shared" si="21"/>
        <v>0</v>
      </c>
      <c r="AU42" s="4">
        <f t="shared" si="21"/>
        <v>0</v>
      </c>
      <c r="AV42" s="4">
        <f t="shared" si="21"/>
        <v>0</v>
      </c>
      <c r="AW42" s="4">
        <f t="shared" si="21"/>
        <v>0</v>
      </c>
      <c r="AX42" s="4">
        <f t="shared" si="21"/>
        <v>0</v>
      </c>
      <c r="AY42" s="4">
        <f t="shared" si="21"/>
        <v>0</v>
      </c>
      <c r="AZ42" s="4">
        <f t="shared" si="21"/>
        <v>0</v>
      </c>
      <c r="BA42" s="4">
        <f t="shared" si="21"/>
        <v>0</v>
      </c>
      <c r="BB42" s="4">
        <f t="shared" si="21"/>
        <v>0</v>
      </c>
      <c r="BC42" s="4">
        <f t="shared" si="21"/>
        <v>0</v>
      </c>
      <c r="BD42" s="4">
        <f t="shared" si="21"/>
        <v>0</v>
      </c>
      <c r="BE42" s="4">
        <f t="shared" si="21"/>
        <v>0</v>
      </c>
      <c r="BF42" s="4">
        <f t="shared" si="21"/>
        <v>0</v>
      </c>
      <c r="BG42" s="4">
        <f t="shared" si="21"/>
        <v>0</v>
      </c>
      <c r="BH42" s="4">
        <f t="shared" si="21"/>
        <v>0</v>
      </c>
      <c r="BI42" s="4">
        <f t="shared" si="21"/>
        <v>0</v>
      </c>
      <c r="BJ42" s="4">
        <f t="shared" si="21"/>
        <v>0</v>
      </c>
      <c r="BK42" s="4">
        <f t="shared" si="21"/>
        <v>0</v>
      </c>
      <c r="BL42" s="4">
        <f t="shared" si="21"/>
        <v>0</v>
      </c>
    </row>
    <row r="43" spans="1:64" x14ac:dyDescent="0.2">
      <c r="B43" s="4" t="s">
        <v>142</v>
      </c>
      <c r="E43" s="7">
        <f>ABS(MIN(H42:BL42))</f>
        <v>0</v>
      </c>
    </row>
    <row r="44" spans="1:64" x14ac:dyDescent="0.2">
      <c r="B44" s="4" t="s">
        <v>143</v>
      </c>
      <c r="E44" s="7">
        <f>SUMIF(H44:BL44,"=1",H1:BL1)</f>
        <v>0</v>
      </c>
      <c r="H44" s="4">
        <v>0</v>
      </c>
      <c r="I44" s="4">
        <f>IF(AND(H42&lt;0,I42&gt;0),1,0)</f>
        <v>0</v>
      </c>
      <c r="J44" s="4">
        <f t="shared" ref="J44:BL44" si="22">IF(AND(I42&lt;0,J42&gt;0),1,0)</f>
        <v>0</v>
      </c>
      <c r="K44" s="4">
        <f t="shared" si="22"/>
        <v>0</v>
      </c>
      <c r="L44" s="4">
        <f t="shared" si="22"/>
        <v>0</v>
      </c>
      <c r="M44" s="4">
        <f t="shared" si="22"/>
        <v>0</v>
      </c>
      <c r="N44" s="4">
        <f t="shared" si="22"/>
        <v>0</v>
      </c>
      <c r="O44" s="4">
        <f t="shared" si="22"/>
        <v>0</v>
      </c>
      <c r="P44" s="4">
        <f t="shared" si="22"/>
        <v>0</v>
      </c>
      <c r="Q44" s="4">
        <f t="shared" si="22"/>
        <v>0</v>
      </c>
      <c r="R44" s="4">
        <f t="shared" si="22"/>
        <v>0</v>
      </c>
      <c r="S44" s="4">
        <f t="shared" si="22"/>
        <v>0</v>
      </c>
      <c r="T44" s="4">
        <f t="shared" si="22"/>
        <v>0</v>
      </c>
      <c r="U44" s="4">
        <f t="shared" si="22"/>
        <v>0</v>
      </c>
      <c r="V44" s="4">
        <f t="shared" si="22"/>
        <v>0</v>
      </c>
      <c r="W44" s="4">
        <f t="shared" si="22"/>
        <v>0</v>
      </c>
      <c r="X44" s="4">
        <f t="shared" si="22"/>
        <v>0</v>
      </c>
      <c r="Y44" s="4">
        <f t="shared" si="22"/>
        <v>0</v>
      </c>
      <c r="Z44" s="4">
        <f t="shared" si="22"/>
        <v>0</v>
      </c>
      <c r="AA44" s="4">
        <f t="shared" si="22"/>
        <v>0</v>
      </c>
      <c r="AB44" s="4">
        <f t="shared" si="22"/>
        <v>0</v>
      </c>
      <c r="AC44" s="4">
        <f t="shared" si="22"/>
        <v>0</v>
      </c>
      <c r="AD44" s="4">
        <f t="shared" si="22"/>
        <v>0</v>
      </c>
      <c r="AE44" s="4">
        <f t="shared" si="22"/>
        <v>0</v>
      </c>
      <c r="AF44" s="4">
        <f t="shared" si="22"/>
        <v>0</v>
      </c>
      <c r="AG44" s="4">
        <f t="shared" si="22"/>
        <v>0</v>
      </c>
      <c r="AH44" s="4">
        <f t="shared" si="22"/>
        <v>0</v>
      </c>
      <c r="AI44" s="4">
        <f t="shared" si="22"/>
        <v>0</v>
      </c>
      <c r="AJ44" s="4">
        <f t="shared" si="22"/>
        <v>0</v>
      </c>
      <c r="AK44" s="4">
        <f t="shared" si="22"/>
        <v>0</v>
      </c>
      <c r="AL44" s="4">
        <f t="shared" si="22"/>
        <v>0</v>
      </c>
      <c r="AM44" s="4">
        <f t="shared" si="22"/>
        <v>0</v>
      </c>
      <c r="AN44" s="4">
        <f t="shared" si="22"/>
        <v>0</v>
      </c>
      <c r="AO44" s="4">
        <f t="shared" si="22"/>
        <v>0</v>
      </c>
      <c r="AP44" s="4">
        <f t="shared" si="22"/>
        <v>0</v>
      </c>
      <c r="AQ44" s="4">
        <f t="shared" si="22"/>
        <v>0</v>
      </c>
      <c r="AR44" s="4">
        <f t="shared" si="22"/>
        <v>0</v>
      </c>
      <c r="AS44" s="4">
        <f t="shared" si="22"/>
        <v>0</v>
      </c>
      <c r="AT44" s="4">
        <f t="shared" si="22"/>
        <v>0</v>
      </c>
      <c r="AU44" s="4">
        <f t="shared" si="22"/>
        <v>0</v>
      </c>
      <c r="AV44" s="4">
        <f t="shared" si="22"/>
        <v>0</v>
      </c>
      <c r="AW44" s="4">
        <f t="shared" si="22"/>
        <v>0</v>
      </c>
      <c r="AX44" s="4">
        <f t="shared" si="22"/>
        <v>0</v>
      </c>
      <c r="AY44" s="4">
        <f t="shared" si="22"/>
        <v>0</v>
      </c>
      <c r="AZ44" s="4">
        <f t="shared" si="22"/>
        <v>0</v>
      </c>
      <c r="BA44" s="4">
        <f t="shared" si="22"/>
        <v>0</v>
      </c>
      <c r="BB44" s="4">
        <f t="shared" si="22"/>
        <v>0</v>
      </c>
      <c r="BC44" s="4">
        <f t="shared" si="22"/>
        <v>0</v>
      </c>
      <c r="BD44" s="4">
        <f t="shared" si="22"/>
        <v>0</v>
      </c>
      <c r="BE44" s="4">
        <f t="shared" si="22"/>
        <v>0</v>
      </c>
      <c r="BF44" s="4">
        <f t="shared" si="22"/>
        <v>0</v>
      </c>
      <c r="BG44" s="4">
        <f t="shared" si="22"/>
        <v>0</v>
      </c>
      <c r="BH44" s="4">
        <f t="shared" si="22"/>
        <v>0</v>
      </c>
      <c r="BI44" s="4">
        <f t="shared" si="22"/>
        <v>0</v>
      </c>
      <c r="BJ44" s="4">
        <f t="shared" si="22"/>
        <v>0</v>
      </c>
      <c r="BK44" s="4">
        <f t="shared" si="22"/>
        <v>0</v>
      </c>
      <c r="BL44" s="4">
        <f t="shared" si="22"/>
        <v>0</v>
      </c>
    </row>
    <row r="45" spans="1:64" x14ac:dyDescent="0.2">
      <c r="B45" s="4" t="s">
        <v>144</v>
      </c>
      <c r="E45" s="23" t="e">
        <f>IRR(H40:BL40)</f>
        <v>#NUM!</v>
      </c>
    </row>
    <row r="46" spans="1:64" x14ac:dyDescent="0.2">
      <c r="E46" s="6"/>
    </row>
    <row r="49" spans="7:7" x14ac:dyDescent="0.2">
      <c r="G49" s="9"/>
    </row>
    <row r="52" spans="7:7" x14ac:dyDescent="0.2">
      <c r="G52" s="9"/>
    </row>
  </sheetData>
  <pageMargins left="0.7" right="0.7" top="0.75" bottom="0.75" header="0.3" footer="0.3"/>
  <pageSetup scale="22"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workbookViewId="0"/>
  </sheetViews>
  <sheetFormatPr baseColWidth="10" defaultColWidth="11.42578125" defaultRowHeight="12.75" x14ac:dyDescent="0.2"/>
  <cols>
    <col min="1" max="2" width="36.7109375" customWidth="1"/>
  </cols>
  <sheetData>
    <row r="1" spans="1:3" x14ac:dyDescent="0.2">
      <c r="A1" s="2" t="s">
        <v>16</v>
      </c>
    </row>
    <row r="3" spans="1:3" x14ac:dyDescent="0.2">
      <c r="A3" t="s">
        <v>17</v>
      </c>
      <c r="B3" t="s">
        <v>18</v>
      </c>
      <c r="C3">
        <v>0</v>
      </c>
    </row>
    <row r="4" spans="1:3" x14ac:dyDescent="0.2">
      <c r="A4" t="s">
        <v>19</v>
      </c>
    </row>
    <row r="5" spans="1:3" x14ac:dyDescent="0.2">
      <c r="A5" t="s">
        <v>20</v>
      </c>
    </row>
    <row r="7" spans="1:3" x14ac:dyDescent="0.2">
      <c r="A7" s="2" t="s">
        <v>21</v>
      </c>
      <c r="B7" t="s">
        <v>22</v>
      </c>
    </row>
    <row r="8" spans="1:3" x14ac:dyDescent="0.2">
      <c r="B8">
        <v>2</v>
      </c>
    </row>
    <row r="10" spans="1:3" x14ac:dyDescent="0.2">
      <c r="A10" t="s">
        <v>23</v>
      </c>
    </row>
    <row r="11" spans="1:3" x14ac:dyDescent="0.2">
      <c r="A11" t="e">
        <f>CB_DATA_!#REF!</f>
        <v>#REF!</v>
      </c>
      <c r="B11" t="e">
        <f>#REF!</f>
        <v>#REF!</v>
      </c>
    </row>
    <row r="13" spans="1:3" x14ac:dyDescent="0.2">
      <c r="A13" t="s">
        <v>24</v>
      </c>
    </row>
    <row r="14" spans="1:3" x14ac:dyDescent="0.2">
      <c r="A14" t="s">
        <v>28</v>
      </c>
      <c r="B14" t="s">
        <v>34</v>
      </c>
    </row>
    <row r="16" spans="1:3" x14ac:dyDescent="0.2">
      <c r="A16" t="s">
        <v>25</v>
      </c>
    </row>
    <row r="19" spans="1:2" x14ac:dyDescent="0.2">
      <c r="A19" t="s">
        <v>26</v>
      </c>
    </row>
    <row r="20" spans="1:2" x14ac:dyDescent="0.2">
      <c r="A20">
        <v>31</v>
      </c>
      <c r="B20">
        <v>34</v>
      </c>
    </row>
    <row r="25" spans="1:2" x14ac:dyDescent="0.2">
      <c r="A25" s="2" t="s">
        <v>27</v>
      </c>
    </row>
    <row r="26" spans="1:2" x14ac:dyDescent="0.2">
      <c r="A26" s="3" t="s">
        <v>29</v>
      </c>
      <c r="B26" s="3" t="s">
        <v>29</v>
      </c>
    </row>
    <row r="27" spans="1:2" x14ac:dyDescent="0.2">
      <c r="A27" t="s">
        <v>30</v>
      </c>
      <c r="B27" t="s">
        <v>35</v>
      </c>
    </row>
    <row r="28" spans="1:2" x14ac:dyDescent="0.2">
      <c r="A28" s="3" t="s">
        <v>31</v>
      </c>
      <c r="B28" s="3" t="s">
        <v>31</v>
      </c>
    </row>
    <row r="29" spans="1:2" x14ac:dyDescent="0.2">
      <c r="A29" s="3" t="s">
        <v>32</v>
      </c>
      <c r="B29" s="3" t="s">
        <v>36</v>
      </c>
    </row>
    <row r="30" spans="1:2" x14ac:dyDescent="0.2">
      <c r="A30" t="s">
        <v>33</v>
      </c>
      <c r="B30" t="s">
        <v>37</v>
      </c>
    </row>
    <row r="31" spans="1:2" x14ac:dyDescent="0.2">
      <c r="A31" s="3" t="s">
        <v>31</v>
      </c>
      <c r="B31" s="3" t="s">
        <v>31</v>
      </c>
    </row>
    <row r="32" spans="1:2" x14ac:dyDescent="0.2">
      <c r="B32" s="3" t="s">
        <v>32</v>
      </c>
    </row>
    <row r="33" spans="2:2" x14ac:dyDescent="0.2">
      <c r="B33" t="s">
        <v>38</v>
      </c>
    </row>
    <row r="34" spans="2:2" x14ac:dyDescent="0.2">
      <c r="B34" s="3" t="s">
        <v>31</v>
      </c>
    </row>
  </sheetData>
  <phoneticPr fontId="3"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27"/>
  <sheetViews>
    <sheetView workbookViewId="0"/>
  </sheetViews>
  <sheetFormatPr baseColWidth="10" defaultColWidth="15.7109375" defaultRowHeight="12.75" x14ac:dyDescent="0.2"/>
  <cols>
    <col min="1" max="16384" width="15.7109375" style="1"/>
  </cols>
  <sheetData>
    <row r="1" spans="1:62" x14ac:dyDescent="0.2">
      <c r="A1" s="1" t="s">
        <v>99</v>
      </c>
      <c r="B1" s="18" t="e">
        <f>#REF!</f>
        <v>#REF!</v>
      </c>
      <c r="C1" s="19">
        <v>1</v>
      </c>
      <c r="D1" s="19">
        <v>0.5</v>
      </c>
      <c r="E1" s="17"/>
      <c r="F1" s="1" t="s">
        <v>117</v>
      </c>
      <c r="I1" s="1" t="s">
        <v>92</v>
      </c>
      <c r="J1" s="17">
        <v>3</v>
      </c>
      <c r="L1" s="1" t="s">
        <v>89</v>
      </c>
      <c r="M1" s="17" t="b">
        <v>1</v>
      </c>
      <c r="O1" s="1" t="s">
        <v>86</v>
      </c>
    </row>
    <row r="2" spans="1:62" x14ac:dyDescent="0.2">
      <c r="A2" s="1" t="s">
        <v>100</v>
      </c>
      <c r="B2" s="18">
        <v>2</v>
      </c>
      <c r="C2" s="18">
        <v>0</v>
      </c>
      <c r="F2" s="1" t="s">
        <v>118</v>
      </c>
      <c r="G2" s="18" t="b">
        <v>0</v>
      </c>
      <c r="H2" s="18"/>
      <c r="I2" s="1" t="s">
        <v>84</v>
      </c>
      <c r="J2" s="17"/>
      <c r="L2" s="1" t="s">
        <v>111</v>
      </c>
      <c r="M2" s="19">
        <v>200</v>
      </c>
      <c r="O2" s="1" t="s">
        <v>14</v>
      </c>
      <c r="P2" s="17"/>
      <c r="R2" s="1" t="s">
        <v>93</v>
      </c>
      <c r="S2" s="20" t="s">
        <v>125</v>
      </c>
      <c r="U2" s="1" t="s">
        <v>97</v>
      </c>
      <c r="V2" s="17"/>
    </row>
    <row r="3" spans="1:62" x14ac:dyDescent="0.2">
      <c r="A3" s="1" t="s">
        <v>106</v>
      </c>
      <c r="B3" s="18" t="b">
        <v>0</v>
      </c>
      <c r="C3" s="18">
        <v>1000</v>
      </c>
      <c r="F3" s="1" t="s">
        <v>119</v>
      </c>
      <c r="G3" s="18" t="b">
        <v>0</v>
      </c>
      <c r="H3" s="18"/>
      <c r="I3" s="1" t="s">
        <v>85</v>
      </c>
      <c r="J3" s="22">
        <v>29</v>
      </c>
      <c r="L3" s="1" t="s">
        <v>110</v>
      </c>
      <c r="M3" s="19">
        <v>0</v>
      </c>
      <c r="N3" s="19">
        <v>0</v>
      </c>
      <c r="O3" s="1" t="s">
        <v>15</v>
      </c>
      <c r="P3" s="17"/>
      <c r="R3" s="1" t="s">
        <v>94</v>
      </c>
      <c r="S3" s="20" t="s">
        <v>126</v>
      </c>
      <c r="U3" s="1" t="s">
        <v>98</v>
      </c>
      <c r="V3" s="17"/>
    </row>
    <row r="4" spans="1:62" x14ac:dyDescent="0.2">
      <c r="A4" s="1" t="s">
        <v>108</v>
      </c>
      <c r="B4" s="18" t="b">
        <v>0</v>
      </c>
      <c r="C4" s="18">
        <v>5</v>
      </c>
      <c r="D4" s="18">
        <v>2</v>
      </c>
      <c r="F4" s="1" t="s">
        <v>120</v>
      </c>
      <c r="G4" s="18" t="b">
        <v>0</v>
      </c>
      <c r="H4" s="18"/>
      <c r="L4" s="1" t="s">
        <v>103</v>
      </c>
      <c r="M4" s="19" t="b">
        <v>1</v>
      </c>
      <c r="O4" s="1" t="s">
        <v>87</v>
      </c>
      <c r="P4" s="17"/>
      <c r="R4" s="1" t="s">
        <v>95</v>
      </c>
      <c r="S4" s="20" t="s">
        <v>126</v>
      </c>
    </row>
    <row r="5" spans="1:62" x14ac:dyDescent="0.2">
      <c r="A5" s="1" t="s">
        <v>109</v>
      </c>
      <c r="B5" s="18" t="b">
        <v>0</v>
      </c>
      <c r="C5" s="18">
        <v>100</v>
      </c>
      <c r="D5" s="18">
        <v>0.01</v>
      </c>
      <c r="E5" s="18" t="b">
        <v>1</v>
      </c>
      <c r="F5" s="1" t="s">
        <v>121</v>
      </c>
      <c r="G5" s="18" t="b">
        <v>0</v>
      </c>
      <c r="H5" s="18"/>
      <c r="L5" s="1" t="s">
        <v>104</v>
      </c>
      <c r="M5" s="19">
        <v>3</v>
      </c>
      <c r="O5" s="1" t="s">
        <v>88</v>
      </c>
      <c r="P5" s="17"/>
      <c r="R5" s="1" t="s">
        <v>96</v>
      </c>
      <c r="S5" s="20" t="s">
        <v>125</v>
      </c>
    </row>
    <row r="6" spans="1:62" x14ac:dyDescent="0.2">
      <c r="A6" s="1" t="s">
        <v>107</v>
      </c>
      <c r="B6" s="18" t="b">
        <v>0</v>
      </c>
      <c r="C6" s="18"/>
      <c r="F6" s="1" t="s">
        <v>122</v>
      </c>
      <c r="G6" s="18" t="b">
        <v>0</v>
      </c>
      <c r="H6" s="18"/>
      <c r="L6" s="1" t="s">
        <v>123</v>
      </c>
      <c r="M6" s="19" t="b">
        <v>0</v>
      </c>
      <c r="N6" s="19"/>
    </row>
    <row r="7" spans="1:62" x14ac:dyDescent="0.2">
      <c r="A7" s="1" t="s">
        <v>101</v>
      </c>
      <c r="B7" s="18">
        <v>50</v>
      </c>
      <c r="L7" s="1" t="s">
        <v>124</v>
      </c>
      <c r="M7" s="19" t="b">
        <v>0</v>
      </c>
      <c r="N7" s="19"/>
    </row>
    <row r="8" spans="1:62" x14ac:dyDescent="0.2">
      <c r="A8" s="1" t="s">
        <v>59</v>
      </c>
      <c r="B8" s="1" t="s">
        <v>59</v>
      </c>
      <c r="F8" s="1" t="s">
        <v>102</v>
      </c>
      <c r="G8" s="18" t="b">
        <v>1</v>
      </c>
      <c r="H8" s="18">
        <v>1</v>
      </c>
    </row>
    <row r="9" spans="1:62" x14ac:dyDescent="0.2">
      <c r="A9" s="1" t="s">
        <v>116</v>
      </c>
      <c r="B9" s="18">
        <v>3</v>
      </c>
      <c r="F9" s="1" t="s">
        <v>113</v>
      </c>
      <c r="G9" s="18" t="b">
        <v>0</v>
      </c>
    </row>
    <row r="10" spans="1:62" x14ac:dyDescent="0.2">
      <c r="A10" s="1" t="s">
        <v>105</v>
      </c>
      <c r="B10" s="18" t="b">
        <v>0</v>
      </c>
    </row>
    <row r="11" spans="1:62" x14ac:dyDescent="0.2">
      <c r="A11" s="1" t="s">
        <v>112</v>
      </c>
      <c r="B11" s="18" t="b">
        <v>1</v>
      </c>
    </row>
    <row r="12" spans="1:62" x14ac:dyDescent="0.2">
      <c r="A12" s="1" t="s">
        <v>115</v>
      </c>
      <c r="B12" s="18" t="b">
        <v>0</v>
      </c>
      <c r="F12" s="1" t="s">
        <v>114</v>
      </c>
      <c r="G12" s="18">
        <v>2</v>
      </c>
    </row>
    <row r="14" spans="1:62" ht="13.5" thickBot="1" x14ac:dyDescent="0.25">
      <c r="A14" s="1" t="s">
        <v>90</v>
      </c>
      <c r="B14" s="17">
        <v>1</v>
      </c>
      <c r="AX14" s="1" t="s">
        <v>91</v>
      </c>
      <c r="AY14" s="17">
        <v>0</v>
      </c>
    </row>
    <row r="15" spans="1:62" s="16" customFormat="1" ht="13.5" thickTop="1" x14ac:dyDescent="0.2">
      <c r="A15" s="16" t="s">
        <v>60</v>
      </c>
      <c r="B15" s="16" t="s">
        <v>61</v>
      </c>
      <c r="C15" s="16" t="s">
        <v>62</v>
      </c>
      <c r="D15" s="16" t="s">
        <v>63</v>
      </c>
      <c r="E15" s="16" t="s">
        <v>64</v>
      </c>
      <c r="F15" s="16" t="s">
        <v>65</v>
      </c>
      <c r="G15" s="16" t="s">
        <v>66</v>
      </c>
      <c r="H15" s="16" t="s">
        <v>67</v>
      </c>
      <c r="I15" s="16" t="s">
        <v>68</v>
      </c>
      <c r="J15" s="16" t="s">
        <v>69</v>
      </c>
      <c r="K15" s="16" t="s">
        <v>70</v>
      </c>
      <c r="AR15" s="16" t="s">
        <v>71</v>
      </c>
      <c r="AX15" s="16" t="s">
        <v>72</v>
      </c>
      <c r="AY15" s="16" t="s">
        <v>73</v>
      </c>
      <c r="AZ15" s="16" t="s">
        <v>74</v>
      </c>
      <c r="BA15" s="16" t="s">
        <v>63</v>
      </c>
      <c r="BB15" s="16" t="s">
        <v>75</v>
      </c>
      <c r="BC15" s="16" t="s">
        <v>76</v>
      </c>
      <c r="BD15" s="16" t="s">
        <v>77</v>
      </c>
      <c r="BE15" s="16" t="s">
        <v>78</v>
      </c>
      <c r="BF15" s="16" t="s">
        <v>79</v>
      </c>
      <c r="BG15" s="16" t="s">
        <v>80</v>
      </c>
      <c r="BH15" s="16" t="s">
        <v>81</v>
      </c>
      <c r="BI15" s="16" t="s">
        <v>82</v>
      </c>
      <c r="BJ15" s="16" t="s">
        <v>83</v>
      </c>
    </row>
    <row r="16" spans="1:62" x14ac:dyDescent="0.2">
      <c r="A16" s="1" t="s">
        <v>139</v>
      </c>
      <c r="B16" s="1">
        <v>0.1</v>
      </c>
      <c r="C16" s="1">
        <v>0.5</v>
      </c>
      <c r="D16" s="21" t="s">
        <v>131</v>
      </c>
      <c r="G16" s="1">
        <v>1</v>
      </c>
      <c r="H16" s="1" t="e">
        <f>#REF!</f>
        <v>#REF!</v>
      </c>
      <c r="I16" s="1">
        <v>36.5</v>
      </c>
      <c r="J16" s="1">
        <v>39.5</v>
      </c>
      <c r="K16" s="1" t="s">
        <v>140</v>
      </c>
    </row>
    <row r="17" spans="1:1" x14ac:dyDescent="0.2">
      <c r="A17" s="1" t="s">
        <v>127</v>
      </c>
    </row>
    <row r="18" spans="1:1" x14ac:dyDescent="0.2">
      <c r="A18" s="1" t="s">
        <v>128</v>
      </c>
    </row>
    <row r="19" spans="1:1" x14ac:dyDescent="0.2">
      <c r="A19" s="1" t="s">
        <v>129</v>
      </c>
    </row>
    <row r="20" spans="1:1" x14ac:dyDescent="0.2">
      <c r="A20" s="1" t="s">
        <v>130</v>
      </c>
    </row>
    <row r="21" spans="1:1" x14ac:dyDescent="0.2">
      <c r="A21" s="1" t="s">
        <v>132</v>
      </c>
    </row>
    <row r="22" spans="1:1" x14ac:dyDescent="0.2">
      <c r="A22" s="1" t="s">
        <v>133</v>
      </c>
    </row>
    <row r="23" spans="1:1" x14ac:dyDescent="0.2">
      <c r="A23" s="1" t="s">
        <v>134</v>
      </c>
    </row>
    <row r="24" spans="1:1" x14ac:dyDescent="0.2">
      <c r="A24" s="1" t="s">
        <v>135</v>
      </c>
    </row>
    <row r="25" spans="1:1" x14ac:dyDescent="0.2">
      <c r="A25" s="1" t="s">
        <v>136</v>
      </c>
    </row>
    <row r="26" spans="1:1" x14ac:dyDescent="0.2">
      <c r="A26" s="1" t="s">
        <v>137</v>
      </c>
    </row>
    <row r="27" spans="1:1" x14ac:dyDescent="0.2">
      <c r="A27" s="1"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6:D34"/>
  <sheetViews>
    <sheetView workbookViewId="0">
      <selection activeCell="A5" sqref="A5:E35"/>
    </sheetView>
  </sheetViews>
  <sheetFormatPr baseColWidth="10" defaultColWidth="9.140625" defaultRowHeight="12.75" x14ac:dyDescent="0.2"/>
  <cols>
    <col min="2" max="2" width="11.42578125" customWidth="1"/>
  </cols>
  <sheetData>
    <row r="6" spans="1:4" x14ac:dyDescent="0.2">
      <c r="A6" s="25" t="s">
        <v>149</v>
      </c>
    </row>
    <row r="8" spans="1:4" x14ac:dyDescent="0.2">
      <c r="B8" s="10" t="s">
        <v>13</v>
      </c>
    </row>
    <row r="9" spans="1:4" x14ac:dyDescent="0.2">
      <c r="C9" s="10" t="s">
        <v>150</v>
      </c>
      <c r="D9">
        <v>0.55000000000000004</v>
      </c>
    </row>
    <row r="10" spans="1:4" x14ac:dyDescent="0.2">
      <c r="B10" s="10"/>
      <c r="C10" s="10" t="s">
        <v>151</v>
      </c>
      <c r="D10">
        <f>1-D9</f>
        <v>0.44999999999999996</v>
      </c>
    </row>
    <row r="11" spans="1:4" x14ac:dyDescent="0.2">
      <c r="B11" s="10"/>
      <c r="C11" s="10"/>
    </row>
    <row r="12" spans="1:4" x14ac:dyDescent="0.2">
      <c r="B12" s="10" t="s">
        <v>147</v>
      </c>
      <c r="C12" s="10"/>
    </row>
    <row r="13" spans="1:4" x14ac:dyDescent="0.2">
      <c r="C13" s="10" t="s">
        <v>153</v>
      </c>
      <c r="D13">
        <v>0.2</v>
      </c>
    </row>
    <row r="14" spans="1:4" x14ac:dyDescent="0.2">
      <c r="C14" s="10" t="s">
        <v>154</v>
      </c>
      <c r="D14">
        <f>1-D13</f>
        <v>0.8</v>
      </c>
    </row>
    <row r="15" spans="1:4" x14ac:dyDescent="0.2">
      <c r="C15" s="10"/>
    </row>
    <row r="16" spans="1:4" x14ac:dyDescent="0.2">
      <c r="B16" s="10" t="s">
        <v>148</v>
      </c>
      <c r="C16" s="10"/>
    </row>
    <row r="17" spans="2:4" x14ac:dyDescent="0.2">
      <c r="C17" s="10" t="s">
        <v>150</v>
      </c>
      <c r="D17">
        <v>0.5</v>
      </c>
    </row>
    <row r="18" spans="2:4" x14ac:dyDescent="0.2">
      <c r="C18" s="10" t="s">
        <v>151</v>
      </c>
      <c r="D18">
        <f>1-D17</f>
        <v>0.5</v>
      </c>
    </row>
    <row r="19" spans="2:4" x14ac:dyDescent="0.2">
      <c r="C19" s="10"/>
    </row>
    <row r="20" spans="2:4" x14ac:dyDescent="0.2">
      <c r="B20" s="10" t="s">
        <v>158</v>
      </c>
      <c r="C20" s="10"/>
    </row>
    <row r="21" spans="2:4" x14ac:dyDescent="0.2">
      <c r="C21" s="10" t="s">
        <v>150</v>
      </c>
      <c r="D21">
        <f>0.25</f>
        <v>0.25</v>
      </c>
    </row>
    <row r="22" spans="2:4" x14ac:dyDescent="0.2">
      <c r="C22" s="10" t="s">
        <v>152</v>
      </c>
      <c r="D22">
        <v>0.5</v>
      </c>
    </row>
    <row r="23" spans="2:4" x14ac:dyDescent="0.2">
      <c r="C23" s="10" t="s">
        <v>151</v>
      </c>
      <c r="D23">
        <f>1-D22-D21</f>
        <v>0.25</v>
      </c>
    </row>
    <row r="24" spans="2:4" x14ac:dyDescent="0.2">
      <c r="C24" s="10"/>
    </row>
    <row r="25" spans="2:4" x14ac:dyDescent="0.2">
      <c r="B25" s="10" t="s">
        <v>155</v>
      </c>
    </row>
    <row r="26" spans="2:4" x14ac:dyDescent="0.2">
      <c r="B26" s="10" t="s">
        <v>157</v>
      </c>
      <c r="C26" s="10" t="s">
        <v>150</v>
      </c>
      <c r="D26">
        <v>1</v>
      </c>
    </row>
    <row r="27" spans="2:4" x14ac:dyDescent="0.2">
      <c r="C27" s="10" t="s">
        <v>152</v>
      </c>
      <c r="D27">
        <v>0</v>
      </c>
    </row>
    <row r="28" spans="2:4" x14ac:dyDescent="0.2">
      <c r="C28" s="10" t="s">
        <v>151</v>
      </c>
      <c r="D28">
        <f>1-D26</f>
        <v>0</v>
      </c>
    </row>
    <row r="29" spans="2:4" x14ac:dyDescent="0.2">
      <c r="B29" s="10" t="s">
        <v>156</v>
      </c>
      <c r="C29" s="10" t="s">
        <v>150</v>
      </c>
      <c r="D29">
        <v>0</v>
      </c>
    </row>
    <row r="30" spans="2:4" x14ac:dyDescent="0.2">
      <c r="C30" s="10" t="s">
        <v>152</v>
      </c>
      <c r="D30">
        <f>5/8</f>
        <v>0.625</v>
      </c>
    </row>
    <row r="31" spans="2:4" x14ac:dyDescent="0.2">
      <c r="C31" s="10" t="s">
        <v>151</v>
      </c>
      <c r="D31">
        <f>1-D30-D29</f>
        <v>0.375</v>
      </c>
    </row>
    <row r="32" spans="2:4" x14ac:dyDescent="0.2">
      <c r="B32" s="10" t="s">
        <v>8</v>
      </c>
      <c r="C32" s="10" t="s">
        <v>150</v>
      </c>
      <c r="D32">
        <f>D26*$D$13+D29*$D$14</f>
        <v>0.2</v>
      </c>
    </row>
    <row r="33" spans="3:4" x14ac:dyDescent="0.2">
      <c r="C33" s="10" t="s">
        <v>152</v>
      </c>
      <c r="D33">
        <f>D27*$D$13+D30*$D$14</f>
        <v>0.5</v>
      </c>
    </row>
    <row r="34" spans="3:4" x14ac:dyDescent="0.2">
      <c r="C34" s="10" t="s">
        <v>151</v>
      </c>
      <c r="D34">
        <f>D28*$D$13+D31*$D$14</f>
        <v>0.30000000000000004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cash flows</vt:lpstr>
      <vt:lpstr>CB_DATA_</vt:lpstr>
      <vt:lpstr>ro_HiddenInfo</vt:lpstr>
      <vt:lpstr>Assumptions</vt:lpstr>
    </vt:vector>
  </TitlesOfParts>
  <Company>HEC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Erick</cp:lastModifiedBy>
  <cp:lastPrinted>2012-04-10T18:16:08Z</cp:lastPrinted>
  <dcterms:created xsi:type="dcterms:W3CDTF">2005-12-16T08:27:19Z</dcterms:created>
  <dcterms:modified xsi:type="dcterms:W3CDTF">2017-10-06T14:30:12Z</dcterms:modified>
</cp:coreProperties>
</file>