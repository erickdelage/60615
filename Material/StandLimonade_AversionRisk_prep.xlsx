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11131697\Dropbox\My Documents\My Classes\MSc_AnalyseDecisions\AD_Automne2020\Lectures\Seance_7\fr\"/>
    </mc:Choice>
  </mc:AlternateContent>
  <xr:revisionPtr revIDLastSave="0" documentId="13_ncr:1_{B8903245-C013-4157-B696-7F7139F3F6A6}" xr6:coauthVersionLast="45" xr6:coauthVersionMax="45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treeCalc_3" sheetId="18" state="hidden" r:id="rId1"/>
    <sheet name="treeCalc_4" sheetId="20" state="hidden" r:id="rId2"/>
    <sheet name="F. utilite" sheetId="22" r:id="rId3"/>
    <sheet name="Meteo" sheetId="10" r:id="rId4"/>
    <sheet name="treeCalc_1" sheetId="4" state="hidden" r:id="rId5"/>
    <sheet name="Arbre" sheetId="1" r:id="rId6"/>
    <sheet name="Valeur Info Parfaite" sheetId="19" r:id="rId7"/>
    <sheet name="Valeur Info Imparfaite" sheetId="21" r:id="rId8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localSheetId="2" hidden="1">0</definedName>
    <definedName name="_AtRisk_SimSetting_RandomNumberGenerator" hidden="1">7</definedName>
    <definedName name="_AtRisk_SimSetting_ReportsList" localSheetId="2" hidden="1">256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A" localSheetId="2">'F. utilite'!$E$3</definedName>
    <definedName name="B" localSheetId="2">'F. utilite'!$E$4</definedName>
    <definedName name="PalisadeReportWorkbookCreatedBy">"PrecisionTree"</definedName>
    <definedName name="PTree_SensitivityAnalysis_AnalysisType" hidden="1">0</definedName>
    <definedName name="PTree_SensitivityAnalysis_GraphsDisplayPercentageChange" hidden="1">FALSE</definedName>
    <definedName name="PTree_SensitivityAnalysis_IncludeSensitivityGraph" hidden="1">TRUE</definedName>
    <definedName name="PTree_SensitivityAnalysis_IncludeSpiderGraph" hidden="1">TRUE</definedName>
    <definedName name="PTree_SensitivityAnalysis_IncludeStrategyRegion" hidden="1">TRUE</definedName>
    <definedName name="PTree_SensitivityAnalysis_IncludeTornadoGraph" hidden="1">TRUE</definedName>
    <definedName name="PTree_SensitivityAnalysis_Inputs_1_AlternateCellLabel" hidden="1">"Coût de l'information"</definedName>
    <definedName name="PTree_SensitivityAnalysis_Inputs_1_BaseValueIsAutomatic" hidden="1">FALSE</definedName>
    <definedName name="PTree_SensitivityAnalysis_Inputs_1_MaintainProbabilityNormalization" hidden="1">FALSE</definedName>
    <definedName name="PTree_SensitivityAnalysis_Inputs_1_ManualBaseValue" hidden="1">0</definedName>
    <definedName name="PTree_SensitivityAnalysis_Inputs_1_Maximum" hidden="1">50</definedName>
    <definedName name="PTree_SensitivityAnalysis_Inputs_1_Minimum" hidden="1">0</definedName>
    <definedName name="PTree_SensitivityAnalysis_Inputs_1_OneWayAnalysis" hidden="1">1</definedName>
    <definedName name="PTree_SensitivityAnalysis_Inputs_1_Steps" hidden="1">20</definedName>
    <definedName name="PTree_SensitivityAnalysis_Inputs_1_TwoWayAnalysis" hidden="1">0</definedName>
    <definedName name="PTree_SensitivityAnalysis_Inputs_1_VariationMethod" hidden="1">2</definedName>
    <definedName name="PTree_SensitivityAnalysis_Inputs_1_VaryCell" hidden="1">'Valeur Info Parfaite'!$C$10</definedName>
    <definedName name="PTree_SensitivityAnalysis_Inputs_Count" hidden="1">1</definedName>
    <definedName name="PTree_SensitivityAnalysis_Output_AlternateCellLabel" hidden="1">""</definedName>
    <definedName name="PTree_SensitivityAnalysis_Output_Cell" hidden="1">'Valeur Info Parfaite'!$C$15</definedName>
    <definedName name="PTree_SensitivityAnalysis_Output_Model" localSheetId="2" hidden="1">PTreeObjectReference(PTDecisionTree_2,#REF!)</definedName>
    <definedName name="PTree_SensitivityAnalysis_Output_Model" hidden="1">PTreeObjectReference(PTDecisionTree_3,treeCalc_3!$A$1)</definedName>
    <definedName name="PTree_SensitivityAnalysis_Output_OutputType" hidden="1">0</definedName>
    <definedName name="PTree_SensitivityAnalysis_Output_StartingNode" localSheetId="2" hidden="1">PTreeObjectReference(NULL,NULL)</definedName>
    <definedName name="PTree_SensitivityAnalysis_Output_StartingNode" hidden="1">PTreeObjectReference(NULL,NULL)</definedName>
    <definedName name="PTree_SensitivityAnalysis_ReportPlacement" hidden="1">0</definedName>
    <definedName name="PTree_SensitivityAnalysis_UpdateDisplay" hidden="1">FALSE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localSheetId="2" hidden="1">TRUE</definedName>
    <definedName name="RiskMultipleCPUSupportEnabled" hidden="1">TRUE</definedName>
    <definedName name="RiskNumIterations" localSheetId="2" hidden="1">10000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2" hidden="1">TRUE</definedName>
    <definedName name="RiskUseMultipleCPUs" hidden="1">TRUE</definedName>
    <definedName name="RT" localSheetId="2">'F. utilite'!$E$5</definedName>
    <definedName name="solver_adj" localSheetId="2" hidden="1">'F. utilite'!$E$5</definedName>
    <definedName name="solver_cvg" localSheetId="2" hidden="1">0.0001</definedName>
    <definedName name="solver_cvg" localSheetId="7" hidden="1">0.0001</definedName>
    <definedName name="solver_cvg" localSheetId="6" hidden="1">0.0001</definedName>
    <definedName name="solver_drv" localSheetId="2" hidden="1">1</definedName>
    <definedName name="solver_drv" localSheetId="7" hidden="1">1</definedName>
    <definedName name="solver_drv" localSheetId="6" hidden="1">1</definedName>
    <definedName name="solver_eng" localSheetId="7" hidden="1">1</definedName>
    <definedName name="solver_eng" localSheetId="6" hidden="1">1</definedName>
    <definedName name="solver_est" localSheetId="2" hidden="1">1</definedName>
    <definedName name="solver_est" localSheetId="7" hidden="1">1</definedName>
    <definedName name="solver_est" localSheetId="6" hidden="1">1</definedName>
    <definedName name="solver_itr" localSheetId="2" hidden="1">100</definedName>
    <definedName name="solver_itr" localSheetId="7" hidden="1">100</definedName>
    <definedName name="solver_itr" localSheetId="6" hidden="1">100</definedName>
    <definedName name="solver_lhs1" localSheetId="6" hidden="1">'Valeur Info Parfaite'!$C$10</definedName>
    <definedName name="solver_lhs2" localSheetId="6" hidden="1">'Valeur Info Parfaite'!$C$10</definedName>
    <definedName name="solver_lin" localSheetId="2" hidden="1">2</definedName>
    <definedName name="solver_lin" localSheetId="7" hidden="1">2</definedName>
    <definedName name="solver_lin" localSheetId="6" hidden="1">2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2" hidden="1">2</definedName>
    <definedName name="solver_neg" localSheetId="7" hidden="1">2</definedName>
    <definedName name="solver_neg" localSheetId="6" hidden="1">1</definedName>
    <definedName name="solver_nod" localSheetId="6" hidden="1">2147483647</definedName>
    <definedName name="solver_num" localSheetId="2" hidden="1">0</definedName>
    <definedName name="solver_num" localSheetId="7" hidden="1">0</definedName>
    <definedName name="solver_num" localSheetId="6" hidden="1">0</definedName>
    <definedName name="solver_nwt" localSheetId="2" hidden="1">1</definedName>
    <definedName name="solver_nwt" localSheetId="7" hidden="1">1</definedName>
    <definedName name="solver_nwt" localSheetId="6" hidden="1">1</definedName>
    <definedName name="solver_opt" localSheetId="2" hidden="1">'F. utilite'!$J$31</definedName>
    <definedName name="solver_pre" localSheetId="2" hidden="1">0.000001</definedName>
    <definedName name="solver_pre" localSheetId="7" hidden="1">0.000001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3</definedName>
    <definedName name="solver_rhs1" localSheetId="6" hidden="1">100</definedName>
    <definedName name="solver_rhs2" localSheetId="6" hidden="1">0</definedName>
    <definedName name="solver_rlx" localSheetId="6" hidden="1">1</definedName>
    <definedName name="solver_rsd" localSheetId="6" hidden="1">0</definedName>
    <definedName name="solver_scl" localSheetId="2" hidden="1">2</definedName>
    <definedName name="solver_scl" localSheetId="7" hidden="1">2</definedName>
    <definedName name="solver_scl" localSheetId="6" hidden="1">2</definedName>
    <definedName name="solver_sho" localSheetId="2" hidden="1">2</definedName>
    <definedName name="solver_sho" localSheetId="7" hidden="1">2</definedName>
    <definedName name="solver_sho" localSheetId="6" hidden="1">2</definedName>
    <definedName name="solver_ssz" localSheetId="6" hidden="1">100</definedName>
    <definedName name="solver_tim" localSheetId="2" hidden="1">100</definedName>
    <definedName name="solver_tim" localSheetId="7" hidden="1">100</definedName>
    <definedName name="solver_tim" localSheetId="6" hidden="1">100</definedName>
    <definedName name="solver_tol" localSheetId="2" hidden="1">0.05</definedName>
    <definedName name="solver_tol" localSheetId="7" hidden="1">0.05</definedName>
    <definedName name="solver_tol" localSheetId="6" hidden="1">0.05</definedName>
    <definedName name="solver_typ" localSheetId="2" hidden="1">3</definedName>
    <definedName name="solver_typ" localSheetId="7" hidden="1">1</definedName>
    <definedName name="solver_typ" localSheetId="6" hidden="1">1</definedName>
    <definedName name="solver_val" localSheetId="2" hidden="1">0.5</definedName>
    <definedName name="solver_val" localSheetId="7" hidden="1">0</definedName>
    <definedName name="solver_val" localSheetId="6" hidden="1">0</definedName>
    <definedName name="solver_ver" localSheetId="7" hidden="1">3</definedName>
    <definedName name="solver_ver" localSheetId="6" hidden="1">3</definedName>
    <definedName name="treeList" hidden="1">"10110000000000000000000000000000000000000000000000000000000000000000000000000000000000000000000000000000000000000000000000000000000000000000000000000000000000000000000000000000000000000000000000000000"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7" i="20" l="1"/>
  <c r="J36" i="20"/>
  <c r="J35" i="20"/>
  <c r="J20" i="20"/>
  <c r="O20" i="20"/>
  <c r="H20" i="20"/>
  <c r="E72" i="21"/>
  <c r="K37" i="20" s="1"/>
  <c r="E70" i="21"/>
  <c r="K36" i="20" s="1"/>
  <c r="E66" i="21"/>
  <c r="K35" i="20" s="1"/>
  <c r="J34" i="20"/>
  <c r="J33" i="20"/>
  <c r="J32" i="20"/>
  <c r="J19" i="20"/>
  <c r="O19" i="20"/>
  <c r="H19" i="20"/>
  <c r="E64" i="21"/>
  <c r="K34" i="20" s="1"/>
  <c r="E62" i="21"/>
  <c r="K33" i="20" s="1"/>
  <c r="E58" i="21"/>
  <c r="K32" i="20" s="1"/>
  <c r="E54" i="21"/>
  <c r="E52" i="21"/>
  <c r="E48" i="21"/>
  <c r="H18" i="20"/>
  <c r="K28" i="20"/>
  <c r="J28" i="20"/>
  <c r="K27" i="20"/>
  <c r="J27" i="20"/>
  <c r="K26" i="20"/>
  <c r="J26" i="20"/>
  <c r="J17" i="20"/>
  <c r="O17" i="20"/>
  <c r="H17" i="20"/>
  <c r="K25" i="20"/>
  <c r="J25" i="20"/>
  <c r="K24" i="20"/>
  <c r="J24" i="20"/>
  <c r="K23" i="20"/>
  <c r="J23" i="20"/>
  <c r="J16" i="20"/>
  <c r="O16" i="20"/>
  <c r="H16" i="20"/>
  <c r="H15" i="20"/>
  <c r="H11" i="18"/>
  <c r="K23" i="4"/>
  <c r="J23" i="4"/>
  <c r="K22" i="4"/>
  <c r="J22" i="4"/>
  <c r="K21" i="4"/>
  <c r="J21" i="4"/>
  <c r="J14" i="4"/>
  <c r="O14" i="4"/>
  <c r="H14" i="4"/>
  <c r="K20" i="4"/>
  <c r="J20" i="4"/>
  <c r="K19" i="4"/>
  <c r="J19" i="4"/>
  <c r="K18" i="4"/>
  <c r="J18" i="4"/>
  <c r="J13" i="4"/>
  <c r="O13" i="4"/>
  <c r="H13" i="4"/>
  <c r="H12" i="4"/>
  <c r="D5" i="10"/>
  <c r="E5" i="10" s="1"/>
  <c r="P24" i="22"/>
  <c r="N25" i="22" s="1"/>
  <c r="M22" i="22"/>
  <c r="M20" i="22"/>
  <c r="I30" i="22" s="1"/>
  <c r="A4" i="22"/>
  <c r="F2" i="20"/>
  <c r="F2" i="18"/>
  <c r="F2" i="4"/>
  <c r="D6" i="10" l="1"/>
  <c r="E6" i="10" s="1"/>
  <c r="E5" i="22"/>
  <c r="P29" i="22"/>
  <c r="J30" i="22" s="1"/>
  <c r="B3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P19" i="22"/>
  <c r="N20" i="22" s="1"/>
  <c r="L1" i="18" l="1"/>
  <c r="L1" i="20"/>
  <c r="E4" i="22"/>
  <c r="E3" i="22" s="1"/>
  <c r="B18" i="22" l="1"/>
  <c r="B5" i="22"/>
  <c r="B21" i="22"/>
  <c r="B17" i="22"/>
  <c r="B14" i="22"/>
  <c r="B7" i="22"/>
  <c r="B24" i="22"/>
  <c r="B22" i="22"/>
  <c r="B9" i="22"/>
  <c r="B6" i="22"/>
  <c r="B23" i="22"/>
  <c r="B20" i="22"/>
  <c r="B15" i="22"/>
  <c r="B12" i="22"/>
  <c r="J31" i="22"/>
  <c r="B11" i="22"/>
  <c r="B19" i="22"/>
  <c r="B8" i="22"/>
  <c r="B16" i="22"/>
  <c r="N26" i="22"/>
  <c r="B4" i="22"/>
  <c r="B13" i="22"/>
  <c r="N21" i="22"/>
  <c r="B10" i="22"/>
  <c r="J23" i="22" l="1"/>
  <c r="J22" i="22" s="1"/>
  <c r="F26" i="22" s="1"/>
  <c r="G25" i="22" s="1"/>
  <c r="F27" i="22" l="1"/>
  <c r="C6" i="21"/>
  <c r="C6" i="19"/>
  <c r="C9" i="21" l="1"/>
  <c r="C9" i="19"/>
  <c r="K31" i="20"/>
  <c r="K30" i="20"/>
  <c r="J31" i="20"/>
  <c r="J30" i="20"/>
  <c r="K29" i="20"/>
  <c r="J29" i="20"/>
  <c r="K22" i="20"/>
  <c r="J22" i="20"/>
  <c r="K21" i="20"/>
  <c r="J21" i="20"/>
  <c r="O18" i="20"/>
  <c r="J18" i="20"/>
  <c r="O15" i="20"/>
  <c r="J15" i="20"/>
  <c r="K14" i="20"/>
  <c r="J14" i="20"/>
  <c r="O13" i="20"/>
  <c r="K13" i="20"/>
  <c r="J13" i="20"/>
  <c r="H13" i="20"/>
  <c r="O12" i="20"/>
  <c r="K12" i="20"/>
  <c r="J12" i="20"/>
  <c r="H12" i="20"/>
  <c r="O11" i="20"/>
  <c r="K11" i="20"/>
  <c r="J11" i="20"/>
  <c r="B11" i="20"/>
  <c r="B2" i="20"/>
  <c r="J23" i="18"/>
  <c r="J22" i="18"/>
  <c r="J21" i="18"/>
  <c r="J20" i="18"/>
  <c r="J19" i="18"/>
  <c r="J18" i="18"/>
  <c r="J17" i="18"/>
  <c r="J16" i="18"/>
  <c r="J15" i="18"/>
  <c r="O14" i="18"/>
  <c r="K14" i="18"/>
  <c r="J14" i="18"/>
  <c r="H14" i="18"/>
  <c r="O13" i="18"/>
  <c r="K13" i="18"/>
  <c r="J13" i="18"/>
  <c r="H13" i="18"/>
  <c r="O12" i="18"/>
  <c r="K12" i="18"/>
  <c r="J12" i="18"/>
  <c r="H12" i="18"/>
  <c r="O11" i="18"/>
  <c r="K11" i="18"/>
  <c r="J11" i="18"/>
  <c r="B11" i="18"/>
  <c r="B2" i="18"/>
  <c r="H11" i="4"/>
  <c r="J12" i="4"/>
  <c r="C7" i="1"/>
  <c r="C8" i="1" s="1"/>
  <c r="C9" i="1"/>
  <c r="J15" i="4"/>
  <c r="J16" i="4"/>
  <c r="J17" i="4"/>
  <c r="K15" i="4"/>
  <c r="K16" i="4"/>
  <c r="K17" i="4"/>
  <c r="C6" i="1"/>
  <c r="O12" i="4"/>
  <c r="E4" i="10"/>
  <c r="B2" i="4"/>
  <c r="B11" i="4"/>
  <c r="J11" i="4"/>
  <c r="K11" i="4"/>
  <c r="O11" i="4"/>
  <c r="C7" i="19" l="1"/>
  <c r="C8" i="19" s="1"/>
  <c r="C7" i="21"/>
  <c r="C8" i="21" s="1"/>
  <c r="C10" i="1"/>
  <c r="B4" i="4" s="1"/>
  <c r="C11" i="21" l="1"/>
  <c r="B4" i="20" s="1"/>
  <c r="C11" i="19"/>
  <c r="B4" i="18" s="1"/>
  <c r="F27" i="21" l="1"/>
  <c r="D40" i="21"/>
  <c r="F53" i="21"/>
  <c r="F72" i="21"/>
  <c r="F20" i="21"/>
  <c r="F58" i="21"/>
  <c r="D57" i="21"/>
  <c r="F48" i="21"/>
  <c r="F49" i="21"/>
  <c r="F42" i="21"/>
  <c r="F31" i="21"/>
  <c r="D60" i="21"/>
  <c r="F25" i="21"/>
  <c r="F36" i="21"/>
  <c r="F45" i="21"/>
  <c r="F62" i="21"/>
  <c r="E61" i="21"/>
  <c r="D22" i="21"/>
  <c r="F67" i="21"/>
  <c r="E69" i="21"/>
  <c r="E33" i="21"/>
  <c r="D32" i="21"/>
  <c r="F65" i="21"/>
  <c r="F52" i="21"/>
  <c r="F39" i="21"/>
  <c r="F34" i="21"/>
  <c r="F54" i="21"/>
  <c r="F63" i="21"/>
  <c r="F44" i="21"/>
  <c r="F70" i="21"/>
  <c r="F55" i="21"/>
  <c r="E41" i="21"/>
  <c r="F64" i="21"/>
  <c r="F26" i="21"/>
  <c r="D29" i="21"/>
  <c r="F38" i="21"/>
  <c r="F59" i="21"/>
  <c r="E23" i="21"/>
  <c r="F24" i="21"/>
  <c r="E51" i="21"/>
  <c r="F37" i="21"/>
  <c r="F35" i="21"/>
  <c r="F73" i="21"/>
  <c r="D68" i="21"/>
  <c r="F30" i="21"/>
  <c r="F21" i="21"/>
  <c r="D50" i="21"/>
  <c r="C47" i="21"/>
  <c r="F66" i="21"/>
  <c r="F71" i="21"/>
  <c r="F43" i="21"/>
  <c r="A26" i="20"/>
  <c r="A19" i="20"/>
  <c r="A31" i="20"/>
  <c r="A24" i="20"/>
  <c r="A21" i="20"/>
  <c r="C13" i="21"/>
  <c r="A36" i="20"/>
  <c r="A37" i="20"/>
  <c r="A28" i="20"/>
  <c r="A34" i="20"/>
  <c r="A16" i="20"/>
  <c r="A35" i="20"/>
  <c r="A11" i="20"/>
  <c r="A23" i="20"/>
  <c r="A14" i="20"/>
  <c r="A32" i="20"/>
  <c r="A18" i="20"/>
  <c r="A27" i="20"/>
  <c r="A25" i="20"/>
  <c r="A17" i="20"/>
  <c r="A12" i="20"/>
  <c r="A22" i="20"/>
  <c r="A29" i="20"/>
  <c r="A33" i="20"/>
  <c r="A30" i="20"/>
  <c r="A20" i="20"/>
  <c r="A15" i="20"/>
  <c r="A13" i="20"/>
  <c r="E37" i="1"/>
  <c r="E14" i="1"/>
  <c r="D35" i="1"/>
  <c r="E33" i="1"/>
  <c r="E39" i="1"/>
  <c r="D27" i="1"/>
  <c r="E24" i="1"/>
  <c r="E25" i="1"/>
  <c r="E15" i="1"/>
  <c r="E18" i="1"/>
  <c r="E30" i="1"/>
  <c r="C16" i="1"/>
  <c r="E32" i="1"/>
  <c r="C34" i="1"/>
  <c r="E38" i="1"/>
  <c r="C23" i="1"/>
  <c r="E19" i="1"/>
  <c r="E29" i="1"/>
  <c r="E31" i="1"/>
  <c r="D17" i="1"/>
  <c r="E28" i="1"/>
  <c r="E21" i="1"/>
  <c r="C26" i="1"/>
  <c r="E36" i="1"/>
  <c r="E20" i="1"/>
  <c r="A19" i="4"/>
  <c r="A13" i="4"/>
  <c r="A16" i="4"/>
  <c r="A23" i="4"/>
  <c r="C14" i="21"/>
  <c r="C15" i="21"/>
  <c r="A21" i="4"/>
  <c r="A11" i="4"/>
  <c r="A14" i="4"/>
  <c r="Q14" i="22"/>
  <c r="A15" i="4"/>
  <c r="A18" i="4"/>
  <c r="C14" i="19"/>
  <c r="A22" i="4"/>
  <c r="A17" i="4"/>
  <c r="A12" i="4"/>
  <c r="A20" i="4"/>
  <c r="E33" i="19"/>
  <c r="E37" i="19"/>
  <c r="D43" i="19"/>
  <c r="D29" i="19"/>
  <c r="E35" i="19"/>
  <c r="E26" i="19"/>
  <c r="D37" i="19"/>
  <c r="E41" i="19"/>
  <c r="E44" i="19"/>
  <c r="E36" i="19"/>
  <c r="E43" i="19"/>
  <c r="E23" i="19"/>
  <c r="D35" i="19"/>
  <c r="E34" i="19"/>
  <c r="E42" i="19"/>
  <c r="E30" i="19"/>
  <c r="D33" i="19"/>
  <c r="E25" i="19"/>
  <c r="D19" i="19"/>
  <c r="E29" i="19"/>
  <c r="E38" i="19"/>
  <c r="D40" i="19"/>
  <c r="E24" i="19"/>
  <c r="D22" i="19"/>
  <c r="D23" i="19"/>
  <c r="E20" i="19"/>
  <c r="E19" i="19"/>
  <c r="D25" i="19"/>
  <c r="D41" i="19"/>
  <c r="D32" i="19"/>
  <c r="C28" i="19"/>
  <c r="A15" i="18"/>
  <c r="A22" i="18"/>
  <c r="A18" i="18"/>
  <c r="A17" i="18"/>
  <c r="A21" i="18"/>
  <c r="A12" i="18"/>
  <c r="A13" i="18"/>
  <c r="A23" i="18"/>
  <c r="A11" i="18"/>
  <c r="A20" i="18"/>
  <c r="A16" i="18"/>
  <c r="A14" i="18"/>
  <c r="C13" i="19"/>
  <c r="C15" i="19"/>
  <c r="A1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1) Inscrire le plus grand et le plus petit retour atteignable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3) Votre constante de tolérance au risque est affiché ici</t>
        </r>
      </text>
    </comment>
    <comment ref="M1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2) Ajuster la probabilité jusqu'à ce que vous soyez indifférents entre les deux choix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C1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On cherche la valeur qui rend l'utilité espérée de cet arbre égale à celle de l'arbre sans information.
P.Ex.: Pour R=36,067 (Pile=80%), la valeur de l'info parfaite est 25,4536.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C1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On cherche la valeur qui rend l'utilité espérée de cet arbre égale à celle de l'arbre sans information.
P.Ex.: Pour R=36,067 (Pile=80%), la valeur de l'info imparfaite est 14,8502.</t>
        </r>
      </text>
    </comment>
  </commentList>
</comments>
</file>

<file path=xl/sharedStrings.xml><?xml version="1.0" encoding="utf-8"?>
<sst xmlns="http://schemas.openxmlformats.org/spreadsheetml/2006/main" count="483" uniqueCount="137">
  <si>
    <t>Name</t>
  </si>
  <si>
    <t>SheetRef</t>
  </si>
  <si>
    <t>GenInfo</t>
  </si>
  <si>
    <t>Def. Link</t>
  </si>
  <si>
    <t>EXT REFS</t>
  </si>
  <si>
    <t>Def. Form</t>
  </si>
  <si>
    <t>Calc Macro</t>
  </si>
  <si>
    <t>Highest#</t>
  </si>
  <si>
    <t>Ptree1 Compatibility</t>
  </si>
  <si>
    <t>Eval. Function</t>
  </si>
  <si>
    <t>Creation Version</t>
  </si>
  <si>
    <t>Required Version</t>
  </si>
  <si>
    <t>Recommended Version</t>
  </si>
  <si>
    <t>Last Modified By Version</t>
  </si>
  <si>
    <t>Output Label</t>
  </si>
  <si>
    <t>Output Value NF</t>
  </si>
  <si>
    <t>Output Prob NF</t>
  </si>
  <si>
    <t>Input Value NF</t>
  </si>
  <si>
    <t>Input Prob NF</t>
  </si>
  <si>
    <t>R-Value Ref.</t>
  </si>
  <si>
    <t>Anchor Cell</t>
  </si>
  <si>
    <t>Branch Name</t>
  </si>
  <si>
    <t>bformtype</t>
  </si>
  <si>
    <t>valformula</t>
  </si>
  <si>
    <t>pbformula</t>
  </si>
  <si>
    <t>distribution</t>
  </si>
  <si>
    <t>cumPayoffFunction</t>
  </si>
  <si>
    <t>link</t>
  </si>
  <si>
    <t>ENDNODEFORMULA</t>
  </si>
  <si>
    <t>VAL</t>
  </si>
  <si>
    <t>PB</t>
  </si>
  <si>
    <t>IntRefs</t>
  </si>
  <si>
    <t>RefRefs</t>
  </si>
  <si>
    <t>NodeNames</t>
  </si>
  <si>
    <t>Collapsed</t>
  </si>
  <si>
    <t>5.7.1</t>
  </si>
  <si>
    <t>5.0.0</t>
  </si>
  <si>
    <t>&lt;NF&gt;</t>
  </si>
  <si>
    <t>Automatic</t>
  </si>
  <si>
    <t/>
  </si>
  <si>
    <t>DEFAULT</t>
  </si>
  <si>
    <t>0</t>
  </si>
  <si>
    <t>Stand Limonade</t>
  </si>
  <si>
    <t>2,0,1,3,2,3,4,0,0,0</t>
  </si>
  <si>
    <t>0 litre</t>
  </si>
  <si>
    <t>Météo</t>
  </si>
  <si>
    <t>4,0,0,0,2,0,0</t>
  </si>
  <si>
    <t>1,0,1,3,5,6,7,1,0,0</t>
  </si>
  <si>
    <t>Ensoleillé</t>
  </si>
  <si>
    <t>Nuageux</t>
  </si>
  <si>
    <t>Averse</t>
  </si>
  <si>
    <t>Litres produits</t>
  </si>
  <si>
    <t>Revenus</t>
  </si>
  <si>
    <t>Couts</t>
  </si>
  <si>
    <t>Profits</t>
  </si>
  <si>
    <t>1,0,1,3,8,9,10,1,0,0</t>
  </si>
  <si>
    <t>4,0,0,0,3,0,0</t>
  </si>
  <si>
    <t>1,0,1,3,11,12,13,1,0,0</t>
  </si>
  <si>
    <t>4,0,0,0,4,0,0</t>
  </si>
  <si>
    <t>4,0,0,0,5,0,0</t>
  </si>
  <si>
    <t>Production</t>
  </si>
  <si>
    <t>4,0,0,0,6,0,0</t>
  </si>
  <si>
    <t>4,0,0,0,7,0,0</t>
  </si>
  <si>
    <t>4,0,0,0,8,0,0</t>
  </si>
  <si>
    <t>Probabilité</t>
  </si>
  <si>
    <t>Demande</t>
  </si>
  <si>
    <t>Type</t>
  </si>
  <si>
    <t>N</t>
  </si>
  <si>
    <t>Demande max.</t>
  </si>
  <si>
    <t>Niveau de temp.</t>
  </si>
  <si>
    <t>Id</t>
  </si>
  <si>
    <t>Météo (id)</t>
  </si>
  <si>
    <t>Météo (type)</t>
  </si>
  <si>
    <t>Prix de vente ($/litre)</t>
  </si>
  <si>
    <t>Coûts prod. ($/litre)</t>
  </si>
  <si>
    <t>50 litres</t>
  </si>
  <si>
    <t>100 litres</t>
  </si>
  <si>
    <t>min</t>
  </si>
  <si>
    <t>max</t>
  </si>
  <si>
    <t>a</t>
  </si>
  <si>
    <t>b</t>
  </si>
  <si>
    <t>R</t>
  </si>
  <si>
    <t>ID</t>
  </si>
  <si>
    <t>Value</t>
  </si>
  <si>
    <t>Prob</t>
  </si>
  <si>
    <t>Pred</t>
  </si>
  <si>
    <t>Kind</t>
  </si>
  <si>
    <t>NS</t>
  </si>
  <si>
    <t>S1</t>
  </si>
  <si>
    <t>S2</t>
  </si>
  <si>
    <t>S3</t>
  </si>
  <si>
    <t>S4</t>
  </si>
  <si>
    <t>S5</t>
  </si>
  <si>
    <t>Row</t>
  </si>
  <si>
    <t>Col</t>
  </si>
  <si>
    <t>Mark</t>
  </si>
  <si>
    <t>TreePlan</t>
  </si>
  <si>
    <t>D</t>
  </si>
  <si>
    <t>E</t>
  </si>
  <si>
    <t>T</t>
  </si>
  <si>
    <t>Achat Info (parfaite)</t>
  </si>
  <si>
    <t>1,0,1,3,2,3,4,0,0,0</t>
  </si>
  <si>
    <t>2,0,0,3,5,6,7,1,0,0</t>
  </si>
  <si>
    <t>2,0,0,3,8,9,10,1,0,0</t>
  </si>
  <si>
    <t>2,0,0,3,11,12,13,1,0,0</t>
  </si>
  <si>
    <t>Decision</t>
  </si>
  <si>
    <t>Achat Info (imparfaite)</t>
  </si>
  <si>
    <t>1,0,1,2,2,3,0,0,0</t>
  </si>
  <si>
    <t>Temp. non-clémente</t>
  </si>
  <si>
    <t>Temp. clémente</t>
  </si>
  <si>
    <t>1,0,0,3,4,11,12,2,0,0</t>
  </si>
  <si>
    <t>1,0,0,3,13,14,15,2,0,0</t>
  </si>
  <si>
    <t>1,0,0,3,16,17,18,2,0,0</t>
  </si>
  <si>
    <t>1,0,0,3,19,20,21,3,0,0</t>
  </si>
  <si>
    <t>1,0,0,3,22,23,24,3,0,0</t>
  </si>
  <si>
    <t>1,0,0,3,25,26,27,3,0,0</t>
  </si>
  <si>
    <t>4,0,0,0,9,0,0</t>
  </si>
  <si>
    <t>4,0,0,0,10,0,0</t>
  </si>
  <si>
    <t>Prévision météo.</t>
  </si>
  <si>
    <t>Coût de l'information</t>
  </si>
  <si>
    <t>Couts de production</t>
  </si>
  <si>
    <t>Utilité espérée sans info</t>
  </si>
  <si>
    <t>Utilité espérée avec info</t>
  </si>
  <si>
    <t>-1,4,1,-1,-1,Exponential, 0,1,-1,0,-1,-1,.0001</t>
  </si>
  <si>
    <t>2BCD88B3</t>
  </si>
  <si>
    <t>3B76C5F</t>
  </si>
  <si>
    <t>C562C5</t>
  </si>
  <si>
    <t>Différence</t>
  </si>
  <si>
    <t>-1,1,1,-1,0,Exponential, 0,0,-1,0,-1,-1,.0001</t>
  </si>
  <si>
    <t>Stratégie optimale</t>
  </si>
  <si>
    <t>8.0.1</t>
  </si>
  <si>
    <t>Delta</t>
  </si>
  <si>
    <t>Pile</t>
  </si>
  <si>
    <t>Face</t>
  </si>
  <si>
    <t>Jouer</t>
  </si>
  <si>
    <t>Ne pas jouer</t>
  </si>
  <si>
    <t>-1,3,1,-1,-1,Exponential, 0,1,-1,0,-1,-1,.0001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</si>
</sst>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$&quot;_ ;_ * \(#,##0.00\)\ &quot;$&quot;_ ;_ * &quot;-&quot;??_)\ &quot;$&quot;_ ;_ @_ "/>
    <numFmt numFmtId="164" formatCode="[&gt;0.00001]0.0###%;[=0]0.0%;0.00E+00"/>
    <numFmt numFmtId="165" formatCode="_-* #,##0.00\ &quot;$&quot;_-;_-* #,##0.00\ &quot;$&quot;\-;_-* &quot;-&quot;??\ &quot;$&quot;_-;_-@_-"/>
    <numFmt numFmtId="166" formatCode="_ * #,##0.0000_)\ [$$-C0C]_ ;_ * \(#,##0.0000\)\ [$$-C0C]_ ;_ * &quot;-&quot;??_)\ [$$-C0C]_ ;_ @_ "/>
  </numFmts>
  <fonts count="14" x14ac:knownFonts="1">
    <font>
      <sz val="11"/>
      <color theme="1"/>
      <name val="Calibri"/>
      <family val="2"/>
      <scheme val="minor"/>
    </font>
    <font>
      <b/>
      <sz val="8"/>
      <color rgb="FF00008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8000"/>
      <name val="Calibri"/>
      <family val="2"/>
      <scheme val="minor"/>
    </font>
    <font>
      <b/>
      <sz val="8"/>
      <color rgb="FF008000"/>
      <name val="Calibri"/>
      <family val="2"/>
      <scheme val="minor"/>
    </font>
    <font>
      <sz val="8"/>
      <color rgb="FF800000"/>
      <name val="Calibri"/>
      <family val="2"/>
      <scheme val="minor"/>
    </font>
    <font>
      <b/>
      <sz val="8"/>
      <color rgb="FF8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right"/>
    </xf>
    <xf numFmtId="0" fontId="0" fillId="6" borderId="1" xfId="0" applyFill="1" applyBorder="1"/>
    <xf numFmtId="0" fontId="0" fillId="3" borderId="1" xfId="0" applyFill="1" applyBorder="1"/>
    <xf numFmtId="0" fontId="8" fillId="0" borderId="0" xfId="1"/>
    <xf numFmtId="165" fontId="0" fillId="0" borderId="0" xfId="3" applyFont="1"/>
    <xf numFmtId="9" fontId="0" fillId="0" borderId="0" xfId="2" applyFont="1"/>
    <xf numFmtId="166" fontId="0" fillId="0" borderId="0" xfId="3" applyNumberFormat="1" applyFont="1"/>
    <xf numFmtId="165" fontId="8" fillId="0" borderId="0" xfId="3" applyFont="1" applyFill="1"/>
    <xf numFmtId="0" fontId="7" fillId="0" borderId="0" xfId="0" applyFont="1"/>
    <xf numFmtId="44" fontId="8" fillId="3" borderId="0" xfId="4" applyFont="1" applyFill="1" applyProtection="1">
      <protection locked="0"/>
    </xf>
    <xf numFmtId="165" fontId="8" fillId="3" borderId="0" xfId="1" applyNumberFormat="1" applyFill="1" applyProtection="1">
      <protection locked="0"/>
    </xf>
    <xf numFmtId="9" fontId="8" fillId="3" borderId="0" xfId="2" applyFont="1" applyFill="1" applyProtection="1">
      <protection locked="0"/>
    </xf>
    <xf numFmtId="165" fontId="0" fillId="0" borderId="0" xfId="3" applyFont="1" applyFill="1" applyProtection="1"/>
    <xf numFmtId="0" fontId="8" fillId="7" borderId="0" xfId="1" applyFont="1" applyFill="1" applyProtection="1">
      <protection locked="0"/>
    </xf>
    <xf numFmtId="0" fontId="12" fillId="0" borderId="0" xfId="1" applyFont="1" applyAlignment="1">
      <alignment horizontal="center"/>
    </xf>
    <xf numFmtId="0" fontId="13" fillId="0" borderId="0" xfId="1" applyFont="1"/>
    <xf numFmtId="0" fontId="8" fillId="0" borderId="0" xfId="1" applyProtection="1"/>
  </cellXfs>
  <cellStyles count="5">
    <cellStyle name="Currency 2" xfId="3" xr:uid="{00000000-0005-0000-0000-000000000000}"/>
    <cellStyle name="Monétaire" xfId="4" builtinId="4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782178217821777E-2"/>
          <c:y val="9.6296644591451791E-2"/>
          <c:w val="0.8589108910891089"/>
          <c:h val="0.7370397028345733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'F. utilite'!$A$4:$A$24</c:f>
              <c:numCache>
                <c:formatCode>General</c:formatCode>
                <c:ptCount val="21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</c:v>
                </c:pt>
                <c:pt idx="7">
                  <c:v>-30</c:v>
                </c:pt>
                <c:pt idx="8">
                  <c:v>-20</c:v>
                </c:pt>
                <c:pt idx="9">
                  <c:v>-10</c:v>
                </c:pt>
                <c:pt idx="10">
                  <c:v>0</c:v>
                </c:pt>
                <c:pt idx="11">
                  <c:v>10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60</c:v>
                </c:pt>
                <c:pt idx="17">
                  <c:v>70</c:v>
                </c:pt>
                <c:pt idx="18">
                  <c:v>80</c:v>
                </c:pt>
                <c:pt idx="19">
                  <c:v>90</c:v>
                </c:pt>
                <c:pt idx="20">
                  <c:v>100</c:v>
                </c:pt>
              </c:numCache>
            </c:numRef>
          </c:xVal>
          <c:yVal>
            <c:numRef>
              <c:f>'F. utilite'!$B$4:$B$24</c:f>
              <c:numCache>
                <c:formatCode>General</c:formatCode>
                <c:ptCount val="21"/>
                <c:pt idx="0">
                  <c:v>0</c:v>
                </c:pt>
                <c:pt idx="1">
                  <c:v>5.3891301621506571E-2</c:v>
                </c:pt>
                <c:pt idx="2">
                  <c:v>0.10735313572247396</c:v>
                </c:pt>
                <c:pt idx="3">
                  <c:v>0.16038892479123668</c:v>
                </c:pt>
                <c:pt idx="4">
                  <c:v>0.21300206404183353</c:v>
                </c:pt>
                <c:pt idx="5">
                  <c:v>0.26519592163134753</c:v>
                </c:pt>
                <c:pt idx="6">
                  <c:v>0.31697383887553965</c:v>
                </c:pt>
                <c:pt idx="7">
                  <c:v>0.36833913046274347</c:v>
                </c:pt>
                <c:pt idx="8">
                  <c:v>0.41929508466606613</c:v>
                </c:pt>
                <c:pt idx="9">
                  <c:v>0.46984496355389282</c:v>
                </c:pt>
                <c:pt idx="10">
                  <c:v>0.51999200319872063</c:v>
                </c:pt>
                <c:pt idx="11">
                  <c:v>0.56973941388431637</c:v>
                </c:pt>
                <c:pt idx="12">
                  <c:v>0.61909038031123842</c:v>
                </c:pt>
                <c:pt idx="13">
                  <c:v>0.66804806180070475</c:v>
                </c:pt>
                <c:pt idx="14">
                  <c:v>0.71661559249685247</c:v>
                </c:pt>
                <c:pt idx="15">
                  <c:v>0.76479608156737378</c:v>
                </c:pt>
                <c:pt idx="16">
                  <c:v>0.81259261340255406</c:v>
                </c:pt>
                <c:pt idx="17">
                  <c:v>0.86000824781273355</c:v>
                </c:pt>
                <c:pt idx="18">
                  <c:v>0.90704602022418168</c:v>
                </c:pt>
                <c:pt idx="19">
                  <c:v>0.9537089418734217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A7-4643-A0B0-A6FA13DBC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95760"/>
        <c:axId val="402596152"/>
      </c:scatterChart>
      <c:valAx>
        <c:axId val="40259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02596152"/>
        <c:crosses val="autoZero"/>
        <c:crossBetween val="midCat"/>
      </c:valAx>
      <c:valAx>
        <c:axId val="40259615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025957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20</xdr:row>
      <xdr:rowOff>0</xdr:rowOff>
    </xdr:from>
    <xdr:to>
      <xdr:col>11</xdr:col>
      <xdr:colOff>0</xdr:colOff>
      <xdr:row>20</xdr:row>
      <xdr:rowOff>152400</xdr:rowOff>
    </xdr:to>
    <xdr:sp macro="" textlink="">
      <xdr:nvSpPr>
        <xdr:cNvPr id="2" name="Oval 14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5591175" y="3295650"/>
          <a:ext cx="152400" cy="15240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20</xdr:row>
      <xdr:rowOff>76200</xdr:rowOff>
    </xdr:from>
    <xdr:to>
      <xdr:col>10</xdr:col>
      <xdr:colOff>0</xdr:colOff>
      <xdr:row>20</xdr:row>
      <xdr:rowOff>76200</xdr:rowOff>
    </xdr:to>
    <xdr:sp macro="" textlink="">
      <xdr:nvSpPr>
        <xdr:cNvPr id="3" name="Line 14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>
          <a:off x="4067175" y="337185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24</xdr:row>
      <xdr:rowOff>76200</xdr:rowOff>
    </xdr:to>
    <xdr:sp macro="" textlink="">
      <xdr:nvSpPr>
        <xdr:cNvPr id="4" name="Line 14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3819525" y="3371850"/>
          <a:ext cx="2476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0</xdr:colOff>
      <xdr:row>28</xdr:row>
      <xdr:rowOff>152400</xdr:rowOff>
    </xdr:to>
    <xdr:sp macro="" textlink="">
      <xdr:nvSpPr>
        <xdr:cNvPr id="5" name="Line 14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>
          <a:off x="5591175" y="4676775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28</xdr:row>
      <xdr:rowOff>76200</xdr:rowOff>
    </xdr:from>
    <xdr:to>
      <xdr:col>14</xdr:col>
      <xdr:colOff>0</xdr:colOff>
      <xdr:row>28</xdr:row>
      <xdr:rowOff>76200</xdr:rowOff>
    </xdr:to>
    <xdr:sp macro="" textlink="">
      <xdr:nvSpPr>
        <xdr:cNvPr id="6" name="Line 14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>
          <a:off x="5743575" y="4752975"/>
          <a:ext cx="1771650" cy="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28</xdr:row>
      <xdr:rowOff>76200</xdr:rowOff>
    </xdr:from>
    <xdr:to>
      <xdr:col>10</xdr:col>
      <xdr:colOff>0</xdr:colOff>
      <xdr:row>28</xdr:row>
      <xdr:rowOff>76200</xdr:rowOff>
    </xdr:to>
    <xdr:sp macro="" textlink="">
      <xdr:nvSpPr>
        <xdr:cNvPr id="7" name="Line 14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ShapeType="1"/>
        </xdr:cNvSpPr>
      </xdr:nvSpPr>
      <xdr:spPr bwMode="auto">
        <a:xfrm>
          <a:off x="4067175" y="4752975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24</xdr:row>
      <xdr:rowOff>76200</xdr:rowOff>
    </xdr:from>
    <xdr:to>
      <xdr:col>8</xdr:col>
      <xdr:colOff>0</xdr:colOff>
      <xdr:row>28</xdr:row>
      <xdr:rowOff>76200</xdr:rowOff>
    </xdr:to>
    <xdr:sp macro="" textlink="">
      <xdr:nvSpPr>
        <xdr:cNvPr id="8" name="Line 14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>
          <a:off x="3819525" y="4076700"/>
          <a:ext cx="24765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0</xdr:colOff>
      <xdr:row>18</xdr:row>
      <xdr:rowOff>152400</xdr:rowOff>
    </xdr:to>
    <xdr:sp macro="" textlink="">
      <xdr:nvSpPr>
        <xdr:cNvPr id="9" name="Line 15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ShapeType="1"/>
        </xdr:cNvSpPr>
      </xdr:nvSpPr>
      <xdr:spPr bwMode="auto">
        <a:xfrm>
          <a:off x="7515225" y="29146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18</xdr:row>
      <xdr:rowOff>76200</xdr:rowOff>
    </xdr:from>
    <xdr:to>
      <xdr:col>14</xdr:col>
      <xdr:colOff>0</xdr:colOff>
      <xdr:row>18</xdr:row>
      <xdr:rowOff>76200</xdr:rowOff>
    </xdr:to>
    <xdr:sp macro="" textlink="">
      <xdr:nvSpPr>
        <xdr:cNvPr id="10" name="Line 15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ShapeType="1"/>
        </xdr:cNvSpPr>
      </xdr:nvSpPr>
      <xdr:spPr bwMode="auto">
        <a:xfrm>
          <a:off x="5991225" y="299085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18</xdr:row>
      <xdr:rowOff>76200</xdr:rowOff>
    </xdr:from>
    <xdr:to>
      <xdr:col>12</xdr:col>
      <xdr:colOff>0</xdr:colOff>
      <xdr:row>20</xdr:row>
      <xdr:rowOff>76200</xdr:rowOff>
    </xdr:to>
    <xdr:sp macro="" textlink="">
      <xdr:nvSpPr>
        <xdr:cNvPr id="11" name="Line 15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ShapeType="1"/>
        </xdr:cNvSpPr>
      </xdr:nvSpPr>
      <xdr:spPr bwMode="auto">
        <a:xfrm flipV="1">
          <a:off x="5743575" y="2990850"/>
          <a:ext cx="24765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0</xdr:colOff>
      <xdr:row>23</xdr:row>
      <xdr:rowOff>152400</xdr:rowOff>
    </xdr:to>
    <xdr:sp macro="" textlink="">
      <xdr:nvSpPr>
        <xdr:cNvPr id="12" name="Line 15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7515225" y="381000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23</xdr:row>
      <xdr:rowOff>76200</xdr:rowOff>
    </xdr:from>
    <xdr:to>
      <xdr:col>14</xdr:col>
      <xdr:colOff>0</xdr:colOff>
      <xdr:row>23</xdr:row>
      <xdr:rowOff>76200</xdr:rowOff>
    </xdr:to>
    <xdr:sp macro="" textlink="">
      <xdr:nvSpPr>
        <xdr:cNvPr id="13" name="Line 15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ShapeType="1"/>
        </xdr:cNvSpPr>
      </xdr:nvSpPr>
      <xdr:spPr bwMode="auto">
        <a:xfrm>
          <a:off x="5991225" y="388620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76200</xdr:rowOff>
    </xdr:from>
    <xdr:to>
      <xdr:col>12</xdr:col>
      <xdr:colOff>0</xdr:colOff>
      <xdr:row>23</xdr:row>
      <xdr:rowOff>76200</xdr:rowOff>
    </xdr:to>
    <xdr:sp macro="" textlink="">
      <xdr:nvSpPr>
        <xdr:cNvPr id="14" name="Line 15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ShapeType="1"/>
        </xdr:cNvSpPr>
      </xdr:nvSpPr>
      <xdr:spPr bwMode="auto">
        <a:xfrm>
          <a:off x="5743575" y="3371850"/>
          <a:ext cx="24765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0</xdr:colOff>
      <xdr:row>24</xdr:row>
      <xdr:rowOff>152400</xdr:rowOff>
    </xdr:to>
    <xdr:sp macro="" textlink="">
      <xdr:nvSpPr>
        <xdr:cNvPr id="15" name="Rectangle 15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667125" y="4000500"/>
          <a:ext cx="152400" cy="152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76200</xdr:rowOff>
    </xdr:from>
    <xdr:to>
      <xdr:col>6</xdr:col>
      <xdr:colOff>0</xdr:colOff>
      <xdr:row>24</xdr:row>
      <xdr:rowOff>76200</xdr:rowOff>
    </xdr:to>
    <xdr:sp macro="" textlink="">
      <xdr:nvSpPr>
        <xdr:cNvPr id="16" name="Line 15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ShapeType="1"/>
        </xdr:cNvSpPr>
      </xdr:nvSpPr>
      <xdr:spPr bwMode="auto">
        <a:xfrm>
          <a:off x="2905125" y="407670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723900</xdr:colOff>
      <xdr:row>0</xdr:row>
      <xdr:rowOff>28575</xdr:rowOff>
    </xdr:from>
    <xdr:to>
      <xdr:col>13</xdr:col>
      <xdr:colOff>742950</xdr:colOff>
      <xdr:row>14</xdr:row>
      <xdr:rowOff>114300</xdr:rowOff>
    </xdr:to>
    <xdr:graphicFrame macro="">
      <xdr:nvGraphicFramePr>
        <xdr:cNvPr id="17" name="Chart 15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11</xdr:row>
      <xdr:rowOff>57150</xdr:rowOff>
    </xdr:from>
    <xdr:to>
      <xdr:col>17</xdr:col>
      <xdr:colOff>285750</xdr:colOff>
      <xdr:row>14</xdr:row>
      <xdr:rowOff>104775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6A86FBD-012B-4E84-85A9-4C77918B186C}"/>
            </a:ext>
          </a:extLst>
        </xdr:cNvPr>
        <xdr:cNvSpPr/>
      </xdr:nvSpPr>
      <xdr:spPr>
        <a:xfrm>
          <a:off x="8124825" y="1838325"/>
          <a:ext cx="1352550" cy="5334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242697</xdr:colOff>
      <xdr:row>37</xdr:row>
      <xdr:rowOff>185420</xdr:rowOff>
    </xdr:from>
    <xdr:to>
      <xdr:col>4</xdr:col>
      <xdr:colOff>127</xdr:colOff>
      <xdr:row>37</xdr:row>
      <xdr:rowOff>185420</xdr:rowOff>
    </xdr:to>
    <xdr:cxnSp macro="_xll.PtreeEvent_ObjectClick">
      <xdr:nvCxnSpPr>
        <xdr:cNvPr id="211" name="PTObj_DBranchHLine_1_13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CxnSpPr/>
      </xdr:nvCxnSpPr>
      <xdr:spPr>
        <a:xfrm>
          <a:off x="3919347" y="7233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33</xdr:row>
      <xdr:rowOff>180340</xdr:rowOff>
    </xdr:from>
    <xdr:to>
      <xdr:col>3</xdr:col>
      <xdr:colOff>242697</xdr:colOff>
      <xdr:row>37</xdr:row>
      <xdr:rowOff>185420</xdr:rowOff>
    </xdr:to>
    <xdr:cxnSp macro="_xll.PtreeEvent_ObjectClick">
      <xdr:nvCxnSpPr>
        <xdr:cNvPr id="210" name="PTObj_DBranchDLine_1_13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CxnSpPr/>
      </xdr:nvCxnSpPr>
      <xdr:spPr>
        <a:xfrm>
          <a:off x="3766947" y="6466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35</xdr:row>
      <xdr:rowOff>185420</xdr:rowOff>
    </xdr:from>
    <xdr:to>
      <xdr:col>4</xdr:col>
      <xdr:colOff>127</xdr:colOff>
      <xdr:row>35</xdr:row>
      <xdr:rowOff>185420</xdr:rowOff>
    </xdr:to>
    <xdr:cxnSp macro="_xll.PtreeEvent_ObjectClick">
      <xdr:nvCxnSpPr>
        <xdr:cNvPr id="31" name="PTObj_DBranchHLine_1_12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CxnSpPr/>
      </xdr:nvCxnSpPr>
      <xdr:spPr>
        <a:xfrm>
          <a:off x="3919347" y="6852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33</xdr:row>
      <xdr:rowOff>180340</xdr:rowOff>
    </xdr:from>
    <xdr:to>
      <xdr:col>3</xdr:col>
      <xdr:colOff>242697</xdr:colOff>
      <xdr:row>35</xdr:row>
      <xdr:rowOff>185420</xdr:rowOff>
    </xdr:to>
    <xdr:cxnSp macro="_xll.PtreeEvent_ObjectClick">
      <xdr:nvCxnSpPr>
        <xdr:cNvPr id="30" name="PTObj_DBranchDLine_1_1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>
        <a:xfrm>
          <a:off x="3766947" y="6466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31</xdr:row>
      <xdr:rowOff>185420</xdr:rowOff>
    </xdr:from>
    <xdr:to>
      <xdr:col>4</xdr:col>
      <xdr:colOff>127</xdr:colOff>
      <xdr:row>31</xdr:row>
      <xdr:rowOff>185420</xdr:rowOff>
    </xdr:to>
    <xdr:cxnSp macro="_xll.PtreeEvent_ObjectClick">
      <xdr:nvCxnSpPr>
        <xdr:cNvPr id="27" name="PTObj_DBranchHLine_1_1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CxnSpPr/>
      </xdr:nvCxnSpPr>
      <xdr:spPr>
        <a:xfrm>
          <a:off x="3919347" y="6090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31</xdr:row>
      <xdr:rowOff>185420</xdr:rowOff>
    </xdr:from>
    <xdr:to>
      <xdr:col>3</xdr:col>
      <xdr:colOff>242697</xdr:colOff>
      <xdr:row>33</xdr:row>
      <xdr:rowOff>180340</xdr:rowOff>
    </xdr:to>
    <xdr:cxnSp macro="_xll.PtreeEvent_ObjectClick">
      <xdr:nvCxnSpPr>
        <xdr:cNvPr id="26" name="PTObj_DBranchDLine_1_11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CxnSpPr/>
      </xdr:nvCxnSpPr>
      <xdr:spPr>
        <a:xfrm flipV="1">
          <a:off x="3766947" y="6090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33</xdr:row>
      <xdr:rowOff>185420</xdr:rowOff>
    </xdr:from>
    <xdr:to>
      <xdr:col>3</xdr:col>
      <xdr:colOff>127</xdr:colOff>
      <xdr:row>33</xdr:row>
      <xdr:rowOff>185420</xdr:rowOff>
    </xdr:to>
    <xdr:cxnSp macro="_xll.PtreeEvent_ObjectClick">
      <xdr:nvCxnSpPr>
        <xdr:cNvPr id="23" name="PTObj_DBranchHLine_1_4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376296" y="6471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21</xdr:row>
      <xdr:rowOff>180340</xdr:rowOff>
    </xdr:from>
    <xdr:to>
      <xdr:col>2</xdr:col>
      <xdr:colOff>242696</xdr:colOff>
      <xdr:row>33</xdr:row>
      <xdr:rowOff>185420</xdr:rowOff>
    </xdr:to>
    <xdr:cxnSp macro="_xll.PtreeEvent_ObjectClick">
      <xdr:nvCxnSpPr>
        <xdr:cNvPr id="22" name="PTObj_DBranchDLine_1_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2223896" y="4180840"/>
          <a:ext cx="152400" cy="2291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29</xdr:row>
      <xdr:rowOff>185420</xdr:rowOff>
    </xdr:from>
    <xdr:to>
      <xdr:col>4</xdr:col>
      <xdr:colOff>127</xdr:colOff>
      <xdr:row>29</xdr:row>
      <xdr:rowOff>185420</xdr:rowOff>
    </xdr:to>
    <xdr:cxnSp macro="_xll.PtreeEvent_ObjectClick">
      <xdr:nvCxnSpPr>
        <xdr:cNvPr id="19" name="PTObj_DBranchHLine_1_10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3919347" y="570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25</xdr:row>
      <xdr:rowOff>180340</xdr:rowOff>
    </xdr:from>
    <xdr:to>
      <xdr:col>3</xdr:col>
      <xdr:colOff>242697</xdr:colOff>
      <xdr:row>29</xdr:row>
      <xdr:rowOff>185420</xdr:rowOff>
    </xdr:to>
    <xdr:cxnSp macro="_xll.PtreeEvent_ObjectClick">
      <xdr:nvCxnSpPr>
        <xdr:cNvPr id="18" name="PTObj_DBranchDLine_1_1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3766947" y="4942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27</xdr:row>
      <xdr:rowOff>185420</xdr:rowOff>
    </xdr:from>
    <xdr:to>
      <xdr:col>4</xdr:col>
      <xdr:colOff>127</xdr:colOff>
      <xdr:row>27</xdr:row>
      <xdr:rowOff>185420</xdr:rowOff>
    </xdr:to>
    <xdr:cxnSp macro="_xll.PtreeEvent_ObjectClick">
      <xdr:nvCxnSpPr>
        <xdr:cNvPr id="15" name="PTObj_DBranchHLine_1_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CxnSpPr/>
      </xdr:nvCxnSpPr>
      <xdr:spPr>
        <a:xfrm>
          <a:off x="3919347" y="5328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25</xdr:row>
      <xdr:rowOff>180340</xdr:rowOff>
    </xdr:from>
    <xdr:to>
      <xdr:col>3</xdr:col>
      <xdr:colOff>242697</xdr:colOff>
      <xdr:row>27</xdr:row>
      <xdr:rowOff>185420</xdr:rowOff>
    </xdr:to>
    <xdr:cxnSp macro="_xll.PtreeEvent_ObjectClick">
      <xdr:nvCxnSpPr>
        <xdr:cNvPr id="14" name="PTObj_DBranchDLine_1_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3766947" y="4942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23</xdr:row>
      <xdr:rowOff>185420</xdr:rowOff>
    </xdr:from>
    <xdr:to>
      <xdr:col>4</xdr:col>
      <xdr:colOff>127</xdr:colOff>
      <xdr:row>23</xdr:row>
      <xdr:rowOff>185420</xdr:rowOff>
    </xdr:to>
    <xdr:cxnSp macro="_xll.PtreeEvent_ObjectClick">
      <xdr:nvCxnSpPr>
        <xdr:cNvPr id="11" name="PTObj_DBranchHLine_1_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>
          <a:off x="3919347" y="456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23</xdr:row>
      <xdr:rowOff>185420</xdr:rowOff>
    </xdr:from>
    <xdr:to>
      <xdr:col>3</xdr:col>
      <xdr:colOff>242697</xdr:colOff>
      <xdr:row>25</xdr:row>
      <xdr:rowOff>180340</xdr:rowOff>
    </xdr:to>
    <xdr:cxnSp macro="_xll.PtreeEvent_ObjectClick">
      <xdr:nvCxnSpPr>
        <xdr:cNvPr id="10" name="PTObj_DBranchDLine_1_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 flipV="1">
          <a:off x="3766947" y="4566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25</xdr:row>
      <xdr:rowOff>185420</xdr:rowOff>
    </xdr:from>
    <xdr:to>
      <xdr:col>3</xdr:col>
      <xdr:colOff>127</xdr:colOff>
      <xdr:row>25</xdr:row>
      <xdr:rowOff>185420</xdr:rowOff>
    </xdr:to>
    <xdr:cxnSp macro="_xll.PtreeEvent_ObjectClick">
      <xdr:nvCxnSpPr>
        <xdr:cNvPr id="4" name="PTObj_DBranchHLine_1_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2376296" y="4947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21</xdr:row>
      <xdr:rowOff>180340</xdr:rowOff>
    </xdr:from>
    <xdr:to>
      <xdr:col>2</xdr:col>
      <xdr:colOff>242696</xdr:colOff>
      <xdr:row>25</xdr:row>
      <xdr:rowOff>185420</xdr:rowOff>
    </xdr:to>
    <xdr:cxnSp macro="_xll.PtreeEvent_ObjectClick">
      <xdr:nvCxnSpPr>
        <xdr:cNvPr id="3" name="PTObj_DBranchDLine_1_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223896" y="4180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15</xdr:row>
      <xdr:rowOff>185420</xdr:rowOff>
    </xdr:from>
    <xdr:to>
      <xdr:col>3</xdr:col>
      <xdr:colOff>127</xdr:colOff>
      <xdr:row>15</xdr:row>
      <xdr:rowOff>185420</xdr:rowOff>
    </xdr:to>
    <xdr:cxnSp macro="_xll.PtreeEvent_ObjectClick">
      <xdr:nvCxnSpPr>
        <xdr:cNvPr id="176" name="PTObj_DBranchHLine_1_2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CxnSpPr/>
      </xdr:nvCxnSpPr>
      <xdr:spPr>
        <a:xfrm>
          <a:off x="2223896" y="2280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15</xdr:row>
      <xdr:rowOff>185420</xdr:rowOff>
    </xdr:from>
    <xdr:to>
      <xdr:col>2</xdr:col>
      <xdr:colOff>242696</xdr:colOff>
      <xdr:row>21</xdr:row>
      <xdr:rowOff>180340</xdr:rowOff>
    </xdr:to>
    <xdr:cxnSp macro="_xll.PtreeEvent_ObjectClick">
      <xdr:nvCxnSpPr>
        <xdr:cNvPr id="175" name="PTObj_DBranchDLine_1_2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CxnSpPr/>
      </xdr:nvCxnSpPr>
      <xdr:spPr>
        <a:xfrm flipV="1">
          <a:off x="2071496" y="2280920"/>
          <a:ext cx="152400" cy="1137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19</xdr:row>
      <xdr:rowOff>185420</xdr:rowOff>
    </xdr:from>
    <xdr:to>
      <xdr:col>4</xdr:col>
      <xdr:colOff>127</xdr:colOff>
      <xdr:row>19</xdr:row>
      <xdr:rowOff>185420</xdr:rowOff>
    </xdr:to>
    <xdr:cxnSp macro="_xll.PtreeEvent_ObjectClick">
      <xdr:nvCxnSpPr>
        <xdr:cNvPr id="172" name="PTObj_DBranchHLine_1_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CxnSpPr/>
      </xdr:nvCxnSpPr>
      <xdr:spPr>
        <a:xfrm>
          <a:off x="3766947" y="3042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15</xdr:row>
      <xdr:rowOff>180340</xdr:rowOff>
    </xdr:from>
    <xdr:to>
      <xdr:col>3</xdr:col>
      <xdr:colOff>242697</xdr:colOff>
      <xdr:row>19</xdr:row>
      <xdr:rowOff>185420</xdr:rowOff>
    </xdr:to>
    <xdr:cxnSp macro="_xll.PtreeEvent_ObjectClick">
      <xdr:nvCxnSpPr>
        <xdr:cNvPr id="171" name="PTObj_DBranchDLine_1_7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CxnSpPr/>
      </xdr:nvCxnSpPr>
      <xdr:spPr>
        <a:xfrm>
          <a:off x="3614547" y="2275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17</xdr:row>
      <xdr:rowOff>185420</xdr:rowOff>
    </xdr:from>
    <xdr:to>
      <xdr:col>4</xdr:col>
      <xdr:colOff>127</xdr:colOff>
      <xdr:row>17</xdr:row>
      <xdr:rowOff>185420</xdr:rowOff>
    </xdr:to>
    <xdr:cxnSp macro="_xll.PtreeEvent_ObjectClick">
      <xdr:nvCxnSpPr>
        <xdr:cNvPr id="168" name="PTObj_DBranchHLine_1_6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CxnSpPr/>
      </xdr:nvCxnSpPr>
      <xdr:spPr>
        <a:xfrm>
          <a:off x="3766947" y="2661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15</xdr:row>
      <xdr:rowOff>180340</xdr:rowOff>
    </xdr:from>
    <xdr:to>
      <xdr:col>3</xdr:col>
      <xdr:colOff>242697</xdr:colOff>
      <xdr:row>17</xdr:row>
      <xdr:rowOff>185420</xdr:rowOff>
    </xdr:to>
    <xdr:cxnSp macro="_xll.PtreeEvent_ObjectClick">
      <xdr:nvCxnSpPr>
        <xdr:cNvPr id="167" name="PTObj_DBranchDLine_1_6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CxnSpPr/>
      </xdr:nvCxnSpPr>
      <xdr:spPr>
        <a:xfrm>
          <a:off x="3614547" y="2275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13</xdr:row>
      <xdr:rowOff>185420</xdr:rowOff>
    </xdr:from>
    <xdr:to>
      <xdr:col>4</xdr:col>
      <xdr:colOff>127</xdr:colOff>
      <xdr:row>13</xdr:row>
      <xdr:rowOff>185420</xdr:rowOff>
    </xdr:to>
    <xdr:cxnSp macro="_xll.PtreeEvent_ObjectClick">
      <xdr:nvCxnSpPr>
        <xdr:cNvPr id="164" name="PTObj_DBranchHLine_1_5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CxnSpPr/>
      </xdr:nvCxnSpPr>
      <xdr:spPr>
        <a:xfrm>
          <a:off x="3766947" y="189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13</xdr:row>
      <xdr:rowOff>185420</xdr:rowOff>
    </xdr:from>
    <xdr:to>
      <xdr:col>3</xdr:col>
      <xdr:colOff>242697</xdr:colOff>
      <xdr:row>15</xdr:row>
      <xdr:rowOff>180340</xdr:rowOff>
    </xdr:to>
    <xdr:cxnSp macro="_xll.PtreeEvent_ObjectClick">
      <xdr:nvCxnSpPr>
        <xdr:cNvPr id="163" name="PTObj_DBranchDLine_1_5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CxnSpPr/>
      </xdr:nvCxnSpPr>
      <xdr:spPr>
        <a:xfrm flipV="1">
          <a:off x="3614547" y="1899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177800</xdr:colOff>
      <xdr:row>21</xdr:row>
      <xdr:rowOff>185420</xdr:rowOff>
    </xdr:from>
    <xdr:to>
      <xdr:col>2</xdr:col>
      <xdr:colOff>125</xdr:colOff>
      <xdr:row>21</xdr:row>
      <xdr:rowOff>185420</xdr:rowOff>
    </xdr:to>
    <xdr:cxnSp macro="_xll.PtreeEvent_ObjectClick">
      <xdr:nvCxnSpPr>
        <xdr:cNvPr id="6" name="PTObj_DBranchHLine_1_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787400" y="2280920"/>
          <a:ext cx="118440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126</xdr:colOff>
      <xdr:row>21</xdr:row>
      <xdr:rowOff>90170</xdr:rowOff>
    </xdr:from>
    <xdr:to>
      <xdr:col>2</xdr:col>
      <xdr:colOff>190626</xdr:colOff>
      <xdr:row>22</xdr:row>
      <xdr:rowOff>90170</xdr:rowOff>
    </xdr:to>
    <xdr:sp macro="_xll.PtreeEvent_ObjectClick" textlink="">
      <xdr:nvSpPr>
        <xdr:cNvPr id="5" name="PTObj_DNode_1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971801" y="2185670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1</xdr:col>
      <xdr:colOff>249419</xdr:colOff>
      <xdr:row>21</xdr:row>
      <xdr:rowOff>109366</xdr:rowOff>
    </xdr:from>
    <xdr:ext cx="727827" cy="180627"/>
    <xdr:sp macro="_xll.PtreeEvent_ObjectClick" textlink="">
      <xdr:nvSpPr>
        <xdr:cNvPr id="7" name="PTObj_DBranchName_1_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011419" y="3538366"/>
          <a:ext cx="727827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Stand Limonade</a:t>
          </a:r>
        </a:p>
      </xdr:txBody>
    </xdr:sp>
    <xdr:clientData/>
  </xdr:oneCellAnchor>
  <xdr:twoCellAnchor editAs="oneCell">
    <xdr:from>
      <xdr:col>4</xdr:col>
      <xdr:colOff>127</xdr:colOff>
      <xdr:row>13</xdr:row>
      <xdr:rowOff>90170</xdr:rowOff>
    </xdr:from>
    <xdr:to>
      <xdr:col>4</xdr:col>
      <xdr:colOff>190627</xdr:colOff>
      <xdr:row>14</xdr:row>
      <xdr:rowOff>90170</xdr:rowOff>
    </xdr:to>
    <xdr:sp macro="_xll.PtreeEvent_ObjectClick" textlink="">
      <xdr:nvSpPr>
        <xdr:cNvPr id="162" name="PTObj_DNode_1_5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 rot="-5400000">
          <a:off x="5067427" y="1804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294927</xdr:colOff>
      <xdr:row>13</xdr:row>
      <xdr:rowOff>109366</xdr:rowOff>
    </xdr:from>
    <xdr:ext cx="449867" cy="180627"/>
    <xdr:sp macro="_xll.PtreeEvent_ObjectClick" textlink="">
      <xdr:nvSpPr>
        <xdr:cNvPr id="165" name="PTObj_DBranchName_1_5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 txBox="1"/>
      </xdr:nvSpPr>
      <xdr:spPr>
        <a:xfrm>
          <a:off x="3971577" y="2585866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4</xdr:col>
      <xdr:colOff>127</xdr:colOff>
      <xdr:row>17</xdr:row>
      <xdr:rowOff>90170</xdr:rowOff>
    </xdr:from>
    <xdr:to>
      <xdr:col>4</xdr:col>
      <xdr:colOff>190627</xdr:colOff>
      <xdr:row>18</xdr:row>
      <xdr:rowOff>90170</xdr:rowOff>
    </xdr:to>
    <xdr:sp macro="_xll.PtreeEvent_ObjectClick" textlink="">
      <xdr:nvSpPr>
        <xdr:cNvPr id="166" name="PTObj_DNode_1_6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 rot="-5400000">
          <a:off x="5067427" y="2566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294876</xdr:colOff>
      <xdr:row>17</xdr:row>
      <xdr:rowOff>109366</xdr:rowOff>
    </xdr:from>
    <xdr:ext cx="422359" cy="180627"/>
    <xdr:sp macro="_xll.PtreeEvent_ObjectClick" textlink="">
      <xdr:nvSpPr>
        <xdr:cNvPr id="169" name="PTObj_DBranchName_1_6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 txBox="1"/>
      </xdr:nvSpPr>
      <xdr:spPr>
        <a:xfrm>
          <a:off x="3971526" y="2776366"/>
          <a:ext cx="42235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4</xdr:col>
      <xdr:colOff>127</xdr:colOff>
      <xdr:row>19</xdr:row>
      <xdr:rowOff>90170</xdr:rowOff>
    </xdr:from>
    <xdr:to>
      <xdr:col>4</xdr:col>
      <xdr:colOff>190627</xdr:colOff>
      <xdr:row>20</xdr:row>
      <xdr:rowOff>90170</xdr:rowOff>
    </xdr:to>
    <xdr:sp macro="_xll.PtreeEvent_ObjectClick" textlink="">
      <xdr:nvSpPr>
        <xdr:cNvPr id="170" name="PTObj_DNode_1_7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 rot="-5400000">
          <a:off x="5067427" y="2947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304227</xdr:colOff>
      <xdr:row>19</xdr:row>
      <xdr:rowOff>109366</xdr:rowOff>
    </xdr:from>
    <xdr:ext cx="339131" cy="180627"/>
    <xdr:sp macro="_xll.PtreeEvent_ObjectClick" textlink="">
      <xdr:nvSpPr>
        <xdr:cNvPr id="173" name="PTObj_DBranchName_1_7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 txBox="1"/>
      </xdr:nvSpPr>
      <xdr:spPr>
        <a:xfrm>
          <a:off x="3980877" y="3728866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3</xdr:col>
      <xdr:colOff>127</xdr:colOff>
      <xdr:row>15</xdr:row>
      <xdr:rowOff>90170</xdr:rowOff>
    </xdr:from>
    <xdr:to>
      <xdr:col>3</xdr:col>
      <xdr:colOff>190627</xdr:colOff>
      <xdr:row>16</xdr:row>
      <xdr:rowOff>90170</xdr:rowOff>
    </xdr:to>
    <xdr:sp macro="_xll.PtreeEvent_ObjectClick" textlink="">
      <xdr:nvSpPr>
        <xdr:cNvPr id="174" name="PTObj_DNode_1_2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3524377" y="2185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2</xdr:col>
      <xdr:colOff>294805</xdr:colOff>
      <xdr:row>15</xdr:row>
      <xdr:rowOff>109366</xdr:rowOff>
    </xdr:from>
    <xdr:ext cx="298863" cy="180627"/>
    <xdr:sp macro="_xll.PtreeEvent_ObjectClick" textlink="">
      <xdr:nvSpPr>
        <xdr:cNvPr id="177" name="PTObj_DBranchName_1_2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 txBox="1"/>
      </xdr:nvSpPr>
      <xdr:spPr>
        <a:xfrm>
          <a:off x="2428405" y="2395366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3</xdr:col>
      <xdr:colOff>127</xdr:colOff>
      <xdr:row>25</xdr:row>
      <xdr:rowOff>90170</xdr:rowOff>
    </xdr:from>
    <xdr:to>
      <xdr:col>3</xdr:col>
      <xdr:colOff>190627</xdr:colOff>
      <xdr:row>26</xdr:row>
      <xdr:rowOff>90170</xdr:rowOff>
    </xdr:to>
    <xdr:sp macro="_xll.PtreeEvent_ObjectClick" textlink="">
      <xdr:nvSpPr>
        <xdr:cNvPr id="2" name="PTObj_DNode_1_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676777" y="4852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2</xdr:col>
      <xdr:colOff>280796</xdr:colOff>
      <xdr:row>25</xdr:row>
      <xdr:rowOff>95107</xdr:rowOff>
    </xdr:from>
    <xdr:ext cx="391004" cy="180627"/>
    <xdr:sp macro="_xll.PtreeEvent_ObjectClick" textlink="">
      <xdr:nvSpPr>
        <xdr:cNvPr id="8" name="PTObj_DBranchName_1_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414396" y="4857607"/>
          <a:ext cx="39100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4</xdr:col>
      <xdr:colOff>127</xdr:colOff>
      <xdr:row>23</xdr:row>
      <xdr:rowOff>90170</xdr:rowOff>
    </xdr:from>
    <xdr:to>
      <xdr:col>4</xdr:col>
      <xdr:colOff>190627</xdr:colOff>
      <xdr:row>24</xdr:row>
      <xdr:rowOff>90170</xdr:rowOff>
    </xdr:to>
    <xdr:sp macro="_xll.PtreeEvent_ObjectClick" textlink="">
      <xdr:nvSpPr>
        <xdr:cNvPr id="9" name="PTObj_DNode_1_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 rot="-5400000">
          <a:off x="5219827" y="447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23</xdr:row>
      <xdr:rowOff>95107</xdr:rowOff>
    </xdr:from>
    <xdr:ext cx="449867" cy="180627"/>
    <xdr:sp macro="_xll.PtreeEvent_ObjectClick" textlink="">
      <xdr:nvSpPr>
        <xdr:cNvPr id="12" name="PTObj_DBranchName_1_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3957447" y="4476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4</xdr:col>
      <xdr:colOff>127</xdr:colOff>
      <xdr:row>27</xdr:row>
      <xdr:rowOff>90170</xdr:rowOff>
    </xdr:from>
    <xdr:to>
      <xdr:col>4</xdr:col>
      <xdr:colOff>190627</xdr:colOff>
      <xdr:row>28</xdr:row>
      <xdr:rowOff>90170</xdr:rowOff>
    </xdr:to>
    <xdr:sp macro="_xll.PtreeEvent_ObjectClick" textlink="">
      <xdr:nvSpPr>
        <xdr:cNvPr id="13" name="PTObj_DNode_1_9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 rot="-5400000">
          <a:off x="5219827" y="5233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27</xdr:row>
      <xdr:rowOff>95107</xdr:rowOff>
    </xdr:from>
    <xdr:ext cx="422360" cy="180627"/>
    <xdr:sp macro="_xll.PtreeEvent_ObjectClick" textlink="">
      <xdr:nvSpPr>
        <xdr:cNvPr id="16" name="PTObj_DBranchName_1_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3957447" y="5238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4</xdr:col>
      <xdr:colOff>127</xdr:colOff>
      <xdr:row>29</xdr:row>
      <xdr:rowOff>90170</xdr:rowOff>
    </xdr:from>
    <xdr:to>
      <xdr:col>4</xdr:col>
      <xdr:colOff>190627</xdr:colOff>
      <xdr:row>30</xdr:row>
      <xdr:rowOff>90170</xdr:rowOff>
    </xdr:to>
    <xdr:sp macro="_xll.PtreeEvent_ObjectClick" textlink="">
      <xdr:nvSpPr>
        <xdr:cNvPr id="17" name="PTObj_DNode_1_1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 rot="-5400000">
          <a:off x="5219827" y="5614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29</xdr:row>
      <xdr:rowOff>95107</xdr:rowOff>
    </xdr:from>
    <xdr:ext cx="339131" cy="180627"/>
    <xdr:sp macro="_xll.PtreeEvent_ObjectClick" textlink="">
      <xdr:nvSpPr>
        <xdr:cNvPr id="20" name="PTObj_DBranchName_1_1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3957447" y="5619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3</xdr:col>
      <xdr:colOff>127</xdr:colOff>
      <xdr:row>33</xdr:row>
      <xdr:rowOff>90170</xdr:rowOff>
    </xdr:from>
    <xdr:to>
      <xdr:col>3</xdr:col>
      <xdr:colOff>190627</xdr:colOff>
      <xdr:row>34</xdr:row>
      <xdr:rowOff>90170</xdr:rowOff>
    </xdr:to>
    <xdr:sp macro="_xll.PtreeEvent_ObjectClick" textlink="">
      <xdr:nvSpPr>
        <xdr:cNvPr id="21" name="PTObj_DNode_1_4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3676777" y="6376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2</xdr:col>
      <xdr:colOff>280796</xdr:colOff>
      <xdr:row>33</xdr:row>
      <xdr:rowOff>95107</xdr:rowOff>
    </xdr:from>
    <xdr:ext cx="443005" cy="180627"/>
    <xdr:sp macro="_xll.PtreeEvent_ObjectClick" textlink="">
      <xdr:nvSpPr>
        <xdr:cNvPr id="24" name="PTObj_DBranchName_1_4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414396" y="6381607"/>
          <a:ext cx="443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  <xdr:twoCellAnchor editAs="oneCell">
    <xdr:from>
      <xdr:col>4</xdr:col>
      <xdr:colOff>127</xdr:colOff>
      <xdr:row>31</xdr:row>
      <xdr:rowOff>90170</xdr:rowOff>
    </xdr:from>
    <xdr:to>
      <xdr:col>4</xdr:col>
      <xdr:colOff>190627</xdr:colOff>
      <xdr:row>32</xdr:row>
      <xdr:rowOff>90170</xdr:rowOff>
    </xdr:to>
    <xdr:sp macro="_xll.PtreeEvent_ObjectClick" textlink="">
      <xdr:nvSpPr>
        <xdr:cNvPr id="25" name="PTObj_DNode_1_1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 rot="-5400000">
          <a:off x="5219827" y="5995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31</xdr:row>
      <xdr:rowOff>95107</xdr:rowOff>
    </xdr:from>
    <xdr:ext cx="449867" cy="180627"/>
    <xdr:sp macro="_xll.PtreeEvent_ObjectClick" textlink="">
      <xdr:nvSpPr>
        <xdr:cNvPr id="28" name="PTObj_DBranchName_1_1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3957447" y="6000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4</xdr:col>
      <xdr:colOff>127</xdr:colOff>
      <xdr:row>35</xdr:row>
      <xdr:rowOff>90170</xdr:rowOff>
    </xdr:from>
    <xdr:to>
      <xdr:col>4</xdr:col>
      <xdr:colOff>190627</xdr:colOff>
      <xdr:row>36</xdr:row>
      <xdr:rowOff>90170</xdr:rowOff>
    </xdr:to>
    <xdr:sp macro="_xll.PtreeEvent_ObjectClick" textlink="">
      <xdr:nvSpPr>
        <xdr:cNvPr id="29" name="PTObj_DNode_1_12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 rot="-5400000">
          <a:off x="5219827" y="6757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35</xdr:row>
      <xdr:rowOff>95107</xdr:rowOff>
    </xdr:from>
    <xdr:ext cx="422360" cy="180627"/>
    <xdr:sp macro="_xll.PtreeEvent_ObjectClick" textlink="">
      <xdr:nvSpPr>
        <xdr:cNvPr id="160" name="PTObj_DBranchName_1_12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3957447" y="6762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4</xdr:col>
      <xdr:colOff>127</xdr:colOff>
      <xdr:row>37</xdr:row>
      <xdr:rowOff>90170</xdr:rowOff>
    </xdr:from>
    <xdr:to>
      <xdr:col>4</xdr:col>
      <xdr:colOff>190627</xdr:colOff>
      <xdr:row>38</xdr:row>
      <xdr:rowOff>90170</xdr:rowOff>
    </xdr:to>
    <xdr:sp macro="_xll.PtreeEvent_ObjectClick" textlink="">
      <xdr:nvSpPr>
        <xdr:cNvPr id="161" name="PTObj_DNode_1_13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 rot="-5400000">
          <a:off x="5219827" y="7138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37</xdr:row>
      <xdr:rowOff>95107</xdr:rowOff>
    </xdr:from>
    <xdr:ext cx="339131" cy="180627"/>
    <xdr:sp macro="_xll.PtreeEvent_ObjectClick" textlink="">
      <xdr:nvSpPr>
        <xdr:cNvPr id="212" name="PTObj_DBranchName_1_13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SpPr txBox="1"/>
      </xdr:nvSpPr>
      <xdr:spPr>
        <a:xfrm>
          <a:off x="3957447" y="7143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242697</xdr:colOff>
      <xdr:row>42</xdr:row>
      <xdr:rowOff>185420</xdr:rowOff>
    </xdr:from>
    <xdr:to>
      <xdr:col>4</xdr:col>
      <xdr:colOff>127</xdr:colOff>
      <xdr:row>42</xdr:row>
      <xdr:rowOff>185420</xdr:rowOff>
    </xdr:to>
    <xdr:cxnSp macro="_xll.PtreeEvent_ObjectClick">
      <xdr:nvCxnSpPr>
        <xdr:cNvPr id="2" name="PTObj_DBranchHLine_3_1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3976497" y="837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38</xdr:row>
      <xdr:rowOff>180339</xdr:rowOff>
    </xdr:from>
    <xdr:to>
      <xdr:col>3</xdr:col>
      <xdr:colOff>242697</xdr:colOff>
      <xdr:row>42</xdr:row>
      <xdr:rowOff>185420</xdr:rowOff>
    </xdr:to>
    <xdr:cxnSp macro="_xll.PtreeEvent_ObjectClick">
      <xdr:nvCxnSpPr>
        <xdr:cNvPr id="3" name="PTObj_DBranchDLine_3_1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3824097" y="7609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40</xdr:row>
      <xdr:rowOff>185420</xdr:rowOff>
    </xdr:from>
    <xdr:to>
      <xdr:col>4</xdr:col>
      <xdr:colOff>127</xdr:colOff>
      <xdr:row>40</xdr:row>
      <xdr:rowOff>185420</xdr:rowOff>
    </xdr:to>
    <xdr:cxnSp macro="_xll.PtreeEvent_ObjectClick">
      <xdr:nvCxnSpPr>
        <xdr:cNvPr id="4" name="PTObj_DBranchHLine_3_1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3976497" y="7995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38</xdr:row>
      <xdr:rowOff>180339</xdr:rowOff>
    </xdr:from>
    <xdr:to>
      <xdr:col>3</xdr:col>
      <xdr:colOff>242697</xdr:colOff>
      <xdr:row>40</xdr:row>
      <xdr:rowOff>185420</xdr:rowOff>
    </xdr:to>
    <xdr:cxnSp macro="_xll.PtreeEvent_ObjectClick">
      <xdr:nvCxnSpPr>
        <xdr:cNvPr id="5" name="PTObj_DBranchDLine_3_1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3824097" y="7609839"/>
          <a:ext cx="152400" cy="386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36</xdr:row>
      <xdr:rowOff>185420</xdr:rowOff>
    </xdr:from>
    <xdr:to>
      <xdr:col>4</xdr:col>
      <xdr:colOff>127</xdr:colOff>
      <xdr:row>36</xdr:row>
      <xdr:rowOff>185420</xdr:rowOff>
    </xdr:to>
    <xdr:cxnSp macro="_xll.PtreeEvent_ObjectClick">
      <xdr:nvCxnSpPr>
        <xdr:cNvPr id="6" name="PTObj_DBranchHLine_3_1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3976497" y="7233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36</xdr:row>
      <xdr:rowOff>185420</xdr:rowOff>
    </xdr:from>
    <xdr:to>
      <xdr:col>3</xdr:col>
      <xdr:colOff>242697</xdr:colOff>
      <xdr:row>38</xdr:row>
      <xdr:rowOff>180339</xdr:rowOff>
    </xdr:to>
    <xdr:cxnSp macro="_xll.PtreeEvent_ObjectClick">
      <xdr:nvCxnSpPr>
        <xdr:cNvPr id="7" name="PTObj_DBranchDLine_3_1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3824097" y="7233920"/>
          <a:ext cx="152400" cy="375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38</xdr:row>
      <xdr:rowOff>185420</xdr:rowOff>
    </xdr:from>
    <xdr:to>
      <xdr:col>3</xdr:col>
      <xdr:colOff>127</xdr:colOff>
      <xdr:row>38</xdr:row>
      <xdr:rowOff>185420</xdr:rowOff>
    </xdr:to>
    <xdr:cxnSp macro="_xll.PtreeEvent_ObjectClick">
      <xdr:nvCxnSpPr>
        <xdr:cNvPr id="8" name="PTObj_DBranchHLine_3_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2433446" y="7614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26</xdr:row>
      <xdr:rowOff>180340</xdr:rowOff>
    </xdr:from>
    <xdr:to>
      <xdr:col>2</xdr:col>
      <xdr:colOff>242696</xdr:colOff>
      <xdr:row>38</xdr:row>
      <xdr:rowOff>185420</xdr:rowOff>
    </xdr:to>
    <xdr:cxnSp macro="_xll.PtreeEvent_ObjectClick">
      <xdr:nvCxnSpPr>
        <xdr:cNvPr id="9" name="PTObj_DBranchDLine_3_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2281046" y="5323840"/>
          <a:ext cx="152400" cy="2291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34</xdr:row>
      <xdr:rowOff>185420</xdr:rowOff>
    </xdr:from>
    <xdr:to>
      <xdr:col>4</xdr:col>
      <xdr:colOff>127</xdr:colOff>
      <xdr:row>34</xdr:row>
      <xdr:rowOff>185420</xdr:rowOff>
    </xdr:to>
    <xdr:cxnSp macro="_xll.PtreeEvent_ObjectClick">
      <xdr:nvCxnSpPr>
        <xdr:cNvPr id="10" name="PTObj_DBranchHLine_3_1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3976497" y="6852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30</xdr:row>
      <xdr:rowOff>180340</xdr:rowOff>
    </xdr:from>
    <xdr:to>
      <xdr:col>3</xdr:col>
      <xdr:colOff>242697</xdr:colOff>
      <xdr:row>34</xdr:row>
      <xdr:rowOff>185420</xdr:rowOff>
    </xdr:to>
    <xdr:cxnSp macro="_xll.PtreeEvent_ObjectClick">
      <xdr:nvCxnSpPr>
        <xdr:cNvPr id="11" name="PTObj_DBranchDLine_3_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3824097" y="6085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32</xdr:row>
      <xdr:rowOff>185420</xdr:rowOff>
    </xdr:from>
    <xdr:to>
      <xdr:col>4</xdr:col>
      <xdr:colOff>127</xdr:colOff>
      <xdr:row>32</xdr:row>
      <xdr:rowOff>185420</xdr:rowOff>
    </xdr:to>
    <xdr:cxnSp macro="_xll.PtreeEvent_ObjectClick">
      <xdr:nvCxnSpPr>
        <xdr:cNvPr id="12" name="PTObj_DBranchHLine_3_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3976497" y="6471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30</xdr:row>
      <xdr:rowOff>180340</xdr:rowOff>
    </xdr:from>
    <xdr:to>
      <xdr:col>3</xdr:col>
      <xdr:colOff>242697</xdr:colOff>
      <xdr:row>32</xdr:row>
      <xdr:rowOff>185420</xdr:rowOff>
    </xdr:to>
    <xdr:cxnSp macro="_xll.PtreeEvent_ObjectClick">
      <xdr:nvCxnSpPr>
        <xdr:cNvPr id="13" name="PTObj_DBranchDLine_3_9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3824097" y="6085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28</xdr:row>
      <xdr:rowOff>185420</xdr:rowOff>
    </xdr:from>
    <xdr:to>
      <xdr:col>4</xdr:col>
      <xdr:colOff>127</xdr:colOff>
      <xdr:row>28</xdr:row>
      <xdr:rowOff>185420</xdr:rowOff>
    </xdr:to>
    <xdr:cxnSp macro="_xll.PtreeEvent_ObjectClick">
      <xdr:nvCxnSpPr>
        <xdr:cNvPr id="14" name="PTObj_DBranchHLine_3_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3976497" y="570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28</xdr:row>
      <xdr:rowOff>185420</xdr:rowOff>
    </xdr:from>
    <xdr:to>
      <xdr:col>3</xdr:col>
      <xdr:colOff>242697</xdr:colOff>
      <xdr:row>30</xdr:row>
      <xdr:rowOff>180340</xdr:rowOff>
    </xdr:to>
    <xdr:cxnSp macro="_xll.PtreeEvent_ObjectClick">
      <xdr:nvCxnSpPr>
        <xdr:cNvPr id="15" name="PTObj_DBranchDLine_3_8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3824097" y="5709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30</xdr:row>
      <xdr:rowOff>185420</xdr:rowOff>
    </xdr:from>
    <xdr:to>
      <xdr:col>3</xdr:col>
      <xdr:colOff>127</xdr:colOff>
      <xdr:row>30</xdr:row>
      <xdr:rowOff>185420</xdr:rowOff>
    </xdr:to>
    <xdr:cxnSp macro="_xll.PtreeEvent_ObjectClick">
      <xdr:nvCxnSpPr>
        <xdr:cNvPr id="16" name="PTObj_DBranchHLine_3_3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>
          <a:off x="2433446" y="6090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26</xdr:row>
      <xdr:rowOff>180340</xdr:rowOff>
    </xdr:from>
    <xdr:to>
      <xdr:col>2</xdr:col>
      <xdr:colOff>242696</xdr:colOff>
      <xdr:row>30</xdr:row>
      <xdr:rowOff>185420</xdr:rowOff>
    </xdr:to>
    <xdr:cxnSp macro="_xll.PtreeEvent_ObjectClick">
      <xdr:nvCxnSpPr>
        <xdr:cNvPr id="17" name="PTObj_DBranchDLine_3_3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2281046" y="5323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177800</xdr:colOff>
      <xdr:row>26</xdr:row>
      <xdr:rowOff>185420</xdr:rowOff>
    </xdr:from>
    <xdr:to>
      <xdr:col>2</xdr:col>
      <xdr:colOff>125</xdr:colOff>
      <xdr:row>26</xdr:row>
      <xdr:rowOff>185420</xdr:rowOff>
    </xdr:to>
    <xdr:cxnSp macro="_xll.PtreeEvent_ObjectClick">
      <xdr:nvCxnSpPr>
        <xdr:cNvPr id="18" name="PTObj_DBranchHLine_3_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787400" y="5328920"/>
          <a:ext cx="140347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20</xdr:row>
      <xdr:rowOff>185420</xdr:rowOff>
    </xdr:from>
    <xdr:to>
      <xdr:col>3</xdr:col>
      <xdr:colOff>127</xdr:colOff>
      <xdr:row>20</xdr:row>
      <xdr:rowOff>185420</xdr:rowOff>
    </xdr:to>
    <xdr:cxnSp macro="_xll.PtreeEvent_ObjectClick">
      <xdr:nvCxnSpPr>
        <xdr:cNvPr id="19" name="PTObj_DBranchHLine_3_2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2433446" y="4185920"/>
          <a:ext cx="1300481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20</xdr:row>
      <xdr:rowOff>185420</xdr:rowOff>
    </xdr:from>
    <xdr:to>
      <xdr:col>2</xdr:col>
      <xdr:colOff>242696</xdr:colOff>
      <xdr:row>26</xdr:row>
      <xdr:rowOff>180340</xdr:rowOff>
    </xdr:to>
    <xdr:cxnSp macro="_xll.PtreeEvent_ObjectClick">
      <xdr:nvCxnSpPr>
        <xdr:cNvPr id="20" name="PTObj_DBranchDLine_3_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 flipV="1">
          <a:off x="2281046" y="4185920"/>
          <a:ext cx="152400" cy="1137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24</xdr:row>
      <xdr:rowOff>185420</xdr:rowOff>
    </xdr:from>
    <xdr:to>
      <xdr:col>4</xdr:col>
      <xdr:colOff>127</xdr:colOff>
      <xdr:row>24</xdr:row>
      <xdr:rowOff>185420</xdr:rowOff>
    </xdr:to>
    <xdr:cxnSp macro="_xll.PtreeEvent_ObjectClick">
      <xdr:nvCxnSpPr>
        <xdr:cNvPr id="21" name="PTObj_DBranchHLine_3_7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/>
      </xdr:nvCxnSpPr>
      <xdr:spPr>
        <a:xfrm>
          <a:off x="3976497" y="4947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20</xdr:row>
      <xdr:rowOff>180340</xdr:rowOff>
    </xdr:from>
    <xdr:to>
      <xdr:col>3</xdr:col>
      <xdr:colOff>242697</xdr:colOff>
      <xdr:row>24</xdr:row>
      <xdr:rowOff>185420</xdr:rowOff>
    </xdr:to>
    <xdr:cxnSp macro="_xll.PtreeEvent_ObjectClick">
      <xdr:nvCxnSpPr>
        <xdr:cNvPr id="22" name="PTObj_DBranchDLine_3_7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/>
      </xdr:nvCxnSpPr>
      <xdr:spPr>
        <a:xfrm>
          <a:off x="3824097" y="4180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22</xdr:row>
      <xdr:rowOff>185420</xdr:rowOff>
    </xdr:from>
    <xdr:to>
      <xdr:col>4</xdr:col>
      <xdr:colOff>127</xdr:colOff>
      <xdr:row>22</xdr:row>
      <xdr:rowOff>185420</xdr:rowOff>
    </xdr:to>
    <xdr:cxnSp macro="_xll.PtreeEvent_ObjectClick">
      <xdr:nvCxnSpPr>
        <xdr:cNvPr id="23" name="PTObj_DBranchHLine_3_6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>
          <a:off x="3976497" y="456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20</xdr:row>
      <xdr:rowOff>180340</xdr:rowOff>
    </xdr:from>
    <xdr:to>
      <xdr:col>3</xdr:col>
      <xdr:colOff>242697</xdr:colOff>
      <xdr:row>22</xdr:row>
      <xdr:rowOff>185420</xdr:rowOff>
    </xdr:to>
    <xdr:cxnSp macro="_xll.PtreeEvent_ObjectClick">
      <xdr:nvCxnSpPr>
        <xdr:cNvPr id="24" name="PTObj_DBranchDLine_3_6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3824097" y="4180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18</xdr:row>
      <xdr:rowOff>185420</xdr:rowOff>
    </xdr:from>
    <xdr:to>
      <xdr:col>4</xdr:col>
      <xdr:colOff>127</xdr:colOff>
      <xdr:row>18</xdr:row>
      <xdr:rowOff>185420</xdr:rowOff>
    </xdr:to>
    <xdr:cxnSp macro="_xll.PtreeEvent_ObjectClick">
      <xdr:nvCxnSpPr>
        <xdr:cNvPr id="25" name="PTObj_DBranchHLine_3_5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CxnSpPr/>
      </xdr:nvCxnSpPr>
      <xdr:spPr>
        <a:xfrm>
          <a:off x="3976497" y="3804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18</xdr:row>
      <xdr:rowOff>185420</xdr:rowOff>
    </xdr:from>
    <xdr:to>
      <xdr:col>3</xdr:col>
      <xdr:colOff>242697</xdr:colOff>
      <xdr:row>20</xdr:row>
      <xdr:rowOff>180340</xdr:rowOff>
    </xdr:to>
    <xdr:cxnSp macro="_xll.PtreeEvent_ObjectClick">
      <xdr:nvCxnSpPr>
        <xdr:cNvPr id="26" name="PTObj_DBranchDLine_3_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CxnSpPr/>
      </xdr:nvCxnSpPr>
      <xdr:spPr>
        <a:xfrm flipV="1">
          <a:off x="3824097" y="3804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127</xdr:colOff>
      <xdr:row>18</xdr:row>
      <xdr:rowOff>90170</xdr:rowOff>
    </xdr:from>
    <xdr:to>
      <xdr:col>4</xdr:col>
      <xdr:colOff>190627</xdr:colOff>
      <xdr:row>19</xdr:row>
      <xdr:rowOff>90170</xdr:rowOff>
    </xdr:to>
    <xdr:sp macro="_xll.PtreeEvent_ObjectClick" textlink="">
      <xdr:nvSpPr>
        <xdr:cNvPr id="27" name="PTObj_DNode_3_5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 rot="-5400000">
          <a:off x="5276977" y="3709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294806</xdr:colOff>
      <xdr:row>18</xdr:row>
      <xdr:rowOff>109366</xdr:rowOff>
    </xdr:from>
    <xdr:ext cx="298863" cy="180627"/>
    <xdr:sp macro="_xll.PtreeEvent_ObjectClick" textlink="">
      <xdr:nvSpPr>
        <xdr:cNvPr id="28" name="PTObj_DBranchName_3_5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4028606" y="3728866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4</xdr:col>
      <xdr:colOff>127</xdr:colOff>
      <xdr:row>22</xdr:row>
      <xdr:rowOff>90170</xdr:rowOff>
    </xdr:from>
    <xdr:to>
      <xdr:col>4</xdr:col>
      <xdr:colOff>190627</xdr:colOff>
      <xdr:row>23</xdr:row>
      <xdr:rowOff>90170</xdr:rowOff>
    </xdr:to>
    <xdr:sp macro="_xll.PtreeEvent_ObjectClick" textlink="">
      <xdr:nvSpPr>
        <xdr:cNvPr id="29" name="PTObj_DNode_3_6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 rot="-5400000">
          <a:off x="5276977" y="447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299630</xdr:colOff>
      <xdr:row>22</xdr:row>
      <xdr:rowOff>109366</xdr:rowOff>
    </xdr:from>
    <xdr:ext cx="391005" cy="180627"/>
    <xdr:sp macro="_xll.PtreeEvent_ObjectClick" textlink="">
      <xdr:nvSpPr>
        <xdr:cNvPr id="30" name="PTObj_DBranchName_3_6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4033430" y="4490866"/>
          <a:ext cx="391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4</xdr:col>
      <xdr:colOff>127</xdr:colOff>
      <xdr:row>24</xdr:row>
      <xdr:rowOff>90170</xdr:rowOff>
    </xdr:from>
    <xdr:to>
      <xdr:col>4</xdr:col>
      <xdr:colOff>190627</xdr:colOff>
      <xdr:row>25</xdr:row>
      <xdr:rowOff>90170</xdr:rowOff>
    </xdr:to>
    <xdr:sp macro="_xll.PtreeEvent_ObjectClick" textlink="">
      <xdr:nvSpPr>
        <xdr:cNvPr id="31" name="PTObj_DNode_3_7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 rot="-5400000">
          <a:off x="5276977" y="4852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304173</xdr:colOff>
      <xdr:row>24</xdr:row>
      <xdr:rowOff>109366</xdr:rowOff>
    </xdr:from>
    <xdr:ext cx="443006" cy="180627"/>
    <xdr:sp macro="_xll.PtreeEvent_ObjectClick" textlink="">
      <xdr:nvSpPr>
        <xdr:cNvPr id="32" name="PTObj_DBranchName_3_7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4037973" y="4871866"/>
          <a:ext cx="443006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  <xdr:twoCellAnchor editAs="oneCell">
    <xdr:from>
      <xdr:col>3</xdr:col>
      <xdr:colOff>127</xdr:colOff>
      <xdr:row>20</xdr:row>
      <xdr:rowOff>90170</xdr:rowOff>
    </xdr:from>
    <xdr:to>
      <xdr:col>3</xdr:col>
      <xdr:colOff>190627</xdr:colOff>
      <xdr:row>21</xdr:row>
      <xdr:rowOff>90170</xdr:rowOff>
    </xdr:to>
    <xdr:sp macro="_xll.PtreeEvent_ObjectClick" textlink="">
      <xdr:nvSpPr>
        <xdr:cNvPr id="33" name="PTObj_DNode_3_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3733927" y="4090670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2</xdr:col>
      <xdr:colOff>294926</xdr:colOff>
      <xdr:row>20</xdr:row>
      <xdr:rowOff>109366</xdr:rowOff>
    </xdr:from>
    <xdr:ext cx="449867" cy="180627"/>
    <xdr:sp macro="_xll.PtreeEvent_ObjectClick" textlink="">
      <xdr:nvSpPr>
        <xdr:cNvPr id="34" name="PTObj_DBranchName_3_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2485676" y="3919366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2</xdr:col>
      <xdr:colOff>126</xdr:colOff>
      <xdr:row>26</xdr:row>
      <xdr:rowOff>90170</xdr:rowOff>
    </xdr:from>
    <xdr:to>
      <xdr:col>2</xdr:col>
      <xdr:colOff>190626</xdr:colOff>
      <xdr:row>27</xdr:row>
      <xdr:rowOff>90170</xdr:rowOff>
    </xdr:to>
    <xdr:sp macro="_xll.PtreeEvent_ObjectClick" textlink="">
      <xdr:nvSpPr>
        <xdr:cNvPr id="35" name="PTObj_DNode_3_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2190876" y="5233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1</xdr:col>
      <xdr:colOff>235259</xdr:colOff>
      <xdr:row>26</xdr:row>
      <xdr:rowOff>109366</xdr:rowOff>
    </xdr:from>
    <xdr:ext cx="897554" cy="180627"/>
    <xdr:sp macro="_xll.PtreeEvent_ObjectClick" textlink="">
      <xdr:nvSpPr>
        <xdr:cNvPr id="36" name="PTObj_DBranchName_3_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844859" y="5252866"/>
          <a:ext cx="897554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Achat Info (parfaite)</a:t>
          </a:r>
        </a:p>
      </xdr:txBody>
    </xdr:sp>
    <xdr:clientData/>
  </xdr:oneCellAnchor>
  <xdr:twoCellAnchor editAs="oneCell">
    <xdr:from>
      <xdr:col>3</xdr:col>
      <xdr:colOff>127</xdr:colOff>
      <xdr:row>30</xdr:row>
      <xdr:rowOff>90170</xdr:rowOff>
    </xdr:from>
    <xdr:to>
      <xdr:col>3</xdr:col>
      <xdr:colOff>190627</xdr:colOff>
      <xdr:row>31</xdr:row>
      <xdr:rowOff>90170</xdr:rowOff>
    </xdr:to>
    <xdr:sp macro="_xll.PtreeEvent_ObjectClick" textlink="">
      <xdr:nvSpPr>
        <xdr:cNvPr id="37" name="PTObj_DNode_3_3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3733927" y="5995670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2</xdr:col>
      <xdr:colOff>280796</xdr:colOff>
      <xdr:row>30</xdr:row>
      <xdr:rowOff>95107</xdr:rowOff>
    </xdr:from>
    <xdr:ext cx="422360" cy="180627"/>
    <xdr:sp macro="_xll.PtreeEvent_ObjectClick" textlink="">
      <xdr:nvSpPr>
        <xdr:cNvPr id="38" name="PTObj_DBranchName_3_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2471546" y="6000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4</xdr:col>
      <xdr:colOff>127</xdr:colOff>
      <xdr:row>28</xdr:row>
      <xdr:rowOff>90170</xdr:rowOff>
    </xdr:from>
    <xdr:to>
      <xdr:col>4</xdr:col>
      <xdr:colOff>190627</xdr:colOff>
      <xdr:row>29</xdr:row>
      <xdr:rowOff>90170</xdr:rowOff>
    </xdr:to>
    <xdr:sp macro="_xll.PtreeEvent_ObjectClick" textlink="">
      <xdr:nvSpPr>
        <xdr:cNvPr id="39" name="PTObj_DNode_3_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 rot="-5400000">
          <a:off x="5276977" y="5614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28</xdr:row>
      <xdr:rowOff>95107</xdr:rowOff>
    </xdr:from>
    <xdr:ext cx="298863" cy="180627"/>
    <xdr:sp macro="_xll.PtreeEvent_ObjectClick" textlink="">
      <xdr:nvSpPr>
        <xdr:cNvPr id="40" name="PTObj_DBranchName_3_8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4014597" y="5619607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4</xdr:col>
      <xdr:colOff>127</xdr:colOff>
      <xdr:row>32</xdr:row>
      <xdr:rowOff>90170</xdr:rowOff>
    </xdr:from>
    <xdr:to>
      <xdr:col>4</xdr:col>
      <xdr:colOff>190627</xdr:colOff>
      <xdr:row>33</xdr:row>
      <xdr:rowOff>90170</xdr:rowOff>
    </xdr:to>
    <xdr:sp macro="_xll.PtreeEvent_ObjectClick" textlink="">
      <xdr:nvSpPr>
        <xdr:cNvPr id="41" name="PTObj_DNode_3_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 rot="-5400000">
          <a:off x="5276977" y="6376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32</xdr:row>
      <xdr:rowOff>95107</xdr:rowOff>
    </xdr:from>
    <xdr:ext cx="391004" cy="180627"/>
    <xdr:sp macro="_xll.PtreeEvent_ObjectClick" textlink="">
      <xdr:nvSpPr>
        <xdr:cNvPr id="42" name="PTObj_DBranchName_3_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4014597" y="6381607"/>
          <a:ext cx="39100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4</xdr:col>
      <xdr:colOff>127</xdr:colOff>
      <xdr:row>34</xdr:row>
      <xdr:rowOff>90170</xdr:rowOff>
    </xdr:from>
    <xdr:to>
      <xdr:col>4</xdr:col>
      <xdr:colOff>190627</xdr:colOff>
      <xdr:row>35</xdr:row>
      <xdr:rowOff>90170</xdr:rowOff>
    </xdr:to>
    <xdr:sp macro="_xll.PtreeEvent_ObjectClick" textlink="">
      <xdr:nvSpPr>
        <xdr:cNvPr id="43" name="PTObj_DNode_3_10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 rot="-5400000">
          <a:off x="5276977" y="6757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34</xdr:row>
      <xdr:rowOff>95107</xdr:rowOff>
    </xdr:from>
    <xdr:ext cx="443005" cy="180627"/>
    <xdr:sp macro="_xll.PtreeEvent_ObjectClick" textlink="">
      <xdr:nvSpPr>
        <xdr:cNvPr id="44" name="PTObj_DBranchName_3_10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4014597" y="6762607"/>
          <a:ext cx="443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  <xdr:twoCellAnchor editAs="oneCell">
    <xdr:from>
      <xdr:col>3</xdr:col>
      <xdr:colOff>127</xdr:colOff>
      <xdr:row>38</xdr:row>
      <xdr:rowOff>90170</xdr:rowOff>
    </xdr:from>
    <xdr:to>
      <xdr:col>3</xdr:col>
      <xdr:colOff>190627</xdr:colOff>
      <xdr:row>39</xdr:row>
      <xdr:rowOff>90170</xdr:rowOff>
    </xdr:to>
    <xdr:sp macro="_xll.PtreeEvent_ObjectClick" textlink="">
      <xdr:nvSpPr>
        <xdr:cNvPr id="45" name="PTObj_DNode_3_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3733927" y="7519670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2</xdr:col>
      <xdr:colOff>280796</xdr:colOff>
      <xdr:row>38</xdr:row>
      <xdr:rowOff>95107</xdr:rowOff>
    </xdr:from>
    <xdr:ext cx="339131" cy="180627"/>
    <xdr:sp macro="_xll.PtreeEvent_ObjectClick" textlink="">
      <xdr:nvSpPr>
        <xdr:cNvPr id="46" name="PTObj_DBranchName_3_4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2471546" y="73341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36</xdr:row>
      <xdr:rowOff>90170</xdr:rowOff>
    </xdr:from>
    <xdr:to>
      <xdr:col>4</xdr:col>
      <xdr:colOff>190627</xdr:colOff>
      <xdr:row>37</xdr:row>
      <xdr:rowOff>90170</xdr:rowOff>
    </xdr:to>
    <xdr:sp macro="_xll.PtreeEvent_ObjectClick" textlink="">
      <xdr:nvSpPr>
        <xdr:cNvPr id="47" name="PTObj_DNode_3_11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 rot="-5400000">
          <a:off x="5276977" y="7138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36</xdr:row>
      <xdr:rowOff>95107</xdr:rowOff>
    </xdr:from>
    <xdr:ext cx="298863" cy="180627"/>
    <xdr:sp macro="_xll.PtreeEvent_ObjectClick" textlink="">
      <xdr:nvSpPr>
        <xdr:cNvPr id="48" name="PTObj_DBranchName_3_1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4014597" y="7143607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4</xdr:col>
      <xdr:colOff>127</xdr:colOff>
      <xdr:row>40</xdr:row>
      <xdr:rowOff>90170</xdr:rowOff>
    </xdr:from>
    <xdr:to>
      <xdr:col>4</xdr:col>
      <xdr:colOff>190627</xdr:colOff>
      <xdr:row>41</xdr:row>
      <xdr:rowOff>90170</xdr:rowOff>
    </xdr:to>
    <xdr:sp macro="_xll.PtreeEvent_ObjectClick" textlink="">
      <xdr:nvSpPr>
        <xdr:cNvPr id="49" name="PTObj_DNode_3_1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 rot="-5400000">
          <a:off x="5276977" y="7900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40</xdr:row>
      <xdr:rowOff>95107</xdr:rowOff>
    </xdr:from>
    <xdr:ext cx="391004" cy="180627"/>
    <xdr:sp macro="_xll.PtreeEvent_ObjectClick" textlink="">
      <xdr:nvSpPr>
        <xdr:cNvPr id="50" name="PTObj_DBranchName_3_12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4014597" y="7905607"/>
          <a:ext cx="39100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4</xdr:col>
      <xdr:colOff>127</xdr:colOff>
      <xdr:row>42</xdr:row>
      <xdr:rowOff>90170</xdr:rowOff>
    </xdr:from>
    <xdr:to>
      <xdr:col>4</xdr:col>
      <xdr:colOff>190627</xdr:colOff>
      <xdr:row>43</xdr:row>
      <xdr:rowOff>90170</xdr:rowOff>
    </xdr:to>
    <xdr:sp macro="_xll.PtreeEvent_ObjectClick" textlink="">
      <xdr:nvSpPr>
        <xdr:cNvPr id="51" name="PTObj_DNode_3_13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 rot="-5400000">
          <a:off x="5276977" y="828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42</xdr:row>
      <xdr:rowOff>95107</xdr:rowOff>
    </xdr:from>
    <xdr:ext cx="443005" cy="180627"/>
    <xdr:sp macro="_xll.PtreeEvent_ObjectClick" textlink="">
      <xdr:nvSpPr>
        <xdr:cNvPr id="52" name="PTObj_DBranchName_3_13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4014597" y="8286607"/>
          <a:ext cx="443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242697</xdr:colOff>
      <xdr:row>71</xdr:row>
      <xdr:rowOff>185420</xdr:rowOff>
    </xdr:from>
    <xdr:to>
      <xdr:col>5</xdr:col>
      <xdr:colOff>127</xdr:colOff>
      <xdr:row>71</xdr:row>
      <xdr:rowOff>185420</xdr:rowOff>
    </xdr:to>
    <xdr:cxnSp macro="_xll.PtreeEvent_ObjectClick">
      <xdr:nvCxnSpPr>
        <xdr:cNvPr id="171" name="PTObj_DBranchHLine_4_27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CxnSpPr/>
      </xdr:nvCxnSpPr>
      <xdr:spPr>
        <a:xfrm>
          <a:off x="5929122" y="13710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67</xdr:row>
      <xdr:rowOff>180339</xdr:rowOff>
    </xdr:from>
    <xdr:to>
      <xdr:col>4</xdr:col>
      <xdr:colOff>242697</xdr:colOff>
      <xdr:row>71</xdr:row>
      <xdr:rowOff>185420</xdr:rowOff>
    </xdr:to>
    <xdr:cxnSp macro="_xll.PtreeEvent_ObjectClick">
      <xdr:nvCxnSpPr>
        <xdr:cNvPr id="170" name="PTObj_DBranchDLine_4_27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CxnSpPr/>
      </xdr:nvCxnSpPr>
      <xdr:spPr>
        <a:xfrm>
          <a:off x="5776722" y="12943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69</xdr:row>
      <xdr:rowOff>185420</xdr:rowOff>
    </xdr:from>
    <xdr:to>
      <xdr:col>5</xdr:col>
      <xdr:colOff>127</xdr:colOff>
      <xdr:row>69</xdr:row>
      <xdr:rowOff>185420</xdr:rowOff>
    </xdr:to>
    <xdr:cxnSp macro="_xll.PtreeEvent_ObjectClick">
      <xdr:nvCxnSpPr>
        <xdr:cNvPr id="167" name="PTObj_DBranchHLine_4_2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CxnSpPr/>
      </xdr:nvCxnSpPr>
      <xdr:spPr>
        <a:xfrm>
          <a:off x="5929122" y="1332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67</xdr:row>
      <xdr:rowOff>180339</xdr:rowOff>
    </xdr:from>
    <xdr:to>
      <xdr:col>4</xdr:col>
      <xdr:colOff>242697</xdr:colOff>
      <xdr:row>69</xdr:row>
      <xdr:rowOff>185420</xdr:rowOff>
    </xdr:to>
    <xdr:cxnSp macro="_xll.PtreeEvent_ObjectClick">
      <xdr:nvCxnSpPr>
        <xdr:cNvPr id="166" name="PTObj_DBranchDLine_4_26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CxnSpPr/>
      </xdr:nvCxnSpPr>
      <xdr:spPr>
        <a:xfrm>
          <a:off x="5776722" y="12943839"/>
          <a:ext cx="152400" cy="386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65</xdr:row>
      <xdr:rowOff>185420</xdr:rowOff>
    </xdr:from>
    <xdr:to>
      <xdr:col>5</xdr:col>
      <xdr:colOff>127</xdr:colOff>
      <xdr:row>65</xdr:row>
      <xdr:rowOff>185420</xdr:rowOff>
    </xdr:to>
    <xdr:cxnSp macro="_xll.PtreeEvent_ObjectClick">
      <xdr:nvCxnSpPr>
        <xdr:cNvPr id="163" name="PTObj_DBranchHLine_4_25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CxnSpPr/>
      </xdr:nvCxnSpPr>
      <xdr:spPr>
        <a:xfrm>
          <a:off x="5929122" y="12567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65</xdr:row>
      <xdr:rowOff>185420</xdr:rowOff>
    </xdr:from>
    <xdr:to>
      <xdr:col>4</xdr:col>
      <xdr:colOff>242697</xdr:colOff>
      <xdr:row>67</xdr:row>
      <xdr:rowOff>180339</xdr:rowOff>
    </xdr:to>
    <xdr:cxnSp macro="_xll.PtreeEvent_ObjectClick">
      <xdr:nvCxnSpPr>
        <xdr:cNvPr id="162" name="PTObj_DBranchDLine_4_25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CxnSpPr/>
      </xdr:nvCxnSpPr>
      <xdr:spPr>
        <a:xfrm flipV="1">
          <a:off x="5776722" y="12567920"/>
          <a:ext cx="152400" cy="375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67</xdr:row>
      <xdr:rowOff>185420</xdr:rowOff>
    </xdr:from>
    <xdr:to>
      <xdr:col>4</xdr:col>
      <xdr:colOff>127</xdr:colOff>
      <xdr:row>67</xdr:row>
      <xdr:rowOff>185420</xdr:rowOff>
    </xdr:to>
    <xdr:cxnSp macro="_xll.PtreeEvent_ObjectClick">
      <xdr:nvCxnSpPr>
        <xdr:cNvPr id="159" name="PTObj_DBranchHLine_4_10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CxnSpPr/>
      </xdr:nvCxnSpPr>
      <xdr:spPr>
        <a:xfrm>
          <a:off x="4386072" y="12948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55</xdr:row>
      <xdr:rowOff>180339</xdr:rowOff>
    </xdr:from>
    <xdr:to>
      <xdr:col>3</xdr:col>
      <xdr:colOff>242697</xdr:colOff>
      <xdr:row>67</xdr:row>
      <xdr:rowOff>185420</xdr:rowOff>
    </xdr:to>
    <xdr:cxnSp macro="_xll.PtreeEvent_ObjectClick">
      <xdr:nvCxnSpPr>
        <xdr:cNvPr id="158" name="PTObj_DBranchDLine_4_10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CxnSpPr/>
      </xdr:nvCxnSpPr>
      <xdr:spPr>
        <a:xfrm>
          <a:off x="4233672" y="10657839"/>
          <a:ext cx="152400" cy="2291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63</xdr:row>
      <xdr:rowOff>185420</xdr:rowOff>
    </xdr:from>
    <xdr:to>
      <xdr:col>5</xdr:col>
      <xdr:colOff>127</xdr:colOff>
      <xdr:row>63</xdr:row>
      <xdr:rowOff>185420</xdr:rowOff>
    </xdr:to>
    <xdr:cxnSp macro="_xll.PtreeEvent_ObjectClick">
      <xdr:nvCxnSpPr>
        <xdr:cNvPr id="155" name="PTObj_DBranchHLine_4_2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CxnSpPr/>
      </xdr:nvCxnSpPr>
      <xdr:spPr>
        <a:xfrm>
          <a:off x="5929122" y="1218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59</xdr:row>
      <xdr:rowOff>180339</xdr:rowOff>
    </xdr:from>
    <xdr:to>
      <xdr:col>4</xdr:col>
      <xdr:colOff>242697</xdr:colOff>
      <xdr:row>63</xdr:row>
      <xdr:rowOff>185420</xdr:rowOff>
    </xdr:to>
    <xdr:cxnSp macro="_xll.PtreeEvent_ObjectClick">
      <xdr:nvCxnSpPr>
        <xdr:cNvPr id="154" name="PTObj_DBranchDLine_4_24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CxnSpPr/>
      </xdr:nvCxnSpPr>
      <xdr:spPr>
        <a:xfrm>
          <a:off x="5776722" y="11419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61</xdr:row>
      <xdr:rowOff>185420</xdr:rowOff>
    </xdr:from>
    <xdr:to>
      <xdr:col>5</xdr:col>
      <xdr:colOff>127</xdr:colOff>
      <xdr:row>61</xdr:row>
      <xdr:rowOff>185420</xdr:rowOff>
    </xdr:to>
    <xdr:cxnSp macro="_xll.PtreeEvent_ObjectClick">
      <xdr:nvCxnSpPr>
        <xdr:cNvPr id="151" name="PTObj_DBranchHLine_4_23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CxnSpPr/>
      </xdr:nvCxnSpPr>
      <xdr:spPr>
        <a:xfrm>
          <a:off x="5929122" y="11805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59</xdr:row>
      <xdr:rowOff>180339</xdr:rowOff>
    </xdr:from>
    <xdr:to>
      <xdr:col>4</xdr:col>
      <xdr:colOff>242697</xdr:colOff>
      <xdr:row>61</xdr:row>
      <xdr:rowOff>185420</xdr:rowOff>
    </xdr:to>
    <xdr:cxnSp macro="_xll.PtreeEvent_ObjectClick">
      <xdr:nvCxnSpPr>
        <xdr:cNvPr id="150" name="PTObj_DBranchDLine_4_23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CxnSpPr/>
      </xdr:nvCxnSpPr>
      <xdr:spPr>
        <a:xfrm>
          <a:off x="5776722" y="11419839"/>
          <a:ext cx="152400" cy="386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57</xdr:row>
      <xdr:rowOff>185420</xdr:rowOff>
    </xdr:from>
    <xdr:to>
      <xdr:col>5</xdr:col>
      <xdr:colOff>127</xdr:colOff>
      <xdr:row>57</xdr:row>
      <xdr:rowOff>185420</xdr:rowOff>
    </xdr:to>
    <xdr:cxnSp macro="_xll.PtreeEvent_ObjectClick">
      <xdr:nvCxnSpPr>
        <xdr:cNvPr id="147" name="PTObj_DBranchHLine_4_22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CxnSpPr/>
      </xdr:nvCxnSpPr>
      <xdr:spPr>
        <a:xfrm>
          <a:off x="5929122" y="11043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57</xdr:row>
      <xdr:rowOff>185420</xdr:rowOff>
    </xdr:from>
    <xdr:to>
      <xdr:col>4</xdr:col>
      <xdr:colOff>242697</xdr:colOff>
      <xdr:row>59</xdr:row>
      <xdr:rowOff>180339</xdr:rowOff>
    </xdr:to>
    <xdr:cxnSp macro="_xll.PtreeEvent_ObjectClick">
      <xdr:nvCxnSpPr>
        <xdr:cNvPr id="146" name="PTObj_DBranchDLine_4_22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CxnSpPr/>
      </xdr:nvCxnSpPr>
      <xdr:spPr>
        <a:xfrm flipV="1">
          <a:off x="5776722" y="11043920"/>
          <a:ext cx="152400" cy="375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59</xdr:row>
      <xdr:rowOff>185420</xdr:rowOff>
    </xdr:from>
    <xdr:to>
      <xdr:col>4</xdr:col>
      <xdr:colOff>127</xdr:colOff>
      <xdr:row>59</xdr:row>
      <xdr:rowOff>185420</xdr:rowOff>
    </xdr:to>
    <xdr:cxnSp macro="_xll.PtreeEvent_ObjectClick">
      <xdr:nvCxnSpPr>
        <xdr:cNvPr id="143" name="PTObj_DBranchHLine_4_9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CxnSpPr/>
      </xdr:nvCxnSpPr>
      <xdr:spPr>
        <a:xfrm>
          <a:off x="4386072" y="11424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55</xdr:row>
      <xdr:rowOff>180339</xdr:rowOff>
    </xdr:from>
    <xdr:to>
      <xdr:col>3</xdr:col>
      <xdr:colOff>242697</xdr:colOff>
      <xdr:row>59</xdr:row>
      <xdr:rowOff>185420</xdr:rowOff>
    </xdr:to>
    <xdr:cxnSp macro="_xll.PtreeEvent_ObjectClick">
      <xdr:nvCxnSpPr>
        <xdr:cNvPr id="142" name="PTObj_DBranchDLine_4_9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CxnSpPr/>
      </xdr:nvCxnSpPr>
      <xdr:spPr>
        <a:xfrm>
          <a:off x="4233672" y="10657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43</xdr:row>
      <xdr:rowOff>185420</xdr:rowOff>
    </xdr:from>
    <xdr:to>
      <xdr:col>5</xdr:col>
      <xdr:colOff>127</xdr:colOff>
      <xdr:row>43</xdr:row>
      <xdr:rowOff>185420</xdr:rowOff>
    </xdr:to>
    <xdr:cxnSp macro="_xll.PtreeEvent_ObjectClick">
      <xdr:nvCxnSpPr>
        <xdr:cNvPr id="139" name="PTObj_DBranchHLine_4_1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CxnSpPr/>
      </xdr:nvCxnSpPr>
      <xdr:spPr>
        <a:xfrm>
          <a:off x="5929122" y="837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39</xdr:row>
      <xdr:rowOff>180339</xdr:rowOff>
    </xdr:from>
    <xdr:to>
      <xdr:col>4</xdr:col>
      <xdr:colOff>242697</xdr:colOff>
      <xdr:row>43</xdr:row>
      <xdr:rowOff>185420</xdr:rowOff>
    </xdr:to>
    <xdr:cxnSp macro="_xll.PtreeEvent_ObjectClick">
      <xdr:nvCxnSpPr>
        <xdr:cNvPr id="138" name="PTObj_DBranchDLine_4_18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CxnSpPr/>
      </xdr:nvCxnSpPr>
      <xdr:spPr>
        <a:xfrm>
          <a:off x="5776722" y="7609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41</xdr:row>
      <xdr:rowOff>185420</xdr:rowOff>
    </xdr:from>
    <xdr:to>
      <xdr:col>5</xdr:col>
      <xdr:colOff>127</xdr:colOff>
      <xdr:row>41</xdr:row>
      <xdr:rowOff>185420</xdr:rowOff>
    </xdr:to>
    <xdr:cxnSp macro="_xll.PtreeEvent_ObjectClick">
      <xdr:nvCxnSpPr>
        <xdr:cNvPr id="135" name="PTObj_DBranchHLine_4_17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CxnSpPr/>
      </xdr:nvCxnSpPr>
      <xdr:spPr>
        <a:xfrm>
          <a:off x="5929122" y="7995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39</xdr:row>
      <xdr:rowOff>180339</xdr:rowOff>
    </xdr:from>
    <xdr:to>
      <xdr:col>4</xdr:col>
      <xdr:colOff>242697</xdr:colOff>
      <xdr:row>41</xdr:row>
      <xdr:rowOff>185420</xdr:rowOff>
    </xdr:to>
    <xdr:cxnSp macro="_xll.PtreeEvent_ObjectClick">
      <xdr:nvCxnSpPr>
        <xdr:cNvPr id="134" name="PTObj_DBranchDLine_4_17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CxnSpPr/>
      </xdr:nvCxnSpPr>
      <xdr:spPr>
        <a:xfrm>
          <a:off x="5776722" y="7609839"/>
          <a:ext cx="152400" cy="386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37</xdr:row>
      <xdr:rowOff>185420</xdr:rowOff>
    </xdr:from>
    <xdr:to>
      <xdr:col>5</xdr:col>
      <xdr:colOff>127</xdr:colOff>
      <xdr:row>37</xdr:row>
      <xdr:rowOff>185420</xdr:rowOff>
    </xdr:to>
    <xdr:cxnSp macro="_xll.PtreeEvent_ObjectClick">
      <xdr:nvCxnSpPr>
        <xdr:cNvPr id="131" name="PTObj_DBranchHLine_4_16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CxnSpPr/>
      </xdr:nvCxnSpPr>
      <xdr:spPr>
        <a:xfrm>
          <a:off x="5929122" y="7233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37</xdr:row>
      <xdr:rowOff>185420</xdr:rowOff>
    </xdr:from>
    <xdr:to>
      <xdr:col>4</xdr:col>
      <xdr:colOff>242697</xdr:colOff>
      <xdr:row>39</xdr:row>
      <xdr:rowOff>180339</xdr:rowOff>
    </xdr:to>
    <xdr:cxnSp macro="_xll.PtreeEvent_ObjectClick">
      <xdr:nvCxnSpPr>
        <xdr:cNvPr id="130" name="PTObj_DBranchDLine_4_16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CxnSpPr/>
      </xdr:nvCxnSpPr>
      <xdr:spPr>
        <a:xfrm flipV="1">
          <a:off x="5776722" y="7233920"/>
          <a:ext cx="152400" cy="375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39</xdr:row>
      <xdr:rowOff>185420</xdr:rowOff>
    </xdr:from>
    <xdr:to>
      <xdr:col>4</xdr:col>
      <xdr:colOff>127</xdr:colOff>
      <xdr:row>39</xdr:row>
      <xdr:rowOff>185420</xdr:rowOff>
    </xdr:to>
    <xdr:cxnSp macro="_xll.PtreeEvent_ObjectClick">
      <xdr:nvCxnSpPr>
        <xdr:cNvPr id="127" name="PTObj_DBranchHLine_4_7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CxnSpPr/>
      </xdr:nvCxnSpPr>
      <xdr:spPr>
        <a:xfrm>
          <a:off x="4386072" y="7614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27</xdr:row>
      <xdr:rowOff>180340</xdr:rowOff>
    </xdr:from>
    <xdr:to>
      <xdr:col>3</xdr:col>
      <xdr:colOff>242697</xdr:colOff>
      <xdr:row>39</xdr:row>
      <xdr:rowOff>185420</xdr:rowOff>
    </xdr:to>
    <xdr:cxnSp macro="_xll.PtreeEvent_ObjectClick">
      <xdr:nvCxnSpPr>
        <xdr:cNvPr id="126" name="PTObj_DBranchDLine_4_7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CxnSpPr/>
      </xdr:nvCxnSpPr>
      <xdr:spPr>
        <a:xfrm>
          <a:off x="4233672" y="5323840"/>
          <a:ext cx="152400" cy="2291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35</xdr:row>
      <xdr:rowOff>185420</xdr:rowOff>
    </xdr:from>
    <xdr:to>
      <xdr:col>5</xdr:col>
      <xdr:colOff>127</xdr:colOff>
      <xdr:row>35</xdr:row>
      <xdr:rowOff>185420</xdr:rowOff>
    </xdr:to>
    <xdr:cxnSp macro="_xll.PtreeEvent_ObjectClick">
      <xdr:nvCxnSpPr>
        <xdr:cNvPr id="123" name="PTObj_DBranchHLine_4_15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CxnSpPr/>
      </xdr:nvCxnSpPr>
      <xdr:spPr>
        <a:xfrm>
          <a:off x="5929122" y="6852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31</xdr:row>
      <xdr:rowOff>180340</xdr:rowOff>
    </xdr:from>
    <xdr:to>
      <xdr:col>4</xdr:col>
      <xdr:colOff>242697</xdr:colOff>
      <xdr:row>35</xdr:row>
      <xdr:rowOff>185420</xdr:rowOff>
    </xdr:to>
    <xdr:cxnSp macro="_xll.PtreeEvent_ObjectClick">
      <xdr:nvCxnSpPr>
        <xdr:cNvPr id="122" name="PTObj_DBranchDLine_4_15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CxnSpPr/>
      </xdr:nvCxnSpPr>
      <xdr:spPr>
        <a:xfrm>
          <a:off x="5776722" y="6085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33</xdr:row>
      <xdr:rowOff>185420</xdr:rowOff>
    </xdr:from>
    <xdr:to>
      <xdr:col>5</xdr:col>
      <xdr:colOff>127</xdr:colOff>
      <xdr:row>33</xdr:row>
      <xdr:rowOff>185420</xdr:rowOff>
    </xdr:to>
    <xdr:cxnSp macro="_xll.PtreeEvent_ObjectClick">
      <xdr:nvCxnSpPr>
        <xdr:cNvPr id="119" name="PTObj_DBranchHLine_4_14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CxnSpPr/>
      </xdr:nvCxnSpPr>
      <xdr:spPr>
        <a:xfrm>
          <a:off x="5929122" y="6471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31</xdr:row>
      <xdr:rowOff>180340</xdr:rowOff>
    </xdr:from>
    <xdr:to>
      <xdr:col>4</xdr:col>
      <xdr:colOff>242697</xdr:colOff>
      <xdr:row>33</xdr:row>
      <xdr:rowOff>185420</xdr:rowOff>
    </xdr:to>
    <xdr:cxnSp macro="_xll.PtreeEvent_ObjectClick">
      <xdr:nvCxnSpPr>
        <xdr:cNvPr id="118" name="PTObj_DBranchDLine_4_14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CxnSpPr/>
      </xdr:nvCxnSpPr>
      <xdr:spPr>
        <a:xfrm>
          <a:off x="5776722" y="6085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29</xdr:row>
      <xdr:rowOff>185420</xdr:rowOff>
    </xdr:from>
    <xdr:to>
      <xdr:col>5</xdr:col>
      <xdr:colOff>127</xdr:colOff>
      <xdr:row>29</xdr:row>
      <xdr:rowOff>185420</xdr:rowOff>
    </xdr:to>
    <xdr:cxnSp macro="_xll.PtreeEvent_ObjectClick">
      <xdr:nvCxnSpPr>
        <xdr:cNvPr id="115" name="PTObj_DBranchHLine_4_13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CxnSpPr/>
      </xdr:nvCxnSpPr>
      <xdr:spPr>
        <a:xfrm>
          <a:off x="5929122" y="570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29</xdr:row>
      <xdr:rowOff>185420</xdr:rowOff>
    </xdr:from>
    <xdr:to>
      <xdr:col>4</xdr:col>
      <xdr:colOff>242697</xdr:colOff>
      <xdr:row>31</xdr:row>
      <xdr:rowOff>180340</xdr:rowOff>
    </xdr:to>
    <xdr:cxnSp macro="_xll.PtreeEvent_ObjectClick">
      <xdr:nvCxnSpPr>
        <xdr:cNvPr id="114" name="PTObj_DBranchDLine_4_13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CxnSpPr/>
      </xdr:nvCxnSpPr>
      <xdr:spPr>
        <a:xfrm flipV="1">
          <a:off x="5776722" y="5709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31</xdr:row>
      <xdr:rowOff>185420</xdr:rowOff>
    </xdr:from>
    <xdr:to>
      <xdr:col>4</xdr:col>
      <xdr:colOff>127</xdr:colOff>
      <xdr:row>31</xdr:row>
      <xdr:rowOff>185420</xdr:rowOff>
    </xdr:to>
    <xdr:cxnSp macro="_xll.PtreeEvent_ObjectClick">
      <xdr:nvCxnSpPr>
        <xdr:cNvPr id="111" name="PTObj_DBranchHLine_4_6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CxnSpPr/>
      </xdr:nvCxnSpPr>
      <xdr:spPr>
        <a:xfrm>
          <a:off x="4386072" y="6090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27</xdr:row>
      <xdr:rowOff>180340</xdr:rowOff>
    </xdr:from>
    <xdr:to>
      <xdr:col>3</xdr:col>
      <xdr:colOff>242697</xdr:colOff>
      <xdr:row>31</xdr:row>
      <xdr:rowOff>185420</xdr:rowOff>
    </xdr:to>
    <xdr:cxnSp macro="_xll.PtreeEvent_ObjectClick">
      <xdr:nvCxnSpPr>
        <xdr:cNvPr id="110" name="PTObj_DBranchDLine_4_6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CxnSpPr/>
      </xdr:nvCxnSpPr>
      <xdr:spPr>
        <a:xfrm>
          <a:off x="4233672" y="5323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53</xdr:row>
      <xdr:rowOff>185420</xdr:rowOff>
    </xdr:from>
    <xdr:to>
      <xdr:col>5</xdr:col>
      <xdr:colOff>127</xdr:colOff>
      <xdr:row>53</xdr:row>
      <xdr:rowOff>185420</xdr:rowOff>
    </xdr:to>
    <xdr:cxnSp macro="_xll.PtreeEvent_ObjectClick">
      <xdr:nvCxnSpPr>
        <xdr:cNvPr id="2" name="PTObj_DBranchHLine_4_2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5929122" y="10281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49</xdr:row>
      <xdr:rowOff>180339</xdr:rowOff>
    </xdr:from>
    <xdr:to>
      <xdr:col>4</xdr:col>
      <xdr:colOff>242697</xdr:colOff>
      <xdr:row>53</xdr:row>
      <xdr:rowOff>185420</xdr:rowOff>
    </xdr:to>
    <xdr:cxnSp macro="_xll.PtreeEvent_ObjectClick">
      <xdr:nvCxnSpPr>
        <xdr:cNvPr id="3" name="PTObj_DBranchDLine_4_2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5776722" y="9514839"/>
          <a:ext cx="152400" cy="767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51</xdr:row>
      <xdr:rowOff>185420</xdr:rowOff>
    </xdr:from>
    <xdr:to>
      <xdr:col>5</xdr:col>
      <xdr:colOff>127</xdr:colOff>
      <xdr:row>51</xdr:row>
      <xdr:rowOff>185420</xdr:rowOff>
    </xdr:to>
    <xdr:cxnSp macro="_xll.PtreeEvent_ObjectClick">
      <xdr:nvCxnSpPr>
        <xdr:cNvPr id="4" name="PTObj_DBranchHLine_4_2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5929122" y="9900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49</xdr:row>
      <xdr:rowOff>180339</xdr:rowOff>
    </xdr:from>
    <xdr:to>
      <xdr:col>4</xdr:col>
      <xdr:colOff>242697</xdr:colOff>
      <xdr:row>51</xdr:row>
      <xdr:rowOff>185420</xdr:rowOff>
    </xdr:to>
    <xdr:cxnSp macro="_xll.PtreeEvent_ObjectClick">
      <xdr:nvCxnSpPr>
        <xdr:cNvPr id="5" name="PTObj_DBranchDLine_4_20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5776722" y="9514839"/>
          <a:ext cx="152400" cy="386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47</xdr:row>
      <xdr:rowOff>185420</xdr:rowOff>
    </xdr:from>
    <xdr:to>
      <xdr:col>5</xdr:col>
      <xdr:colOff>127</xdr:colOff>
      <xdr:row>47</xdr:row>
      <xdr:rowOff>185420</xdr:rowOff>
    </xdr:to>
    <xdr:cxnSp macro="_xll.PtreeEvent_ObjectClick">
      <xdr:nvCxnSpPr>
        <xdr:cNvPr id="6" name="PTObj_DBranchHLine_4_1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5929122" y="9138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47</xdr:row>
      <xdr:rowOff>185420</xdr:rowOff>
    </xdr:from>
    <xdr:to>
      <xdr:col>4</xdr:col>
      <xdr:colOff>242697</xdr:colOff>
      <xdr:row>49</xdr:row>
      <xdr:rowOff>180339</xdr:rowOff>
    </xdr:to>
    <xdr:cxnSp macro="_xll.PtreeEvent_ObjectClick">
      <xdr:nvCxnSpPr>
        <xdr:cNvPr id="7" name="PTObj_DBranchDLine_4_1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V="1">
          <a:off x="5776722" y="9138920"/>
          <a:ext cx="152400" cy="375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49</xdr:row>
      <xdr:rowOff>185420</xdr:rowOff>
    </xdr:from>
    <xdr:to>
      <xdr:col>4</xdr:col>
      <xdr:colOff>127</xdr:colOff>
      <xdr:row>49</xdr:row>
      <xdr:rowOff>185420</xdr:rowOff>
    </xdr:to>
    <xdr:cxnSp macro="_xll.PtreeEvent_ObjectClick">
      <xdr:nvCxnSpPr>
        <xdr:cNvPr id="8" name="PTObj_DBranchHLine_4_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4386072" y="9519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49</xdr:row>
      <xdr:rowOff>185420</xdr:rowOff>
    </xdr:from>
    <xdr:to>
      <xdr:col>3</xdr:col>
      <xdr:colOff>242697</xdr:colOff>
      <xdr:row>55</xdr:row>
      <xdr:rowOff>180339</xdr:rowOff>
    </xdr:to>
    <xdr:cxnSp macro="_xll.PtreeEvent_ObjectClick">
      <xdr:nvCxnSpPr>
        <xdr:cNvPr id="9" name="PTObj_DBranchDLine_4_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4233672" y="9519920"/>
          <a:ext cx="152400" cy="1137919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242697</xdr:colOff>
      <xdr:row>21</xdr:row>
      <xdr:rowOff>185420</xdr:rowOff>
    </xdr:from>
    <xdr:to>
      <xdr:col>4</xdr:col>
      <xdr:colOff>127</xdr:colOff>
      <xdr:row>21</xdr:row>
      <xdr:rowOff>185420</xdr:rowOff>
    </xdr:to>
    <xdr:cxnSp macro="_xll.PtreeEvent_ObjectClick">
      <xdr:nvCxnSpPr>
        <xdr:cNvPr id="42" name="PTObj_DBranchHLine_4_5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CxnSpPr/>
      </xdr:nvCxnSpPr>
      <xdr:spPr>
        <a:xfrm>
          <a:off x="4386072" y="4185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90297</xdr:colOff>
      <xdr:row>21</xdr:row>
      <xdr:rowOff>185420</xdr:rowOff>
    </xdr:from>
    <xdr:to>
      <xdr:col>3</xdr:col>
      <xdr:colOff>242697</xdr:colOff>
      <xdr:row>27</xdr:row>
      <xdr:rowOff>180340</xdr:rowOff>
    </xdr:to>
    <xdr:cxnSp macro="_xll.PtreeEvent_ObjectClick">
      <xdr:nvCxnSpPr>
        <xdr:cNvPr id="43" name="PTObj_DBranchDLine_4_5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CxnSpPr/>
      </xdr:nvCxnSpPr>
      <xdr:spPr>
        <a:xfrm flipV="1">
          <a:off x="4233672" y="4185920"/>
          <a:ext cx="152400" cy="1137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25</xdr:row>
      <xdr:rowOff>185420</xdr:rowOff>
    </xdr:from>
    <xdr:to>
      <xdr:col>5</xdr:col>
      <xdr:colOff>127</xdr:colOff>
      <xdr:row>25</xdr:row>
      <xdr:rowOff>185420</xdr:rowOff>
    </xdr:to>
    <xdr:cxnSp macro="_xll.PtreeEvent_ObjectClick">
      <xdr:nvCxnSpPr>
        <xdr:cNvPr id="44" name="PTObj_DBranchHLine_4_12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CxnSpPr/>
      </xdr:nvCxnSpPr>
      <xdr:spPr>
        <a:xfrm>
          <a:off x="5929122" y="4947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21</xdr:row>
      <xdr:rowOff>180340</xdr:rowOff>
    </xdr:from>
    <xdr:to>
      <xdr:col>4</xdr:col>
      <xdr:colOff>242697</xdr:colOff>
      <xdr:row>25</xdr:row>
      <xdr:rowOff>185420</xdr:rowOff>
    </xdr:to>
    <xdr:cxnSp macro="_xll.PtreeEvent_ObjectClick">
      <xdr:nvCxnSpPr>
        <xdr:cNvPr id="45" name="PTObj_DBranchDLine_4_12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/>
      </xdr:nvCxnSpPr>
      <xdr:spPr>
        <a:xfrm>
          <a:off x="5776722" y="4180840"/>
          <a:ext cx="152400" cy="767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23</xdr:row>
      <xdr:rowOff>185420</xdr:rowOff>
    </xdr:from>
    <xdr:to>
      <xdr:col>5</xdr:col>
      <xdr:colOff>127</xdr:colOff>
      <xdr:row>23</xdr:row>
      <xdr:rowOff>185420</xdr:rowOff>
    </xdr:to>
    <xdr:cxnSp macro="_xll.PtreeEvent_ObjectClick">
      <xdr:nvCxnSpPr>
        <xdr:cNvPr id="46" name="PTObj_DBranchHLine_4_11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CxnSpPr/>
      </xdr:nvCxnSpPr>
      <xdr:spPr>
        <a:xfrm>
          <a:off x="5929122" y="4566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21</xdr:row>
      <xdr:rowOff>180340</xdr:rowOff>
    </xdr:from>
    <xdr:to>
      <xdr:col>4</xdr:col>
      <xdr:colOff>242697</xdr:colOff>
      <xdr:row>23</xdr:row>
      <xdr:rowOff>185420</xdr:rowOff>
    </xdr:to>
    <xdr:cxnSp macro="_xll.PtreeEvent_ObjectClick">
      <xdr:nvCxnSpPr>
        <xdr:cNvPr id="47" name="PTObj_DBranchDLine_4_11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CxnSpPr/>
      </xdr:nvCxnSpPr>
      <xdr:spPr>
        <a:xfrm>
          <a:off x="5776722" y="4180840"/>
          <a:ext cx="152400" cy="38608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242697</xdr:colOff>
      <xdr:row>19</xdr:row>
      <xdr:rowOff>185420</xdr:rowOff>
    </xdr:from>
    <xdr:to>
      <xdr:col>5</xdr:col>
      <xdr:colOff>127</xdr:colOff>
      <xdr:row>19</xdr:row>
      <xdr:rowOff>185420</xdr:rowOff>
    </xdr:to>
    <xdr:cxnSp macro="_xll.PtreeEvent_ObjectClick">
      <xdr:nvCxnSpPr>
        <xdr:cNvPr id="48" name="PTObj_DBranchHLine_4_4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CxnSpPr/>
      </xdr:nvCxnSpPr>
      <xdr:spPr>
        <a:xfrm>
          <a:off x="5929122" y="3804920"/>
          <a:ext cx="1300480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90297</xdr:colOff>
      <xdr:row>19</xdr:row>
      <xdr:rowOff>185420</xdr:rowOff>
    </xdr:from>
    <xdr:to>
      <xdr:col>4</xdr:col>
      <xdr:colOff>242697</xdr:colOff>
      <xdr:row>21</xdr:row>
      <xdr:rowOff>180340</xdr:rowOff>
    </xdr:to>
    <xdr:cxnSp macro="_xll.PtreeEvent_ObjectClick">
      <xdr:nvCxnSpPr>
        <xdr:cNvPr id="49" name="PTObj_DBranchDLine_4_4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CxnSpPr/>
      </xdr:nvCxnSpPr>
      <xdr:spPr>
        <a:xfrm flipV="1">
          <a:off x="5776722" y="3804920"/>
          <a:ext cx="152400" cy="37592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177800</xdr:colOff>
      <xdr:row>45</xdr:row>
      <xdr:rowOff>185419</xdr:rowOff>
    </xdr:from>
    <xdr:to>
      <xdr:col>2</xdr:col>
      <xdr:colOff>125</xdr:colOff>
      <xdr:row>45</xdr:row>
      <xdr:rowOff>185419</xdr:rowOff>
    </xdr:to>
    <xdr:cxnSp macro="_xll.PtreeEvent_ObjectClick">
      <xdr:nvCxnSpPr>
        <xdr:cNvPr id="50" name="PTObj_DBranchHLine_4_1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CxnSpPr/>
      </xdr:nvCxnSpPr>
      <xdr:spPr>
        <a:xfrm>
          <a:off x="787400" y="8757919"/>
          <a:ext cx="1498725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55</xdr:row>
      <xdr:rowOff>185419</xdr:rowOff>
    </xdr:from>
    <xdr:to>
      <xdr:col>3</xdr:col>
      <xdr:colOff>127</xdr:colOff>
      <xdr:row>55</xdr:row>
      <xdr:rowOff>185419</xdr:rowOff>
    </xdr:to>
    <xdr:cxnSp macro="_xll.PtreeEvent_ObjectClick">
      <xdr:nvCxnSpPr>
        <xdr:cNvPr id="51" name="PTObj_DBranchHLine_4_3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CxnSpPr/>
      </xdr:nvCxnSpPr>
      <xdr:spPr>
        <a:xfrm>
          <a:off x="2528696" y="10662919"/>
          <a:ext cx="1614806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45</xdr:row>
      <xdr:rowOff>180338</xdr:rowOff>
    </xdr:from>
    <xdr:to>
      <xdr:col>2</xdr:col>
      <xdr:colOff>242696</xdr:colOff>
      <xdr:row>55</xdr:row>
      <xdr:rowOff>185419</xdr:rowOff>
    </xdr:to>
    <xdr:cxnSp macro="_xll.PtreeEvent_ObjectClick">
      <xdr:nvCxnSpPr>
        <xdr:cNvPr id="52" name="PTObj_DBranchDLine_4_3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CxnSpPr/>
      </xdr:nvCxnSpPr>
      <xdr:spPr>
        <a:xfrm>
          <a:off x="2376296" y="8752838"/>
          <a:ext cx="152400" cy="1910081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242696</xdr:colOff>
      <xdr:row>27</xdr:row>
      <xdr:rowOff>185420</xdr:rowOff>
    </xdr:from>
    <xdr:to>
      <xdr:col>3</xdr:col>
      <xdr:colOff>127</xdr:colOff>
      <xdr:row>27</xdr:row>
      <xdr:rowOff>185420</xdr:rowOff>
    </xdr:to>
    <xdr:cxnSp macro="_xll.PtreeEvent_ObjectClick">
      <xdr:nvCxnSpPr>
        <xdr:cNvPr id="53" name="PTObj_DBranchHLine_4_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>
          <a:off x="2528696" y="5328920"/>
          <a:ext cx="1614806" cy="0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90296</xdr:colOff>
      <xdr:row>27</xdr:row>
      <xdr:rowOff>185420</xdr:rowOff>
    </xdr:from>
    <xdr:to>
      <xdr:col>2</xdr:col>
      <xdr:colOff>242696</xdr:colOff>
      <xdr:row>45</xdr:row>
      <xdr:rowOff>180338</xdr:rowOff>
    </xdr:to>
    <xdr:cxnSp macro="_xll.PtreeEvent_ObjectClick">
      <xdr:nvCxnSpPr>
        <xdr:cNvPr id="54" name="PTObj_DBranchDLine_4_2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CxnSpPr/>
      </xdr:nvCxnSpPr>
      <xdr:spPr>
        <a:xfrm flipV="1">
          <a:off x="2376296" y="5328920"/>
          <a:ext cx="152400" cy="3423918"/>
        </a:xfrm>
        <a:prstGeom prst="line">
          <a:avLst/>
        </a:prstGeom>
        <a:ln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127</xdr:colOff>
      <xdr:row>27</xdr:row>
      <xdr:rowOff>90170</xdr:rowOff>
    </xdr:from>
    <xdr:to>
      <xdr:col>3</xdr:col>
      <xdr:colOff>190627</xdr:colOff>
      <xdr:row>28</xdr:row>
      <xdr:rowOff>90170</xdr:rowOff>
    </xdr:to>
    <xdr:sp macro="_xll.PtreeEvent_ObjectClick" textlink="">
      <xdr:nvSpPr>
        <xdr:cNvPr id="55" name="PTObj_DNode_4_2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143502" y="5233670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2</xdr:col>
      <xdr:colOff>309116</xdr:colOff>
      <xdr:row>27</xdr:row>
      <xdr:rowOff>109366</xdr:rowOff>
    </xdr:from>
    <xdr:ext cx="925125" cy="180627"/>
    <xdr:sp macro="_xll.PtreeEvent_ObjectClick" textlink="">
      <xdr:nvSpPr>
        <xdr:cNvPr id="56" name="PTObj_DBranchName_4_2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2595116" y="5252866"/>
          <a:ext cx="92512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Temp. non-clémente</a:t>
          </a:r>
        </a:p>
      </xdr:txBody>
    </xdr:sp>
    <xdr:clientData/>
  </xdr:oneCellAnchor>
  <xdr:twoCellAnchor editAs="oneCell">
    <xdr:from>
      <xdr:col>3</xdr:col>
      <xdr:colOff>127</xdr:colOff>
      <xdr:row>55</xdr:row>
      <xdr:rowOff>90169</xdr:rowOff>
    </xdr:from>
    <xdr:to>
      <xdr:col>3</xdr:col>
      <xdr:colOff>190627</xdr:colOff>
      <xdr:row>56</xdr:row>
      <xdr:rowOff>90169</xdr:rowOff>
    </xdr:to>
    <xdr:sp macro="_xll.PtreeEvent_ObjectClick" textlink="">
      <xdr:nvSpPr>
        <xdr:cNvPr id="57" name="PTObj_DNode_4_3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143502" y="10567669"/>
          <a:ext cx="190500" cy="190500"/>
        </a:xfrm>
        <a:prstGeom prst="rect">
          <a:avLst/>
        </a:prstGeom>
        <a:solidFill>
          <a:srgbClr val="008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2</xdr:col>
      <xdr:colOff>309305</xdr:colOff>
      <xdr:row>55</xdr:row>
      <xdr:rowOff>109366</xdr:rowOff>
    </xdr:from>
    <xdr:ext cx="731739" cy="180627"/>
    <xdr:sp macro="_xll.PtreeEvent_ObjectClick" textlink="">
      <xdr:nvSpPr>
        <xdr:cNvPr id="58" name="PTObj_DBranchName_4_3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/>
      </xdr:nvSpPr>
      <xdr:spPr>
        <a:xfrm>
          <a:off x="2595305" y="10586866"/>
          <a:ext cx="73173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Temp. clémente</a:t>
          </a:r>
        </a:p>
      </xdr:txBody>
    </xdr:sp>
    <xdr:clientData/>
  </xdr:oneCellAnchor>
  <xdr:twoCellAnchor editAs="oneCell">
    <xdr:from>
      <xdr:col>2</xdr:col>
      <xdr:colOff>126</xdr:colOff>
      <xdr:row>45</xdr:row>
      <xdr:rowOff>90169</xdr:rowOff>
    </xdr:from>
    <xdr:to>
      <xdr:col>2</xdr:col>
      <xdr:colOff>190626</xdr:colOff>
      <xdr:row>46</xdr:row>
      <xdr:rowOff>90169</xdr:rowOff>
    </xdr:to>
    <xdr:sp macro="_xll.PtreeEvent_ObjectClick" textlink="">
      <xdr:nvSpPr>
        <xdr:cNvPr id="59" name="PTObj_DNode_4_1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2286126" y="8662669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1</xdr:col>
      <xdr:colOff>230240</xdr:colOff>
      <xdr:row>45</xdr:row>
      <xdr:rowOff>109366</xdr:rowOff>
    </xdr:from>
    <xdr:ext cx="1003031" cy="180627"/>
    <xdr:sp macro="_xll.PtreeEvent_ObjectClick" textlink="">
      <xdr:nvSpPr>
        <xdr:cNvPr id="60" name="PTObj_DBranchName_4_1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>
        <a:xfrm>
          <a:off x="839840" y="8681866"/>
          <a:ext cx="1003031" cy="180627"/>
        </a:xfrm>
        <a:prstGeom prst="rect">
          <a:avLst/>
        </a:prstGeom>
        <a:solidFill>
          <a:srgbClr val="FFFFFF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Achat Info (imparfaite)</a:t>
          </a:r>
        </a:p>
      </xdr:txBody>
    </xdr:sp>
    <xdr:clientData/>
  </xdr:oneCellAnchor>
  <xdr:twoCellAnchor editAs="oneCell">
    <xdr:from>
      <xdr:col>5</xdr:col>
      <xdr:colOff>127</xdr:colOff>
      <xdr:row>19</xdr:row>
      <xdr:rowOff>90170</xdr:rowOff>
    </xdr:from>
    <xdr:to>
      <xdr:col>5</xdr:col>
      <xdr:colOff>190627</xdr:colOff>
      <xdr:row>20</xdr:row>
      <xdr:rowOff>90170</xdr:rowOff>
    </xdr:to>
    <xdr:sp macro="_xll.PtreeEvent_ObjectClick" textlink="">
      <xdr:nvSpPr>
        <xdr:cNvPr id="61" name="PTObj_DNode_4_4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 rot="-5400000">
          <a:off x="7229602" y="3709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4</xdr:col>
      <xdr:colOff>294927</xdr:colOff>
      <xdr:row>19</xdr:row>
      <xdr:rowOff>109366</xdr:rowOff>
    </xdr:from>
    <xdr:ext cx="449867" cy="180627"/>
    <xdr:sp macro="_xll.PtreeEvent_ObjectClick" textlink="">
      <xdr:nvSpPr>
        <xdr:cNvPr id="62" name="PTObj_DBranchName_4_4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5981352" y="3728866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23</xdr:row>
      <xdr:rowOff>90170</xdr:rowOff>
    </xdr:from>
    <xdr:to>
      <xdr:col>5</xdr:col>
      <xdr:colOff>190627</xdr:colOff>
      <xdr:row>24</xdr:row>
      <xdr:rowOff>90170</xdr:rowOff>
    </xdr:to>
    <xdr:sp macro="_xll.PtreeEvent_ObjectClick" textlink="">
      <xdr:nvSpPr>
        <xdr:cNvPr id="63" name="PTObj_DNode_4_11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 rot="-5400000">
          <a:off x="7229602" y="447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4</xdr:col>
      <xdr:colOff>294876</xdr:colOff>
      <xdr:row>23</xdr:row>
      <xdr:rowOff>109366</xdr:rowOff>
    </xdr:from>
    <xdr:ext cx="422359" cy="180627"/>
    <xdr:sp macro="_xll.PtreeEvent_ObjectClick" textlink="">
      <xdr:nvSpPr>
        <xdr:cNvPr id="64" name="PTObj_DBranchName_4_11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5981301" y="4490866"/>
          <a:ext cx="422359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25</xdr:row>
      <xdr:rowOff>90170</xdr:rowOff>
    </xdr:from>
    <xdr:to>
      <xdr:col>5</xdr:col>
      <xdr:colOff>190627</xdr:colOff>
      <xdr:row>26</xdr:row>
      <xdr:rowOff>90170</xdr:rowOff>
    </xdr:to>
    <xdr:sp macro="_xll.PtreeEvent_ObjectClick" textlink="">
      <xdr:nvSpPr>
        <xdr:cNvPr id="65" name="PTObj_DNode_4_12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 rot="-5400000">
          <a:off x="7229602" y="4852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4</xdr:col>
      <xdr:colOff>304227</xdr:colOff>
      <xdr:row>25</xdr:row>
      <xdr:rowOff>109366</xdr:rowOff>
    </xdr:from>
    <xdr:ext cx="339131" cy="180627"/>
    <xdr:sp macro="_xll.PtreeEvent_ObjectClick" textlink="">
      <xdr:nvSpPr>
        <xdr:cNvPr id="66" name="PTObj_DBranchName_4_12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/>
      </xdr:nvSpPr>
      <xdr:spPr>
        <a:xfrm>
          <a:off x="5990652" y="4871866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21</xdr:row>
      <xdr:rowOff>90170</xdr:rowOff>
    </xdr:from>
    <xdr:to>
      <xdr:col>4</xdr:col>
      <xdr:colOff>190627</xdr:colOff>
      <xdr:row>22</xdr:row>
      <xdr:rowOff>90170</xdr:rowOff>
    </xdr:to>
    <xdr:sp macro="_xll.PtreeEvent_ObjectClick" textlink="">
      <xdr:nvSpPr>
        <xdr:cNvPr id="67" name="PTObj_DNode_4_5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5686552" y="4090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fr-CA"/>
        </a:p>
      </xdr:txBody>
    </xdr:sp>
    <xdr:clientData/>
  </xdr:twoCellAnchor>
  <xdr:oneCellAnchor>
    <xdr:from>
      <xdr:col>3</xdr:col>
      <xdr:colOff>294806</xdr:colOff>
      <xdr:row>21</xdr:row>
      <xdr:rowOff>109366</xdr:rowOff>
    </xdr:from>
    <xdr:ext cx="298863" cy="180627"/>
    <xdr:sp macro="_xll.PtreeEvent_ObjectClick" textlink="">
      <xdr:nvSpPr>
        <xdr:cNvPr id="68" name="PTObj_DBranchName_4_5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 txBox="1"/>
      </xdr:nvSpPr>
      <xdr:spPr>
        <a:xfrm>
          <a:off x="4438181" y="4109866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4</xdr:col>
      <xdr:colOff>127</xdr:colOff>
      <xdr:row>49</xdr:row>
      <xdr:rowOff>90170</xdr:rowOff>
    </xdr:from>
    <xdr:to>
      <xdr:col>4</xdr:col>
      <xdr:colOff>190627</xdr:colOff>
      <xdr:row>50</xdr:row>
      <xdr:rowOff>90170</xdr:rowOff>
    </xdr:to>
    <xdr:sp macro="_xll.PtreeEvent_ObjectClick" textlink="">
      <xdr:nvSpPr>
        <xdr:cNvPr id="101" name="PTObj_DNode_4_8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5686552" y="9424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49</xdr:row>
      <xdr:rowOff>95107</xdr:rowOff>
    </xdr:from>
    <xdr:ext cx="298863" cy="180627"/>
    <xdr:sp macro="_xll.PtreeEvent_ObjectClick" textlink="">
      <xdr:nvSpPr>
        <xdr:cNvPr id="102" name="PTObj_DBranchName_4_8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 txBox="1"/>
      </xdr:nvSpPr>
      <xdr:spPr>
        <a:xfrm>
          <a:off x="4424172" y="9429607"/>
          <a:ext cx="298863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0 litre</a:t>
          </a:r>
        </a:p>
      </xdr:txBody>
    </xdr:sp>
    <xdr:clientData/>
  </xdr:oneCellAnchor>
  <xdr:twoCellAnchor editAs="oneCell">
    <xdr:from>
      <xdr:col>5</xdr:col>
      <xdr:colOff>127</xdr:colOff>
      <xdr:row>47</xdr:row>
      <xdr:rowOff>90170</xdr:rowOff>
    </xdr:from>
    <xdr:to>
      <xdr:col>5</xdr:col>
      <xdr:colOff>190627</xdr:colOff>
      <xdr:row>48</xdr:row>
      <xdr:rowOff>90170</xdr:rowOff>
    </xdr:to>
    <xdr:sp macro="_xll.PtreeEvent_ObjectClick" textlink="">
      <xdr:nvSpPr>
        <xdr:cNvPr id="103" name="PTObj_DNode_4_1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 rot="-5400000">
          <a:off x="7229602" y="9043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47</xdr:row>
      <xdr:rowOff>95107</xdr:rowOff>
    </xdr:from>
    <xdr:ext cx="449867" cy="180627"/>
    <xdr:sp macro="_xll.PtreeEvent_ObjectClick" textlink="">
      <xdr:nvSpPr>
        <xdr:cNvPr id="104" name="PTObj_DBranchName_4_1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 txBox="1"/>
      </xdr:nvSpPr>
      <xdr:spPr>
        <a:xfrm>
          <a:off x="5967222" y="9048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51</xdr:row>
      <xdr:rowOff>90170</xdr:rowOff>
    </xdr:from>
    <xdr:to>
      <xdr:col>5</xdr:col>
      <xdr:colOff>190627</xdr:colOff>
      <xdr:row>52</xdr:row>
      <xdr:rowOff>90170</xdr:rowOff>
    </xdr:to>
    <xdr:sp macro="_xll.PtreeEvent_ObjectClick" textlink="">
      <xdr:nvSpPr>
        <xdr:cNvPr id="105" name="PTObj_DNode_4_20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 rot="-5400000">
          <a:off x="7229602" y="9805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51</xdr:row>
      <xdr:rowOff>95107</xdr:rowOff>
    </xdr:from>
    <xdr:ext cx="422360" cy="180627"/>
    <xdr:sp macro="_xll.PtreeEvent_ObjectClick" textlink="">
      <xdr:nvSpPr>
        <xdr:cNvPr id="106" name="PTObj_DBranchName_4_20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 txBox="1"/>
      </xdr:nvSpPr>
      <xdr:spPr>
        <a:xfrm>
          <a:off x="5967222" y="9810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53</xdr:row>
      <xdr:rowOff>90170</xdr:rowOff>
    </xdr:from>
    <xdr:to>
      <xdr:col>5</xdr:col>
      <xdr:colOff>190627</xdr:colOff>
      <xdr:row>54</xdr:row>
      <xdr:rowOff>90170</xdr:rowOff>
    </xdr:to>
    <xdr:sp macro="_xll.PtreeEvent_ObjectClick" textlink="">
      <xdr:nvSpPr>
        <xdr:cNvPr id="107" name="PTObj_DNode_4_21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 rot="-5400000">
          <a:off x="7229602" y="10186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53</xdr:row>
      <xdr:rowOff>95107</xdr:rowOff>
    </xdr:from>
    <xdr:ext cx="339131" cy="180627"/>
    <xdr:sp macro="_xll.PtreeEvent_ObjectClick" textlink="">
      <xdr:nvSpPr>
        <xdr:cNvPr id="108" name="PTObj_DBranchName_4_21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 txBox="1"/>
      </xdr:nvSpPr>
      <xdr:spPr>
        <a:xfrm>
          <a:off x="5967222" y="10191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31</xdr:row>
      <xdr:rowOff>90170</xdr:rowOff>
    </xdr:from>
    <xdr:to>
      <xdr:col>4</xdr:col>
      <xdr:colOff>190627</xdr:colOff>
      <xdr:row>32</xdr:row>
      <xdr:rowOff>90170</xdr:rowOff>
    </xdr:to>
    <xdr:sp macro="_xll.PtreeEvent_ObjectClick" textlink="">
      <xdr:nvSpPr>
        <xdr:cNvPr id="109" name="PTObj_DNode_4_6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5686552" y="5995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31</xdr:row>
      <xdr:rowOff>95107</xdr:rowOff>
    </xdr:from>
    <xdr:ext cx="391004" cy="180627"/>
    <xdr:sp macro="_xll.PtreeEvent_ObjectClick" textlink="">
      <xdr:nvSpPr>
        <xdr:cNvPr id="112" name="PTObj_DBranchName_4_6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 txBox="1"/>
      </xdr:nvSpPr>
      <xdr:spPr>
        <a:xfrm>
          <a:off x="4424172" y="6000607"/>
          <a:ext cx="39100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5</xdr:col>
      <xdr:colOff>127</xdr:colOff>
      <xdr:row>29</xdr:row>
      <xdr:rowOff>90170</xdr:rowOff>
    </xdr:from>
    <xdr:to>
      <xdr:col>5</xdr:col>
      <xdr:colOff>190627</xdr:colOff>
      <xdr:row>30</xdr:row>
      <xdr:rowOff>90170</xdr:rowOff>
    </xdr:to>
    <xdr:sp macro="_xll.PtreeEvent_ObjectClick" textlink="">
      <xdr:nvSpPr>
        <xdr:cNvPr id="113" name="PTObj_DNode_4_13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 rot="-5400000">
          <a:off x="7229602" y="5614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29</xdr:row>
      <xdr:rowOff>95107</xdr:rowOff>
    </xdr:from>
    <xdr:ext cx="449867" cy="180627"/>
    <xdr:sp macro="_xll.PtreeEvent_ObjectClick" textlink="">
      <xdr:nvSpPr>
        <xdr:cNvPr id="116" name="PTObj_DBranchName_4_13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 txBox="1"/>
      </xdr:nvSpPr>
      <xdr:spPr>
        <a:xfrm>
          <a:off x="5967222" y="5619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33</xdr:row>
      <xdr:rowOff>90170</xdr:rowOff>
    </xdr:from>
    <xdr:to>
      <xdr:col>5</xdr:col>
      <xdr:colOff>190627</xdr:colOff>
      <xdr:row>34</xdr:row>
      <xdr:rowOff>90170</xdr:rowOff>
    </xdr:to>
    <xdr:sp macro="_xll.PtreeEvent_ObjectClick" textlink="">
      <xdr:nvSpPr>
        <xdr:cNvPr id="117" name="PTObj_DNode_4_14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 rot="-5400000">
          <a:off x="7229602" y="6376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33</xdr:row>
      <xdr:rowOff>95107</xdr:rowOff>
    </xdr:from>
    <xdr:ext cx="422360" cy="180627"/>
    <xdr:sp macro="_xll.PtreeEvent_ObjectClick" textlink="">
      <xdr:nvSpPr>
        <xdr:cNvPr id="120" name="PTObj_DBranchName_4_14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5967222" y="6381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35</xdr:row>
      <xdr:rowOff>90170</xdr:rowOff>
    </xdr:from>
    <xdr:to>
      <xdr:col>5</xdr:col>
      <xdr:colOff>190627</xdr:colOff>
      <xdr:row>36</xdr:row>
      <xdr:rowOff>90170</xdr:rowOff>
    </xdr:to>
    <xdr:sp macro="_xll.PtreeEvent_ObjectClick" textlink="">
      <xdr:nvSpPr>
        <xdr:cNvPr id="121" name="PTObj_DNode_4_15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 rot="-5400000">
          <a:off x="7229602" y="6757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35</xdr:row>
      <xdr:rowOff>95107</xdr:rowOff>
    </xdr:from>
    <xdr:ext cx="339131" cy="180627"/>
    <xdr:sp macro="_xll.PtreeEvent_ObjectClick" textlink="">
      <xdr:nvSpPr>
        <xdr:cNvPr id="124" name="PTObj_DBranchName_4_15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5967222" y="6762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39</xdr:row>
      <xdr:rowOff>90170</xdr:rowOff>
    </xdr:from>
    <xdr:to>
      <xdr:col>4</xdr:col>
      <xdr:colOff>190627</xdr:colOff>
      <xdr:row>40</xdr:row>
      <xdr:rowOff>90170</xdr:rowOff>
    </xdr:to>
    <xdr:sp macro="_xll.PtreeEvent_ObjectClick" textlink="">
      <xdr:nvSpPr>
        <xdr:cNvPr id="125" name="PTObj_DNode_4_7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5686552" y="7519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39</xdr:row>
      <xdr:rowOff>95107</xdr:rowOff>
    </xdr:from>
    <xdr:ext cx="443005" cy="180627"/>
    <xdr:sp macro="_xll.PtreeEvent_ObjectClick" textlink="">
      <xdr:nvSpPr>
        <xdr:cNvPr id="128" name="PTObj_DBranchName_4_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4424172" y="7524607"/>
          <a:ext cx="443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  <xdr:twoCellAnchor editAs="oneCell">
    <xdr:from>
      <xdr:col>5</xdr:col>
      <xdr:colOff>127</xdr:colOff>
      <xdr:row>37</xdr:row>
      <xdr:rowOff>90170</xdr:rowOff>
    </xdr:from>
    <xdr:to>
      <xdr:col>5</xdr:col>
      <xdr:colOff>190627</xdr:colOff>
      <xdr:row>38</xdr:row>
      <xdr:rowOff>90170</xdr:rowOff>
    </xdr:to>
    <xdr:sp macro="_xll.PtreeEvent_ObjectClick" textlink="">
      <xdr:nvSpPr>
        <xdr:cNvPr id="129" name="PTObj_DNode_4_16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 rot="-5400000">
          <a:off x="7229602" y="7138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37</xdr:row>
      <xdr:rowOff>95107</xdr:rowOff>
    </xdr:from>
    <xdr:ext cx="449867" cy="180627"/>
    <xdr:sp macro="_xll.PtreeEvent_ObjectClick" textlink="">
      <xdr:nvSpPr>
        <xdr:cNvPr id="132" name="PTObj_DBranchName_4_16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5967222" y="7143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41</xdr:row>
      <xdr:rowOff>90170</xdr:rowOff>
    </xdr:from>
    <xdr:to>
      <xdr:col>5</xdr:col>
      <xdr:colOff>190627</xdr:colOff>
      <xdr:row>42</xdr:row>
      <xdr:rowOff>90170</xdr:rowOff>
    </xdr:to>
    <xdr:sp macro="_xll.PtreeEvent_ObjectClick" textlink="">
      <xdr:nvSpPr>
        <xdr:cNvPr id="133" name="PTObj_DNode_4_17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 rot="-5400000">
          <a:off x="7229602" y="7900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41</xdr:row>
      <xdr:rowOff>95107</xdr:rowOff>
    </xdr:from>
    <xdr:ext cx="422360" cy="180627"/>
    <xdr:sp macro="_xll.PtreeEvent_ObjectClick" textlink="">
      <xdr:nvSpPr>
        <xdr:cNvPr id="136" name="PTObj_DBranchName_4_17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 txBox="1"/>
      </xdr:nvSpPr>
      <xdr:spPr>
        <a:xfrm>
          <a:off x="5967222" y="7905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43</xdr:row>
      <xdr:rowOff>90170</xdr:rowOff>
    </xdr:from>
    <xdr:to>
      <xdr:col>5</xdr:col>
      <xdr:colOff>190627</xdr:colOff>
      <xdr:row>44</xdr:row>
      <xdr:rowOff>90170</xdr:rowOff>
    </xdr:to>
    <xdr:sp macro="_xll.PtreeEvent_ObjectClick" textlink="">
      <xdr:nvSpPr>
        <xdr:cNvPr id="137" name="PTObj_DNode_4_18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 rot="-5400000">
          <a:off x="7229602" y="828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43</xdr:row>
      <xdr:rowOff>95107</xdr:rowOff>
    </xdr:from>
    <xdr:ext cx="339131" cy="180627"/>
    <xdr:sp macro="_xll.PtreeEvent_ObjectClick" textlink="">
      <xdr:nvSpPr>
        <xdr:cNvPr id="140" name="PTObj_DBranchName_4_18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 txBox="1"/>
      </xdr:nvSpPr>
      <xdr:spPr>
        <a:xfrm>
          <a:off x="5967222" y="8286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59</xdr:row>
      <xdr:rowOff>90170</xdr:rowOff>
    </xdr:from>
    <xdr:to>
      <xdr:col>4</xdr:col>
      <xdr:colOff>190627</xdr:colOff>
      <xdr:row>60</xdr:row>
      <xdr:rowOff>90170</xdr:rowOff>
    </xdr:to>
    <xdr:sp macro="_xll.PtreeEvent_ObjectClick" textlink="">
      <xdr:nvSpPr>
        <xdr:cNvPr id="141" name="PTObj_DNode_4_9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>
          <a:off x="5686552" y="11329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59</xdr:row>
      <xdr:rowOff>95107</xdr:rowOff>
    </xdr:from>
    <xdr:ext cx="391004" cy="180627"/>
    <xdr:sp macro="_xll.PtreeEvent_ObjectClick" textlink="">
      <xdr:nvSpPr>
        <xdr:cNvPr id="144" name="PTObj_DBranchName_4_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 txBox="1"/>
      </xdr:nvSpPr>
      <xdr:spPr>
        <a:xfrm>
          <a:off x="4424172" y="11334607"/>
          <a:ext cx="391004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50 litres</a:t>
          </a:r>
        </a:p>
      </xdr:txBody>
    </xdr:sp>
    <xdr:clientData/>
  </xdr:oneCellAnchor>
  <xdr:twoCellAnchor editAs="oneCell">
    <xdr:from>
      <xdr:col>5</xdr:col>
      <xdr:colOff>127</xdr:colOff>
      <xdr:row>57</xdr:row>
      <xdr:rowOff>90170</xdr:rowOff>
    </xdr:from>
    <xdr:to>
      <xdr:col>5</xdr:col>
      <xdr:colOff>190627</xdr:colOff>
      <xdr:row>58</xdr:row>
      <xdr:rowOff>90170</xdr:rowOff>
    </xdr:to>
    <xdr:sp macro="_xll.PtreeEvent_ObjectClick" textlink="">
      <xdr:nvSpPr>
        <xdr:cNvPr id="145" name="PTObj_DNode_4_22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 rot="-5400000">
          <a:off x="7229602" y="10948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57</xdr:row>
      <xdr:rowOff>95107</xdr:rowOff>
    </xdr:from>
    <xdr:ext cx="449867" cy="180627"/>
    <xdr:sp macro="_xll.PtreeEvent_ObjectClick" textlink="">
      <xdr:nvSpPr>
        <xdr:cNvPr id="148" name="PTObj_DBranchName_4_22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 txBox="1"/>
      </xdr:nvSpPr>
      <xdr:spPr>
        <a:xfrm>
          <a:off x="5967222" y="10953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61</xdr:row>
      <xdr:rowOff>90170</xdr:rowOff>
    </xdr:from>
    <xdr:to>
      <xdr:col>5</xdr:col>
      <xdr:colOff>190627</xdr:colOff>
      <xdr:row>62</xdr:row>
      <xdr:rowOff>90170</xdr:rowOff>
    </xdr:to>
    <xdr:sp macro="_xll.PtreeEvent_ObjectClick" textlink="">
      <xdr:nvSpPr>
        <xdr:cNvPr id="149" name="PTObj_DNode_4_23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 rot="-5400000">
          <a:off x="7229602" y="11710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61</xdr:row>
      <xdr:rowOff>95107</xdr:rowOff>
    </xdr:from>
    <xdr:ext cx="422360" cy="180627"/>
    <xdr:sp macro="_xll.PtreeEvent_ObjectClick" textlink="">
      <xdr:nvSpPr>
        <xdr:cNvPr id="152" name="PTObj_DBranchName_4_23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 txBox="1"/>
      </xdr:nvSpPr>
      <xdr:spPr>
        <a:xfrm>
          <a:off x="5967222" y="11715607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63</xdr:row>
      <xdr:rowOff>90170</xdr:rowOff>
    </xdr:from>
    <xdr:to>
      <xdr:col>5</xdr:col>
      <xdr:colOff>190627</xdr:colOff>
      <xdr:row>64</xdr:row>
      <xdr:rowOff>90170</xdr:rowOff>
    </xdr:to>
    <xdr:sp macro="_xll.PtreeEvent_ObjectClick" textlink="">
      <xdr:nvSpPr>
        <xdr:cNvPr id="153" name="PTObj_DNode_4_24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/>
      </xdr:nvSpPr>
      <xdr:spPr>
        <a:xfrm rot="-5400000">
          <a:off x="7229602" y="12091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63</xdr:row>
      <xdr:rowOff>95107</xdr:rowOff>
    </xdr:from>
    <xdr:ext cx="339131" cy="180627"/>
    <xdr:sp macro="_xll.PtreeEvent_ObjectClick" textlink="">
      <xdr:nvSpPr>
        <xdr:cNvPr id="156" name="PTObj_DBranchName_4_24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 txBox="1"/>
      </xdr:nvSpPr>
      <xdr:spPr>
        <a:xfrm>
          <a:off x="5967222" y="12096607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  <xdr:twoCellAnchor editAs="oneCell">
    <xdr:from>
      <xdr:col>4</xdr:col>
      <xdr:colOff>127</xdr:colOff>
      <xdr:row>67</xdr:row>
      <xdr:rowOff>90170</xdr:rowOff>
    </xdr:from>
    <xdr:to>
      <xdr:col>4</xdr:col>
      <xdr:colOff>190627</xdr:colOff>
      <xdr:row>68</xdr:row>
      <xdr:rowOff>90170</xdr:rowOff>
    </xdr:to>
    <xdr:sp macro="_xll.PtreeEvent_ObjectClick" textlink="">
      <xdr:nvSpPr>
        <xdr:cNvPr id="157" name="PTObj_DNode_4_10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>
          <a:off x="5686552" y="12853670"/>
          <a:ext cx="190500" cy="190500"/>
        </a:xfrm>
        <a:prstGeom prst="ellipse">
          <a:avLst/>
        </a:prstGeom>
        <a:solidFill>
          <a:srgbClr val="80000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3</xdr:col>
      <xdr:colOff>280797</xdr:colOff>
      <xdr:row>67</xdr:row>
      <xdr:rowOff>95107</xdr:rowOff>
    </xdr:from>
    <xdr:ext cx="443005" cy="180627"/>
    <xdr:sp macro="_xll.PtreeEvent_ObjectClick" textlink="">
      <xdr:nvSpPr>
        <xdr:cNvPr id="160" name="PTObj_DBranchName_4_10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 txBox="1"/>
      </xdr:nvSpPr>
      <xdr:spPr>
        <a:xfrm>
          <a:off x="4424172" y="12858607"/>
          <a:ext cx="443005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100 litres</a:t>
          </a:r>
        </a:p>
      </xdr:txBody>
    </xdr:sp>
    <xdr:clientData/>
  </xdr:oneCellAnchor>
  <xdr:twoCellAnchor editAs="oneCell">
    <xdr:from>
      <xdr:col>5</xdr:col>
      <xdr:colOff>127</xdr:colOff>
      <xdr:row>65</xdr:row>
      <xdr:rowOff>90170</xdr:rowOff>
    </xdr:from>
    <xdr:to>
      <xdr:col>5</xdr:col>
      <xdr:colOff>190627</xdr:colOff>
      <xdr:row>66</xdr:row>
      <xdr:rowOff>90170</xdr:rowOff>
    </xdr:to>
    <xdr:sp macro="_xll.PtreeEvent_ObjectClick" textlink="">
      <xdr:nvSpPr>
        <xdr:cNvPr id="161" name="PTObj_DNode_4_25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 rot="-5400000">
          <a:off x="7229602" y="12472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65</xdr:row>
      <xdr:rowOff>95107</xdr:rowOff>
    </xdr:from>
    <xdr:ext cx="449867" cy="180627"/>
    <xdr:sp macro="_xll.PtreeEvent_ObjectClick" textlink="">
      <xdr:nvSpPr>
        <xdr:cNvPr id="164" name="PTObj_DBranchName_4_25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 txBox="1"/>
      </xdr:nvSpPr>
      <xdr:spPr>
        <a:xfrm>
          <a:off x="5967222" y="12477607"/>
          <a:ext cx="449867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Ensoleillé</a:t>
          </a:r>
        </a:p>
      </xdr:txBody>
    </xdr:sp>
    <xdr:clientData/>
  </xdr:oneCellAnchor>
  <xdr:twoCellAnchor editAs="oneCell">
    <xdr:from>
      <xdr:col>5</xdr:col>
      <xdr:colOff>127</xdr:colOff>
      <xdr:row>69</xdr:row>
      <xdr:rowOff>90170</xdr:rowOff>
    </xdr:from>
    <xdr:to>
      <xdr:col>5</xdr:col>
      <xdr:colOff>190627</xdr:colOff>
      <xdr:row>70</xdr:row>
      <xdr:rowOff>90170</xdr:rowOff>
    </xdr:to>
    <xdr:sp macro="_xll.PtreeEvent_ObjectClick" textlink="">
      <xdr:nvSpPr>
        <xdr:cNvPr id="165" name="PTObj_DNode_4_26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 rot="-5400000">
          <a:off x="7229602" y="13234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69</xdr:row>
      <xdr:rowOff>95106</xdr:rowOff>
    </xdr:from>
    <xdr:ext cx="422360" cy="180627"/>
    <xdr:sp macro="_xll.PtreeEvent_ObjectClick" textlink="">
      <xdr:nvSpPr>
        <xdr:cNvPr id="168" name="PTObj_DBranchName_4_26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 txBox="1"/>
      </xdr:nvSpPr>
      <xdr:spPr>
        <a:xfrm>
          <a:off x="5967222" y="13239606"/>
          <a:ext cx="422360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Nuageux</a:t>
          </a:r>
        </a:p>
      </xdr:txBody>
    </xdr:sp>
    <xdr:clientData/>
  </xdr:oneCellAnchor>
  <xdr:twoCellAnchor editAs="oneCell">
    <xdr:from>
      <xdr:col>5</xdr:col>
      <xdr:colOff>127</xdr:colOff>
      <xdr:row>71</xdr:row>
      <xdr:rowOff>90170</xdr:rowOff>
    </xdr:from>
    <xdr:to>
      <xdr:col>5</xdr:col>
      <xdr:colOff>190627</xdr:colOff>
      <xdr:row>72</xdr:row>
      <xdr:rowOff>90170</xdr:rowOff>
    </xdr:to>
    <xdr:sp macro="_xll.PtreeEvent_ObjectClick" textlink="">
      <xdr:nvSpPr>
        <xdr:cNvPr id="169" name="PTObj_DNode_4_27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 rot="-5400000">
          <a:off x="7229602" y="13615670"/>
          <a:ext cx="190500" cy="190500"/>
        </a:xfrm>
        <a:prstGeom prst="triangle">
          <a:avLst/>
        </a:prstGeom>
        <a:solidFill>
          <a:srgbClr val="00008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/>
        </a:p>
      </xdr:txBody>
    </xdr:sp>
    <xdr:clientData/>
  </xdr:twoCellAnchor>
  <xdr:oneCellAnchor>
    <xdr:from>
      <xdr:col>4</xdr:col>
      <xdr:colOff>280797</xdr:colOff>
      <xdr:row>71</xdr:row>
      <xdr:rowOff>95106</xdr:rowOff>
    </xdr:from>
    <xdr:ext cx="339131" cy="180627"/>
    <xdr:sp macro="_xll.PtreeEvent_ObjectClick" textlink="">
      <xdr:nvSpPr>
        <xdr:cNvPr id="172" name="PTObj_DBranchName_4_27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 txBox="1"/>
      </xdr:nvSpPr>
      <xdr:spPr>
        <a:xfrm>
          <a:off x="5967222" y="13620606"/>
          <a:ext cx="339131" cy="180627"/>
        </a:xfrm>
        <a:prstGeom prst="rect">
          <a:avLst/>
        </a:prstGeom>
        <a:solidFill>
          <a:schemeClr val="lt1"/>
        </a:solidFill>
        <a:ln w="9525" cmpd="sng">
          <a:solidFill>
            <a:srgbClr val="80808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7432" tIns="27432" rIns="27432" bIns="27432" rtlCol="0" anchor="ctr">
          <a:spAutoFit/>
        </a:bodyPr>
        <a:lstStyle/>
        <a:p>
          <a:pPr algn="ctr"/>
          <a:r>
            <a:rPr lang="fr-CA" sz="800"/>
            <a:t>Averse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activeCell="C6" sqref="C6"/>
    </sheetView>
  </sheetViews>
  <sheetFormatPr baseColWidth="10" defaultColWidth="15.7265625" defaultRowHeight="14.5" x14ac:dyDescent="0.35"/>
  <cols>
    <col min="1" max="16384" width="15.7265625" style="1"/>
  </cols>
  <sheetData>
    <row r="1" spans="1:16" x14ac:dyDescent="0.35">
      <c r="A1" s="1" t="s">
        <v>0</v>
      </c>
      <c r="B1" s="2" t="s">
        <v>100</v>
      </c>
      <c r="E1" s="1" t="s">
        <v>8</v>
      </c>
      <c r="F1" s="1">
        <v>3</v>
      </c>
      <c r="H1" s="1" t="s">
        <v>14</v>
      </c>
      <c r="I1" s="2" t="s">
        <v>39</v>
      </c>
      <c r="K1" s="1" t="s">
        <v>19</v>
      </c>
      <c r="L1" s="1">
        <f>'F. utilite'!$E$5</f>
        <v>1249.8333155518283</v>
      </c>
    </row>
    <row r="2" spans="1:16" x14ac:dyDescent="0.35">
      <c r="A2" s="1" t="s">
        <v>1</v>
      </c>
      <c r="B2" s="1" t="e">
        <f>'Valeur Info Parfaite'!#REF!</f>
        <v>#REF!</v>
      </c>
      <c r="E2" s="1" t="s">
        <v>9</v>
      </c>
      <c r="F2" s="1">
        <f>_xll.PTreeEvaluate5(B3,$L$11:$L$23,$J$11:$J$23,$K$11:$K$23,$N$11:$N$23,$G$11:$G$23,,L1)</f>
        <v>7590165</v>
      </c>
    </row>
    <row r="3" spans="1:16" x14ac:dyDescent="0.35">
      <c r="A3" s="1" t="s">
        <v>2</v>
      </c>
      <c r="B3" s="1" t="s">
        <v>136</v>
      </c>
      <c r="E3" s="1" t="s">
        <v>10</v>
      </c>
      <c r="F3" s="2" t="s">
        <v>35</v>
      </c>
      <c r="H3" s="1" t="s">
        <v>15</v>
      </c>
      <c r="I3" s="3" t="s">
        <v>37</v>
      </c>
    </row>
    <row r="4" spans="1:16" x14ac:dyDescent="0.35">
      <c r="A4" s="1" t="s">
        <v>3</v>
      </c>
      <c r="B4" s="1">
        <f>'Valeur Info Parfaite'!$C$11</f>
        <v>100</v>
      </c>
      <c r="E4" s="1" t="s">
        <v>11</v>
      </c>
      <c r="F4" s="2" t="s">
        <v>36</v>
      </c>
      <c r="H4" s="1" t="s">
        <v>16</v>
      </c>
      <c r="I4" s="2" t="s">
        <v>38</v>
      </c>
    </row>
    <row r="5" spans="1:16" x14ac:dyDescent="0.35">
      <c r="A5" s="1" t="s">
        <v>4</v>
      </c>
      <c r="B5" s="1">
        <v>0</v>
      </c>
      <c r="D5" s="1">
        <v>0</v>
      </c>
      <c r="E5" s="1" t="s">
        <v>12</v>
      </c>
      <c r="F5" s="2" t="s">
        <v>36</v>
      </c>
      <c r="H5" s="1" t="s">
        <v>17</v>
      </c>
      <c r="I5" s="3" t="s">
        <v>37</v>
      </c>
    </row>
    <row r="6" spans="1:16" x14ac:dyDescent="0.35">
      <c r="A6" s="1" t="s">
        <v>5</v>
      </c>
      <c r="E6" s="1" t="s">
        <v>13</v>
      </c>
      <c r="F6" s="2" t="s">
        <v>130</v>
      </c>
      <c r="H6" s="1" t="s">
        <v>18</v>
      </c>
      <c r="I6" s="2" t="s">
        <v>38</v>
      </c>
    </row>
    <row r="7" spans="1:16" x14ac:dyDescent="0.35">
      <c r="A7" s="1" t="s">
        <v>6</v>
      </c>
      <c r="F7" s="2" t="s">
        <v>125</v>
      </c>
    </row>
    <row r="8" spans="1:16" x14ac:dyDescent="0.35">
      <c r="A8" s="1" t="s">
        <v>7</v>
      </c>
      <c r="B8" s="1">
        <v>13</v>
      </c>
    </row>
    <row r="10" spans="1:16" x14ac:dyDescent="0.3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2</v>
      </c>
      <c r="M10" s="1" t="s">
        <v>31</v>
      </c>
      <c r="N10" s="1" t="s">
        <v>32</v>
      </c>
      <c r="O10" s="1" t="s">
        <v>33</v>
      </c>
      <c r="P10" s="1" t="s">
        <v>34</v>
      </c>
    </row>
    <row r="11" spans="1:16" x14ac:dyDescent="0.35">
      <c r="A11" s="1">
        <f>'Valeur Info Parfaite'!$C$28</f>
        <v>3.4832756632064643E-2</v>
      </c>
      <c r="B11" s="1" t="str">
        <f>B1</f>
        <v>Achat Info (parfaite)</v>
      </c>
      <c r="C11" s="1">
        <v>0</v>
      </c>
      <c r="H11" s="1">
        <f>'Valeur Info Parfaite'!$C$5</f>
        <v>1</v>
      </c>
      <c r="I11" s="1" t="s">
        <v>40</v>
      </c>
      <c r="J11" s="1">
        <f>'Valeur Info Parfaite'!$B$28</f>
        <v>0</v>
      </c>
      <c r="K11" s="1">
        <f>'Valeur Info Parfaite'!$B$27</f>
        <v>0</v>
      </c>
      <c r="L11" s="1" t="s">
        <v>101</v>
      </c>
      <c r="M11" s="2" t="s">
        <v>41</v>
      </c>
      <c r="O11" s="1" t="str">
        <f>'Valeur Info Parfaite'!$C$27</f>
        <v>Météo</v>
      </c>
      <c r="P11" s="1" t="b">
        <v>0</v>
      </c>
    </row>
    <row r="12" spans="1:16" x14ac:dyDescent="0.35">
      <c r="A12" s="1">
        <f>'Valeur Info Parfaite'!$D$22</f>
        <v>7.6893502499038924E-2</v>
      </c>
      <c r="B12" s="2" t="s">
        <v>48</v>
      </c>
      <c r="C12" s="1">
        <v>0</v>
      </c>
      <c r="H12" s="1">
        <f>'Valeur Info Parfaite'!$C$4</f>
        <v>100</v>
      </c>
      <c r="I12" s="1" t="s">
        <v>40</v>
      </c>
      <c r="J12" s="1">
        <f>'Valeur Info Parfaite'!$C$22</f>
        <v>1</v>
      </c>
      <c r="K12" s="1">
        <f>'Valeur Info Parfaite'!$C$21</f>
        <v>0.3</v>
      </c>
      <c r="L12" s="1" t="s">
        <v>102</v>
      </c>
      <c r="M12" s="2" t="s">
        <v>41</v>
      </c>
      <c r="O12" s="1" t="str">
        <f>'Valeur Info Parfaite'!$D$21</f>
        <v>Decision</v>
      </c>
      <c r="P12" s="1" t="b">
        <v>0</v>
      </c>
    </row>
    <row r="13" spans="1:16" x14ac:dyDescent="0.35">
      <c r="A13" s="1">
        <f>'Valeur Info Parfaite'!$D$32</f>
        <v>3.9215686274509887E-2</v>
      </c>
      <c r="B13" s="2" t="s">
        <v>49</v>
      </c>
      <c r="C13" s="1">
        <v>0</v>
      </c>
      <c r="H13" s="1">
        <f>'Valeur Info Parfaite'!$C$4</f>
        <v>100</v>
      </c>
      <c r="I13" s="1" t="s">
        <v>40</v>
      </c>
      <c r="J13" s="1">
        <f>'Valeur Info Parfaite'!$C$32</f>
        <v>2</v>
      </c>
      <c r="K13" s="1">
        <f>'Valeur Info Parfaite'!$C$31</f>
        <v>0.3</v>
      </c>
      <c r="L13" s="1" t="s">
        <v>103</v>
      </c>
      <c r="M13" s="2" t="s">
        <v>41</v>
      </c>
      <c r="O13" s="1" t="str">
        <f>'Valeur Info Parfaite'!$D$31</f>
        <v>Decision</v>
      </c>
      <c r="P13" s="1" t="b">
        <v>0</v>
      </c>
    </row>
    <row r="14" spans="1:16" x14ac:dyDescent="0.35">
      <c r="A14" s="1">
        <f>'Valeur Info Parfaite'!$D$40</f>
        <v>0</v>
      </c>
      <c r="B14" s="2" t="s">
        <v>50</v>
      </c>
      <c r="C14" s="1">
        <v>0</v>
      </c>
      <c r="H14" s="1">
        <f>'Valeur Info Parfaite'!$C$4</f>
        <v>100</v>
      </c>
      <c r="I14" s="1" t="s">
        <v>40</v>
      </c>
      <c r="J14" s="1">
        <f>'Valeur Info Parfaite'!$C$40</f>
        <v>3</v>
      </c>
      <c r="K14" s="1">
        <f>'Valeur Info Parfaite'!$C$39</f>
        <v>0.4</v>
      </c>
      <c r="L14" s="1" t="s">
        <v>104</v>
      </c>
      <c r="M14" s="2" t="s">
        <v>41</v>
      </c>
      <c r="O14" s="1" t="str">
        <f>'Valeur Info Parfaite'!$D$39</f>
        <v>Decision</v>
      </c>
      <c r="P14" s="1" t="b">
        <v>0</v>
      </c>
    </row>
    <row r="15" spans="1:16" x14ac:dyDescent="0.35">
      <c r="A15" s="1">
        <f>'Valeur Info Parfaite'!$E$20</f>
        <v>0</v>
      </c>
      <c r="B15" s="2" t="s">
        <v>44</v>
      </c>
      <c r="C15" s="1">
        <v>0</v>
      </c>
      <c r="H15" s="1" t="s">
        <v>40</v>
      </c>
      <c r="I15" s="1" t="s">
        <v>40</v>
      </c>
      <c r="J15" s="1">
        <f>'Valeur Info Parfaite'!$D$20</f>
        <v>0</v>
      </c>
      <c r="L15" s="1" t="s">
        <v>46</v>
      </c>
      <c r="M15" s="2" t="s">
        <v>41</v>
      </c>
      <c r="P15" s="1" t="b">
        <v>0</v>
      </c>
    </row>
    <row r="16" spans="1:16" x14ac:dyDescent="0.35">
      <c r="A16" s="1">
        <f>'Valeur Info Parfaite'!$E$24</f>
        <v>3.9215686274509887E-2</v>
      </c>
      <c r="B16" s="2" t="s">
        <v>75</v>
      </c>
      <c r="C16" s="1">
        <v>0</v>
      </c>
      <c r="H16" s="1" t="s">
        <v>40</v>
      </c>
      <c r="I16" s="1" t="s">
        <v>40</v>
      </c>
      <c r="J16" s="1">
        <f>'Valeur Info Parfaite'!$D$24</f>
        <v>50</v>
      </c>
      <c r="L16" s="1" t="s">
        <v>46</v>
      </c>
      <c r="M16" s="2" t="s">
        <v>41</v>
      </c>
      <c r="P16" s="1" t="b">
        <v>0</v>
      </c>
    </row>
    <row r="17" spans="1:16" x14ac:dyDescent="0.35">
      <c r="A17" s="1">
        <f>'Valeur Info Parfaite'!$E$26</f>
        <v>7.6893502499038924E-2</v>
      </c>
      <c r="B17" s="2" t="s">
        <v>76</v>
      </c>
      <c r="C17" s="1">
        <v>0</v>
      </c>
      <c r="H17" s="1" t="s">
        <v>40</v>
      </c>
      <c r="I17" s="1" t="s">
        <v>40</v>
      </c>
      <c r="J17" s="1">
        <f>'Valeur Info Parfaite'!$D$26</f>
        <v>100</v>
      </c>
      <c r="L17" s="1" t="s">
        <v>46</v>
      </c>
      <c r="M17" s="2" t="s">
        <v>41</v>
      </c>
      <c r="P17" s="1" t="b">
        <v>0</v>
      </c>
    </row>
    <row r="18" spans="1:16" x14ac:dyDescent="0.35">
      <c r="A18" s="1">
        <f>'Valeur Info Parfaite'!$E$30</f>
        <v>0</v>
      </c>
      <c r="B18" s="2" t="s">
        <v>44</v>
      </c>
      <c r="C18" s="1">
        <v>0</v>
      </c>
      <c r="H18" s="1" t="s">
        <v>40</v>
      </c>
      <c r="I18" s="1" t="s">
        <v>40</v>
      </c>
      <c r="J18" s="1">
        <f>'Valeur Info Parfaite'!$D$30</f>
        <v>0</v>
      </c>
      <c r="L18" s="1" t="s">
        <v>56</v>
      </c>
      <c r="M18" s="2" t="s">
        <v>41</v>
      </c>
      <c r="P18" s="1" t="b">
        <v>0</v>
      </c>
    </row>
    <row r="19" spans="1:16" x14ac:dyDescent="0.35">
      <c r="A19" s="1">
        <f>'Valeur Info Parfaite'!$E$34</f>
        <v>3.9215686274509887E-2</v>
      </c>
      <c r="B19" s="2" t="s">
        <v>75</v>
      </c>
      <c r="C19" s="1">
        <v>0</v>
      </c>
      <c r="H19" s="1" t="s">
        <v>40</v>
      </c>
      <c r="I19" s="1" t="s">
        <v>40</v>
      </c>
      <c r="J19" s="1">
        <f>'Valeur Info Parfaite'!$D$34</f>
        <v>50</v>
      </c>
      <c r="L19" s="1" t="s">
        <v>56</v>
      </c>
      <c r="M19" s="2" t="s">
        <v>41</v>
      </c>
      <c r="P19" s="1" t="b">
        <v>0</v>
      </c>
    </row>
    <row r="20" spans="1:16" x14ac:dyDescent="0.35">
      <c r="A20" s="1">
        <f>'Valeur Info Parfaite'!$E$36</f>
        <v>0</v>
      </c>
      <c r="B20" s="2" t="s">
        <v>76</v>
      </c>
      <c r="C20" s="1">
        <v>0</v>
      </c>
      <c r="H20" s="1" t="s">
        <v>40</v>
      </c>
      <c r="I20" s="1" t="s">
        <v>40</v>
      </c>
      <c r="J20" s="1">
        <f>'Valeur Info Parfaite'!$D$36</f>
        <v>100</v>
      </c>
      <c r="L20" s="1" t="s">
        <v>56</v>
      </c>
      <c r="M20" s="2" t="s">
        <v>41</v>
      </c>
      <c r="P20" s="1" t="b">
        <v>0</v>
      </c>
    </row>
    <row r="21" spans="1:16" x14ac:dyDescent="0.35">
      <c r="A21" s="1">
        <f>'Valeur Info Parfaite'!$E$38</f>
        <v>0</v>
      </c>
      <c r="B21" s="2" t="s">
        <v>44</v>
      </c>
      <c r="C21" s="1">
        <v>0</v>
      </c>
      <c r="H21" s="1" t="s">
        <v>40</v>
      </c>
      <c r="I21" s="1" t="s">
        <v>40</v>
      </c>
      <c r="J21" s="1">
        <f>'Valeur Info Parfaite'!$D$38</f>
        <v>0</v>
      </c>
      <c r="L21" s="1" t="s">
        <v>58</v>
      </c>
      <c r="M21" s="2" t="s">
        <v>41</v>
      </c>
      <c r="P21" s="1" t="b">
        <v>0</v>
      </c>
    </row>
    <row r="22" spans="1:16" x14ac:dyDescent="0.35">
      <c r="A22" s="1">
        <f>'Valeur Info Parfaite'!$E$42</f>
        <v>-4.081632653061229E-2</v>
      </c>
      <c r="B22" s="2" t="s">
        <v>75</v>
      </c>
      <c r="C22" s="1">
        <v>0</v>
      </c>
      <c r="H22" s="1" t="s">
        <v>40</v>
      </c>
      <c r="I22" s="1" t="s">
        <v>40</v>
      </c>
      <c r="J22" s="1">
        <f>'Valeur Info Parfaite'!$D$42</f>
        <v>50</v>
      </c>
      <c r="L22" s="1" t="s">
        <v>58</v>
      </c>
      <c r="M22" s="2" t="s">
        <v>41</v>
      </c>
      <c r="P22" s="1" t="b">
        <v>0</v>
      </c>
    </row>
    <row r="23" spans="1:16" x14ac:dyDescent="0.35">
      <c r="A23" s="1">
        <f>'Valeur Info Parfaite'!$E$44</f>
        <v>-8.3298625572678198E-2</v>
      </c>
      <c r="B23" s="2" t="s">
        <v>76</v>
      </c>
      <c r="C23" s="1">
        <v>0</v>
      </c>
      <c r="H23" s="1" t="s">
        <v>40</v>
      </c>
      <c r="I23" s="1" t="s">
        <v>40</v>
      </c>
      <c r="J23" s="1">
        <f>'Valeur Info Parfaite'!$D$44</f>
        <v>100</v>
      </c>
      <c r="L23" s="1" t="s">
        <v>58</v>
      </c>
      <c r="M23" s="2" t="s">
        <v>41</v>
      </c>
      <c r="P23" s="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selection activeCell="E51" sqref="E51"/>
    </sheetView>
  </sheetViews>
  <sheetFormatPr baseColWidth="10" defaultColWidth="15.7265625" defaultRowHeight="14.5" x14ac:dyDescent="0.35"/>
  <cols>
    <col min="1" max="16384" width="15.7265625" style="1"/>
  </cols>
  <sheetData>
    <row r="1" spans="1:16" x14ac:dyDescent="0.35">
      <c r="A1" s="1" t="s">
        <v>0</v>
      </c>
      <c r="B1" s="2" t="s">
        <v>106</v>
      </c>
      <c r="E1" s="1" t="s">
        <v>8</v>
      </c>
      <c r="F1" s="1">
        <v>3</v>
      </c>
      <c r="H1" s="1" t="s">
        <v>14</v>
      </c>
      <c r="I1" s="2" t="s">
        <v>39</v>
      </c>
      <c r="K1" s="1" t="s">
        <v>19</v>
      </c>
      <c r="L1" s="1">
        <f>'F. utilite'!$E$5</f>
        <v>1249.8333155518283</v>
      </c>
    </row>
    <row r="2" spans="1:16" x14ac:dyDescent="0.35">
      <c r="A2" s="1" t="s">
        <v>1</v>
      </c>
      <c r="B2" s="1" t="e">
        <f>'Valeur Info Imparfaite'!#REF!</f>
        <v>#REF!</v>
      </c>
      <c r="E2" s="1" t="s">
        <v>9</v>
      </c>
      <c r="F2" s="1">
        <f>_xll.PTreeEvaluate5(B3,$L$11:$L$37,$J$11:$J$37,$K$11:$K$37,$N$11:$N$37,$G$11:$G$37,,L1)</f>
        <v>7641622</v>
      </c>
    </row>
    <row r="3" spans="1:16" x14ac:dyDescent="0.35">
      <c r="A3" s="1" t="s">
        <v>2</v>
      </c>
      <c r="B3" s="1" t="s">
        <v>123</v>
      </c>
      <c r="E3" s="1" t="s">
        <v>10</v>
      </c>
      <c r="F3" s="2" t="s">
        <v>35</v>
      </c>
      <c r="H3" s="1" t="s">
        <v>15</v>
      </c>
      <c r="I3" s="3" t="s">
        <v>37</v>
      </c>
    </row>
    <row r="4" spans="1:16" x14ac:dyDescent="0.35">
      <c r="A4" s="1" t="s">
        <v>3</v>
      </c>
      <c r="B4" s="1">
        <f>'Valeur Info Imparfaite'!$C$11</f>
        <v>100</v>
      </c>
      <c r="E4" s="1" t="s">
        <v>11</v>
      </c>
      <c r="F4" s="2" t="s">
        <v>36</v>
      </c>
      <c r="H4" s="1" t="s">
        <v>16</v>
      </c>
      <c r="I4" s="2" t="s">
        <v>38</v>
      </c>
    </row>
    <row r="5" spans="1:16" x14ac:dyDescent="0.35">
      <c r="A5" s="1" t="s">
        <v>4</v>
      </c>
      <c r="B5" s="1">
        <v>0</v>
      </c>
      <c r="D5" s="1">
        <v>0</v>
      </c>
      <c r="E5" s="1" t="s">
        <v>12</v>
      </c>
      <c r="F5" s="2" t="s">
        <v>36</v>
      </c>
      <c r="H5" s="1" t="s">
        <v>17</v>
      </c>
      <c r="I5" s="3" t="s">
        <v>37</v>
      </c>
    </row>
    <row r="6" spans="1:16" x14ac:dyDescent="0.35">
      <c r="A6" s="1" t="s">
        <v>5</v>
      </c>
      <c r="E6" s="1" t="s">
        <v>13</v>
      </c>
      <c r="F6" s="2" t="s">
        <v>130</v>
      </c>
      <c r="H6" s="1" t="s">
        <v>18</v>
      </c>
      <c r="I6" s="2" t="s">
        <v>38</v>
      </c>
    </row>
    <row r="7" spans="1:16" x14ac:dyDescent="0.35">
      <c r="A7" s="1" t="s">
        <v>6</v>
      </c>
      <c r="F7" s="2" t="s">
        <v>126</v>
      </c>
    </row>
    <row r="8" spans="1:16" x14ac:dyDescent="0.35">
      <c r="A8" s="1" t="s">
        <v>7</v>
      </c>
      <c r="B8" s="1">
        <v>27</v>
      </c>
    </row>
    <row r="10" spans="1:16" x14ac:dyDescent="0.3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2</v>
      </c>
      <c r="M10" s="1" t="s">
        <v>31</v>
      </c>
      <c r="N10" s="1" t="s">
        <v>32</v>
      </c>
      <c r="O10" s="1" t="s">
        <v>33</v>
      </c>
      <c r="P10" s="1" t="s">
        <v>34</v>
      </c>
    </row>
    <row r="11" spans="1:16" x14ac:dyDescent="0.35">
      <c r="A11" s="1">
        <f>'Valeur Info Imparfaite'!$C$47</f>
        <v>2.3068050749711678E-2</v>
      </c>
      <c r="B11" s="1" t="str">
        <f>B1</f>
        <v>Achat Info (imparfaite)</v>
      </c>
      <c r="C11" s="1">
        <v>0</v>
      </c>
      <c r="I11" s="1" t="s">
        <v>40</v>
      </c>
      <c r="J11" s="1">
        <f>'Valeur Info Imparfaite'!$B$47</f>
        <v>0</v>
      </c>
      <c r="K11" s="1">
        <f>'Valeur Info Imparfaite'!$B$46</f>
        <v>0</v>
      </c>
      <c r="L11" s="1" t="s">
        <v>107</v>
      </c>
      <c r="M11" s="2" t="s">
        <v>41</v>
      </c>
      <c r="O11" s="1" t="str">
        <f>'Valeur Info Imparfaite'!$C$46</f>
        <v>Prévision météo.</v>
      </c>
      <c r="P11" s="1" t="b">
        <v>0</v>
      </c>
    </row>
    <row r="12" spans="1:16" x14ac:dyDescent="0.35">
      <c r="A12" s="1">
        <f>'Valeur Info Imparfaite'!$D$29</f>
        <v>0</v>
      </c>
      <c r="B12" s="2" t="s">
        <v>108</v>
      </c>
      <c r="C12" s="1">
        <v>0</v>
      </c>
      <c r="H12" s="1">
        <f>'Valeur Info Imparfaite'!$C$4</f>
        <v>100</v>
      </c>
      <c r="I12" s="1" t="s">
        <v>40</v>
      </c>
      <c r="J12" s="1">
        <f>'Valeur Info Imparfaite'!$C$29</f>
        <v>0</v>
      </c>
      <c r="K12" s="1">
        <f>'Valeur Info Imparfaite'!$C$28</f>
        <v>0.55000000000000004</v>
      </c>
      <c r="L12" s="1" t="s">
        <v>102</v>
      </c>
      <c r="M12" s="2" t="s">
        <v>41</v>
      </c>
      <c r="O12" s="1" t="str">
        <f>'Valeur Info Imparfaite'!$D$28</f>
        <v>Decision</v>
      </c>
      <c r="P12" s="1" t="b">
        <v>0</v>
      </c>
    </row>
    <row r="13" spans="1:16" x14ac:dyDescent="0.35">
      <c r="A13" s="1">
        <f>'Valeur Info Imparfaite'!$D$57</f>
        <v>5.1262334999359283E-2</v>
      </c>
      <c r="B13" s="2" t="s">
        <v>109</v>
      </c>
      <c r="C13" s="1">
        <v>0</v>
      </c>
      <c r="H13" s="1">
        <f>'Valeur Info Imparfaite'!$C$4</f>
        <v>100</v>
      </c>
      <c r="I13" s="1" t="s">
        <v>40</v>
      </c>
      <c r="J13" s="1">
        <f>'Valeur Info Imparfaite'!$C$57</f>
        <v>1</v>
      </c>
      <c r="K13" s="1">
        <f>'Valeur Info Imparfaite'!$C$56</f>
        <v>0.45</v>
      </c>
      <c r="L13" s="1" t="s">
        <v>103</v>
      </c>
      <c r="M13" s="2" t="s">
        <v>41</v>
      </c>
      <c r="O13" s="1" t="str">
        <f>'Valeur Info Imparfaite'!$D$56</f>
        <v>Decision</v>
      </c>
      <c r="P13" s="1" t="b">
        <v>0</v>
      </c>
    </row>
    <row r="14" spans="1:16" x14ac:dyDescent="0.35">
      <c r="A14" s="1">
        <f>'Valeur Info Imparfaite'!$F$21</f>
        <v>0</v>
      </c>
      <c r="B14" s="2" t="s">
        <v>48</v>
      </c>
      <c r="C14" s="1">
        <v>0</v>
      </c>
      <c r="H14" s="1" t="s">
        <v>40</v>
      </c>
      <c r="I14" s="1" t="s">
        <v>40</v>
      </c>
      <c r="J14" s="1">
        <f>'Valeur Info Imparfaite'!$E$21</f>
        <v>1</v>
      </c>
      <c r="K14" s="1">
        <f>'Valeur Info Imparfaite'!$E$20</f>
        <v>0</v>
      </c>
      <c r="L14" s="1" t="s">
        <v>59</v>
      </c>
      <c r="M14" s="2" t="s">
        <v>41</v>
      </c>
      <c r="P14" s="1" t="b">
        <v>0</v>
      </c>
    </row>
    <row r="15" spans="1:16" x14ac:dyDescent="0.35">
      <c r="A15" s="1">
        <f>'Valeur Info Imparfaite'!$E$23</f>
        <v>0</v>
      </c>
      <c r="B15" s="2" t="s">
        <v>44</v>
      </c>
      <c r="C15" s="1">
        <v>0</v>
      </c>
      <c r="H15" s="1">
        <f>'Valeur Info Imparfaite'!$C$5</f>
        <v>1</v>
      </c>
      <c r="I15" s="1" t="s">
        <v>40</v>
      </c>
      <c r="J15" s="1">
        <f>'Valeur Info Imparfaite'!$D$23</f>
        <v>0</v>
      </c>
      <c r="L15" s="1" t="s">
        <v>110</v>
      </c>
      <c r="M15" s="2" t="s">
        <v>41</v>
      </c>
      <c r="O15" s="1" t="str">
        <f>'Valeur Info Imparfaite'!$E$22</f>
        <v>Météo</v>
      </c>
      <c r="P15" s="1" t="b">
        <v>0</v>
      </c>
    </row>
    <row r="16" spans="1:16" x14ac:dyDescent="0.35">
      <c r="A16" s="1">
        <f>'Valeur Info Imparfaite'!$E$33</f>
        <v>-1.9207683073229301E-2</v>
      </c>
      <c r="B16" s="2" t="s">
        <v>75</v>
      </c>
      <c r="C16" s="1">
        <v>0</v>
      </c>
      <c r="H16" s="1">
        <f>'Valeur Info Imparfaite'!$C$5</f>
        <v>1</v>
      </c>
      <c r="I16" s="1" t="s">
        <v>40</v>
      </c>
      <c r="J16" s="1">
        <f>'Valeur Info Imparfaite'!$D$33</f>
        <v>50</v>
      </c>
      <c r="L16" s="1" t="s">
        <v>111</v>
      </c>
      <c r="M16" s="2" t="s">
        <v>41</v>
      </c>
      <c r="O16" s="1" t="str">
        <f>'Valeur Info Imparfaite'!$E$32</f>
        <v>Météo</v>
      </c>
      <c r="P16" s="1" t="b">
        <v>0</v>
      </c>
    </row>
    <row r="17" spans="1:16" x14ac:dyDescent="0.35">
      <c r="A17" s="1">
        <f>'Valeur Info Imparfaite'!$E$41</f>
        <v>-6.080799666805508E-2</v>
      </c>
      <c r="B17" s="2" t="s">
        <v>76</v>
      </c>
      <c r="C17" s="1">
        <v>0</v>
      </c>
      <c r="H17" s="1">
        <f>'Valeur Info Imparfaite'!$C$5</f>
        <v>1</v>
      </c>
      <c r="I17" s="1" t="s">
        <v>40</v>
      </c>
      <c r="J17" s="1">
        <f>'Valeur Info Imparfaite'!$D$41</f>
        <v>100</v>
      </c>
      <c r="L17" s="1" t="s">
        <v>112</v>
      </c>
      <c r="M17" s="2" t="s">
        <v>41</v>
      </c>
      <c r="O17" s="1" t="str">
        <f>'Valeur Info Imparfaite'!$E$40</f>
        <v>Météo</v>
      </c>
      <c r="P17" s="1" t="b">
        <v>0</v>
      </c>
    </row>
    <row r="18" spans="1:16" x14ac:dyDescent="0.35">
      <c r="A18" s="1">
        <f>'Valeur Info Imparfaite'!$E$51</f>
        <v>0</v>
      </c>
      <c r="B18" s="2" t="s">
        <v>44</v>
      </c>
      <c r="C18" s="1">
        <v>0</v>
      </c>
      <c r="H18" s="1">
        <f>'Valeur Info Imparfaite'!$C$5</f>
        <v>1</v>
      </c>
      <c r="I18" s="1" t="s">
        <v>40</v>
      </c>
      <c r="J18" s="1">
        <f>'Valeur Info Imparfaite'!$D$51</f>
        <v>0</v>
      </c>
      <c r="L18" s="1" t="s">
        <v>113</v>
      </c>
      <c r="M18" s="2" t="s">
        <v>41</v>
      </c>
      <c r="O18" s="1" t="str">
        <f>'Valeur Info Imparfaite'!$E$50</f>
        <v>Météo</v>
      </c>
      <c r="P18" s="1" t="b">
        <v>0</v>
      </c>
    </row>
    <row r="19" spans="1:16" x14ac:dyDescent="0.35">
      <c r="A19" s="1">
        <f>'Valeur Info Imparfaite'!$E$61</f>
        <v>3.9215686274509887E-2</v>
      </c>
      <c r="B19" s="2" t="s">
        <v>75</v>
      </c>
      <c r="C19" s="1">
        <v>0</v>
      </c>
      <c r="H19" s="1">
        <f>'Valeur Info Imparfaite'!$C$5</f>
        <v>1</v>
      </c>
      <c r="I19" s="1" t="s">
        <v>40</v>
      </c>
      <c r="J19" s="1">
        <f>'Valeur Info Imparfaite'!$D$61</f>
        <v>50</v>
      </c>
      <c r="L19" s="1" t="s">
        <v>114</v>
      </c>
      <c r="M19" s="2" t="s">
        <v>41</v>
      </c>
      <c r="O19" s="1" t="str">
        <f>'Valeur Info Imparfaite'!$E$60</f>
        <v>Météo</v>
      </c>
      <c r="P19" s="1" t="b">
        <v>0</v>
      </c>
    </row>
    <row r="20" spans="1:16" x14ac:dyDescent="0.35">
      <c r="A20" s="1">
        <f>'Valeur Info Imparfaite'!$E$69</f>
        <v>5.1262334999359283E-2</v>
      </c>
      <c r="B20" s="2" t="s">
        <v>76</v>
      </c>
      <c r="C20" s="1">
        <v>0</v>
      </c>
      <c r="H20" s="1">
        <f>'Valeur Info Imparfaite'!$C$5</f>
        <v>1</v>
      </c>
      <c r="I20" s="1" t="s">
        <v>40</v>
      </c>
      <c r="J20" s="1">
        <f>'Valeur Info Imparfaite'!$D$69</f>
        <v>100</v>
      </c>
      <c r="L20" s="1" t="s">
        <v>115</v>
      </c>
      <c r="M20" s="2" t="s">
        <v>41</v>
      </c>
      <c r="O20" s="1" t="str">
        <f>'Valeur Info Imparfaite'!$E$68</f>
        <v>Météo</v>
      </c>
      <c r="P20" s="1" t="b">
        <v>0</v>
      </c>
    </row>
    <row r="21" spans="1:16" x14ac:dyDescent="0.35">
      <c r="A21" s="1">
        <f>'Valeur Info Imparfaite'!$F$25</f>
        <v>0</v>
      </c>
      <c r="B21" s="2" t="s">
        <v>49</v>
      </c>
      <c r="C21" s="1">
        <v>0</v>
      </c>
      <c r="H21" s="1" t="s">
        <v>40</v>
      </c>
      <c r="I21" s="1" t="s">
        <v>40</v>
      </c>
      <c r="J21" s="1">
        <f>'Valeur Info Imparfaite'!$E$25</f>
        <v>2</v>
      </c>
      <c r="K21" s="1">
        <f>'Valeur Info Imparfaite'!$E$24</f>
        <v>0.27</v>
      </c>
      <c r="L21" s="1" t="s">
        <v>59</v>
      </c>
      <c r="M21" s="2" t="s">
        <v>41</v>
      </c>
      <c r="P21" s="1" t="b">
        <v>0</v>
      </c>
    </row>
    <row r="22" spans="1:16" x14ac:dyDescent="0.35">
      <c r="A22" s="1">
        <f>'Valeur Info Imparfaite'!$F$27</f>
        <v>0</v>
      </c>
      <c r="B22" s="2" t="s">
        <v>50</v>
      </c>
      <c r="C22" s="1">
        <v>0</v>
      </c>
      <c r="H22" s="1" t="s">
        <v>40</v>
      </c>
      <c r="I22" s="1" t="s">
        <v>40</v>
      </c>
      <c r="J22" s="1">
        <f>'Valeur Info Imparfaite'!$E$27</f>
        <v>3</v>
      </c>
      <c r="K22" s="1">
        <f>'Valeur Info Imparfaite'!$E$26</f>
        <v>0.73</v>
      </c>
      <c r="L22" s="1" t="s">
        <v>59</v>
      </c>
      <c r="M22" s="2" t="s">
        <v>41</v>
      </c>
      <c r="P22" s="1" t="b">
        <v>0</v>
      </c>
    </row>
    <row r="23" spans="1:16" x14ac:dyDescent="0.35">
      <c r="A23" s="1">
        <f>'Valeur Info Imparfaite'!$F$31</f>
        <v>3.9215686274509887E-2</v>
      </c>
      <c r="B23" s="2" t="s">
        <v>48</v>
      </c>
      <c r="C23" s="1">
        <v>0</v>
      </c>
      <c r="H23" s="1" t="s">
        <v>40</v>
      </c>
      <c r="I23" s="1" t="s">
        <v>40</v>
      </c>
      <c r="J23" s="1">
        <f>'Valeur Info Imparfaite'!$E$31</f>
        <v>1</v>
      </c>
      <c r="K23" s="1">
        <f>'Valeur Info Imparfaite'!$E$30</f>
        <v>0</v>
      </c>
      <c r="L23" s="1" t="s">
        <v>61</v>
      </c>
      <c r="M23" s="2" t="s">
        <v>41</v>
      </c>
      <c r="P23" s="1" t="b">
        <v>0</v>
      </c>
    </row>
    <row r="24" spans="1:16" x14ac:dyDescent="0.35">
      <c r="A24" s="1">
        <f>'Valeur Info Imparfaite'!$F$35</f>
        <v>3.9215686274509887E-2</v>
      </c>
      <c r="B24" s="2" t="s">
        <v>49</v>
      </c>
      <c r="C24" s="1">
        <v>0</v>
      </c>
      <c r="H24" s="1" t="s">
        <v>40</v>
      </c>
      <c r="I24" s="1" t="s">
        <v>40</v>
      </c>
      <c r="J24" s="1">
        <f>'Valeur Info Imparfaite'!$E$35</f>
        <v>2</v>
      </c>
      <c r="K24" s="1">
        <f>'Valeur Info Imparfaite'!$E$34</f>
        <v>0.27</v>
      </c>
      <c r="L24" s="1" t="s">
        <v>61</v>
      </c>
      <c r="M24" s="2" t="s">
        <v>41</v>
      </c>
      <c r="P24" s="1" t="b">
        <v>0</v>
      </c>
    </row>
    <row r="25" spans="1:16" x14ac:dyDescent="0.35">
      <c r="A25" s="1">
        <f>'Valeur Info Imparfaite'!$F$37</f>
        <v>-4.081632653061229E-2</v>
      </c>
      <c r="B25" s="2" t="s">
        <v>50</v>
      </c>
      <c r="C25" s="1">
        <v>0</v>
      </c>
      <c r="H25" s="1" t="s">
        <v>40</v>
      </c>
      <c r="I25" s="1" t="s">
        <v>40</v>
      </c>
      <c r="J25" s="1">
        <f>'Valeur Info Imparfaite'!$E$37</f>
        <v>3</v>
      </c>
      <c r="K25" s="1">
        <f>'Valeur Info Imparfaite'!$E$36</f>
        <v>0.73</v>
      </c>
      <c r="L25" s="1" t="s">
        <v>61</v>
      </c>
      <c r="M25" s="2" t="s">
        <v>41</v>
      </c>
      <c r="P25" s="1" t="b">
        <v>0</v>
      </c>
    </row>
    <row r="26" spans="1:16" x14ac:dyDescent="0.35">
      <c r="A26" s="1">
        <f>'Valeur Info Imparfaite'!$F$39</f>
        <v>7.6893502499038924E-2</v>
      </c>
      <c r="B26" s="2" t="s">
        <v>48</v>
      </c>
      <c r="C26" s="1">
        <v>0</v>
      </c>
      <c r="H26" s="1" t="s">
        <v>40</v>
      </c>
      <c r="I26" s="1" t="s">
        <v>40</v>
      </c>
      <c r="J26" s="1">
        <f>'Valeur Info Imparfaite'!$E$39</f>
        <v>1</v>
      </c>
      <c r="K26" s="1">
        <f>'Valeur Info Imparfaite'!$E$38</f>
        <v>0</v>
      </c>
      <c r="L26" s="1" t="s">
        <v>62</v>
      </c>
      <c r="M26" s="2" t="s">
        <v>41</v>
      </c>
      <c r="P26" s="1" t="b">
        <v>0</v>
      </c>
    </row>
    <row r="27" spans="1:16" x14ac:dyDescent="0.35">
      <c r="A27" s="1">
        <f>'Valeur Info Imparfaite'!$F$43</f>
        <v>0</v>
      </c>
      <c r="B27" s="2" t="s">
        <v>49</v>
      </c>
      <c r="C27" s="1">
        <v>0</v>
      </c>
      <c r="H27" s="1" t="s">
        <v>40</v>
      </c>
      <c r="I27" s="1" t="s">
        <v>40</v>
      </c>
      <c r="J27" s="1">
        <f>'Valeur Info Imparfaite'!$E$43</f>
        <v>2</v>
      </c>
      <c r="K27" s="1">
        <f>'Valeur Info Imparfaite'!$E$42</f>
        <v>0.27</v>
      </c>
      <c r="L27" s="1" t="s">
        <v>62</v>
      </c>
      <c r="M27" s="2" t="s">
        <v>41</v>
      </c>
      <c r="P27" s="1" t="b">
        <v>0</v>
      </c>
    </row>
    <row r="28" spans="1:16" x14ac:dyDescent="0.35">
      <c r="A28" s="1">
        <f>'Valeur Info Imparfaite'!$F$45</f>
        <v>-8.3298625572678198E-2</v>
      </c>
      <c r="B28" s="2" t="s">
        <v>50</v>
      </c>
      <c r="C28" s="1">
        <v>0</v>
      </c>
      <c r="H28" s="1" t="s">
        <v>40</v>
      </c>
      <c r="I28" s="1" t="s">
        <v>40</v>
      </c>
      <c r="J28" s="1">
        <f>'Valeur Info Imparfaite'!$E$45</f>
        <v>3</v>
      </c>
      <c r="K28" s="1">
        <f>'Valeur Info Imparfaite'!$E$44</f>
        <v>0.73</v>
      </c>
      <c r="L28" s="1" t="s">
        <v>62</v>
      </c>
      <c r="M28" s="2" t="s">
        <v>41</v>
      </c>
      <c r="P28" s="1" t="b">
        <v>0</v>
      </c>
    </row>
    <row r="29" spans="1:16" x14ac:dyDescent="0.35">
      <c r="A29" s="1">
        <f>'Valeur Info Imparfaite'!$F$49</f>
        <v>0</v>
      </c>
      <c r="B29" s="2" t="s">
        <v>48</v>
      </c>
      <c r="C29" s="1">
        <v>0</v>
      </c>
      <c r="H29" s="1" t="s">
        <v>40</v>
      </c>
      <c r="I29" s="1" t="s">
        <v>40</v>
      </c>
      <c r="J29" s="1">
        <f>'Valeur Info Imparfaite'!$E$49</f>
        <v>1</v>
      </c>
      <c r="K29" s="1">
        <f>'Valeur Info Imparfaite'!$E$48</f>
        <v>0.66666666666666663</v>
      </c>
      <c r="L29" s="1" t="s">
        <v>63</v>
      </c>
      <c r="M29" s="2" t="s">
        <v>41</v>
      </c>
      <c r="P29" s="1" t="b">
        <v>0</v>
      </c>
    </row>
    <row r="30" spans="1:16" x14ac:dyDescent="0.35">
      <c r="A30" s="1">
        <f>'Valeur Info Imparfaite'!$F$53</f>
        <v>0</v>
      </c>
      <c r="B30" s="2" t="s">
        <v>49</v>
      </c>
      <c r="C30" s="1">
        <v>0</v>
      </c>
      <c r="H30" s="1" t="s">
        <v>40</v>
      </c>
      <c r="I30" s="1" t="s">
        <v>40</v>
      </c>
      <c r="J30" s="1">
        <f>'Valeur Info Imparfaite'!$E$53</f>
        <v>2</v>
      </c>
      <c r="K30" s="1">
        <f>'Valeur Info Imparfaite'!$E$52</f>
        <v>0.33333333333333331</v>
      </c>
      <c r="L30" s="1" t="s">
        <v>63</v>
      </c>
      <c r="M30" s="2" t="s">
        <v>41</v>
      </c>
      <c r="P30" s="1" t="b">
        <v>0</v>
      </c>
    </row>
    <row r="31" spans="1:16" x14ac:dyDescent="0.35">
      <c r="A31" s="1">
        <f>'Valeur Info Imparfaite'!$F$55</f>
        <v>0</v>
      </c>
      <c r="B31" s="2" t="s">
        <v>50</v>
      </c>
      <c r="C31" s="1">
        <v>0</v>
      </c>
      <c r="H31" s="1" t="s">
        <v>40</v>
      </c>
      <c r="I31" s="1" t="s">
        <v>40</v>
      </c>
      <c r="J31" s="1">
        <f>'Valeur Info Imparfaite'!$E$55</f>
        <v>3</v>
      </c>
      <c r="K31" s="1">
        <f>'Valeur Info Imparfaite'!$E$54</f>
        <v>0</v>
      </c>
      <c r="L31" s="1" t="s">
        <v>63</v>
      </c>
      <c r="M31" s="2" t="s">
        <v>41</v>
      </c>
      <c r="P31" s="1" t="b">
        <v>0</v>
      </c>
    </row>
    <row r="32" spans="1:16" x14ac:dyDescent="0.35">
      <c r="A32" s="1">
        <f>'Valeur Info Imparfaite'!$F$59</f>
        <v>3.9215686274509887E-2</v>
      </c>
      <c r="B32" s="2" t="s">
        <v>48</v>
      </c>
      <c r="C32" s="1">
        <v>0</v>
      </c>
      <c r="H32" s="1" t="s">
        <v>40</v>
      </c>
      <c r="I32" s="1" t="s">
        <v>40</v>
      </c>
      <c r="J32" s="1">
        <f>'Valeur Info Imparfaite'!$E$59</f>
        <v>1</v>
      </c>
      <c r="K32" s="1">
        <f>'Valeur Info Imparfaite'!$E$58</f>
        <v>0.66666666666666663</v>
      </c>
      <c r="L32" s="1" t="s">
        <v>116</v>
      </c>
      <c r="M32" s="2" t="s">
        <v>41</v>
      </c>
      <c r="P32" s="1" t="b">
        <v>0</v>
      </c>
    </row>
    <row r="33" spans="1:16" x14ac:dyDescent="0.35">
      <c r="A33" s="1">
        <f>'Valeur Info Imparfaite'!$F$63</f>
        <v>3.9215686274509887E-2</v>
      </c>
      <c r="B33" s="2" t="s">
        <v>49</v>
      </c>
      <c r="C33" s="1">
        <v>0</v>
      </c>
      <c r="H33" s="1" t="s">
        <v>40</v>
      </c>
      <c r="I33" s="1" t="s">
        <v>40</v>
      </c>
      <c r="J33" s="1">
        <f>'Valeur Info Imparfaite'!$E$63</f>
        <v>2</v>
      </c>
      <c r="K33" s="1">
        <f>'Valeur Info Imparfaite'!$E$62</f>
        <v>0.33333333333333331</v>
      </c>
      <c r="L33" s="1" t="s">
        <v>116</v>
      </c>
      <c r="M33" s="2" t="s">
        <v>41</v>
      </c>
      <c r="P33" s="1" t="b">
        <v>0</v>
      </c>
    </row>
    <row r="34" spans="1:16" x14ac:dyDescent="0.35">
      <c r="A34" s="1">
        <f>'Valeur Info Imparfaite'!$F$65</f>
        <v>-4.081632653061229E-2</v>
      </c>
      <c r="B34" s="2" t="s">
        <v>50</v>
      </c>
      <c r="C34" s="1">
        <v>0</v>
      </c>
      <c r="H34" s="1" t="s">
        <v>40</v>
      </c>
      <c r="I34" s="1" t="s">
        <v>40</v>
      </c>
      <c r="J34" s="1">
        <f>'Valeur Info Imparfaite'!$E$65</f>
        <v>3</v>
      </c>
      <c r="K34" s="1">
        <f>'Valeur Info Imparfaite'!$E$64</f>
        <v>0</v>
      </c>
      <c r="L34" s="1" t="s">
        <v>116</v>
      </c>
      <c r="M34" s="2" t="s">
        <v>41</v>
      </c>
      <c r="P34" s="1" t="b">
        <v>0</v>
      </c>
    </row>
    <row r="35" spans="1:16" x14ac:dyDescent="0.35">
      <c r="A35" s="1">
        <f>'Valeur Info Imparfaite'!$F$67</f>
        <v>7.6893502499038924E-2</v>
      </c>
      <c r="B35" s="2" t="s">
        <v>48</v>
      </c>
      <c r="C35" s="1">
        <v>0</v>
      </c>
      <c r="H35" s="1" t="s">
        <v>40</v>
      </c>
      <c r="I35" s="1" t="s">
        <v>40</v>
      </c>
      <c r="J35" s="1">
        <f>'Valeur Info Imparfaite'!$E$67</f>
        <v>1</v>
      </c>
      <c r="K35" s="1">
        <f>'Valeur Info Imparfaite'!$E$66</f>
        <v>0.66666666666666663</v>
      </c>
      <c r="L35" s="1" t="s">
        <v>117</v>
      </c>
      <c r="M35" s="2" t="s">
        <v>41</v>
      </c>
      <c r="P35" s="1" t="b">
        <v>0</v>
      </c>
    </row>
    <row r="36" spans="1:16" x14ac:dyDescent="0.35">
      <c r="A36" s="1">
        <f>'Valeur Info Imparfaite'!$F$71</f>
        <v>0</v>
      </c>
      <c r="B36" s="2" t="s">
        <v>49</v>
      </c>
      <c r="C36" s="1">
        <v>0</v>
      </c>
      <c r="H36" s="1" t="s">
        <v>40</v>
      </c>
      <c r="I36" s="1" t="s">
        <v>40</v>
      </c>
      <c r="J36" s="1">
        <f>'Valeur Info Imparfaite'!$E$71</f>
        <v>2</v>
      </c>
      <c r="K36" s="1">
        <f>'Valeur Info Imparfaite'!$E$70</f>
        <v>0.33333333333333331</v>
      </c>
      <c r="L36" s="1" t="s">
        <v>117</v>
      </c>
      <c r="M36" s="2" t="s">
        <v>41</v>
      </c>
      <c r="P36" s="1" t="b">
        <v>0</v>
      </c>
    </row>
    <row r="37" spans="1:16" x14ac:dyDescent="0.35">
      <c r="A37" s="1">
        <f>'Valeur Info Imparfaite'!$F$73</f>
        <v>-8.3298625572678198E-2</v>
      </c>
      <c r="B37" s="2" t="s">
        <v>50</v>
      </c>
      <c r="C37" s="1">
        <v>0</v>
      </c>
      <c r="H37" s="1" t="s">
        <v>40</v>
      </c>
      <c r="I37" s="1" t="s">
        <v>40</v>
      </c>
      <c r="J37" s="1">
        <f>'Valeur Info Imparfaite'!$E$73</f>
        <v>3</v>
      </c>
      <c r="K37" s="1">
        <f>'Valeur Info Imparfaite'!$E$72</f>
        <v>0</v>
      </c>
      <c r="L37" s="1" t="s">
        <v>117</v>
      </c>
      <c r="M37" s="2" t="s">
        <v>41</v>
      </c>
      <c r="P37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V1005"/>
  <sheetViews>
    <sheetView tabSelected="1" workbookViewId="0">
      <selection activeCell="B2" sqref="B2"/>
    </sheetView>
  </sheetViews>
  <sheetFormatPr baseColWidth="10" defaultColWidth="11.453125" defaultRowHeight="12.5" x14ac:dyDescent="0.25"/>
  <cols>
    <col min="1" max="2" width="11.453125" style="21" customWidth="1"/>
    <col min="3" max="3" width="8.453125" style="21" customWidth="1"/>
    <col min="4" max="4" width="3.1796875" style="21" customWidth="1"/>
    <col min="5" max="5" width="9.1796875" style="21" customWidth="1"/>
    <col min="6" max="6" width="11.453125" style="21" customWidth="1"/>
    <col min="7" max="7" width="2.26953125" style="21" customWidth="1"/>
    <col min="8" max="8" width="3.7265625" style="21" customWidth="1"/>
    <col min="9" max="10" width="11.453125" style="21" customWidth="1"/>
    <col min="11" max="11" width="2.26953125" style="21" customWidth="1"/>
    <col min="12" max="12" width="3.7265625" style="21" customWidth="1"/>
    <col min="13" max="14" width="11.453125" style="21" customWidth="1"/>
    <col min="15" max="15" width="2.26953125" style="21" customWidth="1"/>
    <col min="16" max="18" width="11.453125" style="21" customWidth="1"/>
    <col min="19" max="19" width="2.26953125" style="21" customWidth="1"/>
    <col min="20" max="256" width="11.453125" style="21"/>
    <col min="257" max="258" width="11.453125" style="21" customWidth="1"/>
    <col min="259" max="259" width="8.453125" style="21" customWidth="1"/>
    <col min="260" max="260" width="3.1796875" style="21" customWidth="1"/>
    <col min="261" max="261" width="9.1796875" style="21" customWidth="1"/>
    <col min="262" max="262" width="11.453125" style="21" customWidth="1"/>
    <col min="263" max="263" width="2.26953125" style="21" customWidth="1"/>
    <col min="264" max="264" width="3.7265625" style="21" customWidth="1"/>
    <col min="265" max="266" width="11.453125" style="21" customWidth="1"/>
    <col min="267" max="267" width="2.26953125" style="21" customWidth="1"/>
    <col min="268" max="268" width="3.7265625" style="21" customWidth="1"/>
    <col min="269" max="270" width="11.453125" style="21" customWidth="1"/>
    <col min="271" max="271" width="2.26953125" style="21" customWidth="1"/>
    <col min="272" max="274" width="11.453125" style="21" customWidth="1"/>
    <col min="275" max="275" width="2.26953125" style="21" customWidth="1"/>
    <col min="276" max="512" width="11.453125" style="21"/>
    <col min="513" max="514" width="11.453125" style="21" customWidth="1"/>
    <col min="515" max="515" width="8.453125" style="21" customWidth="1"/>
    <col min="516" max="516" width="3.1796875" style="21" customWidth="1"/>
    <col min="517" max="517" width="9.1796875" style="21" customWidth="1"/>
    <col min="518" max="518" width="11.453125" style="21" customWidth="1"/>
    <col min="519" max="519" width="2.26953125" style="21" customWidth="1"/>
    <col min="520" max="520" width="3.7265625" style="21" customWidth="1"/>
    <col min="521" max="522" width="11.453125" style="21" customWidth="1"/>
    <col min="523" max="523" width="2.26953125" style="21" customWidth="1"/>
    <col min="524" max="524" width="3.7265625" style="21" customWidth="1"/>
    <col min="525" max="526" width="11.453125" style="21" customWidth="1"/>
    <col min="527" max="527" width="2.26953125" style="21" customWidth="1"/>
    <col min="528" max="530" width="11.453125" style="21" customWidth="1"/>
    <col min="531" max="531" width="2.26953125" style="21" customWidth="1"/>
    <col min="532" max="768" width="11.453125" style="21"/>
    <col min="769" max="770" width="11.453125" style="21" customWidth="1"/>
    <col min="771" max="771" width="8.453125" style="21" customWidth="1"/>
    <col min="772" max="772" width="3.1796875" style="21" customWidth="1"/>
    <col min="773" max="773" width="9.1796875" style="21" customWidth="1"/>
    <col min="774" max="774" width="11.453125" style="21" customWidth="1"/>
    <col min="775" max="775" width="2.26953125" style="21" customWidth="1"/>
    <col min="776" max="776" width="3.7265625" style="21" customWidth="1"/>
    <col min="777" max="778" width="11.453125" style="21" customWidth="1"/>
    <col min="779" max="779" width="2.26953125" style="21" customWidth="1"/>
    <col min="780" max="780" width="3.7265625" style="21" customWidth="1"/>
    <col min="781" max="782" width="11.453125" style="21" customWidth="1"/>
    <col min="783" max="783" width="2.26953125" style="21" customWidth="1"/>
    <col min="784" max="786" width="11.453125" style="21" customWidth="1"/>
    <col min="787" max="787" width="2.26953125" style="21" customWidth="1"/>
    <col min="788" max="1024" width="11.453125" style="21"/>
    <col min="1025" max="1026" width="11.453125" style="21" customWidth="1"/>
    <col min="1027" max="1027" width="8.453125" style="21" customWidth="1"/>
    <col min="1028" max="1028" width="3.1796875" style="21" customWidth="1"/>
    <col min="1029" max="1029" width="9.1796875" style="21" customWidth="1"/>
    <col min="1030" max="1030" width="11.453125" style="21" customWidth="1"/>
    <col min="1031" max="1031" width="2.26953125" style="21" customWidth="1"/>
    <col min="1032" max="1032" width="3.7265625" style="21" customWidth="1"/>
    <col min="1033" max="1034" width="11.453125" style="21" customWidth="1"/>
    <col min="1035" max="1035" width="2.26953125" style="21" customWidth="1"/>
    <col min="1036" max="1036" width="3.7265625" style="21" customWidth="1"/>
    <col min="1037" max="1038" width="11.453125" style="21" customWidth="1"/>
    <col min="1039" max="1039" width="2.26953125" style="21" customWidth="1"/>
    <col min="1040" max="1042" width="11.453125" style="21" customWidth="1"/>
    <col min="1043" max="1043" width="2.26953125" style="21" customWidth="1"/>
    <col min="1044" max="1280" width="11.453125" style="21"/>
    <col min="1281" max="1282" width="11.453125" style="21" customWidth="1"/>
    <col min="1283" max="1283" width="8.453125" style="21" customWidth="1"/>
    <col min="1284" max="1284" width="3.1796875" style="21" customWidth="1"/>
    <col min="1285" max="1285" width="9.1796875" style="21" customWidth="1"/>
    <col min="1286" max="1286" width="11.453125" style="21" customWidth="1"/>
    <col min="1287" max="1287" width="2.26953125" style="21" customWidth="1"/>
    <col min="1288" max="1288" width="3.7265625" style="21" customWidth="1"/>
    <col min="1289" max="1290" width="11.453125" style="21" customWidth="1"/>
    <col min="1291" max="1291" width="2.26953125" style="21" customWidth="1"/>
    <col min="1292" max="1292" width="3.7265625" style="21" customWidth="1"/>
    <col min="1293" max="1294" width="11.453125" style="21" customWidth="1"/>
    <col min="1295" max="1295" width="2.26953125" style="21" customWidth="1"/>
    <col min="1296" max="1298" width="11.453125" style="21" customWidth="1"/>
    <col min="1299" max="1299" width="2.26953125" style="21" customWidth="1"/>
    <col min="1300" max="1536" width="11.453125" style="21"/>
    <col min="1537" max="1538" width="11.453125" style="21" customWidth="1"/>
    <col min="1539" max="1539" width="8.453125" style="21" customWidth="1"/>
    <col min="1540" max="1540" width="3.1796875" style="21" customWidth="1"/>
    <col min="1541" max="1541" width="9.1796875" style="21" customWidth="1"/>
    <col min="1542" max="1542" width="11.453125" style="21" customWidth="1"/>
    <col min="1543" max="1543" width="2.26953125" style="21" customWidth="1"/>
    <col min="1544" max="1544" width="3.7265625" style="21" customWidth="1"/>
    <col min="1545" max="1546" width="11.453125" style="21" customWidth="1"/>
    <col min="1547" max="1547" width="2.26953125" style="21" customWidth="1"/>
    <col min="1548" max="1548" width="3.7265625" style="21" customWidth="1"/>
    <col min="1549" max="1550" width="11.453125" style="21" customWidth="1"/>
    <col min="1551" max="1551" width="2.26953125" style="21" customWidth="1"/>
    <col min="1552" max="1554" width="11.453125" style="21" customWidth="1"/>
    <col min="1555" max="1555" width="2.26953125" style="21" customWidth="1"/>
    <col min="1556" max="1792" width="11.453125" style="21"/>
    <col min="1793" max="1794" width="11.453125" style="21" customWidth="1"/>
    <col min="1795" max="1795" width="8.453125" style="21" customWidth="1"/>
    <col min="1796" max="1796" width="3.1796875" style="21" customWidth="1"/>
    <col min="1797" max="1797" width="9.1796875" style="21" customWidth="1"/>
    <col min="1798" max="1798" width="11.453125" style="21" customWidth="1"/>
    <col min="1799" max="1799" width="2.26953125" style="21" customWidth="1"/>
    <col min="1800" max="1800" width="3.7265625" style="21" customWidth="1"/>
    <col min="1801" max="1802" width="11.453125" style="21" customWidth="1"/>
    <col min="1803" max="1803" width="2.26953125" style="21" customWidth="1"/>
    <col min="1804" max="1804" width="3.7265625" style="21" customWidth="1"/>
    <col min="1805" max="1806" width="11.453125" style="21" customWidth="1"/>
    <col min="1807" max="1807" width="2.26953125" style="21" customWidth="1"/>
    <col min="1808" max="1810" width="11.453125" style="21" customWidth="1"/>
    <col min="1811" max="1811" width="2.26953125" style="21" customWidth="1"/>
    <col min="1812" max="2048" width="11.453125" style="21"/>
    <col min="2049" max="2050" width="11.453125" style="21" customWidth="1"/>
    <col min="2051" max="2051" width="8.453125" style="21" customWidth="1"/>
    <col min="2052" max="2052" width="3.1796875" style="21" customWidth="1"/>
    <col min="2053" max="2053" width="9.1796875" style="21" customWidth="1"/>
    <col min="2054" max="2054" width="11.453125" style="21" customWidth="1"/>
    <col min="2055" max="2055" width="2.26953125" style="21" customWidth="1"/>
    <col min="2056" max="2056" width="3.7265625" style="21" customWidth="1"/>
    <col min="2057" max="2058" width="11.453125" style="21" customWidth="1"/>
    <col min="2059" max="2059" width="2.26953125" style="21" customWidth="1"/>
    <col min="2060" max="2060" width="3.7265625" style="21" customWidth="1"/>
    <col min="2061" max="2062" width="11.453125" style="21" customWidth="1"/>
    <col min="2063" max="2063" width="2.26953125" style="21" customWidth="1"/>
    <col min="2064" max="2066" width="11.453125" style="21" customWidth="1"/>
    <col min="2067" max="2067" width="2.26953125" style="21" customWidth="1"/>
    <col min="2068" max="2304" width="11.453125" style="21"/>
    <col min="2305" max="2306" width="11.453125" style="21" customWidth="1"/>
    <col min="2307" max="2307" width="8.453125" style="21" customWidth="1"/>
    <col min="2308" max="2308" width="3.1796875" style="21" customWidth="1"/>
    <col min="2309" max="2309" width="9.1796875" style="21" customWidth="1"/>
    <col min="2310" max="2310" width="11.453125" style="21" customWidth="1"/>
    <col min="2311" max="2311" width="2.26953125" style="21" customWidth="1"/>
    <col min="2312" max="2312" width="3.7265625" style="21" customWidth="1"/>
    <col min="2313" max="2314" width="11.453125" style="21" customWidth="1"/>
    <col min="2315" max="2315" width="2.26953125" style="21" customWidth="1"/>
    <col min="2316" max="2316" width="3.7265625" style="21" customWidth="1"/>
    <col min="2317" max="2318" width="11.453125" style="21" customWidth="1"/>
    <col min="2319" max="2319" width="2.26953125" style="21" customWidth="1"/>
    <col min="2320" max="2322" width="11.453125" style="21" customWidth="1"/>
    <col min="2323" max="2323" width="2.26953125" style="21" customWidth="1"/>
    <col min="2324" max="2560" width="11.453125" style="21"/>
    <col min="2561" max="2562" width="11.453125" style="21" customWidth="1"/>
    <col min="2563" max="2563" width="8.453125" style="21" customWidth="1"/>
    <col min="2564" max="2564" width="3.1796875" style="21" customWidth="1"/>
    <col min="2565" max="2565" width="9.1796875" style="21" customWidth="1"/>
    <col min="2566" max="2566" width="11.453125" style="21" customWidth="1"/>
    <col min="2567" max="2567" width="2.26953125" style="21" customWidth="1"/>
    <col min="2568" max="2568" width="3.7265625" style="21" customWidth="1"/>
    <col min="2569" max="2570" width="11.453125" style="21" customWidth="1"/>
    <col min="2571" max="2571" width="2.26953125" style="21" customWidth="1"/>
    <col min="2572" max="2572" width="3.7265625" style="21" customWidth="1"/>
    <col min="2573" max="2574" width="11.453125" style="21" customWidth="1"/>
    <col min="2575" max="2575" width="2.26953125" style="21" customWidth="1"/>
    <col min="2576" max="2578" width="11.453125" style="21" customWidth="1"/>
    <col min="2579" max="2579" width="2.26953125" style="21" customWidth="1"/>
    <col min="2580" max="2816" width="11.453125" style="21"/>
    <col min="2817" max="2818" width="11.453125" style="21" customWidth="1"/>
    <col min="2819" max="2819" width="8.453125" style="21" customWidth="1"/>
    <col min="2820" max="2820" width="3.1796875" style="21" customWidth="1"/>
    <col min="2821" max="2821" width="9.1796875" style="21" customWidth="1"/>
    <col min="2822" max="2822" width="11.453125" style="21" customWidth="1"/>
    <col min="2823" max="2823" width="2.26953125" style="21" customWidth="1"/>
    <col min="2824" max="2824" width="3.7265625" style="21" customWidth="1"/>
    <col min="2825" max="2826" width="11.453125" style="21" customWidth="1"/>
    <col min="2827" max="2827" width="2.26953125" style="21" customWidth="1"/>
    <col min="2828" max="2828" width="3.7265625" style="21" customWidth="1"/>
    <col min="2829" max="2830" width="11.453125" style="21" customWidth="1"/>
    <col min="2831" max="2831" width="2.26953125" style="21" customWidth="1"/>
    <col min="2832" max="2834" width="11.453125" style="21" customWidth="1"/>
    <col min="2835" max="2835" width="2.26953125" style="21" customWidth="1"/>
    <col min="2836" max="3072" width="11.453125" style="21"/>
    <col min="3073" max="3074" width="11.453125" style="21" customWidth="1"/>
    <col min="3075" max="3075" width="8.453125" style="21" customWidth="1"/>
    <col min="3076" max="3076" width="3.1796875" style="21" customWidth="1"/>
    <col min="3077" max="3077" width="9.1796875" style="21" customWidth="1"/>
    <col min="3078" max="3078" width="11.453125" style="21" customWidth="1"/>
    <col min="3079" max="3079" width="2.26953125" style="21" customWidth="1"/>
    <col min="3080" max="3080" width="3.7265625" style="21" customWidth="1"/>
    <col min="3081" max="3082" width="11.453125" style="21" customWidth="1"/>
    <col min="3083" max="3083" width="2.26953125" style="21" customWidth="1"/>
    <col min="3084" max="3084" width="3.7265625" style="21" customWidth="1"/>
    <col min="3085" max="3086" width="11.453125" style="21" customWidth="1"/>
    <col min="3087" max="3087" width="2.26953125" style="21" customWidth="1"/>
    <col min="3088" max="3090" width="11.453125" style="21" customWidth="1"/>
    <col min="3091" max="3091" width="2.26953125" style="21" customWidth="1"/>
    <col min="3092" max="3328" width="11.453125" style="21"/>
    <col min="3329" max="3330" width="11.453125" style="21" customWidth="1"/>
    <col min="3331" max="3331" width="8.453125" style="21" customWidth="1"/>
    <col min="3332" max="3332" width="3.1796875" style="21" customWidth="1"/>
    <col min="3333" max="3333" width="9.1796875" style="21" customWidth="1"/>
    <col min="3334" max="3334" width="11.453125" style="21" customWidth="1"/>
    <col min="3335" max="3335" width="2.26953125" style="21" customWidth="1"/>
    <col min="3336" max="3336" width="3.7265625" style="21" customWidth="1"/>
    <col min="3337" max="3338" width="11.453125" style="21" customWidth="1"/>
    <col min="3339" max="3339" width="2.26953125" style="21" customWidth="1"/>
    <col min="3340" max="3340" width="3.7265625" style="21" customWidth="1"/>
    <col min="3341" max="3342" width="11.453125" style="21" customWidth="1"/>
    <col min="3343" max="3343" width="2.26953125" style="21" customWidth="1"/>
    <col min="3344" max="3346" width="11.453125" style="21" customWidth="1"/>
    <col min="3347" max="3347" width="2.26953125" style="21" customWidth="1"/>
    <col min="3348" max="3584" width="11.453125" style="21"/>
    <col min="3585" max="3586" width="11.453125" style="21" customWidth="1"/>
    <col min="3587" max="3587" width="8.453125" style="21" customWidth="1"/>
    <col min="3588" max="3588" width="3.1796875" style="21" customWidth="1"/>
    <col min="3589" max="3589" width="9.1796875" style="21" customWidth="1"/>
    <col min="3590" max="3590" width="11.453125" style="21" customWidth="1"/>
    <col min="3591" max="3591" width="2.26953125" style="21" customWidth="1"/>
    <col min="3592" max="3592" width="3.7265625" style="21" customWidth="1"/>
    <col min="3593" max="3594" width="11.453125" style="21" customWidth="1"/>
    <col min="3595" max="3595" width="2.26953125" style="21" customWidth="1"/>
    <col min="3596" max="3596" width="3.7265625" style="21" customWidth="1"/>
    <col min="3597" max="3598" width="11.453125" style="21" customWidth="1"/>
    <col min="3599" max="3599" width="2.26953125" style="21" customWidth="1"/>
    <col min="3600" max="3602" width="11.453125" style="21" customWidth="1"/>
    <col min="3603" max="3603" width="2.26953125" style="21" customWidth="1"/>
    <col min="3604" max="3840" width="11.453125" style="21"/>
    <col min="3841" max="3842" width="11.453125" style="21" customWidth="1"/>
    <col min="3843" max="3843" width="8.453125" style="21" customWidth="1"/>
    <col min="3844" max="3844" width="3.1796875" style="21" customWidth="1"/>
    <col min="3845" max="3845" width="9.1796875" style="21" customWidth="1"/>
    <col min="3846" max="3846" width="11.453125" style="21" customWidth="1"/>
    <col min="3847" max="3847" width="2.26953125" style="21" customWidth="1"/>
    <col min="3848" max="3848" width="3.7265625" style="21" customWidth="1"/>
    <col min="3849" max="3850" width="11.453125" style="21" customWidth="1"/>
    <col min="3851" max="3851" width="2.26953125" style="21" customWidth="1"/>
    <col min="3852" max="3852" width="3.7265625" style="21" customWidth="1"/>
    <col min="3853" max="3854" width="11.453125" style="21" customWidth="1"/>
    <col min="3855" max="3855" width="2.26953125" style="21" customWidth="1"/>
    <col min="3856" max="3858" width="11.453125" style="21" customWidth="1"/>
    <col min="3859" max="3859" width="2.26953125" style="21" customWidth="1"/>
    <col min="3860" max="4096" width="11.453125" style="21"/>
    <col min="4097" max="4098" width="11.453125" style="21" customWidth="1"/>
    <col min="4099" max="4099" width="8.453125" style="21" customWidth="1"/>
    <col min="4100" max="4100" width="3.1796875" style="21" customWidth="1"/>
    <col min="4101" max="4101" width="9.1796875" style="21" customWidth="1"/>
    <col min="4102" max="4102" width="11.453125" style="21" customWidth="1"/>
    <col min="4103" max="4103" width="2.26953125" style="21" customWidth="1"/>
    <col min="4104" max="4104" width="3.7265625" style="21" customWidth="1"/>
    <col min="4105" max="4106" width="11.453125" style="21" customWidth="1"/>
    <col min="4107" max="4107" width="2.26953125" style="21" customWidth="1"/>
    <col min="4108" max="4108" width="3.7265625" style="21" customWidth="1"/>
    <col min="4109" max="4110" width="11.453125" style="21" customWidth="1"/>
    <col min="4111" max="4111" width="2.26953125" style="21" customWidth="1"/>
    <col min="4112" max="4114" width="11.453125" style="21" customWidth="1"/>
    <col min="4115" max="4115" width="2.26953125" style="21" customWidth="1"/>
    <col min="4116" max="4352" width="11.453125" style="21"/>
    <col min="4353" max="4354" width="11.453125" style="21" customWidth="1"/>
    <col min="4355" max="4355" width="8.453125" style="21" customWidth="1"/>
    <col min="4356" max="4356" width="3.1796875" style="21" customWidth="1"/>
    <col min="4357" max="4357" width="9.1796875" style="21" customWidth="1"/>
    <col min="4358" max="4358" width="11.453125" style="21" customWidth="1"/>
    <col min="4359" max="4359" width="2.26953125" style="21" customWidth="1"/>
    <col min="4360" max="4360" width="3.7265625" style="21" customWidth="1"/>
    <col min="4361" max="4362" width="11.453125" style="21" customWidth="1"/>
    <col min="4363" max="4363" width="2.26953125" style="21" customWidth="1"/>
    <col min="4364" max="4364" width="3.7265625" style="21" customWidth="1"/>
    <col min="4365" max="4366" width="11.453125" style="21" customWidth="1"/>
    <col min="4367" max="4367" width="2.26953125" style="21" customWidth="1"/>
    <col min="4368" max="4370" width="11.453125" style="21" customWidth="1"/>
    <col min="4371" max="4371" width="2.26953125" style="21" customWidth="1"/>
    <col min="4372" max="4608" width="11.453125" style="21"/>
    <col min="4609" max="4610" width="11.453125" style="21" customWidth="1"/>
    <col min="4611" max="4611" width="8.453125" style="21" customWidth="1"/>
    <col min="4612" max="4612" width="3.1796875" style="21" customWidth="1"/>
    <col min="4613" max="4613" width="9.1796875" style="21" customWidth="1"/>
    <col min="4614" max="4614" width="11.453125" style="21" customWidth="1"/>
    <col min="4615" max="4615" width="2.26953125" style="21" customWidth="1"/>
    <col min="4616" max="4616" width="3.7265625" style="21" customWidth="1"/>
    <col min="4617" max="4618" width="11.453125" style="21" customWidth="1"/>
    <col min="4619" max="4619" width="2.26953125" style="21" customWidth="1"/>
    <col min="4620" max="4620" width="3.7265625" style="21" customWidth="1"/>
    <col min="4621" max="4622" width="11.453125" style="21" customWidth="1"/>
    <col min="4623" max="4623" width="2.26953125" style="21" customWidth="1"/>
    <col min="4624" max="4626" width="11.453125" style="21" customWidth="1"/>
    <col min="4627" max="4627" width="2.26953125" style="21" customWidth="1"/>
    <col min="4628" max="4864" width="11.453125" style="21"/>
    <col min="4865" max="4866" width="11.453125" style="21" customWidth="1"/>
    <col min="4867" max="4867" width="8.453125" style="21" customWidth="1"/>
    <col min="4868" max="4868" width="3.1796875" style="21" customWidth="1"/>
    <col min="4869" max="4869" width="9.1796875" style="21" customWidth="1"/>
    <col min="4870" max="4870" width="11.453125" style="21" customWidth="1"/>
    <col min="4871" max="4871" width="2.26953125" style="21" customWidth="1"/>
    <col min="4872" max="4872" width="3.7265625" style="21" customWidth="1"/>
    <col min="4873" max="4874" width="11.453125" style="21" customWidth="1"/>
    <col min="4875" max="4875" width="2.26953125" style="21" customWidth="1"/>
    <col min="4876" max="4876" width="3.7265625" style="21" customWidth="1"/>
    <col min="4877" max="4878" width="11.453125" style="21" customWidth="1"/>
    <col min="4879" max="4879" width="2.26953125" style="21" customWidth="1"/>
    <col min="4880" max="4882" width="11.453125" style="21" customWidth="1"/>
    <col min="4883" max="4883" width="2.26953125" style="21" customWidth="1"/>
    <col min="4884" max="5120" width="11.453125" style="21"/>
    <col min="5121" max="5122" width="11.453125" style="21" customWidth="1"/>
    <col min="5123" max="5123" width="8.453125" style="21" customWidth="1"/>
    <col min="5124" max="5124" width="3.1796875" style="21" customWidth="1"/>
    <col min="5125" max="5125" width="9.1796875" style="21" customWidth="1"/>
    <col min="5126" max="5126" width="11.453125" style="21" customWidth="1"/>
    <col min="5127" max="5127" width="2.26953125" style="21" customWidth="1"/>
    <col min="5128" max="5128" width="3.7265625" style="21" customWidth="1"/>
    <col min="5129" max="5130" width="11.453125" style="21" customWidth="1"/>
    <col min="5131" max="5131" width="2.26953125" style="21" customWidth="1"/>
    <col min="5132" max="5132" width="3.7265625" style="21" customWidth="1"/>
    <col min="5133" max="5134" width="11.453125" style="21" customWidth="1"/>
    <col min="5135" max="5135" width="2.26953125" style="21" customWidth="1"/>
    <col min="5136" max="5138" width="11.453125" style="21" customWidth="1"/>
    <col min="5139" max="5139" width="2.26953125" style="21" customWidth="1"/>
    <col min="5140" max="5376" width="11.453125" style="21"/>
    <col min="5377" max="5378" width="11.453125" style="21" customWidth="1"/>
    <col min="5379" max="5379" width="8.453125" style="21" customWidth="1"/>
    <col min="5380" max="5380" width="3.1796875" style="21" customWidth="1"/>
    <col min="5381" max="5381" width="9.1796875" style="21" customWidth="1"/>
    <col min="5382" max="5382" width="11.453125" style="21" customWidth="1"/>
    <col min="5383" max="5383" width="2.26953125" style="21" customWidth="1"/>
    <col min="5384" max="5384" width="3.7265625" style="21" customWidth="1"/>
    <col min="5385" max="5386" width="11.453125" style="21" customWidth="1"/>
    <col min="5387" max="5387" width="2.26953125" style="21" customWidth="1"/>
    <col min="5388" max="5388" width="3.7265625" style="21" customWidth="1"/>
    <col min="5389" max="5390" width="11.453125" style="21" customWidth="1"/>
    <col min="5391" max="5391" width="2.26953125" style="21" customWidth="1"/>
    <col min="5392" max="5394" width="11.453125" style="21" customWidth="1"/>
    <col min="5395" max="5395" width="2.26953125" style="21" customWidth="1"/>
    <col min="5396" max="5632" width="11.453125" style="21"/>
    <col min="5633" max="5634" width="11.453125" style="21" customWidth="1"/>
    <col min="5635" max="5635" width="8.453125" style="21" customWidth="1"/>
    <col min="5636" max="5636" width="3.1796875" style="21" customWidth="1"/>
    <col min="5637" max="5637" width="9.1796875" style="21" customWidth="1"/>
    <col min="5638" max="5638" width="11.453125" style="21" customWidth="1"/>
    <col min="5639" max="5639" width="2.26953125" style="21" customWidth="1"/>
    <col min="5640" max="5640" width="3.7265625" style="21" customWidth="1"/>
    <col min="5641" max="5642" width="11.453125" style="21" customWidth="1"/>
    <col min="5643" max="5643" width="2.26953125" style="21" customWidth="1"/>
    <col min="5644" max="5644" width="3.7265625" style="21" customWidth="1"/>
    <col min="5645" max="5646" width="11.453125" style="21" customWidth="1"/>
    <col min="5647" max="5647" width="2.26953125" style="21" customWidth="1"/>
    <col min="5648" max="5650" width="11.453125" style="21" customWidth="1"/>
    <col min="5651" max="5651" width="2.26953125" style="21" customWidth="1"/>
    <col min="5652" max="5888" width="11.453125" style="21"/>
    <col min="5889" max="5890" width="11.453125" style="21" customWidth="1"/>
    <col min="5891" max="5891" width="8.453125" style="21" customWidth="1"/>
    <col min="5892" max="5892" width="3.1796875" style="21" customWidth="1"/>
    <col min="5893" max="5893" width="9.1796875" style="21" customWidth="1"/>
    <col min="5894" max="5894" width="11.453125" style="21" customWidth="1"/>
    <col min="5895" max="5895" width="2.26953125" style="21" customWidth="1"/>
    <col min="5896" max="5896" width="3.7265625" style="21" customWidth="1"/>
    <col min="5897" max="5898" width="11.453125" style="21" customWidth="1"/>
    <col min="5899" max="5899" width="2.26953125" style="21" customWidth="1"/>
    <col min="5900" max="5900" width="3.7265625" style="21" customWidth="1"/>
    <col min="5901" max="5902" width="11.453125" style="21" customWidth="1"/>
    <col min="5903" max="5903" width="2.26953125" style="21" customWidth="1"/>
    <col min="5904" max="5906" width="11.453125" style="21" customWidth="1"/>
    <col min="5907" max="5907" width="2.26953125" style="21" customWidth="1"/>
    <col min="5908" max="6144" width="11.453125" style="21"/>
    <col min="6145" max="6146" width="11.453125" style="21" customWidth="1"/>
    <col min="6147" max="6147" width="8.453125" style="21" customWidth="1"/>
    <col min="6148" max="6148" width="3.1796875" style="21" customWidth="1"/>
    <col min="6149" max="6149" width="9.1796875" style="21" customWidth="1"/>
    <col min="6150" max="6150" width="11.453125" style="21" customWidth="1"/>
    <col min="6151" max="6151" width="2.26953125" style="21" customWidth="1"/>
    <col min="6152" max="6152" width="3.7265625" style="21" customWidth="1"/>
    <col min="6153" max="6154" width="11.453125" style="21" customWidth="1"/>
    <col min="6155" max="6155" width="2.26953125" style="21" customWidth="1"/>
    <col min="6156" max="6156" width="3.7265625" style="21" customWidth="1"/>
    <col min="6157" max="6158" width="11.453125" style="21" customWidth="1"/>
    <col min="6159" max="6159" width="2.26953125" style="21" customWidth="1"/>
    <col min="6160" max="6162" width="11.453125" style="21" customWidth="1"/>
    <col min="6163" max="6163" width="2.26953125" style="21" customWidth="1"/>
    <col min="6164" max="6400" width="11.453125" style="21"/>
    <col min="6401" max="6402" width="11.453125" style="21" customWidth="1"/>
    <col min="6403" max="6403" width="8.453125" style="21" customWidth="1"/>
    <col min="6404" max="6404" width="3.1796875" style="21" customWidth="1"/>
    <col min="6405" max="6405" width="9.1796875" style="21" customWidth="1"/>
    <col min="6406" max="6406" width="11.453125" style="21" customWidth="1"/>
    <col min="6407" max="6407" width="2.26953125" style="21" customWidth="1"/>
    <col min="6408" max="6408" width="3.7265625" style="21" customWidth="1"/>
    <col min="6409" max="6410" width="11.453125" style="21" customWidth="1"/>
    <col min="6411" max="6411" width="2.26953125" style="21" customWidth="1"/>
    <col min="6412" max="6412" width="3.7265625" style="21" customWidth="1"/>
    <col min="6413" max="6414" width="11.453125" style="21" customWidth="1"/>
    <col min="6415" max="6415" width="2.26953125" style="21" customWidth="1"/>
    <col min="6416" max="6418" width="11.453125" style="21" customWidth="1"/>
    <col min="6419" max="6419" width="2.26953125" style="21" customWidth="1"/>
    <col min="6420" max="6656" width="11.453125" style="21"/>
    <col min="6657" max="6658" width="11.453125" style="21" customWidth="1"/>
    <col min="6659" max="6659" width="8.453125" style="21" customWidth="1"/>
    <col min="6660" max="6660" width="3.1796875" style="21" customWidth="1"/>
    <col min="6661" max="6661" width="9.1796875" style="21" customWidth="1"/>
    <col min="6662" max="6662" width="11.453125" style="21" customWidth="1"/>
    <col min="6663" max="6663" width="2.26953125" style="21" customWidth="1"/>
    <col min="6664" max="6664" width="3.7265625" style="21" customWidth="1"/>
    <col min="6665" max="6666" width="11.453125" style="21" customWidth="1"/>
    <col min="6667" max="6667" width="2.26953125" style="21" customWidth="1"/>
    <col min="6668" max="6668" width="3.7265625" style="21" customWidth="1"/>
    <col min="6669" max="6670" width="11.453125" style="21" customWidth="1"/>
    <col min="6671" max="6671" width="2.26953125" style="21" customWidth="1"/>
    <col min="6672" max="6674" width="11.453125" style="21" customWidth="1"/>
    <col min="6675" max="6675" width="2.26953125" style="21" customWidth="1"/>
    <col min="6676" max="6912" width="11.453125" style="21"/>
    <col min="6913" max="6914" width="11.453125" style="21" customWidth="1"/>
    <col min="6915" max="6915" width="8.453125" style="21" customWidth="1"/>
    <col min="6916" max="6916" width="3.1796875" style="21" customWidth="1"/>
    <col min="6917" max="6917" width="9.1796875" style="21" customWidth="1"/>
    <col min="6918" max="6918" width="11.453125" style="21" customWidth="1"/>
    <col min="6919" max="6919" width="2.26953125" style="21" customWidth="1"/>
    <col min="6920" max="6920" width="3.7265625" style="21" customWidth="1"/>
    <col min="6921" max="6922" width="11.453125" style="21" customWidth="1"/>
    <col min="6923" max="6923" width="2.26953125" style="21" customWidth="1"/>
    <col min="6924" max="6924" width="3.7265625" style="21" customWidth="1"/>
    <col min="6925" max="6926" width="11.453125" style="21" customWidth="1"/>
    <col min="6927" max="6927" width="2.26953125" style="21" customWidth="1"/>
    <col min="6928" max="6930" width="11.453125" style="21" customWidth="1"/>
    <col min="6931" max="6931" width="2.26953125" style="21" customWidth="1"/>
    <col min="6932" max="7168" width="11.453125" style="21"/>
    <col min="7169" max="7170" width="11.453125" style="21" customWidth="1"/>
    <col min="7171" max="7171" width="8.453125" style="21" customWidth="1"/>
    <col min="7172" max="7172" width="3.1796875" style="21" customWidth="1"/>
    <col min="7173" max="7173" width="9.1796875" style="21" customWidth="1"/>
    <col min="7174" max="7174" width="11.453125" style="21" customWidth="1"/>
    <col min="7175" max="7175" width="2.26953125" style="21" customWidth="1"/>
    <col min="7176" max="7176" width="3.7265625" style="21" customWidth="1"/>
    <col min="7177" max="7178" width="11.453125" style="21" customWidth="1"/>
    <col min="7179" max="7179" width="2.26953125" style="21" customWidth="1"/>
    <col min="7180" max="7180" width="3.7265625" style="21" customWidth="1"/>
    <col min="7181" max="7182" width="11.453125" style="21" customWidth="1"/>
    <col min="7183" max="7183" width="2.26953125" style="21" customWidth="1"/>
    <col min="7184" max="7186" width="11.453125" style="21" customWidth="1"/>
    <col min="7187" max="7187" width="2.26953125" style="21" customWidth="1"/>
    <col min="7188" max="7424" width="11.453125" style="21"/>
    <col min="7425" max="7426" width="11.453125" style="21" customWidth="1"/>
    <col min="7427" max="7427" width="8.453125" style="21" customWidth="1"/>
    <col min="7428" max="7428" width="3.1796875" style="21" customWidth="1"/>
    <col min="7429" max="7429" width="9.1796875" style="21" customWidth="1"/>
    <col min="7430" max="7430" width="11.453125" style="21" customWidth="1"/>
    <col min="7431" max="7431" width="2.26953125" style="21" customWidth="1"/>
    <col min="7432" max="7432" width="3.7265625" style="21" customWidth="1"/>
    <col min="7433" max="7434" width="11.453125" style="21" customWidth="1"/>
    <col min="7435" max="7435" width="2.26953125" style="21" customWidth="1"/>
    <col min="7436" max="7436" width="3.7265625" style="21" customWidth="1"/>
    <col min="7437" max="7438" width="11.453125" style="21" customWidth="1"/>
    <col min="7439" max="7439" width="2.26953125" style="21" customWidth="1"/>
    <col min="7440" max="7442" width="11.453125" style="21" customWidth="1"/>
    <col min="7443" max="7443" width="2.26953125" style="21" customWidth="1"/>
    <col min="7444" max="7680" width="11.453125" style="21"/>
    <col min="7681" max="7682" width="11.453125" style="21" customWidth="1"/>
    <col min="7683" max="7683" width="8.453125" style="21" customWidth="1"/>
    <col min="7684" max="7684" width="3.1796875" style="21" customWidth="1"/>
    <col min="7685" max="7685" width="9.1796875" style="21" customWidth="1"/>
    <col min="7686" max="7686" width="11.453125" style="21" customWidth="1"/>
    <col min="7687" max="7687" width="2.26953125" style="21" customWidth="1"/>
    <col min="7688" max="7688" width="3.7265625" style="21" customWidth="1"/>
    <col min="7689" max="7690" width="11.453125" style="21" customWidth="1"/>
    <col min="7691" max="7691" width="2.26953125" style="21" customWidth="1"/>
    <col min="7692" max="7692" width="3.7265625" style="21" customWidth="1"/>
    <col min="7693" max="7694" width="11.453125" style="21" customWidth="1"/>
    <col min="7695" max="7695" width="2.26953125" style="21" customWidth="1"/>
    <col min="7696" max="7698" width="11.453125" style="21" customWidth="1"/>
    <col min="7699" max="7699" width="2.26953125" style="21" customWidth="1"/>
    <col min="7700" max="7936" width="11.453125" style="21"/>
    <col min="7937" max="7938" width="11.453125" style="21" customWidth="1"/>
    <col min="7939" max="7939" width="8.453125" style="21" customWidth="1"/>
    <col min="7940" max="7940" width="3.1796875" style="21" customWidth="1"/>
    <col min="7941" max="7941" width="9.1796875" style="21" customWidth="1"/>
    <col min="7942" max="7942" width="11.453125" style="21" customWidth="1"/>
    <col min="7943" max="7943" width="2.26953125" style="21" customWidth="1"/>
    <col min="7944" max="7944" width="3.7265625" style="21" customWidth="1"/>
    <col min="7945" max="7946" width="11.453125" style="21" customWidth="1"/>
    <col min="7947" max="7947" width="2.26953125" style="21" customWidth="1"/>
    <col min="7948" max="7948" width="3.7265625" style="21" customWidth="1"/>
    <col min="7949" max="7950" width="11.453125" style="21" customWidth="1"/>
    <col min="7951" max="7951" width="2.26953125" style="21" customWidth="1"/>
    <col min="7952" max="7954" width="11.453125" style="21" customWidth="1"/>
    <col min="7955" max="7955" width="2.26953125" style="21" customWidth="1"/>
    <col min="7956" max="8192" width="11.453125" style="21"/>
    <col min="8193" max="8194" width="11.453125" style="21" customWidth="1"/>
    <col min="8195" max="8195" width="8.453125" style="21" customWidth="1"/>
    <col min="8196" max="8196" width="3.1796875" style="21" customWidth="1"/>
    <col min="8197" max="8197" width="9.1796875" style="21" customWidth="1"/>
    <col min="8198" max="8198" width="11.453125" style="21" customWidth="1"/>
    <col min="8199" max="8199" width="2.26953125" style="21" customWidth="1"/>
    <col min="8200" max="8200" width="3.7265625" style="21" customWidth="1"/>
    <col min="8201" max="8202" width="11.453125" style="21" customWidth="1"/>
    <col min="8203" max="8203" width="2.26953125" style="21" customWidth="1"/>
    <col min="8204" max="8204" width="3.7265625" style="21" customWidth="1"/>
    <col min="8205" max="8206" width="11.453125" style="21" customWidth="1"/>
    <col min="8207" max="8207" width="2.26953125" style="21" customWidth="1"/>
    <col min="8208" max="8210" width="11.453125" style="21" customWidth="1"/>
    <col min="8211" max="8211" width="2.26953125" style="21" customWidth="1"/>
    <col min="8212" max="8448" width="11.453125" style="21"/>
    <col min="8449" max="8450" width="11.453125" style="21" customWidth="1"/>
    <col min="8451" max="8451" width="8.453125" style="21" customWidth="1"/>
    <col min="8452" max="8452" width="3.1796875" style="21" customWidth="1"/>
    <col min="8453" max="8453" width="9.1796875" style="21" customWidth="1"/>
    <col min="8454" max="8454" width="11.453125" style="21" customWidth="1"/>
    <col min="8455" max="8455" width="2.26953125" style="21" customWidth="1"/>
    <col min="8456" max="8456" width="3.7265625" style="21" customWidth="1"/>
    <col min="8457" max="8458" width="11.453125" style="21" customWidth="1"/>
    <col min="8459" max="8459" width="2.26953125" style="21" customWidth="1"/>
    <col min="8460" max="8460" width="3.7265625" style="21" customWidth="1"/>
    <col min="8461" max="8462" width="11.453125" style="21" customWidth="1"/>
    <col min="8463" max="8463" width="2.26953125" style="21" customWidth="1"/>
    <col min="8464" max="8466" width="11.453125" style="21" customWidth="1"/>
    <col min="8467" max="8467" width="2.26953125" style="21" customWidth="1"/>
    <col min="8468" max="8704" width="11.453125" style="21"/>
    <col min="8705" max="8706" width="11.453125" style="21" customWidth="1"/>
    <col min="8707" max="8707" width="8.453125" style="21" customWidth="1"/>
    <col min="8708" max="8708" width="3.1796875" style="21" customWidth="1"/>
    <col min="8709" max="8709" width="9.1796875" style="21" customWidth="1"/>
    <col min="8710" max="8710" width="11.453125" style="21" customWidth="1"/>
    <col min="8711" max="8711" width="2.26953125" style="21" customWidth="1"/>
    <col min="8712" max="8712" width="3.7265625" style="21" customWidth="1"/>
    <col min="8713" max="8714" width="11.453125" style="21" customWidth="1"/>
    <col min="8715" max="8715" width="2.26953125" style="21" customWidth="1"/>
    <col min="8716" max="8716" width="3.7265625" style="21" customWidth="1"/>
    <col min="8717" max="8718" width="11.453125" style="21" customWidth="1"/>
    <col min="8719" max="8719" width="2.26953125" style="21" customWidth="1"/>
    <col min="8720" max="8722" width="11.453125" style="21" customWidth="1"/>
    <col min="8723" max="8723" width="2.26953125" style="21" customWidth="1"/>
    <col min="8724" max="8960" width="11.453125" style="21"/>
    <col min="8961" max="8962" width="11.453125" style="21" customWidth="1"/>
    <col min="8963" max="8963" width="8.453125" style="21" customWidth="1"/>
    <col min="8964" max="8964" width="3.1796875" style="21" customWidth="1"/>
    <col min="8965" max="8965" width="9.1796875" style="21" customWidth="1"/>
    <col min="8966" max="8966" width="11.453125" style="21" customWidth="1"/>
    <col min="8967" max="8967" width="2.26953125" style="21" customWidth="1"/>
    <col min="8968" max="8968" width="3.7265625" style="21" customWidth="1"/>
    <col min="8969" max="8970" width="11.453125" style="21" customWidth="1"/>
    <col min="8971" max="8971" width="2.26953125" style="21" customWidth="1"/>
    <col min="8972" max="8972" width="3.7265625" style="21" customWidth="1"/>
    <col min="8973" max="8974" width="11.453125" style="21" customWidth="1"/>
    <col min="8975" max="8975" width="2.26953125" style="21" customWidth="1"/>
    <col min="8976" max="8978" width="11.453125" style="21" customWidth="1"/>
    <col min="8979" max="8979" width="2.26953125" style="21" customWidth="1"/>
    <col min="8980" max="9216" width="11.453125" style="21"/>
    <col min="9217" max="9218" width="11.453125" style="21" customWidth="1"/>
    <col min="9219" max="9219" width="8.453125" style="21" customWidth="1"/>
    <col min="9220" max="9220" width="3.1796875" style="21" customWidth="1"/>
    <col min="9221" max="9221" width="9.1796875" style="21" customWidth="1"/>
    <col min="9222" max="9222" width="11.453125" style="21" customWidth="1"/>
    <col min="9223" max="9223" width="2.26953125" style="21" customWidth="1"/>
    <col min="9224" max="9224" width="3.7265625" style="21" customWidth="1"/>
    <col min="9225" max="9226" width="11.453125" style="21" customWidth="1"/>
    <col min="9227" max="9227" width="2.26953125" style="21" customWidth="1"/>
    <col min="9228" max="9228" width="3.7265625" style="21" customWidth="1"/>
    <col min="9229" max="9230" width="11.453125" style="21" customWidth="1"/>
    <col min="9231" max="9231" width="2.26953125" style="21" customWidth="1"/>
    <col min="9232" max="9234" width="11.453125" style="21" customWidth="1"/>
    <col min="9235" max="9235" width="2.26953125" style="21" customWidth="1"/>
    <col min="9236" max="9472" width="11.453125" style="21"/>
    <col min="9473" max="9474" width="11.453125" style="21" customWidth="1"/>
    <col min="9475" max="9475" width="8.453125" style="21" customWidth="1"/>
    <col min="9476" max="9476" width="3.1796875" style="21" customWidth="1"/>
    <col min="9477" max="9477" width="9.1796875" style="21" customWidth="1"/>
    <col min="9478" max="9478" width="11.453125" style="21" customWidth="1"/>
    <col min="9479" max="9479" width="2.26953125" style="21" customWidth="1"/>
    <col min="9480" max="9480" width="3.7265625" style="21" customWidth="1"/>
    <col min="9481" max="9482" width="11.453125" style="21" customWidth="1"/>
    <col min="9483" max="9483" width="2.26953125" style="21" customWidth="1"/>
    <col min="9484" max="9484" width="3.7265625" style="21" customWidth="1"/>
    <col min="9485" max="9486" width="11.453125" style="21" customWidth="1"/>
    <col min="9487" max="9487" width="2.26953125" style="21" customWidth="1"/>
    <col min="9488" max="9490" width="11.453125" style="21" customWidth="1"/>
    <col min="9491" max="9491" width="2.26953125" style="21" customWidth="1"/>
    <col min="9492" max="9728" width="11.453125" style="21"/>
    <col min="9729" max="9730" width="11.453125" style="21" customWidth="1"/>
    <col min="9731" max="9731" width="8.453125" style="21" customWidth="1"/>
    <col min="9732" max="9732" width="3.1796875" style="21" customWidth="1"/>
    <col min="9733" max="9733" width="9.1796875" style="21" customWidth="1"/>
    <col min="9734" max="9734" width="11.453125" style="21" customWidth="1"/>
    <col min="9735" max="9735" width="2.26953125" style="21" customWidth="1"/>
    <col min="9736" max="9736" width="3.7265625" style="21" customWidth="1"/>
    <col min="9737" max="9738" width="11.453125" style="21" customWidth="1"/>
    <col min="9739" max="9739" width="2.26953125" style="21" customWidth="1"/>
    <col min="9740" max="9740" width="3.7265625" style="21" customWidth="1"/>
    <col min="9741" max="9742" width="11.453125" style="21" customWidth="1"/>
    <col min="9743" max="9743" width="2.26953125" style="21" customWidth="1"/>
    <col min="9744" max="9746" width="11.453125" style="21" customWidth="1"/>
    <col min="9747" max="9747" width="2.26953125" style="21" customWidth="1"/>
    <col min="9748" max="9984" width="11.453125" style="21"/>
    <col min="9985" max="9986" width="11.453125" style="21" customWidth="1"/>
    <col min="9987" max="9987" width="8.453125" style="21" customWidth="1"/>
    <col min="9988" max="9988" width="3.1796875" style="21" customWidth="1"/>
    <col min="9989" max="9989" width="9.1796875" style="21" customWidth="1"/>
    <col min="9990" max="9990" width="11.453125" style="21" customWidth="1"/>
    <col min="9991" max="9991" width="2.26953125" style="21" customWidth="1"/>
    <col min="9992" max="9992" width="3.7265625" style="21" customWidth="1"/>
    <col min="9993" max="9994" width="11.453125" style="21" customWidth="1"/>
    <col min="9995" max="9995" width="2.26953125" style="21" customWidth="1"/>
    <col min="9996" max="9996" width="3.7265625" style="21" customWidth="1"/>
    <col min="9997" max="9998" width="11.453125" style="21" customWidth="1"/>
    <col min="9999" max="9999" width="2.26953125" style="21" customWidth="1"/>
    <col min="10000" max="10002" width="11.453125" style="21" customWidth="1"/>
    <col min="10003" max="10003" width="2.26953125" style="21" customWidth="1"/>
    <col min="10004" max="10240" width="11.453125" style="21"/>
    <col min="10241" max="10242" width="11.453125" style="21" customWidth="1"/>
    <col min="10243" max="10243" width="8.453125" style="21" customWidth="1"/>
    <col min="10244" max="10244" width="3.1796875" style="21" customWidth="1"/>
    <col min="10245" max="10245" width="9.1796875" style="21" customWidth="1"/>
    <col min="10246" max="10246" width="11.453125" style="21" customWidth="1"/>
    <col min="10247" max="10247" width="2.26953125" style="21" customWidth="1"/>
    <col min="10248" max="10248" width="3.7265625" style="21" customWidth="1"/>
    <col min="10249" max="10250" width="11.453125" style="21" customWidth="1"/>
    <col min="10251" max="10251" width="2.26953125" style="21" customWidth="1"/>
    <col min="10252" max="10252" width="3.7265625" style="21" customWidth="1"/>
    <col min="10253" max="10254" width="11.453125" style="21" customWidth="1"/>
    <col min="10255" max="10255" width="2.26953125" style="21" customWidth="1"/>
    <col min="10256" max="10258" width="11.453125" style="21" customWidth="1"/>
    <col min="10259" max="10259" width="2.26953125" style="21" customWidth="1"/>
    <col min="10260" max="10496" width="11.453125" style="21"/>
    <col min="10497" max="10498" width="11.453125" style="21" customWidth="1"/>
    <col min="10499" max="10499" width="8.453125" style="21" customWidth="1"/>
    <col min="10500" max="10500" width="3.1796875" style="21" customWidth="1"/>
    <col min="10501" max="10501" width="9.1796875" style="21" customWidth="1"/>
    <col min="10502" max="10502" width="11.453125" style="21" customWidth="1"/>
    <col min="10503" max="10503" width="2.26953125" style="21" customWidth="1"/>
    <col min="10504" max="10504" width="3.7265625" style="21" customWidth="1"/>
    <col min="10505" max="10506" width="11.453125" style="21" customWidth="1"/>
    <col min="10507" max="10507" width="2.26953125" style="21" customWidth="1"/>
    <col min="10508" max="10508" width="3.7265625" style="21" customWidth="1"/>
    <col min="10509" max="10510" width="11.453125" style="21" customWidth="1"/>
    <col min="10511" max="10511" width="2.26953125" style="21" customWidth="1"/>
    <col min="10512" max="10514" width="11.453125" style="21" customWidth="1"/>
    <col min="10515" max="10515" width="2.26953125" style="21" customWidth="1"/>
    <col min="10516" max="10752" width="11.453125" style="21"/>
    <col min="10753" max="10754" width="11.453125" style="21" customWidth="1"/>
    <col min="10755" max="10755" width="8.453125" style="21" customWidth="1"/>
    <col min="10756" max="10756" width="3.1796875" style="21" customWidth="1"/>
    <col min="10757" max="10757" width="9.1796875" style="21" customWidth="1"/>
    <col min="10758" max="10758" width="11.453125" style="21" customWidth="1"/>
    <col min="10759" max="10759" width="2.26953125" style="21" customWidth="1"/>
    <col min="10760" max="10760" width="3.7265625" style="21" customWidth="1"/>
    <col min="10761" max="10762" width="11.453125" style="21" customWidth="1"/>
    <col min="10763" max="10763" width="2.26953125" style="21" customWidth="1"/>
    <col min="10764" max="10764" width="3.7265625" style="21" customWidth="1"/>
    <col min="10765" max="10766" width="11.453125" style="21" customWidth="1"/>
    <col min="10767" max="10767" width="2.26953125" style="21" customWidth="1"/>
    <col min="10768" max="10770" width="11.453125" style="21" customWidth="1"/>
    <col min="10771" max="10771" width="2.26953125" style="21" customWidth="1"/>
    <col min="10772" max="11008" width="11.453125" style="21"/>
    <col min="11009" max="11010" width="11.453125" style="21" customWidth="1"/>
    <col min="11011" max="11011" width="8.453125" style="21" customWidth="1"/>
    <col min="11012" max="11012" width="3.1796875" style="21" customWidth="1"/>
    <col min="11013" max="11013" width="9.1796875" style="21" customWidth="1"/>
    <col min="11014" max="11014" width="11.453125" style="21" customWidth="1"/>
    <col min="11015" max="11015" width="2.26953125" style="21" customWidth="1"/>
    <col min="11016" max="11016" width="3.7265625" style="21" customWidth="1"/>
    <col min="11017" max="11018" width="11.453125" style="21" customWidth="1"/>
    <col min="11019" max="11019" width="2.26953125" style="21" customWidth="1"/>
    <col min="11020" max="11020" width="3.7265625" style="21" customWidth="1"/>
    <col min="11021" max="11022" width="11.453125" style="21" customWidth="1"/>
    <col min="11023" max="11023" width="2.26953125" style="21" customWidth="1"/>
    <col min="11024" max="11026" width="11.453125" style="21" customWidth="1"/>
    <col min="11027" max="11027" width="2.26953125" style="21" customWidth="1"/>
    <col min="11028" max="11264" width="11.453125" style="21"/>
    <col min="11265" max="11266" width="11.453125" style="21" customWidth="1"/>
    <col min="11267" max="11267" width="8.453125" style="21" customWidth="1"/>
    <col min="11268" max="11268" width="3.1796875" style="21" customWidth="1"/>
    <col min="11269" max="11269" width="9.1796875" style="21" customWidth="1"/>
    <col min="11270" max="11270" width="11.453125" style="21" customWidth="1"/>
    <col min="11271" max="11271" width="2.26953125" style="21" customWidth="1"/>
    <col min="11272" max="11272" width="3.7265625" style="21" customWidth="1"/>
    <col min="11273" max="11274" width="11.453125" style="21" customWidth="1"/>
    <col min="11275" max="11275" width="2.26953125" style="21" customWidth="1"/>
    <col min="11276" max="11276" width="3.7265625" style="21" customWidth="1"/>
    <col min="11277" max="11278" width="11.453125" style="21" customWidth="1"/>
    <col min="11279" max="11279" width="2.26953125" style="21" customWidth="1"/>
    <col min="11280" max="11282" width="11.453125" style="21" customWidth="1"/>
    <col min="11283" max="11283" width="2.26953125" style="21" customWidth="1"/>
    <col min="11284" max="11520" width="11.453125" style="21"/>
    <col min="11521" max="11522" width="11.453125" style="21" customWidth="1"/>
    <col min="11523" max="11523" width="8.453125" style="21" customWidth="1"/>
    <col min="11524" max="11524" width="3.1796875" style="21" customWidth="1"/>
    <col min="11525" max="11525" width="9.1796875" style="21" customWidth="1"/>
    <col min="11526" max="11526" width="11.453125" style="21" customWidth="1"/>
    <col min="11527" max="11527" width="2.26953125" style="21" customWidth="1"/>
    <col min="11528" max="11528" width="3.7265625" style="21" customWidth="1"/>
    <col min="11529" max="11530" width="11.453125" style="21" customWidth="1"/>
    <col min="11531" max="11531" width="2.26953125" style="21" customWidth="1"/>
    <col min="11532" max="11532" width="3.7265625" style="21" customWidth="1"/>
    <col min="11533" max="11534" width="11.453125" style="21" customWidth="1"/>
    <col min="11535" max="11535" width="2.26953125" style="21" customWidth="1"/>
    <col min="11536" max="11538" width="11.453125" style="21" customWidth="1"/>
    <col min="11539" max="11539" width="2.26953125" style="21" customWidth="1"/>
    <col min="11540" max="11776" width="11.453125" style="21"/>
    <col min="11777" max="11778" width="11.453125" style="21" customWidth="1"/>
    <col min="11779" max="11779" width="8.453125" style="21" customWidth="1"/>
    <col min="11780" max="11780" width="3.1796875" style="21" customWidth="1"/>
    <col min="11781" max="11781" width="9.1796875" style="21" customWidth="1"/>
    <col min="11782" max="11782" width="11.453125" style="21" customWidth="1"/>
    <col min="11783" max="11783" width="2.26953125" style="21" customWidth="1"/>
    <col min="11784" max="11784" width="3.7265625" style="21" customWidth="1"/>
    <col min="11785" max="11786" width="11.453125" style="21" customWidth="1"/>
    <col min="11787" max="11787" width="2.26953125" style="21" customWidth="1"/>
    <col min="11788" max="11788" width="3.7265625" style="21" customWidth="1"/>
    <col min="11789" max="11790" width="11.453125" style="21" customWidth="1"/>
    <col min="11791" max="11791" width="2.26953125" style="21" customWidth="1"/>
    <col min="11792" max="11794" width="11.453125" style="21" customWidth="1"/>
    <col min="11795" max="11795" width="2.26953125" style="21" customWidth="1"/>
    <col min="11796" max="12032" width="11.453125" style="21"/>
    <col min="12033" max="12034" width="11.453125" style="21" customWidth="1"/>
    <col min="12035" max="12035" width="8.453125" style="21" customWidth="1"/>
    <col min="12036" max="12036" width="3.1796875" style="21" customWidth="1"/>
    <col min="12037" max="12037" width="9.1796875" style="21" customWidth="1"/>
    <col min="12038" max="12038" width="11.453125" style="21" customWidth="1"/>
    <col min="12039" max="12039" width="2.26953125" style="21" customWidth="1"/>
    <col min="12040" max="12040" width="3.7265625" style="21" customWidth="1"/>
    <col min="12041" max="12042" width="11.453125" style="21" customWidth="1"/>
    <col min="12043" max="12043" width="2.26953125" style="21" customWidth="1"/>
    <col min="12044" max="12044" width="3.7265625" style="21" customWidth="1"/>
    <col min="12045" max="12046" width="11.453125" style="21" customWidth="1"/>
    <col min="12047" max="12047" width="2.26953125" style="21" customWidth="1"/>
    <col min="12048" max="12050" width="11.453125" style="21" customWidth="1"/>
    <col min="12051" max="12051" width="2.26953125" style="21" customWidth="1"/>
    <col min="12052" max="12288" width="11.453125" style="21"/>
    <col min="12289" max="12290" width="11.453125" style="21" customWidth="1"/>
    <col min="12291" max="12291" width="8.453125" style="21" customWidth="1"/>
    <col min="12292" max="12292" width="3.1796875" style="21" customWidth="1"/>
    <col min="12293" max="12293" width="9.1796875" style="21" customWidth="1"/>
    <col min="12294" max="12294" width="11.453125" style="21" customWidth="1"/>
    <col min="12295" max="12295" width="2.26953125" style="21" customWidth="1"/>
    <col min="12296" max="12296" width="3.7265625" style="21" customWidth="1"/>
    <col min="12297" max="12298" width="11.453125" style="21" customWidth="1"/>
    <col min="12299" max="12299" width="2.26953125" style="21" customWidth="1"/>
    <col min="12300" max="12300" width="3.7265625" style="21" customWidth="1"/>
    <col min="12301" max="12302" width="11.453125" style="21" customWidth="1"/>
    <col min="12303" max="12303" width="2.26953125" style="21" customWidth="1"/>
    <col min="12304" max="12306" width="11.453125" style="21" customWidth="1"/>
    <col min="12307" max="12307" width="2.26953125" style="21" customWidth="1"/>
    <col min="12308" max="12544" width="11.453125" style="21"/>
    <col min="12545" max="12546" width="11.453125" style="21" customWidth="1"/>
    <col min="12547" max="12547" width="8.453125" style="21" customWidth="1"/>
    <col min="12548" max="12548" width="3.1796875" style="21" customWidth="1"/>
    <col min="12549" max="12549" width="9.1796875" style="21" customWidth="1"/>
    <col min="12550" max="12550" width="11.453125" style="21" customWidth="1"/>
    <col min="12551" max="12551" width="2.26953125" style="21" customWidth="1"/>
    <col min="12552" max="12552" width="3.7265625" style="21" customWidth="1"/>
    <col min="12553" max="12554" width="11.453125" style="21" customWidth="1"/>
    <col min="12555" max="12555" width="2.26953125" style="21" customWidth="1"/>
    <col min="12556" max="12556" width="3.7265625" style="21" customWidth="1"/>
    <col min="12557" max="12558" width="11.453125" style="21" customWidth="1"/>
    <col min="12559" max="12559" width="2.26953125" style="21" customWidth="1"/>
    <col min="12560" max="12562" width="11.453125" style="21" customWidth="1"/>
    <col min="12563" max="12563" width="2.26953125" style="21" customWidth="1"/>
    <col min="12564" max="12800" width="11.453125" style="21"/>
    <col min="12801" max="12802" width="11.453125" style="21" customWidth="1"/>
    <col min="12803" max="12803" width="8.453125" style="21" customWidth="1"/>
    <col min="12804" max="12804" width="3.1796875" style="21" customWidth="1"/>
    <col min="12805" max="12805" width="9.1796875" style="21" customWidth="1"/>
    <col min="12806" max="12806" width="11.453125" style="21" customWidth="1"/>
    <col min="12807" max="12807" width="2.26953125" style="21" customWidth="1"/>
    <col min="12808" max="12808" width="3.7265625" style="21" customWidth="1"/>
    <col min="12809" max="12810" width="11.453125" style="21" customWidth="1"/>
    <col min="12811" max="12811" width="2.26953125" style="21" customWidth="1"/>
    <col min="12812" max="12812" width="3.7265625" style="21" customWidth="1"/>
    <col min="12813" max="12814" width="11.453125" style="21" customWidth="1"/>
    <col min="12815" max="12815" width="2.26953125" style="21" customWidth="1"/>
    <col min="12816" max="12818" width="11.453125" style="21" customWidth="1"/>
    <col min="12819" max="12819" width="2.26953125" style="21" customWidth="1"/>
    <col min="12820" max="13056" width="11.453125" style="21"/>
    <col min="13057" max="13058" width="11.453125" style="21" customWidth="1"/>
    <col min="13059" max="13059" width="8.453125" style="21" customWidth="1"/>
    <col min="13060" max="13060" width="3.1796875" style="21" customWidth="1"/>
    <col min="13061" max="13061" width="9.1796875" style="21" customWidth="1"/>
    <col min="13062" max="13062" width="11.453125" style="21" customWidth="1"/>
    <col min="13063" max="13063" width="2.26953125" style="21" customWidth="1"/>
    <col min="13064" max="13064" width="3.7265625" style="21" customWidth="1"/>
    <col min="13065" max="13066" width="11.453125" style="21" customWidth="1"/>
    <col min="13067" max="13067" width="2.26953125" style="21" customWidth="1"/>
    <col min="13068" max="13068" width="3.7265625" style="21" customWidth="1"/>
    <col min="13069" max="13070" width="11.453125" style="21" customWidth="1"/>
    <col min="13071" max="13071" width="2.26953125" style="21" customWidth="1"/>
    <col min="13072" max="13074" width="11.453125" style="21" customWidth="1"/>
    <col min="13075" max="13075" width="2.26953125" style="21" customWidth="1"/>
    <col min="13076" max="13312" width="11.453125" style="21"/>
    <col min="13313" max="13314" width="11.453125" style="21" customWidth="1"/>
    <col min="13315" max="13315" width="8.453125" style="21" customWidth="1"/>
    <col min="13316" max="13316" width="3.1796875" style="21" customWidth="1"/>
    <col min="13317" max="13317" width="9.1796875" style="21" customWidth="1"/>
    <col min="13318" max="13318" width="11.453125" style="21" customWidth="1"/>
    <col min="13319" max="13319" width="2.26953125" style="21" customWidth="1"/>
    <col min="13320" max="13320" width="3.7265625" style="21" customWidth="1"/>
    <col min="13321" max="13322" width="11.453125" style="21" customWidth="1"/>
    <col min="13323" max="13323" width="2.26953125" style="21" customWidth="1"/>
    <col min="13324" max="13324" width="3.7265625" style="21" customWidth="1"/>
    <col min="13325" max="13326" width="11.453125" style="21" customWidth="1"/>
    <col min="13327" max="13327" width="2.26953125" style="21" customWidth="1"/>
    <col min="13328" max="13330" width="11.453125" style="21" customWidth="1"/>
    <col min="13331" max="13331" width="2.26953125" style="21" customWidth="1"/>
    <col min="13332" max="13568" width="11.453125" style="21"/>
    <col min="13569" max="13570" width="11.453125" style="21" customWidth="1"/>
    <col min="13571" max="13571" width="8.453125" style="21" customWidth="1"/>
    <col min="13572" max="13572" width="3.1796875" style="21" customWidth="1"/>
    <col min="13573" max="13573" width="9.1796875" style="21" customWidth="1"/>
    <col min="13574" max="13574" width="11.453125" style="21" customWidth="1"/>
    <col min="13575" max="13575" width="2.26953125" style="21" customWidth="1"/>
    <col min="13576" max="13576" width="3.7265625" style="21" customWidth="1"/>
    <col min="13577" max="13578" width="11.453125" style="21" customWidth="1"/>
    <col min="13579" max="13579" width="2.26953125" style="21" customWidth="1"/>
    <col min="13580" max="13580" width="3.7265625" style="21" customWidth="1"/>
    <col min="13581" max="13582" width="11.453125" style="21" customWidth="1"/>
    <col min="13583" max="13583" width="2.26953125" style="21" customWidth="1"/>
    <col min="13584" max="13586" width="11.453125" style="21" customWidth="1"/>
    <col min="13587" max="13587" width="2.26953125" style="21" customWidth="1"/>
    <col min="13588" max="13824" width="11.453125" style="21"/>
    <col min="13825" max="13826" width="11.453125" style="21" customWidth="1"/>
    <col min="13827" max="13827" width="8.453125" style="21" customWidth="1"/>
    <col min="13828" max="13828" width="3.1796875" style="21" customWidth="1"/>
    <col min="13829" max="13829" width="9.1796875" style="21" customWidth="1"/>
    <col min="13830" max="13830" width="11.453125" style="21" customWidth="1"/>
    <col min="13831" max="13831" width="2.26953125" style="21" customWidth="1"/>
    <col min="13832" max="13832" width="3.7265625" style="21" customWidth="1"/>
    <col min="13833" max="13834" width="11.453125" style="21" customWidth="1"/>
    <col min="13835" max="13835" width="2.26953125" style="21" customWidth="1"/>
    <col min="13836" max="13836" width="3.7265625" style="21" customWidth="1"/>
    <col min="13837" max="13838" width="11.453125" style="21" customWidth="1"/>
    <col min="13839" max="13839" width="2.26953125" style="21" customWidth="1"/>
    <col min="13840" max="13842" width="11.453125" style="21" customWidth="1"/>
    <col min="13843" max="13843" width="2.26953125" style="21" customWidth="1"/>
    <col min="13844" max="14080" width="11.453125" style="21"/>
    <col min="14081" max="14082" width="11.453125" style="21" customWidth="1"/>
    <col min="14083" max="14083" width="8.453125" style="21" customWidth="1"/>
    <col min="14084" max="14084" width="3.1796875" style="21" customWidth="1"/>
    <col min="14085" max="14085" width="9.1796875" style="21" customWidth="1"/>
    <col min="14086" max="14086" width="11.453125" style="21" customWidth="1"/>
    <col min="14087" max="14087" width="2.26953125" style="21" customWidth="1"/>
    <col min="14088" max="14088" width="3.7265625" style="21" customWidth="1"/>
    <col min="14089" max="14090" width="11.453125" style="21" customWidth="1"/>
    <col min="14091" max="14091" width="2.26953125" style="21" customWidth="1"/>
    <col min="14092" max="14092" width="3.7265625" style="21" customWidth="1"/>
    <col min="14093" max="14094" width="11.453125" style="21" customWidth="1"/>
    <col min="14095" max="14095" width="2.26953125" style="21" customWidth="1"/>
    <col min="14096" max="14098" width="11.453125" style="21" customWidth="1"/>
    <col min="14099" max="14099" width="2.26953125" style="21" customWidth="1"/>
    <col min="14100" max="14336" width="11.453125" style="21"/>
    <col min="14337" max="14338" width="11.453125" style="21" customWidth="1"/>
    <col min="14339" max="14339" width="8.453125" style="21" customWidth="1"/>
    <col min="14340" max="14340" width="3.1796875" style="21" customWidth="1"/>
    <col min="14341" max="14341" width="9.1796875" style="21" customWidth="1"/>
    <col min="14342" max="14342" width="11.453125" style="21" customWidth="1"/>
    <col min="14343" max="14343" width="2.26953125" style="21" customWidth="1"/>
    <col min="14344" max="14344" width="3.7265625" style="21" customWidth="1"/>
    <col min="14345" max="14346" width="11.453125" style="21" customWidth="1"/>
    <col min="14347" max="14347" width="2.26953125" style="21" customWidth="1"/>
    <col min="14348" max="14348" width="3.7265625" style="21" customWidth="1"/>
    <col min="14349" max="14350" width="11.453125" style="21" customWidth="1"/>
    <col min="14351" max="14351" width="2.26953125" style="21" customWidth="1"/>
    <col min="14352" max="14354" width="11.453125" style="21" customWidth="1"/>
    <col min="14355" max="14355" width="2.26953125" style="21" customWidth="1"/>
    <col min="14356" max="14592" width="11.453125" style="21"/>
    <col min="14593" max="14594" width="11.453125" style="21" customWidth="1"/>
    <col min="14595" max="14595" width="8.453125" style="21" customWidth="1"/>
    <col min="14596" max="14596" width="3.1796875" style="21" customWidth="1"/>
    <col min="14597" max="14597" width="9.1796875" style="21" customWidth="1"/>
    <col min="14598" max="14598" width="11.453125" style="21" customWidth="1"/>
    <col min="14599" max="14599" width="2.26953125" style="21" customWidth="1"/>
    <col min="14600" max="14600" width="3.7265625" style="21" customWidth="1"/>
    <col min="14601" max="14602" width="11.453125" style="21" customWidth="1"/>
    <col min="14603" max="14603" width="2.26953125" style="21" customWidth="1"/>
    <col min="14604" max="14604" width="3.7265625" style="21" customWidth="1"/>
    <col min="14605" max="14606" width="11.453125" style="21" customWidth="1"/>
    <col min="14607" max="14607" width="2.26953125" style="21" customWidth="1"/>
    <col min="14608" max="14610" width="11.453125" style="21" customWidth="1"/>
    <col min="14611" max="14611" width="2.26953125" style="21" customWidth="1"/>
    <col min="14612" max="14848" width="11.453125" style="21"/>
    <col min="14849" max="14850" width="11.453125" style="21" customWidth="1"/>
    <col min="14851" max="14851" width="8.453125" style="21" customWidth="1"/>
    <col min="14852" max="14852" width="3.1796875" style="21" customWidth="1"/>
    <col min="14853" max="14853" width="9.1796875" style="21" customWidth="1"/>
    <col min="14854" max="14854" width="11.453125" style="21" customWidth="1"/>
    <col min="14855" max="14855" width="2.26953125" style="21" customWidth="1"/>
    <col min="14856" max="14856" width="3.7265625" style="21" customWidth="1"/>
    <col min="14857" max="14858" width="11.453125" style="21" customWidth="1"/>
    <col min="14859" max="14859" width="2.26953125" style="21" customWidth="1"/>
    <col min="14860" max="14860" width="3.7265625" style="21" customWidth="1"/>
    <col min="14861" max="14862" width="11.453125" style="21" customWidth="1"/>
    <col min="14863" max="14863" width="2.26953125" style="21" customWidth="1"/>
    <col min="14864" max="14866" width="11.453125" style="21" customWidth="1"/>
    <col min="14867" max="14867" width="2.26953125" style="21" customWidth="1"/>
    <col min="14868" max="15104" width="11.453125" style="21"/>
    <col min="15105" max="15106" width="11.453125" style="21" customWidth="1"/>
    <col min="15107" max="15107" width="8.453125" style="21" customWidth="1"/>
    <col min="15108" max="15108" width="3.1796875" style="21" customWidth="1"/>
    <col min="15109" max="15109" width="9.1796875" style="21" customWidth="1"/>
    <col min="15110" max="15110" width="11.453125" style="21" customWidth="1"/>
    <col min="15111" max="15111" width="2.26953125" style="21" customWidth="1"/>
    <col min="15112" max="15112" width="3.7265625" style="21" customWidth="1"/>
    <col min="15113" max="15114" width="11.453125" style="21" customWidth="1"/>
    <col min="15115" max="15115" width="2.26953125" style="21" customWidth="1"/>
    <col min="15116" max="15116" width="3.7265625" style="21" customWidth="1"/>
    <col min="15117" max="15118" width="11.453125" style="21" customWidth="1"/>
    <col min="15119" max="15119" width="2.26953125" style="21" customWidth="1"/>
    <col min="15120" max="15122" width="11.453125" style="21" customWidth="1"/>
    <col min="15123" max="15123" width="2.26953125" style="21" customWidth="1"/>
    <col min="15124" max="15360" width="11.453125" style="21"/>
    <col min="15361" max="15362" width="11.453125" style="21" customWidth="1"/>
    <col min="15363" max="15363" width="8.453125" style="21" customWidth="1"/>
    <col min="15364" max="15364" width="3.1796875" style="21" customWidth="1"/>
    <col min="15365" max="15365" width="9.1796875" style="21" customWidth="1"/>
    <col min="15366" max="15366" width="11.453125" style="21" customWidth="1"/>
    <col min="15367" max="15367" width="2.26953125" style="21" customWidth="1"/>
    <col min="15368" max="15368" width="3.7265625" style="21" customWidth="1"/>
    <col min="15369" max="15370" width="11.453125" style="21" customWidth="1"/>
    <col min="15371" max="15371" width="2.26953125" style="21" customWidth="1"/>
    <col min="15372" max="15372" width="3.7265625" style="21" customWidth="1"/>
    <col min="15373" max="15374" width="11.453125" style="21" customWidth="1"/>
    <col min="15375" max="15375" width="2.26953125" style="21" customWidth="1"/>
    <col min="15376" max="15378" width="11.453125" style="21" customWidth="1"/>
    <col min="15379" max="15379" width="2.26953125" style="21" customWidth="1"/>
    <col min="15380" max="15616" width="11.453125" style="21"/>
    <col min="15617" max="15618" width="11.453125" style="21" customWidth="1"/>
    <col min="15619" max="15619" width="8.453125" style="21" customWidth="1"/>
    <col min="15620" max="15620" width="3.1796875" style="21" customWidth="1"/>
    <col min="15621" max="15621" width="9.1796875" style="21" customWidth="1"/>
    <col min="15622" max="15622" width="11.453125" style="21" customWidth="1"/>
    <col min="15623" max="15623" width="2.26953125" style="21" customWidth="1"/>
    <col min="15624" max="15624" width="3.7265625" style="21" customWidth="1"/>
    <col min="15625" max="15626" width="11.453125" style="21" customWidth="1"/>
    <col min="15627" max="15627" width="2.26953125" style="21" customWidth="1"/>
    <col min="15628" max="15628" width="3.7265625" style="21" customWidth="1"/>
    <col min="15629" max="15630" width="11.453125" style="21" customWidth="1"/>
    <col min="15631" max="15631" width="2.26953125" style="21" customWidth="1"/>
    <col min="15632" max="15634" width="11.453125" style="21" customWidth="1"/>
    <col min="15635" max="15635" width="2.26953125" style="21" customWidth="1"/>
    <col min="15636" max="15872" width="11.453125" style="21"/>
    <col min="15873" max="15874" width="11.453125" style="21" customWidth="1"/>
    <col min="15875" max="15875" width="8.453125" style="21" customWidth="1"/>
    <col min="15876" max="15876" width="3.1796875" style="21" customWidth="1"/>
    <col min="15877" max="15877" width="9.1796875" style="21" customWidth="1"/>
    <col min="15878" max="15878" width="11.453125" style="21" customWidth="1"/>
    <col min="15879" max="15879" width="2.26953125" style="21" customWidth="1"/>
    <col min="15880" max="15880" width="3.7265625" style="21" customWidth="1"/>
    <col min="15881" max="15882" width="11.453125" style="21" customWidth="1"/>
    <col min="15883" max="15883" width="2.26953125" style="21" customWidth="1"/>
    <col min="15884" max="15884" width="3.7265625" style="21" customWidth="1"/>
    <col min="15885" max="15886" width="11.453125" style="21" customWidth="1"/>
    <col min="15887" max="15887" width="2.26953125" style="21" customWidth="1"/>
    <col min="15888" max="15890" width="11.453125" style="21" customWidth="1"/>
    <col min="15891" max="15891" width="2.26953125" style="21" customWidth="1"/>
    <col min="15892" max="16128" width="11.453125" style="21"/>
    <col min="16129" max="16130" width="11.453125" style="21" customWidth="1"/>
    <col min="16131" max="16131" width="8.453125" style="21" customWidth="1"/>
    <col min="16132" max="16132" width="3.1796875" style="21" customWidth="1"/>
    <col min="16133" max="16133" width="9.1796875" style="21" customWidth="1"/>
    <col min="16134" max="16134" width="11.453125" style="21" customWidth="1"/>
    <col min="16135" max="16135" width="2.26953125" style="21" customWidth="1"/>
    <col min="16136" max="16136" width="3.7265625" style="21" customWidth="1"/>
    <col min="16137" max="16138" width="11.453125" style="21" customWidth="1"/>
    <col min="16139" max="16139" width="2.26953125" style="21" customWidth="1"/>
    <col min="16140" max="16140" width="3.7265625" style="21" customWidth="1"/>
    <col min="16141" max="16142" width="11.453125" style="21" customWidth="1"/>
    <col min="16143" max="16143" width="2.26953125" style="21" customWidth="1"/>
    <col min="16144" max="16146" width="11.453125" style="21" customWidth="1"/>
    <col min="16147" max="16147" width="2.26953125" style="21" customWidth="1"/>
    <col min="16148" max="16384" width="11.453125" style="21"/>
  </cols>
  <sheetData>
    <row r="1" spans="1:17" x14ac:dyDescent="0.25">
      <c r="A1" s="21" t="s">
        <v>77</v>
      </c>
      <c r="B1" s="27">
        <v>-100</v>
      </c>
    </row>
    <row r="2" spans="1:17" x14ac:dyDescent="0.25">
      <c r="A2" s="21" t="s">
        <v>78</v>
      </c>
      <c r="B2" s="28">
        <v>100</v>
      </c>
    </row>
    <row r="3" spans="1:17" x14ac:dyDescent="0.25">
      <c r="A3" s="21" t="s">
        <v>131</v>
      </c>
      <c r="B3" s="21">
        <f>(B2-A4)/20</f>
        <v>10</v>
      </c>
      <c r="D3" s="21" t="s">
        <v>79</v>
      </c>
      <c r="E3" s="21">
        <f>B*EXP(-A4/RT)</f>
        <v>6.7624960015993514</v>
      </c>
    </row>
    <row r="4" spans="1:17" x14ac:dyDescent="0.25">
      <c r="A4" s="21">
        <f>B1</f>
        <v>-100</v>
      </c>
      <c r="B4" s="21">
        <f t="shared" ref="B4:B24" si="0">$E$3-$E$4*EXP(-A4/$E$5)</f>
        <v>0</v>
      </c>
      <c r="D4" s="21" t="s">
        <v>80</v>
      </c>
      <c r="E4" s="21">
        <f>1/(EXP(-A4/RT)-EXP(-A24/RT))</f>
        <v>6.2425039984006307</v>
      </c>
    </row>
    <row r="5" spans="1:17" x14ac:dyDescent="0.25">
      <c r="A5" s="21">
        <f t="shared" ref="A5:A24" si="1">A4+$B$3</f>
        <v>-90</v>
      </c>
      <c r="B5" s="21">
        <f t="shared" si="0"/>
        <v>5.3891301621506571E-2</v>
      </c>
      <c r="D5" s="21" t="s">
        <v>81</v>
      </c>
      <c r="E5" s="31">
        <f>ABS(I30)/LN(M17/M22)</f>
        <v>1249.8333155518283</v>
      </c>
    </row>
    <row r="6" spans="1:17" x14ac:dyDescent="0.25">
      <c r="A6" s="21">
        <f t="shared" si="1"/>
        <v>-80</v>
      </c>
      <c r="B6" s="21">
        <f t="shared" si="0"/>
        <v>0.10735313572247396</v>
      </c>
    </row>
    <row r="7" spans="1:17" x14ac:dyDescent="0.25">
      <c r="A7" s="21">
        <f t="shared" si="1"/>
        <v>-70</v>
      </c>
      <c r="B7" s="21">
        <f t="shared" si="0"/>
        <v>0.16038892479123668</v>
      </c>
    </row>
    <row r="8" spans="1:17" x14ac:dyDescent="0.25">
      <c r="A8" s="21">
        <f t="shared" si="1"/>
        <v>-60</v>
      </c>
      <c r="B8" s="21">
        <f t="shared" si="0"/>
        <v>0.21300206404183353</v>
      </c>
    </row>
    <row r="9" spans="1:17" x14ac:dyDescent="0.25">
      <c r="A9" s="21">
        <f t="shared" si="1"/>
        <v>-50</v>
      </c>
      <c r="B9" s="21">
        <f>$E$3-$E$4*EXP(-A9/$E$5)</f>
        <v>0.26519592163134753</v>
      </c>
    </row>
    <row r="10" spans="1:17" x14ac:dyDescent="0.25">
      <c r="A10" s="21">
        <f t="shared" si="1"/>
        <v>-40</v>
      </c>
      <c r="B10" s="21">
        <f t="shared" si="0"/>
        <v>0.31697383887553965</v>
      </c>
    </row>
    <row r="11" spans="1:17" x14ac:dyDescent="0.25">
      <c r="A11" s="21">
        <f t="shared" si="1"/>
        <v>-30</v>
      </c>
      <c r="B11" s="21">
        <f t="shared" si="0"/>
        <v>0.36833913046274347</v>
      </c>
    </row>
    <row r="12" spans="1:17" x14ac:dyDescent="0.25">
      <c r="A12" s="21">
        <f t="shared" si="1"/>
        <v>-20</v>
      </c>
      <c r="B12" s="21">
        <f t="shared" si="0"/>
        <v>0.41929508466606613</v>
      </c>
    </row>
    <row r="13" spans="1:17" ht="13" x14ac:dyDescent="0.3">
      <c r="A13" s="21">
        <f t="shared" si="1"/>
        <v>-10</v>
      </c>
      <c r="B13" s="21">
        <f t="shared" si="0"/>
        <v>0.46984496355389282</v>
      </c>
      <c r="Q13" s="32" t="s">
        <v>129</v>
      </c>
    </row>
    <row r="14" spans="1:17" ht="13" x14ac:dyDescent="0.3">
      <c r="A14" s="21">
        <f t="shared" si="1"/>
        <v>0</v>
      </c>
      <c r="B14" s="21">
        <f t="shared" si="0"/>
        <v>0.51999200319872063</v>
      </c>
      <c r="Q14" s="33" t="str">
        <f>IF(Arbre!$C$16=TRUE,"0 litre",IF(Arbre!$C$26=TRUE,"50 litres",IF(Arbre!$C$34=TRUE,"100 litres",0)))</f>
        <v>50 litres</v>
      </c>
    </row>
    <row r="15" spans="1:17" x14ac:dyDescent="0.25">
      <c r="A15" s="21">
        <f t="shared" si="1"/>
        <v>10</v>
      </c>
      <c r="B15" s="21">
        <f t="shared" si="0"/>
        <v>0.56973941388431637</v>
      </c>
    </row>
    <row r="16" spans="1:17" x14ac:dyDescent="0.25">
      <c r="A16" s="21">
        <f t="shared" si="1"/>
        <v>20</v>
      </c>
      <c r="B16" s="21">
        <f t="shared" si="0"/>
        <v>0.61909038031123842</v>
      </c>
    </row>
    <row r="17" spans="1:16" x14ac:dyDescent="0.25">
      <c r="A17" s="21">
        <f t="shared" si="1"/>
        <v>30</v>
      </c>
      <c r="B17" s="21">
        <f t="shared" si="0"/>
        <v>0.66804806180070475</v>
      </c>
      <c r="M17" s="29">
        <v>0.51</v>
      </c>
    </row>
    <row r="18" spans="1:16" x14ac:dyDescent="0.25">
      <c r="A18" s="21">
        <f t="shared" si="1"/>
        <v>40</v>
      </c>
      <c r="B18" s="21">
        <f t="shared" si="0"/>
        <v>0.71661559249685247</v>
      </c>
      <c r="M18" s="21" t="s">
        <v>132</v>
      </c>
    </row>
    <row r="19" spans="1:16" ht="14.5" x14ac:dyDescent="0.35">
      <c r="A19" s="21">
        <f t="shared" si="1"/>
        <v>50</v>
      </c>
      <c r="B19" s="21">
        <f t="shared" si="0"/>
        <v>0.76479608156737378</v>
      </c>
      <c r="P19" s="22">
        <f>SUM(M20,I22)</f>
        <v>100</v>
      </c>
    </row>
    <row r="20" spans="1:16" ht="14.5" x14ac:dyDescent="0.35">
      <c r="A20" s="21">
        <f t="shared" si="1"/>
        <v>60</v>
      </c>
      <c r="B20" s="21">
        <f t="shared" si="0"/>
        <v>0.81259261340255406</v>
      </c>
      <c r="I20" s="21" t="s">
        <v>134</v>
      </c>
      <c r="M20" s="30">
        <f>B2</f>
        <v>100</v>
      </c>
      <c r="N20" s="21">
        <f>P19</f>
        <v>100</v>
      </c>
    </row>
    <row r="21" spans="1:16" x14ac:dyDescent="0.25">
      <c r="A21" s="21">
        <f t="shared" si="1"/>
        <v>70</v>
      </c>
      <c r="B21" s="21">
        <f t="shared" si="0"/>
        <v>0.86000824781273355</v>
      </c>
      <c r="N21" s="21">
        <f>A-B*EXP(-N20/RT)</f>
        <v>1</v>
      </c>
    </row>
    <row r="22" spans="1:16" ht="14.5" x14ac:dyDescent="0.35">
      <c r="A22" s="21">
        <f t="shared" si="1"/>
        <v>80</v>
      </c>
      <c r="B22" s="21">
        <f t="shared" si="0"/>
        <v>0.90704602022418168</v>
      </c>
      <c r="I22" s="21">
        <v>0</v>
      </c>
      <c r="J22" s="21">
        <f>-LN((A-J23)/B)*RT</f>
        <v>49.999999999999901</v>
      </c>
      <c r="M22" s="23">
        <f>1-M17</f>
        <v>0.49</v>
      </c>
    </row>
    <row r="23" spans="1:16" x14ac:dyDescent="0.25">
      <c r="A23" s="21">
        <f t="shared" si="1"/>
        <v>90</v>
      </c>
      <c r="B23" s="21">
        <f t="shared" si="0"/>
        <v>0.9537089418734217</v>
      </c>
      <c r="J23" s="21">
        <f>IF(ABS(1-SUM(M17,M22))&lt;=0.00001,SUM(M17*N21,M22*N26),NA())</f>
        <v>0.76479608156737311</v>
      </c>
      <c r="M23" s="21" t="s">
        <v>133</v>
      </c>
    </row>
    <row r="24" spans="1:16" ht="14.5" x14ac:dyDescent="0.35">
      <c r="A24" s="21">
        <f t="shared" si="1"/>
        <v>100</v>
      </c>
      <c r="B24" s="21">
        <f t="shared" si="0"/>
        <v>1</v>
      </c>
      <c r="F24" s="34"/>
      <c r="P24" s="22">
        <f>SUM(M25,I22)</f>
        <v>0</v>
      </c>
    </row>
    <row r="25" spans="1:16" ht="14.5" x14ac:dyDescent="0.35">
      <c r="G25" s="21">
        <f>IF(F26=J22,1,IF(F26=J30,2))</f>
        <v>2</v>
      </c>
      <c r="M25" s="24">
        <v>0</v>
      </c>
      <c r="N25" s="21">
        <f>P24</f>
        <v>0</v>
      </c>
    </row>
    <row r="26" spans="1:16" x14ac:dyDescent="0.25">
      <c r="F26" s="21">
        <f>MAX(J22,J30)</f>
        <v>50</v>
      </c>
      <c r="N26" s="21">
        <f>A-B*EXP(-N25/RT)</f>
        <v>0.51999200319872063</v>
      </c>
    </row>
    <row r="27" spans="1:16" x14ac:dyDescent="0.25">
      <c r="F27" s="21">
        <f>A-B*EXP(-F26/RT)</f>
        <v>0.76479608156737378</v>
      </c>
    </row>
    <row r="28" spans="1:16" x14ac:dyDescent="0.25">
      <c r="I28" s="21" t="s">
        <v>135</v>
      </c>
    </row>
    <row r="29" spans="1:16" ht="14.5" x14ac:dyDescent="0.35">
      <c r="P29" s="22">
        <f>SUM(I30)</f>
        <v>50</v>
      </c>
    </row>
    <row r="30" spans="1:16" x14ac:dyDescent="0.25">
      <c r="I30" s="25">
        <f>M20/2</f>
        <v>50</v>
      </c>
      <c r="J30" s="21">
        <f>P29</f>
        <v>50</v>
      </c>
    </row>
    <row r="31" spans="1:16" x14ac:dyDescent="0.25">
      <c r="J31" s="21">
        <f>A-B*EXP(-J30/RT)</f>
        <v>0.76479608156737378</v>
      </c>
    </row>
    <row r="1000" spans="190:204" x14ac:dyDescent="0.25">
      <c r="GH1000" s="21" t="s">
        <v>82</v>
      </c>
      <c r="GI1000" s="21" t="s">
        <v>0</v>
      </c>
      <c r="GJ1000" s="21" t="s">
        <v>83</v>
      </c>
      <c r="GK1000" s="21" t="s">
        <v>84</v>
      </c>
      <c r="GL1000" s="21" t="s">
        <v>85</v>
      </c>
      <c r="GM1000" s="21" t="s">
        <v>86</v>
      </c>
      <c r="GN1000" s="21" t="s">
        <v>87</v>
      </c>
      <c r="GO1000" s="21" t="s">
        <v>88</v>
      </c>
      <c r="GP1000" s="21" t="s">
        <v>89</v>
      </c>
      <c r="GQ1000" s="21" t="s">
        <v>90</v>
      </c>
      <c r="GR1000" s="21" t="s">
        <v>91</v>
      </c>
      <c r="GS1000" s="21" t="s">
        <v>92</v>
      </c>
      <c r="GT1000" s="21" t="s">
        <v>93</v>
      </c>
      <c r="GU1000" s="21" t="s">
        <v>94</v>
      </c>
      <c r="GV1000" s="21" t="s">
        <v>95</v>
      </c>
    </row>
    <row r="1001" spans="190:204" x14ac:dyDescent="0.25">
      <c r="GH1001" s="21">
        <v>0</v>
      </c>
      <c r="GI1001" s="21" t="s">
        <v>96</v>
      </c>
      <c r="GJ1001" s="21">
        <v>0</v>
      </c>
      <c r="GK1001" s="21">
        <v>0</v>
      </c>
      <c r="GL1001" s="21">
        <v>0</v>
      </c>
      <c r="GM1001" s="21" t="s">
        <v>97</v>
      </c>
      <c r="GN1001" s="21">
        <v>2</v>
      </c>
      <c r="GO1001" s="21">
        <v>1</v>
      </c>
      <c r="GP1001" s="21">
        <v>2</v>
      </c>
      <c r="GQ1001" s="21">
        <v>0</v>
      </c>
      <c r="GR1001" s="21">
        <v>0</v>
      </c>
      <c r="GS1001" s="21">
        <v>0</v>
      </c>
      <c r="GT1001" s="21">
        <v>8</v>
      </c>
      <c r="GU1001" s="21">
        <v>1</v>
      </c>
      <c r="GV1001" s="21" t="b">
        <v>1</v>
      </c>
    </row>
    <row r="1002" spans="190:204" x14ac:dyDescent="0.25">
      <c r="GH1002" s="21">
        <v>1</v>
      </c>
      <c r="GK1002" s="21">
        <v>0</v>
      </c>
      <c r="GL1002" s="21">
        <v>0</v>
      </c>
      <c r="GM1002" s="21" t="s">
        <v>98</v>
      </c>
      <c r="GN1002" s="21">
        <v>2</v>
      </c>
      <c r="GO1002" s="21">
        <v>3</v>
      </c>
      <c r="GP1002" s="21">
        <v>4</v>
      </c>
      <c r="GQ1002" s="21">
        <v>0</v>
      </c>
      <c r="GR1002" s="21">
        <v>0</v>
      </c>
      <c r="GS1002" s="21">
        <v>0</v>
      </c>
      <c r="GT1002" s="21">
        <v>4</v>
      </c>
      <c r="GU1002" s="21">
        <v>5</v>
      </c>
      <c r="GV1002" s="21" t="b">
        <v>1</v>
      </c>
    </row>
    <row r="1003" spans="190:204" x14ac:dyDescent="0.25">
      <c r="GH1003" s="21">
        <v>2</v>
      </c>
      <c r="GK1003" s="21">
        <v>0</v>
      </c>
      <c r="GL1003" s="21">
        <v>0</v>
      </c>
      <c r="GM1003" s="21" t="s">
        <v>99</v>
      </c>
      <c r="GN1003" s="21">
        <v>0</v>
      </c>
      <c r="GO1003" s="21">
        <v>0</v>
      </c>
      <c r="GP1003" s="21">
        <v>0</v>
      </c>
      <c r="GQ1003" s="21">
        <v>0</v>
      </c>
      <c r="GR1003" s="21">
        <v>0</v>
      </c>
      <c r="GS1003" s="21">
        <v>0</v>
      </c>
      <c r="GT1003" s="21">
        <v>12</v>
      </c>
      <c r="GU1003" s="21">
        <v>5</v>
      </c>
      <c r="GV1003" s="21" t="b">
        <v>1</v>
      </c>
    </row>
    <row r="1004" spans="190:204" x14ac:dyDescent="0.25">
      <c r="GH1004" s="21">
        <v>3</v>
      </c>
      <c r="GL1004" s="21">
        <v>1</v>
      </c>
      <c r="GM1004" s="21" t="s">
        <v>99</v>
      </c>
      <c r="GN1004" s="21">
        <v>0</v>
      </c>
      <c r="GO1004" s="21">
        <v>0</v>
      </c>
      <c r="GP1004" s="21">
        <v>0</v>
      </c>
      <c r="GQ1004" s="21">
        <v>0</v>
      </c>
      <c r="GR1004" s="21">
        <v>0</v>
      </c>
      <c r="GS1004" s="21">
        <v>0</v>
      </c>
      <c r="GT1004" s="21">
        <v>2</v>
      </c>
      <c r="GU1004" s="21">
        <v>9</v>
      </c>
      <c r="GV1004" s="21" t="b">
        <v>1</v>
      </c>
    </row>
    <row r="1005" spans="190:204" x14ac:dyDescent="0.25">
      <c r="GH1005" s="21">
        <v>4</v>
      </c>
      <c r="GL1005" s="21">
        <v>1</v>
      </c>
      <c r="GM1005" s="21" t="s">
        <v>99</v>
      </c>
      <c r="GN1005" s="21">
        <v>0</v>
      </c>
      <c r="GO1005" s="21">
        <v>0</v>
      </c>
      <c r="GP1005" s="21">
        <v>0</v>
      </c>
      <c r="GQ1005" s="21">
        <v>0</v>
      </c>
      <c r="GR1005" s="21">
        <v>0</v>
      </c>
      <c r="GS1005" s="21">
        <v>0</v>
      </c>
      <c r="GT1005" s="21">
        <v>7</v>
      </c>
      <c r="GU1005" s="21">
        <v>9</v>
      </c>
      <c r="GV1005" s="21" t="b">
        <v>1</v>
      </c>
    </row>
  </sheetData>
  <sheetProtection sheet="1" objects="1" scenarios="1"/>
  <pageMargins left="0.78740157499999996" right="0.78740157499999996" top="0.984251969" bottom="0.984251969" header="0.4921259845" footer="0.4921259845"/>
  <pageSetup scale="10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G13" sqref="G13"/>
    </sheetView>
  </sheetViews>
  <sheetFormatPr baseColWidth="10" defaultColWidth="9.1796875" defaultRowHeight="14.5" x14ac:dyDescent="0.35"/>
  <cols>
    <col min="1" max="1" width="14.81640625" customWidth="1"/>
    <col min="2" max="2" width="12" customWidth="1"/>
    <col min="3" max="3" width="15.54296875" customWidth="1"/>
    <col min="4" max="4" width="17.26953125" customWidth="1"/>
    <col min="5" max="256" width="11.453125" customWidth="1"/>
  </cols>
  <sheetData>
    <row r="1" spans="1:5" x14ac:dyDescent="0.35">
      <c r="A1" t="s">
        <v>67</v>
      </c>
      <c r="B1">
        <v>3</v>
      </c>
    </row>
    <row r="2" spans="1:5" x14ac:dyDescent="0.35">
      <c r="A2" t="s">
        <v>68</v>
      </c>
      <c r="B2">
        <v>100</v>
      </c>
    </row>
    <row r="3" spans="1:5" x14ac:dyDescent="0.35">
      <c r="A3" s="13" t="s">
        <v>70</v>
      </c>
      <c r="B3" s="13" t="s">
        <v>66</v>
      </c>
      <c r="C3" s="13" t="s">
        <v>64</v>
      </c>
      <c r="D3" s="13" t="s">
        <v>69</v>
      </c>
      <c r="E3" s="13" t="s">
        <v>65</v>
      </c>
    </row>
    <row r="4" spans="1:5" x14ac:dyDescent="0.35">
      <c r="A4" s="13">
        <v>1</v>
      </c>
      <c r="B4" s="13" t="s">
        <v>48</v>
      </c>
      <c r="C4" s="14">
        <v>0.3</v>
      </c>
      <c r="D4" s="14">
        <v>1</v>
      </c>
      <c r="E4" s="13">
        <f>D4*$B$2</f>
        <v>100</v>
      </c>
    </row>
    <row r="5" spans="1:5" x14ac:dyDescent="0.35">
      <c r="A5" s="13">
        <v>2</v>
      </c>
      <c r="B5" s="13" t="s">
        <v>49</v>
      </c>
      <c r="C5" s="14">
        <v>0.3</v>
      </c>
      <c r="D5" s="14">
        <f>D4-1/($B$1-1)</f>
        <v>0.5</v>
      </c>
      <c r="E5" s="13">
        <f t="shared" ref="E5:E6" si="0">D5*$B$2</f>
        <v>50</v>
      </c>
    </row>
    <row r="6" spans="1:5" x14ac:dyDescent="0.35">
      <c r="A6" s="13">
        <v>3</v>
      </c>
      <c r="B6" s="13" t="s">
        <v>50</v>
      </c>
      <c r="C6" s="14">
        <v>0.4</v>
      </c>
      <c r="D6" s="14">
        <f>D5-1/($B$1-1)</f>
        <v>0</v>
      </c>
      <c r="E6" s="13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workbookViewId="0">
      <selection activeCell="B17" sqref="B17"/>
    </sheetView>
  </sheetViews>
  <sheetFormatPr baseColWidth="10" defaultColWidth="15.7265625" defaultRowHeight="14.5" x14ac:dyDescent="0.35"/>
  <cols>
    <col min="1" max="16384" width="15.7265625" style="1"/>
  </cols>
  <sheetData>
    <row r="1" spans="1:16" x14ac:dyDescent="0.35">
      <c r="A1" s="1" t="s">
        <v>0</v>
      </c>
      <c r="B1" s="2" t="s">
        <v>42</v>
      </c>
      <c r="E1" s="1" t="s">
        <v>8</v>
      </c>
      <c r="F1" s="1">
        <v>3</v>
      </c>
      <c r="H1" s="1" t="s">
        <v>14</v>
      </c>
      <c r="I1" s="2" t="s">
        <v>39</v>
      </c>
      <c r="K1" s="1" t="s">
        <v>19</v>
      </c>
      <c r="L1" s="1">
        <v>1000</v>
      </c>
    </row>
    <row r="2" spans="1:16" x14ac:dyDescent="0.35">
      <c r="A2" s="1" t="s">
        <v>1</v>
      </c>
      <c r="B2" s="1" t="e">
        <f>Arbre!#REF!</f>
        <v>#REF!</v>
      </c>
      <c r="E2" s="1" t="s">
        <v>9</v>
      </c>
      <c r="F2" s="1">
        <f>_xll.PTreeEvaluate5(B3,$L$11:$L$23,$J$11:$J$23,$K$11:$K$23,$N$11:$N$23,$G$11:$G$23,,L1)</f>
        <v>7538707</v>
      </c>
    </row>
    <row r="3" spans="1:16" x14ac:dyDescent="0.35">
      <c r="A3" s="1" t="s">
        <v>2</v>
      </c>
      <c r="B3" s="1" t="s">
        <v>128</v>
      </c>
      <c r="E3" s="1" t="s">
        <v>10</v>
      </c>
      <c r="F3" s="2" t="s">
        <v>35</v>
      </c>
      <c r="H3" s="1" t="s">
        <v>15</v>
      </c>
      <c r="I3" s="3" t="s">
        <v>37</v>
      </c>
    </row>
    <row r="4" spans="1:16" x14ac:dyDescent="0.35">
      <c r="A4" s="1" t="s">
        <v>3</v>
      </c>
      <c r="B4" s="1">
        <f>Arbre!$C$10</f>
        <v>-100</v>
      </c>
      <c r="E4" s="1" t="s">
        <v>11</v>
      </c>
      <c r="F4" s="2" t="s">
        <v>36</v>
      </c>
      <c r="H4" s="1" t="s">
        <v>16</v>
      </c>
      <c r="I4" s="2" t="s">
        <v>38</v>
      </c>
    </row>
    <row r="5" spans="1:16" x14ac:dyDescent="0.35">
      <c r="A5" s="1" t="s">
        <v>4</v>
      </c>
      <c r="B5" s="1">
        <v>0</v>
      </c>
      <c r="E5" s="1" t="s">
        <v>12</v>
      </c>
      <c r="F5" s="2" t="s">
        <v>36</v>
      </c>
      <c r="H5" s="1" t="s">
        <v>17</v>
      </c>
      <c r="I5" s="3" t="s">
        <v>37</v>
      </c>
    </row>
    <row r="6" spans="1:16" x14ac:dyDescent="0.35">
      <c r="A6" s="1" t="s">
        <v>5</v>
      </c>
      <c r="E6" s="1" t="s">
        <v>13</v>
      </c>
      <c r="F6" s="2" t="s">
        <v>130</v>
      </c>
      <c r="H6" s="1" t="s">
        <v>18</v>
      </c>
      <c r="I6" s="2" t="s">
        <v>38</v>
      </c>
    </row>
    <row r="7" spans="1:16" x14ac:dyDescent="0.35">
      <c r="A7" s="1" t="s">
        <v>6</v>
      </c>
      <c r="F7" s="2" t="s">
        <v>124</v>
      </c>
    </row>
    <row r="8" spans="1:16" x14ac:dyDescent="0.35">
      <c r="A8" s="1" t="s">
        <v>7</v>
      </c>
      <c r="B8" s="1">
        <v>13</v>
      </c>
    </row>
    <row r="10" spans="1:16" x14ac:dyDescent="0.3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2</v>
      </c>
      <c r="M10" s="1" t="s">
        <v>31</v>
      </c>
      <c r="N10" s="1" t="s">
        <v>32</v>
      </c>
      <c r="O10" s="1" t="s">
        <v>33</v>
      </c>
      <c r="P10" s="1" t="s">
        <v>34</v>
      </c>
    </row>
    <row r="11" spans="1:16" x14ac:dyDescent="0.35">
      <c r="A11" s="1">
        <f>Arbre!$C$23</f>
        <v>10</v>
      </c>
      <c r="B11" s="1" t="str">
        <f>B1</f>
        <v>Stand Limonade</v>
      </c>
      <c r="C11" s="1">
        <v>0</v>
      </c>
      <c r="H11" s="1">
        <f>Arbre!$C$4</f>
        <v>100</v>
      </c>
      <c r="I11" s="1" t="s">
        <v>40</v>
      </c>
      <c r="J11" s="1">
        <f>Arbre!$B$23</f>
        <v>0</v>
      </c>
      <c r="K11" s="1">
        <f>Arbre!$B$22</f>
        <v>0</v>
      </c>
      <c r="L11" s="1" t="s">
        <v>43</v>
      </c>
      <c r="M11" s="2" t="s">
        <v>41</v>
      </c>
      <c r="O11" s="1" t="str">
        <f>Arbre!$C$22</f>
        <v>Production</v>
      </c>
      <c r="P11" s="1" t="b">
        <v>0</v>
      </c>
    </row>
    <row r="12" spans="1:16" x14ac:dyDescent="0.35">
      <c r="A12" s="1">
        <f>Arbre!$D$17</f>
        <v>0</v>
      </c>
      <c r="B12" s="2" t="s">
        <v>44</v>
      </c>
      <c r="C12" s="1">
        <v>0</v>
      </c>
      <c r="H12" s="1">
        <f>Arbre!$C$5</f>
        <v>3</v>
      </c>
      <c r="I12" s="1" t="s">
        <v>40</v>
      </c>
      <c r="J12" s="1">
        <f>Arbre!$C$17</f>
        <v>0</v>
      </c>
      <c r="L12" s="1" t="s">
        <v>47</v>
      </c>
      <c r="M12" s="2" t="s">
        <v>41</v>
      </c>
      <c r="O12" s="1" t="str">
        <f>Arbre!$D$16</f>
        <v>Météo</v>
      </c>
      <c r="P12" s="1" t="b">
        <v>0</v>
      </c>
    </row>
    <row r="13" spans="1:16" x14ac:dyDescent="0.35">
      <c r="A13" s="1">
        <f>Arbre!$D$27</f>
        <v>10</v>
      </c>
      <c r="B13" s="2" t="s">
        <v>75</v>
      </c>
      <c r="C13" s="1">
        <v>0</v>
      </c>
      <c r="H13" s="1">
        <f>Arbre!$C$5</f>
        <v>3</v>
      </c>
      <c r="I13" s="1" t="s">
        <v>40</v>
      </c>
      <c r="J13" s="1">
        <f>Arbre!$C$27</f>
        <v>50</v>
      </c>
      <c r="L13" s="1" t="s">
        <v>55</v>
      </c>
      <c r="M13" s="2" t="s">
        <v>41</v>
      </c>
      <c r="O13" s="1" t="str">
        <f>Arbre!$D$26</f>
        <v>Météo</v>
      </c>
      <c r="P13" s="1" t="b">
        <v>0</v>
      </c>
    </row>
    <row r="14" spans="1:16" x14ac:dyDescent="0.35">
      <c r="A14" s="1">
        <f>Arbre!$D$35</f>
        <v>-10</v>
      </c>
      <c r="B14" s="2" t="s">
        <v>76</v>
      </c>
      <c r="C14" s="1">
        <v>0</v>
      </c>
      <c r="H14" s="1">
        <f>Arbre!$C$5</f>
        <v>3</v>
      </c>
      <c r="I14" s="1" t="s">
        <v>40</v>
      </c>
      <c r="J14" s="1">
        <f>Arbre!$C$35</f>
        <v>100</v>
      </c>
      <c r="L14" s="1" t="s">
        <v>57</v>
      </c>
      <c r="M14" s="2" t="s">
        <v>41</v>
      </c>
      <c r="O14" s="1" t="str">
        <f>Arbre!$D$34</f>
        <v>Météo</v>
      </c>
      <c r="P14" s="1" t="b">
        <v>0</v>
      </c>
    </row>
    <row r="15" spans="1:16" x14ac:dyDescent="0.35">
      <c r="A15" s="1">
        <f>Arbre!$E$15</f>
        <v>0</v>
      </c>
      <c r="B15" s="2" t="s">
        <v>48</v>
      </c>
      <c r="C15" s="1">
        <v>0</v>
      </c>
      <c r="H15" s="1" t="s">
        <v>40</v>
      </c>
      <c r="I15" s="1" t="s">
        <v>40</v>
      </c>
      <c r="J15" s="1">
        <f>Arbre!$D$15</f>
        <v>1</v>
      </c>
      <c r="K15" s="1">
        <f>Arbre!$D$14</f>
        <v>0.3</v>
      </c>
      <c r="L15" s="1" t="s">
        <v>46</v>
      </c>
      <c r="M15" s="2" t="s">
        <v>41</v>
      </c>
      <c r="P15" s="1" t="b">
        <v>0</v>
      </c>
    </row>
    <row r="16" spans="1:16" x14ac:dyDescent="0.35">
      <c r="A16" s="1">
        <f>Arbre!$E$19</f>
        <v>0</v>
      </c>
      <c r="B16" s="2" t="s">
        <v>49</v>
      </c>
      <c r="C16" s="1">
        <v>0</v>
      </c>
      <c r="H16" s="1" t="s">
        <v>40</v>
      </c>
      <c r="I16" s="1" t="s">
        <v>40</v>
      </c>
      <c r="J16" s="1">
        <f>Arbre!$D$19</f>
        <v>2</v>
      </c>
      <c r="K16" s="1">
        <f>Arbre!$D$18</f>
        <v>0.3</v>
      </c>
      <c r="L16" s="1" t="s">
        <v>46</v>
      </c>
      <c r="M16" s="2" t="s">
        <v>41</v>
      </c>
      <c r="P16" s="1" t="b">
        <v>0</v>
      </c>
    </row>
    <row r="17" spans="1:16" x14ac:dyDescent="0.35">
      <c r="A17" s="1">
        <f>Arbre!$E$21</f>
        <v>0</v>
      </c>
      <c r="B17" s="2" t="s">
        <v>50</v>
      </c>
      <c r="C17" s="1">
        <v>0</v>
      </c>
      <c r="H17" s="1" t="s">
        <v>40</v>
      </c>
      <c r="I17" s="1" t="s">
        <v>40</v>
      </c>
      <c r="J17" s="1">
        <f>Arbre!$D$21</f>
        <v>3</v>
      </c>
      <c r="K17" s="1">
        <f>Arbre!$D$20</f>
        <v>0.4</v>
      </c>
      <c r="L17" s="1" t="s">
        <v>46</v>
      </c>
      <c r="M17" s="2" t="s">
        <v>41</v>
      </c>
      <c r="P17" s="1" t="b">
        <v>0</v>
      </c>
    </row>
    <row r="18" spans="1:16" x14ac:dyDescent="0.35">
      <c r="A18" s="1">
        <f>Arbre!$E$25</f>
        <v>50</v>
      </c>
      <c r="B18" s="2" t="s">
        <v>48</v>
      </c>
      <c r="C18" s="1">
        <v>0</v>
      </c>
      <c r="H18" s="1" t="s">
        <v>40</v>
      </c>
      <c r="I18" s="1" t="s">
        <v>40</v>
      </c>
      <c r="J18" s="1">
        <f>Arbre!$D$25</f>
        <v>1</v>
      </c>
      <c r="K18" s="1">
        <f>Arbre!$D$24</f>
        <v>0.3</v>
      </c>
      <c r="L18" s="1" t="s">
        <v>56</v>
      </c>
      <c r="M18" s="2" t="s">
        <v>41</v>
      </c>
      <c r="P18" s="1" t="b">
        <v>0</v>
      </c>
    </row>
    <row r="19" spans="1:16" x14ac:dyDescent="0.35">
      <c r="A19" s="1">
        <f>Arbre!$E$29</f>
        <v>50</v>
      </c>
      <c r="B19" s="2" t="s">
        <v>49</v>
      </c>
      <c r="C19" s="1">
        <v>0</v>
      </c>
      <c r="H19" s="1" t="s">
        <v>40</v>
      </c>
      <c r="I19" s="1" t="s">
        <v>40</v>
      </c>
      <c r="J19" s="1">
        <f>Arbre!$D$29</f>
        <v>2</v>
      </c>
      <c r="K19" s="1">
        <f>Arbre!$D$28</f>
        <v>0.3</v>
      </c>
      <c r="L19" s="1" t="s">
        <v>56</v>
      </c>
      <c r="M19" s="2" t="s">
        <v>41</v>
      </c>
      <c r="P19" s="1" t="b">
        <v>0</v>
      </c>
    </row>
    <row r="20" spans="1:16" x14ac:dyDescent="0.35">
      <c r="A20" s="1">
        <f>Arbre!$E$31</f>
        <v>-50</v>
      </c>
      <c r="B20" s="2" t="s">
        <v>50</v>
      </c>
      <c r="C20" s="1">
        <v>0</v>
      </c>
      <c r="H20" s="1" t="s">
        <v>40</v>
      </c>
      <c r="I20" s="1" t="s">
        <v>40</v>
      </c>
      <c r="J20" s="1">
        <f>Arbre!$D$31</f>
        <v>3</v>
      </c>
      <c r="K20" s="1">
        <f>Arbre!$D$30</f>
        <v>0.4</v>
      </c>
      <c r="L20" s="1" t="s">
        <v>56</v>
      </c>
      <c r="M20" s="2" t="s">
        <v>41</v>
      </c>
      <c r="P20" s="1" t="b">
        <v>0</v>
      </c>
    </row>
    <row r="21" spans="1:16" x14ac:dyDescent="0.35">
      <c r="A21" s="1">
        <f>Arbre!$E$33</f>
        <v>100</v>
      </c>
      <c r="B21" s="2" t="s">
        <v>48</v>
      </c>
      <c r="C21" s="1">
        <v>0</v>
      </c>
      <c r="H21" s="1" t="s">
        <v>40</v>
      </c>
      <c r="I21" s="1" t="s">
        <v>40</v>
      </c>
      <c r="J21" s="1">
        <f>Arbre!$D$33</f>
        <v>1</v>
      </c>
      <c r="K21" s="1">
        <f>Arbre!$D$32</f>
        <v>0.3</v>
      </c>
      <c r="L21" s="1" t="s">
        <v>58</v>
      </c>
      <c r="M21" s="2" t="s">
        <v>41</v>
      </c>
      <c r="P21" s="1" t="b">
        <v>0</v>
      </c>
    </row>
    <row r="22" spans="1:16" x14ac:dyDescent="0.35">
      <c r="A22" s="1">
        <f>Arbre!$E$37</f>
        <v>0</v>
      </c>
      <c r="B22" s="2" t="s">
        <v>49</v>
      </c>
      <c r="C22" s="1">
        <v>0</v>
      </c>
      <c r="H22" s="1" t="s">
        <v>40</v>
      </c>
      <c r="I22" s="1" t="s">
        <v>40</v>
      </c>
      <c r="J22" s="1">
        <f>Arbre!$D$37</f>
        <v>2</v>
      </c>
      <c r="K22" s="1">
        <f>Arbre!$D$36</f>
        <v>0.3</v>
      </c>
      <c r="L22" s="1" t="s">
        <v>58</v>
      </c>
      <c r="M22" s="2" t="s">
        <v>41</v>
      </c>
      <c r="P22" s="1" t="b">
        <v>0</v>
      </c>
    </row>
    <row r="23" spans="1:16" x14ac:dyDescent="0.35">
      <c r="A23" s="1">
        <f>Arbre!$E$39</f>
        <v>-100</v>
      </c>
      <c r="B23" s="2" t="s">
        <v>50</v>
      </c>
      <c r="C23" s="1">
        <v>0</v>
      </c>
      <c r="H23" s="1" t="s">
        <v>40</v>
      </c>
      <c r="I23" s="1" t="s">
        <v>40</v>
      </c>
      <c r="J23" s="1">
        <f>Arbre!$D$39</f>
        <v>3</v>
      </c>
      <c r="K23" s="1">
        <f>Arbre!$D$38</f>
        <v>0.4</v>
      </c>
      <c r="L23" s="1" t="s">
        <v>58</v>
      </c>
      <c r="M23" s="2" t="s">
        <v>41</v>
      </c>
      <c r="P23" s="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9"/>
  <sheetViews>
    <sheetView topLeftCell="A16" zoomScaleNormal="100" workbookViewId="0">
      <selection activeCell="E3" sqref="E3"/>
    </sheetView>
  </sheetViews>
  <sheetFormatPr baseColWidth="10" defaultColWidth="9.1796875" defaultRowHeight="14.5" x14ac:dyDescent="0.35"/>
  <cols>
    <col min="1" max="1" width="11.453125" customWidth="1"/>
    <col min="2" max="2" width="20.54296875" customWidth="1"/>
    <col min="3" max="4" width="23.1796875" customWidth="1"/>
    <col min="5" max="5" width="16.7265625" customWidth="1"/>
    <col min="6" max="256" width="11.453125" customWidth="1"/>
  </cols>
  <sheetData>
    <row r="2" spans="2:5" x14ac:dyDescent="0.35">
      <c r="B2" s="13" t="s">
        <v>73</v>
      </c>
      <c r="C2" s="20">
        <v>2</v>
      </c>
    </row>
    <row r="3" spans="2:5" x14ac:dyDescent="0.35">
      <c r="B3" s="13" t="s">
        <v>74</v>
      </c>
      <c r="C3" s="20">
        <v>1</v>
      </c>
    </row>
    <row r="4" spans="2:5" x14ac:dyDescent="0.35">
      <c r="B4" s="13" t="s">
        <v>51</v>
      </c>
      <c r="C4" s="15">
        <v>100</v>
      </c>
    </row>
    <row r="5" spans="2:5" x14ac:dyDescent="0.35">
      <c r="B5" s="13" t="s">
        <v>71</v>
      </c>
      <c r="C5" s="17">
        <v>3</v>
      </c>
    </row>
    <row r="6" spans="2:5" x14ac:dyDescent="0.35">
      <c r="B6" s="13" t="s">
        <v>72</v>
      </c>
      <c r="C6" s="18" t="str">
        <f>VLOOKUP(C5,Meteo!A4:E6,2,FALSE)</f>
        <v>Averse</v>
      </c>
    </row>
    <row r="7" spans="2:5" x14ac:dyDescent="0.35">
      <c r="B7" s="13" t="s">
        <v>65</v>
      </c>
      <c r="C7" s="16">
        <f>VLOOKUP(C5,Meteo!A4:E6,5)</f>
        <v>0</v>
      </c>
    </row>
    <row r="8" spans="2:5" x14ac:dyDescent="0.35">
      <c r="B8" s="13" t="s">
        <v>52</v>
      </c>
      <c r="C8" s="16">
        <f>MIN(C4,C7)*C2</f>
        <v>0</v>
      </c>
    </row>
    <row r="9" spans="2:5" x14ac:dyDescent="0.35">
      <c r="B9" s="13" t="s">
        <v>53</v>
      </c>
      <c r="C9" s="16">
        <f>C4*C3</f>
        <v>100</v>
      </c>
    </row>
    <row r="10" spans="2:5" x14ac:dyDescent="0.35">
      <c r="B10" s="13" t="s">
        <v>54</v>
      </c>
      <c r="C10" s="19">
        <f>C8-C9</f>
        <v>-100</v>
      </c>
    </row>
    <row r="14" spans="2:5" ht="15" customHeight="1" x14ac:dyDescent="0.35">
      <c r="D14" s="12">
        <v>0.3</v>
      </c>
      <c r="E14" s="5">
        <f>_xll.PTreeNodeProbability(treeCalc_1!$F$2,5)</f>
        <v>0</v>
      </c>
    </row>
    <row r="15" spans="2:5" ht="15" customHeight="1" x14ac:dyDescent="0.35">
      <c r="D15" s="6">
        <v>1</v>
      </c>
      <c r="E15" s="4">
        <f>_xll.PTreeNodeValue(treeCalc_1!$F$2,5)</f>
        <v>0</v>
      </c>
    </row>
    <row r="16" spans="2:5" ht="15" customHeight="1" x14ac:dyDescent="0.35">
      <c r="C16" s="9" t="b">
        <f>_xll.PTreeNodeDecision(treeCalc_1!$F$2,2)</f>
        <v>0</v>
      </c>
      <c r="D16" s="10" t="s">
        <v>45</v>
      </c>
    </row>
    <row r="17" spans="2:5" ht="15" customHeight="1" x14ac:dyDescent="0.35">
      <c r="C17" s="6">
        <v>0</v>
      </c>
      <c r="D17" s="11">
        <f>_xll.PTreeNodeValue(treeCalc_1!$F$2,2)</f>
        <v>0</v>
      </c>
    </row>
    <row r="18" spans="2:5" ht="15" customHeight="1" x14ac:dyDescent="0.35">
      <c r="D18" s="12">
        <v>0.3</v>
      </c>
      <c r="E18" s="5">
        <f>_xll.PTreeNodeProbability(treeCalc_1!$F$2,6)</f>
        <v>0</v>
      </c>
    </row>
    <row r="19" spans="2:5" ht="15" customHeight="1" x14ac:dyDescent="0.35">
      <c r="D19" s="6">
        <v>2</v>
      </c>
      <c r="E19" s="4">
        <f>_xll.PTreeNodeValue(treeCalc_1!$F$2,6)</f>
        <v>0</v>
      </c>
    </row>
    <row r="20" spans="2:5" ht="15" customHeight="1" x14ac:dyDescent="0.35">
      <c r="D20" s="12">
        <v>0.4</v>
      </c>
      <c r="E20" s="5">
        <f>_xll.PTreeNodeProbability(treeCalc_1!$F$2,7)</f>
        <v>0</v>
      </c>
    </row>
    <row r="21" spans="2:5" ht="15" customHeight="1" x14ac:dyDescent="0.35">
      <c r="D21" s="6">
        <v>3</v>
      </c>
      <c r="E21" s="4">
        <f>_xll.PTreeNodeValue(treeCalc_1!$F$2,7)</f>
        <v>0</v>
      </c>
    </row>
    <row r="22" spans="2:5" ht="15" customHeight="1" x14ac:dyDescent="0.35">
      <c r="B22" s="6"/>
      <c r="C22" s="7" t="s">
        <v>60</v>
      </c>
    </row>
    <row r="23" spans="2:5" ht="15" customHeight="1" x14ac:dyDescent="0.35">
      <c r="B23" s="6"/>
      <c r="C23" s="8">
        <f>_xll.PTreeNodeValue(treeCalc_1!$F$2,1)</f>
        <v>10</v>
      </c>
    </row>
    <row r="24" spans="2:5" ht="15" customHeight="1" x14ac:dyDescent="0.35">
      <c r="D24" s="12">
        <v>0.3</v>
      </c>
      <c r="E24" s="5">
        <f>_xll.PTreeNodeProbability(treeCalc_1!$F$2,8)</f>
        <v>0.3</v>
      </c>
    </row>
    <row r="25" spans="2:5" ht="15" customHeight="1" x14ac:dyDescent="0.35">
      <c r="D25" s="6">
        <v>1</v>
      </c>
      <c r="E25" s="4">
        <f>_xll.PTreeNodeValue(treeCalc_1!$F$2,8)</f>
        <v>50</v>
      </c>
    </row>
    <row r="26" spans="2:5" ht="15" customHeight="1" x14ac:dyDescent="0.35">
      <c r="C26" s="9" t="b">
        <f>_xll.PTreeNodeDecision(treeCalc_1!$F$2,3)</f>
        <v>1</v>
      </c>
      <c r="D26" s="10" t="s">
        <v>45</v>
      </c>
    </row>
    <row r="27" spans="2:5" ht="15" customHeight="1" x14ac:dyDescent="0.35">
      <c r="C27" s="6">
        <v>50</v>
      </c>
      <c r="D27" s="11">
        <f>_xll.PTreeNodeValue(treeCalc_1!$F$2,3)</f>
        <v>10</v>
      </c>
    </row>
    <row r="28" spans="2:5" ht="15" customHeight="1" x14ac:dyDescent="0.35">
      <c r="D28" s="12">
        <v>0.3</v>
      </c>
      <c r="E28" s="5">
        <f>_xll.PTreeNodeProbability(treeCalc_1!$F$2,9)</f>
        <v>0.3</v>
      </c>
    </row>
    <row r="29" spans="2:5" ht="15" customHeight="1" x14ac:dyDescent="0.35">
      <c r="D29" s="6">
        <v>2</v>
      </c>
      <c r="E29" s="4">
        <f>_xll.PTreeNodeValue(treeCalc_1!$F$2,9)</f>
        <v>50</v>
      </c>
    </row>
    <row r="30" spans="2:5" ht="15" customHeight="1" x14ac:dyDescent="0.35">
      <c r="D30" s="12">
        <v>0.4</v>
      </c>
      <c r="E30" s="5">
        <f>_xll.PTreeNodeProbability(treeCalc_1!$F$2,10)</f>
        <v>0.4</v>
      </c>
    </row>
    <row r="31" spans="2:5" ht="15" customHeight="1" x14ac:dyDescent="0.35">
      <c r="D31" s="6">
        <v>3</v>
      </c>
      <c r="E31" s="4">
        <f>_xll.PTreeNodeValue(treeCalc_1!$F$2,10)</f>
        <v>-50</v>
      </c>
    </row>
    <row r="32" spans="2:5" ht="15" customHeight="1" x14ac:dyDescent="0.35">
      <c r="D32" s="12">
        <v>0.3</v>
      </c>
      <c r="E32" s="5">
        <f>_xll.PTreeNodeProbability(treeCalc_1!$F$2,11)</f>
        <v>0</v>
      </c>
    </row>
    <row r="33" spans="3:5" ht="15" customHeight="1" x14ac:dyDescent="0.35">
      <c r="D33" s="6">
        <v>1</v>
      </c>
      <c r="E33" s="4">
        <f>_xll.PTreeNodeValue(treeCalc_1!$F$2,11)</f>
        <v>100</v>
      </c>
    </row>
    <row r="34" spans="3:5" ht="15" customHeight="1" x14ac:dyDescent="0.35">
      <c r="C34" s="9" t="b">
        <f>_xll.PTreeNodeDecision(treeCalc_1!$F$2,4)</f>
        <v>0</v>
      </c>
      <c r="D34" s="10" t="s">
        <v>45</v>
      </c>
    </row>
    <row r="35" spans="3:5" ht="15" customHeight="1" x14ac:dyDescent="0.35">
      <c r="C35" s="6">
        <v>100</v>
      </c>
      <c r="D35" s="11">
        <f>_xll.PTreeNodeValue(treeCalc_1!$F$2,4)</f>
        <v>-10</v>
      </c>
    </row>
    <row r="36" spans="3:5" ht="15" customHeight="1" x14ac:dyDescent="0.35">
      <c r="D36" s="12">
        <v>0.3</v>
      </c>
      <c r="E36" s="5">
        <f>_xll.PTreeNodeProbability(treeCalc_1!$F$2,12)</f>
        <v>0</v>
      </c>
    </row>
    <row r="37" spans="3:5" ht="15" customHeight="1" x14ac:dyDescent="0.35">
      <c r="D37" s="6">
        <v>2</v>
      </c>
      <c r="E37" s="4">
        <f>_xll.PTreeNodeValue(treeCalc_1!$F$2,12)</f>
        <v>0</v>
      </c>
    </row>
    <row r="38" spans="3:5" ht="15" customHeight="1" x14ac:dyDescent="0.35">
      <c r="D38" s="12">
        <v>0.4</v>
      </c>
      <c r="E38" s="5">
        <f>_xll.PTreeNodeProbability(treeCalc_1!$F$2,13)</f>
        <v>0</v>
      </c>
    </row>
    <row r="39" spans="3:5" ht="15" customHeight="1" x14ac:dyDescent="0.35">
      <c r="D39" s="6">
        <v>3</v>
      </c>
      <c r="E39" s="4">
        <f>_xll.PTreeNodeValue(treeCalc_1!$F$2,13)</f>
        <v>-100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44"/>
  <sheetViews>
    <sheetView topLeftCell="A4" workbookViewId="0">
      <selection activeCell="E12" sqref="E12"/>
    </sheetView>
  </sheetViews>
  <sheetFormatPr baseColWidth="10" defaultColWidth="9.1796875" defaultRowHeight="14.5" x14ac:dyDescent="0.35"/>
  <cols>
    <col min="2" max="2" width="23.7265625" customWidth="1"/>
    <col min="3" max="4" width="23.1796875" customWidth="1"/>
    <col min="5" max="5" width="16.7265625" customWidth="1"/>
  </cols>
  <sheetData>
    <row r="2" spans="2:3" x14ac:dyDescent="0.35">
      <c r="B2" s="13" t="s">
        <v>73</v>
      </c>
      <c r="C2" s="20">
        <v>2</v>
      </c>
    </row>
    <row r="3" spans="2:3" x14ac:dyDescent="0.35">
      <c r="B3" s="13" t="s">
        <v>74</v>
      </c>
      <c r="C3" s="20">
        <v>1</v>
      </c>
    </row>
    <row r="4" spans="2:3" x14ac:dyDescent="0.35">
      <c r="B4" s="13" t="s">
        <v>51</v>
      </c>
      <c r="C4" s="15">
        <v>100</v>
      </c>
    </row>
    <row r="5" spans="2:3" x14ac:dyDescent="0.35">
      <c r="B5" s="13" t="s">
        <v>45</v>
      </c>
      <c r="C5" s="17">
        <v>1</v>
      </c>
    </row>
    <row r="6" spans="2:3" x14ac:dyDescent="0.35">
      <c r="B6" s="13" t="s">
        <v>72</v>
      </c>
      <c r="C6" s="18" t="str">
        <f>VLOOKUP(C5,Meteo!A4:E6,2,FALSE)</f>
        <v>Ensoleillé</v>
      </c>
    </row>
    <row r="7" spans="2:3" x14ac:dyDescent="0.35">
      <c r="B7" s="13" t="s">
        <v>65</v>
      </c>
      <c r="C7" s="16">
        <f>VLOOKUP(C5,Meteo!A4:E6,5)</f>
        <v>100</v>
      </c>
    </row>
    <row r="8" spans="2:3" x14ac:dyDescent="0.35">
      <c r="B8" s="13" t="s">
        <v>52</v>
      </c>
      <c r="C8" s="16">
        <f>MIN(C4,C7)*C2</f>
        <v>200</v>
      </c>
    </row>
    <row r="9" spans="2:3" x14ac:dyDescent="0.35">
      <c r="B9" s="13" t="s">
        <v>120</v>
      </c>
      <c r="C9" s="16">
        <f>C4*C3</f>
        <v>100</v>
      </c>
    </row>
    <row r="10" spans="2:3" x14ac:dyDescent="0.35">
      <c r="B10" s="13" t="s">
        <v>119</v>
      </c>
      <c r="C10" s="20">
        <v>0</v>
      </c>
    </row>
    <row r="11" spans="2:3" x14ac:dyDescent="0.35">
      <c r="B11" s="13" t="s">
        <v>54</v>
      </c>
      <c r="C11" s="19">
        <f>C8-C9-C10</f>
        <v>100</v>
      </c>
    </row>
    <row r="13" spans="2:3" x14ac:dyDescent="0.35">
      <c r="B13" t="s">
        <v>122</v>
      </c>
      <c r="C13">
        <f>C28</f>
        <v>3.4832756632064643E-2</v>
      </c>
    </row>
    <row r="14" spans="2:3" x14ac:dyDescent="0.35">
      <c r="B14" t="s">
        <v>121</v>
      </c>
      <c r="C14">
        <f>Arbre!C23</f>
        <v>10</v>
      </c>
    </row>
    <row r="15" spans="2:3" x14ac:dyDescent="0.35">
      <c r="B15" t="s">
        <v>127</v>
      </c>
      <c r="C15" s="26">
        <f>C13-C14</f>
        <v>-9.9651672433679348</v>
      </c>
    </row>
    <row r="19" spans="2:5" ht="15" customHeight="1" x14ac:dyDescent="0.35">
      <c r="D19" s="9" t="b">
        <f>_xll.PTreeNodeDecision(treeCalc_3!$F$2,5)</f>
        <v>0</v>
      </c>
      <c r="E19" s="5">
        <f>_xll.PTreeNodeProbability(treeCalc_3!$F$2,5)</f>
        <v>0</v>
      </c>
    </row>
    <row r="20" spans="2:5" ht="15" customHeight="1" x14ac:dyDescent="0.35">
      <c r="D20" s="6">
        <v>0</v>
      </c>
      <c r="E20" s="4">
        <f>_xll.PTreeNodeValue(treeCalc_3!$F$2,5)</f>
        <v>0</v>
      </c>
    </row>
    <row r="21" spans="2:5" x14ac:dyDescent="0.35">
      <c r="C21" s="12">
        <v>0.3</v>
      </c>
      <c r="D21" s="7" t="s">
        <v>105</v>
      </c>
    </row>
    <row r="22" spans="2:5" x14ac:dyDescent="0.35">
      <c r="C22" s="6">
        <v>1</v>
      </c>
      <c r="D22" s="8">
        <f>_xll.PTreeNodeValue(treeCalc_3!$F$2,2)</f>
        <v>7.6893502499038924E-2</v>
      </c>
    </row>
    <row r="23" spans="2:5" ht="15" customHeight="1" x14ac:dyDescent="0.35">
      <c r="D23" s="9" t="b">
        <f>_xll.PTreeNodeDecision(treeCalc_3!$F$2,6)</f>
        <v>0</v>
      </c>
      <c r="E23" s="5">
        <f>_xll.PTreeNodeProbability(treeCalc_3!$F$2,6)</f>
        <v>0</v>
      </c>
    </row>
    <row r="24" spans="2:5" ht="15" customHeight="1" x14ac:dyDescent="0.35">
      <c r="D24" s="6">
        <v>50</v>
      </c>
      <c r="E24" s="4">
        <f>_xll.PTreeNodeValue(treeCalc_3!$F$2,6)</f>
        <v>3.9215686274509887E-2</v>
      </c>
    </row>
    <row r="25" spans="2:5" ht="15" customHeight="1" x14ac:dyDescent="0.35">
      <c r="D25" s="9" t="b">
        <f>_xll.PTreeNodeDecision(treeCalc_3!$F$2,7)</f>
        <v>1</v>
      </c>
      <c r="E25" s="5">
        <f>_xll.PTreeNodeProbability(treeCalc_3!$F$2,7)</f>
        <v>0.3</v>
      </c>
    </row>
    <row r="26" spans="2:5" ht="15" customHeight="1" x14ac:dyDescent="0.35">
      <c r="D26" s="6">
        <v>100</v>
      </c>
      <c r="E26" s="4">
        <f>_xll.PTreeNodeValue(treeCalc_3!$F$2,7)</f>
        <v>7.6893502499038924E-2</v>
      </c>
    </row>
    <row r="27" spans="2:5" ht="15" customHeight="1" x14ac:dyDescent="0.35">
      <c r="B27" s="6"/>
      <c r="C27" s="10" t="s">
        <v>45</v>
      </c>
    </row>
    <row r="28" spans="2:5" ht="15" customHeight="1" x14ac:dyDescent="0.35">
      <c r="B28" s="6"/>
      <c r="C28" s="11">
        <f>_xll.PTreeNodeValue(treeCalc_3!$F$2,1)</f>
        <v>3.4832756632064643E-2</v>
      </c>
    </row>
    <row r="29" spans="2:5" ht="15" customHeight="1" x14ac:dyDescent="0.35">
      <c r="D29" s="9" t="b">
        <f>_xll.PTreeNodeDecision(treeCalc_3!$F$2,8)</f>
        <v>0</v>
      </c>
      <c r="E29" s="5">
        <f>_xll.PTreeNodeProbability(treeCalc_3!$F$2,8)</f>
        <v>0</v>
      </c>
    </row>
    <row r="30" spans="2:5" ht="15" customHeight="1" x14ac:dyDescent="0.35">
      <c r="D30" s="6">
        <v>0</v>
      </c>
      <c r="E30" s="4">
        <f>_xll.PTreeNodeValue(treeCalc_3!$F$2,8)</f>
        <v>0</v>
      </c>
    </row>
    <row r="31" spans="2:5" ht="15" customHeight="1" x14ac:dyDescent="0.35">
      <c r="C31" s="12">
        <v>0.3</v>
      </c>
      <c r="D31" s="7" t="s">
        <v>105</v>
      </c>
    </row>
    <row r="32" spans="2:5" ht="15" customHeight="1" x14ac:dyDescent="0.35">
      <c r="C32" s="6">
        <v>2</v>
      </c>
      <c r="D32" s="8">
        <f>_xll.PTreeNodeValue(treeCalc_3!$F$2,3)</f>
        <v>3.9215686274509887E-2</v>
      </c>
    </row>
    <row r="33" spans="3:5" ht="15" customHeight="1" x14ac:dyDescent="0.35">
      <c r="D33" s="9" t="b">
        <f>_xll.PTreeNodeDecision(treeCalc_3!$F$2,9)</f>
        <v>1</v>
      </c>
      <c r="E33" s="5">
        <f>_xll.PTreeNodeProbability(treeCalc_3!$F$2,9)</f>
        <v>0.3</v>
      </c>
    </row>
    <row r="34" spans="3:5" ht="15" customHeight="1" x14ac:dyDescent="0.35">
      <c r="D34" s="6">
        <v>50</v>
      </c>
      <c r="E34" s="4">
        <f>_xll.PTreeNodeValue(treeCalc_3!$F$2,9)</f>
        <v>3.9215686274509887E-2</v>
      </c>
    </row>
    <row r="35" spans="3:5" ht="15" customHeight="1" x14ac:dyDescent="0.35">
      <c r="D35" s="9" t="b">
        <f>_xll.PTreeNodeDecision(treeCalc_3!$F$2,10)</f>
        <v>0</v>
      </c>
      <c r="E35" s="5">
        <f>_xll.PTreeNodeProbability(treeCalc_3!$F$2,10)</f>
        <v>0</v>
      </c>
    </row>
    <row r="36" spans="3:5" ht="15" customHeight="1" x14ac:dyDescent="0.35">
      <c r="D36" s="6">
        <v>100</v>
      </c>
      <c r="E36" s="4">
        <f>_xll.PTreeNodeValue(treeCalc_3!$F$2,10)</f>
        <v>0</v>
      </c>
    </row>
    <row r="37" spans="3:5" ht="15" customHeight="1" x14ac:dyDescent="0.35">
      <c r="D37" s="9" t="b">
        <f>_xll.PTreeNodeDecision(treeCalc_3!$F$2,11)</f>
        <v>1</v>
      </c>
      <c r="E37" s="5">
        <f>_xll.PTreeNodeProbability(treeCalc_3!$F$2,11)</f>
        <v>0.4</v>
      </c>
    </row>
    <row r="38" spans="3:5" ht="15" customHeight="1" x14ac:dyDescent="0.35">
      <c r="D38" s="6">
        <v>0</v>
      </c>
      <c r="E38" s="4">
        <f>_xll.PTreeNodeValue(treeCalc_3!$F$2,11)</f>
        <v>0</v>
      </c>
    </row>
    <row r="39" spans="3:5" ht="15" customHeight="1" x14ac:dyDescent="0.35">
      <c r="C39" s="12">
        <v>0.4</v>
      </c>
      <c r="D39" s="7" t="s">
        <v>105</v>
      </c>
    </row>
    <row r="40" spans="3:5" ht="15" customHeight="1" x14ac:dyDescent="0.35">
      <c r="C40" s="6">
        <v>3</v>
      </c>
      <c r="D40" s="8">
        <f>_xll.PTreeNodeValue(treeCalc_3!$F$2,4)</f>
        <v>0</v>
      </c>
    </row>
    <row r="41" spans="3:5" ht="15" customHeight="1" x14ac:dyDescent="0.35">
      <c r="D41" s="9" t="b">
        <f>_xll.PTreeNodeDecision(treeCalc_3!$F$2,12)</f>
        <v>0</v>
      </c>
      <c r="E41" s="5">
        <f>_xll.PTreeNodeProbability(treeCalc_3!$F$2,12)</f>
        <v>0</v>
      </c>
    </row>
    <row r="42" spans="3:5" ht="15" customHeight="1" x14ac:dyDescent="0.35">
      <c r="D42" s="6">
        <v>50</v>
      </c>
      <c r="E42" s="4">
        <f>_xll.PTreeNodeValue(treeCalc_3!$F$2,12)</f>
        <v>-4.081632653061229E-2</v>
      </c>
    </row>
    <row r="43" spans="3:5" ht="15" customHeight="1" x14ac:dyDescent="0.35">
      <c r="D43" s="9" t="b">
        <f>_xll.PTreeNodeDecision(treeCalc_3!$F$2,13)</f>
        <v>0</v>
      </c>
      <c r="E43" s="5">
        <f>_xll.PTreeNodeProbability(treeCalc_3!$F$2,13)</f>
        <v>0</v>
      </c>
    </row>
    <row r="44" spans="3:5" ht="15" customHeight="1" x14ac:dyDescent="0.35">
      <c r="D44" s="6">
        <v>100</v>
      </c>
      <c r="E44" s="4">
        <f>_xll.PTreeNodeValue(treeCalc_3!$F$2,13)</f>
        <v>-8.3298625572678198E-2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73"/>
  <sheetViews>
    <sheetView workbookViewId="0">
      <selection activeCell="E12" sqref="E12"/>
    </sheetView>
  </sheetViews>
  <sheetFormatPr baseColWidth="10" defaultColWidth="9.1796875" defaultRowHeight="14.5" x14ac:dyDescent="0.35"/>
  <cols>
    <col min="2" max="2" width="25.1796875" customWidth="1"/>
    <col min="3" max="3" width="27.81640625" customWidth="1"/>
    <col min="4" max="5" width="23.1796875" customWidth="1"/>
    <col min="6" max="6" width="16.7265625" customWidth="1"/>
  </cols>
  <sheetData>
    <row r="2" spans="2:3" x14ac:dyDescent="0.35">
      <c r="B2" s="13" t="s">
        <v>73</v>
      </c>
      <c r="C2" s="20">
        <v>2</v>
      </c>
    </row>
    <row r="3" spans="2:3" x14ac:dyDescent="0.35">
      <c r="B3" s="13" t="s">
        <v>74</v>
      </c>
      <c r="C3" s="20">
        <v>1</v>
      </c>
    </row>
    <row r="4" spans="2:3" x14ac:dyDescent="0.35">
      <c r="B4" s="13" t="s">
        <v>51</v>
      </c>
      <c r="C4" s="15">
        <v>100</v>
      </c>
    </row>
    <row r="5" spans="2:3" x14ac:dyDescent="0.35">
      <c r="B5" s="13" t="s">
        <v>45</v>
      </c>
      <c r="C5" s="17">
        <v>1</v>
      </c>
    </row>
    <row r="6" spans="2:3" x14ac:dyDescent="0.35">
      <c r="B6" s="13" t="s">
        <v>72</v>
      </c>
      <c r="C6" s="18" t="str">
        <f>VLOOKUP(C5,Meteo!A4:E6,2,FALSE)</f>
        <v>Ensoleillé</v>
      </c>
    </row>
    <row r="7" spans="2:3" x14ac:dyDescent="0.35">
      <c r="B7" s="13" t="s">
        <v>65</v>
      </c>
      <c r="C7" s="16">
        <f>VLOOKUP(C5,Meteo!A4:E6,5)</f>
        <v>100</v>
      </c>
    </row>
    <row r="8" spans="2:3" x14ac:dyDescent="0.35">
      <c r="B8" s="13" t="s">
        <v>52</v>
      </c>
      <c r="C8" s="16">
        <f>MIN(C4,C7)*C2</f>
        <v>200</v>
      </c>
    </row>
    <row r="9" spans="2:3" x14ac:dyDescent="0.35">
      <c r="B9" s="13" t="s">
        <v>120</v>
      </c>
      <c r="C9" s="16">
        <f>C4*C3</f>
        <v>100</v>
      </c>
    </row>
    <row r="10" spans="2:3" x14ac:dyDescent="0.35">
      <c r="B10" s="13" t="s">
        <v>119</v>
      </c>
      <c r="C10" s="20">
        <v>0</v>
      </c>
    </row>
    <row r="11" spans="2:3" x14ac:dyDescent="0.35">
      <c r="B11" s="13" t="s">
        <v>54</v>
      </c>
      <c r="C11" s="19">
        <f>C8-C9-C10</f>
        <v>100</v>
      </c>
    </row>
    <row r="13" spans="2:3" x14ac:dyDescent="0.35">
      <c r="B13" t="s">
        <v>122</v>
      </c>
      <c r="C13">
        <f>C47</f>
        <v>2.3068050749711678E-2</v>
      </c>
    </row>
    <row r="14" spans="2:3" x14ac:dyDescent="0.35">
      <c r="B14" t="s">
        <v>121</v>
      </c>
      <c r="C14">
        <f>Arbre!C23</f>
        <v>10</v>
      </c>
    </row>
    <row r="15" spans="2:3" x14ac:dyDescent="0.35">
      <c r="B15" t="s">
        <v>127</v>
      </c>
      <c r="C15" s="26">
        <f>C13-C14</f>
        <v>-9.9769319492502877</v>
      </c>
    </row>
    <row r="20" spans="3:6" ht="15" customHeight="1" x14ac:dyDescent="0.35">
      <c r="E20" s="12">
        <v>0</v>
      </c>
      <c r="F20" s="5">
        <f>_xll.PTreeNodeProbability(treeCalc_4!$F$2,4)</f>
        <v>0</v>
      </c>
    </row>
    <row r="21" spans="3:6" ht="15" customHeight="1" x14ac:dyDescent="0.35">
      <c r="E21" s="6">
        <v>1</v>
      </c>
      <c r="F21" s="4">
        <f>_xll.PTreeNodeValue(treeCalc_4!$F$2,4)</f>
        <v>0</v>
      </c>
    </row>
    <row r="22" spans="3:6" ht="15" customHeight="1" x14ac:dyDescent="0.35">
      <c r="D22" s="9" t="b">
        <f>_xll.PTreeNodeDecision(treeCalc_4!$F$2,5)</f>
        <v>1</v>
      </c>
      <c r="E22" s="10" t="s">
        <v>45</v>
      </c>
    </row>
    <row r="23" spans="3:6" ht="15" customHeight="1" x14ac:dyDescent="0.35">
      <c r="D23" s="6">
        <v>0</v>
      </c>
      <c r="E23" s="11">
        <f>_xll.PTreeNodeValue(treeCalc_4!$F$2,5)</f>
        <v>0</v>
      </c>
    </row>
    <row r="24" spans="3:6" ht="15" customHeight="1" x14ac:dyDescent="0.35">
      <c r="E24" s="12">
        <v>0.27</v>
      </c>
      <c r="F24" s="5">
        <f>_xll.PTreeNodeProbability(treeCalc_4!$F$2,11)</f>
        <v>0.14850000000000002</v>
      </c>
    </row>
    <row r="25" spans="3:6" ht="15" customHeight="1" x14ac:dyDescent="0.35">
      <c r="E25" s="6">
        <v>2</v>
      </c>
      <c r="F25" s="4">
        <f>_xll.PTreeNodeValue(treeCalc_4!$F$2,11)</f>
        <v>0</v>
      </c>
    </row>
    <row r="26" spans="3:6" ht="15" customHeight="1" x14ac:dyDescent="0.35">
      <c r="E26" s="12">
        <v>0.73</v>
      </c>
      <c r="F26" s="5">
        <f>_xll.PTreeNodeProbability(treeCalc_4!$F$2,12)</f>
        <v>0.40150000000000002</v>
      </c>
    </row>
    <row r="27" spans="3:6" ht="15" customHeight="1" x14ac:dyDescent="0.35">
      <c r="E27" s="6">
        <v>3</v>
      </c>
      <c r="F27" s="4">
        <f>_xll.PTreeNodeValue(treeCalc_4!$F$2,12)</f>
        <v>0</v>
      </c>
    </row>
    <row r="28" spans="3:6" x14ac:dyDescent="0.35">
      <c r="C28" s="12">
        <v>0.55000000000000004</v>
      </c>
      <c r="D28" s="7" t="s">
        <v>105</v>
      </c>
    </row>
    <row r="29" spans="3:6" x14ac:dyDescent="0.35">
      <c r="C29" s="6">
        <v>0</v>
      </c>
      <c r="D29" s="8">
        <f>_xll.PTreeNodeValue(treeCalc_4!$F$2,2)</f>
        <v>0</v>
      </c>
    </row>
    <row r="30" spans="3:6" x14ac:dyDescent="0.35">
      <c r="E30" s="12">
        <v>0</v>
      </c>
      <c r="F30" s="5">
        <f>_xll.PTreeNodeProbability(treeCalc_4!$F$2,13)</f>
        <v>0</v>
      </c>
    </row>
    <row r="31" spans="3:6" x14ac:dyDescent="0.35">
      <c r="E31" s="6">
        <v>1</v>
      </c>
      <c r="F31" s="4">
        <f>_xll.PTreeNodeValue(treeCalc_4!$F$2,13)</f>
        <v>3.9215686274509887E-2</v>
      </c>
    </row>
    <row r="32" spans="3:6" ht="15" customHeight="1" x14ac:dyDescent="0.35">
      <c r="D32" s="9" t="b">
        <f>_xll.PTreeNodeDecision(treeCalc_4!$F$2,6)</f>
        <v>0</v>
      </c>
      <c r="E32" s="10" t="s">
        <v>45</v>
      </c>
    </row>
    <row r="33" spans="2:6" ht="15" customHeight="1" x14ac:dyDescent="0.35">
      <c r="D33" s="6">
        <v>50</v>
      </c>
      <c r="E33" s="11">
        <f>_xll.PTreeNodeValue(treeCalc_4!$F$2,6)</f>
        <v>-1.9207683073229301E-2</v>
      </c>
    </row>
    <row r="34" spans="2:6" ht="15" customHeight="1" x14ac:dyDescent="0.35">
      <c r="E34" s="12">
        <v>0.27</v>
      </c>
      <c r="F34" s="5">
        <f>_xll.PTreeNodeProbability(treeCalc_4!$F$2,14)</f>
        <v>0</v>
      </c>
    </row>
    <row r="35" spans="2:6" ht="15" customHeight="1" x14ac:dyDescent="0.35">
      <c r="E35" s="6">
        <v>2</v>
      </c>
      <c r="F35" s="4">
        <f>_xll.PTreeNodeValue(treeCalc_4!$F$2,14)</f>
        <v>3.9215686274509887E-2</v>
      </c>
    </row>
    <row r="36" spans="2:6" ht="15" customHeight="1" x14ac:dyDescent="0.35">
      <c r="E36" s="12">
        <v>0.73</v>
      </c>
      <c r="F36" s="5">
        <f>_xll.PTreeNodeProbability(treeCalc_4!$F$2,15)</f>
        <v>0</v>
      </c>
    </row>
    <row r="37" spans="2:6" ht="15" customHeight="1" x14ac:dyDescent="0.35">
      <c r="E37" s="6">
        <v>3</v>
      </c>
      <c r="F37" s="4">
        <f>_xll.PTreeNodeValue(treeCalc_4!$F$2,15)</f>
        <v>-4.081632653061229E-2</v>
      </c>
    </row>
    <row r="38" spans="2:6" ht="15" customHeight="1" x14ac:dyDescent="0.35">
      <c r="E38" s="12">
        <v>0</v>
      </c>
      <c r="F38" s="5">
        <f>_xll.PTreeNodeProbability(treeCalc_4!$F$2,16)</f>
        <v>0</v>
      </c>
    </row>
    <row r="39" spans="2:6" ht="15" customHeight="1" x14ac:dyDescent="0.35">
      <c r="E39" s="6">
        <v>1</v>
      </c>
      <c r="F39" s="4">
        <f>_xll.PTreeNodeValue(treeCalc_4!$F$2,16)</f>
        <v>7.6893502499038924E-2</v>
      </c>
    </row>
    <row r="40" spans="2:6" ht="15" customHeight="1" x14ac:dyDescent="0.35">
      <c r="D40" s="9" t="b">
        <f>_xll.PTreeNodeDecision(treeCalc_4!$F$2,7)</f>
        <v>0</v>
      </c>
      <c r="E40" s="10" t="s">
        <v>45</v>
      </c>
    </row>
    <row r="41" spans="2:6" ht="15" customHeight="1" x14ac:dyDescent="0.35">
      <c r="D41" s="6">
        <v>100</v>
      </c>
      <c r="E41" s="11">
        <f>_xll.PTreeNodeValue(treeCalc_4!$F$2,7)</f>
        <v>-6.080799666805508E-2</v>
      </c>
    </row>
    <row r="42" spans="2:6" ht="15" customHeight="1" x14ac:dyDescent="0.35">
      <c r="E42" s="12">
        <v>0.27</v>
      </c>
      <c r="F42" s="5">
        <f>_xll.PTreeNodeProbability(treeCalc_4!$F$2,17)</f>
        <v>0</v>
      </c>
    </row>
    <row r="43" spans="2:6" ht="15" customHeight="1" x14ac:dyDescent="0.35">
      <c r="E43" s="6">
        <v>2</v>
      </c>
      <c r="F43" s="4">
        <f>_xll.PTreeNodeValue(treeCalc_4!$F$2,17)</f>
        <v>0</v>
      </c>
    </row>
    <row r="44" spans="2:6" ht="15" customHeight="1" x14ac:dyDescent="0.35">
      <c r="E44" s="12">
        <v>0.73</v>
      </c>
      <c r="F44" s="5">
        <f>_xll.PTreeNodeProbability(treeCalc_4!$F$2,18)</f>
        <v>0</v>
      </c>
    </row>
    <row r="45" spans="2:6" ht="15" customHeight="1" x14ac:dyDescent="0.35">
      <c r="E45" s="6">
        <v>3</v>
      </c>
      <c r="F45" s="4">
        <f>_xll.PTreeNodeValue(treeCalc_4!$F$2,18)</f>
        <v>-8.3298625572678198E-2</v>
      </c>
    </row>
    <row r="46" spans="2:6" ht="15" customHeight="1" x14ac:dyDescent="0.35">
      <c r="B46" s="6"/>
      <c r="C46" s="10" t="s">
        <v>118</v>
      </c>
    </row>
    <row r="47" spans="2:6" ht="15" customHeight="1" x14ac:dyDescent="0.35">
      <c r="B47" s="6"/>
      <c r="C47" s="11">
        <f>_xll.PTreeNodeValue(treeCalc_4!$F$2,1)</f>
        <v>2.3068050749711678E-2</v>
      </c>
    </row>
    <row r="48" spans="2:6" ht="15" customHeight="1" x14ac:dyDescent="0.35">
      <c r="E48" s="12">
        <f>2/3</f>
        <v>0.66666666666666663</v>
      </c>
      <c r="F48" s="5">
        <f>_xll.PTreeNodeProbability(treeCalc_4!$F$2,19)</f>
        <v>0</v>
      </c>
    </row>
    <row r="49" spans="3:6" ht="15" customHeight="1" x14ac:dyDescent="0.35">
      <c r="E49" s="6">
        <v>1</v>
      </c>
      <c r="F49" s="4">
        <f>_xll.PTreeNodeValue(treeCalc_4!$F$2,19)</f>
        <v>0</v>
      </c>
    </row>
    <row r="50" spans="3:6" ht="15" customHeight="1" x14ac:dyDescent="0.35">
      <c r="D50" s="9" t="b">
        <f>_xll.PTreeNodeDecision(treeCalc_4!$F$2,8)</f>
        <v>0</v>
      </c>
      <c r="E50" s="10" t="s">
        <v>45</v>
      </c>
    </row>
    <row r="51" spans="3:6" ht="15" customHeight="1" x14ac:dyDescent="0.35">
      <c r="D51" s="6">
        <v>0</v>
      </c>
      <c r="E51" s="11">
        <f>_xll.PTreeNodeValue(treeCalc_4!$F$2,8)</f>
        <v>0</v>
      </c>
    </row>
    <row r="52" spans="3:6" ht="15" customHeight="1" x14ac:dyDescent="0.35">
      <c r="E52" s="12">
        <f>1/3</f>
        <v>0.33333333333333331</v>
      </c>
      <c r="F52" s="5">
        <f>_xll.PTreeNodeProbability(treeCalc_4!$F$2,20)</f>
        <v>0</v>
      </c>
    </row>
    <row r="53" spans="3:6" ht="15" customHeight="1" x14ac:dyDescent="0.35">
      <c r="E53" s="6">
        <v>2</v>
      </c>
      <c r="F53" s="4">
        <f>_xll.PTreeNodeValue(treeCalc_4!$F$2,20)</f>
        <v>0</v>
      </c>
    </row>
    <row r="54" spans="3:6" ht="15" customHeight="1" x14ac:dyDescent="0.35">
      <c r="E54" s="12">
        <f>0</f>
        <v>0</v>
      </c>
      <c r="F54" s="5">
        <f>_xll.PTreeNodeProbability(treeCalc_4!$F$2,21)</f>
        <v>0</v>
      </c>
    </row>
    <row r="55" spans="3:6" ht="15" customHeight="1" x14ac:dyDescent="0.35">
      <c r="E55" s="6">
        <v>3</v>
      </c>
      <c r="F55" s="4">
        <f>_xll.PTreeNodeValue(treeCalc_4!$F$2,21)</f>
        <v>0</v>
      </c>
    </row>
    <row r="56" spans="3:6" ht="15" customHeight="1" x14ac:dyDescent="0.35">
      <c r="C56" s="12">
        <v>0.45</v>
      </c>
      <c r="D56" s="7" t="s">
        <v>105</v>
      </c>
    </row>
    <row r="57" spans="3:6" ht="15" customHeight="1" x14ac:dyDescent="0.35">
      <c r="C57" s="6">
        <v>1</v>
      </c>
      <c r="D57" s="8">
        <f>_xll.PTreeNodeValue(treeCalc_4!$F$2,3)</f>
        <v>5.1262334999359283E-2</v>
      </c>
    </row>
    <row r="58" spans="3:6" ht="15" customHeight="1" x14ac:dyDescent="0.35">
      <c r="E58" s="12">
        <f>2/3</f>
        <v>0.66666666666666663</v>
      </c>
      <c r="F58" s="5">
        <f>_xll.PTreeNodeProbability(treeCalc_4!$F$2,22)</f>
        <v>0</v>
      </c>
    </row>
    <row r="59" spans="3:6" ht="15" customHeight="1" x14ac:dyDescent="0.35">
      <c r="E59" s="6">
        <v>1</v>
      </c>
      <c r="F59" s="4">
        <f>_xll.PTreeNodeValue(treeCalc_4!$F$2,22)</f>
        <v>3.9215686274509887E-2</v>
      </c>
    </row>
    <row r="60" spans="3:6" ht="15" customHeight="1" x14ac:dyDescent="0.35">
      <c r="D60" s="9" t="b">
        <f>_xll.PTreeNodeDecision(treeCalc_4!$F$2,9)</f>
        <v>0</v>
      </c>
      <c r="E60" s="10" t="s">
        <v>45</v>
      </c>
    </row>
    <row r="61" spans="3:6" ht="15" customHeight="1" x14ac:dyDescent="0.35">
      <c r="D61" s="6">
        <v>50</v>
      </c>
      <c r="E61" s="11">
        <f>_xll.PTreeNodeValue(treeCalc_4!$F$2,9)</f>
        <v>3.9215686274509887E-2</v>
      </c>
    </row>
    <row r="62" spans="3:6" ht="15" customHeight="1" x14ac:dyDescent="0.35">
      <c r="E62" s="12">
        <f>1/3</f>
        <v>0.33333333333333331</v>
      </c>
      <c r="F62" s="5">
        <f>_xll.PTreeNodeProbability(treeCalc_4!$F$2,23)</f>
        <v>0</v>
      </c>
    </row>
    <row r="63" spans="3:6" ht="15" customHeight="1" x14ac:dyDescent="0.35">
      <c r="E63" s="6">
        <v>2</v>
      </c>
      <c r="F63" s="4">
        <f>_xll.PTreeNodeValue(treeCalc_4!$F$2,23)</f>
        <v>3.9215686274509887E-2</v>
      </c>
    </row>
    <row r="64" spans="3:6" ht="15" customHeight="1" x14ac:dyDescent="0.35">
      <c r="E64" s="12">
        <f>0</f>
        <v>0</v>
      </c>
      <c r="F64" s="5">
        <f>_xll.PTreeNodeProbability(treeCalc_4!$F$2,24)</f>
        <v>0</v>
      </c>
    </row>
    <row r="65" spans="4:6" ht="15" customHeight="1" x14ac:dyDescent="0.35">
      <c r="E65" s="6">
        <v>3</v>
      </c>
      <c r="F65" s="4">
        <f>_xll.PTreeNodeValue(treeCalc_4!$F$2,24)</f>
        <v>-4.081632653061229E-2</v>
      </c>
    </row>
    <row r="66" spans="4:6" ht="15" customHeight="1" x14ac:dyDescent="0.35">
      <c r="E66" s="12">
        <f>2/3</f>
        <v>0.66666666666666663</v>
      </c>
      <c r="F66" s="5">
        <f>_xll.PTreeNodeProbability(treeCalc_4!$F$2,25)</f>
        <v>0.3</v>
      </c>
    </row>
    <row r="67" spans="4:6" ht="15" customHeight="1" x14ac:dyDescent="0.35">
      <c r="E67" s="6">
        <v>1</v>
      </c>
      <c r="F67" s="4">
        <f>_xll.PTreeNodeValue(treeCalc_4!$F$2,25)</f>
        <v>7.6893502499038924E-2</v>
      </c>
    </row>
    <row r="68" spans="4:6" ht="15" customHeight="1" x14ac:dyDescent="0.35">
      <c r="D68" s="9" t="b">
        <f>_xll.PTreeNodeDecision(treeCalc_4!$F$2,10)</f>
        <v>1</v>
      </c>
      <c r="E68" s="10" t="s">
        <v>45</v>
      </c>
    </row>
    <row r="69" spans="4:6" ht="15" customHeight="1" x14ac:dyDescent="0.35">
      <c r="D69" s="6">
        <v>100</v>
      </c>
      <c r="E69" s="11">
        <f>_xll.PTreeNodeValue(treeCalc_4!$F$2,10)</f>
        <v>5.1262334999359283E-2</v>
      </c>
    </row>
    <row r="70" spans="4:6" ht="15" customHeight="1" x14ac:dyDescent="0.35">
      <c r="E70" s="12">
        <f>1/3</f>
        <v>0.33333333333333331</v>
      </c>
      <c r="F70" s="5">
        <f>_xll.PTreeNodeProbability(treeCalc_4!$F$2,26)</f>
        <v>0.15</v>
      </c>
    </row>
    <row r="71" spans="4:6" ht="15" customHeight="1" x14ac:dyDescent="0.35">
      <c r="E71" s="6">
        <v>2</v>
      </c>
      <c r="F71" s="4">
        <f>_xll.PTreeNodeValue(treeCalc_4!$F$2,26)</f>
        <v>0</v>
      </c>
    </row>
    <row r="72" spans="4:6" ht="15" customHeight="1" x14ac:dyDescent="0.35">
      <c r="E72" s="12">
        <f>0</f>
        <v>0</v>
      </c>
      <c r="F72" s="5">
        <f>_xll.PTreeNodeProbability(treeCalc_4!$F$2,27)</f>
        <v>0</v>
      </c>
    </row>
    <row r="73" spans="4:6" ht="15" customHeight="1" x14ac:dyDescent="0.35">
      <c r="E73" s="6">
        <v>3</v>
      </c>
      <c r="F73" s="4">
        <f>_xll.PTreeNodeValue(treeCalc_4!$F$2,27)</f>
        <v>-8.3298625572678198E-2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3</vt:i4>
      </vt:variant>
    </vt:vector>
  </HeadingPairs>
  <TitlesOfParts>
    <vt:vector size="11" baseType="lpstr">
      <vt:lpstr>treeCalc_3</vt:lpstr>
      <vt:lpstr>treeCalc_4</vt:lpstr>
      <vt:lpstr>F. utilite</vt:lpstr>
      <vt:lpstr>Meteo</vt:lpstr>
      <vt:lpstr>treeCalc_1</vt:lpstr>
      <vt:lpstr>Arbre</vt:lpstr>
      <vt:lpstr>Valeur Info Parfaite</vt:lpstr>
      <vt:lpstr>Valeur Info Imparfaite</vt:lpstr>
      <vt:lpstr>'F. utilite'!A</vt:lpstr>
      <vt:lpstr>'F. utilite'!B</vt:lpstr>
      <vt:lpstr>'F. utilite'!RT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clihec3</dc:creator>
  <cp:lastModifiedBy>erick delage</cp:lastModifiedBy>
  <dcterms:created xsi:type="dcterms:W3CDTF">2011-08-09T21:58:05Z</dcterms:created>
  <dcterms:modified xsi:type="dcterms:W3CDTF">2020-10-14T14:34:22Z</dcterms:modified>
</cp:coreProperties>
</file>