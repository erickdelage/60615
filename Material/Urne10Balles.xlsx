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rickdelage/Downloads/"/>
    </mc:Choice>
  </mc:AlternateContent>
  <xr:revisionPtr revIDLastSave="0" documentId="13_ncr:1_{211119B5-4749-7D4F-B3D8-3704BF8EA04E}" xr6:coauthVersionLast="47" xr6:coauthVersionMax="47" xr10:uidLastSave="{00000000-0000-0000-0000-000000000000}"/>
  <bookViews>
    <workbookView xWindow="0" yWindow="500" windowWidth="25600" windowHeight="14180" tabRatio="500" xr2:uid="{00000000-000D-0000-FFFF-FFFF00000000}"/>
  </bookViews>
  <sheets>
    <sheet name="Version proportion" sheetId="1" r:id="rId1"/>
    <sheet name="Version nb de balles rouges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1" l="1"/>
  <c r="D6" i="2"/>
  <c r="D7" i="2"/>
  <c r="D8" i="2"/>
  <c r="D9" i="2"/>
  <c r="D10" i="2"/>
  <c r="D11" i="2"/>
  <c r="D12" i="2"/>
  <c r="D13" i="2"/>
  <c r="D14" i="2"/>
  <c r="D15" i="2"/>
  <c r="D5" i="2"/>
  <c r="C15" i="2"/>
  <c r="C14" i="2"/>
  <c r="E14" i="2" s="1"/>
  <c r="C13" i="2"/>
  <c r="C12" i="2"/>
  <c r="C11" i="2"/>
  <c r="C10" i="2"/>
  <c r="C9" i="2"/>
  <c r="C8" i="2"/>
  <c r="C7" i="2"/>
  <c r="C6" i="2"/>
  <c r="C5" i="2"/>
  <c r="C5" i="1"/>
  <c r="E5" i="1" s="1"/>
  <c r="C6" i="1"/>
  <c r="C7" i="1"/>
  <c r="C8" i="1"/>
  <c r="E8" i="1" s="1"/>
  <c r="C9" i="1"/>
  <c r="C10" i="1"/>
  <c r="C11" i="1"/>
  <c r="C12" i="1"/>
  <c r="C13" i="1"/>
  <c r="C14" i="1"/>
  <c r="E14" i="1" s="1"/>
  <c r="C15" i="1"/>
  <c r="E11" i="1"/>
  <c r="E12" i="1"/>
  <c r="E13" i="1"/>
  <c r="D6" i="1"/>
  <c r="D7" i="1"/>
  <c r="D8" i="1"/>
  <c r="D9" i="1"/>
  <c r="D10" i="1"/>
  <c r="D11" i="1"/>
  <c r="D12" i="1"/>
  <c r="D13" i="1"/>
  <c r="D15" i="1"/>
  <c r="D5" i="1"/>
  <c r="D14" i="1"/>
  <c r="E11" i="2" l="1"/>
  <c r="E6" i="2"/>
  <c r="E9" i="2"/>
  <c r="E15" i="2"/>
  <c r="E7" i="2"/>
  <c r="E12" i="2"/>
  <c r="E5" i="2"/>
  <c r="E10" i="2"/>
  <c r="E8" i="2"/>
  <c r="E13" i="2"/>
  <c r="E15" i="1"/>
  <c r="E7" i="1"/>
  <c r="E9" i="1"/>
  <c r="E10" i="1"/>
  <c r="E6" i="1"/>
  <c r="E16" i="2" l="1"/>
  <c r="F15" i="2" s="1"/>
  <c r="F10" i="2"/>
  <c r="F5" i="2"/>
  <c r="F14" i="2"/>
  <c r="F6" i="2"/>
  <c r="F12" i="2"/>
  <c r="F7" i="2"/>
  <c r="F13" i="2"/>
  <c r="F11" i="2"/>
  <c r="F8" i="2"/>
  <c r="F9" i="2"/>
  <c r="F12" i="1"/>
  <c r="F7" i="1" l="1"/>
  <c r="F15" i="1"/>
  <c r="F14" i="1"/>
  <c r="F5" i="1"/>
  <c r="F10" i="1"/>
  <c r="F13" i="1"/>
  <c r="F9" i="1"/>
  <c r="F8" i="1"/>
  <c r="F6" i="1"/>
  <c r="F11" i="1"/>
</calcChain>
</file>

<file path=xl/sharedStrings.xml><?xml version="1.0" encoding="utf-8"?>
<sst xmlns="http://schemas.openxmlformats.org/spreadsheetml/2006/main" count="20" uniqueCount="12">
  <si>
    <t>8 balles rouges parmi 10 tirées</t>
  </si>
  <si>
    <t>B:</t>
  </si>
  <si>
    <t>p_i</t>
  </si>
  <si>
    <t>P(A_i)</t>
  </si>
  <si>
    <t>P(B|A_i)</t>
  </si>
  <si>
    <t>P(A_i&amp;B)</t>
  </si>
  <si>
    <t>P(A_i|B)</t>
  </si>
  <si>
    <t>A_i</t>
  </si>
  <si>
    <t>i</t>
  </si>
  <si>
    <t>Proportion de de balles rouges est p_i</t>
  </si>
  <si>
    <t>k_i</t>
  </si>
  <si>
    <t>Nombre de balle rouge dans l'urne est k_i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</si>
</sst>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6" sqref="E16"/>
    </sheetView>
  </sheetViews>
  <sheetFormatPr baseColWidth="10" defaultRowHeight="16" x14ac:dyDescent="0.2"/>
  <cols>
    <col min="2" max="2" width="14.33203125" customWidth="1"/>
    <col min="3" max="3" width="14.5" customWidth="1"/>
  </cols>
  <sheetData>
    <row r="1" spans="1:7" s="1" customFormat="1" ht="17" customHeight="1" x14ac:dyDescent="0.2">
      <c r="A1" s="1" t="s">
        <v>7</v>
      </c>
      <c r="B1" s="6" t="s">
        <v>9</v>
      </c>
      <c r="C1" s="6"/>
      <c r="D1" s="6"/>
    </row>
    <row r="2" spans="1:7" s="1" customFormat="1" ht="17" customHeight="1" x14ac:dyDescent="0.2">
      <c r="A2" s="1" t="s">
        <v>1</v>
      </c>
      <c r="B2" s="6" t="s">
        <v>0</v>
      </c>
      <c r="C2" s="6"/>
      <c r="D2" s="6"/>
    </row>
    <row r="3" spans="1:7" s="1" customFormat="1" ht="17" customHeight="1" x14ac:dyDescent="0.2">
      <c r="B3" s="2"/>
      <c r="C3" s="2"/>
      <c r="D3" s="2"/>
    </row>
    <row r="4" spans="1:7" s="1" customFormat="1" ht="17" customHeight="1" x14ac:dyDescent="0.2">
      <c r="A4" s="1" t="s">
        <v>8</v>
      </c>
      <c r="B4" s="1" t="s">
        <v>2</v>
      </c>
      <c r="C4" s="2" t="s">
        <v>3</v>
      </c>
      <c r="D4" s="2" t="s">
        <v>4</v>
      </c>
      <c r="E4" s="3" t="s">
        <v>5</v>
      </c>
      <c r="F4" s="1" t="s">
        <v>6</v>
      </c>
    </row>
    <row r="5" spans="1:7" s="1" customFormat="1" ht="17" customHeight="1" x14ac:dyDescent="0.2">
      <c r="A5" s="1">
        <v>1</v>
      </c>
      <c r="B5" s="4">
        <v>0</v>
      </c>
      <c r="C5" s="1">
        <f t="shared" ref="C5:C15" si="0">1/COUNT($B$5:$B$15)</f>
        <v>9.0909090909090912E-2</v>
      </c>
      <c r="D5" s="1">
        <f>COMBIN(10,8)*B5^8*(1-B5)^2</f>
        <v>0</v>
      </c>
      <c r="E5" s="1">
        <f>D5*C5</f>
        <v>0</v>
      </c>
      <c r="F5" s="1">
        <f t="shared" ref="F5:F15" si="1">E5/$E$16</f>
        <v>0</v>
      </c>
      <c r="G5" s="4"/>
    </row>
    <row r="6" spans="1:7" s="1" customFormat="1" ht="17" customHeight="1" x14ac:dyDescent="0.2">
      <c r="A6" s="1">
        <v>2</v>
      </c>
      <c r="B6" s="4">
        <v>0.1</v>
      </c>
      <c r="C6" s="1">
        <f t="shared" si="0"/>
        <v>9.0909090909090912E-2</v>
      </c>
      <c r="D6" s="1">
        <f t="shared" ref="D6:D15" si="2">COMBIN(10,8)*B6^8*(1-B6)^2</f>
        <v>3.6450000000000033E-7</v>
      </c>
      <c r="E6" s="1">
        <f t="shared" ref="E6:E15" si="3">D6*C6</f>
        <v>3.313636363636367E-8</v>
      </c>
      <c r="F6" s="1">
        <f t="shared" si="1"/>
        <v>4.0223358821783365E-7</v>
      </c>
      <c r="G6" s="4"/>
    </row>
    <row r="7" spans="1:7" s="1" customFormat="1" ht="17" customHeight="1" x14ac:dyDescent="0.2">
      <c r="A7" s="1">
        <v>3</v>
      </c>
      <c r="B7" s="4">
        <v>0.2</v>
      </c>
      <c r="C7" s="1">
        <f t="shared" si="0"/>
        <v>9.0909090909090912E-2</v>
      </c>
      <c r="D7" s="1">
        <f t="shared" si="2"/>
        <v>7.3728000000000077E-5</v>
      </c>
      <c r="E7" s="1">
        <f t="shared" si="3"/>
        <v>6.7025454545454618E-6</v>
      </c>
      <c r="F7" s="1">
        <f t="shared" si="1"/>
        <v>8.1360433448901073E-5</v>
      </c>
      <c r="G7" s="4"/>
    </row>
    <row r="8" spans="1:7" s="1" customFormat="1" ht="17" customHeight="1" x14ac:dyDescent="0.2">
      <c r="A8" s="1">
        <v>4</v>
      </c>
      <c r="B8" s="4">
        <v>0.3</v>
      </c>
      <c r="C8" s="1">
        <f t="shared" si="0"/>
        <v>9.0909090909090912E-2</v>
      </c>
      <c r="D8" s="1">
        <f t="shared" si="2"/>
        <v>1.4467004999999997E-3</v>
      </c>
      <c r="E8" s="1">
        <f t="shared" si="3"/>
        <v>1.3151822727272726E-4</v>
      </c>
      <c r="F8" s="1">
        <f t="shared" si="1"/>
        <v>1.59646511163658E-3</v>
      </c>
      <c r="G8" s="4"/>
    </row>
    <row r="9" spans="1:7" s="1" customFormat="1" ht="17" customHeight="1" x14ac:dyDescent="0.2">
      <c r="A9" s="1">
        <v>5</v>
      </c>
      <c r="B9" s="4">
        <v>0.4</v>
      </c>
      <c r="C9" s="1">
        <f t="shared" si="0"/>
        <v>9.0909090909090912E-2</v>
      </c>
      <c r="D9" s="1">
        <f t="shared" si="2"/>
        <v>1.0616832000000008E-2</v>
      </c>
      <c r="E9" s="1">
        <f t="shared" si="3"/>
        <v>9.6516654545454627E-4</v>
      </c>
      <c r="F9" s="1">
        <f t="shared" si="1"/>
        <v>1.1715902416641753E-2</v>
      </c>
      <c r="G9" s="4"/>
    </row>
    <row r="10" spans="1:7" s="1" customFormat="1" ht="17" customHeight="1" x14ac:dyDescent="0.2">
      <c r="A10" s="1">
        <v>6</v>
      </c>
      <c r="B10" s="4">
        <v>0.5</v>
      </c>
      <c r="C10" s="1">
        <f t="shared" si="0"/>
        <v>9.0909090909090912E-2</v>
      </c>
      <c r="D10" s="1">
        <f t="shared" si="2"/>
        <v>4.39453125E-2</v>
      </c>
      <c r="E10" s="1">
        <f t="shared" si="3"/>
        <v>3.995028409090909E-3</v>
      </c>
      <c r="F10" s="1">
        <f t="shared" si="1"/>
        <v>4.8494597344935525E-2</v>
      </c>
      <c r="G10" s="4"/>
    </row>
    <row r="11" spans="1:7" s="1" customFormat="1" ht="17" customHeight="1" x14ac:dyDescent="0.2">
      <c r="A11" s="1">
        <v>7</v>
      </c>
      <c r="B11" s="4">
        <v>0.6</v>
      </c>
      <c r="C11" s="1">
        <f t="shared" si="0"/>
        <v>9.0909090909090912E-2</v>
      </c>
      <c r="D11" s="1">
        <f t="shared" si="2"/>
        <v>0.12093235200000001</v>
      </c>
      <c r="E11" s="1">
        <f t="shared" si="3"/>
        <v>1.0993850181818183E-2</v>
      </c>
      <c r="F11" s="1">
        <f t="shared" si="1"/>
        <v>0.13345145096455985</v>
      </c>
      <c r="G11" s="4"/>
    </row>
    <row r="12" spans="1:7" s="1" customFormat="1" ht="17" customHeight="1" x14ac:dyDescent="0.2">
      <c r="A12" s="1">
        <v>8</v>
      </c>
      <c r="B12" s="4">
        <v>0.7</v>
      </c>
      <c r="C12" s="1">
        <f t="shared" si="0"/>
        <v>9.0909090909090912E-2</v>
      </c>
      <c r="D12" s="1">
        <f t="shared" si="2"/>
        <v>0.23347444049999994</v>
      </c>
      <c r="E12" s="1">
        <f t="shared" si="3"/>
        <v>2.1224949136363632E-2</v>
      </c>
      <c r="F12" s="1">
        <f t="shared" si="1"/>
        <v>0.25764406573241699</v>
      </c>
      <c r="G12" s="4"/>
    </row>
    <row r="13" spans="1:7" s="1" customFormat="1" ht="17" customHeight="1" x14ac:dyDescent="0.2">
      <c r="A13" s="1">
        <v>9</v>
      </c>
      <c r="B13" s="4">
        <v>0.8</v>
      </c>
      <c r="C13" s="1">
        <f t="shared" si="0"/>
        <v>9.0909090909090912E-2</v>
      </c>
      <c r="D13" s="1">
        <f t="shared" si="2"/>
        <v>0.3019898880000001</v>
      </c>
      <c r="E13" s="1">
        <f t="shared" si="3"/>
        <v>2.7453626181818191E-2</v>
      </c>
      <c r="F13" s="5">
        <f t="shared" si="1"/>
        <v>0.33325233540669852</v>
      </c>
      <c r="G13" s="4"/>
    </row>
    <row r="14" spans="1:7" s="1" customFormat="1" ht="17" customHeight="1" x14ac:dyDescent="0.2">
      <c r="A14" s="1">
        <v>10</v>
      </c>
      <c r="B14" s="4">
        <v>0.9</v>
      </c>
      <c r="C14" s="1">
        <f t="shared" si="0"/>
        <v>9.0909090909090912E-2</v>
      </c>
      <c r="D14" s="1">
        <f t="shared" si="2"/>
        <v>0.19371024449999999</v>
      </c>
      <c r="E14" s="1">
        <f>D14*C14</f>
        <v>1.7610022227272728E-2</v>
      </c>
      <c r="F14" s="1">
        <f t="shared" si="1"/>
        <v>0.21376342035607351</v>
      </c>
      <c r="G14" s="4"/>
    </row>
    <row r="15" spans="1:7" s="1" customFormat="1" ht="17" customHeight="1" x14ac:dyDescent="0.2">
      <c r="A15" s="1">
        <v>11</v>
      </c>
      <c r="B15" s="4">
        <v>1</v>
      </c>
      <c r="C15" s="1">
        <f t="shared" si="0"/>
        <v>9.0909090909090912E-2</v>
      </c>
      <c r="D15" s="1">
        <f t="shared" si="2"/>
        <v>0</v>
      </c>
      <c r="E15" s="1">
        <f t="shared" si="3"/>
        <v>0</v>
      </c>
      <c r="F15" s="1">
        <f t="shared" si="1"/>
        <v>0</v>
      </c>
      <c r="G15" s="4"/>
    </row>
    <row r="16" spans="1:7" ht="24" customHeight="1" x14ac:dyDescent="0.2">
      <c r="E16">
        <f>SUM(E5:E15)</f>
        <v>8.2380896590909108E-2</v>
      </c>
    </row>
  </sheetData>
  <mergeCells count="2">
    <mergeCell ref="B1:D1"/>
    <mergeCell ref="B2:D2"/>
  </mergeCells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DF05-C49A-AE4C-AE6A-7DB6AB3E6307}">
  <dimension ref="A1:G16"/>
  <sheetViews>
    <sheetView workbookViewId="0">
      <selection activeCell="G21" sqref="G21"/>
    </sheetView>
  </sheetViews>
  <sheetFormatPr baseColWidth="10" defaultRowHeight="16" x14ac:dyDescent="0.2"/>
  <cols>
    <col min="2" max="2" width="14.33203125" customWidth="1"/>
    <col min="3" max="3" width="14.5" customWidth="1"/>
  </cols>
  <sheetData>
    <row r="1" spans="1:7" s="1" customFormat="1" ht="17" customHeight="1" x14ac:dyDescent="0.2">
      <c r="A1" s="1" t="s">
        <v>7</v>
      </c>
      <c r="B1" s="6" t="s">
        <v>11</v>
      </c>
      <c r="C1" s="6"/>
      <c r="D1" s="6"/>
    </row>
    <row r="2" spans="1:7" s="1" customFormat="1" ht="17" customHeight="1" x14ac:dyDescent="0.2">
      <c r="A2" s="1" t="s">
        <v>1</v>
      </c>
      <c r="B2" s="6" t="s">
        <v>0</v>
      </c>
      <c r="C2" s="6"/>
      <c r="D2" s="6"/>
    </row>
    <row r="3" spans="1:7" s="1" customFormat="1" ht="17" customHeight="1" x14ac:dyDescent="0.2">
      <c r="B3" s="2"/>
      <c r="C3" s="2"/>
      <c r="D3" s="2"/>
    </row>
    <row r="4" spans="1:7" s="1" customFormat="1" ht="17" customHeight="1" x14ac:dyDescent="0.2">
      <c r="A4" s="1" t="s">
        <v>8</v>
      </c>
      <c r="B4" s="1" t="s">
        <v>10</v>
      </c>
      <c r="C4" s="2" t="s">
        <v>3</v>
      </c>
      <c r="D4" s="2" t="s">
        <v>4</v>
      </c>
      <c r="E4" s="3" t="s">
        <v>5</v>
      </c>
      <c r="F4" s="1" t="s">
        <v>6</v>
      </c>
    </row>
    <row r="5" spans="1:7" s="1" customFormat="1" ht="17" customHeight="1" x14ac:dyDescent="0.2">
      <c r="A5" s="1">
        <v>1</v>
      </c>
      <c r="B5" s="7">
        <v>0</v>
      </c>
      <c r="C5" s="1">
        <f t="shared" ref="C5:C15" si="0">1/COUNT($B$5:$B$15)</f>
        <v>9.0909090909090912E-2</v>
      </c>
      <c r="D5" s="1">
        <f>COMBIN(10,8)*(B5/10)^8*(1-B5/10)^2</f>
        <v>0</v>
      </c>
      <c r="E5" s="1">
        <f>D5*C5</f>
        <v>0</v>
      </c>
      <c r="F5" s="1">
        <f t="shared" ref="F5:F15" si="1">E5/$E$16</f>
        <v>0</v>
      </c>
      <c r="G5" s="4"/>
    </row>
    <row r="6" spans="1:7" s="1" customFormat="1" ht="17" customHeight="1" x14ac:dyDescent="0.2">
      <c r="A6" s="1">
        <v>2</v>
      </c>
      <c r="B6" s="7">
        <v>1</v>
      </c>
      <c r="C6" s="1">
        <f t="shared" si="0"/>
        <v>9.0909090909090912E-2</v>
      </c>
      <c r="D6" s="1">
        <f t="shared" ref="D6:D15" si="2">COMBIN(10,8)*(B6/10)^8*(1-B6/10)^2</f>
        <v>3.6450000000000033E-7</v>
      </c>
      <c r="E6" s="1">
        <f t="shared" ref="E6:E15" si="3">D6*C6</f>
        <v>3.313636363636367E-8</v>
      </c>
      <c r="F6" s="1">
        <f t="shared" si="1"/>
        <v>4.0223358821783365E-7</v>
      </c>
      <c r="G6" s="4"/>
    </row>
    <row r="7" spans="1:7" s="1" customFormat="1" ht="17" customHeight="1" x14ac:dyDescent="0.2">
      <c r="A7" s="1">
        <v>3</v>
      </c>
      <c r="B7" s="7">
        <v>2</v>
      </c>
      <c r="C7" s="1">
        <f t="shared" si="0"/>
        <v>9.0909090909090912E-2</v>
      </c>
      <c r="D7" s="1">
        <f t="shared" si="2"/>
        <v>7.3728000000000077E-5</v>
      </c>
      <c r="E7" s="1">
        <f t="shared" si="3"/>
        <v>6.7025454545454618E-6</v>
      </c>
      <c r="F7" s="1">
        <f t="shared" si="1"/>
        <v>8.1360433448901073E-5</v>
      </c>
      <c r="G7" s="4"/>
    </row>
    <row r="8" spans="1:7" s="1" customFormat="1" ht="17" customHeight="1" x14ac:dyDescent="0.2">
      <c r="A8" s="1">
        <v>4</v>
      </c>
      <c r="B8" s="7">
        <v>3</v>
      </c>
      <c r="C8" s="1">
        <f t="shared" si="0"/>
        <v>9.0909090909090912E-2</v>
      </c>
      <c r="D8" s="1">
        <f t="shared" si="2"/>
        <v>1.4467004999999997E-3</v>
      </c>
      <c r="E8" s="1">
        <f t="shared" si="3"/>
        <v>1.3151822727272726E-4</v>
      </c>
      <c r="F8" s="1">
        <f t="shared" si="1"/>
        <v>1.59646511163658E-3</v>
      </c>
      <c r="G8" s="4"/>
    </row>
    <row r="9" spans="1:7" s="1" customFormat="1" ht="17" customHeight="1" x14ac:dyDescent="0.2">
      <c r="A9" s="1">
        <v>5</v>
      </c>
      <c r="B9" s="7">
        <v>4</v>
      </c>
      <c r="C9" s="1">
        <f t="shared" si="0"/>
        <v>9.0909090909090912E-2</v>
      </c>
      <c r="D9" s="1">
        <f t="shared" si="2"/>
        <v>1.0616832000000008E-2</v>
      </c>
      <c r="E9" s="1">
        <f t="shared" si="3"/>
        <v>9.6516654545454627E-4</v>
      </c>
      <c r="F9" s="1">
        <f t="shared" si="1"/>
        <v>1.1715902416641753E-2</v>
      </c>
      <c r="G9" s="4"/>
    </row>
    <row r="10" spans="1:7" s="1" customFormat="1" ht="17" customHeight="1" x14ac:dyDescent="0.2">
      <c r="A10" s="1">
        <v>6</v>
      </c>
      <c r="B10" s="7">
        <v>5</v>
      </c>
      <c r="C10" s="1">
        <f t="shared" si="0"/>
        <v>9.0909090909090912E-2</v>
      </c>
      <c r="D10" s="1">
        <f t="shared" si="2"/>
        <v>4.39453125E-2</v>
      </c>
      <c r="E10" s="1">
        <f t="shared" si="3"/>
        <v>3.995028409090909E-3</v>
      </c>
      <c r="F10" s="1">
        <f t="shared" si="1"/>
        <v>4.8494597344935525E-2</v>
      </c>
      <c r="G10" s="4"/>
    </row>
    <row r="11" spans="1:7" s="1" customFormat="1" ht="17" customHeight="1" x14ac:dyDescent="0.2">
      <c r="A11" s="1">
        <v>7</v>
      </c>
      <c r="B11" s="7">
        <v>6</v>
      </c>
      <c r="C11" s="1">
        <f t="shared" si="0"/>
        <v>9.0909090909090912E-2</v>
      </c>
      <c r="D11" s="1">
        <f t="shared" si="2"/>
        <v>0.12093235200000001</v>
      </c>
      <c r="E11" s="1">
        <f t="shared" si="3"/>
        <v>1.0993850181818183E-2</v>
      </c>
      <c r="F11" s="1">
        <f t="shared" si="1"/>
        <v>0.13345145096455985</v>
      </c>
      <c r="G11" s="4"/>
    </row>
    <row r="12" spans="1:7" s="1" customFormat="1" ht="17" customHeight="1" x14ac:dyDescent="0.2">
      <c r="A12" s="1">
        <v>8</v>
      </c>
      <c r="B12" s="7">
        <v>7</v>
      </c>
      <c r="C12" s="1">
        <f t="shared" si="0"/>
        <v>9.0909090909090912E-2</v>
      </c>
      <c r="D12" s="1">
        <f t="shared" si="2"/>
        <v>0.23347444049999994</v>
      </c>
      <c r="E12" s="1">
        <f t="shared" si="3"/>
        <v>2.1224949136363632E-2</v>
      </c>
      <c r="F12" s="1">
        <f t="shared" si="1"/>
        <v>0.25764406573241699</v>
      </c>
      <c r="G12" s="4"/>
    </row>
    <row r="13" spans="1:7" s="1" customFormat="1" ht="17" customHeight="1" x14ac:dyDescent="0.2">
      <c r="A13" s="1">
        <v>9</v>
      </c>
      <c r="B13" s="7">
        <v>8</v>
      </c>
      <c r="C13" s="1">
        <f t="shared" si="0"/>
        <v>9.0909090909090912E-2</v>
      </c>
      <c r="D13" s="1">
        <f t="shared" si="2"/>
        <v>0.3019898880000001</v>
      </c>
      <c r="E13" s="1">
        <f t="shared" si="3"/>
        <v>2.7453626181818191E-2</v>
      </c>
      <c r="F13" s="5">
        <f t="shared" si="1"/>
        <v>0.33325233540669852</v>
      </c>
      <c r="G13" s="4"/>
    </row>
    <row r="14" spans="1:7" s="1" customFormat="1" ht="17" customHeight="1" x14ac:dyDescent="0.2">
      <c r="A14" s="1">
        <v>10</v>
      </c>
      <c r="B14" s="7">
        <v>9</v>
      </c>
      <c r="C14" s="1">
        <f t="shared" si="0"/>
        <v>9.0909090909090912E-2</v>
      </c>
      <c r="D14" s="1">
        <f t="shared" si="2"/>
        <v>0.19371024449999999</v>
      </c>
      <c r="E14" s="1">
        <f>D14*C14</f>
        <v>1.7610022227272728E-2</v>
      </c>
      <c r="F14" s="1">
        <f t="shared" si="1"/>
        <v>0.21376342035607351</v>
      </c>
      <c r="G14" s="4"/>
    </row>
    <row r="15" spans="1:7" s="1" customFormat="1" ht="17" customHeight="1" x14ac:dyDescent="0.2">
      <c r="A15" s="1">
        <v>11</v>
      </c>
      <c r="B15" s="7">
        <v>10</v>
      </c>
      <c r="C15" s="1">
        <f t="shared" si="0"/>
        <v>9.0909090909090912E-2</v>
      </c>
      <c r="D15" s="1">
        <f t="shared" si="2"/>
        <v>0</v>
      </c>
      <c r="E15" s="1">
        <f t="shared" si="3"/>
        <v>0</v>
      </c>
      <c r="F15" s="1">
        <f t="shared" si="1"/>
        <v>0</v>
      </c>
      <c r="G15" s="4"/>
    </row>
    <row r="16" spans="1:7" ht="24" customHeight="1" x14ac:dyDescent="0.2">
      <c r="E16">
        <f>SUM(E5:E15)</f>
        <v>8.2380896590909108E-2</v>
      </c>
    </row>
  </sheetData>
  <mergeCells count="2">
    <mergeCell ref="B1:D1"/>
    <mergeCell ref="B2:D2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proportion</vt:lpstr>
      <vt:lpstr>Version nb de balles rouges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Delage</dc:creator>
  <cp:lastModifiedBy>Erick Delage</cp:lastModifiedBy>
  <dcterms:created xsi:type="dcterms:W3CDTF">2016-09-23T13:48:21Z</dcterms:created>
  <dcterms:modified xsi:type="dcterms:W3CDTF">2024-09-17T16:53:39Z</dcterms:modified>
</cp:coreProperties>
</file>