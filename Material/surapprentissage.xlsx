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 activeTab="2"/>
  </bookViews>
  <sheets>
    <sheet name="données" sheetId="1" r:id="rId1"/>
    <sheet name="régression modérée" sheetId="5" r:id="rId2"/>
    <sheet name="surapprentissage" sheetId="4" r:id="rId3"/>
    <sheet name="ordre 0" sheetId="6" r:id="rId4"/>
    <sheet name="ordre 1" sheetId="7" r:id="rId5"/>
    <sheet name="ordre 2" sheetId="8" r:id="rId6"/>
    <sheet name="ordre 3" sheetId="9" r:id="rId7"/>
    <sheet name="ordre 4" sheetId="11" r:id="rId8"/>
    <sheet name="ordre 5" sheetId="12" r:id="rId9"/>
    <sheet name="compromis" sheetId="13" r:id="rId10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olver_adj" localSheetId="3" hidden="1">'ordre 0'!$D$2:$J$2</definedName>
    <definedName name="solver_adj" localSheetId="4" hidden="1">'ordre 1'!$D$2:$J$2</definedName>
    <definedName name="solver_adj" localSheetId="5" hidden="1">'ordre 2'!$D$2:$J$2</definedName>
    <definedName name="solver_adj" localSheetId="6" hidden="1">'ordre 3'!$D$2:$J$2</definedName>
    <definedName name="solver_adj" localSheetId="7" hidden="1">'ordre 4'!$D$2:$J$2</definedName>
    <definedName name="solver_adj" localSheetId="8" hidden="1">'ordre 5'!$D$2:$J$2</definedName>
    <definedName name="solver_adj" localSheetId="1" hidden="1">'régression modérée'!#REF!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1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1" hidden="1">1</definedName>
    <definedName name="solver_itr" localSheetId="3" hidden="1">100</definedName>
    <definedName name="solver_itr" localSheetId="4" hidden="1">100</definedName>
    <definedName name="solver_itr" localSheetId="5" hidden="1">100</definedName>
    <definedName name="solver_itr" localSheetId="6" hidden="1">100</definedName>
    <definedName name="solver_itr" localSheetId="7" hidden="1">100</definedName>
    <definedName name="solver_itr" localSheetId="8" hidden="1">100</definedName>
    <definedName name="solver_itr" localSheetId="1" hidden="1">100</definedName>
    <definedName name="solver_lhs1" localSheetId="3" hidden="1">'ordre 0'!$E$2:$J$2</definedName>
    <definedName name="solver_lhs1" localSheetId="4" hidden="1">'ordre 1'!$F$2:$J$2</definedName>
    <definedName name="solver_lhs1" localSheetId="5" hidden="1">'ordre 2'!$G$2:$J$2</definedName>
    <definedName name="solver_lhs1" localSheetId="6" hidden="1">'ordre 3'!$H$2:$J$2</definedName>
    <definedName name="solver_lhs1" localSheetId="7" hidden="1">'ordre 4'!$I$2:$J$2</definedName>
    <definedName name="solver_lhs1" localSheetId="8" hidden="1">'ordre 5'!$J$2</definedName>
    <definedName name="solver_lin" localSheetId="3" hidden="1">2</definedName>
    <definedName name="solver_lin" localSheetId="4" hidden="1">2</definedName>
    <definedName name="solver_lin" localSheetId="5" hidden="1">2</definedName>
    <definedName name="solver_lin" localSheetId="6" hidden="1">2</definedName>
    <definedName name="solver_lin" localSheetId="7" hidden="1">2</definedName>
    <definedName name="solver_lin" localSheetId="8" hidden="1">2</definedName>
    <definedName name="solver_lin" localSheetId="1" hidden="1">2</definedName>
    <definedName name="solver_neg" localSheetId="3" hidden="1">2</definedName>
    <definedName name="solver_neg" localSheetId="4" hidden="1">2</definedName>
    <definedName name="solver_neg" localSheetId="5" hidden="1">2</definedName>
    <definedName name="solver_neg" localSheetId="6" hidden="1">2</definedName>
    <definedName name="solver_neg" localSheetId="7" hidden="1">2</definedName>
    <definedName name="solver_neg" localSheetId="8" hidden="1">2</definedName>
    <definedName name="solver_neg" localSheetId="1" hidden="1">2</definedName>
    <definedName name="solver_num" localSheetId="3" hidden="1">1</definedName>
    <definedName name="solver_num" localSheetId="4" hidden="1">1</definedName>
    <definedName name="solver_num" localSheetId="5" hidden="1">1</definedName>
    <definedName name="solver_num" localSheetId="6" hidden="1">1</definedName>
    <definedName name="solver_num" localSheetId="7" hidden="1">1</definedName>
    <definedName name="solver_num" localSheetId="8" hidden="1">1</definedName>
    <definedName name="solver_num" localSheetId="1" hidden="1">0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1" hidden="1">1</definedName>
    <definedName name="solver_opt" localSheetId="3" hidden="1">'ordre 0'!$L$10</definedName>
    <definedName name="solver_opt" localSheetId="4" hidden="1">'ordre 1'!$L$10</definedName>
    <definedName name="solver_opt" localSheetId="5" hidden="1">'ordre 2'!$L$10</definedName>
    <definedName name="solver_opt" localSheetId="6" hidden="1">'ordre 3'!$L$10</definedName>
    <definedName name="solver_opt" localSheetId="7" hidden="1">'ordre 4'!$L$10</definedName>
    <definedName name="solver_opt" localSheetId="8" hidden="1">'ordre 5'!$L$10</definedName>
    <definedName name="solver_opt" localSheetId="1" hidden="1">'régression modérée'!#REF!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0.000000001</definedName>
    <definedName name="solver_pre" localSheetId="1" hidden="1">0.000001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1" localSheetId="8" hidden="1">2</definedName>
    <definedName name="solver_rhs1" localSheetId="3" hidden="1">0</definedName>
    <definedName name="solver_rhs1" localSheetId="4" hidden="1">0</definedName>
    <definedName name="solver_rhs1" localSheetId="5" hidden="1">0</definedName>
    <definedName name="solver_rhs1" localSheetId="6" hidden="1">0</definedName>
    <definedName name="solver_rhs1" localSheetId="7" hidden="1">0</definedName>
    <definedName name="solver_rhs1" localSheetId="8" hidden="1">0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cl" localSheetId="6" hidden="1">2</definedName>
    <definedName name="solver_scl" localSheetId="7" hidden="1">2</definedName>
    <definedName name="solver_scl" localSheetId="8" hidden="1">1</definedName>
    <definedName name="solver_scl" localSheetId="1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1" hidden="1">2</definedName>
    <definedName name="solver_tim" localSheetId="3" hidden="1">100</definedName>
    <definedName name="solver_tim" localSheetId="4" hidden="1">100</definedName>
    <definedName name="solver_tim" localSheetId="5" hidden="1">100</definedName>
    <definedName name="solver_tim" localSheetId="6" hidden="1">100</definedName>
    <definedName name="solver_tim" localSheetId="7" hidden="1">100</definedName>
    <definedName name="solver_tim" localSheetId="8" hidden="1">100</definedName>
    <definedName name="solver_tim" localSheetId="1" hidden="1">100</definedName>
    <definedName name="solver_tol" localSheetId="3" hidden="1">0.05</definedName>
    <definedName name="solver_tol" localSheetId="4" hidden="1">0.05</definedName>
    <definedName name="solver_tol" localSheetId="5" hidden="1">0.05</definedName>
    <definedName name="solver_tol" localSheetId="6" hidden="1">0.05</definedName>
    <definedName name="solver_tol" localSheetId="7" hidden="1">0.05</definedName>
    <definedName name="solver_tol" localSheetId="8" hidden="1">0.05</definedName>
    <definedName name="solver_tol" localSheetId="1" hidden="1">0.05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1" hidden="1">0</definedName>
  </definedNames>
  <calcPr calcId="125725"/>
</workbook>
</file>

<file path=xl/calcChain.xml><?xml version="1.0" encoding="utf-8"?>
<calcChain xmlns="http://schemas.openxmlformats.org/spreadsheetml/2006/main">
  <c r="E11" i="13"/>
  <c r="E10"/>
  <c r="E9"/>
  <c r="E8"/>
  <c r="E7"/>
  <c r="D11"/>
  <c r="D10"/>
  <c r="D9"/>
  <c r="D8"/>
  <c r="D7"/>
  <c r="E6"/>
  <c r="D6"/>
  <c r="D2" i="6"/>
  <c r="E2" i="7"/>
  <c r="D2"/>
  <c r="E2" i="8"/>
  <c r="F2"/>
  <c r="D2"/>
  <c r="E2" i="9"/>
  <c r="F2"/>
  <c r="G2"/>
  <c r="D2"/>
  <c r="E2" i="11"/>
  <c r="F2"/>
  <c r="G2"/>
  <c r="H2"/>
  <c r="D2"/>
  <c r="D1" i="12" a="1"/>
  <c r="F1" s="1"/>
  <c r="F2" s="1"/>
  <c r="D1" i="11" a="1"/>
  <c r="F1" s="1"/>
  <c r="D1" i="9" a="1"/>
  <c r="F1" s="1"/>
  <c r="D1"/>
  <c r="E1"/>
  <c r="G1"/>
  <c r="D1" i="8" a="1"/>
  <c r="F1" s="1"/>
  <c r="D1"/>
  <c r="E1"/>
  <c r="D1" i="7" a="1"/>
  <c r="D1"/>
  <c r="E1"/>
  <c r="D1" i="6" a="1"/>
  <c r="D1"/>
  <c r="J18" i="12"/>
  <c r="I18"/>
  <c r="H18"/>
  <c r="G18"/>
  <c r="F18"/>
  <c r="E18"/>
  <c r="D18"/>
  <c r="J17"/>
  <c r="I17"/>
  <c r="H17"/>
  <c r="G17"/>
  <c r="F17"/>
  <c r="E17"/>
  <c r="D17"/>
  <c r="J16"/>
  <c r="I16"/>
  <c r="H16"/>
  <c r="G16"/>
  <c r="F16"/>
  <c r="E16"/>
  <c r="D16"/>
  <c r="J15"/>
  <c r="I15"/>
  <c r="H15"/>
  <c r="G15"/>
  <c r="F15"/>
  <c r="E15"/>
  <c r="D15"/>
  <c r="J14"/>
  <c r="I14"/>
  <c r="H14"/>
  <c r="G14"/>
  <c r="F14"/>
  <c r="E14"/>
  <c r="D14"/>
  <c r="J13"/>
  <c r="I13"/>
  <c r="H13"/>
  <c r="G13"/>
  <c r="F13"/>
  <c r="E13"/>
  <c r="D13"/>
  <c r="J9"/>
  <c r="I9"/>
  <c r="H9"/>
  <c r="G9"/>
  <c r="F9"/>
  <c r="E9"/>
  <c r="D9"/>
  <c r="J8"/>
  <c r="I8"/>
  <c r="H8"/>
  <c r="G8"/>
  <c r="F8"/>
  <c r="E8"/>
  <c r="D8"/>
  <c r="J7"/>
  <c r="I7"/>
  <c r="H7"/>
  <c r="G7"/>
  <c r="F7"/>
  <c r="E7"/>
  <c r="D7"/>
  <c r="J6"/>
  <c r="I6"/>
  <c r="H6"/>
  <c r="G6"/>
  <c r="F6"/>
  <c r="E6"/>
  <c r="D6"/>
  <c r="J5"/>
  <c r="I5"/>
  <c r="H5"/>
  <c r="G5"/>
  <c r="F5"/>
  <c r="E5"/>
  <c r="D5"/>
  <c r="J4"/>
  <c r="I4"/>
  <c r="H4"/>
  <c r="G4"/>
  <c r="F4"/>
  <c r="E4"/>
  <c r="D4"/>
  <c r="J18" i="11"/>
  <c r="I18"/>
  <c r="H18"/>
  <c r="G18"/>
  <c r="F18"/>
  <c r="E18"/>
  <c r="D18"/>
  <c r="J17"/>
  <c r="I17"/>
  <c r="H17"/>
  <c r="G17"/>
  <c r="F17"/>
  <c r="E17"/>
  <c r="D17"/>
  <c r="K17" s="1"/>
  <c r="L17" s="1"/>
  <c r="J16"/>
  <c r="I16"/>
  <c r="H16"/>
  <c r="G16"/>
  <c r="K16" s="1"/>
  <c r="L16" s="1"/>
  <c r="F16"/>
  <c r="E16"/>
  <c r="D16"/>
  <c r="J15"/>
  <c r="I15"/>
  <c r="H15"/>
  <c r="G15"/>
  <c r="F15"/>
  <c r="E15"/>
  <c r="D15"/>
  <c r="J14"/>
  <c r="I14"/>
  <c r="H14"/>
  <c r="G14"/>
  <c r="F14"/>
  <c r="E14"/>
  <c r="D14"/>
  <c r="J13"/>
  <c r="I13"/>
  <c r="H13"/>
  <c r="G13"/>
  <c r="F13"/>
  <c r="E13"/>
  <c r="D13"/>
  <c r="K13" s="1"/>
  <c r="L13" s="1"/>
  <c r="J9"/>
  <c r="I9"/>
  <c r="H9"/>
  <c r="G9"/>
  <c r="F9"/>
  <c r="E9"/>
  <c r="D9"/>
  <c r="J8"/>
  <c r="I8"/>
  <c r="H8"/>
  <c r="G8"/>
  <c r="F8"/>
  <c r="E8"/>
  <c r="D8"/>
  <c r="J7"/>
  <c r="I7"/>
  <c r="H7"/>
  <c r="G7"/>
  <c r="F7"/>
  <c r="E7"/>
  <c r="D7"/>
  <c r="J6"/>
  <c r="I6"/>
  <c r="H6"/>
  <c r="G6"/>
  <c r="F6"/>
  <c r="E6"/>
  <c r="D6"/>
  <c r="J5"/>
  <c r="I5"/>
  <c r="H5"/>
  <c r="G5"/>
  <c r="F5"/>
  <c r="E5"/>
  <c r="D5"/>
  <c r="J4"/>
  <c r="I4"/>
  <c r="H4"/>
  <c r="G4"/>
  <c r="F4"/>
  <c r="E4"/>
  <c r="D4"/>
  <c r="J18" i="9"/>
  <c r="I18"/>
  <c r="H18"/>
  <c r="G18"/>
  <c r="F18"/>
  <c r="E18"/>
  <c r="D18"/>
  <c r="J17"/>
  <c r="I17"/>
  <c r="H17"/>
  <c r="G17"/>
  <c r="F17"/>
  <c r="E17"/>
  <c r="D17"/>
  <c r="J16"/>
  <c r="I16"/>
  <c r="H16"/>
  <c r="G16"/>
  <c r="F16"/>
  <c r="E16"/>
  <c r="D16"/>
  <c r="J15"/>
  <c r="I15"/>
  <c r="H15"/>
  <c r="G15"/>
  <c r="F15"/>
  <c r="E15"/>
  <c r="D15"/>
  <c r="J14"/>
  <c r="I14"/>
  <c r="H14"/>
  <c r="G14"/>
  <c r="F14"/>
  <c r="E14"/>
  <c r="D14"/>
  <c r="J13"/>
  <c r="I13"/>
  <c r="H13"/>
  <c r="G13"/>
  <c r="F13"/>
  <c r="E13"/>
  <c r="D13"/>
  <c r="J9"/>
  <c r="I9"/>
  <c r="H9"/>
  <c r="G9"/>
  <c r="F9"/>
  <c r="E9"/>
  <c r="D9"/>
  <c r="J8"/>
  <c r="I8"/>
  <c r="H8"/>
  <c r="G8"/>
  <c r="F8"/>
  <c r="E8"/>
  <c r="D8"/>
  <c r="J7"/>
  <c r="I7"/>
  <c r="H7"/>
  <c r="G7"/>
  <c r="F7"/>
  <c r="E7"/>
  <c r="D7"/>
  <c r="J6"/>
  <c r="I6"/>
  <c r="H6"/>
  <c r="G6"/>
  <c r="F6"/>
  <c r="E6"/>
  <c r="D6"/>
  <c r="J5"/>
  <c r="I5"/>
  <c r="H5"/>
  <c r="G5"/>
  <c r="F5"/>
  <c r="E5"/>
  <c r="D5"/>
  <c r="J4"/>
  <c r="I4"/>
  <c r="H4"/>
  <c r="G4"/>
  <c r="F4"/>
  <c r="E4"/>
  <c r="D4"/>
  <c r="J18" i="8"/>
  <c r="I18"/>
  <c r="H18"/>
  <c r="G18"/>
  <c r="F18"/>
  <c r="E18"/>
  <c r="D18"/>
  <c r="J17"/>
  <c r="I17"/>
  <c r="H17"/>
  <c r="G17"/>
  <c r="F17"/>
  <c r="E17"/>
  <c r="D17"/>
  <c r="J16"/>
  <c r="I16"/>
  <c r="H16"/>
  <c r="G16"/>
  <c r="F16"/>
  <c r="E16"/>
  <c r="D16"/>
  <c r="J15"/>
  <c r="I15"/>
  <c r="H15"/>
  <c r="G15"/>
  <c r="F15"/>
  <c r="E15"/>
  <c r="D15"/>
  <c r="J14"/>
  <c r="I14"/>
  <c r="H14"/>
  <c r="G14"/>
  <c r="F14"/>
  <c r="E14"/>
  <c r="D14"/>
  <c r="J13"/>
  <c r="I13"/>
  <c r="H13"/>
  <c r="G13"/>
  <c r="F13"/>
  <c r="E13"/>
  <c r="D13"/>
  <c r="J9"/>
  <c r="I9"/>
  <c r="H9"/>
  <c r="G9"/>
  <c r="F9"/>
  <c r="E9"/>
  <c r="D9"/>
  <c r="J8"/>
  <c r="I8"/>
  <c r="H8"/>
  <c r="G8"/>
  <c r="F8"/>
  <c r="E8"/>
  <c r="D8"/>
  <c r="J7"/>
  <c r="I7"/>
  <c r="H7"/>
  <c r="G7"/>
  <c r="F7"/>
  <c r="E7"/>
  <c r="D7"/>
  <c r="J6"/>
  <c r="I6"/>
  <c r="H6"/>
  <c r="G6"/>
  <c r="F6"/>
  <c r="E6"/>
  <c r="D6"/>
  <c r="J5"/>
  <c r="I5"/>
  <c r="H5"/>
  <c r="G5"/>
  <c r="F5"/>
  <c r="E5"/>
  <c r="D5"/>
  <c r="J4"/>
  <c r="I4"/>
  <c r="H4"/>
  <c r="G4"/>
  <c r="F4"/>
  <c r="E4"/>
  <c r="D4"/>
  <c r="J18" i="7"/>
  <c r="I18"/>
  <c r="H18"/>
  <c r="G18"/>
  <c r="F18"/>
  <c r="E18"/>
  <c r="D18"/>
  <c r="J17"/>
  <c r="I17"/>
  <c r="H17"/>
  <c r="G17"/>
  <c r="F17"/>
  <c r="E17"/>
  <c r="D17"/>
  <c r="J16"/>
  <c r="I16"/>
  <c r="H16"/>
  <c r="G16"/>
  <c r="F16"/>
  <c r="E16"/>
  <c r="D16"/>
  <c r="J15"/>
  <c r="I15"/>
  <c r="H15"/>
  <c r="G15"/>
  <c r="F15"/>
  <c r="E15"/>
  <c r="D15"/>
  <c r="J14"/>
  <c r="I14"/>
  <c r="H14"/>
  <c r="G14"/>
  <c r="F14"/>
  <c r="E14"/>
  <c r="D14"/>
  <c r="J13"/>
  <c r="I13"/>
  <c r="H13"/>
  <c r="G13"/>
  <c r="F13"/>
  <c r="E13"/>
  <c r="D13"/>
  <c r="J9"/>
  <c r="I9"/>
  <c r="H9"/>
  <c r="G9"/>
  <c r="F9"/>
  <c r="E9"/>
  <c r="D9"/>
  <c r="J8"/>
  <c r="I8"/>
  <c r="H8"/>
  <c r="G8"/>
  <c r="F8"/>
  <c r="E8"/>
  <c r="D8"/>
  <c r="K8" s="1"/>
  <c r="L8" s="1"/>
  <c r="J7"/>
  <c r="I7"/>
  <c r="H7"/>
  <c r="G7"/>
  <c r="F7"/>
  <c r="E7"/>
  <c r="D7"/>
  <c r="J6"/>
  <c r="I6"/>
  <c r="H6"/>
  <c r="G6"/>
  <c r="F6"/>
  <c r="E6"/>
  <c r="D6"/>
  <c r="J5"/>
  <c r="I5"/>
  <c r="H5"/>
  <c r="G5"/>
  <c r="F5"/>
  <c r="E5"/>
  <c r="D5"/>
  <c r="J4"/>
  <c r="I4"/>
  <c r="H4"/>
  <c r="G4"/>
  <c r="F4"/>
  <c r="E4"/>
  <c r="D4"/>
  <c r="K4" s="1"/>
  <c r="L4" s="1"/>
  <c r="D14" i="6"/>
  <c r="E14"/>
  <c r="F14"/>
  <c r="G14"/>
  <c r="H14"/>
  <c r="I14"/>
  <c r="J14"/>
  <c r="D15"/>
  <c r="E15"/>
  <c r="K15" s="1"/>
  <c r="L15" s="1"/>
  <c r="F15"/>
  <c r="G15"/>
  <c r="H15"/>
  <c r="I15"/>
  <c r="J15"/>
  <c r="D16"/>
  <c r="E16"/>
  <c r="F16"/>
  <c r="K16" s="1"/>
  <c r="L16" s="1"/>
  <c r="G16"/>
  <c r="H16"/>
  <c r="I16"/>
  <c r="J16"/>
  <c r="D17"/>
  <c r="E17"/>
  <c r="F17"/>
  <c r="G17"/>
  <c r="K17" s="1"/>
  <c r="L17" s="1"/>
  <c r="H17"/>
  <c r="I17"/>
  <c r="J17"/>
  <c r="D18"/>
  <c r="E18"/>
  <c r="F18"/>
  <c r="G18"/>
  <c r="H18"/>
  <c r="I18"/>
  <c r="J18"/>
  <c r="E13"/>
  <c r="F13"/>
  <c r="G13"/>
  <c r="H13"/>
  <c r="I13"/>
  <c r="J13"/>
  <c r="D13"/>
  <c r="D4"/>
  <c r="D5"/>
  <c r="E5"/>
  <c r="F5"/>
  <c r="G5"/>
  <c r="H5"/>
  <c r="I5"/>
  <c r="J5"/>
  <c r="D6"/>
  <c r="E6"/>
  <c r="F6"/>
  <c r="G6"/>
  <c r="H6"/>
  <c r="I6"/>
  <c r="J6"/>
  <c r="D7"/>
  <c r="E7"/>
  <c r="F7"/>
  <c r="G7"/>
  <c r="H7"/>
  <c r="I7"/>
  <c r="J7"/>
  <c r="D8"/>
  <c r="E8"/>
  <c r="F8"/>
  <c r="G8"/>
  <c r="H8"/>
  <c r="I8"/>
  <c r="J8"/>
  <c r="D9"/>
  <c r="E9"/>
  <c r="F9"/>
  <c r="G9"/>
  <c r="H9"/>
  <c r="I9"/>
  <c r="J9"/>
  <c r="E4"/>
  <c r="F4"/>
  <c r="G4"/>
  <c r="H4"/>
  <c r="I4"/>
  <c r="J4"/>
  <c r="K18"/>
  <c r="L18" s="1"/>
  <c r="K14"/>
  <c r="L14" s="1"/>
  <c r="K5" i="7" l="1"/>
  <c r="L5" s="1"/>
  <c r="K9"/>
  <c r="L9" s="1"/>
  <c r="K13"/>
  <c r="L13" s="1"/>
  <c r="K16"/>
  <c r="L16" s="1"/>
  <c r="K17"/>
  <c r="L17" s="1"/>
  <c r="K6"/>
  <c r="L6" s="1"/>
  <c r="K7"/>
  <c r="L7" s="1"/>
  <c r="K14"/>
  <c r="L14" s="1"/>
  <c r="K18"/>
  <c r="L18" s="1"/>
  <c r="K15"/>
  <c r="L15" s="1"/>
  <c r="K8" i="8"/>
  <c r="L8" s="1"/>
  <c r="K4"/>
  <c r="L4" s="1"/>
  <c r="K15"/>
  <c r="L15" s="1"/>
  <c r="K5"/>
  <c r="L5" s="1"/>
  <c r="K9"/>
  <c r="L9" s="1"/>
  <c r="K13"/>
  <c r="L13" s="1"/>
  <c r="L19" s="1"/>
  <c r="K16"/>
  <c r="L16" s="1"/>
  <c r="K17"/>
  <c r="L17" s="1"/>
  <c r="K6"/>
  <c r="L6" s="1"/>
  <c r="K7"/>
  <c r="L7" s="1"/>
  <c r="K14"/>
  <c r="L14" s="1"/>
  <c r="K18"/>
  <c r="L18" s="1"/>
  <c r="K4" i="9"/>
  <c r="L4" s="1"/>
  <c r="K8"/>
  <c r="L8" s="1"/>
  <c r="K15"/>
  <c r="L15" s="1"/>
  <c r="K5"/>
  <c r="L5" s="1"/>
  <c r="K13"/>
  <c r="L13" s="1"/>
  <c r="K16"/>
  <c r="L16" s="1"/>
  <c r="K17"/>
  <c r="L17" s="1"/>
  <c r="K9"/>
  <c r="L9" s="1"/>
  <c r="K6"/>
  <c r="L6" s="1"/>
  <c r="K7"/>
  <c r="L7" s="1"/>
  <c r="K14"/>
  <c r="L14" s="1"/>
  <c r="K18"/>
  <c r="L18" s="1"/>
  <c r="K7" i="11"/>
  <c r="L7" s="1"/>
  <c r="K18"/>
  <c r="L18" s="1"/>
  <c r="K5"/>
  <c r="L5" s="1"/>
  <c r="K9"/>
  <c r="L9" s="1"/>
  <c r="K6"/>
  <c r="L6" s="1"/>
  <c r="K14"/>
  <c r="L14" s="1"/>
  <c r="K4"/>
  <c r="L4" s="1"/>
  <c r="L10" s="1"/>
  <c r="K8"/>
  <c r="L8" s="1"/>
  <c r="K15"/>
  <c r="L15" s="1"/>
  <c r="G1" i="12"/>
  <c r="H1"/>
  <c r="H2" s="1"/>
  <c r="D1"/>
  <c r="D2" s="1"/>
  <c r="I1"/>
  <c r="I2" s="1"/>
  <c r="E1"/>
  <c r="G2"/>
  <c r="E2"/>
  <c r="J2"/>
  <c r="G1" i="11"/>
  <c r="D1"/>
  <c r="E1"/>
  <c r="H1"/>
  <c r="L19"/>
  <c r="L10" i="8"/>
  <c r="K13" i="6"/>
  <c r="L13" s="1"/>
  <c r="L19" s="1"/>
  <c r="K6"/>
  <c r="L6" s="1"/>
  <c r="K5"/>
  <c r="L5" s="1"/>
  <c r="K4"/>
  <c r="L4" s="1"/>
  <c r="L10" i="7" l="1"/>
  <c r="L19"/>
  <c r="L10" i="9"/>
  <c r="L19"/>
  <c r="K4" i="12"/>
  <c r="L4" s="1"/>
  <c r="K7"/>
  <c r="L7" s="1"/>
  <c r="K9"/>
  <c r="L9" s="1"/>
  <c r="K15"/>
  <c r="L15" s="1"/>
  <c r="K14"/>
  <c r="L14" s="1"/>
  <c r="K13"/>
  <c r="L13" s="1"/>
  <c r="K8"/>
  <c r="L8" s="1"/>
  <c r="K18"/>
  <c r="L18" s="1"/>
  <c r="K17"/>
  <c r="L17" s="1"/>
  <c r="K16"/>
  <c r="L16" s="1"/>
  <c r="K5"/>
  <c r="L5" s="1"/>
  <c r="K6"/>
  <c r="L6" s="1"/>
  <c r="K7" i="6"/>
  <c r="L7" s="1"/>
  <c r="L10" i="12" l="1"/>
  <c r="L19"/>
  <c r="K8" i="6"/>
  <c r="L8" s="1"/>
  <c r="K9"/>
  <c r="L9" s="1"/>
  <c r="L10" l="1"/>
</calcChain>
</file>

<file path=xl/sharedStrings.xml><?xml version="1.0" encoding="utf-8"?>
<sst xmlns="http://schemas.openxmlformats.org/spreadsheetml/2006/main" count="58" uniqueCount="8">
  <si>
    <t>Y</t>
  </si>
  <si>
    <t>X</t>
  </si>
  <si>
    <t>Hors échantillon</t>
  </si>
  <si>
    <t>Échantillon</t>
  </si>
  <si>
    <t>average squared differences</t>
  </si>
  <si>
    <t>Complexité (degré du polynôme)</t>
  </si>
  <si>
    <t>Performance hors-échantillon</t>
  </si>
  <si>
    <t>Performance en-échantillon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</si>
</sst>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hart>
    <c:autoTitleDeleted val="1"/>
    <c:plotArea>
      <c:layout/>
      <c:scatterChart>
        <c:scatterStyle val="lineMarker"/>
        <c:ser>
          <c:idx val="0"/>
          <c:order val="0"/>
          <c:tx>
            <c:v>Échantillon</c:v>
          </c:tx>
          <c:spPr>
            <a:ln w="28575">
              <a:noFill/>
            </a:ln>
          </c:spPr>
          <c:xVal>
            <c:numRef>
              <c:f>données!$A$4:$A$9</c:f>
              <c:numCache>
                <c:formatCode>General</c:formatCode>
                <c:ptCount val="6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15</c:v>
                </c:pt>
                <c:pt idx="4">
                  <c:v>24</c:v>
                </c:pt>
                <c:pt idx="5">
                  <c:v>28</c:v>
                </c:pt>
              </c:numCache>
            </c:numRef>
          </c:xVal>
          <c:yVal>
            <c:numRef>
              <c:f>données!$B$4:$B$9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150</c:v>
                </c:pt>
                <c:pt idx="4">
                  <c:v>300</c:v>
                </c:pt>
                <c:pt idx="5">
                  <c:v>500</c:v>
                </c:pt>
              </c:numCache>
            </c:numRef>
          </c:yVal>
        </c:ser>
        <c:ser>
          <c:idx val="1"/>
          <c:order val="1"/>
          <c:tx>
            <c:v>Hors échantillon</c:v>
          </c:tx>
          <c:spPr>
            <a:ln w="28575">
              <a:noFill/>
            </a:ln>
          </c:spPr>
          <c:xVal>
            <c:numRef>
              <c:f>données!$A$13:$A$18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20</c:v>
                </c:pt>
                <c:pt idx="4">
                  <c:v>22</c:v>
                </c:pt>
                <c:pt idx="5">
                  <c:v>26</c:v>
                </c:pt>
              </c:numCache>
            </c:numRef>
          </c:xVal>
          <c:yVal>
            <c:numRef>
              <c:f>données!$B$13:$B$18</c:f>
              <c:numCache>
                <c:formatCode>General</c:formatCode>
                <c:ptCount val="6"/>
                <c:pt idx="0">
                  <c:v>15</c:v>
                </c:pt>
                <c:pt idx="1">
                  <c:v>30</c:v>
                </c:pt>
                <c:pt idx="2">
                  <c:v>160</c:v>
                </c:pt>
                <c:pt idx="3">
                  <c:v>200</c:v>
                </c:pt>
                <c:pt idx="4">
                  <c:v>260</c:v>
                </c:pt>
                <c:pt idx="5">
                  <c:v>400</c:v>
                </c:pt>
              </c:numCache>
            </c:numRef>
          </c:yVal>
        </c:ser>
        <c:axId val="167186816"/>
        <c:axId val="167209216"/>
      </c:scatterChart>
      <c:valAx>
        <c:axId val="167186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67209216"/>
        <c:crosses val="autoZero"/>
        <c:crossBetween val="midCat"/>
      </c:valAx>
      <c:valAx>
        <c:axId val="16720921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Y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67186816"/>
        <c:crosses val="autoZero"/>
        <c:crossBetween val="midCat"/>
      </c:valAx>
    </c:plotArea>
    <c:plotVisOnly val="1"/>
    <c:dispBlanksAs val="gap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hart>
    <c:title>
      <c:tx>
        <c:rich>
          <a:bodyPr/>
          <a:lstStyle/>
          <a:p>
            <a:pPr>
              <a:defRPr sz="2000"/>
            </a:pPr>
            <a:r>
              <a:rPr lang="fr-CA" sz="2000"/>
              <a:t>Regression</a:t>
            </a:r>
            <a:r>
              <a:rPr lang="fr-CA" sz="2000" baseline="0"/>
              <a:t> sur polynome de degré 2</a:t>
            </a:r>
            <a:endParaRPr lang="fr-CA" sz="2000"/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Échantillon</c:v>
          </c:tx>
          <c:spPr>
            <a:ln w="28575">
              <a:noFill/>
            </a:ln>
          </c:spPr>
          <c:marker>
            <c:spPr>
              <a:ln w="25400"/>
            </c:spPr>
          </c:marker>
          <c:trendline>
            <c:spPr>
              <a:ln w="25400"/>
            </c:spPr>
            <c:trendlineType val="poly"/>
            <c:order val="2"/>
          </c:trendline>
          <c:xVal>
            <c:numRef>
              <c:f>'régression modérée'!$A$4:$A$9</c:f>
              <c:numCache>
                <c:formatCode>General</c:formatCode>
                <c:ptCount val="6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15</c:v>
                </c:pt>
                <c:pt idx="4">
                  <c:v>24</c:v>
                </c:pt>
                <c:pt idx="5">
                  <c:v>28</c:v>
                </c:pt>
              </c:numCache>
            </c:numRef>
          </c:xVal>
          <c:yVal>
            <c:numRef>
              <c:f>'régression modérée'!$B$4:$B$9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150</c:v>
                </c:pt>
                <c:pt idx="4">
                  <c:v>300</c:v>
                </c:pt>
                <c:pt idx="5">
                  <c:v>500</c:v>
                </c:pt>
              </c:numCache>
            </c:numRef>
          </c:yVal>
        </c:ser>
        <c:ser>
          <c:idx val="1"/>
          <c:order val="1"/>
          <c:tx>
            <c:v>Hors échantillon</c:v>
          </c:tx>
          <c:spPr>
            <a:ln w="28575">
              <a:noFill/>
            </a:ln>
          </c:spPr>
          <c:marker>
            <c:spPr>
              <a:ln w="25400"/>
            </c:spPr>
          </c:marker>
          <c:xVal>
            <c:numRef>
              <c:f>'régression modérée'!$A$13:$A$18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20</c:v>
                </c:pt>
                <c:pt idx="4">
                  <c:v>22</c:v>
                </c:pt>
                <c:pt idx="5">
                  <c:v>26</c:v>
                </c:pt>
              </c:numCache>
            </c:numRef>
          </c:xVal>
          <c:yVal>
            <c:numRef>
              <c:f>'régression modérée'!$B$13:$B$18</c:f>
              <c:numCache>
                <c:formatCode>General</c:formatCode>
                <c:ptCount val="6"/>
                <c:pt idx="0">
                  <c:v>15</c:v>
                </c:pt>
                <c:pt idx="1">
                  <c:v>30</c:v>
                </c:pt>
                <c:pt idx="2">
                  <c:v>160</c:v>
                </c:pt>
                <c:pt idx="3">
                  <c:v>200</c:v>
                </c:pt>
                <c:pt idx="4">
                  <c:v>260</c:v>
                </c:pt>
                <c:pt idx="5">
                  <c:v>400</c:v>
                </c:pt>
              </c:numCache>
            </c:numRef>
          </c:yVal>
        </c:ser>
        <c:axId val="166449536"/>
        <c:axId val="166451456"/>
      </c:scatterChart>
      <c:valAx>
        <c:axId val="166449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6451456"/>
        <c:crosses val="autoZero"/>
        <c:crossBetween val="midCat"/>
      </c:valAx>
      <c:valAx>
        <c:axId val="16645145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/>
                  <a:t>Y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6449536"/>
        <c:crosses val="autoZero"/>
        <c:crossBetween val="midCat"/>
      </c:valAx>
    </c:plotArea>
    <c:legend>
      <c:legendPos val="t"/>
      <c:legendEntry>
        <c:idx val="0"/>
        <c:txPr>
          <a:bodyPr/>
          <a:lstStyle/>
          <a:p>
            <a:pPr>
              <a:defRPr sz="1400"/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400"/>
            </a:pPr>
            <a:endParaRPr lang="en-US"/>
          </a:p>
        </c:txPr>
      </c:legendEntry>
      <c:legendEntry>
        <c:idx val="2"/>
        <c:delete val="1"/>
      </c:legendEntry>
      <c:layout/>
    </c:legend>
    <c:plotVisOnly val="1"/>
    <c:dispBlanksAs val="gap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hart>
    <c:title>
      <c:tx>
        <c:rich>
          <a:bodyPr/>
          <a:lstStyle/>
          <a:p>
            <a:pPr>
              <a:defRPr sz="2000"/>
            </a:pPr>
            <a:r>
              <a:rPr lang="fr-CA" sz="2000"/>
              <a:t>Regressions</a:t>
            </a:r>
            <a:r>
              <a:rPr lang="fr-CA" sz="2000" baseline="0"/>
              <a:t> sur polynome de degré 5</a:t>
            </a:r>
            <a:endParaRPr lang="fr-CA" sz="2000"/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Échantillon</c:v>
          </c:tx>
          <c:spPr>
            <a:ln w="28575">
              <a:noFill/>
            </a:ln>
          </c:spPr>
          <c:marker>
            <c:spPr>
              <a:ln w="25400"/>
            </c:spPr>
          </c:marker>
          <c:trendline>
            <c:spPr>
              <a:ln w="25400"/>
            </c:spPr>
            <c:trendlineType val="poly"/>
            <c:order val="5"/>
          </c:trendline>
          <c:xVal>
            <c:numRef>
              <c:f>surapprentissage!$A$4:$A$9</c:f>
              <c:numCache>
                <c:formatCode>General</c:formatCode>
                <c:ptCount val="6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15</c:v>
                </c:pt>
                <c:pt idx="4">
                  <c:v>24</c:v>
                </c:pt>
                <c:pt idx="5">
                  <c:v>28</c:v>
                </c:pt>
              </c:numCache>
            </c:numRef>
          </c:xVal>
          <c:yVal>
            <c:numRef>
              <c:f>surapprentissage!$B$4:$B$9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150</c:v>
                </c:pt>
                <c:pt idx="4">
                  <c:v>300</c:v>
                </c:pt>
                <c:pt idx="5">
                  <c:v>500</c:v>
                </c:pt>
              </c:numCache>
            </c:numRef>
          </c:yVal>
        </c:ser>
        <c:ser>
          <c:idx val="1"/>
          <c:order val="1"/>
          <c:tx>
            <c:v>Hors échantillon</c:v>
          </c:tx>
          <c:spPr>
            <a:ln w="28575">
              <a:noFill/>
            </a:ln>
          </c:spPr>
          <c:marker>
            <c:spPr>
              <a:ln w="25400"/>
            </c:spPr>
          </c:marker>
          <c:xVal>
            <c:numRef>
              <c:f>surapprentissage!$A$13:$A$18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20</c:v>
                </c:pt>
                <c:pt idx="4">
                  <c:v>22</c:v>
                </c:pt>
                <c:pt idx="5">
                  <c:v>26</c:v>
                </c:pt>
              </c:numCache>
            </c:numRef>
          </c:xVal>
          <c:yVal>
            <c:numRef>
              <c:f>surapprentissage!$B$13:$B$18</c:f>
              <c:numCache>
                <c:formatCode>General</c:formatCode>
                <c:ptCount val="6"/>
                <c:pt idx="0">
                  <c:v>15</c:v>
                </c:pt>
                <c:pt idx="1">
                  <c:v>30</c:v>
                </c:pt>
                <c:pt idx="2">
                  <c:v>160</c:v>
                </c:pt>
                <c:pt idx="3">
                  <c:v>200</c:v>
                </c:pt>
                <c:pt idx="4">
                  <c:v>260</c:v>
                </c:pt>
                <c:pt idx="5">
                  <c:v>400</c:v>
                </c:pt>
              </c:numCache>
            </c:numRef>
          </c:yVal>
        </c:ser>
        <c:axId val="166562048"/>
        <c:axId val="166584704"/>
      </c:scatterChart>
      <c:valAx>
        <c:axId val="166562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66584704"/>
        <c:crosses val="autoZero"/>
        <c:crossBetween val="midCat"/>
      </c:valAx>
      <c:valAx>
        <c:axId val="166584704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/>
                  <a:t>Y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66562048"/>
        <c:crosses val="autoZero"/>
        <c:crossBetween val="midCat"/>
      </c:valAx>
    </c:plotArea>
    <c:legend>
      <c:legendPos val="t"/>
      <c:legendEntry>
        <c:idx val="2"/>
        <c:delete val="1"/>
      </c:legendEntry>
      <c:layout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hart>
    <c:plotArea>
      <c:layout>
        <c:manualLayout>
          <c:layoutTarget val="inner"/>
          <c:xMode val="edge"/>
          <c:yMode val="edge"/>
          <c:x val="0.22371530033176273"/>
          <c:y val="5.1400554097404488E-2"/>
          <c:w val="0.71874609269971124"/>
          <c:h val="0.82727981918926796"/>
        </c:manualLayout>
      </c:layout>
      <c:scatterChart>
        <c:scatterStyle val="lineMarker"/>
        <c:ser>
          <c:idx val="0"/>
          <c:order val="0"/>
          <c:tx>
            <c:strRef>
              <c:f>compromis!$D$5</c:f>
              <c:strCache>
                <c:ptCount val="1"/>
                <c:pt idx="0">
                  <c:v>Performance en-échantillon</c:v>
                </c:pt>
              </c:strCache>
            </c:strRef>
          </c:tx>
          <c:xVal>
            <c:numRef>
              <c:f>compromis!$C$6:$C$11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compromis!$D$6:$D$11</c:f>
              <c:numCache>
                <c:formatCode>General</c:formatCode>
                <c:ptCount val="6"/>
                <c:pt idx="0">
                  <c:v>31866.666666666668</c:v>
                </c:pt>
                <c:pt idx="1">
                  <c:v>3140.8901582768062</c:v>
                </c:pt>
                <c:pt idx="2">
                  <c:v>654.15711829331337</c:v>
                </c:pt>
                <c:pt idx="3">
                  <c:v>577.09131949934022</c:v>
                </c:pt>
                <c:pt idx="4">
                  <c:v>354.11826603614173</c:v>
                </c:pt>
                <c:pt idx="5">
                  <c:v>1.6944226613178873E-12</c:v>
                </c:pt>
              </c:numCache>
            </c:numRef>
          </c:yVal>
        </c:ser>
        <c:ser>
          <c:idx val="1"/>
          <c:order val="1"/>
          <c:tx>
            <c:strRef>
              <c:f>compromis!$E$5</c:f>
              <c:strCache>
                <c:ptCount val="1"/>
                <c:pt idx="0">
                  <c:v>Performance hors-échantillon</c:v>
                </c:pt>
              </c:strCache>
            </c:strRef>
          </c:tx>
          <c:xVal>
            <c:numRef>
              <c:f>compromis!$C$6:$C$11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compromis!$E$6:$E$11</c:f>
              <c:numCache>
                <c:formatCode>General</c:formatCode>
                <c:ptCount val="6"/>
                <c:pt idx="0">
                  <c:v>17604.166666666668</c:v>
                </c:pt>
                <c:pt idx="1">
                  <c:v>2225.3736780861955</c:v>
                </c:pt>
                <c:pt idx="2">
                  <c:v>147.36122109855637</c:v>
                </c:pt>
                <c:pt idx="3">
                  <c:v>137.53090726843183</c:v>
                </c:pt>
                <c:pt idx="4">
                  <c:v>144.92165734436767</c:v>
                </c:pt>
                <c:pt idx="5">
                  <c:v>3909.8206927749784</c:v>
                </c:pt>
              </c:numCache>
            </c:numRef>
          </c:yVal>
        </c:ser>
        <c:axId val="65263872"/>
        <c:axId val="65262336"/>
      </c:scatterChart>
      <c:valAx>
        <c:axId val="65263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Complexité du modèle (degrée du polynôme)</a:t>
                </a:r>
              </a:p>
            </c:rich>
          </c:tx>
          <c:layout>
            <c:manualLayout>
              <c:xMode val="edge"/>
              <c:yMode val="edge"/>
              <c:x val="0.32822603761878966"/>
              <c:y val="0.90645815106445027"/>
            </c:manualLayout>
          </c:layout>
        </c:title>
        <c:numFmt formatCode="General" sourceLinked="1"/>
        <c:tickLblPos val="nextTo"/>
        <c:crossAx val="65262336"/>
        <c:crosses val="autoZero"/>
        <c:crossBetween val="midCat"/>
        <c:majorUnit val="1"/>
      </c:valAx>
      <c:valAx>
        <c:axId val="65262336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CA"/>
                  <a:t>Moyenne des différences au carré</a:t>
                </a:r>
              </a:p>
            </c:rich>
          </c:tx>
          <c:layout>
            <c:manualLayout>
              <c:xMode val="edge"/>
              <c:yMode val="edge"/>
              <c:x val="3.8936085918962922E-2"/>
              <c:y val="0.13403324584426946"/>
            </c:manualLayout>
          </c:layout>
        </c:title>
        <c:numFmt formatCode="General" sourceLinked="1"/>
        <c:tickLblPos val="nextTo"/>
        <c:crossAx val="652638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7966691046498243"/>
          <c:y val="0.4760841353164188"/>
          <c:w val="0.26416088291501494"/>
          <c:h val="0.37653543307086612"/>
        </c:manualLayout>
      </c:layout>
      <c:spPr>
        <a:solidFill>
          <a:schemeClr val="bg1"/>
        </a:solidFill>
        <a:ln>
          <a:solidFill>
            <a:sysClr val="windowText" lastClr="000000">
              <a:shade val="95000"/>
              <a:satMod val="105000"/>
            </a:sysClr>
          </a:solidFill>
        </a:ln>
      </c:spPr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9524</xdr:rowOff>
    </xdr:from>
    <xdr:to>
      <xdr:col>11</xdr:col>
      <xdr:colOff>209550</xdr:colOff>
      <xdr:row>23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1</xdr:row>
      <xdr:rowOff>76199</xdr:rowOff>
    </xdr:from>
    <xdr:to>
      <xdr:col>15</xdr:col>
      <xdr:colOff>57150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21772</xdr:colOff>
      <xdr:row>4</xdr:row>
      <xdr:rowOff>186417</xdr:rowOff>
    </xdr:from>
    <xdr:to>
      <xdr:col>9</xdr:col>
      <xdr:colOff>752475</xdr:colOff>
      <xdr:row>26</xdr:row>
      <xdr:rowOff>5442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4</xdr:row>
      <xdr:rowOff>95250</xdr:rowOff>
    </xdr:from>
    <xdr:to>
      <xdr:col>12</xdr:col>
      <xdr:colOff>723899</xdr:colOff>
      <xdr:row>18</xdr:row>
      <xdr:rowOff>171450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8"/>
  <sheetViews>
    <sheetView zoomScale="70" zoomScaleNormal="70" workbookViewId="0">
      <selection activeCell="I32" sqref="I32"/>
    </sheetView>
  </sheetViews>
  <sheetFormatPr baseColWidth="10" defaultColWidth="11.42578125" defaultRowHeight="15"/>
  <sheetData>
    <row r="2" spans="1:2">
      <c r="A2" t="s">
        <v>3</v>
      </c>
    </row>
    <row r="3" spans="1:2">
      <c r="A3" t="s">
        <v>1</v>
      </c>
      <c r="B3" t="s">
        <v>0</v>
      </c>
    </row>
    <row r="4" spans="1:2">
      <c r="A4">
        <v>3</v>
      </c>
      <c r="B4">
        <v>10</v>
      </c>
    </row>
    <row r="5" spans="1:2">
      <c r="A5">
        <v>7</v>
      </c>
      <c r="B5">
        <v>20</v>
      </c>
    </row>
    <row r="6" spans="1:2">
      <c r="A6">
        <v>12</v>
      </c>
      <c r="B6">
        <v>40</v>
      </c>
    </row>
    <row r="7" spans="1:2">
      <c r="A7">
        <v>15</v>
      </c>
      <c r="B7">
        <v>150</v>
      </c>
    </row>
    <row r="8" spans="1:2">
      <c r="A8">
        <v>24</v>
      </c>
      <c r="B8">
        <v>300</v>
      </c>
    </row>
    <row r="9" spans="1:2">
      <c r="A9">
        <v>28</v>
      </c>
      <c r="B9">
        <v>500</v>
      </c>
    </row>
    <row r="11" spans="1:2">
      <c r="A11" t="s">
        <v>2</v>
      </c>
    </row>
    <row r="12" spans="1:2">
      <c r="A12" t="s">
        <v>1</v>
      </c>
      <c r="B12" t="s">
        <v>0</v>
      </c>
    </row>
    <row r="13" spans="1:2">
      <c r="A13">
        <v>5</v>
      </c>
      <c r="B13">
        <v>15</v>
      </c>
    </row>
    <row r="14" spans="1:2">
      <c r="A14">
        <v>10</v>
      </c>
      <c r="B14">
        <v>30</v>
      </c>
    </row>
    <row r="15" spans="1:2">
      <c r="A15">
        <v>17</v>
      </c>
      <c r="B15">
        <v>160</v>
      </c>
    </row>
    <row r="16" spans="1:2">
      <c r="A16">
        <v>20</v>
      </c>
      <c r="B16">
        <v>200</v>
      </c>
    </row>
    <row r="17" spans="1:2">
      <c r="A17">
        <v>22</v>
      </c>
      <c r="B17">
        <v>260</v>
      </c>
    </row>
    <row r="18" spans="1:2">
      <c r="A18">
        <v>26</v>
      </c>
      <c r="B18">
        <v>400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18"/>
  <sheetViews>
    <sheetView zoomScaleNormal="100" workbookViewId="0">
      <selection activeCell="D2" sqref="D2:H19"/>
    </sheetView>
  </sheetViews>
  <sheetFormatPr baseColWidth="10" defaultColWidth="11.42578125" defaultRowHeight="15"/>
  <sheetData>
    <row r="2" spans="1:2">
      <c r="A2" t="s">
        <v>3</v>
      </c>
    </row>
    <row r="3" spans="1:2">
      <c r="A3" t="s">
        <v>1</v>
      </c>
      <c r="B3" t="s">
        <v>0</v>
      </c>
    </row>
    <row r="4" spans="1:2">
      <c r="A4">
        <v>3</v>
      </c>
      <c r="B4">
        <v>10</v>
      </c>
    </row>
    <row r="5" spans="1:2">
      <c r="A5">
        <v>7</v>
      </c>
      <c r="B5">
        <v>20</v>
      </c>
    </row>
    <row r="6" spans="1:2">
      <c r="A6">
        <v>12</v>
      </c>
      <c r="B6">
        <v>40</v>
      </c>
    </row>
    <row r="7" spans="1:2">
      <c r="A7">
        <v>15</v>
      </c>
      <c r="B7">
        <v>150</v>
      </c>
    </row>
    <row r="8" spans="1:2">
      <c r="A8">
        <v>24</v>
      </c>
      <c r="B8">
        <v>300</v>
      </c>
    </row>
    <row r="9" spans="1:2">
      <c r="A9">
        <v>28</v>
      </c>
      <c r="B9">
        <v>500</v>
      </c>
    </row>
    <row r="11" spans="1:2">
      <c r="A11" t="s">
        <v>2</v>
      </c>
    </row>
    <row r="12" spans="1:2">
      <c r="A12" t="s">
        <v>1</v>
      </c>
      <c r="B12" t="s">
        <v>0</v>
      </c>
    </row>
    <row r="13" spans="1:2">
      <c r="A13">
        <v>5</v>
      </c>
      <c r="B13">
        <v>15</v>
      </c>
    </row>
    <row r="14" spans="1:2">
      <c r="A14">
        <v>10</v>
      </c>
      <c r="B14">
        <v>30</v>
      </c>
    </row>
    <row r="15" spans="1:2">
      <c r="A15">
        <v>17</v>
      </c>
      <c r="B15">
        <v>160</v>
      </c>
    </row>
    <row r="16" spans="1:2">
      <c r="A16">
        <v>20</v>
      </c>
      <c r="B16">
        <v>200</v>
      </c>
    </row>
    <row r="17" spans="1:2">
      <c r="A17">
        <v>22</v>
      </c>
      <c r="B17">
        <v>260</v>
      </c>
    </row>
    <row r="18" spans="1:2">
      <c r="A18">
        <v>26</v>
      </c>
      <c r="B18">
        <v>400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18"/>
  <sheetViews>
    <sheetView tabSelected="1" topLeftCell="A7" zoomScaleNormal="100" workbookViewId="0">
      <selection activeCell="F27" sqref="F27"/>
    </sheetView>
  </sheetViews>
  <sheetFormatPr baseColWidth="10" defaultColWidth="11.42578125" defaultRowHeight="15"/>
  <sheetData>
    <row r="2" spans="1:2">
      <c r="A2" t="s">
        <v>3</v>
      </c>
    </row>
    <row r="3" spans="1:2">
      <c r="A3" t="s">
        <v>1</v>
      </c>
      <c r="B3" t="s">
        <v>0</v>
      </c>
    </row>
    <row r="4" spans="1:2">
      <c r="A4">
        <v>3</v>
      </c>
      <c r="B4">
        <v>10</v>
      </c>
    </row>
    <row r="5" spans="1:2">
      <c r="A5">
        <v>7</v>
      </c>
      <c r="B5">
        <v>20</v>
      </c>
    </row>
    <row r="6" spans="1:2">
      <c r="A6">
        <v>12</v>
      </c>
      <c r="B6">
        <v>40</v>
      </c>
    </row>
    <row r="7" spans="1:2">
      <c r="A7">
        <v>15</v>
      </c>
      <c r="B7">
        <v>150</v>
      </c>
    </row>
    <row r="8" spans="1:2">
      <c r="A8">
        <v>24</v>
      </c>
      <c r="B8">
        <v>300</v>
      </c>
    </row>
    <row r="9" spans="1:2">
      <c r="A9">
        <v>28</v>
      </c>
      <c r="B9">
        <v>500</v>
      </c>
    </row>
    <row r="11" spans="1:2">
      <c r="A11" t="s">
        <v>2</v>
      </c>
    </row>
    <row r="12" spans="1:2">
      <c r="A12" t="s">
        <v>1</v>
      </c>
      <c r="B12" t="s">
        <v>0</v>
      </c>
    </row>
    <row r="13" spans="1:2">
      <c r="A13">
        <v>5</v>
      </c>
      <c r="B13">
        <v>15</v>
      </c>
    </row>
    <row r="14" spans="1:2">
      <c r="A14">
        <v>10</v>
      </c>
      <c r="B14">
        <v>30</v>
      </c>
    </row>
    <row r="15" spans="1:2">
      <c r="A15">
        <v>17</v>
      </c>
      <c r="B15">
        <v>160</v>
      </c>
    </row>
    <row r="16" spans="1:2">
      <c r="A16">
        <v>20</v>
      </c>
      <c r="B16">
        <v>200</v>
      </c>
    </row>
    <row r="17" spans="1:2">
      <c r="A17">
        <v>22</v>
      </c>
      <c r="B17">
        <v>260</v>
      </c>
    </row>
    <row r="18" spans="1:2">
      <c r="A18">
        <v>26</v>
      </c>
      <c r="B18">
        <v>400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9"/>
  <sheetViews>
    <sheetView zoomScaleNormal="100" workbookViewId="0">
      <selection activeCell="D3" sqref="D3"/>
    </sheetView>
  </sheetViews>
  <sheetFormatPr baseColWidth="10" defaultColWidth="11.42578125" defaultRowHeight="15"/>
  <sheetData>
    <row r="1" spans="1:12">
      <c r="D1">
        <f t="array" ref="D1">TRANSPOSE(MMULT(MINVERSE(MMULT(TRANSPOSE(D4:D9),D4:D9)),MMULT(TRANSPOSE(D4:D9),B4:B9)))</f>
        <v>170</v>
      </c>
    </row>
    <row r="2" spans="1:12">
      <c r="A2" t="s">
        <v>3</v>
      </c>
      <c r="D2" s="1">
        <f>D1</f>
        <v>170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2">
      <c r="A3" t="s">
        <v>1</v>
      </c>
      <c r="B3" t="s">
        <v>0</v>
      </c>
      <c r="D3">
        <v>0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</row>
    <row r="4" spans="1:12">
      <c r="A4">
        <v>3</v>
      </c>
      <c r="B4">
        <v>10</v>
      </c>
      <c r="D4">
        <f>$A4^D$3</f>
        <v>1</v>
      </c>
      <c r="E4">
        <f t="shared" ref="E4:J9" si="0">$A4^E$3</f>
        <v>3</v>
      </c>
      <c r="F4">
        <f t="shared" si="0"/>
        <v>9</v>
      </c>
      <c r="G4">
        <f t="shared" si="0"/>
        <v>27</v>
      </c>
      <c r="H4">
        <f t="shared" si="0"/>
        <v>81</v>
      </c>
      <c r="I4">
        <f t="shared" si="0"/>
        <v>243</v>
      </c>
      <c r="J4">
        <f t="shared" si="0"/>
        <v>729</v>
      </c>
      <c r="K4">
        <f>SUMPRODUCT(D4:J4,$D$2:$J$2)</f>
        <v>170</v>
      </c>
      <c r="L4">
        <f>(K4-B4)^2</f>
        <v>25600</v>
      </c>
    </row>
    <row r="5" spans="1:12">
      <c r="A5">
        <v>7</v>
      </c>
      <c r="B5">
        <v>20</v>
      </c>
      <c r="D5">
        <f t="shared" ref="D5:D9" si="1">$A5^D$3</f>
        <v>1</v>
      </c>
      <c r="E5">
        <f t="shared" si="0"/>
        <v>7</v>
      </c>
      <c r="F5">
        <f t="shared" si="0"/>
        <v>49</v>
      </c>
      <c r="G5">
        <f t="shared" si="0"/>
        <v>343</v>
      </c>
      <c r="H5">
        <f t="shared" si="0"/>
        <v>2401</v>
      </c>
      <c r="I5">
        <f t="shared" si="0"/>
        <v>16807</v>
      </c>
      <c r="J5">
        <f t="shared" si="0"/>
        <v>117649</v>
      </c>
      <c r="K5">
        <f t="shared" ref="K5:K9" si="2">SUMPRODUCT(D5:J5,$D$2:$J$2)</f>
        <v>170</v>
      </c>
      <c r="L5">
        <f t="shared" ref="L5:L9" si="3">(K5-B5)^2</f>
        <v>22500</v>
      </c>
    </row>
    <row r="6" spans="1:12">
      <c r="A6">
        <v>12</v>
      </c>
      <c r="B6">
        <v>40</v>
      </c>
      <c r="D6">
        <f t="shared" si="1"/>
        <v>1</v>
      </c>
      <c r="E6">
        <f t="shared" si="0"/>
        <v>12</v>
      </c>
      <c r="F6">
        <f t="shared" si="0"/>
        <v>144</v>
      </c>
      <c r="G6">
        <f t="shared" si="0"/>
        <v>1728</v>
      </c>
      <c r="H6">
        <f t="shared" si="0"/>
        <v>20736</v>
      </c>
      <c r="I6">
        <f t="shared" si="0"/>
        <v>248832</v>
      </c>
      <c r="J6">
        <f t="shared" si="0"/>
        <v>2985984</v>
      </c>
      <c r="K6">
        <f t="shared" si="2"/>
        <v>170</v>
      </c>
      <c r="L6">
        <f t="shared" si="3"/>
        <v>16900</v>
      </c>
    </row>
    <row r="7" spans="1:12">
      <c r="A7">
        <v>15</v>
      </c>
      <c r="B7">
        <v>150</v>
      </c>
      <c r="D7">
        <f t="shared" si="1"/>
        <v>1</v>
      </c>
      <c r="E7">
        <f t="shared" si="0"/>
        <v>15</v>
      </c>
      <c r="F7">
        <f t="shared" si="0"/>
        <v>225</v>
      </c>
      <c r="G7">
        <f t="shared" si="0"/>
        <v>3375</v>
      </c>
      <c r="H7">
        <f t="shared" si="0"/>
        <v>50625</v>
      </c>
      <c r="I7">
        <f t="shared" si="0"/>
        <v>759375</v>
      </c>
      <c r="J7">
        <f t="shared" si="0"/>
        <v>11390625</v>
      </c>
      <c r="K7">
        <f t="shared" si="2"/>
        <v>170</v>
      </c>
      <c r="L7">
        <f t="shared" si="3"/>
        <v>400</v>
      </c>
    </row>
    <row r="8" spans="1:12">
      <c r="A8">
        <v>24</v>
      </c>
      <c r="B8">
        <v>300</v>
      </c>
      <c r="D8">
        <f t="shared" si="1"/>
        <v>1</v>
      </c>
      <c r="E8">
        <f t="shared" si="0"/>
        <v>24</v>
      </c>
      <c r="F8">
        <f t="shared" si="0"/>
        <v>576</v>
      </c>
      <c r="G8">
        <f t="shared" si="0"/>
        <v>13824</v>
      </c>
      <c r="H8">
        <f t="shared" si="0"/>
        <v>331776</v>
      </c>
      <c r="I8">
        <f t="shared" si="0"/>
        <v>7962624</v>
      </c>
      <c r="J8">
        <f t="shared" si="0"/>
        <v>191102976</v>
      </c>
      <c r="K8">
        <f t="shared" si="2"/>
        <v>170</v>
      </c>
      <c r="L8">
        <f t="shared" si="3"/>
        <v>16900</v>
      </c>
    </row>
    <row r="9" spans="1:12">
      <c r="A9">
        <v>28</v>
      </c>
      <c r="B9">
        <v>500</v>
      </c>
      <c r="D9">
        <f t="shared" si="1"/>
        <v>1</v>
      </c>
      <c r="E9">
        <f t="shared" si="0"/>
        <v>28</v>
      </c>
      <c r="F9">
        <f t="shared" si="0"/>
        <v>784</v>
      </c>
      <c r="G9">
        <f t="shared" si="0"/>
        <v>21952</v>
      </c>
      <c r="H9">
        <f t="shared" si="0"/>
        <v>614656</v>
      </c>
      <c r="I9">
        <f t="shared" si="0"/>
        <v>17210368</v>
      </c>
      <c r="J9">
        <f t="shared" si="0"/>
        <v>481890304</v>
      </c>
      <c r="K9">
        <f t="shared" si="2"/>
        <v>170</v>
      </c>
      <c r="L9">
        <f t="shared" si="3"/>
        <v>108900</v>
      </c>
    </row>
    <row r="10" spans="1:12">
      <c r="L10">
        <f>AVERAGE(L4:L9)</f>
        <v>31866.666666666668</v>
      </c>
    </row>
    <row r="11" spans="1:12">
      <c r="A11" t="s">
        <v>2</v>
      </c>
    </row>
    <row r="12" spans="1:12">
      <c r="A12" t="s">
        <v>1</v>
      </c>
      <c r="B12" t="s">
        <v>0</v>
      </c>
    </row>
    <row r="13" spans="1:12">
      <c r="A13">
        <v>5</v>
      </c>
      <c r="B13">
        <v>15</v>
      </c>
      <c r="D13">
        <f>$A13^D$3</f>
        <v>1</v>
      </c>
      <c r="E13">
        <f t="shared" ref="E13:J18" si="4">$A13^E$3</f>
        <v>5</v>
      </c>
      <c r="F13">
        <f t="shared" si="4"/>
        <v>25</v>
      </c>
      <c r="G13">
        <f t="shared" si="4"/>
        <v>125</v>
      </c>
      <c r="H13">
        <f t="shared" si="4"/>
        <v>625</v>
      </c>
      <c r="I13">
        <f t="shared" si="4"/>
        <v>3125</v>
      </c>
      <c r="J13">
        <f t="shared" si="4"/>
        <v>15625</v>
      </c>
      <c r="K13">
        <f>SUMPRODUCT(D13:J13,$D$2:$J$2)</f>
        <v>170</v>
      </c>
      <c r="L13">
        <f>(K13-B13)^2</f>
        <v>24025</v>
      </c>
    </row>
    <row r="14" spans="1:12">
      <c r="A14">
        <v>10</v>
      </c>
      <c r="B14">
        <v>30</v>
      </c>
      <c r="D14">
        <f t="shared" ref="D14:D18" si="5">$A14^D$3</f>
        <v>1</v>
      </c>
      <c r="E14">
        <f t="shared" si="4"/>
        <v>10</v>
      </c>
      <c r="F14">
        <f t="shared" si="4"/>
        <v>100</v>
      </c>
      <c r="G14">
        <f t="shared" si="4"/>
        <v>1000</v>
      </c>
      <c r="H14">
        <f t="shared" si="4"/>
        <v>10000</v>
      </c>
      <c r="I14">
        <f t="shared" si="4"/>
        <v>100000</v>
      </c>
      <c r="J14">
        <f t="shared" si="4"/>
        <v>1000000</v>
      </c>
      <c r="K14">
        <f t="shared" ref="K14:K18" si="6">SUMPRODUCT(D14:J14,$D$2:$J$2)</f>
        <v>170</v>
      </c>
      <c r="L14">
        <f t="shared" ref="L14:L18" si="7">(K14-B14)^2</f>
        <v>19600</v>
      </c>
    </row>
    <row r="15" spans="1:12">
      <c r="A15">
        <v>17</v>
      </c>
      <c r="B15">
        <v>160</v>
      </c>
      <c r="D15">
        <f t="shared" si="5"/>
        <v>1</v>
      </c>
      <c r="E15">
        <f t="shared" si="4"/>
        <v>17</v>
      </c>
      <c r="F15">
        <f t="shared" si="4"/>
        <v>289</v>
      </c>
      <c r="G15">
        <f t="shared" si="4"/>
        <v>4913</v>
      </c>
      <c r="H15">
        <f t="shared" si="4"/>
        <v>83521</v>
      </c>
      <c r="I15">
        <f t="shared" si="4"/>
        <v>1419857</v>
      </c>
      <c r="J15">
        <f t="shared" si="4"/>
        <v>24137569</v>
      </c>
      <c r="K15">
        <f t="shared" si="6"/>
        <v>170</v>
      </c>
      <c r="L15">
        <f t="shared" si="7"/>
        <v>100</v>
      </c>
    </row>
    <row r="16" spans="1:12">
      <c r="A16">
        <v>20</v>
      </c>
      <c r="B16">
        <v>200</v>
      </c>
      <c r="D16">
        <f t="shared" si="5"/>
        <v>1</v>
      </c>
      <c r="E16">
        <f t="shared" si="4"/>
        <v>20</v>
      </c>
      <c r="F16">
        <f t="shared" si="4"/>
        <v>400</v>
      </c>
      <c r="G16">
        <f t="shared" si="4"/>
        <v>8000</v>
      </c>
      <c r="H16">
        <f t="shared" si="4"/>
        <v>160000</v>
      </c>
      <c r="I16">
        <f t="shared" si="4"/>
        <v>3200000</v>
      </c>
      <c r="J16">
        <f t="shared" si="4"/>
        <v>64000000</v>
      </c>
      <c r="K16">
        <f t="shared" si="6"/>
        <v>170</v>
      </c>
      <c r="L16">
        <f t="shared" si="7"/>
        <v>900</v>
      </c>
    </row>
    <row r="17" spans="1:12">
      <c r="A17">
        <v>22</v>
      </c>
      <c r="B17">
        <v>260</v>
      </c>
      <c r="D17">
        <f t="shared" si="5"/>
        <v>1</v>
      </c>
      <c r="E17">
        <f t="shared" si="4"/>
        <v>22</v>
      </c>
      <c r="F17">
        <f t="shared" si="4"/>
        <v>484</v>
      </c>
      <c r="G17">
        <f t="shared" si="4"/>
        <v>10648</v>
      </c>
      <c r="H17">
        <f t="shared" si="4"/>
        <v>234256</v>
      </c>
      <c r="I17">
        <f t="shared" si="4"/>
        <v>5153632</v>
      </c>
      <c r="J17">
        <f t="shared" si="4"/>
        <v>113379904</v>
      </c>
      <c r="K17">
        <f t="shared" si="6"/>
        <v>170</v>
      </c>
      <c r="L17">
        <f t="shared" si="7"/>
        <v>8100</v>
      </c>
    </row>
    <row r="18" spans="1:12">
      <c r="A18">
        <v>26</v>
      </c>
      <c r="B18">
        <v>400</v>
      </c>
      <c r="D18">
        <f t="shared" si="5"/>
        <v>1</v>
      </c>
      <c r="E18">
        <f t="shared" si="4"/>
        <v>26</v>
      </c>
      <c r="F18">
        <f t="shared" si="4"/>
        <v>676</v>
      </c>
      <c r="G18">
        <f t="shared" si="4"/>
        <v>17576</v>
      </c>
      <c r="H18">
        <f t="shared" si="4"/>
        <v>456976</v>
      </c>
      <c r="I18">
        <f t="shared" si="4"/>
        <v>11881376</v>
      </c>
      <c r="J18">
        <f t="shared" si="4"/>
        <v>308915776</v>
      </c>
      <c r="K18">
        <f t="shared" si="6"/>
        <v>170</v>
      </c>
      <c r="L18">
        <f t="shared" si="7"/>
        <v>52900</v>
      </c>
    </row>
    <row r="19" spans="1:12">
      <c r="L19">
        <f>AVERAGE(L13:L18)</f>
        <v>17604.166666666668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9"/>
  <sheetViews>
    <sheetView zoomScaleNormal="100" workbookViewId="0">
      <selection activeCell="D2" sqref="D2:E2"/>
    </sheetView>
  </sheetViews>
  <sheetFormatPr baseColWidth="10" defaultColWidth="11.42578125" defaultRowHeight="15"/>
  <sheetData>
    <row r="1" spans="1:12">
      <c r="D1">
        <f t="array" ref="D1:E1">TRANSPOSE(MMULT(MINVERSE(MMULT(TRANSPOSE(D4:E9),D4:E9)),MMULT(TRANSPOSE(D4:E9),B4:B9)))</f>
        <v>-115.01606569082446</v>
      </c>
      <c r="E1">
        <v>19.214566226347728</v>
      </c>
    </row>
    <row r="2" spans="1:12">
      <c r="A2" t="s">
        <v>3</v>
      </c>
      <c r="D2" s="1">
        <f>D1</f>
        <v>-115.01606569082446</v>
      </c>
      <c r="E2" s="1">
        <f>E1</f>
        <v>19.214566226347728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2">
      <c r="A3" t="s">
        <v>1</v>
      </c>
      <c r="B3" t="s">
        <v>0</v>
      </c>
      <c r="D3">
        <v>0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</row>
    <row r="4" spans="1:12">
      <c r="A4">
        <v>3</v>
      </c>
      <c r="B4">
        <v>10</v>
      </c>
      <c r="D4">
        <f>$A4^D$3</f>
        <v>1</v>
      </c>
      <c r="E4">
        <f t="shared" ref="E4:J9" si="0">$A4^E$3</f>
        <v>3</v>
      </c>
      <c r="F4">
        <f t="shared" si="0"/>
        <v>9</v>
      </c>
      <c r="G4">
        <f t="shared" si="0"/>
        <v>27</v>
      </c>
      <c r="H4">
        <f t="shared" si="0"/>
        <v>81</v>
      </c>
      <c r="I4">
        <f t="shared" si="0"/>
        <v>243</v>
      </c>
      <c r="J4">
        <f t="shared" si="0"/>
        <v>729</v>
      </c>
      <c r="K4">
        <f>SUMPRODUCT(D4:J4,$D$2:$J$2)</f>
        <v>-57.372367011781279</v>
      </c>
      <c r="L4">
        <f>(K4-B4)^2</f>
        <v>4539.0358367701547</v>
      </c>
    </row>
    <row r="5" spans="1:12">
      <c r="A5">
        <v>7</v>
      </c>
      <c r="B5">
        <v>20</v>
      </c>
      <c r="D5">
        <f t="shared" ref="D5:D9" si="1">$A5^D$3</f>
        <v>1</v>
      </c>
      <c r="E5">
        <f t="shared" si="0"/>
        <v>7</v>
      </c>
      <c r="F5">
        <f t="shared" si="0"/>
        <v>49</v>
      </c>
      <c r="G5">
        <f t="shared" si="0"/>
        <v>343</v>
      </c>
      <c r="H5">
        <f t="shared" si="0"/>
        <v>2401</v>
      </c>
      <c r="I5">
        <f t="shared" si="0"/>
        <v>16807</v>
      </c>
      <c r="J5">
        <f t="shared" si="0"/>
        <v>117649</v>
      </c>
      <c r="K5">
        <f t="shared" ref="K5:K9" si="2">SUMPRODUCT(D5:J5,$D$2:$J$2)</f>
        <v>19.485897893609632</v>
      </c>
      <c r="L5">
        <f t="shared" ref="L5:L9" si="3">(K5-B5)^2</f>
        <v>0.26430097579501316</v>
      </c>
    </row>
    <row r="6" spans="1:12">
      <c r="A6">
        <v>12</v>
      </c>
      <c r="B6">
        <v>40</v>
      </c>
      <c r="D6">
        <f t="shared" si="1"/>
        <v>1</v>
      </c>
      <c r="E6">
        <f t="shared" si="0"/>
        <v>12</v>
      </c>
      <c r="F6">
        <f t="shared" si="0"/>
        <v>144</v>
      </c>
      <c r="G6">
        <f t="shared" si="0"/>
        <v>1728</v>
      </c>
      <c r="H6">
        <f t="shared" si="0"/>
        <v>20736</v>
      </c>
      <c r="I6">
        <f t="shared" si="0"/>
        <v>248832</v>
      </c>
      <c r="J6">
        <f t="shared" si="0"/>
        <v>2985984</v>
      </c>
      <c r="K6">
        <f t="shared" si="2"/>
        <v>115.55872902534827</v>
      </c>
      <c r="L6">
        <f t="shared" si="3"/>
        <v>5709.1215319260073</v>
      </c>
    </row>
    <row r="7" spans="1:12">
      <c r="A7">
        <v>15</v>
      </c>
      <c r="B7">
        <v>150</v>
      </c>
      <c r="D7">
        <f t="shared" si="1"/>
        <v>1</v>
      </c>
      <c r="E7">
        <f t="shared" si="0"/>
        <v>15</v>
      </c>
      <c r="F7">
        <f t="shared" si="0"/>
        <v>225</v>
      </c>
      <c r="G7">
        <f t="shared" si="0"/>
        <v>3375</v>
      </c>
      <c r="H7">
        <f t="shared" si="0"/>
        <v>50625</v>
      </c>
      <c r="I7">
        <f t="shared" si="0"/>
        <v>759375</v>
      </c>
      <c r="J7">
        <f t="shared" si="0"/>
        <v>11390625</v>
      </c>
      <c r="K7">
        <f t="shared" si="2"/>
        <v>173.20242770439143</v>
      </c>
      <c r="L7">
        <f t="shared" si="3"/>
        <v>538.35265137751071</v>
      </c>
    </row>
    <row r="8" spans="1:12">
      <c r="A8">
        <v>24</v>
      </c>
      <c r="B8">
        <v>300</v>
      </c>
      <c r="D8">
        <f t="shared" si="1"/>
        <v>1</v>
      </c>
      <c r="E8">
        <f t="shared" si="0"/>
        <v>24</v>
      </c>
      <c r="F8">
        <f t="shared" si="0"/>
        <v>576</v>
      </c>
      <c r="G8">
        <f t="shared" si="0"/>
        <v>13824</v>
      </c>
      <c r="H8">
        <f t="shared" si="0"/>
        <v>331776</v>
      </c>
      <c r="I8">
        <f t="shared" si="0"/>
        <v>7962624</v>
      </c>
      <c r="J8">
        <f t="shared" si="0"/>
        <v>191102976</v>
      </c>
      <c r="K8">
        <f t="shared" si="2"/>
        <v>346.133523741521</v>
      </c>
      <c r="L8">
        <f t="shared" si="3"/>
        <v>2128.3020128094822</v>
      </c>
    </row>
    <row r="9" spans="1:12">
      <c r="A9">
        <v>28</v>
      </c>
      <c r="B9">
        <v>500</v>
      </c>
      <c r="D9">
        <f t="shared" si="1"/>
        <v>1</v>
      </c>
      <c r="E9">
        <f t="shared" si="0"/>
        <v>28</v>
      </c>
      <c r="F9">
        <f t="shared" si="0"/>
        <v>784</v>
      </c>
      <c r="G9">
        <f t="shared" si="0"/>
        <v>21952</v>
      </c>
      <c r="H9">
        <f t="shared" si="0"/>
        <v>614656</v>
      </c>
      <c r="I9">
        <f t="shared" si="0"/>
        <v>17210368</v>
      </c>
      <c r="J9">
        <f t="shared" si="0"/>
        <v>481890304</v>
      </c>
      <c r="K9">
        <f t="shared" si="2"/>
        <v>422.99178864691191</v>
      </c>
      <c r="L9">
        <f t="shared" si="3"/>
        <v>5930.2646158018852</v>
      </c>
    </row>
    <row r="10" spans="1:12">
      <c r="L10">
        <f>AVERAGE(L4:L9)</f>
        <v>3140.8901582768062</v>
      </c>
    </row>
    <row r="11" spans="1:12">
      <c r="A11" t="s">
        <v>2</v>
      </c>
    </row>
    <row r="12" spans="1:12">
      <c r="A12" t="s">
        <v>1</v>
      </c>
      <c r="B12" t="s">
        <v>0</v>
      </c>
    </row>
    <row r="13" spans="1:12">
      <c r="A13">
        <v>5</v>
      </c>
      <c r="B13">
        <v>15</v>
      </c>
      <c r="D13">
        <f>$A13^D$3</f>
        <v>1</v>
      </c>
      <c r="E13">
        <f t="shared" ref="E13:J18" si="4">$A13^E$3</f>
        <v>5</v>
      </c>
      <c r="F13">
        <f t="shared" si="4"/>
        <v>25</v>
      </c>
      <c r="G13">
        <f t="shared" si="4"/>
        <v>125</v>
      </c>
      <c r="H13">
        <f t="shared" si="4"/>
        <v>625</v>
      </c>
      <c r="I13">
        <f t="shared" si="4"/>
        <v>3125</v>
      </c>
      <c r="J13">
        <f t="shared" si="4"/>
        <v>15625</v>
      </c>
      <c r="K13">
        <f>SUMPRODUCT(D13:J13,$D$2:$J$2)</f>
        <v>-18.943234559085823</v>
      </c>
      <c r="L13">
        <f>(K13-B13)^2</f>
        <v>1152.1431723331182</v>
      </c>
    </row>
    <row r="14" spans="1:12">
      <c r="A14">
        <v>10</v>
      </c>
      <c r="B14">
        <v>30</v>
      </c>
      <c r="D14">
        <f t="shared" ref="D14:D18" si="5">$A14^D$3</f>
        <v>1</v>
      </c>
      <c r="E14">
        <f t="shared" si="4"/>
        <v>10</v>
      </c>
      <c r="F14">
        <f t="shared" si="4"/>
        <v>100</v>
      </c>
      <c r="G14">
        <f t="shared" si="4"/>
        <v>1000</v>
      </c>
      <c r="H14">
        <f t="shared" si="4"/>
        <v>10000</v>
      </c>
      <c r="I14">
        <f t="shared" si="4"/>
        <v>100000</v>
      </c>
      <c r="J14">
        <f t="shared" si="4"/>
        <v>1000000</v>
      </c>
      <c r="K14">
        <f t="shared" ref="K14:K18" si="6">SUMPRODUCT(D14:J14,$D$2:$J$2)</f>
        <v>77.129596572652815</v>
      </c>
      <c r="L14">
        <f t="shared" ref="L14:L18" si="7">(K14-B14)^2</f>
        <v>2221.1988731010078</v>
      </c>
    </row>
    <row r="15" spans="1:12">
      <c r="A15">
        <v>17</v>
      </c>
      <c r="B15">
        <v>160</v>
      </c>
      <c r="D15">
        <f t="shared" si="5"/>
        <v>1</v>
      </c>
      <c r="E15">
        <f t="shared" si="4"/>
        <v>17</v>
      </c>
      <c r="F15">
        <f t="shared" si="4"/>
        <v>289</v>
      </c>
      <c r="G15">
        <f t="shared" si="4"/>
        <v>4913</v>
      </c>
      <c r="H15">
        <f t="shared" si="4"/>
        <v>83521</v>
      </c>
      <c r="I15">
        <f t="shared" si="4"/>
        <v>1419857</v>
      </c>
      <c r="J15">
        <f t="shared" si="4"/>
        <v>24137569</v>
      </c>
      <c r="K15">
        <f t="shared" si="6"/>
        <v>211.63156015708694</v>
      </c>
      <c r="L15">
        <f t="shared" si="7"/>
        <v>2665.8180042548875</v>
      </c>
    </row>
    <row r="16" spans="1:12">
      <c r="A16">
        <v>20</v>
      </c>
      <c r="B16">
        <v>200</v>
      </c>
      <c r="D16">
        <f t="shared" si="5"/>
        <v>1</v>
      </c>
      <c r="E16">
        <f t="shared" si="4"/>
        <v>20</v>
      </c>
      <c r="F16">
        <f t="shared" si="4"/>
        <v>400</v>
      </c>
      <c r="G16">
        <f t="shared" si="4"/>
        <v>8000</v>
      </c>
      <c r="H16">
        <f t="shared" si="4"/>
        <v>160000</v>
      </c>
      <c r="I16">
        <f t="shared" si="4"/>
        <v>3200000</v>
      </c>
      <c r="J16">
        <f t="shared" si="4"/>
        <v>64000000</v>
      </c>
      <c r="K16">
        <f t="shared" si="6"/>
        <v>269.27525883613009</v>
      </c>
      <c r="L16">
        <f t="shared" si="7"/>
        <v>4799.0614868128205</v>
      </c>
    </row>
    <row r="17" spans="1:12">
      <c r="A17">
        <v>22</v>
      </c>
      <c r="B17">
        <v>260</v>
      </c>
      <c r="D17">
        <f t="shared" si="5"/>
        <v>1</v>
      </c>
      <c r="E17">
        <f t="shared" si="4"/>
        <v>22</v>
      </c>
      <c r="F17">
        <f t="shared" si="4"/>
        <v>484</v>
      </c>
      <c r="G17">
        <f t="shared" si="4"/>
        <v>10648</v>
      </c>
      <c r="H17">
        <f t="shared" si="4"/>
        <v>234256</v>
      </c>
      <c r="I17">
        <f t="shared" si="4"/>
        <v>5153632</v>
      </c>
      <c r="J17">
        <f t="shared" si="4"/>
        <v>113379904</v>
      </c>
      <c r="K17">
        <f t="shared" si="6"/>
        <v>307.70439128882555</v>
      </c>
      <c r="L17">
        <f t="shared" si="7"/>
        <v>2275.7089482373749</v>
      </c>
    </row>
    <row r="18" spans="1:12">
      <c r="A18">
        <v>26</v>
      </c>
      <c r="B18">
        <v>400</v>
      </c>
      <c r="D18">
        <f t="shared" si="5"/>
        <v>1</v>
      </c>
      <c r="E18">
        <f t="shared" si="4"/>
        <v>26</v>
      </c>
      <c r="F18">
        <f t="shared" si="4"/>
        <v>676</v>
      </c>
      <c r="G18">
        <f t="shared" si="4"/>
        <v>17576</v>
      </c>
      <c r="H18">
        <f t="shared" si="4"/>
        <v>456976</v>
      </c>
      <c r="I18">
        <f t="shared" si="4"/>
        <v>11881376</v>
      </c>
      <c r="J18">
        <f t="shared" si="4"/>
        <v>308915776</v>
      </c>
      <c r="K18">
        <f t="shared" si="6"/>
        <v>384.56265619421646</v>
      </c>
      <c r="L18">
        <f t="shared" si="7"/>
        <v>238.31158377796348</v>
      </c>
    </row>
    <row r="19" spans="1:12">
      <c r="L19">
        <f>AVERAGE(L13:L18)</f>
        <v>2225.3736780861955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zoomScaleNormal="100" workbookViewId="0">
      <selection activeCell="D2" sqref="D2:F2"/>
    </sheetView>
  </sheetViews>
  <sheetFormatPr baseColWidth="10" defaultColWidth="11.42578125" defaultRowHeight="15"/>
  <sheetData>
    <row r="1" spans="1:12">
      <c r="D1">
        <f t="array" ref="D1:F1">TRANSPOSE(MMULT(MINVERSE(MMULT(TRANSPOSE(D4:F9),D4:F9)),MMULT(TRANSPOSE(D4:F9),B4:B9)))</f>
        <v>23.81758422349867</v>
      </c>
      <c r="E1">
        <v>-6.4869423141299194</v>
      </c>
      <c r="F1">
        <v>0.81389611674122975</v>
      </c>
    </row>
    <row r="2" spans="1:12">
      <c r="A2" t="s">
        <v>3</v>
      </c>
      <c r="D2" s="1">
        <f>D1</f>
        <v>23.81758422349867</v>
      </c>
      <c r="E2" s="1">
        <f t="shared" ref="E2:F2" si="0">E1</f>
        <v>-6.4869423141299194</v>
      </c>
      <c r="F2" s="1">
        <f t="shared" si="0"/>
        <v>0.81389611674122975</v>
      </c>
      <c r="G2" s="1">
        <v>0</v>
      </c>
      <c r="H2" s="1">
        <v>0</v>
      </c>
      <c r="I2" s="1">
        <v>0</v>
      </c>
      <c r="J2" s="1">
        <v>0</v>
      </c>
    </row>
    <row r="3" spans="1:12">
      <c r="A3" t="s">
        <v>1</v>
      </c>
      <c r="B3" t="s">
        <v>0</v>
      </c>
      <c r="D3">
        <v>0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</row>
    <row r="4" spans="1:12">
      <c r="A4">
        <v>3</v>
      </c>
      <c r="B4">
        <v>10</v>
      </c>
      <c r="D4">
        <f>$A4^D$3</f>
        <v>1</v>
      </c>
      <c r="E4">
        <f t="shared" ref="E4:J9" si="1">$A4^E$3</f>
        <v>3</v>
      </c>
      <c r="F4">
        <f t="shared" si="1"/>
        <v>9</v>
      </c>
      <c r="G4">
        <f t="shared" si="1"/>
        <v>27</v>
      </c>
      <c r="H4">
        <f t="shared" si="1"/>
        <v>81</v>
      </c>
      <c r="I4">
        <f t="shared" si="1"/>
        <v>243</v>
      </c>
      <c r="J4">
        <f t="shared" si="1"/>
        <v>729</v>
      </c>
      <c r="K4">
        <f>SUMPRODUCT(D4:J4,$D$2:$J$2)</f>
        <v>11.68182233177998</v>
      </c>
      <c r="L4">
        <f>(K4-B4)^2</f>
        <v>2.8285263556738487</v>
      </c>
    </row>
    <row r="5" spans="1:12">
      <c r="A5">
        <v>7</v>
      </c>
      <c r="B5">
        <v>20</v>
      </c>
      <c r="D5">
        <f t="shared" ref="D5:D9" si="2">$A5^D$3</f>
        <v>1</v>
      </c>
      <c r="E5">
        <f t="shared" si="1"/>
        <v>7</v>
      </c>
      <c r="F5">
        <f t="shared" si="1"/>
        <v>49</v>
      </c>
      <c r="G5">
        <f t="shared" si="1"/>
        <v>343</v>
      </c>
      <c r="H5">
        <f t="shared" si="1"/>
        <v>2401</v>
      </c>
      <c r="I5">
        <f t="shared" si="1"/>
        <v>16807</v>
      </c>
      <c r="J5">
        <f t="shared" si="1"/>
        <v>117649</v>
      </c>
      <c r="K5">
        <f t="shared" ref="K5:K9" si="3">SUMPRODUCT(D5:J5,$D$2:$J$2)</f>
        <v>18.289897744909496</v>
      </c>
      <c r="L5">
        <f t="shared" ref="L5:L9" si="4">(K5-B5)^2</f>
        <v>2.9244497228656283</v>
      </c>
    </row>
    <row r="6" spans="1:12">
      <c r="A6">
        <v>12</v>
      </c>
      <c r="B6">
        <v>40</v>
      </c>
      <c r="D6">
        <f t="shared" si="2"/>
        <v>1</v>
      </c>
      <c r="E6">
        <f t="shared" si="1"/>
        <v>12</v>
      </c>
      <c r="F6">
        <f t="shared" si="1"/>
        <v>144</v>
      </c>
      <c r="G6">
        <f t="shared" si="1"/>
        <v>1728</v>
      </c>
      <c r="H6">
        <f t="shared" si="1"/>
        <v>20736</v>
      </c>
      <c r="I6">
        <f t="shared" si="1"/>
        <v>248832</v>
      </c>
      <c r="J6">
        <f t="shared" si="1"/>
        <v>2985984</v>
      </c>
      <c r="K6">
        <f t="shared" si="3"/>
        <v>63.175317264676721</v>
      </c>
      <c r="L6">
        <f t="shared" si="4"/>
        <v>537.09533031842295</v>
      </c>
    </row>
    <row r="7" spans="1:12">
      <c r="A7">
        <v>15</v>
      </c>
      <c r="B7">
        <v>150</v>
      </c>
      <c r="D7">
        <f t="shared" si="2"/>
        <v>1</v>
      </c>
      <c r="E7">
        <f t="shared" si="1"/>
        <v>15</v>
      </c>
      <c r="F7">
        <f t="shared" si="1"/>
        <v>225</v>
      </c>
      <c r="G7">
        <f t="shared" si="1"/>
        <v>3375</v>
      </c>
      <c r="H7">
        <f t="shared" si="1"/>
        <v>50625</v>
      </c>
      <c r="I7">
        <f t="shared" si="1"/>
        <v>759375</v>
      </c>
      <c r="J7">
        <f t="shared" si="1"/>
        <v>11390625</v>
      </c>
      <c r="K7">
        <f t="shared" si="3"/>
        <v>109.64007577832658</v>
      </c>
      <c r="L7">
        <f t="shared" si="4"/>
        <v>1628.9234831792212</v>
      </c>
    </row>
    <row r="8" spans="1:12">
      <c r="A8">
        <v>24</v>
      </c>
      <c r="B8">
        <v>300</v>
      </c>
      <c r="D8">
        <f t="shared" si="2"/>
        <v>1</v>
      </c>
      <c r="E8">
        <f t="shared" si="1"/>
        <v>24</v>
      </c>
      <c r="F8">
        <f t="shared" si="1"/>
        <v>576</v>
      </c>
      <c r="G8">
        <f t="shared" si="1"/>
        <v>13824</v>
      </c>
      <c r="H8">
        <f t="shared" si="1"/>
        <v>331776</v>
      </c>
      <c r="I8">
        <f t="shared" si="1"/>
        <v>7962624</v>
      </c>
      <c r="J8">
        <f t="shared" si="1"/>
        <v>191102976</v>
      </c>
      <c r="K8">
        <f t="shared" si="3"/>
        <v>336.93513192732894</v>
      </c>
      <c r="L8">
        <f t="shared" si="4"/>
        <v>1364.2039704891936</v>
      </c>
    </row>
    <row r="9" spans="1:12">
      <c r="A9">
        <v>28</v>
      </c>
      <c r="B9">
        <v>500</v>
      </c>
      <c r="D9">
        <f t="shared" si="2"/>
        <v>1</v>
      </c>
      <c r="E9">
        <f t="shared" si="1"/>
        <v>28</v>
      </c>
      <c r="F9">
        <f t="shared" si="1"/>
        <v>784</v>
      </c>
      <c r="G9">
        <f t="shared" si="1"/>
        <v>21952</v>
      </c>
      <c r="H9">
        <f t="shared" si="1"/>
        <v>614656</v>
      </c>
      <c r="I9">
        <f t="shared" si="1"/>
        <v>17210368</v>
      </c>
      <c r="J9">
        <f t="shared" si="1"/>
        <v>481890304</v>
      </c>
      <c r="K9">
        <f t="shared" si="3"/>
        <v>480.27775495298511</v>
      </c>
      <c r="L9">
        <f t="shared" si="4"/>
        <v>388.96694969450351</v>
      </c>
    </row>
    <row r="10" spans="1:12">
      <c r="L10">
        <f>AVERAGE(L4:L9)</f>
        <v>654.15711829331337</v>
      </c>
    </row>
    <row r="11" spans="1:12">
      <c r="A11" t="s">
        <v>2</v>
      </c>
    </row>
    <row r="12" spans="1:12">
      <c r="A12" t="s">
        <v>1</v>
      </c>
      <c r="B12" t="s">
        <v>0</v>
      </c>
    </row>
    <row r="13" spans="1:12">
      <c r="A13">
        <v>5</v>
      </c>
      <c r="B13">
        <v>15</v>
      </c>
      <c r="D13">
        <f>$A13^D$3</f>
        <v>1</v>
      </c>
      <c r="E13">
        <f t="shared" ref="E13:J18" si="5">$A13^E$3</f>
        <v>5</v>
      </c>
      <c r="F13">
        <f t="shared" si="5"/>
        <v>25</v>
      </c>
      <c r="G13">
        <f t="shared" si="5"/>
        <v>125</v>
      </c>
      <c r="H13">
        <f t="shared" si="5"/>
        <v>625</v>
      </c>
      <c r="I13">
        <f t="shared" si="5"/>
        <v>3125</v>
      </c>
      <c r="J13">
        <f t="shared" si="5"/>
        <v>15625</v>
      </c>
      <c r="K13">
        <f>SUMPRODUCT(D13:J13,$D$2:$J$2)</f>
        <v>11.730275571379817</v>
      </c>
      <c r="L13">
        <f>(K13-B13)^2</f>
        <v>10.691097839115582</v>
      </c>
    </row>
    <row r="14" spans="1:12">
      <c r="A14">
        <v>10</v>
      </c>
      <c r="B14">
        <v>30</v>
      </c>
      <c r="D14">
        <f t="shared" ref="D14:D18" si="6">$A14^D$3</f>
        <v>1</v>
      </c>
      <c r="E14">
        <f t="shared" si="5"/>
        <v>10</v>
      </c>
      <c r="F14">
        <f t="shared" si="5"/>
        <v>100</v>
      </c>
      <c r="G14">
        <f t="shared" si="5"/>
        <v>1000</v>
      </c>
      <c r="H14">
        <f t="shared" si="5"/>
        <v>10000</v>
      </c>
      <c r="I14">
        <f t="shared" si="5"/>
        <v>100000</v>
      </c>
      <c r="J14">
        <f t="shared" si="5"/>
        <v>1000000</v>
      </c>
      <c r="K14">
        <f t="shared" ref="K14:K18" si="7">SUMPRODUCT(D14:J14,$D$2:$J$2)</f>
        <v>40.337772756322451</v>
      </c>
      <c r="L14">
        <f t="shared" ref="L14:L18" si="8">(K14-B14)^2</f>
        <v>106.86954556136268</v>
      </c>
    </row>
    <row r="15" spans="1:12">
      <c r="A15">
        <v>17</v>
      </c>
      <c r="B15">
        <v>160</v>
      </c>
      <c r="D15">
        <f t="shared" si="6"/>
        <v>1</v>
      </c>
      <c r="E15">
        <f t="shared" si="5"/>
        <v>17</v>
      </c>
      <c r="F15">
        <f t="shared" si="5"/>
        <v>289</v>
      </c>
      <c r="G15">
        <f t="shared" si="5"/>
        <v>4913</v>
      </c>
      <c r="H15">
        <f t="shared" si="5"/>
        <v>83521</v>
      </c>
      <c r="I15">
        <f t="shared" si="5"/>
        <v>1419857</v>
      </c>
      <c r="J15">
        <f t="shared" si="5"/>
        <v>24137569</v>
      </c>
      <c r="K15">
        <f t="shared" si="7"/>
        <v>148.75554262150544</v>
      </c>
      <c r="L15">
        <f t="shared" si="8"/>
        <v>126.43782173678073</v>
      </c>
    </row>
    <row r="16" spans="1:12">
      <c r="A16">
        <v>20</v>
      </c>
      <c r="B16">
        <v>200</v>
      </c>
      <c r="D16">
        <f t="shared" si="6"/>
        <v>1</v>
      </c>
      <c r="E16">
        <f t="shared" si="5"/>
        <v>20</v>
      </c>
      <c r="F16">
        <f t="shared" si="5"/>
        <v>400</v>
      </c>
      <c r="G16">
        <f t="shared" si="5"/>
        <v>8000</v>
      </c>
      <c r="H16">
        <f t="shared" si="5"/>
        <v>160000</v>
      </c>
      <c r="I16">
        <f t="shared" si="5"/>
        <v>3200000</v>
      </c>
      <c r="J16">
        <f t="shared" si="5"/>
        <v>64000000</v>
      </c>
      <c r="K16">
        <f t="shared" si="7"/>
        <v>219.63718463739218</v>
      </c>
      <c r="L16">
        <f t="shared" si="8"/>
        <v>385.61902048303148</v>
      </c>
    </row>
    <row r="17" spans="1:12">
      <c r="A17">
        <v>22</v>
      </c>
      <c r="B17">
        <v>260</v>
      </c>
      <c r="D17">
        <f t="shared" si="6"/>
        <v>1</v>
      </c>
      <c r="E17">
        <f t="shared" si="5"/>
        <v>22</v>
      </c>
      <c r="F17">
        <f t="shared" si="5"/>
        <v>484</v>
      </c>
      <c r="G17">
        <f t="shared" si="5"/>
        <v>10648</v>
      </c>
      <c r="H17">
        <f t="shared" si="5"/>
        <v>234256</v>
      </c>
      <c r="I17">
        <f t="shared" si="5"/>
        <v>5153632</v>
      </c>
      <c r="J17">
        <f t="shared" si="5"/>
        <v>113379904</v>
      </c>
      <c r="K17">
        <f t="shared" si="7"/>
        <v>275.03057381539566</v>
      </c>
      <c r="L17">
        <f t="shared" si="8"/>
        <v>225.9181492200575</v>
      </c>
    </row>
    <row r="18" spans="1:12">
      <c r="A18">
        <v>26</v>
      </c>
      <c r="B18">
        <v>400</v>
      </c>
      <c r="D18">
        <f t="shared" si="6"/>
        <v>1</v>
      </c>
      <c r="E18">
        <f t="shared" si="5"/>
        <v>26</v>
      </c>
      <c r="F18">
        <f t="shared" si="5"/>
        <v>676</v>
      </c>
      <c r="G18">
        <f t="shared" si="5"/>
        <v>17576</v>
      </c>
      <c r="H18">
        <f t="shared" si="5"/>
        <v>456976</v>
      </c>
      <c r="I18">
        <f t="shared" si="5"/>
        <v>11881376</v>
      </c>
      <c r="J18">
        <f t="shared" si="5"/>
        <v>308915776</v>
      </c>
      <c r="K18">
        <f t="shared" si="7"/>
        <v>405.35085897319209</v>
      </c>
      <c r="L18">
        <f t="shared" si="8"/>
        <v>28.631691750990299</v>
      </c>
    </row>
    <row r="19" spans="1:12">
      <c r="L19">
        <f>AVERAGE(L13:L18)</f>
        <v>147.36122109855637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9"/>
  <sheetViews>
    <sheetView zoomScaleNormal="100" workbookViewId="0">
      <selection activeCell="D2" sqref="D2:G2"/>
    </sheetView>
  </sheetViews>
  <sheetFormatPr baseColWidth="10" defaultColWidth="11.42578125" defaultRowHeight="15"/>
  <sheetData>
    <row r="1" spans="1:12">
      <c r="D1">
        <f t="array" ref="D1:G1">TRANSPOSE(MMULT(MINVERSE(MMULT(TRANSPOSE(D4:G9),D4:G9)),MMULT(TRANSPOSE(D4:G9),B4:B9)))</f>
        <v>-14.779386613448878</v>
      </c>
      <c r="E1">
        <v>6.840114869421086</v>
      </c>
      <c r="F1">
        <v>-0.28023016112013011</v>
      </c>
      <c r="G1">
        <v>2.4259434028053306E-2</v>
      </c>
    </row>
    <row r="2" spans="1:12">
      <c r="A2" t="s">
        <v>3</v>
      </c>
      <c r="D2" s="1">
        <f>D1</f>
        <v>-14.779386613448878</v>
      </c>
      <c r="E2" s="1">
        <f t="shared" ref="E2:G2" si="0">E1</f>
        <v>6.840114869421086</v>
      </c>
      <c r="F2" s="1">
        <f t="shared" si="0"/>
        <v>-0.28023016112013011</v>
      </c>
      <c r="G2" s="1">
        <f t="shared" si="0"/>
        <v>2.4259434028053306E-2</v>
      </c>
      <c r="H2" s="1">
        <v>0</v>
      </c>
      <c r="I2" s="1">
        <v>0</v>
      </c>
      <c r="J2" s="1">
        <v>0</v>
      </c>
    </row>
    <row r="3" spans="1:12">
      <c r="A3" t="s">
        <v>1</v>
      </c>
      <c r="B3" t="s">
        <v>0</v>
      </c>
      <c r="D3">
        <v>0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</row>
    <row r="4" spans="1:12">
      <c r="A4">
        <v>3</v>
      </c>
      <c r="B4">
        <v>10</v>
      </c>
      <c r="D4">
        <f>$A4^D$3</f>
        <v>1</v>
      </c>
      <c r="E4">
        <f t="shared" ref="E4:J9" si="1">$A4^E$3</f>
        <v>3</v>
      </c>
      <c r="F4">
        <f t="shared" si="1"/>
        <v>9</v>
      </c>
      <c r="G4">
        <f t="shared" si="1"/>
        <v>27</v>
      </c>
      <c r="H4">
        <f t="shared" si="1"/>
        <v>81</v>
      </c>
      <c r="I4">
        <f t="shared" si="1"/>
        <v>243</v>
      </c>
      <c r="J4">
        <f t="shared" si="1"/>
        <v>729</v>
      </c>
      <c r="K4">
        <f>SUMPRODUCT(D4:J4,$D$2:$J$2)</f>
        <v>3.8738912634906484</v>
      </c>
      <c r="L4">
        <f>(K4-B4)^2</f>
        <v>37.529208251536204</v>
      </c>
    </row>
    <row r="5" spans="1:12">
      <c r="A5">
        <v>7</v>
      </c>
      <c r="B5">
        <v>20</v>
      </c>
      <c r="D5">
        <f t="shared" ref="D5:D9" si="2">$A5^D$3</f>
        <v>1</v>
      </c>
      <c r="E5">
        <f t="shared" si="1"/>
        <v>7</v>
      </c>
      <c r="F5">
        <f t="shared" si="1"/>
        <v>49</v>
      </c>
      <c r="G5">
        <f t="shared" si="1"/>
        <v>343</v>
      </c>
      <c r="H5">
        <f t="shared" si="1"/>
        <v>2401</v>
      </c>
      <c r="I5">
        <f t="shared" si="1"/>
        <v>16807</v>
      </c>
      <c r="J5">
        <f t="shared" si="1"/>
        <v>117649</v>
      </c>
      <c r="K5">
        <f t="shared" ref="K5:K9" si="3">SUMPRODUCT(D5:J5,$D$2:$J$2)</f>
        <v>27.691125449234633</v>
      </c>
      <c r="L5">
        <f t="shared" ref="L5:L9" si="4">(K5-B5)^2</f>
        <v>59.153410675864635</v>
      </c>
    </row>
    <row r="6" spans="1:12">
      <c r="A6">
        <v>12</v>
      </c>
      <c r="B6">
        <v>40</v>
      </c>
      <c r="D6">
        <f t="shared" si="2"/>
        <v>1</v>
      </c>
      <c r="E6">
        <f t="shared" si="1"/>
        <v>12</v>
      </c>
      <c r="F6">
        <f t="shared" si="1"/>
        <v>144</v>
      </c>
      <c r="G6">
        <f t="shared" si="1"/>
        <v>1728</v>
      </c>
      <c r="H6">
        <f t="shared" si="1"/>
        <v>20736</v>
      </c>
      <c r="I6">
        <f t="shared" si="1"/>
        <v>248832</v>
      </c>
      <c r="J6">
        <f t="shared" si="1"/>
        <v>2985984</v>
      </c>
      <c r="K6">
        <f t="shared" si="3"/>
        <v>68.869150618781532</v>
      </c>
      <c r="L6">
        <f t="shared" si="4"/>
        <v>833.42785744989408</v>
      </c>
    </row>
    <row r="7" spans="1:12">
      <c r="A7">
        <v>15</v>
      </c>
      <c r="B7">
        <v>150</v>
      </c>
      <c r="D7">
        <f t="shared" si="2"/>
        <v>1</v>
      </c>
      <c r="E7">
        <f t="shared" si="1"/>
        <v>15</v>
      </c>
      <c r="F7">
        <f t="shared" si="1"/>
        <v>225</v>
      </c>
      <c r="G7">
        <f t="shared" si="1"/>
        <v>3375</v>
      </c>
      <c r="H7">
        <f t="shared" si="1"/>
        <v>50625</v>
      </c>
      <c r="I7">
        <f t="shared" si="1"/>
        <v>759375</v>
      </c>
      <c r="J7">
        <f t="shared" si="1"/>
        <v>11390625</v>
      </c>
      <c r="K7">
        <f t="shared" si="3"/>
        <v>106.64614002051805</v>
      </c>
      <c r="L7">
        <f t="shared" si="4"/>
        <v>1879.5571751205268</v>
      </c>
    </row>
    <row r="8" spans="1:12">
      <c r="A8">
        <v>24</v>
      </c>
      <c r="B8">
        <v>300</v>
      </c>
      <c r="D8">
        <f t="shared" si="2"/>
        <v>1</v>
      </c>
      <c r="E8">
        <f t="shared" si="1"/>
        <v>24</v>
      </c>
      <c r="F8">
        <f t="shared" si="1"/>
        <v>576</v>
      </c>
      <c r="G8">
        <f t="shared" si="1"/>
        <v>13824</v>
      </c>
      <c r="H8">
        <f t="shared" si="1"/>
        <v>331776</v>
      </c>
      <c r="I8">
        <f t="shared" si="1"/>
        <v>7962624</v>
      </c>
      <c r="J8">
        <f t="shared" si="1"/>
        <v>191102976</v>
      </c>
      <c r="K8">
        <f t="shared" si="3"/>
        <v>323.33321345127115</v>
      </c>
      <c r="L8">
        <f t="shared" si="4"/>
        <v>544.43884996258089</v>
      </c>
    </row>
    <row r="9" spans="1:12">
      <c r="A9">
        <v>28</v>
      </c>
      <c r="B9">
        <v>500</v>
      </c>
      <c r="D9">
        <f t="shared" si="2"/>
        <v>1</v>
      </c>
      <c r="E9">
        <f t="shared" si="1"/>
        <v>28</v>
      </c>
      <c r="F9">
        <f t="shared" si="1"/>
        <v>784</v>
      </c>
      <c r="G9">
        <f t="shared" si="1"/>
        <v>21952</v>
      </c>
      <c r="H9">
        <f t="shared" si="1"/>
        <v>614656</v>
      </c>
      <c r="I9">
        <f t="shared" si="1"/>
        <v>17210368</v>
      </c>
      <c r="J9">
        <f t="shared" si="1"/>
        <v>481890304</v>
      </c>
      <c r="K9">
        <f t="shared" si="3"/>
        <v>489.5864791959857</v>
      </c>
      <c r="L9">
        <f t="shared" si="4"/>
        <v>108.44141553563857</v>
      </c>
    </row>
    <row r="10" spans="1:12">
      <c r="L10">
        <f>AVERAGE(L4:L9)</f>
        <v>577.09131949934022</v>
      </c>
    </row>
    <row r="11" spans="1:12">
      <c r="A11" t="s">
        <v>2</v>
      </c>
    </row>
    <row r="12" spans="1:12">
      <c r="A12" t="s">
        <v>1</v>
      </c>
      <c r="B12" t="s">
        <v>0</v>
      </c>
    </row>
    <row r="13" spans="1:12">
      <c r="A13">
        <v>5</v>
      </c>
      <c r="B13">
        <v>15</v>
      </c>
      <c r="D13">
        <f>$A13^D$3</f>
        <v>1</v>
      </c>
      <c r="E13">
        <f t="shared" ref="E13:J18" si="5">$A13^E$3</f>
        <v>5</v>
      </c>
      <c r="F13">
        <f t="shared" si="5"/>
        <v>25</v>
      </c>
      <c r="G13">
        <f t="shared" si="5"/>
        <v>125</v>
      </c>
      <c r="H13">
        <f t="shared" si="5"/>
        <v>625</v>
      </c>
      <c r="I13">
        <f t="shared" si="5"/>
        <v>3125</v>
      </c>
      <c r="J13">
        <f t="shared" si="5"/>
        <v>15625</v>
      </c>
      <c r="K13">
        <f>SUMPRODUCT(D13:J13,$D$2:$J$2)</f>
        <v>15.447862959159963</v>
      </c>
      <c r="L13">
        <f>(K13-B13)^2</f>
        <v>0.20058123018751847</v>
      </c>
    </row>
    <row r="14" spans="1:12">
      <c r="A14">
        <v>10</v>
      </c>
      <c r="B14">
        <v>30</v>
      </c>
      <c r="D14">
        <f t="shared" ref="D14:D18" si="6">$A14^D$3</f>
        <v>1</v>
      </c>
      <c r="E14">
        <f t="shared" si="5"/>
        <v>10</v>
      </c>
      <c r="F14">
        <f t="shared" si="5"/>
        <v>100</v>
      </c>
      <c r="G14">
        <f t="shared" si="5"/>
        <v>1000</v>
      </c>
      <c r="H14">
        <f t="shared" si="5"/>
        <v>10000</v>
      </c>
      <c r="I14">
        <f t="shared" si="5"/>
        <v>100000</v>
      </c>
      <c r="J14">
        <f t="shared" si="5"/>
        <v>1000000</v>
      </c>
      <c r="K14">
        <f t="shared" ref="K14:K18" si="7">SUMPRODUCT(D14:J14,$D$2:$J$2)</f>
        <v>49.858179996802278</v>
      </c>
      <c r="L14">
        <f t="shared" ref="L14:L18" si="8">(K14-B14)^2</f>
        <v>394.34731278539812</v>
      </c>
    </row>
    <row r="15" spans="1:12">
      <c r="A15">
        <v>17</v>
      </c>
      <c r="B15">
        <v>160</v>
      </c>
      <c r="D15">
        <f t="shared" si="6"/>
        <v>1</v>
      </c>
      <c r="E15">
        <f t="shared" si="5"/>
        <v>17</v>
      </c>
      <c r="F15">
        <f t="shared" si="5"/>
        <v>289</v>
      </c>
      <c r="G15">
        <f t="shared" si="5"/>
        <v>4913</v>
      </c>
      <c r="H15">
        <f t="shared" si="5"/>
        <v>83521</v>
      </c>
      <c r="I15">
        <f t="shared" si="5"/>
        <v>1419857</v>
      </c>
      <c r="J15">
        <f t="shared" si="5"/>
        <v>24137569</v>
      </c>
      <c r="K15">
        <f t="shared" si="7"/>
        <v>139.70264898281789</v>
      </c>
      <c r="L15">
        <f t="shared" si="8"/>
        <v>411.98245831470359</v>
      </c>
    </row>
    <row r="16" spans="1:12">
      <c r="A16">
        <v>20</v>
      </c>
      <c r="B16">
        <v>200</v>
      </c>
      <c r="D16">
        <f t="shared" si="6"/>
        <v>1</v>
      </c>
      <c r="E16">
        <f t="shared" si="5"/>
        <v>20</v>
      </c>
      <c r="F16">
        <f t="shared" si="5"/>
        <v>400</v>
      </c>
      <c r="G16">
        <f t="shared" si="5"/>
        <v>8000</v>
      </c>
      <c r="H16">
        <f t="shared" si="5"/>
        <v>160000</v>
      </c>
      <c r="I16">
        <f t="shared" si="5"/>
        <v>3200000</v>
      </c>
      <c r="J16">
        <f t="shared" si="5"/>
        <v>64000000</v>
      </c>
      <c r="K16">
        <f t="shared" si="7"/>
        <v>204.00631855134725</v>
      </c>
      <c r="L16">
        <f t="shared" si="8"/>
        <v>16.050588334869119</v>
      </c>
    </row>
    <row r="17" spans="1:12">
      <c r="A17">
        <v>22</v>
      </c>
      <c r="B17">
        <v>260</v>
      </c>
      <c r="D17">
        <f t="shared" si="6"/>
        <v>1</v>
      </c>
      <c r="E17">
        <f t="shared" si="5"/>
        <v>22</v>
      </c>
      <c r="F17">
        <f t="shared" si="5"/>
        <v>484</v>
      </c>
      <c r="G17">
        <f t="shared" si="5"/>
        <v>10648</v>
      </c>
      <c r="H17">
        <f t="shared" si="5"/>
        <v>234256</v>
      </c>
      <c r="I17">
        <f t="shared" si="5"/>
        <v>5153632</v>
      </c>
      <c r="J17">
        <f t="shared" si="5"/>
        <v>113379904</v>
      </c>
      <c r="K17">
        <f t="shared" si="7"/>
        <v>258.38619606238365</v>
      </c>
      <c r="L17">
        <f t="shared" si="8"/>
        <v>2.6043631490660468</v>
      </c>
    </row>
    <row r="18" spans="1:12">
      <c r="A18">
        <v>26</v>
      </c>
      <c r="B18">
        <v>400</v>
      </c>
      <c r="D18">
        <f t="shared" si="6"/>
        <v>1</v>
      </c>
      <c r="E18">
        <f t="shared" si="5"/>
        <v>26</v>
      </c>
      <c r="F18">
        <f t="shared" si="5"/>
        <v>676</v>
      </c>
      <c r="G18">
        <f t="shared" si="5"/>
        <v>17576</v>
      </c>
      <c r="H18">
        <f t="shared" si="5"/>
        <v>456976</v>
      </c>
      <c r="I18">
        <f t="shared" si="5"/>
        <v>11881376</v>
      </c>
      <c r="J18">
        <f t="shared" si="5"/>
        <v>308915776</v>
      </c>
      <c r="K18">
        <f t="shared" si="7"/>
        <v>400.01182355135631</v>
      </c>
      <c r="L18">
        <f t="shared" si="8"/>
        <v>1.3979636667541746E-4</v>
      </c>
    </row>
    <row r="19" spans="1:12">
      <c r="L19">
        <f>AVERAGE(L13:L18)</f>
        <v>137.53090726843183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9"/>
  <sheetViews>
    <sheetView zoomScaleNormal="100" workbookViewId="0">
      <selection activeCell="I11" sqref="I11"/>
    </sheetView>
  </sheetViews>
  <sheetFormatPr baseColWidth="10" defaultColWidth="11.42578125" defaultRowHeight="15"/>
  <sheetData>
    <row r="1" spans="1:12">
      <c r="D1">
        <f t="array" ref="D1:H1">TRANSPOSE(MMULT(MINVERSE(MMULT(TRANSPOSE(D4:H9),D4:H9)),MMULT(TRANSPOSE(D4:H9),B4:B9)))</f>
        <v>110.46215100894915</v>
      </c>
      <c r="E1">
        <v>-50.733435143250972</v>
      </c>
      <c r="F1">
        <v>7.1178799217541382</v>
      </c>
      <c r="G1">
        <v>-0.32955588734034791</v>
      </c>
      <c r="H1">
        <v>5.6325031961002026E-3</v>
      </c>
    </row>
    <row r="2" spans="1:12">
      <c r="A2" t="s">
        <v>3</v>
      </c>
      <c r="D2" s="1">
        <f>D1</f>
        <v>110.46215100894915</v>
      </c>
      <c r="E2" s="1">
        <f t="shared" ref="E2:H2" si="0">E1</f>
        <v>-50.733435143250972</v>
      </c>
      <c r="F2" s="1">
        <f t="shared" si="0"/>
        <v>7.1178799217541382</v>
      </c>
      <c r="G2" s="1">
        <f t="shared" si="0"/>
        <v>-0.32955588734034791</v>
      </c>
      <c r="H2" s="1">
        <f t="shared" si="0"/>
        <v>5.6325031961002026E-3</v>
      </c>
      <c r="I2" s="1">
        <v>0</v>
      </c>
      <c r="J2" s="1">
        <v>0</v>
      </c>
    </row>
    <row r="3" spans="1:12">
      <c r="A3" t="s">
        <v>1</v>
      </c>
      <c r="B3" t="s">
        <v>0</v>
      </c>
      <c r="D3">
        <v>0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</row>
    <row r="4" spans="1:12">
      <c r="A4">
        <v>3</v>
      </c>
      <c r="B4">
        <v>10</v>
      </c>
      <c r="D4">
        <f>$A4^D$3</f>
        <v>1</v>
      </c>
      <c r="E4">
        <f t="shared" ref="E4:J9" si="1">$A4^E$3</f>
        <v>3</v>
      </c>
      <c r="F4">
        <f t="shared" si="1"/>
        <v>9</v>
      </c>
      <c r="G4">
        <f t="shared" si="1"/>
        <v>27</v>
      </c>
      <c r="H4">
        <f t="shared" si="1"/>
        <v>81</v>
      </c>
      <c r="I4">
        <f t="shared" si="1"/>
        <v>243</v>
      </c>
      <c r="J4">
        <f t="shared" si="1"/>
        <v>729</v>
      </c>
      <c r="K4">
        <f>SUMPRODUCT(D4:J4,$D$2:$J$2)</f>
        <v>13.8809886756782</v>
      </c>
      <c r="L4">
        <f>(K4-B4)^2</f>
        <v>15.062073100742428</v>
      </c>
    </row>
    <row r="5" spans="1:12">
      <c r="A5">
        <v>7</v>
      </c>
      <c r="B5">
        <v>20</v>
      </c>
      <c r="D5">
        <f t="shared" ref="D5:D9" si="2">$A5^D$3</f>
        <v>1</v>
      </c>
      <c r="E5">
        <f t="shared" si="1"/>
        <v>7</v>
      </c>
      <c r="F5">
        <f t="shared" si="1"/>
        <v>49</v>
      </c>
      <c r="G5">
        <f t="shared" si="1"/>
        <v>343</v>
      </c>
      <c r="H5">
        <f t="shared" si="1"/>
        <v>2401</v>
      </c>
      <c r="I5">
        <f t="shared" si="1"/>
        <v>16807</v>
      </c>
      <c r="J5">
        <f t="shared" si="1"/>
        <v>117649</v>
      </c>
      <c r="K5">
        <f t="shared" ref="K5:K9" si="3">SUMPRODUCT(D5:J5,$D$2:$J$2)</f>
        <v>4.5901919882423705</v>
      </c>
      <c r="L5">
        <f t="shared" ref="L5:L9" si="4">(K5-B5)^2</f>
        <v>237.46218295922964</v>
      </c>
    </row>
    <row r="6" spans="1:12">
      <c r="A6">
        <v>12</v>
      </c>
      <c r="B6">
        <v>40</v>
      </c>
      <c r="D6">
        <f t="shared" si="2"/>
        <v>1</v>
      </c>
      <c r="E6">
        <f t="shared" si="1"/>
        <v>12</v>
      </c>
      <c r="F6">
        <f t="shared" si="1"/>
        <v>144</v>
      </c>
      <c r="G6">
        <f t="shared" si="1"/>
        <v>1728</v>
      </c>
      <c r="H6">
        <f t="shared" si="1"/>
        <v>20736</v>
      </c>
      <c r="I6">
        <f t="shared" si="1"/>
        <v>248832</v>
      </c>
      <c r="J6">
        <f t="shared" si="1"/>
        <v>2985984</v>
      </c>
      <c r="K6">
        <f t="shared" si="3"/>
        <v>73.958650972746</v>
      </c>
      <c r="L6">
        <f t="shared" si="4"/>
        <v>1153.1899758887828</v>
      </c>
    </row>
    <row r="7" spans="1:12">
      <c r="A7">
        <v>15</v>
      </c>
      <c r="B7">
        <v>150</v>
      </c>
      <c r="D7">
        <f t="shared" si="2"/>
        <v>1</v>
      </c>
      <c r="E7">
        <f t="shared" si="1"/>
        <v>15</v>
      </c>
      <c r="F7">
        <f t="shared" si="1"/>
        <v>225</v>
      </c>
      <c r="G7">
        <f t="shared" si="1"/>
        <v>3375</v>
      </c>
      <c r="H7">
        <f t="shared" si="1"/>
        <v>50625</v>
      </c>
      <c r="I7">
        <f t="shared" si="1"/>
        <v>759375</v>
      </c>
      <c r="J7">
        <f t="shared" si="1"/>
        <v>11390625</v>
      </c>
      <c r="K7">
        <f t="shared" si="3"/>
        <v>123.87796078376425</v>
      </c>
      <c r="L7">
        <f t="shared" si="4"/>
        <v>682.3609328145584</v>
      </c>
    </row>
    <row r="8" spans="1:12">
      <c r="A8">
        <v>24</v>
      </c>
      <c r="B8">
        <v>300</v>
      </c>
      <c r="D8">
        <f t="shared" si="2"/>
        <v>1</v>
      </c>
      <c r="E8">
        <f t="shared" si="1"/>
        <v>24</v>
      </c>
      <c r="F8">
        <f t="shared" si="1"/>
        <v>576</v>
      </c>
      <c r="G8">
        <f t="shared" si="1"/>
        <v>13824</v>
      </c>
      <c r="H8">
        <f t="shared" si="1"/>
        <v>331776</v>
      </c>
      <c r="I8">
        <f t="shared" si="1"/>
        <v>7962624</v>
      </c>
      <c r="J8">
        <f t="shared" si="1"/>
        <v>191102976</v>
      </c>
      <c r="K8">
        <f t="shared" si="3"/>
        <v>305.70733629768074</v>
      </c>
      <c r="L8">
        <f t="shared" si="4"/>
        <v>32.573687614824102</v>
      </c>
    </row>
    <row r="9" spans="1:12">
      <c r="A9">
        <v>28</v>
      </c>
      <c r="B9">
        <v>500</v>
      </c>
      <c r="D9">
        <f t="shared" si="2"/>
        <v>1</v>
      </c>
      <c r="E9">
        <f t="shared" si="1"/>
        <v>28</v>
      </c>
      <c r="F9">
        <f t="shared" si="1"/>
        <v>784</v>
      </c>
      <c r="G9">
        <f t="shared" si="1"/>
        <v>21952</v>
      </c>
      <c r="H9">
        <f t="shared" si="1"/>
        <v>614656</v>
      </c>
      <c r="I9">
        <f t="shared" si="1"/>
        <v>17210368</v>
      </c>
      <c r="J9">
        <f t="shared" si="1"/>
        <v>481890304</v>
      </c>
      <c r="K9">
        <f t="shared" si="3"/>
        <v>497.9848712600151</v>
      </c>
      <c r="L9">
        <f t="shared" si="4"/>
        <v>4.0607438387131412</v>
      </c>
    </row>
    <row r="10" spans="1:12">
      <c r="L10">
        <f>AVERAGE(L4:L9)</f>
        <v>354.11826603614173</v>
      </c>
    </row>
    <row r="11" spans="1:12">
      <c r="A11" t="s">
        <v>2</v>
      </c>
    </row>
    <row r="12" spans="1:12">
      <c r="A12" t="s">
        <v>1</v>
      </c>
      <c r="B12" t="s">
        <v>0</v>
      </c>
    </row>
    <row r="13" spans="1:12">
      <c r="A13">
        <v>5</v>
      </c>
      <c r="B13">
        <v>15</v>
      </c>
      <c r="D13">
        <f>$A13^D$3</f>
        <v>1</v>
      </c>
      <c r="E13">
        <f t="shared" ref="E13:J18" si="5">$A13^E$3</f>
        <v>5</v>
      </c>
      <c r="F13">
        <f t="shared" si="5"/>
        <v>25</v>
      </c>
      <c r="G13">
        <f t="shared" si="5"/>
        <v>125</v>
      </c>
      <c r="H13">
        <f t="shared" si="5"/>
        <v>625</v>
      </c>
      <c r="I13">
        <f t="shared" si="5"/>
        <v>3125</v>
      </c>
      <c r="J13">
        <f t="shared" si="5"/>
        <v>15625</v>
      </c>
      <c r="K13">
        <f>SUMPRODUCT(D13:J13,$D$2:$J$2)</f>
        <v>-2.9321980834331178</v>
      </c>
      <c r="L13">
        <f>(K13-B13)^2</f>
        <v>321.56372810348239</v>
      </c>
    </row>
    <row r="14" spans="1:12">
      <c r="A14">
        <v>10</v>
      </c>
      <c r="B14">
        <v>30</v>
      </c>
      <c r="D14">
        <f t="shared" ref="D14:D18" si="6">$A14^D$3</f>
        <v>1</v>
      </c>
      <c r="E14">
        <f t="shared" si="5"/>
        <v>10</v>
      </c>
      <c r="F14">
        <f t="shared" si="5"/>
        <v>100</v>
      </c>
      <c r="G14">
        <f t="shared" si="5"/>
        <v>1000</v>
      </c>
      <c r="H14">
        <f t="shared" si="5"/>
        <v>10000</v>
      </c>
      <c r="I14">
        <f t="shared" si="5"/>
        <v>100000</v>
      </c>
      <c r="J14">
        <f t="shared" si="5"/>
        <v>1000000</v>
      </c>
      <c r="K14">
        <f t="shared" ref="K14:K18" si="7">SUMPRODUCT(D14:J14,$D$2:$J$2)</f>
        <v>41.684936372507366</v>
      </c>
      <c r="L14">
        <f t="shared" ref="L14:L18" si="8">(K14-B14)^2</f>
        <v>136.53773802954561</v>
      </c>
    </row>
    <row r="15" spans="1:12">
      <c r="A15">
        <v>17</v>
      </c>
      <c r="B15">
        <v>160</v>
      </c>
      <c r="D15">
        <f t="shared" si="6"/>
        <v>1</v>
      </c>
      <c r="E15">
        <f t="shared" si="5"/>
        <v>17</v>
      </c>
      <c r="F15">
        <f t="shared" si="5"/>
        <v>289</v>
      </c>
      <c r="G15">
        <f t="shared" si="5"/>
        <v>4913</v>
      </c>
      <c r="H15">
        <f t="shared" si="5"/>
        <v>83521</v>
      </c>
      <c r="I15">
        <f t="shared" si="5"/>
        <v>1419857</v>
      </c>
      <c r="J15">
        <f t="shared" si="5"/>
        <v>24137569</v>
      </c>
      <c r="K15">
        <f t="shared" si="7"/>
        <v>156.38527589898433</v>
      </c>
      <c r="L15">
        <f t="shared" si="8"/>
        <v>13.066230326463527</v>
      </c>
    </row>
    <row r="16" spans="1:12">
      <c r="A16">
        <v>20</v>
      </c>
      <c r="B16">
        <v>200</v>
      </c>
      <c r="D16">
        <f t="shared" si="6"/>
        <v>1</v>
      </c>
      <c r="E16">
        <f t="shared" si="5"/>
        <v>20</v>
      </c>
      <c r="F16">
        <f t="shared" si="5"/>
        <v>400</v>
      </c>
      <c r="G16">
        <f t="shared" si="5"/>
        <v>8000</v>
      </c>
      <c r="H16">
        <f t="shared" si="5"/>
        <v>160000</v>
      </c>
      <c r="I16">
        <f t="shared" si="5"/>
        <v>3200000</v>
      </c>
      <c r="J16">
        <f t="shared" si="5"/>
        <v>64000000</v>
      </c>
      <c r="K16">
        <f t="shared" si="7"/>
        <v>207.69882949883413</v>
      </c>
      <c r="L16">
        <f t="shared" si="8"/>
        <v>59.27197565211857</v>
      </c>
    </row>
    <row r="17" spans="1:12">
      <c r="A17">
        <v>22</v>
      </c>
      <c r="B17">
        <v>260</v>
      </c>
      <c r="D17">
        <f t="shared" si="6"/>
        <v>1</v>
      </c>
      <c r="E17">
        <f t="shared" si="5"/>
        <v>22</v>
      </c>
      <c r="F17">
        <f t="shared" si="5"/>
        <v>484</v>
      </c>
      <c r="G17">
        <f t="shared" si="5"/>
        <v>10648</v>
      </c>
      <c r="H17">
        <f t="shared" si="5"/>
        <v>234256</v>
      </c>
      <c r="I17">
        <f t="shared" si="5"/>
        <v>5153632</v>
      </c>
      <c r="J17">
        <f t="shared" si="5"/>
        <v>113379904</v>
      </c>
      <c r="K17">
        <f t="shared" si="7"/>
        <v>249.71704029205512</v>
      </c>
      <c r="L17">
        <f t="shared" si="8"/>
        <v>105.73926035521792</v>
      </c>
    </row>
    <row r="18" spans="1:12">
      <c r="A18">
        <v>26</v>
      </c>
      <c r="B18">
        <v>400</v>
      </c>
      <c r="D18">
        <f t="shared" si="6"/>
        <v>1</v>
      </c>
      <c r="E18">
        <f t="shared" si="5"/>
        <v>26</v>
      </c>
      <c r="F18">
        <f t="shared" si="5"/>
        <v>676</v>
      </c>
      <c r="G18">
        <f t="shared" si="5"/>
        <v>17576</v>
      </c>
      <c r="H18">
        <f t="shared" si="5"/>
        <v>456976</v>
      </c>
      <c r="I18">
        <f t="shared" si="5"/>
        <v>11881376</v>
      </c>
      <c r="J18">
        <f t="shared" si="5"/>
        <v>308915776</v>
      </c>
      <c r="K18">
        <f t="shared" si="7"/>
        <v>384.72416903735257</v>
      </c>
      <c r="L18">
        <f t="shared" si="8"/>
        <v>233.35101159937798</v>
      </c>
    </row>
    <row r="19" spans="1:12">
      <c r="L19">
        <f>AVERAGE(L13:L18)</f>
        <v>144.92165734436767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9"/>
  <sheetViews>
    <sheetView zoomScaleNormal="100" workbookViewId="0">
      <selection activeCell="D2" sqref="D2"/>
    </sheetView>
  </sheetViews>
  <sheetFormatPr baseColWidth="10" defaultColWidth="11.42578125" defaultRowHeight="15"/>
  <sheetData>
    <row r="1" spans="1:12">
      <c r="D1">
        <f t="array" ref="D1:I1">TRANSPOSE(MMULT(MINVERSE(MMULT(TRANSPOSE(D4:I9),D4:I9)),MMULT(TRANSPOSE(D4:I9),B4:B9)))</f>
        <v>-414.86877500079572</v>
      </c>
      <c r="E1">
        <v>268.01845468766987</v>
      </c>
      <c r="F1">
        <v>-54.920497519080527</v>
      </c>
      <c r="G1">
        <v>4.777844810145325</v>
      </c>
      <c r="H1">
        <v>-0.17889493393431621</v>
      </c>
      <c r="I1">
        <v>2.4138715301269542E-3</v>
      </c>
    </row>
    <row r="2" spans="1:12">
      <c r="A2" t="s">
        <v>3</v>
      </c>
      <c r="D2" s="1">
        <f>D1</f>
        <v>-414.86877500079572</v>
      </c>
      <c r="E2" s="1">
        <f t="shared" ref="E2:J2" si="0">E1</f>
        <v>268.01845468766987</v>
      </c>
      <c r="F2" s="1">
        <f t="shared" si="0"/>
        <v>-54.920497519080527</v>
      </c>
      <c r="G2" s="1">
        <f t="shared" si="0"/>
        <v>4.777844810145325</v>
      </c>
      <c r="H2" s="1">
        <f t="shared" si="0"/>
        <v>-0.17889493393431621</v>
      </c>
      <c r="I2" s="1">
        <f t="shared" si="0"/>
        <v>2.4138715301269542E-3</v>
      </c>
      <c r="J2" s="1">
        <f t="shared" si="0"/>
        <v>0</v>
      </c>
    </row>
    <row r="3" spans="1:12">
      <c r="A3" t="s">
        <v>1</v>
      </c>
      <c r="B3" t="s">
        <v>0</v>
      </c>
      <c r="D3">
        <v>0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</row>
    <row r="4" spans="1:12">
      <c r="A4">
        <v>3</v>
      </c>
      <c r="B4">
        <v>10</v>
      </c>
      <c r="D4">
        <f>$A4^D$3</f>
        <v>1</v>
      </c>
      <c r="E4">
        <f t="shared" ref="E4:J9" si="1">$A4^E$3</f>
        <v>3</v>
      </c>
      <c r="F4">
        <f t="shared" si="1"/>
        <v>9</v>
      </c>
      <c r="G4">
        <f t="shared" si="1"/>
        <v>27</v>
      </c>
      <c r="H4">
        <f t="shared" si="1"/>
        <v>81</v>
      </c>
      <c r="I4">
        <f t="shared" si="1"/>
        <v>243</v>
      </c>
      <c r="J4">
        <f t="shared" si="1"/>
        <v>729</v>
      </c>
      <c r="K4">
        <f>SUMPRODUCT(D4:J4,$D$2:$J$2)</f>
        <v>10.000002397554166</v>
      </c>
      <c r="L4">
        <f>(K4-B4)^2</f>
        <v>5.7482659782670567E-12</v>
      </c>
    </row>
    <row r="5" spans="1:12">
      <c r="A5">
        <v>7</v>
      </c>
      <c r="B5">
        <v>20</v>
      </c>
      <c r="D5">
        <f t="shared" ref="D5:D9" si="2">$A5^D$3</f>
        <v>1</v>
      </c>
      <c r="E5">
        <f t="shared" si="1"/>
        <v>7</v>
      </c>
      <c r="F5">
        <f t="shared" si="1"/>
        <v>49</v>
      </c>
      <c r="G5">
        <f t="shared" si="1"/>
        <v>343</v>
      </c>
      <c r="H5">
        <f t="shared" si="1"/>
        <v>2401</v>
      </c>
      <c r="I5">
        <f t="shared" si="1"/>
        <v>16807</v>
      </c>
      <c r="J5">
        <f t="shared" si="1"/>
        <v>117649</v>
      </c>
      <c r="K5">
        <f t="shared" ref="K5:K9" si="3">SUMPRODUCT(D5:J5,$D$2:$J$2)</f>
        <v>20.00000168834454</v>
      </c>
      <c r="L5">
        <f t="shared" ref="L5:L9" si="4">(K5-B5)^2</f>
        <v>2.8505072848353259E-12</v>
      </c>
    </row>
    <row r="6" spans="1:12">
      <c r="A6">
        <v>12</v>
      </c>
      <c r="B6">
        <v>40</v>
      </c>
      <c r="D6">
        <f t="shared" si="2"/>
        <v>1</v>
      </c>
      <c r="E6">
        <f t="shared" si="1"/>
        <v>12</v>
      </c>
      <c r="F6">
        <f t="shared" si="1"/>
        <v>144</v>
      </c>
      <c r="G6">
        <f t="shared" si="1"/>
        <v>1728</v>
      </c>
      <c r="H6">
        <f t="shared" si="1"/>
        <v>20736</v>
      </c>
      <c r="I6">
        <f t="shared" si="1"/>
        <v>248832</v>
      </c>
      <c r="J6">
        <f t="shared" si="1"/>
        <v>2985984</v>
      </c>
      <c r="K6">
        <f t="shared" si="3"/>
        <v>40.000000957337761</v>
      </c>
      <c r="L6">
        <f t="shared" si="4"/>
        <v>9.1649558876093048E-13</v>
      </c>
    </row>
    <row r="7" spans="1:12">
      <c r="A7">
        <v>15</v>
      </c>
      <c r="B7">
        <v>150</v>
      </c>
      <c r="D7">
        <f t="shared" si="2"/>
        <v>1</v>
      </c>
      <c r="E7">
        <f t="shared" si="1"/>
        <v>15</v>
      </c>
      <c r="F7">
        <f t="shared" si="1"/>
        <v>225</v>
      </c>
      <c r="G7">
        <f t="shared" si="1"/>
        <v>3375</v>
      </c>
      <c r="H7">
        <f t="shared" si="1"/>
        <v>50625</v>
      </c>
      <c r="I7">
        <f t="shared" si="1"/>
        <v>759375</v>
      </c>
      <c r="J7">
        <f t="shared" si="1"/>
        <v>11390625</v>
      </c>
      <c r="K7">
        <f t="shared" si="3"/>
        <v>150.00000052700238</v>
      </c>
      <c r="L7">
        <f t="shared" si="4"/>
        <v>2.7773151362967177E-13</v>
      </c>
    </row>
    <row r="8" spans="1:12">
      <c r="A8">
        <v>24</v>
      </c>
      <c r="B8">
        <v>300</v>
      </c>
      <c r="D8">
        <f t="shared" si="2"/>
        <v>1</v>
      </c>
      <c r="E8">
        <f t="shared" si="1"/>
        <v>24</v>
      </c>
      <c r="F8">
        <f t="shared" si="1"/>
        <v>576</v>
      </c>
      <c r="G8">
        <f t="shared" si="1"/>
        <v>13824</v>
      </c>
      <c r="H8">
        <f t="shared" si="1"/>
        <v>331776</v>
      </c>
      <c r="I8">
        <f t="shared" si="1"/>
        <v>7962624</v>
      </c>
      <c r="J8">
        <f t="shared" si="1"/>
        <v>191102976</v>
      </c>
      <c r="K8">
        <f t="shared" si="3"/>
        <v>299.99999967578333</v>
      </c>
      <c r="L8">
        <f t="shared" si="4"/>
        <v>1.0511644994107977E-13</v>
      </c>
    </row>
    <row r="9" spans="1:12">
      <c r="A9">
        <v>28</v>
      </c>
      <c r="B9">
        <v>500</v>
      </c>
      <c r="D9">
        <f t="shared" si="2"/>
        <v>1</v>
      </c>
      <c r="E9">
        <f t="shared" si="1"/>
        <v>28</v>
      </c>
      <c r="F9">
        <f t="shared" si="1"/>
        <v>784</v>
      </c>
      <c r="G9">
        <f t="shared" si="1"/>
        <v>21952</v>
      </c>
      <c r="H9">
        <f t="shared" si="1"/>
        <v>614656</v>
      </c>
      <c r="I9">
        <f t="shared" si="1"/>
        <v>17210368</v>
      </c>
      <c r="J9">
        <f t="shared" si="1"/>
        <v>481890304</v>
      </c>
      <c r="K9">
        <f t="shared" si="3"/>
        <v>499.99999948190816</v>
      </c>
      <c r="L9">
        <f t="shared" si="4"/>
        <v>2.6841915247326003E-13</v>
      </c>
    </row>
    <row r="10" spans="1:12">
      <c r="L10">
        <f>AVERAGE(L4:L9)</f>
        <v>1.6944226613178873E-12</v>
      </c>
    </row>
    <row r="11" spans="1:12">
      <c r="A11" t="s">
        <v>2</v>
      </c>
    </row>
    <row r="12" spans="1:12">
      <c r="A12" t="s">
        <v>1</v>
      </c>
      <c r="B12" t="s">
        <v>0</v>
      </c>
    </row>
    <row r="13" spans="1:12">
      <c r="A13">
        <v>5</v>
      </c>
      <c r="B13">
        <v>15</v>
      </c>
      <c r="D13">
        <f>$A13^D$3</f>
        <v>1</v>
      </c>
      <c r="E13">
        <f t="shared" ref="E13:J18" si="5">$A13^E$3</f>
        <v>5</v>
      </c>
      <c r="F13">
        <f t="shared" si="5"/>
        <v>25</v>
      </c>
      <c r="G13">
        <f t="shared" si="5"/>
        <v>125</v>
      </c>
      <c r="H13">
        <f t="shared" si="5"/>
        <v>625</v>
      </c>
      <c r="I13">
        <f t="shared" si="5"/>
        <v>3125</v>
      </c>
      <c r="J13">
        <f t="shared" si="5"/>
        <v>15625</v>
      </c>
      <c r="K13">
        <f>SUMPRODUCT(D13:J13,$D$2:$J$2)</f>
        <v>45.175676551405189</v>
      </c>
      <c r="L13">
        <f>(K13-B13)^2</f>
        <v>910.57145533502501</v>
      </c>
    </row>
    <row r="14" spans="1:12">
      <c r="A14">
        <v>10</v>
      </c>
      <c r="B14">
        <v>30</v>
      </c>
      <c r="D14">
        <f t="shared" ref="D14:D18" si="6">$A14^D$3</f>
        <v>1</v>
      </c>
      <c r="E14">
        <f t="shared" si="5"/>
        <v>10</v>
      </c>
      <c r="F14">
        <f t="shared" si="5"/>
        <v>100</v>
      </c>
      <c r="G14">
        <f t="shared" si="5"/>
        <v>1000</v>
      </c>
      <c r="H14">
        <f t="shared" si="5"/>
        <v>10000</v>
      </c>
      <c r="I14">
        <f t="shared" si="5"/>
        <v>100000</v>
      </c>
      <c r="J14">
        <f t="shared" si="5"/>
        <v>1000000</v>
      </c>
      <c r="K14">
        <f t="shared" ref="K14:K18" si="7">SUMPRODUCT(D14:J14,$D$2:$J$2)</f>
        <v>3.5486437827086093</v>
      </c>
      <c r="L14">
        <f t="shared" ref="L14:L18" si="8">(K14-B14)^2</f>
        <v>699.67424573403991</v>
      </c>
    </row>
    <row r="15" spans="1:12">
      <c r="A15">
        <v>17</v>
      </c>
      <c r="B15">
        <v>160</v>
      </c>
      <c r="D15">
        <f t="shared" si="6"/>
        <v>1</v>
      </c>
      <c r="E15">
        <f t="shared" si="5"/>
        <v>17</v>
      </c>
      <c r="F15">
        <f t="shared" si="5"/>
        <v>289</v>
      </c>
      <c r="G15">
        <f t="shared" si="5"/>
        <v>4913</v>
      </c>
      <c r="H15">
        <f t="shared" si="5"/>
        <v>83521</v>
      </c>
      <c r="I15">
        <f t="shared" si="5"/>
        <v>1419857</v>
      </c>
      <c r="J15">
        <f t="shared" si="5"/>
        <v>24137569</v>
      </c>
      <c r="K15">
        <f t="shared" si="7"/>
        <v>228.84133594274317</v>
      </c>
      <c r="L15">
        <f t="shared" si="8"/>
        <v>4739.1295343816228</v>
      </c>
    </row>
    <row r="16" spans="1:12">
      <c r="A16">
        <v>20</v>
      </c>
      <c r="B16">
        <v>200</v>
      </c>
      <c r="D16">
        <f t="shared" si="6"/>
        <v>1</v>
      </c>
      <c r="E16">
        <f t="shared" si="5"/>
        <v>20</v>
      </c>
      <c r="F16">
        <f t="shared" si="5"/>
        <v>400</v>
      </c>
      <c r="G16">
        <f t="shared" si="5"/>
        <v>8000</v>
      </c>
      <c r="H16">
        <f t="shared" si="5"/>
        <v>160000</v>
      </c>
      <c r="I16">
        <f t="shared" si="5"/>
        <v>3200000</v>
      </c>
      <c r="J16">
        <f t="shared" si="5"/>
        <v>64000000</v>
      </c>
      <c r="K16">
        <f t="shared" si="7"/>
        <v>301.2592591986504</v>
      </c>
      <c r="L16">
        <f t="shared" si="8"/>
        <v>10253.437573459465</v>
      </c>
    </row>
    <row r="17" spans="1:12">
      <c r="A17">
        <v>22</v>
      </c>
      <c r="B17">
        <v>260</v>
      </c>
      <c r="D17">
        <f t="shared" si="6"/>
        <v>1</v>
      </c>
      <c r="E17">
        <f t="shared" si="5"/>
        <v>22</v>
      </c>
      <c r="F17">
        <f t="shared" si="5"/>
        <v>484</v>
      </c>
      <c r="G17">
        <f t="shared" si="5"/>
        <v>10648</v>
      </c>
      <c r="H17">
        <f t="shared" si="5"/>
        <v>234256</v>
      </c>
      <c r="I17">
        <f t="shared" si="5"/>
        <v>5153632</v>
      </c>
      <c r="J17">
        <f t="shared" si="5"/>
        <v>113379904</v>
      </c>
      <c r="K17">
        <f t="shared" si="7"/>
        <v>307.50188515444279</v>
      </c>
      <c r="L17">
        <f t="shared" si="8"/>
        <v>2256.4290932258723</v>
      </c>
    </row>
    <row r="18" spans="1:12">
      <c r="A18">
        <v>26</v>
      </c>
      <c r="B18">
        <v>400</v>
      </c>
      <c r="D18">
        <f t="shared" si="6"/>
        <v>1</v>
      </c>
      <c r="E18">
        <f t="shared" si="5"/>
        <v>26</v>
      </c>
      <c r="F18">
        <f t="shared" si="5"/>
        <v>676</v>
      </c>
      <c r="G18">
        <f t="shared" si="5"/>
        <v>17576</v>
      </c>
      <c r="H18">
        <f t="shared" si="5"/>
        <v>456976</v>
      </c>
      <c r="I18">
        <f t="shared" si="5"/>
        <v>11881376</v>
      </c>
      <c r="J18">
        <f t="shared" si="5"/>
        <v>308915776</v>
      </c>
      <c r="K18">
        <f t="shared" si="7"/>
        <v>332.17904266000187</v>
      </c>
      <c r="L18">
        <f t="shared" si="8"/>
        <v>4599.6822545138466</v>
      </c>
    </row>
    <row r="19" spans="1:12">
      <c r="L19">
        <f>AVERAGE(L13:L18)</f>
        <v>3909.8206927749784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C4:E11"/>
  <sheetViews>
    <sheetView workbookViewId="0">
      <selection activeCell="N13" sqref="N13"/>
    </sheetView>
  </sheetViews>
  <sheetFormatPr baseColWidth="10" defaultRowHeight="15"/>
  <cols>
    <col min="4" max="4" width="12" bestFit="1" customWidth="1"/>
  </cols>
  <sheetData>
    <row r="4" spans="3:5">
      <c r="D4" t="s">
        <v>4</v>
      </c>
    </row>
    <row r="5" spans="3:5">
      <c r="C5" t="s">
        <v>5</v>
      </c>
      <c r="D5" t="s">
        <v>7</v>
      </c>
      <c r="E5" t="s">
        <v>6</v>
      </c>
    </row>
    <row r="6" spans="3:5">
      <c r="C6">
        <v>0</v>
      </c>
      <c r="D6">
        <f>'ordre 0'!$L$10</f>
        <v>31866.666666666668</v>
      </c>
      <c r="E6">
        <f>'ordre 0'!$L$19</f>
        <v>17604.166666666668</v>
      </c>
    </row>
    <row r="7" spans="3:5">
      <c r="C7">
        <v>1</v>
      </c>
      <c r="D7">
        <f>'ordre 1'!$L$10</f>
        <v>3140.8901582768062</v>
      </c>
      <c r="E7">
        <f>'ordre 1'!$L$19</f>
        <v>2225.3736780861955</v>
      </c>
    </row>
    <row r="8" spans="3:5">
      <c r="C8">
        <v>2</v>
      </c>
      <c r="D8">
        <f>'ordre 2'!$L$10</f>
        <v>654.15711829331337</v>
      </c>
      <c r="E8">
        <f>'ordre 2'!$L$19</f>
        <v>147.36122109855637</v>
      </c>
    </row>
    <row r="9" spans="3:5">
      <c r="C9">
        <v>3</v>
      </c>
      <c r="D9">
        <f>'ordre 3'!$L$10</f>
        <v>577.09131949934022</v>
      </c>
      <c r="E9">
        <f>'ordre 3'!$L$19</f>
        <v>137.53090726843183</v>
      </c>
    </row>
    <row r="10" spans="3:5">
      <c r="C10">
        <v>4</v>
      </c>
      <c r="D10">
        <f>'ordre 4'!$L$10</f>
        <v>354.11826603614173</v>
      </c>
      <c r="E10">
        <f>'ordre 4'!$L$19</f>
        <v>144.92165734436767</v>
      </c>
    </row>
    <row r="11" spans="3:5">
      <c r="C11">
        <v>5</v>
      </c>
      <c r="D11">
        <f>'ordre 5'!$L$10</f>
        <v>1.6944226613178873E-12</v>
      </c>
      <c r="E11">
        <f>'ordre 5'!$L$19</f>
        <v>3909.8206927749784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données</vt:lpstr>
      <vt:lpstr>régression modérée</vt:lpstr>
      <vt:lpstr>surapprentissage</vt:lpstr>
      <vt:lpstr>ordre 0</vt:lpstr>
      <vt:lpstr>ordre 1</vt:lpstr>
      <vt:lpstr>ordre 2</vt:lpstr>
      <vt:lpstr>ordre 3</vt:lpstr>
      <vt:lpstr>ordre 4</vt:lpstr>
      <vt:lpstr>ordre 5</vt:lpstr>
      <vt:lpstr>compromis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2013-08-01T19:35:50Z</dcterms:modified>
</cp:coreProperties>
</file>