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026"/>
  <workbookPr checkCompatibility="1"/>
  <mc:AlternateContent xmlns:mc="http://schemas.openxmlformats.org/markup-compatibility/2006">
    <mc:Choice Requires="x15">
      <x15ac:absPath xmlns:x15ac="http://schemas.microsoft.com/office/spreadsheetml/2010/11/ac" url="/Users/erickdelage/Downloads/"/>
    </mc:Choice>
  </mc:AlternateContent>
  <xr:revisionPtr revIDLastSave="0" documentId="13_ncr:1_{CF17FBFB-3010-E844-A0D9-C86191725B19}" xr6:coauthVersionLast="47" xr6:coauthVersionMax="47" xr10:uidLastSave="{00000000-0000-0000-0000-000000000000}"/>
  <bookViews>
    <workbookView xWindow="36380" yWindow="-3200" windowWidth="26340" windowHeight="17420" xr2:uid="{00000000-000D-0000-FFFF-FFFF00000000}"/>
  </bookViews>
  <sheets>
    <sheet name="F. utilite" sheetId="22" r:id="rId1"/>
    <sheet name="Decision" sheetId="23" r:id="rId2"/>
  </sheets>
  <definedNames>
    <definedName name="_AtRisk_FitDataRange_FIT_16C73_5AF84" localSheetId="1" hidden="1">Decision!#REF!</definedName>
    <definedName name="_AtRisk_FitDataRange_FIT_261CB_CBB96" hidden="1">#REF!</definedName>
    <definedName name="_AtRisk_FitDataRange_FIT_7A10D_9EB8B" hidden="1">#REF!</definedName>
    <definedName name="_AtRisk_SimSetting_AutomaticallyGenerateReports" hidden="1">FALSE</definedName>
    <definedName name="_AtRisk_SimSetting_AutomaticResultsDisplayMode" hidden="1">0</definedName>
    <definedName name="_AtRisk_SimSetting_ConvergenceConfidenceLevel" hidden="1">0.95</definedName>
    <definedName name="_AtRisk_SimSetting_ConvergencePercentileToTest" hidden="1">0.9</definedName>
    <definedName name="_AtRisk_SimSetting_ConvergencePerformMeanTest" hidden="1">TRUE</definedName>
    <definedName name="_AtRisk_SimSetting_ConvergencePerformPercentileTest" hidden="1">FALSE</definedName>
    <definedName name="_AtRisk_SimSetting_ConvergencePerformStdDeviationTest" hidden="1">FALSE</definedName>
    <definedName name="_AtRisk_SimSetting_ConvergenceTestAllOutputs" hidden="1">TRUE</definedName>
    <definedName name="_AtRisk_SimSetting_ConvergenceTestingPeriod" hidden="1">100</definedName>
    <definedName name="_AtRisk_SimSetting_ConvergenceTolerance" hidden="1">0.03</definedName>
    <definedName name="_AtRisk_SimSetting_LiveUpdate" hidden="1">TRUE</definedName>
    <definedName name="_AtRisk_SimSetting_LiveUpdatePeriod" hidden="1">-1</definedName>
    <definedName name="_AtRisk_SimSetting_RandomNumberGenerator" localSheetId="1" hidden="1">0</definedName>
    <definedName name="_AtRisk_SimSetting_RandomNumberGenerator" localSheetId="0" hidden="1">0</definedName>
    <definedName name="_AtRisk_SimSetting_RandomNumberGenerator" hidden="1">7</definedName>
    <definedName name="_AtRisk_SimSetting_ReportsList" localSheetId="0" hidden="1">256</definedName>
    <definedName name="_AtRisk_SimSetting_ReportsList" hidden="1">0</definedName>
    <definedName name="_AtRisk_SimSetting_SimNameCount" hidden="1">0</definedName>
    <definedName name="_AtRisk_SimSetting_SmartSensitivityAnalysisEnabled" hidden="1">TRUE</definedName>
    <definedName name="_AtRisk_SimSetting_StatisticFunctionUpdating" hidden="1">1</definedName>
    <definedName name="_AtRisk_SimSetting_StdRecalcBehavior" localSheetId="1" hidden="1">1</definedName>
    <definedName name="_AtRisk_SimSetting_StdRecalcBehavior" hidden="1">0</definedName>
    <definedName name="_AtRisk_SimSetting_StdRecalcWithoutRiskStatic" hidden="1">0</definedName>
    <definedName name="_AtRisk_SimSetting_StdRecalcWithoutRiskStaticPercentile" hidden="1">0.5</definedName>
    <definedName name="A" localSheetId="0">'F. utilite'!$E$3</definedName>
    <definedName name="B" localSheetId="0">'F. utilite'!$E$4</definedName>
    <definedName name="echantillon">#REF!</definedName>
    <definedName name="Pal_Workbook_GUID" hidden="1">"8LD7CLY1GNQHVJ39WLSU7ABQ"</definedName>
    <definedName name="PalisadeReportWorkbookCreatedBy">"PrecisionTree"</definedName>
    <definedName name="PTree_SensitivityAnalysis_AnalysisType" hidden="1">0</definedName>
    <definedName name="PTree_SensitivityAnalysis_GraphsDisplayPercentageChange" hidden="1">FALSE</definedName>
    <definedName name="PTree_SensitivityAnalysis_IncludeSensitivityGraph" hidden="1">TRUE</definedName>
    <definedName name="PTree_SensitivityAnalysis_IncludeSpiderGraph" hidden="1">TRUE</definedName>
    <definedName name="PTree_SensitivityAnalysis_IncludeStrategyRegion" hidden="1">TRUE</definedName>
    <definedName name="PTree_SensitivityAnalysis_IncludeTornadoGraph" hidden="1">TRUE</definedName>
    <definedName name="PTree_SensitivityAnalysis_Inputs_1_AlternateCellLabel" hidden="1">"Coût de l'information"</definedName>
    <definedName name="PTree_SensitivityAnalysis_Inputs_1_BaseValueIsAutomatic" hidden="1">FALSE</definedName>
    <definedName name="PTree_SensitivityAnalysis_Inputs_1_MaintainProbabilityNormalization" hidden="1">FALSE</definedName>
    <definedName name="PTree_SensitivityAnalysis_Inputs_1_ManualBaseValue" hidden="1">0</definedName>
    <definedName name="PTree_SensitivityAnalysis_Inputs_1_Maximum" hidden="1">50</definedName>
    <definedName name="PTree_SensitivityAnalysis_Inputs_1_Minimum" hidden="1">0</definedName>
    <definedName name="PTree_SensitivityAnalysis_Inputs_1_OneWayAnalysis" hidden="1">1</definedName>
    <definedName name="PTree_SensitivityAnalysis_Inputs_1_Steps" hidden="1">20</definedName>
    <definedName name="PTree_SensitivityAnalysis_Inputs_1_TwoWayAnalysis" hidden="1">0</definedName>
    <definedName name="PTree_SensitivityAnalysis_Inputs_1_VariationMethod" hidden="1">2</definedName>
    <definedName name="PTree_SensitivityAnalysis_Inputs_1_VaryCell" hidden="1">#REF!</definedName>
    <definedName name="PTree_SensitivityAnalysis_Inputs_Count" hidden="1">1</definedName>
    <definedName name="PTree_SensitivityAnalysis_Output_AlternateCellLabel" hidden="1">""</definedName>
    <definedName name="PTree_SensitivityAnalysis_Output_Cell" hidden="1">#REF!</definedName>
    <definedName name="PTree_SensitivityAnalysis_Output_Model" localSheetId="0" hidden="1">PTreeObjectReference(PTDecisionTree_2,#REF!)</definedName>
    <definedName name="PTree_SensitivityAnalysis_Output_Model" hidden="1">PTreeObjectReference(PTDecisionTree_3,#REF!)</definedName>
    <definedName name="PTree_SensitivityAnalysis_Output_OutputType" hidden="1">0</definedName>
    <definedName name="PTree_SensitivityAnalysis_Output_StartingNode" localSheetId="0" hidden="1">PTreeObjectReference(NULL,NULL)</definedName>
    <definedName name="PTree_SensitivityAnalysis_Output_StartingNode" hidden="1">PTreeObjectReference(NULL,NULL)</definedName>
    <definedName name="PTree_SensitivityAnalysis_ReportPlacement" hidden="1">0</definedName>
    <definedName name="PTree_SensitivityAnalysis_UpdateDisplay" hidden="1">FALSE</definedName>
    <definedName name="RiskAfterRecalcMacro" hidden="1">""</definedName>
    <definedName name="RiskAfterSimMacro" hidden="1">""</definedName>
    <definedName name="RiskBeforeRecalcMacro" hidden="1">""</definedName>
    <definedName name="RiskBeforeSimMacro" hidden="1">""</definedName>
    <definedName name="RiskCollectDistributionSamples" hidden="1">2</definedName>
    <definedName name="RiskFixedSeed" hidden="1">1</definedName>
    <definedName name="RiskHasSettings" hidden="1">5</definedName>
    <definedName name="RiskMinimizeOnStart" hidden="1">FALSE</definedName>
    <definedName name="RiskMonitorConvergence" hidden="1">FALSE</definedName>
    <definedName name="RiskMultipleCPUSupportEnabled" localSheetId="0" hidden="1">TRUE</definedName>
    <definedName name="RiskMultipleCPUSupportEnabled" hidden="1">TRUE</definedName>
    <definedName name="RiskNumIterations" localSheetId="1" hidden="1">1</definedName>
    <definedName name="RiskNumIterations" localSheetId="0" hidden="1">10000</definedName>
    <definedName name="RiskNumIterations" hidden="1">100</definedName>
    <definedName name="RiskNumSimulations" hidden="1">1</definedName>
    <definedName name="RiskPauseOnError" hidden="1">FALSE</definedName>
    <definedName name="RiskRunAfterRecalcMacro" hidden="1">FALSE</definedName>
    <definedName name="RiskRunAfterSimMacro" hidden="1">FALSE</definedName>
    <definedName name="RiskRunBeforeRecalcMacro" hidden="1">FALSE</definedName>
    <definedName name="RiskRunBeforeSimMacro" hidden="1">FALSE</definedName>
    <definedName name="RiskSamplingType" hidden="1">3</definedName>
    <definedName name="RiskStandardRecalc" localSheetId="1" hidden="1">2</definedName>
    <definedName name="RiskStandardRecalc" hidden="1">1</definedName>
    <definedName name="RiskUpdateDisplay" hidden="1">FALSE</definedName>
    <definedName name="RiskUseDifferentSeedForEachSim" hidden="1">FALSE</definedName>
    <definedName name="RiskUseFixedSeed" hidden="1">FALSE</definedName>
    <definedName name="RiskUseMultipleCPUs" localSheetId="0" hidden="1">TRUE</definedName>
    <definedName name="RiskUseMultipleCPUs" hidden="1">TRUE</definedName>
    <definedName name="RT" localSheetId="0">'F. utilite'!$E$5</definedName>
    <definedName name="solver_adj" localSheetId="0" hidden="1">'F. utilite'!$E$5</definedName>
    <definedName name="solver_cvg" localSheetId="0" hidden="1">0.0001</definedName>
    <definedName name="solver_drv" localSheetId="0" hidden="1">1</definedName>
    <definedName name="solver_est" localSheetId="0" hidden="1">1</definedName>
    <definedName name="solver_itr" localSheetId="0" hidden="1">100</definedName>
    <definedName name="solver_lin" localSheetId="0" hidden="1">2</definedName>
    <definedName name="solver_neg" localSheetId="0" hidden="1">2</definedName>
    <definedName name="solver_num" localSheetId="0" hidden="1">0</definedName>
    <definedName name="solver_nwt" localSheetId="0" hidden="1">1</definedName>
    <definedName name="solver_opt" localSheetId="0" hidden="1">'F. utilite'!$J$31</definedName>
    <definedName name="solver_pre" localSheetId="0" hidden="1">0.000001</definedName>
    <definedName name="solver_scl" localSheetId="0" hidden="1">2</definedName>
    <definedName name="solver_sho" localSheetId="0" hidden="1">2</definedName>
    <definedName name="solver_tim" localSheetId="0" hidden="1">100</definedName>
    <definedName name="solver_tol" localSheetId="0" hidden="1">0.05</definedName>
    <definedName name="solver_typ" localSheetId="0" hidden="1">3</definedName>
    <definedName name="solver_val" localSheetId="0" hidden="1">0.5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B43" i="23" l="1"/>
  <c r="B42" i="23"/>
  <c r="B41" i="23"/>
  <c r="B40" i="23"/>
  <c r="B39" i="23"/>
  <c r="B38" i="23"/>
  <c r="P24" i="22" l="1"/>
  <c r="N25" i="22" s="1"/>
  <c r="M22" i="22"/>
  <c r="M20" i="22"/>
  <c r="P19" i="22" s="1"/>
  <c r="N20" i="22" s="1"/>
  <c r="A4" i="22"/>
  <c r="B3" i="22" s="1"/>
  <c r="A5" i="22" s="1"/>
  <c r="A6" i="22" s="1"/>
  <c r="A7" i="22" s="1"/>
  <c r="A8" i="22" s="1"/>
  <c r="A9" i="22" s="1"/>
  <c r="A10" i="22" s="1"/>
  <c r="A11" i="22" s="1"/>
  <c r="A12" i="22" s="1"/>
  <c r="A13" i="22" s="1"/>
  <c r="A14" i="22" s="1"/>
  <c r="A15" i="22" s="1"/>
  <c r="A16" i="22" s="1"/>
  <c r="A17" i="22" s="1"/>
  <c r="A18" i="22" s="1"/>
  <c r="A19" i="22" s="1"/>
  <c r="A20" i="22" s="1"/>
  <c r="A21" i="22" s="1"/>
  <c r="A22" i="22" s="1"/>
  <c r="A23" i="22" s="1"/>
  <c r="A24" i="22" s="1"/>
  <c r="I30" i="22" l="1"/>
  <c r="P29" i="22" s="1"/>
  <c r="J30" i="22" s="1"/>
  <c r="E5" i="22" l="1"/>
  <c r="E4" i="22" s="1"/>
  <c r="E3" i="22" s="1"/>
  <c r="D19" i="23" s="1"/>
  <c r="D41" i="23" l="1"/>
  <c r="D38" i="23"/>
  <c r="D43" i="23"/>
  <c r="B4" i="22"/>
  <c r="B9" i="22"/>
  <c r="D42" i="23"/>
  <c r="B24" i="22"/>
  <c r="B11" i="22"/>
  <c r="D40" i="23"/>
  <c r="B6" i="22"/>
  <c r="B7" i="22"/>
  <c r="B17" i="22"/>
  <c r="B18" i="22"/>
  <c r="B14" i="22"/>
  <c r="B15" i="22"/>
  <c r="B10" i="22"/>
  <c r="B20" i="22"/>
  <c r="B13" i="22"/>
  <c r="B5" i="22"/>
  <c r="B19" i="22"/>
  <c r="B8" i="22"/>
  <c r="N21" i="22"/>
  <c r="B16" i="22"/>
  <c r="D39" i="23"/>
  <c r="B12" i="22"/>
  <c r="B21" i="22"/>
  <c r="N26" i="22"/>
  <c r="B22" i="22"/>
  <c r="J31" i="22"/>
  <c r="B23" i="22"/>
  <c r="D34" i="23"/>
  <c r="D32" i="23" s="1"/>
  <c r="D36" i="23" l="1"/>
  <c r="C45" i="23" s="1"/>
  <c r="R18" i="22" s="1"/>
  <c r="J23" i="22"/>
  <c r="J22" i="22" s="1"/>
  <c r="F26" i="22" s="1"/>
  <c r="G25" i="22" s="1"/>
  <c r="F27" i="22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Erick Delage</author>
  </authors>
  <commentList>
    <comment ref="B1" authorId="0" shapeId="0" xr:uid="{00000000-0006-0000-0000-000001000000}">
      <text>
        <r>
          <rPr>
            <b/>
            <sz val="9"/>
            <color rgb="FF000000"/>
            <rFont val="Calibri"/>
            <family val="2"/>
          </rPr>
          <t xml:space="preserve">1) Inscrire le plus grand et le plus petit retour atteignable
</t>
        </r>
        <r>
          <rPr>
            <b/>
            <sz val="9"/>
            <color rgb="FF000000"/>
            <rFont val="Calibri"/>
            <family val="2"/>
          </rPr>
          <t xml:space="preserve">
</t>
        </r>
      </text>
    </comment>
    <comment ref="E5" authorId="0" shapeId="0" xr:uid="{00000000-0006-0000-0000-000002000000}">
      <text>
        <r>
          <rPr>
            <b/>
            <sz val="9"/>
            <color rgb="FF000000"/>
            <rFont val="Calibri"/>
            <family val="2"/>
          </rPr>
          <t xml:space="preserve">3) Votre constante de tolérance au risque est affiché ici
</t>
        </r>
      </text>
    </comment>
    <comment ref="M17" authorId="0" shapeId="0" xr:uid="{00000000-0006-0000-0000-000003000000}">
      <text>
        <r>
          <rPr>
            <b/>
            <sz val="9"/>
            <color rgb="FF000000"/>
            <rFont val="Calibri"/>
            <family val="2"/>
          </rPr>
          <t>2) Ajuster la probabilité jusqu'à ce que vous soyez indifférents entre les deux choix</t>
        </r>
      </text>
    </comment>
  </commentList>
</comments>
</file>

<file path=xl/sharedStrings.xml><?xml version="1.0" encoding="utf-8"?>
<sst xmlns="http://schemas.openxmlformats.org/spreadsheetml/2006/main" count="42" uniqueCount="36">
  <si>
    <t>Name</t>
  </si>
  <si>
    <t>min</t>
  </si>
  <si>
    <t>max</t>
  </si>
  <si>
    <t>a</t>
  </si>
  <si>
    <t>b</t>
  </si>
  <si>
    <t>R</t>
  </si>
  <si>
    <t>ID</t>
  </si>
  <si>
    <t>Value</t>
  </si>
  <si>
    <t>Prob</t>
  </si>
  <si>
    <t>Pred</t>
  </si>
  <si>
    <t>Kind</t>
  </si>
  <si>
    <t>NS</t>
  </si>
  <si>
    <t>S1</t>
  </si>
  <si>
    <t>S2</t>
  </si>
  <si>
    <t>S3</t>
  </si>
  <si>
    <t>S4</t>
  </si>
  <si>
    <t>S5</t>
  </si>
  <si>
    <t>Row</t>
  </si>
  <si>
    <t>Col</t>
  </si>
  <si>
    <t>Mark</t>
  </si>
  <si>
    <t>TreePlan</t>
  </si>
  <si>
    <t>D</t>
  </si>
  <si>
    <t>E</t>
  </si>
  <si>
    <t>T</t>
  </si>
  <si>
    <t>Recommendation:</t>
  </si>
  <si>
    <t>Utilité espérée de l'offre:</t>
  </si>
  <si>
    <t>Fonction choisie</t>
  </si>
  <si>
    <t>Probabilité</t>
  </si>
  <si>
    <t>Conséquence</t>
  </si>
  <si>
    <t>Utilité</t>
  </si>
  <si>
    <t>Utilité espérée d'ouvrir la valise:</t>
  </si>
  <si>
    <t>Delta</t>
  </si>
  <si>
    <t>Pile</t>
  </si>
  <si>
    <t>Face</t>
  </si>
  <si>
    <t>Jouer</t>
  </si>
  <si>
    <t>Ne pas jouer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</si>
</sst>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 * #,##0.00_)\ &quot;$&quot;_ ;_ * \(#,##0.00\)\ &quot;$&quot;_ ;_ * &quot;-&quot;??_)\ &quot;$&quot;_ ;_ @_ "/>
    <numFmt numFmtId="165" formatCode="_-* #,##0.00\ &quot;$&quot;_-;_-* #,##0.00\ &quot;$&quot;\-;_-* &quot;-&quot;??\ &quot;$&quot;_-;_-@_-"/>
    <numFmt numFmtId="166" formatCode="_ * #,##0.0000_)\ [$$-C0C]_ ;_ * \(#,##0.0000\)\ [$$-C0C]_ ;_ * &quot;-&quot;??_)\ [$$-C0C]_ ;_ @_ "/>
    <numFmt numFmtId="168" formatCode="0.0"/>
  </numFmts>
  <fonts count="8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u/>
      <sz val="10"/>
      <name val="Arial"/>
      <family val="2"/>
    </font>
    <font>
      <b/>
      <sz val="10"/>
      <name val="Arial"/>
      <family val="2"/>
    </font>
    <font>
      <sz val="16"/>
      <color theme="1"/>
      <name val="Calibri"/>
      <family val="2"/>
      <scheme val="minor"/>
    </font>
    <font>
      <sz val="16"/>
      <name val="Calibri"/>
      <family val="2"/>
      <scheme val="minor"/>
    </font>
    <font>
      <b/>
      <sz val="9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5">
    <xf numFmtId="0" fontId="0" fillId="0" borderId="0"/>
    <xf numFmtId="0" fontId="1" fillId="0" borderId="0"/>
    <xf numFmtId="9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2" fillId="0" borderId="0" applyFont="0" applyFill="0" applyBorder="0" applyAlignment="0" applyProtection="0"/>
  </cellStyleXfs>
  <cellXfs count="20">
    <xf numFmtId="0" fontId="0" fillId="0" borderId="0" xfId="0"/>
    <xf numFmtId="0" fontId="1" fillId="0" borderId="0" xfId="1"/>
    <xf numFmtId="165" fontId="0" fillId="0" borderId="0" xfId="3" applyFont="1"/>
    <xf numFmtId="9" fontId="0" fillId="0" borderId="0" xfId="2" applyFont="1"/>
    <xf numFmtId="166" fontId="0" fillId="0" borderId="0" xfId="3" applyNumberFormat="1" applyFont="1"/>
    <xf numFmtId="165" fontId="1" fillId="0" borderId="0" xfId="3"/>
    <xf numFmtId="164" fontId="1" fillId="2" borderId="0" xfId="4" applyFont="1" applyFill="1" applyProtection="1">
      <protection locked="0"/>
    </xf>
    <xf numFmtId="165" fontId="1" fillId="2" borderId="0" xfId="1" applyNumberFormat="1" applyFill="1" applyProtection="1">
      <protection locked="0"/>
    </xf>
    <xf numFmtId="9" fontId="1" fillId="2" borderId="0" xfId="2" applyFill="1" applyProtection="1">
      <protection locked="0"/>
    </xf>
    <xf numFmtId="0" fontId="1" fillId="3" borderId="0" xfId="1" applyFill="1" applyProtection="1">
      <protection locked="0"/>
    </xf>
    <xf numFmtId="0" fontId="3" fillId="0" borderId="0" xfId="1" applyFont="1" applyAlignment="1">
      <alignment horizontal="center"/>
    </xf>
    <xf numFmtId="0" fontId="4" fillId="0" borderId="0" xfId="1" applyFont="1"/>
    <xf numFmtId="0" fontId="5" fillId="0" borderId="0" xfId="0" applyFont="1"/>
    <xf numFmtId="0" fontId="5" fillId="3" borderId="0" xfId="0" applyFont="1" applyFill="1"/>
    <xf numFmtId="3" fontId="5" fillId="0" borderId="0" xfId="0" applyNumberFormat="1" applyFont="1" applyProtection="1">
      <protection locked="0"/>
    </xf>
    <xf numFmtId="0" fontId="5" fillId="0" borderId="0" xfId="0" applyFont="1" applyProtection="1">
      <protection locked="0"/>
    </xf>
    <xf numFmtId="0" fontId="6" fillId="4" borderId="0" xfId="0" applyFont="1" applyFill="1" applyAlignment="1">
      <alignment horizontal="center"/>
    </xf>
    <xf numFmtId="0" fontId="1" fillId="4" borderId="0" xfId="1" applyFill="1"/>
    <xf numFmtId="2" fontId="5" fillId="0" borderId="0" xfId="0" applyNumberFormat="1" applyFont="1"/>
    <xf numFmtId="168" fontId="1" fillId="0" borderId="0" xfId="1" applyNumberFormat="1"/>
  </cellXfs>
  <cellStyles count="5">
    <cellStyle name="Currency" xfId="4" builtinId="4"/>
    <cellStyle name="Currency 2" xfId="3" xr:uid="{00000000-0005-0000-0000-000001000000}"/>
    <cellStyle name="Normal" xfId="0" builtinId="0"/>
    <cellStyle name="Normal 2" xfId="1" xr:uid="{00000000-0005-0000-0000-000003000000}"/>
    <cellStyle name="Percent 2" xfId="2" xr:uid="{00000000-0005-0000-0000-000004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7.1782178217821804E-2"/>
          <c:y val="9.6296644591451805E-2"/>
          <c:w val="0.85891089108910901"/>
          <c:h val="0.73703970283457299"/>
        </c:manualLayout>
      </c:layout>
      <c:scatterChart>
        <c:scatterStyle val="smoothMarker"/>
        <c:varyColors val="0"/>
        <c:ser>
          <c:idx val="0"/>
          <c:order val="0"/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xVal>
            <c:numRef>
              <c:f>'F. utilite'!$A$4:$A$24</c:f>
              <c:numCache>
                <c:formatCode>General</c:formatCode>
                <c:ptCount val="21"/>
                <c:pt idx="0">
                  <c:v>0</c:v>
                </c:pt>
                <c:pt idx="1">
                  <c:v>50000</c:v>
                </c:pt>
                <c:pt idx="2">
                  <c:v>100000</c:v>
                </c:pt>
                <c:pt idx="3">
                  <c:v>150000</c:v>
                </c:pt>
                <c:pt idx="4">
                  <c:v>200000</c:v>
                </c:pt>
                <c:pt idx="5">
                  <c:v>250000</c:v>
                </c:pt>
                <c:pt idx="6">
                  <c:v>300000</c:v>
                </c:pt>
                <c:pt idx="7">
                  <c:v>350000</c:v>
                </c:pt>
                <c:pt idx="8">
                  <c:v>400000</c:v>
                </c:pt>
                <c:pt idx="9">
                  <c:v>450000</c:v>
                </c:pt>
                <c:pt idx="10">
                  <c:v>500000</c:v>
                </c:pt>
                <c:pt idx="11">
                  <c:v>550000</c:v>
                </c:pt>
                <c:pt idx="12">
                  <c:v>600000</c:v>
                </c:pt>
                <c:pt idx="13">
                  <c:v>650000</c:v>
                </c:pt>
                <c:pt idx="14">
                  <c:v>700000</c:v>
                </c:pt>
                <c:pt idx="15">
                  <c:v>750000</c:v>
                </c:pt>
                <c:pt idx="16">
                  <c:v>800000</c:v>
                </c:pt>
                <c:pt idx="17">
                  <c:v>850000</c:v>
                </c:pt>
                <c:pt idx="18">
                  <c:v>900000</c:v>
                </c:pt>
                <c:pt idx="19">
                  <c:v>950000</c:v>
                </c:pt>
                <c:pt idx="20">
                  <c:v>1000000</c:v>
                </c:pt>
              </c:numCache>
            </c:numRef>
          </c:xVal>
          <c:yVal>
            <c:numRef>
              <c:f>'F. utilite'!$B$4:$B$24</c:f>
              <c:numCache>
                <c:formatCode>General</c:formatCode>
                <c:ptCount val="21"/>
                <c:pt idx="0">
                  <c:v>0</c:v>
                </c:pt>
                <c:pt idx="1">
                  <c:v>7.1523898574007649E-2</c:v>
                </c:pt>
                <c:pt idx="2">
                  <c:v>0.14020575933289003</c:v>
                </c:pt>
                <c:pt idx="3">
                  <c:v>0.20615851206799896</c:v>
                </c:pt>
                <c:pt idx="4">
                  <c:v>0.26949059924905083</c:v>
                </c:pt>
                <c:pt idx="5">
                  <c:v>0.33030615433009314</c:v>
                </c:pt>
                <c:pt idx="6">
                  <c:v>0.38870517297039164</c:v>
                </c:pt>
                <c:pt idx="7">
                  <c:v>0.44478367745177327</c:v>
                </c:pt>
                <c:pt idx="8">
                  <c:v>0.49863387456276165</c:v>
                </c:pt>
                <c:pt idx="9">
                  <c:v>0.55034430720910721</c:v>
                </c:pt>
                <c:pt idx="10">
                  <c:v>0.59999999999999987</c:v>
                </c:pt>
                <c:pt idx="11">
                  <c:v>0.64768259904933823</c:v>
                </c:pt>
                <c:pt idx="12">
                  <c:v>0.69347050622192663</c:v>
                </c:pt>
                <c:pt idx="13">
                  <c:v>0.73743900804533258</c:v>
                </c:pt>
                <c:pt idx="14">
                  <c:v>0.77966039949936738</c:v>
                </c:pt>
                <c:pt idx="15">
                  <c:v>0.82020410288672863</c:v>
                </c:pt>
                <c:pt idx="16">
                  <c:v>0.859136781980261</c:v>
                </c:pt>
                <c:pt idx="17">
                  <c:v>0.89652245163451549</c:v>
                </c:pt>
                <c:pt idx="18">
                  <c:v>0.932422583041841</c:v>
                </c:pt>
                <c:pt idx="19">
                  <c:v>0.96689620480607141</c:v>
                </c:pt>
                <c:pt idx="20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8AE-45F3-A291-9ACB268693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55500344"/>
        <c:axId val="655493288"/>
      </c:scatterChart>
      <c:valAx>
        <c:axId val="65550034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655493288"/>
        <c:crosses val="autoZero"/>
        <c:crossBetween val="midCat"/>
      </c:valAx>
      <c:valAx>
        <c:axId val="655493288"/>
        <c:scaling>
          <c:orientation val="minMax"/>
          <c:max val="1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655500344"/>
        <c:crosses val="autoZero"/>
        <c:crossBetween val="midCat"/>
      </c:valAx>
      <c:spPr>
        <a:noFill/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rgbClr val="FFFF99"/>
    </a:solidFill>
    <a:ln w="3175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fr-FR"/>
    </a:p>
  </c:txPr>
  <c:printSettings>
    <c:headerFooter alignWithMargins="0"/>
    <c:pageMargins b="0.984251969" l="0.78740157499999996" r="0.78740157499999996" t="0.984251969" header="0.4921259845" footer="0.4921259845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7.1782178217821804E-2"/>
          <c:y val="9.6296644591451805E-2"/>
          <c:w val="0.85891089108910901"/>
          <c:h val="0.73703970283457299"/>
        </c:manualLayout>
      </c:layout>
      <c:scatterChart>
        <c:scatterStyle val="smoothMarker"/>
        <c:varyColors val="0"/>
        <c:ser>
          <c:idx val="0"/>
          <c:order val="0"/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xVal>
            <c:numRef>
              <c:f>'F. utilite'!$A$4:$A$24</c:f>
              <c:numCache>
                <c:formatCode>General</c:formatCode>
                <c:ptCount val="21"/>
                <c:pt idx="0">
                  <c:v>0</c:v>
                </c:pt>
                <c:pt idx="1">
                  <c:v>50000</c:v>
                </c:pt>
                <c:pt idx="2">
                  <c:v>100000</c:v>
                </c:pt>
                <c:pt idx="3">
                  <c:v>150000</c:v>
                </c:pt>
                <c:pt idx="4">
                  <c:v>200000</c:v>
                </c:pt>
                <c:pt idx="5">
                  <c:v>250000</c:v>
                </c:pt>
                <c:pt idx="6">
                  <c:v>300000</c:v>
                </c:pt>
                <c:pt idx="7">
                  <c:v>350000</c:v>
                </c:pt>
                <c:pt idx="8">
                  <c:v>400000</c:v>
                </c:pt>
                <c:pt idx="9">
                  <c:v>450000</c:v>
                </c:pt>
                <c:pt idx="10">
                  <c:v>500000</c:v>
                </c:pt>
                <c:pt idx="11">
                  <c:v>550000</c:v>
                </c:pt>
                <c:pt idx="12">
                  <c:v>600000</c:v>
                </c:pt>
                <c:pt idx="13">
                  <c:v>650000</c:v>
                </c:pt>
                <c:pt idx="14">
                  <c:v>700000</c:v>
                </c:pt>
                <c:pt idx="15">
                  <c:v>750000</c:v>
                </c:pt>
                <c:pt idx="16">
                  <c:v>800000</c:v>
                </c:pt>
                <c:pt idx="17">
                  <c:v>850000</c:v>
                </c:pt>
                <c:pt idx="18">
                  <c:v>900000</c:v>
                </c:pt>
                <c:pt idx="19">
                  <c:v>950000</c:v>
                </c:pt>
                <c:pt idx="20">
                  <c:v>1000000</c:v>
                </c:pt>
              </c:numCache>
            </c:numRef>
          </c:xVal>
          <c:yVal>
            <c:numRef>
              <c:f>'F. utilite'!$B$4:$B$24</c:f>
              <c:numCache>
                <c:formatCode>General</c:formatCode>
                <c:ptCount val="21"/>
                <c:pt idx="0">
                  <c:v>0</c:v>
                </c:pt>
                <c:pt idx="1">
                  <c:v>7.1523898574007649E-2</c:v>
                </c:pt>
                <c:pt idx="2">
                  <c:v>0.14020575933289003</c:v>
                </c:pt>
                <c:pt idx="3">
                  <c:v>0.20615851206799896</c:v>
                </c:pt>
                <c:pt idx="4">
                  <c:v>0.26949059924905083</c:v>
                </c:pt>
                <c:pt idx="5">
                  <c:v>0.33030615433009314</c:v>
                </c:pt>
                <c:pt idx="6">
                  <c:v>0.38870517297039164</c:v>
                </c:pt>
                <c:pt idx="7">
                  <c:v>0.44478367745177327</c:v>
                </c:pt>
                <c:pt idx="8">
                  <c:v>0.49863387456276165</c:v>
                </c:pt>
                <c:pt idx="9">
                  <c:v>0.55034430720910721</c:v>
                </c:pt>
                <c:pt idx="10">
                  <c:v>0.59999999999999987</c:v>
                </c:pt>
                <c:pt idx="11">
                  <c:v>0.64768259904933823</c:v>
                </c:pt>
                <c:pt idx="12">
                  <c:v>0.69347050622192663</c:v>
                </c:pt>
                <c:pt idx="13">
                  <c:v>0.73743900804533258</c:v>
                </c:pt>
                <c:pt idx="14">
                  <c:v>0.77966039949936738</c:v>
                </c:pt>
                <c:pt idx="15">
                  <c:v>0.82020410288672863</c:v>
                </c:pt>
                <c:pt idx="16">
                  <c:v>0.859136781980261</c:v>
                </c:pt>
                <c:pt idx="17">
                  <c:v>0.89652245163451549</c:v>
                </c:pt>
                <c:pt idx="18">
                  <c:v>0.932422583041841</c:v>
                </c:pt>
                <c:pt idx="19">
                  <c:v>0.96689620480607141</c:v>
                </c:pt>
                <c:pt idx="20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C69-8A4E-B862-ECC92BA53B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55500344"/>
        <c:axId val="655493288"/>
      </c:scatterChart>
      <c:valAx>
        <c:axId val="65550034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655493288"/>
        <c:crosses val="autoZero"/>
        <c:crossBetween val="midCat"/>
      </c:valAx>
      <c:valAx>
        <c:axId val="655493288"/>
        <c:scaling>
          <c:orientation val="minMax"/>
          <c:max val="1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655500344"/>
        <c:crosses val="autoZero"/>
        <c:crossBetween val="midCat"/>
      </c:valAx>
      <c:spPr>
        <a:noFill/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rgbClr val="FFFF99"/>
    </a:solidFill>
    <a:ln w="3175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fr-FR"/>
    </a:p>
  </c:txPr>
  <c:printSettings>
    <c:headerFooter alignWithMargins="0"/>
    <c:pageMargins b="0.984251969" l="0.78740157499999996" r="0.78740157499999996" t="0.984251969" header="0.4921259845" footer="0.4921259845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emf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0</xdr:colOff>
      <xdr:row>20</xdr:row>
      <xdr:rowOff>0</xdr:rowOff>
    </xdr:from>
    <xdr:to>
      <xdr:col>11</xdr:col>
      <xdr:colOff>0</xdr:colOff>
      <xdr:row>20</xdr:row>
      <xdr:rowOff>152400</xdr:rowOff>
    </xdr:to>
    <xdr:sp macro="" textlink="">
      <xdr:nvSpPr>
        <xdr:cNvPr id="2" name="Oval 143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>
          <a:spLocks noChangeArrowheads="1"/>
        </xdr:cNvSpPr>
      </xdr:nvSpPr>
      <xdr:spPr bwMode="auto">
        <a:xfrm>
          <a:off x="5591175" y="3295650"/>
          <a:ext cx="152400" cy="152400"/>
        </a:xfrm>
        <a:prstGeom prst="ellips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</xdr:col>
      <xdr:colOff>0</xdr:colOff>
      <xdr:row>20</xdr:row>
      <xdr:rowOff>76200</xdr:rowOff>
    </xdr:from>
    <xdr:to>
      <xdr:col>10</xdr:col>
      <xdr:colOff>0</xdr:colOff>
      <xdr:row>20</xdr:row>
      <xdr:rowOff>76200</xdr:rowOff>
    </xdr:to>
    <xdr:sp macro="" textlink="">
      <xdr:nvSpPr>
        <xdr:cNvPr id="3" name="Line 144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>
          <a:spLocks noChangeShapeType="1"/>
        </xdr:cNvSpPr>
      </xdr:nvSpPr>
      <xdr:spPr bwMode="auto">
        <a:xfrm>
          <a:off x="4067175" y="3371850"/>
          <a:ext cx="15240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0</xdr:colOff>
      <xdr:row>20</xdr:row>
      <xdr:rowOff>76200</xdr:rowOff>
    </xdr:from>
    <xdr:to>
      <xdr:col>8</xdr:col>
      <xdr:colOff>0</xdr:colOff>
      <xdr:row>24</xdr:row>
      <xdr:rowOff>76200</xdr:rowOff>
    </xdr:to>
    <xdr:sp macro="" textlink="">
      <xdr:nvSpPr>
        <xdr:cNvPr id="4" name="Line 145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>
          <a:spLocks noChangeShapeType="1"/>
        </xdr:cNvSpPr>
      </xdr:nvSpPr>
      <xdr:spPr bwMode="auto">
        <a:xfrm flipV="1">
          <a:off x="3819525" y="3371850"/>
          <a:ext cx="247650" cy="7048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 editAs="oneCell">
    <xdr:from>
      <xdr:col>10</xdr:col>
      <xdr:colOff>0</xdr:colOff>
      <xdr:row>28</xdr:row>
      <xdr:rowOff>0</xdr:rowOff>
    </xdr:from>
    <xdr:to>
      <xdr:col>10</xdr:col>
      <xdr:colOff>0</xdr:colOff>
      <xdr:row>28</xdr:row>
      <xdr:rowOff>152400</xdr:rowOff>
    </xdr:to>
    <xdr:sp macro="" textlink="">
      <xdr:nvSpPr>
        <xdr:cNvPr id="5" name="Line 146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>
          <a:spLocks noChangeShapeType="1"/>
        </xdr:cNvSpPr>
      </xdr:nvSpPr>
      <xdr:spPr bwMode="auto">
        <a:xfrm>
          <a:off x="5591175" y="4676775"/>
          <a:ext cx="0" cy="1524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0</xdr:colOff>
      <xdr:row>28</xdr:row>
      <xdr:rowOff>76200</xdr:rowOff>
    </xdr:from>
    <xdr:to>
      <xdr:col>14</xdr:col>
      <xdr:colOff>0</xdr:colOff>
      <xdr:row>28</xdr:row>
      <xdr:rowOff>76200</xdr:rowOff>
    </xdr:to>
    <xdr:sp macro="" textlink="">
      <xdr:nvSpPr>
        <xdr:cNvPr id="6" name="Line 147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>
          <a:spLocks noChangeShapeType="1"/>
        </xdr:cNvSpPr>
      </xdr:nvSpPr>
      <xdr:spPr bwMode="auto">
        <a:xfrm>
          <a:off x="5743575" y="4752975"/>
          <a:ext cx="1771650" cy="0"/>
        </a:xfrm>
        <a:prstGeom prst="line">
          <a:avLst/>
        </a:prstGeom>
        <a:noFill/>
        <a:ln w="1">
          <a:solidFill>
            <a:srgbClr val="000000"/>
          </a:solidFill>
          <a:prstDash val="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0</xdr:colOff>
      <xdr:row>28</xdr:row>
      <xdr:rowOff>76200</xdr:rowOff>
    </xdr:from>
    <xdr:to>
      <xdr:col>10</xdr:col>
      <xdr:colOff>0</xdr:colOff>
      <xdr:row>28</xdr:row>
      <xdr:rowOff>76200</xdr:rowOff>
    </xdr:to>
    <xdr:sp macro="" textlink="">
      <xdr:nvSpPr>
        <xdr:cNvPr id="7" name="Line 148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>
          <a:spLocks noChangeShapeType="1"/>
        </xdr:cNvSpPr>
      </xdr:nvSpPr>
      <xdr:spPr bwMode="auto">
        <a:xfrm>
          <a:off x="4067175" y="4752975"/>
          <a:ext cx="15240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0</xdr:colOff>
      <xdr:row>24</xdr:row>
      <xdr:rowOff>76200</xdr:rowOff>
    </xdr:from>
    <xdr:to>
      <xdr:col>8</xdr:col>
      <xdr:colOff>0</xdr:colOff>
      <xdr:row>28</xdr:row>
      <xdr:rowOff>76200</xdr:rowOff>
    </xdr:to>
    <xdr:sp macro="" textlink="">
      <xdr:nvSpPr>
        <xdr:cNvPr id="8" name="Line 149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>
          <a:spLocks noChangeShapeType="1"/>
        </xdr:cNvSpPr>
      </xdr:nvSpPr>
      <xdr:spPr bwMode="auto">
        <a:xfrm>
          <a:off x="3819525" y="4076700"/>
          <a:ext cx="247650" cy="6762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 editAs="oneCell">
    <xdr:from>
      <xdr:col>14</xdr:col>
      <xdr:colOff>0</xdr:colOff>
      <xdr:row>18</xdr:row>
      <xdr:rowOff>0</xdr:rowOff>
    </xdr:from>
    <xdr:to>
      <xdr:col>14</xdr:col>
      <xdr:colOff>0</xdr:colOff>
      <xdr:row>18</xdr:row>
      <xdr:rowOff>152400</xdr:rowOff>
    </xdr:to>
    <xdr:sp macro="" textlink="">
      <xdr:nvSpPr>
        <xdr:cNvPr id="9" name="Line 150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>
          <a:spLocks noChangeShapeType="1"/>
        </xdr:cNvSpPr>
      </xdr:nvSpPr>
      <xdr:spPr bwMode="auto">
        <a:xfrm>
          <a:off x="7515225" y="2914650"/>
          <a:ext cx="0" cy="1524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12</xdr:col>
      <xdr:colOff>0</xdr:colOff>
      <xdr:row>18</xdr:row>
      <xdr:rowOff>76200</xdr:rowOff>
    </xdr:from>
    <xdr:to>
      <xdr:col>14</xdr:col>
      <xdr:colOff>0</xdr:colOff>
      <xdr:row>18</xdr:row>
      <xdr:rowOff>76200</xdr:rowOff>
    </xdr:to>
    <xdr:sp macro="" textlink="">
      <xdr:nvSpPr>
        <xdr:cNvPr id="10" name="Line 151"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SpPr>
          <a:spLocks noChangeShapeType="1"/>
        </xdr:cNvSpPr>
      </xdr:nvSpPr>
      <xdr:spPr bwMode="auto">
        <a:xfrm>
          <a:off x="5991225" y="2990850"/>
          <a:ext cx="15240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0</xdr:colOff>
      <xdr:row>18</xdr:row>
      <xdr:rowOff>76200</xdr:rowOff>
    </xdr:from>
    <xdr:to>
      <xdr:col>12</xdr:col>
      <xdr:colOff>0</xdr:colOff>
      <xdr:row>20</xdr:row>
      <xdr:rowOff>76200</xdr:rowOff>
    </xdr:to>
    <xdr:sp macro="" textlink="">
      <xdr:nvSpPr>
        <xdr:cNvPr id="11" name="Line 152">
          <a:extLst>
            <a:ext uri="{FF2B5EF4-FFF2-40B4-BE49-F238E27FC236}">
              <a16:creationId xmlns:a16="http://schemas.microsoft.com/office/drawing/2014/main" id="{00000000-0008-0000-0200-00000B000000}"/>
            </a:ext>
          </a:extLst>
        </xdr:cNvPr>
        <xdr:cNvSpPr>
          <a:spLocks noChangeShapeType="1"/>
        </xdr:cNvSpPr>
      </xdr:nvSpPr>
      <xdr:spPr bwMode="auto">
        <a:xfrm flipV="1">
          <a:off x="5743575" y="2990850"/>
          <a:ext cx="247650" cy="3810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 editAs="oneCell">
    <xdr:from>
      <xdr:col>14</xdr:col>
      <xdr:colOff>0</xdr:colOff>
      <xdr:row>23</xdr:row>
      <xdr:rowOff>0</xdr:rowOff>
    </xdr:from>
    <xdr:to>
      <xdr:col>14</xdr:col>
      <xdr:colOff>0</xdr:colOff>
      <xdr:row>23</xdr:row>
      <xdr:rowOff>152400</xdr:rowOff>
    </xdr:to>
    <xdr:sp macro="" textlink="">
      <xdr:nvSpPr>
        <xdr:cNvPr id="12" name="Line 153">
          <a:extLst>
            <a:ext uri="{FF2B5EF4-FFF2-40B4-BE49-F238E27FC236}">
              <a16:creationId xmlns:a16="http://schemas.microsoft.com/office/drawing/2014/main" id="{00000000-0008-0000-0200-00000C000000}"/>
            </a:ext>
          </a:extLst>
        </xdr:cNvPr>
        <xdr:cNvSpPr>
          <a:spLocks noChangeShapeType="1"/>
        </xdr:cNvSpPr>
      </xdr:nvSpPr>
      <xdr:spPr bwMode="auto">
        <a:xfrm>
          <a:off x="7515225" y="3810000"/>
          <a:ext cx="0" cy="1524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12</xdr:col>
      <xdr:colOff>0</xdr:colOff>
      <xdr:row>23</xdr:row>
      <xdr:rowOff>76200</xdr:rowOff>
    </xdr:from>
    <xdr:to>
      <xdr:col>14</xdr:col>
      <xdr:colOff>0</xdr:colOff>
      <xdr:row>23</xdr:row>
      <xdr:rowOff>76200</xdr:rowOff>
    </xdr:to>
    <xdr:sp macro="" textlink="">
      <xdr:nvSpPr>
        <xdr:cNvPr id="13" name="Line 154">
          <a:extLst>
            <a:ext uri="{FF2B5EF4-FFF2-40B4-BE49-F238E27FC236}">
              <a16:creationId xmlns:a16="http://schemas.microsoft.com/office/drawing/2014/main" id="{00000000-0008-0000-0200-00000D000000}"/>
            </a:ext>
          </a:extLst>
        </xdr:cNvPr>
        <xdr:cNvSpPr>
          <a:spLocks noChangeShapeType="1"/>
        </xdr:cNvSpPr>
      </xdr:nvSpPr>
      <xdr:spPr bwMode="auto">
        <a:xfrm>
          <a:off x="5991225" y="3886200"/>
          <a:ext cx="15240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0</xdr:colOff>
      <xdr:row>20</xdr:row>
      <xdr:rowOff>76200</xdr:rowOff>
    </xdr:from>
    <xdr:to>
      <xdr:col>12</xdr:col>
      <xdr:colOff>0</xdr:colOff>
      <xdr:row>23</xdr:row>
      <xdr:rowOff>76200</xdr:rowOff>
    </xdr:to>
    <xdr:sp macro="" textlink="">
      <xdr:nvSpPr>
        <xdr:cNvPr id="14" name="Line 155">
          <a:extLst>
            <a:ext uri="{FF2B5EF4-FFF2-40B4-BE49-F238E27FC236}">
              <a16:creationId xmlns:a16="http://schemas.microsoft.com/office/drawing/2014/main" id="{00000000-0008-0000-0200-00000E000000}"/>
            </a:ext>
          </a:extLst>
        </xdr:cNvPr>
        <xdr:cNvSpPr>
          <a:spLocks noChangeShapeType="1"/>
        </xdr:cNvSpPr>
      </xdr:nvSpPr>
      <xdr:spPr bwMode="auto">
        <a:xfrm>
          <a:off x="5743575" y="3371850"/>
          <a:ext cx="247650" cy="5143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 editAs="oneCell">
    <xdr:from>
      <xdr:col>6</xdr:col>
      <xdr:colOff>0</xdr:colOff>
      <xdr:row>24</xdr:row>
      <xdr:rowOff>0</xdr:rowOff>
    </xdr:from>
    <xdr:to>
      <xdr:col>7</xdr:col>
      <xdr:colOff>0</xdr:colOff>
      <xdr:row>24</xdr:row>
      <xdr:rowOff>152400</xdr:rowOff>
    </xdr:to>
    <xdr:sp macro="" textlink="">
      <xdr:nvSpPr>
        <xdr:cNvPr id="15" name="Rectangle 156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SpPr>
          <a:spLocks noChangeArrowheads="1"/>
        </xdr:cNvSpPr>
      </xdr:nvSpPr>
      <xdr:spPr bwMode="auto">
        <a:xfrm>
          <a:off x="3667125" y="4000500"/>
          <a:ext cx="152400" cy="15240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24</xdr:row>
      <xdr:rowOff>76200</xdr:rowOff>
    </xdr:from>
    <xdr:to>
      <xdr:col>6</xdr:col>
      <xdr:colOff>0</xdr:colOff>
      <xdr:row>24</xdr:row>
      <xdr:rowOff>76200</xdr:rowOff>
    </xdr:to>
    <xdr:sp macro="" textlink="">
      <xdr:nvSpPr>
        <xdr:cNvPr id="16" name="Line 157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SpPr>
          <a:spLocks noChangeShapeType="1"/>
        </xdr:cNvSpPr>
      </xdr:nvSpPr>
      <xdr:spPr bwMode="auto">
        <a:xfrm>
          <a:off x="2905125" y="4076700"/>
          <a:ext cx="7620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723900</xdr:colOff>
      <xdr:row>0</xdr:row>
      <xdr:rowOff>28575</xdr:rowOff>
    </xdr:from>
    <xdr:to>
      <xdr:col>13</xdr:col>
      <xdr:colOff>742950</xdr:colOff>
      <xdr:row>14</xdr:row>
      <xdr:rowOff>114300</xdr:rowOff>
    </xdr:to>
    <xdr:graphicFrame macro="">
      <xdr:nvGraphicFramePr>
        <xdr:cNvPr id="17" name="Chart 158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749300</xdr:colOff>
      <xdr:row>15</xdr:row>
      <xdr:rowOff>0</xdr:rowOff>
    </xdr:from>
    <xdr:to>
      <xdr:col>18</xdr:col>
      <xdr:colOff>114300</xdr:colOff>
      <xdr:row>19</xdr:row>
      <xdr:rowOff>25400</xdr:rowOff>
    </xdr:to>
    <xdr:sp macro="" textlink="">
      <xdr:nvSpPr>
        <xdr:cNvPr id="21" name="Rectangle 20">
          <a:extLst>
            <a:ext uri="{FF2B5EF4-FFF2-40B4-BE49-F238E27FC236}">
              <a16:creationId xmlns:a16="http://schemas.microsoft.com/office/drawing/2014/main" id="{F6B64708-C496-2446-83B1-11B59C7B6A41}"/>
            </a:ext>
          </a:extLst>
        </xdr:cNvPr>
        <xdr:cNvSpPr/>
      </xdr:nvSpPr>
      <xdr:spPr>
        <a:xfrm>
          <a:off x="10553700" y="2476500"/>
          <a:ext cx="1714500" cy="71120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381002</xdr:colOff>
      <xdr:row>19</xdr:row>
      <xdr:rowOff>217714</xdr:rowOff>
    </xdr:from>
    <xdr:to>
      <xdr:col>3</xdr:col>
      <xdr:colOff>1632860</xdr:colOff>
      <xdr:row>30</xdr:row>
      <xdr:rowOff>1</xdr:rowOff>
    </xdr:to>
    <xdr:graphicFrame macro="">
      <xdr:nvGraphicFramePr>
        <xdr:cNvPr id="3" name="Chart 158">
          <a:extLst>
            <a:ext uri="{FF2B5EF4-FFF2-40B4-BE49-F238E27FC236}">
              <a16:creationId xmlns:a16="http://schemas.microsoft.com/office/drawing/2014/main" id="{9429591A-83C4-CF49-BBCE-55BFE52BD36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979714</xdr:colOff>
      <xdr:row>0</xdr:row>
      <xdr:rowOff>163285</xdr:rowOff>
    </xdr:from>
    <xdr:to>
      <xdr:col>5</xdr:col>
      <xdr:colOff>165100</xdr:colOff>
      <xdr:row>16</xdr:row>
      <xdr:rowOff>101599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956D4705-FA16-FA4F-BB39-E60D32F2CC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79714" y="163285"/>
          <a:ext cx="8293100" cy="42926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Bureau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Bureau">
      <a:majorFont>
        <a:latin typeface="Cambria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Bureau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V1005"/>
  <sheetViews>
    <sheetView tabSelected="1" workbookViewId="0">
      <selection activeCell="M18" sqref="M18"/>
    </sheetView>
  </sheetViews>
  <sheetFormatPr baseColWidth="10" defaultColWidth="11.5" defaultRowHeight="13" x14ac:dyDescent="0.15"/>
  <cols>
    <col min="1" max="1" width="11.5" style="1" customWidth="1"/>
    <col min="2" max="2" width="15.1640625" style="1" customWidth="1"/>
    <col min="3" max="3" width="8.5" style="1" customWidth="1"/>
    <col min="4" max="4" width="3.1640625" style="1" customWidth="1"/>
    <col min="5" max="5" width="9.1640625" style="1" customWidth="1"/>
    <col min="6" max="6" width="11.5" style="1" customWidth="1"/>
    <col min="7" max="7" width="2.33203125" style="1" customWidth="1"/>
    <col min="8" max="8" width="3.6640625" style="1" customWidth="1"/>
    <col min="9" max="9" width="13" style="1" customWidth="1"/>
    <col min="10" max="10" width="11.5" style="1" customWidth="1"/>
    <col min="11" max="11" width="2.33203125" style="1" customWidth="1"/>
    <col min="12" max="12" width="3.6640625" style="1" customWidth="1"/>
    <col min="13" max="13" width="15" style="1" customWidth="1"/>
    <col min="14" max="14" width="11.5" style="1" customWidth="1"/>
    <col min="15" max="15" width="2.33203125" style="1" customWidth="1"/>
    <col min="16" max="16" width="14.83203125" style="1" customWidth="1"/>
    <col min="17" max="17" width="11.5" style="1" customWidth="1"/>
    <col min="18" max="18" width="19.33203125" style="1" customWidth="1"/>
    <col min="19" max="19" width="2.33203125" style="1" customWidth="1"/>
    <col min="20" max="256" width="11.5" style="1"/>
    <col min="257" max="258" width="11.5" style="1" customWidth="1"/>
    <col min="259" max="259" width="8.5" style="1" customWidth="1"/>
    <col min="260" max="260" width="3.1640625" style="1" customWidth="1"/>
    <col min="261" max="261" width="9.1640625" style="1" customWidth="1"/>
    <col min="262" max="262" width="11.5" style="1" customWidth="1"/>
    <col min="263" max="263" width="2.33203125" style="1" customWidth="1"/>
    <col min="264" max="264" width="3.6640625" style="1" customWidth="1"/>
    <col min="265" max="266" width="11.5" style="1" customWidth="1"/>
    <col min="267" max="267" width="2.33203125" style="1" customWidth="1"/>
    <col min="268" max="268" width="3.6640625" style="1" customWidth="1"/>
    <col min="269" max="270" width="11.5" style="1" customWidth="1"/>
    <col min="271" max="271" width="2.33203125" style="1" customWidth="1"/>
    <col min="272" max="274" width="11.5" style="1" customWidth="1"/>
    <col min="275" max="275" width="2.33203125" style="1" customWidth="1"/>
    <col min="276" max="512" width="11.5" style="1"/>
    <col min="513" max="514" width="11.5" style="1" customWidth="1"/>
    <col min="515" max="515" width="8.5" style="1" customWidth="1"/>
    <col min="516" max="516" width="3.1640625" style="1" customWidth="1"/>
    <col min="517" max="517" width="9.1640625" style="1" customWidth="1"/>
    <col min="518" max="518" width="11.5" style="1" customWidth="1"/>
    <col min="519" max="519" width="2.33203125" style="1" customWidth="1"/>
    <col min="520" max="520" width="3.6640625" style="1" customWidth="1"/>
    <col min="521" max="522" width="11.5" style="1" customWidth="1"/>
    <col min="523" max="523" width="2.33203125" style="1" customWidth="1"/>
    <col min="524" max="524" width="3.6640625" style="1" customWidth="1"/>
    <col min="525" max="526" width="11.5" style="1" customWidth="1"/>
    <col min="527" max="527" width="2.33203125" style="1" customWidth="1"/>
    <col min="528" max="530" width="11.5" style="1" customWidth="1"/>
    <col min="531" max="531" width="2.33203125" style="1" customWidth="1"/>
    <col min="532" max="768" width="11.5" style="1"/>
    <col min="769" max="770" width="11.5" style="1" customWidth="1"/>
    <col min="771" max="771" width="8.5" style="1" customWidth="1"/>
    <col min="772" max="772" width="3.1640625" style="1" customWidth="1"/>
    <col min="773" max="773" width="9.1640625" style="1" customWidth="1"/>
    <col min="774" max="774" width="11.5" style="1" customWidth="1"/>
    <col min="775" max="775" width="2.33203125" style="1" customWidth="1"/>
    <col min="776" max="776" width="3.6640625" style="1" customWidth="1"/>
    <col min="777" max="778" width="11.5" style="1" customWidth="1"/>
    <col min="779" max="779" width="2.33203125" style="1" customWidth="1"/>
    <col min="780" max="780" width="3.6640625" style="1" customWidth="1"/>
    <col min="781" max="782" width="11.5" style="1" customWidth="1"/>
    <col min="783" max="783" width="2.33203125" style="1" customWidth="1"/>
    <col min="784" max="786" width="11.5" style="1" customWidth="1"/>
    <col min="787" max="787" width="2.33203125" style="1" customWidth="1"/>
    <col min="788" max="1024" width="11.5" style="1"/>
    <col min="1025" max="1026" width="11.5" style="1" customWidth="1"/>
    <col min="1027" max="1027" width="8.5" style="1" customWidth="1"/>
    <col min="1028" max="1028" width="3.1640625" style="1" customWidth="1"/>
    <col min="1029" max="1029" width="9.1640625" style="1" customWidth="1"/>
    <col min="1030" max="1030" width="11.5" style="1" customWidth="1"/>
    <col min="1031" max="1031" width="2.33203125" style="1" customWidth="1"/>
    <col min="1032" max="1032" width="3.6640625" style="1" customWidth="1"/>
    <col min="1033" max="1034" width="11.5" style="1" customWidth="1"/>
    <col min="1035" max="1035" width="2.33203125" style="1" customWidth="1"/>
    <col min="1036" max="1036" width="3.6640625" style="1" customWidth="1"/>
    <col min="1037" max="1038" width="11.5" style="1" customWidth="1"/>
    <col min="1039" max="1039" width="2.33203125" style="1" customWidth="1"/>
    <col min="1040" max="1042" width="11.5" style="1" customWidth="1"/>
    <col min="1043" max="1043" width="2.33203125" style="1" customWidth="1"/>
    <col min="1044" max="1280" width="11.5" style="1"/>
    <col min="1281" max="1282" width="11.5" style="1" customWidth="1"/>
    <col min="1283" max="1283" width="8.5" style="1" customWidth="1"/>
    <col min="1284" max="1284" width="3.1640625" style="1" customWidth="1"/>
    <col min="1285" max="1285" width="9.1640625" style="1" customWidth="1"/>
    <col min="1286" max="1286" width="11.5" style="1" customWidth="1"/>
    <col min="1287" max="1287" width="2.33203125" style="1" customWidth="1"/>
    <col min="1288" max="1288" width="3.6640625" style="1" customWidth="1"/>
    <col min="1289" max="1290" width="11.5" style="1" customWidth="1"/>
    <col min="1291" max="1291" width="2.33203125" style="1" customWidth="1"/>
    <col min="1292" max="1292" width="3.6640625" style="1" customWidth="1"/>
    <col min="1293" max="1294" width="11.5" style="1" customWidth="1"/>
    <col min="1295" max="1295" width="2.33203125" style="1" customWidth="1"/>
    <col min="1296" max="1298" width="11.5" style="1" customWidth="1"/>
    <col min="1299" max="1299" width="2.33203125" style="1" customWidth="1"/>
    <col min="1300" max="1536" width="11.5" style="1"/>
    <col min="1537" max="1538" width="11.5" style="1" customWidth="1"/>
    <col min="1539" max="1539" width="8.5" style="1" customWidth="1"/>
    <col min="1540" max="1540" width="3.1640625" style="1" customWidth="1"/>
    <col min="1541" max="1541" width="9.1640625" style="1" customWidth="1"/>
    <col min="1542" max="1542" width="11.5" style="1" customWidth="1"/>
    <col min="1543" max="1543" width="2.33203125" style="1" customWidth="1"/>
    <col min="1544" max="1544" width="3.6640625" style="1" customWidth="1"/>
    <col min="1545" max="1546" width="11.5" style="1" customWidth="1"/>
    <col min="1547" max="1547" width="2.33203125" style="1" customWidth="1"/>
    <col min="1548" max="1548" width="3.6640625" style="1" customWidth="1"/>
    <col min="1549" max="1550" width="11.5" style="1" customWidth="1"/>
    <col min="1551" max="1551" width="2.33203125" style="1" customWidth="1"/>
    <col min="1552" max="1554" width="11.5" style="1" customWidth="1"/>
    <col min="1555" max="1555" width="2.33203125" style="1" customWidth="1"/>
    <col min="1556" max="1792" width="11.5" style="1"/>
    <col min="1793" max="1794" width="11.5" style="1" customWidth="1"/>
    <col min="1795" max="1795" width="8.5" style="1" customWidth="1"/>
    <col min="1796" max="1796" width="3.1640625" style="1" customWidth="1"/>
    <col min="1797" max="1797" width="9.1640625" style="1" customWidth="1"/>
    <col min="1798" max="1798" width="11.5" style="1" customWidth="1"/>
    <col min="1799" max="1799" width="2.33203125" style="1" customWidth="1"/>
    <col min="1800" max="1800" width="3.6640625" style="1" customWidth="1"/>
    <col min="1801" max="1802" width="11.5" style="1" customWidth="1"/>
    <col min="1803" max="1803" width="2.33203125" style="1" customWidth="1"/>
    <col min="1804" max="1804" width="3.6640625" style="1" customWidth="1"/>
    <col min="1805" max="1806" width="11.5" style="1" customWidth="1"/>
    <col min="1807" max="1807" width="2.33203125" style="1" customWidth="1"/>
    <col min="1808" max="1810" width="11.5" style="1" customWidth="1"/>
    <col min="1811" max="1811" width="2.33203125" style="1" customWidth="1"/>
    <col min="1812" max="2048" width="11.5" style="1"/>
    <col min="2049" max="2050" width="11.5" style="1" customWidth="1"/>
    <col min="2051" max="2051" width="8.5" style="1" customWidth="1"/>
    <col min="2052" max="2052" width="3.1640625" style="1" customWidth="1"/>
    <col min="2053" max="2053" width="9.1640625" style="1" customWidth="1"/>
    <col min="2054" max="2054" width="11.5" style="1" customWidth="1"/>
    <col min="2055" max="2055" width="2.33203125" style="1" customWidth="1"/>
    <col min="2056" max="2056" width="3.6640625" style="1" customWidth="1"/>
    <col min="2057" max="2058" width="11.5" style="1" customWidth="1"/>
    <col min="2059" max="2059" width="2.33203125" style="1" customWidth="1"/>
    <col min="2060" max="2060" width="3.6640625" style="1" customWidth="1"/>
    <col min="2061" max="2062" width="11.5" style="1" customWidth="1"/>
    <col min="2063" max="2063" width="2.33203125" style="1" customWidth="1"/>
    <col min="2064" max="2066" width="11.5" style="1" customWidth="1"/>
    <col min="2067" max="2067" width="2.33203125" style="1" customWidth="1"/>
    <col min="2068" max="2304" width="11.5" style="1"/>
    <col min="2305" max="2306" width="11.5" style="1" customWidth="1"/>
    <col min="2307" max="2307" width="8.5" style="1" customWidth="1"/>
    <col min="2308" max="2308" width="3.1640625" style="1" customWidth="1"/>
    <col min="2309" max="2309" width="9.1640625" style="1" customWidth="1"/>
    <col min="2310" max="2310" width="11.5" style="1" customWidth="1"/>
    <col min="2311" max="2311" width="2.33203125" style="1" customWidth="1"/>
    <col min="2312" max="2312" width="3.6640625" style="1" customWidth="1"/>
    <col min="2313" max="2314" width="11.5" style="1" customWidth="1"/>
    <col min="2315" max="2315" width="2.33203125" style="1" customWidth="1"/>
    <col min="2316" max="2316" width="3.6640625" style="1" customWidth="1"/>
    <col min="2317" max="2318" width="11.5" style="1" customWidth="1"/>
    <col min="2319" max="2319" width="2.33203125" style="1" customWidth="1"/>
    <col min="2320" max="2322" width="11.5" style="1" customWidth="1"/>
    <col min="2323" max="2323" width="2.33203125" style="1" customWidth="1"/>
    <col min="2324" max="2560" width="11.5" style="1"/>
    <col min="2561" max="2562" width="11.5" style="1" customWidth="1"/>
    <col min="2563" max="2563" width="8.5" style="1" customWidth="1"/>
    <col min="2564" max="2564" width="3.1640625" style="1" customWidth="1"/>
    <col min="2565" max="2565" width="9.1640625" style="1" customWidth="1"/>
    <col min="2566" max="2566" width="11.5" style="1" customWidth="1"/>
    <col min="2567" max="2567" width="2.33203125" style="1" customWidth="1"/>
    <col min="2568" max="2568" width="3.6640625" style="1" customWidth="1"/>
    <col min="2569" max="2570" width="11.5" style="1" customWidth="1"/>
    <col min="2571" max="2571" width="2.33203125" style="1" customWidth="1"/>
    <col min="2572" max="2572" width="3.6640625" style="1" customWidth="1"/>
    <col min="2573" max="2574" width="11.5" style="1" customWidth="1"/>
    <col min="2575" max="2575" width="2.33203125" style="1" customWidth="1"/>
    <col min="2576" max="2578" width="11.5" style="1" customWidth="1"/>
    <col min="2579" max="2579" width="2.33203125" style="1" customWidth="1"/>
    <col min="2580" max="2816" width="11.5" style="1"/>
    <col min="2817" max="2818" width="11.5" style="1" customWidth="1"/>
    <col min="2819" max="2819" width="8.5" style="1" customWidth="1"/>
    <col min="2820" max="2820" width="3.1640625" style="1" customWidth="1"/>
    <col min="2821" max="2821" width="9.1640625" style="1" customWidth="1"/>
    <col min="2822" max="2822" width="11.5" style="1" customWidth="1"/>
    <col min="2823" max="2823" width="2.33203125" style="1" customWidth="1"/>
    <col min="2824" max="2824" width="3.6640625" style="1" customWidth="1"/>
    <col min="2825" max="2826" width="11.5" style="1" customWidth="1"/>
    <col min="2827" max="2827" width="2.33203125" style="1" customWidth="1"/>
    <col min="2828" max="2828" width="3.6640625" style="1" customWidth="1"/>
    <col min="2829" max="2830" width="11.5" style="1" customWidth="1"/>
    <col min="2831" max="2831" width="2.33203125" style="1" customWidth="1"/>
    <col min="2832" max="2834" width="11.5" style="1" customWidth="1"/>
    <col min="2835" max="2835" width="2.33203125" style="1" customWidth="1"/>
    <col min="2836" max="3072" width="11.5" style="1"/>
    <col min="3073" max="3074" width="11.5" style="1" customWidth="1"/>
    <col min="3075" max="3075" width="8.5" style="1" customWidth="1"/>
    <col min="3076" max="3076" width="3.1640625" style="1" customWidth="1"/>
    <col min="3077" max="3077" width="9.1640625" style="1" customWidth="1"/>
    <col min="3078" max="3078" width="11.5" style="1" customWidth="1"/>
    <col min="3079" max="3079" width="2.33203125" style="1" customWidth="1"/>
    <col min="3080" max="3080" width="3.6640625" style="1" customWidth="1"/>
    <col min="3081" max="3082" width="11.5" style="1" customWidth="1"/>
    <col min="3083" max="3083" width="2.33203125" style="1" customWidth="1"/>
    <col min="3084" max="3084" width="3.6640625" style="1" customWidth="1"/>
    <col min="3085" max="3086" width="11.5" style="1" customWidth="1"/>
    <col min="3087" max="3087" width="2.33203125" style="1" customWidth="1"/>
    <col min="3088" max="3090" width="11.5" style="1" customWidth="1"/>
    <col min="3091" max="3091" width="2.33203125" style="1" customWidth="1"/>
    <col min="3092" max="3328" width="11.5" style="1"/>
    <col min="3329" max="3330" width="11.5" style="1" customWidth="1"/>
    <col min="3331" max="3331" width="8.5" style="1" customWidth="1"/>
    <col min="3332" max="3332" width="3.1640625" style="1" customWidth="1"/>
    <col min="3333" max="3333" width="9.1640625" style="1" customWidth="1"/>
    <col min="3334" max="3334" width="11.5" style="1" customWidth="1"/>
    <col min="3335" max="3335" width="2.33203125" style="1" customWidth="1"/>
    <col min="3336" max="3336" width="3.6640625" style="1" customWidth="1"/>
    <col min="3337" max="3338" width="11.5" style="1" customWidth="1"/>
    <col min="3339" max="3339" width="2.33203125" style="1" customWidth="1"/>
    <col min="3340" max="3340" width="3.6640625" style="1" customWidth="1"/>
    <col min="3341" max="3342" width="11.5" style="1" customWidth="1"/>
    <col min="3343" max="3343" width="2.33203125" style="1" customWidth="1"/>
    <col min="3344" max="3346" width="11.5" style="1" customWidth="1"/>
    <col min="3347" max="3347" width="2.33203125" style="1" customWidth="1"/>
    <col min="3348" max="3584" width="11.5" style="1"/>
    <col min="3585" max="3586" width="11.5" style="1" customWidth="1"/>
    <col min="3587" max="3587" width="8.5" style="1" customWidth="1"/>
    <col min="3588" max="3588" width="3.1640625" style="1" customWidth="1"/>
    <col min="3589" max="3589" width="9.1640625" style="1" customWidth="1"/>
    <col min="3590" max="3590" width="11.5" style="1" customWidth="1"/>
    <col min="3591" max="3591" width="2.33203125" style="1" customWidth="1"/>
    <col min="3592" max="3592" width="3.6640625" style="1" customWidth="1"/>
    <col min="3593" max="3594" width="11.5" style="1" customWidth="1"/>
    <col min="3595" max="3595" width="2.33203125" style="1" customWidth="1"/>
    <col min="3596" max="3596" width="3.6640625" style="1" customWidth="1"/>
    <col min="3597" max="3598" width="11.5" style="1" customWidth="1"/>
    <col min="3599" max="3599" width="2.33203125" style="1" customWidth="1"/>
    <col min="3600" max="3602" width="11.5" style="1" customWidth="1"/>
    <col min="3603" max="3603" width="2.33203125" style="1" customWidth="1"/>
    <col min="3604" max="3840" width="11.5" style="1"/>
    <col min="3841" max="3842" width="11.5" style="1" customWidth="1"/>
    <col min="3843" max="3843" width="8.5" style="1" customWidth="1"/>
    <col min="3844" max="3844" width="3.1640625" style="1" customWidth="1"/>
    <col min="3845" max="3845" width="9.1640625" style="1" customWidth="1"/>
    <col min="3846" max="3846" width="11.5" style="1" customWidth="1"/>
    <col min="3847" max="3847" width="2.33203125" style="1" customWidth="1"/>
    <col min="3848" max="3848" width="3.6640625" style="1" customWidth="1"/>
    <col min="3849" max="3850" width="11.5" style="1" customWidth="1"/>
    <col min="3851" max="3851" width="2.33203125" style="1" customWidth="1"/>
    <col min="3852" max="3852" width="3.6640625" style="1" customWidth="1"/>
    <col min="3853" max="3854" width="11.5" style="1" customWidth="1"/>
    <col min="3855" max="3855" width="2.33203125" style="1" customWidth="1"/>
    <col min="3856" max="3858" width="11.5" style="1" customWidth="1"/>
    <col min="3859" max="3859" width="2.33203125" style="1" customWidth="1"/>
    <col min="3860" max="4096" width="11.5" style="1"/>
    <col min="4097" max="4098" width="11.5" style="1" customWidth="1"/>
    <col min="4099" max="4099" width="8.5" style="1" customWidth="1"/>
    <col min="4100" max="4100" width="3.1640625" style="1" customWidth="1"/>
    <col min="4101" max="4101" width="9.1640625" style="1" customWidth="1"/>
    <col min="4102" max="4102" width="11.5" style="1" customWidth="1"/>
    <col min="4103" max="4103" width="2.33203125" style="1" customWidth="1"/>
    <col min="4104" max="4104" width="3.6640625" style="1" customWidth="1"/>
    <col min="4105" max="4106" width="11.5" style="1" customWidth="1"/>
    <col min="4107" max="4107" width="2.33203125" style="1" customWidth="1"/>
    <col min="4108" max="4108" width="3.6640625" style="1" customWidth="1"/>
    <col min="4109" max="4110" width="11.5" style="1" customWidth="1"/>
    <col min="4111" max="4111" width="2.33203125" style="1" customWidth="1"/>
    <col min="4112" max="4114" width="11.5" style="1" customWidth="1"/>
    <col min="4115" max="4115" width="2.33203125" style="1" customWidth="1"/>
    <col min="4116" max="4352" width="11.5" style="1"/>
    <col min="4353" max="4354" width="11.5" style="1" customWidth="1"/>
    <col min="4355" max="4355" width="8.5" style="1" customWidth="1"/>
    <col min="4356" max="4356" width="3.1640625" style="1" customWidth="1"/>
    <col min="4357" max="4357" width="9.1640625" style="1" customWidth="1"/>
    <col min="4358" max="4358" width="11.5" style="1" customWidth="1"/>
    <col min="4359" max="4359" width="2.33203125" style="1" customWidth="1"/>
    <col min="4360" max="4360" width="3.6640625" style="1" customWidth="1"/>
    <col min="4361" max="4362" width="11.5" style="1" customWidth="1"/>
    <col min="4363" max="4363" width="2.33203125" style="1" customWidth="1"/>
    <col min="4364" max="4364" width="3.6640625" style="1" customWidth="1"/>
    <col min="4365" max="4366" width="11.5" style="1" customWidth="1"/>
    <col min="4367" max="4367" width="2.33203125" style="1" customWidth="1"/>
    <col min="4368" max="4370" width="11.5" style="1" customWidth="1"/>
    <col min="4371" max="4371" width="2.33203125" style="1" customWidth="1"/>
    <col min="4372" max="4608" width="11.5" style="1"/>
    <col min="4609" max="4610" width="11.5" style="1" customWidth="1"/>
    <col min="4611" max="4611" width="8.5" style="1" customWidth="1"/>
    <col min="4612" max="4612" width="3.1640625" style="1" customWidth="1"/>
    <col min="4613" max="4613" width="9.1640625" style="1" customWidth="1"/>
    <col min="4614" max="4614" width="11.5" style="1" customWidth="1"/>
    <col min="4615" max="4615" width="2.33203125" style="1" customWidth="1"/>
    <col min="4616" max="4616" width="3.6640625" style="1" customWidth="1"/>
    <col min="4617" max="4618" width="11.5" style="1" customWidth="1"/>
    <col min="4619" max="4619" width="2.33203125" style="1" customWidth="1"/>
    <col min="4620" max="4620" width="3.6640625" style="1" customWidth="1"/>
    <col min="4621" max="4622" width="11.5" style="1" customWidth="1"/>
    <col min="4623" max="4623" width="2.33203125" style="1" customWidth="1"/>
    <col min="4624" max="4626" width="11.5" style="1" customWidth="1"/>
    <col min="4627" max="4627" width="2.33203125" style="1" customWidth="1"/>
    <col min="4628" max="4864" width="11.5" style="1"/>
    <col min="4865" max="4866" width="11.5" style="1" customWidth="1"/>
    <col min="4867" max="4867" width="8.5" style="1" customWidth="1"/>
    <col min="4868" max="4868" width="3.1640625" style="1" customWidth="1"/>
    <col min="4869" max="4869" width="9.1640625" style="1" customWidth="1"/>
    <col min="4870" max="4870" width="11.5" style="1" customWidth="1"/>
    <col min="4871" max="4871" width="2.33203125" style="1" customWidth="1"/>
    <col min="4872" max="4872" width="3.6640625" style="1" customWidth="1"/>
    <col min="4873" max="4874" width="11.5" style="1" customWidth="1"/>
    <col min="4875" max="4875" width="2.33203125" style="1" customWidth="1"/>
    <col min="4876" max="4876" width="3.6640625" style="1" customWidth="1"/>
    <col min="4877" max="4878" width="11.5" style="1" customWidth="1"/>
    <col min="4879" max="4879" width="2.33203125" style="1" customWidth="1"/>
    <col min="4880" max="4882" width="11.5" style="1" customWidth="1"/>
    <col min="4883" max="4883" width="2.33203125" style="1" customWidth="1"/>
    <col min="4884" max="5120" width="11.5" style="1"/>
    <col min="5121" max="5122" width="11.5" style="1" customWidth="1"/>
    <col min="5123" max="5123" width="8.5" style="1" customWidth="1"/>
    <col min="5124" max="5124" width="3.1640625" style="1" customWidth="1"/>
    <col min="5125" max="5125" width="9.1640625" style="1" customWidth="1"/>
    <col min="5126" max="5126" width="11.5" style="1" customWidth="1"/>
    <col min="5127" max="5127" width="2.33203125" style="1" customWidth="1"/>
    <col min="5128" max="5128" width="3.6640625" style="1" customWidth="1"/>
    <col min="5129" max="5130" width="11.5" style="1" customWidth="1"/>
    <col min="5131" max="5131" width="2.33203125" style="1" customWidth="1"/>
    <col min="5132" max="5132" width="3.6640625" style="1" customWidth="1"/>
    <col min="5133" max="5134" width="11.5" style="1" customWidth="1"/>
    <col min="5135" max="5135" width="2.33203125" style="1" customWidth="1"/>
    <col min="5136" max="5138" width="11.5" style="1" customWidth="1"/>
    <col min="5139" max="5139" width="2.33203125" style="1" customWidth="1"/>
    <col min="5140" max="5376" width="11.5" style="1"/>
    <col min="5377" max="5378" width="11.5" style="1" customWidth="1"/>
    <col min="5379" max="5379" width="8.5" style="1" customWidth="1"/>
    <col min="5380" max="5380" width="3.1640625" style="1" customWidth="1"/>
    <col min="5381" max="5381" width="9.1640625" style="1" customWidth="1"/>
    <col min="5382" max="5382" width="11.5" style="1" customWidth="1"/>
    <col min="5383" max="5383" width="2.33203125" style="1" customWidth="1"/>
    <col min="5384" max="5384" width="3.6640625" style="1" customWidth="1"/>
    <col min="5385" max="5386" width="11.5" style="1" customWidth="1"/>
    <col min="5387" max="5387" width="2.33203125" style="1" customWidth="1"/>
    <col min="5388" max="5388" width="3.6640625" style="1" customWidth="1"/>
    <col min="5389" max="5390" width="11.5" style="1" customWidth="1"/>
    <col min="5391" max="5391" width="2.33203125" style="1" customWidth="1"/>
    <col min="5392" max="5394" width="11.5" style="1" customWidth="1"/>
    <col min="5395" max="5395" width="2.33203125" style="1" customWidth="1"/>
    <col min="5396" max="5632" width="11.5" style="1"/>
    <col min="5633" max="5634" width="11.5" style="1" customWidth="1"/>
    <col min="5635" max="5635" width="8.5" style="1" customWidth="1"/>
    <col min="5636" max="5636" width="3.1640625" style="1" customWidth="1"/>
    <col min="5637" max="5637" width="9.1640625" style="1" customWidth="1"/>
    <col min="5638" max="5638" width="11.5" style="1" customWidth="1"/>
    <col min="5639" max="5639" width="2.33203125" style="1" customWidth="1"/>
    <col min="5640" max="5640" width="3.6640625" style="1" customWidth="1"/>
    <col min="5641" max="5642" width="11.5" style="1" customWidth="1"/>
    <col min="5643" max="5643" width="2.33203125" style="1" customWidth="1"/>
    <col min="5644" max="5644" width="3.6640625" style="1" customWidth="1"/>
    <col min="5645" max="5646" width="11.5" style="1" customWidth="1"/>
    <col min="5647" max="5647" width="2.33203125" style="1" customWidth="1"/>
    <col min="5648" max="5650" width="11.5" style="1" customWidth="1"/>
    <col min="5651" max="5651" width="2.33203125" style="1" customWidth="1"/>
    <col min="5652" max="5888" width="11.5" style="1"/>
    <col min="5889" max="5890" width="11.5" style="1" customWidth="1"/>
    <col min="5891" max="5891" width="8.5" style="1" customWidth="1"/>
    <col min="5892" max="5892" width="3.1640625" style="1" customWidth="1"/>
    <col min="5893" max="5893" width="9.1640625" style="1" customWidth="1"/>
    <col min="5894" max="5894" width="11.5" style="1" customWidth="1"/>
    <col min="5895" max="5895" width="2.33203125" style="1" customWidth="1"/>
    <col min="5896" max="5896" width="3.6640625" style="1" customWidth="1"/>
    <col min="5897" max="5898" width="11.5" style="1" customWidth="1"/>
    <col min="5899" max="5899" width="2.33203125" style="1" customWidth="1"/>
    <col min="5900" max="5900" width="3.6640625" style="1" customWidth="1"/>
    <col min="5901" max="5902" width="11.5" style="1" customWidth="1"/>
    <col min="5903" max="5903" width="2.33203125" style="1" customWidth="1"/>
    <col min="5904" max="5906" width="11.5" style="1" customWidth="1"/>
    <col min="5907" max="5907" width="2.33203125" style="1" customWidth="1"/>
    <col min="5908" max="6144" width="11.5" style="1"/>
    <col min="6145" max="6146" width="11.5" style="1" customWidth="1"/>
    <col min="6147" max="6147" width="8.5" style="1" customWidth="1"/>
    <col min="6148" max="6148" width="3.1640625" style="1" customWidth="1"/>
    <col min="6149" max="6149" width="9.1640625" style="1" customWidth="1"/>
    <col min="6150" max="6150" width="11.5" style="1" customWidth="1"/>
    <col min="6151" max="6151" width="2.33203125" style="1" customWidth="1"/>
    <col min="6152" max="6152" width="3.6640625" style="1" customWidth="1"/>
    <col min="6153" max="6154" width="11.5" style="1" customWidth="1"/>
    <col min="6155" max="6155" width="2.33203125" style="1" customWidth="1"/>
    <col min="6156" max="6156" width="3.6640625" style="1" customWidth="1"/>
    <col min="6157" max="6158" width="11.5" style="1" customWidth="1"/>
    <col min="6159" max="6159" width="2.33203125" style="1" customWidth="1"/>
    <col min="6160" max="6162" width="11.5" style="1" customWidth="1"/>
    <col min="6163" max="6163" width="2.33203125" style="1" customWidth="1"/>
    <col min="6164" max="6400" width="11.5" style="1"/>
    <col min="6401" max="6402" width="11.5" style="1" customWidth="1"/>
    <col min="6403" max="6403" width="8.5" style="1" customWidth="1"/>
    <col min="6404" max="6404" width="3.1640625" style="1" customWidth="1"/>
    <col min="6405" max="6405" width="9.1640625" style="1" customWidth="1"/>
    <col min="6406" max="6406" width="11.5" style="1" customWidth="1"/>
    <col min="6407" max="6407" width="2.33203125" style="1" customWidth="1"/>
    <col min="6408" max="6408" width="3.6640625" style="1" customWidth="1"/>
    <col min="6409" max="6410" width="11.5" style="1" customWidth="1"/>
    <col min="6411" max="6411" width="2.33203125" style="1" customWidth="1"/>
    <col min="6412" max="6412" width="3.6640625" style="1" customWidth="1"/>
    <col min="6413" max="6414" width="11.5" style="1" customWidth="1"/>
    <col min="6415" max="6415" width="2.33203125" style="1" customWidth="1"/>
    <col min="6416" max="6418" width="11.5" style="1" customWidth="1"/>
    <col min="6419" max="6419" width="2.33203125" style="1" customWidth="1"/>
    <col min="6420" max="6656" width="11.5" style="1"/>
    <col min="6657" max="6658" width="11.5" style="1" customWidth="1"/>
    <col min="6659" max="6659" width="8.5" style="1" customWidth="1"/>
    <col min="6660" max="6660" width="3.1640625" style="1" customWidth="1"/>
    <col min="6661" max="6661" width="9.1640625" style="1" customWidth="1"/>
    <col min="6662" max="6662" width="11.5" style="1" customWidth="1"/>
    <col min="6663" max="6663" width="2.33203125" style="1" customWidth="1"/>
    <col min="6664" max="6664" width="3.6640625" style="1" customWidth="1"/>
    <col min="6665" max="6666" width="11.5" style="1" customWidth="1"/>
    <col min="6667" max="6667" width="2.33203125" style="1" customWidth="1"/>
    <col min="6668" max="6668" width="3.6640625" style="1" customWidth="1"/>
    <col min="6669" max="6670" width="11.5" style="1" customWidth="1"/>
    <col min="6671" max="6671" width="2.33203125" style="1" customWidth="1"/>
    <col min="6672" max="6674" width="11.5" style="1" customWidth="1"/>
    <col min="6675" max="6675" width="2.33203125" style="1" customWidth="1"/>
    <col min="6676" max="6912" width="11.5" style="1"/>
    <col min="6913" max="6914" width="11.5" style="1" customWidth="1"/>
    <col min="6915" max="6915" width="8.5" style="1" customWidth="1"/>
    <col min="6916" max="6916" width="3.1640625" style="1" customWidth="1"/>
    <col min="6917" max="6917" width="9.1640625" style="1" customWidth="1"/>
    <col min="6918" max="6918" width="11.5" style="1" customWidth="1"/>
    <col min="6919" max="6919" width="2.33203125" style="1" customWidth="1"/>
    <col min="6920" max="6920" width="3.6640625" style="1" customWidth="1"/>
    <col min="6921" max="6922" width="11.5" style="1" customWidth="1"/>
    <col min="6923" max="6923" width="2.33203125" style="1" customWidth="1"/>
    <col min="6924" max="6924" width="3.6640625" style="1" customWidth="1"/>
    <col min="6925" max="6926" width="11.5" style="1" customWidth="1"/>
    <col min="6927" max="6927" width="2.33203125" style="1" customWidth="1"/>
    <col min="6928" max="6930" width="11.5" style="1" customWidth="1"/>
    <col min="6931" max="6931" width="2.33203125" style="1" customWidth="1"/>
    <col min="6932" max="7168" width="11.5" style="1"/>
    <col min="7169" max="7170" width="11.5" style="1" customWidth="1"/>
    <col min="7171" max="7171" width="8.5" style="1" customWidth="1"/>
    <col min="7172" max="7172" width="3.1640625" style="1" customWidth="1"/>
    <col min="7173" max="7173" width="9.1640625" style="1" customWidth="1"/>
    <col min="7174" max="7174" width="11.5" style="1" customWidth="1"/>
    <col min="7175" max="7175" width="2.33203125" style="1" customWidth="1"/>
    <col min="7176" max="7176" width="3.6640625" style="1" customWidth="1"/>
    <col min="7177" max="7178" width="11.5" style="1" customWidth="1"/>
    <col min="7179" max="7179" width="2.33203125" style="1" customWidth="1"/>
    <col min="7180" max="7180" width="3.6640625" style="1" customWidth="1"/>
    <col min="7181" max="7182" width="11.5" style="1" customWidth="1"/>
    <col min="7183" max="7183" width="2.33203125" style="1" customWidth="1"/>
    <col min="7184" max="7186" width="11.5" style="1" customWidth="1"/>
    <col min="7187" max="7187" width="2.33203125" style="1" customWidth="1"/>
    <col min="7188" max="7424" width="11.5" style="1"/>
    <col min="7425" max="7426" width="11.5" style="1" customWidth="1"/>
    <col min="7427" max="7427" width="8.5" style="1" customWidth="1"/>
    <col min="7428" max="7428" width="3.1640625" style="1" customWidth="1"/>
    <col min="7429" max="7429" width="9.1640625" style="1" customWidth="1"/>
    <col min="7430" max="7430" width="11.5" style="1" customWidth="1"/>
    <col min="7431" max="7431" width="2.33203125" style="1" customWidth="1"/>
    <col min="7432" max="7432" width="3.6640625" style="1" customWidth="1"/>
    <col min="7433" max="7434" width="11.5" style="1" customWidth="1"/>
    <col min="7435" max="7435" width="2.33203125" style="1" customWidth="1"/>
    <col min="7436" max="7436" width="3.6640625" style="1" customWidth="1"/>
    <col min="7437" max="7438" width="11.5" style="1" customWidth="1"/>
    <col min="7439" max="7439" width="2.33203125" style="1" customWidth="1"/>
    <col min="7440" max="7442" width="11.5" style="1" customWidth="1"/>
    <col min="7443" max="7443" width="2.33203125" style="1" customWidth="1"/>
    <col min="7444" max="7680" width="11.5" style="1"/>
    <col min="7681" max="7682" width="11.5" style="1" customWidth="1"/>
    <col min="7683" max="7683" width="8.5" style="1" customWidth="1"/>
    <col min="7684" max="7684" width="3.1640625" style="1" customWidth="1"/>
    <col min="7685" max="7685" width="9.1640625" style="1" customWidth="1"/>
    <col min="7686" max="7686" width="11.5" style="1" customWidth="1"/>
    <col min="7687" max="7687" width="2.33203125" style="1" customWidth="1"/>
    <col min="7688" max="7688" width="3.6640625" style="1" customWidth="1"/>
    <col min="7689" max="7690" width="11.5" style="1" customWidth="1"/>
    <col min="7691" max="7691" width="2.33203125" style="1" customWidth="1"/>
    <col min="7692" max="7692" width="3.6640625" style="1" customWidth="1"/>
    <col min="7693" max="7694" width="11.5" style="1" customWidth="1"/>
    <col min="7695" max="7695" width="2.33203125" style="1" customWidth="1"/>
    <col min="7696" max="7698" width="11.5" style="1" customWidth="1"/>
    <col min="7699" max="7699" width="2.33203125" style="1" customWidth="1"/>
    <col min="7700" max="7936" width="11.5" style="1"/>
    <col min="7937" max="7938" width="11.5" style="1" customWidth="1"/>
    <col min="7939" max="7939" width="8.5" style="1" customWidth="1"/>
    <col min="7940" max="7940" width="3.1640625" style="1" customWidth="1"/>
    <col min="7941" max="7941" width="9.1640625" style="1" customWidth="1"/>
    <col min="7942" max="7942" width="11.5" style="1" customWidth="1"/>
    <col min="7943" max="7943" width="2.33203125" style="1" customWidth="1"/>
    <col min="7944" max="7944" width="3.6640625" style="1" customWidth="1"/>
    <col min="7945" max="7946" width="11.5" style="1" customWidth="1"/>
    <col min="7947" max="7947" width="2.33203125" style="1" customWidth="1"/>
    <col min="7948" max="7948" width="3.6640625" style="1" customWidth="1"/>
    <col min="7949" max="7950" width="11.5" style="1" customWidth="1"/>
    <col min="7951" max="7951" width="2.33203125" style="1" customWidth="1"/>
    <col min="7952" max="7954" width="11.5" style="1" customWidth="1"/>
    <col min="7955" max="7955" width="2.33203125" style="1" customWidth="1"/>
    <col min="7956" max="8192" width="11.5" style="1"/>
    <col min="8193" max="8194" width="11.5" style="1" customWidth="1"/>
    <col min="8195" max="8195" width="8.5" style="1" customWidth="1"/>
    <col min="8196" max="8196" width="3.1640625" style="1" customWidth="1"/>
    <col min="8197" max="8197" width="9.1640625" style="1" customWidth="1"/>
    <col min="8198" max="8198" width="11.5" style="1" customWidth="1"/>
    <col min="8199" max="8199" width="2.33203125" style="1" customWidth="1"/>
    <col min="8200" max="8200" width="3.6640625" style="1" customWidth="1"/>
    <col min="8201" max="8202" width="11.5" style="1" customWidth="1"/>
    <col min="8203" max="8203" width="2.33203125" style="1" customWidth="1"/>
    <col min="8204" max="8204" width="3.6640625" style="1" customWidth="1"/>
    <col min="8205" max="8206" width="11.5" style="1" customWidth="1"/>
    <col min="8207" max="8207" width="2.33203125" style="1" customWidth="1"/>
    <col min="8208" max="8210" width="11.5" style="1" customWidth="1"/>
    <col min="8211" max="8211" width="2.33203125" style="1" customWidth="1"/>
    <col min="8212" max="8448" width="11.5" style="1"/>
    <col min="8449" max="8450" width="11.5" style="1" customWidth="1"/>
    <col min="8451" max="8451" width="8.5" style="1" customWidth="1"/>
    <col min="8452" max="8452" width="3.1640625" style="1" customWidth="1"/>
    <col min="8453" max="8453" width="9.1640625" style="1" customWidth="1"/>
    <col min="8454" max="8454" width="11.5" style="1" customWidth="1"/>
    <col min="8455" max="8455" width="2.33203125" style="1" customWidth="1"/>
    <col min="8456" max="8456" width="3.6640625" style="1" customWidth="1"/>
    <col min="8457" max="8458" width="11.5" style="1" customWidth="1"/>
    <col min="8459" max="8459" width="2.33203125" style="1" customWidth="1"/>
    <col min="8460" max="8460" width="3.6640625" style="1" customWidth="1"/>
    <col min="8461" max="8462" width="11.5" style="1" customWidth="1"/>
    <col min="8463" max="8463" width="2.33203125" style="1" customWidth="1"/>
    <col min="8464" max="8466" width="11.5" style="1" customWidth="1"/>
    <col min="8467" max="8467" width="2.33203125" style="1" customWidth="1"/>
    <col min="8468" max="8704" width="11.5" style="1"/>
    <col min="8705" max="8706" width="11.5" style="1" customWidth="1"/>
    <col min="8707" max="8707" width="8.5" style="1" customWidth="1"/>
    <col min="8708" max="8708" width="3.1640625" style="1" customWidth="1"/>
    <col min="8709" max="8709" width="9.1640625" style="1" customWidth="1"/>
    <col min="8710" max="8710" width="11.5" style="1" customWidth="1"/>
    <col min="8711" max="8711" width="2.33203125" style="1" customWidth="1"/>
    <col min="8712" max="8712" width="3.6640625" style="1" customWidth="1"/>
    <col min="8713" max="8714" width="11.5" style="1" customWidth="1"/>
    <col min="8715" max="8715" width="2.33203125" style="1" customWidth="1"/>
    <col min="8716" max="8716" width="3.6640625" style="1" customWidth="1"/>
    <col min="8717" max="8718" width="11.5" style="1" customWidth="1"/>
    <col min="8719" max="8719" width="2.33203125" style="1" customWidth="1"/>
    <col min="8720" max="8722" width="11.5" style="1" customWidth="1"/>
    <col min="8723" max="8723" width="2.33203125" style="1" customWidth="1"/>
    <col min="8724" max="8960" width="11.5" style="1"/>
    <col min="8961" max="8962" width="11.5" style="1" customWidth="1"/>
    <col min="8963" max="8963" width="8.5" style="1" customWidth="1"/>
    <col min="8964" max="8964" width="3.1640625" style="1" customWidth="1"/>
    <col min="8965" max="8965" width="9.1640625" style="1" customWidth="1"/>
    <col min="8966" max="8966" width="11.5" style="1" customWidth="1"/>
    <col min="8967" max="8967" width="2.33203125" style="1" customWidth="1"/>
    <col min="8968" max="8968" width="3.6640625" style="1" customWidth="1"/>
    <col min="8969" max="8970" width="11.5" style="1" customWidth="1"/>
    <col min="8971" max="8971" width="2.33203125" style="1" customWidth="1"/>
    <col min="8972" max="8972" width="3.6640625" style="1" customWidth="1"/>
    <col min="8973" max="8974" width="11.5" style="1" customWidth="1"/>
    <col min="8975" max="8975" width="2.33203125" style="1" customWidth="1"/>
    <col min="8976" max="8978" width="11.5" style="1" customWidth="1"/>
    <col min="8979" max="8979" width="2.33203125" style="1" customWidth="1"/>
    <col min="8980" max="9216" width="11.5" style="1"/>
    <col min="9217" max="9218" width="11.5" style="1" customWidth="1"/>
    <col min="9219" max="9219" width="8.5" style="1" customWidth="1"/>
    <col min="9220" max="9220" width="3.1640625" style="1" customWidth="1"/>
    <col min="9221" max="9221" width="9.1640625" style="1" customWidth="1"/>
    <col min="9222" max="9222" width="11.5" style="1" customWidth="1"/>
    <col min="9223" max="9223" width="2.33203125" style="1" customWidth="1"/>
    <col min="9224" max="9224" width="3.6640625" style="1" customWidth="1"/>
    <col min="9225" max="9226" width="11.5" style="1" customWidth="1"/>
    <col min="9227" max="9227" width="2.33203125" style="1" customWidth="1"/>
    <col min="9228" max="9228" width="3.6640625" style="1" customWidth="1"/>
    <col min="9229" max="9230" width="11.5" style="1" customWidth="1"/>
    <col min="9231" max="9231" width="2.33203125" style="1" customWidth="1"/>
    <col min="9232" max="9234" width="11.5" style="1" customWidth="1"/>
    <col min="9235" max="9235" width="2.33203125" style="1" customWidth="1"/>
    <col min="9236" max="9472" width="11.5" style="1"/>
    <col min="9473" max="9474" width="11.5" style="1" customWidth="1"/>
    <col min="9475" max="9475" width="8.5" style="1" customWidth="1"/>
    <col min="9476" max="9476" width="3.1640625" style="1" customWidth="1"/>
    <col min="9477" max="9477" width="9.1640625" style="1" customWidth="1"/>
    <col min="9478" max="9478" width="11.5" style="1" customWidth="1"/>
    <col min="9479" max="9479" width="2.33203125" style="1" customWidth="1"/>
    <col min="9480" max="9480" width="3.6640625" style="1" customWidth="1"/>
    <col min="9481" max="9482" width="11.5" style="1" customWidth="1"/>
    <col min="9483" max="9483" width="2.33203125" style="1" customWidth="1"/>
    <col min="9484" max="9484" width="3.6640625" style="1" customWidth="1"/>
    <col min="9485" max="9486" width="11.5" style="1" customWidth="1"/>
    <col min="9487" max="9487" width="2.33203125" style="1" customWidth="1"/>
    <col min="9488" max="9490" width="11.5" style="1" customWidth="1"/>
    <col min="9491" max="9491" width="2.33203125" style="1" customWidth="1"/>
    <col min="9492" max="9728" width="11.5" style="1"/>
    <col min="9729" max="9730" width="11.5" style="1" customWidth="1"/>
    <col min="9731" max="9731" width="8.5" style="1" customWidth="1"/>
    <col min="9732" max="9732" width="3.1640625" style="1" customWidth="1"/>
    <col min="9733" max="9733" width="9.1640625" style="1" customWidth="1"/>
    <col min="9734" max="9734" width="11.5" style="1" customWidth="1"/>
    <col min="9735" max="9735" width="2.33203125" style="1" customWidth="1"/>
    <col min="9736" max="9736" width="3.6640625" style="1" customWidth="1"/>
    <col min="9737" max="9738" width="11.5" style="1" customWidth="1"/>
    <col min="9739" max="9739" width="2.33203125" style="1" customWidth="1"/>
    <col min="9740" max="9740" width="3.6640625" style="1" customWidth="1"/>
    <col min="9741" max="9742" width="11.5" style="1" customWidth="1"/>
    <col min="9743" max="9743" width="2.33203125" style="1" customWidth="1"/>
    <col min="9744" max="9746" width="11.5" style="1" customWidth="1"/>
    <col min="9747" max="9747" width="2.33203125" style="1" customWidth="1"/>
    <col min="9748" max="9984" width="11.5" style="1"/>
    <col min="9985" max="9986" width="11.5" style="1" customWidth="1"/>
    <col min="9987" max="9987" width="8.5" style="1" customWidth="1"/>
    <col min="9988" max="9988" width="3.1640625" style="1" customWidth="1"/>
    <col min="9989" max="9989" width="9.1640625" style="1" customWidth="1"/>
    <col min="9990" max="9990" width="11.5" style="1" customWidth="1"/>
    <col min="9991" max="9991" width="2.33203125" style="1" customWidth="1"/>
    <col min="9992" max="9992" width="3.6640625" style="1" customWidth="1"/>
    <col min="9993" max="9994" width="11.5" style="1" customWidth="1"/>
    <col min="9995" max="9995" width="2.33203125" style="1" customWidth="1"/>
    <col min="9996" max="9996" width="3.6640625" style="1" customWidth="1"/>
    <col min="9997" max="9998" width="11.5" style="1" customWidth="1"/>
    <col min="9999" max="9999" width="2.33203125" style="1" customWidth="1"/>
    <col min="10000" max="10002" width="11.5" style="1" customWidth="1"/>
    <col min="10003" max="10003" width="2.33203125" style="1" customWidth="1"/>
    <col min="10004" max="10240" width="11.5" style="1"/>
    <col min="10241" max="10242" width="11.5" style="1" customWidth="1"/>
    <col min="10243" max="10243" width="8.5" style="1" customWidth="1"/>
    <col min="10244" max="10244" width="3.1640625" style="1" customWidth="1"/>
    <col min="10245" max="10245" width="9.1640625" style="1" customWidth="1"/>
    <col min="10246" max="10246" width="11.5" style="1" customWidth="1"/>
    <col min="10247" max="10247" width="2.33203125" style="1" customWidth="1"/>
    <col min="10248" max="10248" width="3.6640625" style="1" customWidth="1"/>
    <col min="10249" max="10250" width="11.5" style="1" customWidth="1"/>
    <col min="10251" max="10251" width="2.33203125" style="1" customWidth="1"/>
    <col min="10252" max="10252" width="3.6640625" style="1" customWidth="1"/>
    <col min="10253" max="10254" width="11.5" style="1" customWidth="1"/>
    <col min="10255" max="10255" width="2.33203125" style="1" customWidth="1"/>
    <col min="10256" max="10258" width="11.5" style="1" customWidth="1"/>
    <col min="10259" max="10259" width="2.33203125" style="1" customWidth="1"/>
    <col min="10260" max="10496" width="11.5" style="1"/>
    <col min="10497" max="10498" width="11.5" style="1" customWidth="1"/>
    <col min="10499" max="10499" width="8.5" style="1" customWidth="1"/>
    <col min="10500" max="10500" width="3.1640625" style="1" customWidth="1"/>
    <col min="10501" max="10501" width="9.1640625" style="1" customWidth="1"/>
    <col min="10502" max="10502" width="11.5" style="1" customWidth="1"/>
    <col min="10503" max="10503" width="2.33203125" style="1" customWidth="1"/>
    <col min="10504" max="10504" width="3.6640625" style="1" customWidth="1"/>
    <col min="10505" max="10506" width="11.5" style="1" customWidth="1"/>
    <col min="10507" max="10507" width="2.33203125" style="1" customWidth="1"/>
    <col min="10508" max="10508" width="3.6640625" style="1" customWidth="1"/>
    <col min="10509" max="10510" width="11.5" style="1" customWidth="1"/>
    <col min="10511" max="10511" width="2.33203125" style="1" customWidth="1"/>
    <col min="10512" max="10514" width="11.5" style="1" customWidth="1"/>
    <col min="10515" max="10515" width="2.33203125" style="1" customWidth="1"/>
    <col min="10516" max="10752" width="11.5" style="1"/>
    <col min="10753" max="10754" width="11.5" style="1" customWidth="1"/>
    <col min="10755" max="10755" width="8.5" style="1" customWidth="1"/>
    <col min="10756" max="10756" width="3.1640625" style="1" customWidth="1"/>
    <col min="10757" max="10757" width="9.1640625" style="1" customWidth="1"/>
    <col min="10758" max="10758" width="11.5" style="1" customWidth="1"/>
    <col min="10759" max="10759" width="2.33203125" style="1" customWidth="1"/>
    <col min="10760" max="10760" width="3.6640625" style="1" customWidth="1"/>
    <col min="10761" max="10762" width="11.5" style="1" customWidth="1"/>
    <col min="10763" max="10763" width="2.33203125" style="1" customWidth="1"/>
    <col min="10764" max="10764" width="3.6640625" style="1" customWidth="1"/>
    <col min="10765" max="10766" width="11.5" style="1" customWidth="1"/>
    <col min="10767" max="10767" width="2.33203125" style="1" customWidth="1"/>
    <col min="10768" max="10770" width="11.5" style="1" customWidth="1"/>
    <col min="10771" max="10771" width="2.33203125" style="1" customWidth="1"/>
    <col min="10772" max="11008" width="11.5" style="1"/>
    <col min="11009" max="11010" width="11.5" style="1" customWidth="1"/>
    <col min="11011" max="11011" width="8.5" style="1" customWidth="1"/>
    <col min="11012" max="11012" width="3.1640625" style="1" customWidth="1"/>
    <col min="11013" max="11013" width="9.1640625" style="1" customWidth="1"/>
    <col min="11014" max="11014" width="11.5" style="1" customWidth="1"/>
    <col min="11015" max="11015" width="2.33203125" style="1" customWidth="1"/>
    <col min="11016" max="11016" width="3.6640625" style="1" customWidth="1"/>
    <col min="11017" max="11018" width="11.5" style="1" customWidth="1"/>
    <col min="11019" max="11019" width="2.33203125" style="1" customWidth="1"/>
    <col min="11020" max="11020" width="3.6640625" style="1" customWidth="1"/>
    <col min="11021" max="11022" width="11.5" style="1" customWidth="1"/>
    <col min="11023" max="11023" width="2.33203125" style="1" customWidth="1"/>
    <col min="11024" max="11026" width="11.5" style="1" customWidth="1"/>
    <col min="11027" max="11027" width="2.33203125" style="1" customWidth="1"/>
    <col min="11028" max="11264" width="11.5" style="1"/>
    <col min="11265" max="11266" width="11.5" style="1" customWidth="1"/>
    <col min="11267" max="11267" width="8.5" style="1" customWidth="1"/>
    <col min="11268" max="11268" width="3.1640625" style="1" customWidth="1"/>
    <col min="11269" max="11269" width="9.1640625" style="1" customWidth="1"/>
    <col min="11270" max="11270" width="11.5" style="1" customWidth="1"/>
    <col min="11271" max="11271" width="2.33203125" style="1" customWidth="1"/>
    <col min="11272" max="11272" width="3.6640625" style="1" customWidth="1"/>
    <col min="11273" max="11274" width="11.5" style="1" customWidth="1"/>
    <col min="11275" max="11275" width="2.33203125" style="1" customWidth="1"/>
    <col min="11276" max="11276" width="3.6640625" style="1" customWidth="1"/>
    <col min="11277" max="11278" width="11.5" style="1" customWidth="1"/>
    <col min="11279" max="11279" width="2.33203125" style="1" customWidth="1"/>
    <col min="11280" max="11282" width="11.5" style="1" customWidth="1"/>
    <col min="11283" max="11283" width="2.33203125" style="1" customWidth="1"/>
    <col min="11284" max="11520" width="11.5" style="1"/>
    <col min="11521" max="11522" width="11.5" style="1" customWidth="1"/>
    <col min="11523" max="11523" width="8.5" style="1" customWidth="1"/>
    <col min="11524" max="11524" width="3.1640625" style="1" customWidth="1"/>
    <col min="11525" max="11525" width="9.1640625" style="1" customWidth="1"/>
    <col min="11526" max="11526" width="11.5" style="1" customWidth="1"/>
    <col min="11527" max="11527" width="2.33203125" style="1" customWidth="1"/>
    <col min="11528" max="11528" width="3.6640625" style="1" customWidth="1"/>
    <col min="11529" max="11530" width="11.5" style="1" customWidth="1"/>
    <col min="11531" max="11531" width="2.33203125" style="1" customWidth="1"/>
    <col min="11532" max="11532" width="3.6640625" style="1" customWidth="1"/>
    <col min="11533" max="11534" width="11.5" style="1" customWidth="1"/>
    <col min="11535" max="11535" width="2.33203125" style="1" customWidth="1"/>
    <col min="11536" max="11538" width="11.5" style="1" customWidth="1"/>
    <col min="11539" max="11539" width="2.33203125" style="1" customWidth="1"/>
    <col min="11540" max="11776" width="11.5" style="1"/>
    <col min="11777" max="11778" width="11.5" style="1" customWidth="1"/>
    <col min="11779" max="11779" width="8.5" style="1" customWidth="1"/>
    <col min="11780" max="11780" width="3.1640625" style="1" customWidth="1"/>
    <col min="11781" max="11781" width="9.1640625" style="1" customWidth="1"/>
    <col min="11782" max="11782" width="11.5" style="1" customWidth="1"/>
    <col min="11783" max="11783" width="2.33203125" style="1" customWidth="1"/>
    <col min="11784" max="11784" width="3.6640625" style="1" customWidth="1"/>
    <col min="11785" max="11786" width="11.5" style="1" customWidth="1"/>
    <col min="11787" max="11787" width="2.33203125" style="1" customWidth="1"/>
    <col min="11788" max="11788" width="3.6640625" style="1" customWidth="1"/>
    <col min="11789" max="11790" width="11.5" style="1" customWidth="1"/>
    <col min="11791" max="11791" width="2.33203125" style="1" customWidth="1"/>
    <col min="11792" max="11794" width="11.5" style="1" customWidth="1"/>
    <col min="11795" max="11795" width="2.33203125" style="1" customWidth="1"/>
    <col min="11796" max="12032" width="11.5" style="1"/>
    <col min="12033" max="12034" width="11.5" style="1" customWidth="1"/>
    <col min="12035" max="12035" width="8.5" style="1" customWidth="1"/>
    <col min="12036" max="12036" width="3.1640625" style="1" customWidth="1"/>
    <col min="12037" max="12037" width="9.1640625" style="1" customWidth="1"/>
    <col min="12038" max="12038" width="11.5" style="1" customWidth="1"/>
    <col min="12039" max="12039" width="2.33203125" style="1" customWidth="1"/>
    <col min="12040" max="12040" width="3.6640625" style="1" customWidth="1"/>
    <col min="12041" max="12042" width="11.5" style="1" customWidth="1"/>
    <col min="12043" max="12043" width="2.33203125" style="1" customWidth="1"/>
    <col min="12044" max="12044" width="3.6640625" style="1" customWidth="1"/>
    <col min="12045" max="12046" width="11.5" style="1" customWidth="1"/>
    <col min="12047" max="12047" width="2.33203125" style="1" customWidth="1"/>
    <col min="12048" max="12050" width="11.5" style="1" customWidth="1"/>
    <col min="12051" max="12051" width="2.33203125" style="1" customWidth="1"/>
    <col min="12052" max="12288" width="11.5" style="1"/>
    <col min="12289" max="12290" width="11.5" style="1" customWidth="1"/>
    <col min="12291" max="12291" width="8.5" style="1" customWidth="1"/>
    <col min="12292" max="12292" width="3.1640625" style="1" customWidth="1"/>
    <col min="12293" max="12293" width="9.1640625" style="1" customWidth="1"/>
    <col min="12294" max="12294" width="11.5" style="1" customWidth="1"/>
    <col min="12295" max="12295" width="2.33203125" style="1" customWidth="1"/>
    <col min="12296" max="12296" width="3.6640625" style="1" customWidth="1"/>
    <col min="12297" max="12298" width="11.5" style="1" customWidth="1"/>
    <col min="12299" max="12299" width="2.33203125" style="1" customWidth="1"/>
    <col min="12300" max="12300" width="3.6640625" style="1" customWidth="1"/>
    <col min="12301" max="12302" width="11.5" style="1" customWidth="1"/>
    <col min="12303" max="12303" width="2.33203125" style="1" customWidth="1"/>
    <col min="12304" max="12306" width="11.5" style="1" customWidth="1"/>
    <col min="12307" max="12307" width="2.33203125" style="1" customWidth="1"/>
    <col min="12308" max="12544" width="11.5" style="1"/>
    <col min="12545" max="12546" width="11.5" style="1" customWidth="1"/>
    <col min="12547" max="12547" width="8.5" style="1" customWidth="1"/>
    <col min="12548" max="12548" width="3.1640625" style="1" customWidth="1"/>
    <col min="12549" max="12549" width="9.1640625" style="1" customWidth="1"/>
    <col min="12550" max="12550" width="11.5" style="1" customWidth="1"/>
    <col min="12551" max="12551" width="2.33203125" style="1" customWidth="1"/>
    <col min="12552" max="12552" width="3.6640625" style="1" customWidth="1"/>
    <col min="12553" max="12554" width="11.5" style="1" customWidth="1"/>
    <col min="12555" max="12555" width="2.33203125" style="1" customWidth="1"/>
    <col min="12556" max="12556" width="3.6640625" style="1" customWidth="1"/>
    <col min="12557" max="12558" width="11.5" style="1" customWidth="1"/>
    <col min="12559" max="12559" width="2.33203125" style="1" customWidth="1"/>
    <col min="12560" max="12562" width="11.5" style="1" customWidth="1"/>
    <col min="12563" max="12563" width="2.33203125" style="1" customWidth="1"/>
    <col min="12564" max="12800" width="11.5" style="1"/>
    <col min="12801" max="12802" width="11.5" style="1" customWidth="1"/>
    <col min="12803" max="12803" width="8.5" style="1" customWidth="1"/>
    <col min="12804" max="12804" width="3.1640625" style="1" customWidth="1"/>
    <col min="12805" max="12805" width="9.1640625" style="1" customWidth="1"/>
    <col min="12806" max="12806" width="11.5" style="1" customWidth="1"/>
    <col min="12807" max="12807" width="2.33203125" style="1" customWidth="1"/>
    <col min="12808" max="12808" width="3.6640625" style="1" customWidth="1"/>
    <col min="12809" max="12810" width="11.5" style="1" customWidth="1"/>
    <col min="12811" max="12811" width="2.33203125" style="1" customWidth="1"/>
    <col min="12812" max="12812" width="3.6640625" style="1" customWidth="1"/>
    <col min="12813" max="12814" width="11.5" style="1" customWidth="1"/>
    <col min="12815" max="12815" width="2.33203125" style="1" customWidth="1"/>
    <col min="12816" max="12818" width="11.5" style="1" customWidth="1"/>
    <col min="12819" max="12819" width="2.33203125" style="1" customWidth="1"/>
    <col min="12820" max="13056" width="11.5" style="1"/>
    <col min="13057" max="13058" width="11.5" style="1" customWidth="1"/>
    <col min="13059" max="13059" width="8.5" style="1" customWidth="1"/>
    <col min="13060" max="13060" width="3.1640625" style="1" customWidth="1"/>
    <col min="13061" max="13061" width="9.1640625" style="1" customWidth="1"/>
    <col min="13062" max="13062" width="11.5" style="1" customWidth="1"/>
    <col min="13063" max="13063" width="2.33203125" style="1" customWidth="1"/>
    <col min="13064" max="13064" width="3.6640625" style="1" customWidth="1"/>
    <col min="13065" max="13066" width="11.5" style="1" customWidth="1"/>
    <col min="13067" max="13067" width="2.33203125" style="1" customWidth="1"/>
    <col min="13068" max="13068" width="3.6640625" style="1" customWidth="1"/>
    <col min="13069" max="13070" width="11.5" style="1" customWidth="1"/>
    <col min="13071" max="13071" width="2.33203125" style="1" customWidth="1"/>
    <col min="13072" max="13074" width="11.5" style="1" customWidth="1"/>
    <col min="13075" max="13075" width="2.33203125" style="1" customWidth="1"/>
    <col min="13076" max="13312" width="11.5" style="1"/>
    <col min="13313" max="13314" width="11.5" style="1" customWidth="1"/>
    <col min="13315" max="13315" width="8.5" style="1" customWidth="1"/>
    <col min="13316" max="13316" width="3.1640625" style="1" customWidth="1"/>
    <col min="13317" max="13317" width="9.1640625" style="1" customWidth="1"/>
    <col min="13318" max="13318" width="11.5" style="1" customWidth="1"/>
    <col min="13319" max="13319" width="2.33203125" style="1" customWidth="1"/>
    <col min="13320" max="13320" width="3.6640625" style="1" customWidth="1"/>
    <col min="13321" max="13322" width="11.5" style="1" customWidth="1"/>
    <col min="13323" max="13323" width="2.33203125" style="1" customWidth="1"/>
    <col min="13324" max="13324" width="3.6640625" style="1" customWidth="1"/>
    <col min="13325" max="13326" width="11.5" style="1" customWidth="1"/>
    <col min="13327" max="13327" width="2.33203125" style="1" customWidth="1"/>
    <col min="13328" max="13330" width="11.5" style="1" customWidth="1"/>
    <col min="13331" max="13331" width="2.33203125" style="1" customWidth="1"/>
    <col min="13332" max="13568" width="11.5" style="1"/>
    <col min="13569" max="13570" width="11.5" style="1" customWidth="1"/>
    <col min="13571" max="13571" width="8.5" style="1" customWidth="1"/>
    <col min="13572" max="13572" width="3.1640625" style="1" customWidth="1"/>
    <col min="13573" max="13573" width="9.1640625" style="1" customWidth="1"/>
    <col min="13574" max="13574" width="11.5" style="1" customWidth="1"/>
    <col min="13575" max="13575" width="2.33203125" style="1" customWidth="1"/>
    <col min="13576" max="13576" width="3.6640625" style="1" customWidth="1"/>
    <col min="13577" max="13578" width="11.5" style="1" customWidth="1"/>
    <col min="13579" max="13579" width="2.33203125" style="1" customWidth="1"/>
    <col min="13580" max="13580" width="3.6640625" style="1" customWidth="1"/>
    <col min="13581" max="13582" width="11.5" style="1" customWidth="1"/>
    <col min="13583" max="13583" width="2.33203125" style="1" customWidth="1"/>
    <col min="13584" max="13586" width="11.5" style="1" customWidth="1"/>
    <col min="13587" max="13587" width="2.33203125" style="1" customWidth="1"/>
    <col min="13588" max="13824" width="11.5" style="1"/>
    <col min="13825" max="13826" width="11.5" style="1" customWidth="1"/>
    <col min="13827" max="13827" width="8.5" style="1" customWidth="1"/>
    <col min="13828" max="13828" width="3.1640625" style="1" customWidth="1"/>
    <col min="13829" max="13829" width="9.1640625" style="1" customWidth="1"/>
    <col min="13830" max="13830" width="11.5" style="1" customWidth="1"/>
    <col min="13831" max="13831" width="2.33203125" style="1" customWidth="1"/>
    <col min="13832" max="13832" width="3.6640625" style="1" customWidth="1"/>
    <col min="13833" max="13834" width="11.5" style="1" customWidth="1"/>
    <col min="13835" max="13835" width="2.33203125" style="1" customWidth="1"/>
    <col min="13836" max="13836" width="3.6640625" style="1" customWidth="1"/>
    <col min="13837" max="13838" width="11.5" style="1" customWidth="1"/>
    <col min="13839" max="13839" width="2.33203125" style="1" customWidth="1"/>
    <col min="13840" max="13842" width="11.5" style="1" customWidth="1"/>
    <col min="13843" max="13843" width="2.33203125" style="1" customWidth="1"/>
    <col min="13844" max="14080" width="11.5" style="1"/>
    <col min="14081" max="14082" width="11.5" style="1" customWidth="1"/>
    <col min="14083" max="14083" width="8.5" style="1" customWidth="1"/>
    <col min="14084" max="14084" width="3.1640625" style="1" customWidth="1"/>
    <col min="14085" max="14085" width="9.1640625" style="1" customWidth="1"/>
    <col min="14086" max="14086" width="11.5" style="1" customWidth="1"/>
    <col min="14087" max="14087" width="2.33203125" style="1" customWidth="1"/>
    <col min="14088" max="14088" width="3.6640625" style="1" customWidth="1"/>
    <col min="14089" max="14090" width="11.5" style="1" customWidth="1"/>
    <col min="14091" max="14091" width="2.33203125" style="1" customWidth="1"/>
    <col min="14092" max="14092" width="3.6640625" style="1" customWidth="1"/>
    <col min="14093" max="14094" width="11.5" style="1" customWidth="1"/>
    <col min="14095" max="14095" width="2.33203125" style="1" customWidth="1"/>
    <col min="14096" max="14098" width="11.5" style="1" customWidth="1"/>
    <col min="14099" max="14099" width="2.33203125" style="1" customWidth="1"/>
    <col min="14100" max="14336" width="11.5" style="1"/>
    <col min="14337" max="14338" width="11.5" style="1" customWidth="1"/>
    <col min="14339" max="14339" width="8.5" style="1" customWidth="1"/>
    <col min="14340" max="14340" width="3.1640625" style="1" customWidth="1"/>
    <col min="14341" max="14341" width="9.1640625" style="1" customWidth="1"/>
    <col min="14342" max="14342" width="11.5" style="1" customWidth="1"/>
    <col min="14343" max="14343" width="2.33203125" style="1" customWidth="1"/>
    <col min="14344" max="14344" width="3.6640625" style="1" customWidth="1"/>
    <col min="14345" max="14346" width="11.5" style="1" customWidth="1"/>
    <col min="14347" max="14347" width="2.33203125" style="1" customWidth="1"/>
    <col min="14348" max="14348" width="3.6640625" style="1" customWidth="1"/>
    <col min="14349" max="14350" width="11.5" style="1" customWidth="1"/>
    <col min="14351" max="14351" width="2.33203125" style="1" customWidth="1"/>
    <col min="14352" max="14354" width="11.5" style="1" customWidth="1"/>
    <col min="14355" max="14355" width="2.33203125" style="1" customWidth="1"/>
    <col min="14356" max="14592" width="11.5" style="1"/>
    <col min="14593" max="14594" width="11.5" style="1" customWidth="1"/>
    <col min="14595" max="14595" width="8.5" style="1" customWidth="1"/>
    <col min="14596" max="14596" width="3.1640625" style="1" customWidth="1"/>
    <col min="14597" max="14597" width="9.1640625" style="1" customWidth="1"/>
    <col min="14598" max="14598" width="11.5" style="1" customWidth="1"/>
    <col min="14599" max="14599" width="2.33203125" style="1" customWidth="1"/>
    <col min="14600" max="14600" width="3.6640625" style="1" customWidth="1"/>
    <col min="14601" max="14602" width="11.5" style="1" customWidth="1"/>
    <col min="14603" max="14603" width="2.33203125" style="1" customWidth="1"/>
    <col min="14604" max="14604" width="3.6640625" style="1" customWidth="1"/>
    <col min="14605" max="14606" width="11.5" style="1" customWidth="1"/>
    <col min="14607" max="14607" width="2.33203125" style="1" customWidth="1"/>
    <col min="14608" max="14610" width="11.5" style="1" customWidth="1"/>
    <col min="14611" max="14611" width="2.33203125" style="1" customWidth="1"/>
    <col min="14612" max="14848" width="11.5" style="1"/>
    <col min="14849" max="14850" width="11.5" style="1" customWidth="1"/>
    <col min="14851" max="14851" width="8.5" style="1" customWidth="1"/>
    <col min="14852" max="14852" width="3.1640625" style="1" customWidth="1"/>
    <col min="14853" max="14853" width="9.1640625" style="1" customWidth="1"/>
    <col min="14854" max="14854" width="11.5" style="1" customWidth="1"/>
    <col min="14855" max="14855" width="2.33203125" style="1" customWidth="1"/>
    <col min="14856" max="14856" width="3.6640625" style="1" customWidth="1"/>
    <col min="14857" max="14858" width="11.5" style="1" customWidth="1"/>
    <col min="14859" max="14859" width="2.33203125" style="1" customWidth="1"/>
    <col min="14860" max="14860" width="3.6640625" style="1" customWidth="1"/>
    <col min="14861" max="14862" width="11.5" style="1" customWidth="1"/>
    <col min="14863" max="14863" width="2.33203125" style="1" customWidth="1"/>
    <col min="14864" max="14866" width="11.5" style="1" customWidth="1"/>
    <col min="14867" max="14867" width="2.33203125" style="1" customWidth="1"/>
    <col min="14868" max="15104" width="11.5" style="1"/>
    <col min="15105" max="15106" width="11.5" style="1" customWidth="1"/>
    <col min="15107" max="15107" width="8.5" style="1" customWidth="1"/>
    <col min="15108" max="15108" width="3.1640625" style="1" customWidth="1"/>
    <col min="15109" max="15109" width="9.1640625" style="1" customWidth="1"/>
    <col min="15110" max="15110" width="11.5" style="1" customWidth="1"/>
    <col min="15111" max="15111" width="2.33203125" style="1" customWidth="1"/>
    <col min="15112" max="15112" width="3.6640625" style="1" customWidth="1"/>
    <col min="15113" max="15114" width="11.5" style="1" customWidth="1"/>
    <col min="15115" max="15115" width="2.33203125" style="1" customWidth="1"/>
    <col min="15116" max="15116" width="3.6640625" style="1" customWidth="1"/>
    <col min="15117" max="15118" width="11.5" style="1" customWidth="1"/>
    <col min="15119" max="15119" width="2.33203125" style="1" customWidth="1"/>
    <col min="15120" max="15122" width="11.5" style="1" customWidth="1"/>
    <col min="15123" max="15123" width="2.33203125" style="1" customWidth="1"/>
    <col min="15124" max="15360" width="11.5" style="1"/>
    <col min="15361" max="15362" width="11.5" style="1" customWidth="1"/>
    <col min="15363" max="15363" width="8.5" style="1" customWidth="1"/>
    <col min="15364" max="15364" width="3.1640625" style="1" customWidth="1"/>
    <col min="15365" max="15365" width="9.1640625" style="1" customWidth="1"/>
    <col min="15366" max="15366" width="11.5" style="1" customWidth="1"/>
    <col min="15367" max="15367" width="2.33203125" style="1" customWidth="1"/>
    <col min="15368" max="15368" width="3.6640625" style="1" customWidth="1"/>
    <col min="15369" max="15370" width="11.5" style="1" customWidth="1"/>
    <col min="15371" max="15371" width="2.33203125" style="1" customWidth="1"/>
    <col min="15372" max="15372" width="3.6640625" style="1" customWidth="1"/>
    <col min="15373" max="15374" width="11.5" style="1" customWidth="1"/>
    <col min="15375" max="15375" width="2.33203125" style="1" customWidth="1"/>
    <col min="15376" max="15378" width="11.5" style="1" customWidth="1"/>
    <col min="15379" max="15379" width="2.33203125" style="1" customWidth="1"/>
    <col min="15380" max="15616" width="11.5" style="1"/>
    <col min="15617" max="15618" width="11.5" style="1" customWidth="1"/>
    <col min="15619" max="15619" width="8.5" style="1" customWidth="1"/>
    <col min="15620" max="15620" width="3.1640625" style="1" customWidth="1"/>
    <col min="15621" max="15621" width="9.1640625" style="1" customWidth="1"/>
    <col min="15622" max="15622" width="11.5" style="1" customWidth="1"/>
    <col min="15623" max="15623" width="2.33203125" style="1" customWidth="1"/>
    <col min="15624" max="15624" width="3.6640625" style="1" customWidth="1"/>
    <col min="15625" max="15626" width="11.5" style="1" customWidth="1"/>
    <col min="15627" max="15627" width="2.33203125" style="1" customWidth="1"/>
    <col min="15628" max="15628" width="3.6640625" style="1" customWidth="1"/>
    <col min="15629" max="15630" width="11.5" style="1" customWidth="1"/>
    <col min="15631" max="15631" width="2.33203125" style="1" customWidth="1"/>
    <col min="15632" max="15634" width="11.5" style="1" customWidth="1"/>
    <col min="15635" max="15635" width="2.33203125" style="1" customWidth="1"/>
    <col min="15636" max="15872" width="11.5" style="1"/>
    <col min="15873" max="15874" width="11.5" style="1" customWidth="1"/>
    <col min="15875" max="15875" width="8.5" style="1" customWidth="1"/>
    <col min="15876" max="15876" width="3.1640625" style="1" customWidth="1"/>
    <col min="15877" max="15877" width="9.1640625" style="1" customWidth="1"/>
    <col min="15878" max="15878" width="11.5" style="1" customWidth="1"/>
    <col min="15879" max="15879" width="2.33203125" style="1" customWidth="1"/>
    <col min="15880" max="15880" width="3.6640625" style="1" customWidth="1"/>
    <col min="15881" max="15882" width="11.5" style="1" customWidth="1"/>
    <col min="15883" max="15883" width="2.33203125" style="1" customWidth="1"/>
    <col min="15884" max="15884" width="3.6640625" style="1" customWidth="1"/>
    <col min="15885" max="15886" width="11.5" style="1" customWidth="1"/>
    <col min="15887" max="15887" width="2.33203125" style="1" customWidth="1"/>
    <col min="15888" max="15890" width="11.5" style="1" customWidth="1"/>
    <col min="15891" max="15891" width="2.33203125" style="1" customWidth="1"/>
    <col min="15892" max="16128" width="11.5" style="1"/>
    <col min="16129" max="16130" width="11.5" style="1" customWidth="1"/>
    <col min="16131" max="16131" width="8.5" style="1" customWidth="1"/>
    <col min="16132" max="16132" width="3.1640625" style="1" customWidth="1"/>
    <col min="16133" max="16133" width="9.1640625" style="1" customWidth="1"/>
    <col min="16134" max="16134" width="11.5" style="1" customWidth="1"/>
    <col min="16135" max="16135" width="2.33203125" style="1" customWidth="1"/>
    <col min="16136" max="16136" width="3.6640625" style="1" customWidth="1"/>
    <col min="16137" max="16138" width="11.5" style="1" customWidth="1"/>
    <col min="16139" max="16139" width="2.33203125" style="1" customWidth="1"/>
    <col min="16140" max="16140" width="3.6640625" style="1" customWidth="1"/>
    <col min="16141" max="16142" width="11.5" style="1" customWidth="1"/>
    <col min="16143" max="16143" width="2.33203125" style="1" customWidth="1"/>
    <col min="16144" max="16146" width="11.5" style="1" customWidth="1"/>
    <col min="16147" max="16147" width="2.33203125" style="1" customWidth="1"/>
    <col min="16148" max="16384" width="11.5" style="1"/>
  </cols>
  <sheetData>
    <row r="1" spans="1:17" x14ac:dyDescent="0.15">
      <c r="A1" s="1" t="s">
        <v>1</v>
      </c>
      <c r="B1" s="6">
        <v>0</v>
      </c>
    </row>
    <row r="2" spans="1:17" x14ac:dyDescent="0.15">
      <c r="A2" s="1" t="s">
        <v>2</v>
      </c>
      <c r="B2" s="7">
        <v>1000000</v>
      </c>
    </row>
    <row r="3" spans="1:17" x14ac:dyDescent="0.15">
      <c r="A3" s="1" t="s">
        <v>31</v>
      </c>
      <c r="B3" s="1">
        <f>(B2-A4)/20</f>
        <v>50000</v>
      </c>
      <c r="D3" s="1" t="s">
        <v>3</v>
      </c>
      <c r="E3" s="19">
        <f>B*EXP(-A4/RT)</f>
        <v>1.8000000000000003</v>
      </c>
    </row>
    <row r="4" spans="1:17" x14ac:dyDescent="0.15">
      <c r="A4" s="1">
        <f>B1</f>
        <v>0</v>
      </c>
      <c r="B4" s="1">
        <f t="shared" ref="B4:B24" si="0">$E$3-$E$4*EXP(-A4/$E$5)</f>
        <v>0</v>
      </c>
      <c r="D4" s="1" t="s">
        <v>4</v>
      </c>
      <c r="E4" s="1">
        <f>1/(EXP(-A4/RT)-EXP(-A24/RT))</f>
        <v>1.8000000000000003</v>
      </c>
    </row>
    <row r="5" spans="1:17" x14ac:dyDescent="0.15">
      <c r="A5" s="1">
        <f t="shared" ref="A5:A24" si="1">A4+$B$3</f>
        <v>50000</v>
      </c>
      <c r="B5" s="1">
        <f t="shared" si="0"/>
        <v>7.1523898574007649E-2</v>
      </c>
      <c r="D5" s="1" t="s">
        <v>5</v>
      </c>
      <c r="E5" s="9">
        <f>ABS(I30)/LN(M17/M22)</f>
        <v>1233151.7311882162</v>
      </c>
    </row>
    <row r="6" spans="1:17" x14ac:dyDescent="0.15">
      <c r="A6" s="1">
        <f t="shared" si="1"/>
        <v>100000</v>
      </c>
      <c r="B6" s="1">
        <f t="shared" si="0"/>
        <v>0.14020575933289003</v>
      </c>
    </row>
    <row r="7" spans="1:17" x14ac:dyDescent="0.15">
      <c r="A7" s="1">
        <f t="shared" si="1"/>
        <v>150000</v>
      </c>
      <c r="B7" s="1">
        <f t="shared" si="0"/>
        <v>0.20615851206799896</v>
      </c>
    </row>
    <row r="8" spans="1:17" x14ac:dyDescent="0.15">
      <c r="A8" s="1">
        <f t="shared" si="1"/>
        <v>200000</v>
      </c>
      <c r="B8" s="1">
        <f t="shared" si="0"/>
        <v>0.26949059924905083</v>
      </c>
    </row>
    <row r="9" spans="1:17" x14ac:dyDescent="0.15">
      <c r="A9" s="1">
        <f t="shared" si="1"/>
        <v>250000</v>
      </c>
      <c r="B9" s="1">
        <f>$E$3-$E$4*EXP(-A9/$E$5)</f>
        <v>0.33030615433009314</v>
      </c>
    </row>
    <row r="10" spans="1:17" x14ac:dyDescent="0.15">
      <c r="A10" s="1">
        <f t="shared" si="1"/>
        <v>300000</v>
      </c>
      <c r="B10" s="1">
        <f t="shared" si="0"/>
        <v>0.38870517297039164</v>
      </c>
    </row>
    <row r="11" spans="1:17" x14ac:dyDescent="0.15">
      <c r="A11" s="1">
        <f t="shared" si="1"/>
        <v>350000</v>
      </c>
      <c r="B11" s="1">
        <f t="shared" si="0"/>
        <v>0.44478367745177327</v>
      </c>
    </row>
    <row r="12" spans="1:17" x14ac:dyDescent="0.15">
      <c r="A12" s="1">
        <f t="shared" si="1"/>
        <v>400000</v>
      </c>
      <c r="B12" s="1">
        <f t="shared" si="0"/>
        <v>0.49863387456276165</v>
      </c>
    </row>
    <row r="13" spans="1:17" x14ac:dyDescent="0.15">
      <c r="A13" s="1">
        <f t="shared" si="1"/>
        <v>450000</v>
      </c>
      <c r="B13" s="1">
        <f t="shared" si="0"/>
        <v>0.55034430720910721</v>
      </c>
      <c r="Q13" s="10"/>
    </row>
    <row r="14" spans="1:17" x14ac:dyDescent="0.15">
      <c r="A14" s="1">
        <f t="shared" si="1"/>
        <v>500000</v>
      </c>
      <c r="B14" s="1">
        <f t="shared" si="0"/>
        <v>0.59999999999999987</v>
      </c>
      <c r="Q14" s="11"/>
    </row>
    <row r="15" spans="1:17" x14ac:dyDescent="0.15">
      <c r="A15" s="1">
        <f t="shared" si="1"/>
        <v>550000</v>
      </c>
      <c r="B15" s="1">
        <f t="shared" si="0"/>
        <v>0.64768259904933823</v>
      </c>
    </row>
    <row r="16" spans="1:17" x14ac:dyDescent="0.15">
      <c r="A16" s="1">
        <f t="shared" si="1"/>
        <v>600000</v>
      </c>
      <c r="B16" s="1">
        <f t="shared" si="0"/>
        <v>0.69347050622192663</v>
      </c>
    </row>
    <row r="17" spans="1:18" x14ac:dyDescent="0.15">
      <c r="A17" s="1">
        <f t="shared" si="1"/>
        <v>650000</v>
      </c>
      <c r="B17" s="1">
        <f t="shared" si="0"/>
        <v>0.73743900804533258</v>
      </c>
      <c r="M17" s="8">
        <v>0.6</v>
      </c>
      <c r="R17" s="1" t="s">
        <v>24</v>
      </c>
    </row>
    <row r="18" spans="1:18" x14ac:dyDescent="0.15">
      <c r="A18" s="1">
        <f t="shared" si="1"/>
        <v>700000</v>
      </c>
      <c r="B18" s="1">
        <f t="shared" si="0"/>
        <v>0.77966039949936738</v>
      </c>
      <c r="M18" s="1" t="s">
        <v>32</v>
      </c>
      <c r="R18" s="17" t="str">
        <f>Decision!C45</f>
        <v>Ouvrir la valise</v>
      </c>
    </row>
    <row r="19" spans="1:18" ht="15" x14ac:dyDescent="0.2">
      <c r="A19" s="1">
        <f t="shared" si="1"/>
        <v>750000</v>
      </c>
      <c r="B19" s="1">
        <f t="shared" si="0"/>
        <v>0.82020410288672863</v>
      </c>
      <c r="P19" s="2">
        <f>SUM(M20,I22)</f>
        <v>1000000</v>
      </c>
    </row>
    <row r="20" spans="1:18" ht="15" x14ac:dyDescent="0.2">
      <c r="A20" s="1">
        <f t="shared" si="1"/>
        <v>800000</v>
      </c>
      <c r="B20" s="1">
        <f t="shared" si="0"/>
        <v>0.859136781980261</v>
      </c>
      <c r="I20" s="1" t="s">
        <v>34</v>
      </c>
      <c r="M20" s="2">
        <f>B2</f>
        <v>1000000</v>
      </c>
      <c r="N20" s="1">
        <f>P19</f>
        <v>1000000</v>
      </c>
    </row>
    <row r="21" spans="1:18" x14ac:dyDescent="0.15">
      <c r="A21" s="1">
        <f t="shared" si="1"/>
        <v>850000</v>
      </c>
      <c r="B21" s="1">
        <f t="shared" si="0"/>
        <v>0.89652245163451549</v>
      </c>
      <c r="N21" s="1">
        <f>A-B*EXP(-N20/RT)</f>
        <v>1</v>
      </c>
    </row>
    <row r="22" spans="1:18" ht="15" x14ac:dyDescent="0.2">
      <c r="A22" s="1">
        <f t="shared" si="1"/>
        <v>900000</v>
      </c>
      <c r="B22" s="1">
        <f t="shared" si="0"/>
        <v>0.932422583041841</v>
      </c>
      <c r="I22" s="1">
        <v>0</v>
      </c>
      <c r="J22" s="1">
        <f>-LN((A-J23)/B)*RT</f>
        <v>500000.00000000023</v>
      </c>
      <c r="M22" s="3">
        <f>1-M17</f>
        <v>0.4</v>
      </c>
    </row>
    <row r="23" spans="1:18" x14ac:dyDescent="0.15">
      <c r="A23" s="1">
        <f t="shared" si="1"/>
        <v>950000</v>
      </c>
      <c r="B23" s="1">
        <f t="shared" si="0"/>
        <v>0.96689620480607141</v>
      </c>
      <c r="J23" s="1">
        <f>IF(ABS(1-SUM(M17,M22))&lt;=0.00001,SUM(M17*N21,M22*N26),NA())</f>
        <v>0.6</v>
      </c>
      <c r="M23" s="1" t="s">
        <v>33</v>
      </c>
    </row>
    <row r="24" spans="1:18" ht="15" x14ac:dyDescent="0.2">
      <c r="A24" s="1">
        <f t="shared" si="1"/>
        <v>1000000</v>
      </c>
      <c r="B24" s="1">
        <f t="shared" si="0"/>
        <v>1</v>
      </c>
      <c r="P24" s="2">
        <f>SUM(M25,I22)</f>
        <v>0</v>
      </c>
    </row>
    <row r="25" spans="1:18" ht="15" x14ac:dyDescent="0.2">
      <c r="G25" s="1">
        <f>IF(F26=J22,1,IF(F26=J30,2))</f>
        <v>1</v>
      </c>
      <c r="M25" s="4">
        <v>0</v>
      </c>
      <c r="N25" s="1">
        <f>P24</f>
        <v>0</v>
      </c>
    </row>
    <row r="26" spans="1:18" x14ac:dyDescent="0.15">
      <c r="F26" s="1">
        <f>MAX(J22,J30)</f>
        <v>500000.00000000023</v>
      </c>
      <c r="N26" s="1">
        <f>A-B*EXP(-N25/RT)</f>
        <v>0</v>
      </c>
    </row>
    <row r="27" spans="1:18" x14ac:dyDescent="0.15">
      <c r="F27" s="1">
        <f>A-B*EXP(-F26/RT)</f>
        <v>0.60000000000000009</v>
      </c>
    </row>
    <row r="28" spans="1:18" x14ac:dyDescent="0.15">
      <c r="I28" s="1" t="s">
        <v>35</v>
      </c>
    </row>
    <row r="29" spans="1:18" ht="15" x14ac:dyDescent="0.2">
      <c r="P29" s="2">
        <f>SUM(I30)</f>
        <v>500000</v>
      </c>
    </row>
    <row r="30" spans="1:18" x14ac:dyDescent="0.15">
      <c r="I30" s="5">
        <f>M20/2</f>
        <v>500000</v>
      </c>
      <c r="J30" s="1">
        <f>P29</f>
        <v>500000</v>
      </c>
    </row>
    <row r="31" spans="1:18" x14ac:dyDescent="0.15">
      <c r="J31" s="1">
        <f>A-B*EXP(-J30/RT)</f>
        <v>0.59999999999999987</v>
      </c>
    </row>
    <row r="1000" spans="190:204" x14ac:dyDescent="0.15">
      <c r="GH1000" s="1" t="s">
        <v>6</v>
      </c>
      <c r="GI1000" s="1" t="s">
        <v>0</v>
      </c>
      <c r="GJ1000" s="1" t="s">
        <v>7</v>
      </c>
      <c r="GK1000" s="1" t="s">
        <v>8</v>
      </c>
      <c r="GL1000" s="1" t="s">
        <v>9</v>
      </c>
      <c r="GM1000" s="1" t="s">
        <v>10</v>
      </c>
      <c r="GN1000" s="1" t="s">
        <v>11</v>
      </c>
      <c r="GO1000" s="1" t="s">
        <v>12</v>
      </c>
      <c r="GP1000" s="1" t="s">
        <v>13</v>
      </c>
      <c r="GQ1000" s="1" t="s">
        <v>14</v>
      </c>
      <c r="GR1000" s="1" t="s">
        <v>15</v>
      </c>
      <c r="GS1000" s="1" t="s">
        <v>16</v>
      </c>
      <c r="GT1000" s="1" t="s">
        <v>17</v>
      </c>
      <c r="GU1000" s="1" t="s">
        <v>18</v>
      </c>
      <c r="GV1000" s="1" t="s">
        <v>19</v>
      </c>
    </row>
    <row r="1001" spans="190:204" x14ac:dyDescent="0.15">
      <c r="GH1001" s="1">
        <v>0</v>
      </c>
      <c r="GI1001" s="1" t="s">
        <v>20</v>
      </c>
      <c r="GJ1001" s="1">
        <v>0</v>
      </c>
      <c r="GK1001" s="1">
        <v>0</v>
      </c>
      <c r="GL1001" s="1">
        <v>0</v>
      </c>
      <c r="GM1001" s="1" t="s">
        <v>21</v>
      </c>
      <c r="GN1001" s="1">
        <v>2</v>
      </c>
      <c r="GO1001" s="1">
        <v>1</v>
      </c>
      <c r="GP1001" s="1">
        <v>2</v>
      </c>
      <c r="GQ1001" s="1">
        <v>0</v>
      </c>
      <c r="GR1001" s="1">
        <v>0</v>
      </c>
      <c r="GS1001" s="1">
        <v>0</v>
      </c>
      <c r="GT1001" s="1">
        <v>8</v>
      </c>
      <c r="GU1001" s="1">
        <v>1</v>
      </c>
      <c r="GV1001" s="1" t="b">
        <v>1</v>
      </c>
    </row>
    <row r="1002" spans="190:204" x14ac:dyDescent="0.15">
      <c r="GH1002" s="1">
        <v>1</v>
      </c>
      <c r="GK1002" s="1">
        <v>0</v>
      </c>
      <c r="GL1002" s="1">
        <v>0</v>
      </c>
      <c r="GM1002" s="1" t="s">
        <v>22</v>
      </c>
      <c r="GN1002" s="1">
        <v>2</v>
      </c>
      <c r="GO1002" s="1">
        <v>3</v>
      </c>
      <c r="GP1002" s="1">
        <v>4</v>
      </c>
      <c r="GQ1002" s="1">
        <v>0</v>
      </c>
      <c r="GR1002" s="1">
        <v>0</v>
      </c>
      <c r="GS1002" s="1">
        <v>0</v>
      </c>
      <c r="GT1002" s="1">
        <v>4</v>
      </c>
      <c r="GU1002" s="1">
        <v>5</v>
      </c>
      <c r="GV1002" s="1" t="b">
        <v>1</v>
      </c>
    </row>
    <row r="1003" spans="190:204" x14ac:dyDescent="0.15">
      <c r="GH1003" s="1">
        <v>2</v>
      </c>
      <c r="GK1003" s="1">
        <v>0</v>
      </c>
      <c r="GL1003" s="1">
        <v>0</v>
      </c>
      <c r="GM1003" s="1" t="s">
        <v>23</v>
      </c>
      <c r="GN1003" s="1">
        <v>0</v>
      </c>
      <c r="GO1003" s="1">
        <v>0</v>
      </c>
      <c r="GP1003" s="1">
        <v>0</v>
      </c>
      <c r="GQ1003" s="1">
        <v>0</v>
      </c>
      <c r="GR1003" s="1">
        <v>0</v>
      </c>
      <c r="GS1003" s="1">
        <v>0</v>
      </c>
      <c r="GT1003" s="1">
        <v>12</v>
      </c>
      <c r="GU1003" s="1">
        <v>5</v>
      </c>
      <c r="GV1003" s="1" t="b">
        <v>1</v>
      </c>
    </row>
    <row r="1004" spans="190:204" x14ac:dyDescent="0.15">
      <c r="GH1004" s="1">
        <v>3</v>
      </c>
      <c r="GL1004" s="1">
        <v>1</v>
      </c>
      <c r="GM1004" s="1" t="s">
        <v>23</v>
      </c>
      <c r="GN1004" s="1">
        <v>0</v>
      </c>
      <c r="GO1004" s="1">
        <v>0</v>
      </c>
      <c r="GP1004" s="1">
        <v>0</v>
      </c>
      <c r="GQ1004" s="1">
        <v>0</v>
      </c>
      <c r="GR1004" s="1">
        <v>0</v>
      </c>
      <c r="GS1004" s="1">
        <v>0</v>
      </c>
      <c r="GT1004" s="1">
        <v>2</v>
      </c>
      <c r="GU1004" s="1">
        <v>9</v>
      </c>
      <c r="GV1004" s="1" t="b">
        <v>1</v>
      </c>
    </row>
    <row r="1005" spans="190:204" x14ac:dyDescent="0.15">
      <c r="GH1005" s="1">
        <v>4</v>
      </c>
      <c r="GL1005" s="1">
        <v>1</v>
      </c>
      <c r="GM1005" s="1" t="s">
        <v>23</v>
      </c>
      <c r="GN1005" s="1">
        <v>0</v>
      </c>
      <c r="GO1005" s="1">
        <v>0</v>
      </c>
      <c r="GP1005" s="1">
        <v>0</v>
      </c>
      <c r="GQ1005" s="1">
        <v>0</v>
      </c>
      <c r="GR1005" s="1">
        <v>0</v>
      </c>
      <c r="GS1005" s="1">
        <v>0</v>
      </c>
      <c r="GT1005" s="1">
        <v>7</v>
      </c>
      <c r="GU1005" s="1">
        <v>9</v>
      </c>
      <c r="GV1005" s="1" t="b">
        <v>1</v>
      </c>
    </row>
  </sheetData>
  <sheetProtection sheet="1" objects="1" scenarios="1"/>
  <pageMargins left="0.78740157499999996" right="0.78740157499999996" top="0.984251969" bottom="0.984251969" header="0.4921259845" footer="0.4921259845"/>
  <pageSetup scale="10" orientation="landscape" r:id="rId1"/>
  <headerFooter alignWithMargins="0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991943-CF9C-C14F-9ACC-0734CEA6F740}">
  <sheetPr codeName="Sheet3"/>
  <dimension ref="B19:F45"/>
  <sheetViews>
    <sheetView topLeftCell="A12" zoomScale="70" zoomScaleNormal="70" zoomScalePageLayoutView="70" workbookViewId="0">
      <selection activeCell="C45" sqref="C45"/>
    </sheetView>
  </sheetViews>
  <sheetFormatPr baseColWidth="10" defaultColWidth="22.5" defaultRowHeight="21" x14ac:dyDescent="0.25"/>
  <cols>
    <col min="1" max="1" width="22.5" style="12"/>
    <col min="2" max="2" width="24.5" style="12" customWidth="1"/>
    <col min="3" max="3" width="27.1640625" style="12" customWidth="1"/>
    <col min="4" max="16384" width="22.5" style="12"/>
  </cols>
  <sheetData>
    <row r="19" spans="2:6" x14ac:dyDescent="0.25">
      <c r="B19" s="12" t="s">
        <v>26</v>
      </c>
      <c r="D19" s="12" t="str">
        <f>CONCATENATE("u(y)=",TEXT('F. utilite'!A,"0,00"),"-",TEXT('F. utilite'!B,"0,00"),"exp(-y/",TEXT('F. utilite'!RT,"0,00"),")")</f>
        <v>u(y)=002-002exp(-y/1,233,152)</v>
      </c>
    </row>
    <row r="21" spans="2:6" ht="34.5" customHeight="1" x14ac:dyDescent="0.25">
      <c r="F21" s="18"/>
    </row>
    <row r="32" spans="2:6" x14ac:dyDescent="0.25">
      <c r="B32" s="12" t="s">
        <v>25</v>
      </c>
      <c r="D32" s="13">
        <f>SUMPRODUCT(B34,D34)</f>
        <v>0.24446548520681244</v>
      </c>
    </row>
    <row r="33" spans="2:4" x14ac:dyDescent="0.25">
      <c r="B33" s="12" t="s">
        <v>27</v>
      </c>
      <c r="C33" s="12" t="s">
        <v>28</v>
      </c>
      <c r="D33" s="12" t="s">
        <v>29</v>
      </c>
    </row>
    <row r="34" spans="2:4" x14ac:dyDescent="0.25">
      <c r="B34" s="12">
        <v>1</v>
      </c>
      <c r="C34" s="14">
        <v>180000</v>
      </c>
      <c r="D34" s="12">
        <f>'F. utilite'!A-'F. utilite'!B*EXP(-C34/'F. utilite'!RT)</f>
        <v>0.24446548520681244</v>
      </c>
    </row>
    <row r="36" spans="2:4" x14ac:dyDescent="0.25">
      <c r="B36" s="12" t="s">
        <v>30</v>
      </c>
      <c r="D36" s="13">
        <f>SUMPRODUCT(B38:B43,D38:D43)</f>
        <v>0.26742667393672187</v>
      </c>
    </row>
    <row r="37" spans="2:4" x14ac:dyDescent="0.25">
      <c r="B37" s="12" t="s">
        <v>27</v>
      </c>
      <c r="C37" s="12" t="s">
        <v>28</v>
      </c>
      <c r="D37" s="12" t="s">
        <v>29</v>
      </c>
    </row>
    <row r="38" spans="2:4" x14ac:dyDescent="0.25">
      <c r="B38" s="12">
        <f>1/6</f>
        <v>0.16666666666666666</v>
      </c>
      <c r="C38" s="15">
        <v>0</v>
      </c>
      <c r="D38" s="12">
        <f>'F. utilite'!A-'F. utilite'!B*EXP(-C38/'F. utilite'!RT)</f>
        <v>0</v>
      </c>
    </row>
    <row r="39" spans="2:4" x14ac:dyDescent="0.25">
      <c r="B39" s="12">
        <f t="shared" ref="B39:B43" si="0">1/6</f>
        <v>0.16666666666666666</v>
      </c>
      <c r="C39" s="15">
        <v>100000</v>
      </c>
      <c r="D39" s="12">
        <f>'F. utilite'!A-'F. utilite'!B*EXP(-C39/'F. utilite'!RT)</f>
        <v>0.14020575933289003</v>
      </c>
    </row>
    <row r="40" spans="2:4" x14ac:dyDescent="0.25">
      <c r="B40" s="12">
        <f t="shared" si="0"/>
        <v>0.16666666666666666</v>
      </c>
      <c r="C40" s="15">
        <v>150000</v>
      </c>
      <c r="D40" s="12">
        <f>'F. utilite'!A-'F. utilite'!B*EXP(-C40/'F. utilite'!RT)</f>
        <v>0.20615851206799896</v>
      </c>
    </row>
    <row r="41" spans="2:4" x14ac:dyDescent="0.25">
      <c r="B41" s="12">
        <f t="shared" si="0"/>
        <v>0.16666666666666666</v>
      </c>
      <c r="C41" s="15">
        <v>200000</v>
      </c>
      <c r="D41" s="12">
        <f>'F. utilite'!A-'F. utilite'!B*EXP(-C41/'F. utilite'!RT)</f>
        <v>0.26949059924905083</v>
      </c>
    </row>
    <row r="42" spans="2:4" x14ac:dyDescent="0.25">
      <c r="B42" s="12">
        <f t="shared" si="0"/>
        <v>0.16666666666666666</v>
      </c>
      <c r="C42" s="15">
        <v>300000</v>
      </c>
      <c r="D42" s="12">
        <f>'F. utilite'!A-'F. utilite'!B*EXP(-C42/'F. utilite'!RT)</f>
        <v>0.38870517297039164</v>
      </c>
    </row>
    <row r="43" spans="2:4" x14ac:dyDescent="0.25">
      <c r="B43" s="12">
        <f t="shared" si="0"/>
        <v>0.16666666666666666</v>
      </c>
      <c r="C43" s="15">
        <v>500000</v>
      </c>
      <c r="D43" s="12">
        <f>'F. utilite'!A-'F. utilite'!B*EXP(-C43/'F. utilite'!RT)</f>
        <v>0.59999999999999987</v>
      </c>
    </row>
    <row r="45" spans="2:4" x14ac:dyDescent="0.25">
      <c r="B45" s="12" t="s">
        <v>24</v>
      </c>
      <c r="C45" s="16" t="str">
        <f>IF(D32&gt;=D36,"Prendre l'offre","Ouvrir la valise")</f>
        <v>Ouvrir la valise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F. utilite</vt:lpstr>
      <vt:lpstr>Decision</vt:lpstr>
      <vt:lpstr>'F. utilite'!A</vt:lpstr>
      <vt:lpstr>'F. utilite'!B</vt:lpstr>
      <vt:lpstr>'F. utilite'!RT</vt:lpstr>
    </vt:vector>
  </TitlesOfParts>
  <Manager/>
  <Company>HEC Montréal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clihec3</dc:creator>
  <cp:keywords/>
  <dc:description/>
  <cp:lastModifiedBy>Erick Delage</cp:lastModifiedBy>
  <cp:revision/>
  <dcterms:created xsi:type="dcterms:W3CDTF">2011-08-09T21:58:05Z</dcterms:created>
  <dcterms:modified xsi:type="dcterms:W3CDTF">2025-11-04T15:47:23Z</dcterms:modified>
  <cp:category/>
  <cp:contentStatus/>
</cp:coreProperties>
</file>