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autoCompressPictures="0"/>
  <mc:AlternateContent xmlns:mc="http://schemas.openxmlformats.org/markup-compatibility/2006">
    <mc:Choice Requires="x15">
      <x15ac:absPath xmlns:x15ac="http://schemas.microsoft.com/office/spreadsheetml/2010/11/ac" url="/Users/erickdelage/Dropbox/My Documents/My Classes/MSc_AnalyseDecisions/AD_Automne2020/Lectures/Seance_3/fr/inclass/"/>
    </mc:Choice>
  </mc:AlternateContent>
  <xr:revisionPtr revIDLastSave="0" documentId="13_ncr:1_{4BC81FDD-862F-AA46-84F9-74AA6734E3CA}" xr6:coauthVersionLast="45" xr6:coauthVersionMax="45" xr10:uidLastSave="{00000000-0000-0000-0000-000000000000}"/>
  <bookViews>
    <workbookView xWindow="0" yWindow="460" windowWidth="25600" windowHeight="12640" tabRatio="795" xr2:uid="{00000000-000D-0000-FFFF-FFFF00000000}"/>
  </bookViews>
  <sheets>
    <sheet name="Instructions" sheetId="31" r:id="rId1"/>
    <sheet name="   " sheetId="32" r:id="rId2"/>
    <sheet name="Valeur maison - Données" sheetId="19" r:id="rId3"/>
    <sheet name="1) Régression sur D, T et P" sheetId="34" r:id="rId4"/>
    <sheet name="1.2) Régression avec P discret" sheetId="23" r:id="rId5"/>
    <sheet name="              " sheetId="27" r:id="rId6"/>
    <sheet name="Sinistre - données" sheetId="24" r:id="rId7"/>
    <sheet name="2) Sinistre - solution" sheetId="26" r:id="rId8"/>
    <sheet name="                " sheetId="28" r:id="rId9"/>
    <sheet name="3) Estimation valeur espérée" sheetId="29" r:id="rId10"/>
  </sheet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echantillon" localSheetId="3">'3) Estimation valeur espérée'!#REF!</definedName>
    <definedName name="echantillon">'3) Estimation valeur espérée'!#REF!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solver_adj" localSheetId="4" hidden="1">'1.2) Régression avec P discret'!$A$9:$F$9</definedName>
    <definedName name="solver_adj" localSheetId="3" hidden="1">'1) Régression sur D, T et P'!$A$9:$D$9</definedName>
    <definedName name="solver_cvg" localSheetId="4" hidden="1">0.0000001</definedName>
    <definedName name="solver_cvg" localSheetId="3" hidden="1">0.0000001</definedName>
    <definedName name="solver_drv" localSheetId="4" hidden="1">1</definedName>
    <definedName name="solver_drv" localSheetId="3" hidden="1">1</definedName>
    <definedName name="solver_eng" localSheetId="4" hidden="1">1</definedName>
    <definedName name="solver_eng" localSheetId="3" hidden="1">1</definedName>
    <definedName name="solver_est" localSheetId="4" hidden="1">1</definedName>
    <definedName name="solver_est" localSheetId="3" hidden="1">1</definedName>
    <definedName name="solver_itr" localSheetId="4" hidden="1">100</definedName>
    <definedName name="solver_itr" localSheetId="3" hidden="1">100</definedName>
    <definedName name="solver_lhs1" localSheetId="4" hidden="1">'1.2) Régression avec P discret'!$D$9</definedName>
    <definedName name="solver_lhs1" localSheetId="3" hidden="1">'1) Régression sur D, T et P'!$D$9</definedName>
    <definedName name="solver_lhs2" localSheetId="4" hidden="1">'1.2) Régression avec P discret'!$C$9:$D$9</definedName>
    <definedName name="solver_lhs2" localSheetId="3" hidden="1">'1) Régression sur D, T et P'!$C$9:$D$9</definedName>
    <definedName name="solver_lin" localSheetId="4" hidden="1">2</definedName>
    <definedName name="solver_lin" localSheetId="3" hidden="1">2</definedName>
    <definedName name="solver_mip" localSheetId="4" hidden="1">2147483647</definedName>
    <definedName name="solver_mip" localSheetId="3" hidden="1">2147483647</definedName>
    <definedName name="solver_mni" localSheetId="4" hidden="1">30</definedName>
    <definedName name="solver_mni" localSheetId="3" hidden="1">30</definedName>
    <definedName name="solver_mrt" localSheetId="4" hidden="1">0.075</definedName>
    <definedName name="solver_mrt" localSheetId="3" hidden="1">0.075</definedName>
    <definedName name="solver_msl" localSheetId="4" hidden="1">2</definedName>
    <definedName name="solver_msl" localSheetId="3" hidden="1">2</definedName>
    <definedName name="solver_neg" localSheetId="4" hidden="1">2</definedName>
    <definedName name="solver_neg" localSheetId="3" hidden="1">2</definedName>
    <definedName name="solver_nod" localSheetId="4" hidden="1">2147483647</definedName>
    <definedName name="solver_nod" localSheetId="3" hidden="1">2147483647</definedName>
    <definedName name="solver_num" localSheetId="4" hidden="1">0</definedName>
    <definedName name="solver_num" localSheetId="3" hidden="1">0</definedName>
    <definedName name="solver_nwt" localSheetId="4" hidden="1">1</definedName>
    <definedName name="solver_nwt" localSheetId="3" hidden="1">1</definedName>
    <definedName name="solver_opt" localSheetId="4" hidden="1">'1.2) Régression avec P discret'!$A$40</definedName>
    <definedName name="solver_opt" localSheetId="3" hidden="1">'1) Régression sur D, T et P'!$A$40</definedName>
    <definedName name="solver_pre" localSheetId="4" hidden="1">0.000001</definedName>
    <definedName name="solver_pre" localSheetId="3" hidden="1">0.000001</definedName>
    <definedName name="solver_rbv" localSheetId="4" hidden="1">1</definedName>
    <definedName name="solver_rbv" localSheetId="3" hidden="1">1</definedName>
    <definedName name="solver_rel1" localSheetId="4" hidden="1">2</definedName>
    <definedName name="solver_rel1" localSheetId="3" hidden="1">2</definedName>
    <definedName name="solver_rel2" localSheetId="4" hidden="1">3</definedName>
    <definedName name="solver_rel2" localSheetId="3" hidden="1">3</definedName>
    <definedName name="solver_rhs1" localSheetId="4" hidden="1">0</definedName>
    <definedName name="solver_rhs1" localSheetId="3" hidden="1">0</definedName>
    <definedName name="solver_rhs2" localSheetId="4" hidden="1">0</definedName>
    <definedName name="solver_rhs2" localSheetId="3" hidden="1">0</definedName>
    <definedName name="solver_rlx" localSheetId="4" hidden="1">1</definedName>
    <definedName name="solver_rlx" localSheetId="3" hidden="1">1</definedName>
    <definedName name="solver_rsd" localSheetId="4" hidden="1">0</definedName>
    <definedName name="solver_rsd" localSheetId="3" hidden="1">0</definedName>
    <definedName name="solver_scl" localSheetId="4" hidden="1">2</definedName>
    <definedName name="solver_scl" localSheetId="3" hidden="1">2</definedName>
    <definedName name="solver_sho" localSheetId="4" hidden="1">2</definedName>
    <definedName name="solver_sho" localSheetId="3" hidden="1">2</definedName>
    <definedName name="solver_ssz" localSheetId="4" hidden="1">100</definedName>
    <definedName name="solver_ssz" localSheetId="3" hidden="1">100</definedName>
    <definedName name="solver_tim" localSheetId="4" hidden="1">100</definedName>
    <definedName name="solver_tim" localSheetId="3" hidden="1">100</definedName>
    <definedName name="solver_tol" localSheetId="4" hidden="1">0.05</definedName>
    <definedName name="solver_tol" localSheetId="3" hidden="1">0.05</definedName>
    <definedName name="solver_typ" localSheetId="4" hidden="1">2</definedName>
    <definedName name="solver_typ" localSheetId="3" hidden="1">2</definedName>
    <definedName name="solver_val" localSheetId="4" hidden="1">0</definedName>
    <definedName name="solver_val" localSheetId="3" hidden="1">0</definedName>
    <definedName name="solver_ver" localSheetId="4" hidden="1">2</definedName>
    <definedName name="solver_ver" localSheetId="3" hidden="1">2</definedName>
    <definedName name="_xlnm.Print_Area" localSheetId="4">'1.2) Régression avec P discret'!$A$1:$R$78</definedName>
    <definedName name="_xlnm.Print_Area" localSheetId="3">'1) Régression sur D, T et P'!$A$1:$L$78</definedName>
    <definedName name="_xlnm.Print_Area" localSheetId="7">'2) Sinistre - solution'!$A$1:$K$58</definedName>
    <definedName name="_xlnm.Print_Area" localSheetId="9">'3) Estimation valeur espérée'!$A$1:$J$26</definedName>
    <definedName name="_xlnm.Print_Area" localSheetId="0">Instructions!$A$1:$F$60</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46" i="34" l="1"/>
  <c r="A46" i="34"/>
  <c r="G13" i="34" l="1"/>
  <c r="C13" i="34"/>
  <c r="F13" i="34" s="1"/>
  <c r="H13" i="34" s="1"/>
  <c r="D13" i="34"/>
  <c r="E13" i="34"/>
  <c r="G14" i="34"/>
  <c r="H14" i="34" s="1"/>
  <c r="C14" i="34"/>
  <c r="D14" i="34"/>
  <c r="E14" i="34"/>
  <c r="F14" i="34" s="1"/>
  <c r="G15" i="34"/>
  <c r="C15" i="34"/>
  <c r="F15" i="34" s="1"/>
  <c r="H15" i="34" s="1"/>
  <c r="D15" i="34"/>
  <c r="E15" i="34"/>
  <c r="G16" i="34"/>
  <c r="H16" i="34" s="1"/>
  <c r="C16" i="34"/>
  <c r="D16" i="34"/>
  <c r="E16" i="34"/>
  <c r="F16" i="34" s="1"/>
  <c r="G17" i="34"/>
  <c r="C17" i="34"/>
  <c r="F17" i="34" s="1"/>
  <c r="D17" i="34"/>
  <c r="E17" i="34"/>
  <c r="H17" i="34"/>
  <c r="G18" i="34"/>
  <c r="C18" i="34"/>
  <c r="D18" i="34"/>
  <c r="E18" i="34"/>
  <c r="F18" i="34" s="1"/>
  <c r="G19" i="34"/>
  <c r="C19" i="34"/>
  <c r="F19" i="34" s="1"/>
  <c r="D19" i="34"/>
  <c r="E19" i="34"/>
  <c r="H19" i="34"/>
  <c r="G20" i="34"/>
  <c r="C20" i="34"/>
  <c r="D20" i="34"/>
  <c r="E20" i="34"/>
  <c r="F20" i="34" s="1"/>
  <c r="G21" i="34"/>
  <c r="C21" i="34"/>
  <c r="F21" i="34" s="1"/>
  <c r="H21" i="34" s="1"/>
  <c r="D21" i="34"/>
  <c r="E21" i="34"/>
  <c r="G22" i="34"/>
  <c r="H22" i="34" s="1"/>
  <c r="C22" i="34"/>
  <c r="D22" i="34"/>
  <c r="E22" i="34"/>
  <c r="F22" i="34" s="1"/>
  <c r="G23" i="34"/>
  <c r="C23" i="34"/>
  <c r="F23" i="34" s="1"/>
  <c r="H23" i="34" s="1"/>
  <c r="D23" i="34"/>
  <c r="E23" i="34"/>
  <c r="G24" i="34"/>
  <c r="C24" i="34"/>
  <c r="D24" i="34"/>
  <c r="E24" i="34"/>
  <c r="F24" i="34"/>
  <c r="G25" i="34"/>
  <c r="C25" i="34"/>
  <c r="D25" i="34"/>
  <c r="E25" i="34"/>
  <c r="G26" i="34"/>
  <c r="C26" i="34"/>
  <c r="D26" i="34"/>
  <c r="E26" i="34"/>
  <c r="F26" i="34" s="1"/>
  <c r="G27" i="34"/>
  <c r="C27" i="34"/>
  <c r="F27" i="34" s="1"/>
  <c r="H27" i="34" s="1"/>
  <c r="D27" i="34"/>
  <c r="E27" i="34"/>
  <c r="G28" i="34"/>
  <c r="C28" i="34"/>
  <c r="D28" i="34"/>
  <c r="E28" i="34"/>
  <c r="F28" i="34"/>
  <c r="G29" i="34"/>
  <c r="C29" i="34"/>
  <c r="F29" i="34" s="1"/>
  <c r="D29" i="34"/>
  <c r="E29" i="34"/>
  <c r="H29" i="34"/>
  <c r="G30" i="34"/>
  <c r="C30" i="34"/>
  <c r="D30" i="34"/>
  <c r="E30" i="34"/>
  <c r="F30" i="34"/>
  <c r="G31" i="34"/>
  <c r="C31" i="34"/>
  <c r="F31" i="34" s="1"/>
  <c r="H31" i="34" s="1"/>
  <c r="D31" i="34"/>
  <c r="E31" i="34"/>
  <c r="G32" i="34"/>
  <c r="C32" i="34"/>
  <c r="D32" i="34"/>
  <c r="E32" i="34"/>
  <c r="F32" i="34"/>
  <c r="G33" i="34"/>
  <c r="C33" i="34"/>
  <c r="F33" i="34" s="1"/>
  <c r="H33" i="34" s="1"/>
  <c r="D33" i="34"/>
  <c r="E33" i="34"/>
  <c r="G34" i="34"/>
  <c r="C34" i="34"/>
  <c r="D34" i="34"/>
  <c r="E34" i="34"/>
  <c r="F34" i="34"/>
  <c r="G35" i="34"/>
  <c r="C35" i="34"/>
  <c r="F35" i="34" s="1"/>
  <c r="H35" i="34" s="1"/>
  <c r="D35" i="34"/>
  <c r="E35" i="34"/>
  <c r="G36" i="34"/>
  <c r="C36" i="34"/>
  <c r="D36" i="34"/>
  <c r="E36" i="34"/>
  <c r="F36" i="34"/>
  <c r="G37" i="34"/>
  <c r="C37" i="34"/>
  <c r="F37" i="34" s="1"/>
  <c r="H37" i="34" s="1"/>
  <c r="D37" i="34"/>
  <c r="E37" i="34"/>
  <c r="C51" i="34"/>
  <c r="D51" i="34"/>
  <c r="E51" i="34"/>
  <c r="J51" i="34"/>
  <c r="C52" i="34"/>
  <c r="D52" i="34"/>
  <c r="E52" i="34"/>
  <c r="J52" i="34"/>
  <c r="C53" i="34"/>
  <c r="D53" i="34"/>
  <c r="E53" i="34"/>
  <c r="J53" i="34"/>
  <c r="C54" i="34"/>
  <c r="D54" i="34"/>
  <c r="E54" i="34"/>
  <c r="J54" i="34"/>
  <c r="C55" i="34"/>
  <c r="D55" i="34"/>
  <c r="E55" i="34"/>
  <c r="J55" i="34"/>
  <c r="C56" i="34"/>
  <c r="D56" i="34"/>
  <c r="E56" i="34"/>
  <c r="J56" i="34"/>
  <c r="C57" i="34"/>
  <c r="D57" i="34"/>
  <c r="E57" i="34"/>
  <c r="J57" i="34"/>
  <c r="C58" i="34"/>
  <c r="D58" i="34"/>
  <c r="E58" i="34"/>
  <c r="J58" i="34"/>
  <c r="C59" i="34"/>
  <c r="D59" i="34"/>
  <c r="E59" i="34"/>
  <c r="J59" i="34"/>
  <c r="C60" i="34"/>
  <c r="D60" i="34"/>
  <c r="E60" i="34"/>
  <c r="J60" i="34"/>
  <c r="C61" i="34"/>
  <c r="D61" i="34"/>
  <c r="E61" i="34"/>
  <c r="J61" i="34"/>
  <c r="C62" i="34"/>
  <c r="D62" i="34"/>
  <c r="E62" i="34"/>
  <c r="J62" i="34"/>
  <c r="C63" i="34"/>
  <c r="D63" i="34"/>
  <c r="E63" i="34"/>
  <c r="J63" i="34"/>
  <c r="C64" i="34"/>
  <c r="D64" i="34"/>
  <c r="E64" i="34"/>
  <c r="J64" i="34"/>
  <c r="C65" i="34"/>
  <c r="D65" i="34"/>
  <c r="E65" i="34"/>
  <c r="J65" i="34"/>
  <c r="C66" i="34"/>
  <c r="D66" i="34"/>
  <c r="E66" i="34"/>
  <c r="J66" i="34"/>
  <c r="C67" i="34"/>
  <c r="D67" i="34"/>
  <c r="E67" i="34"/>
  <c r="J67" i="34"/>
  <c r="C68" i="34"/>
  <c r="D68" i="34"/>
  <c r="E68" i="34"/>
  <c r="J68" i="34"/>
  <c r="C69" i="34"/>
  <c r="D69" i="34"/>
  <c r="E69" i="34"/>
  <c r="J69" i="34"/>
  <c r="C70" i="34"/>
  <c r="D70" i="34"/>
  <c r="E70" i="34"/>
  <c r="J70" i="34"/>
  <c r="C71" i="34"/>
  <c r="D71" i="34"/>
  <c r="E71" i="34"/>
  <c r="J71" i="34"/>
  <c r="C72" i="34"/>
  <c r="D72" i="34"/>
  <c r="E72" i="34"/>
  <c r="J72" i="34"/>
  <c r="C73" i="34"/>
  <c r="D73" i="34"/>
  <c r="E73" i="34"/>
  <c r="J73" i="34"/>
  <c r="C74" i="34"/>
  <c r="D74" i="34"/>
  <c r="E74" i="34"/>
  <c r="J74" i="34"/>
  <c r="C75" i="34"/>
  <c r="D75" i="34"/>
  <c r="E75" i="34"/>
  <c r="J75" i="34"/>
  <c r="M13" i="23"/>
  <c r="M14" i="23"/>
  <c r="M15" i="23"/>
  <c r="M16" i="23"/>
  <c r="M17" i="23"/>
  <c r="M18" i="23"/>
  <c r="M19" i="23"/>
  <c r="M20" i="23"/>
  <c r="M21" i="23"/>
  <c r="M22" i="23"/>
  <c r="M23" i="23"/>
  <c r="M24" i="23"/>
  <c r="M25" i="23"/>
  <c r="M26" i="23"/>
  <c r="M27" i="23"/>
  <c r="M28" i="23"/>
  <c r="M29" i="23"/>
  <c r="M30" i="23"/>
  <c r="M31" i="23"/>
  <c r="M32" i="23"/>
  <c r="M33" i="23"/>
  <c r="M34" i="23"/>
  <c r="M35" i="23"/>
  <c r="M36" i="23"/>
  <c r="M37" i="23"/>
  <c r="P51" i="23"/>
  <c r="P52" i="23"/>
  <c r="P53" i="23"/>
  <c r="P54" i="23"/>
  <c r="P55" i="23"/>
  <c r="P56" i="23"/>
  <c r="P57" i="23"/>
  <c r="P58" i="23"/>
  <c r="P59" i="23"/>
  <c r="P60" i="23"/>
  <c r="P61" i="23"/>
  <c r="P62" i="23"/>
  <c r="P63" i="23"/>
  <c r="P64" i="23"/>
  <c r="P65" i="23"/>
  <c r="P66" i="23"/>
  <c r="P67" i="23"/>
  <c r="P68" i="23"/>
  <c r="P69" i="23"/>
  <c r="P70" i="23"/>
  <c r="P71" i="23"/>
  <c r="P72" i="23"/>
  <c r="P73" i="23"/>
  <c r="P74" i="23"/>
  <c r="P75" i="23"/>
  <c r="E52" i="23"/>
  <c r="F52" i="23" s="1"/>
  <c r="C52" i="23"/>
  <c r="D52" i="23"/>
  <c r="I52" i="23"/>
  <c r="K52" i="23" s="1"/>
  <c r="E53" i="23"/>
  <c r="I53" i="23" s="1"/>
  <c r="F53" i="23"/>
  <c r="C53" i="23"/>
  <c r="D53" i="23"/>
  <c r="H53" i="23"/>
  <c r="E54" i="23"/>
  <c r="C54" i="23"/>
  <c r="D54" i="23"/>
  <c r="E55" i="23"/>
  <c r="F55" i="23"/>
  <c r="C55" i="23"/>
  <c r="G55" i="23"/>
  <c r="D55" i="23"/>
  <c r="H55" i="23"/>
  <c r="I55" i="23"/>
  <c r="K55" i="23" s="1"/>
  <c r="J55" i="23"/>
  <c r="E56" i="23"/>
  <c r="F56" i="23" s="1"/>
  <c r="C56" i="23"/>
  <c r="D56" i="23"/>
  <c r="I56" i="23"/>
  <c r="K56" i="23" s="1"/>
  <c r="E57" i="23"/>
  <c r="I57" i="23" s="1"/>
  <c r="F57" i="23"/>
  <c r="C57" i="23"/>
  <c r="D57" i="23"/>
  <c r="E58" i="23"/>
  <c r="C58" i="23"/>
  <c r="D58" i="23"/>
  <c r="E59" i="23"/>
  <c r="F59" i="23"/>
  <c r="C59" i="23"/>
  <c r="G59" i="23"/>
  <c r="D59" i="23"/>
  <c r="H59" i="23"/>
  <c r="I59" i="23"/>
  <c r="K59" i="23" s="1"/>
  <c r="J59" i="23"/>
  <c r="E60" i="23"/>
  <c r="F60" i="23" s="1"/>
  <c r="C60" i="23"/>
  <c r="D60" i="23"/>
  <c r="H60" i="23" s="1"/>
  <c r="I60" i="23"/>
  <c r="K60" i="23" s="1"/>
  <c r="E61" i="23"/>
  <c r="I61" i="23" s="1"/>
  <c r="F61" i="23"/>
  <c r="C61" i="23"/>
  <c r="D61" i="23"/>
  <c r="H61" i="23"/>
  <c r="E62" i="23"/>
  <c r="C62" i="23"/>
  <c r="D62" i="23"/>
  <c r="E63" i="23"/>
  <c r="F63" i="23"/>
  <c r="C63" i="23"/>
  <c r="G63" i="23"/>
  <c r="D63" i="23"/>
  <c r="H63" i="23"/>
  <c r="I63" i="23"/>
  <c r="K63" i="23" s="1"/>
  <c r="J63" i="23"/>
  <c r="E64" i="23"/>
  <c r="F64" i="23" s="1"/>
  <c r="C64" i="23"/>
  <c r="D64" i="23"/>
  <c r="H64" i="23" s="1"/>
  <c r="I64" i="23"/>
  <c r="K64" i="23" s="1"/>
  <c r="E65" i="23"/>
  <c r="I65" i="23" s="1"/>
  <c r="F65" i="23"/>
  <c r="C65" i="23"/>
  <c r="D65" i="23"/>
  <c r="E66" i="23"/>
  <c r="C66" i="23"/>
  <c r="D66" i="23"/>
  <c r="E67" i="23"/>
  <c r="F67" i="23"/>
  <c r="C67" i="23"/>
  <c r="G67" i="23"/>
  <c r="D67" i="23"/>
  <c r="H67" i="23"/>
  <c r="I67" i="23"/>
  <c r="K67" i="23" s="1"/>
  <c r="J67" i="23"/>
  <c r="E68" i="23"/>
  <c r="C68" i="23"/>
  <c r="D68" i="23"/>
  <c r="E69" i="23"/>
  <c r="I69" i="23" s="1"/>
  <c r="K69" i="23" s="1"/>
  <c r="F69" i="23"/>
  <c r="C69" i="23"/>
  <c r="G69" i="23"/>
  <c r="D69" i="23"/>
  <c r="H69" i="23"/>
  <c r="E70" i="23"/>
  <c r="C70" i="23"/>
  <c r="D70" i="23"/>
  <c r="E71" i="23"/>
  <c r="F71" i="23"/>
  <c r="C71" i="23"/>
  <c r="G71" i="23"/>
  <c r="D71" i="23"/>
  <c r="H71" i="23"/>
  <c r="I71" i="23"/>
  <c r="K71" i="23" s="1"/>
  <c r="J71" i="23"/>
  <c r="E72" i="23"/>
  <c r="F72" i="23" s="1"/>
  <c r="C72" i="23"/>
  <c r="D72" i="23"/>
  <c r="I72" i="23"/>
  <c r="K72" i="23" s="1"/>
  <c r="E73" i="23"/>
  <c r="I73" i="23" s="1"/>
  <c r="K73" i="23" s="1"/>
  <c r="F73" i="23"/>
  <c r="C73" i="23"/>
  <c r="G73" i="23"/>
  <c r="D73" i="23"/>
  <c r="H73" i="23"/>
  <c r="J73" i="23"/>
  <c r="E74" i="23"/>
  <c r="F74" i="23" s="1"/>
  <c r="C74" i="23"/>
  <c r="D74" i="23"/>
  <c r="I74" i="23"/>
  <c r="K74" i="23" s="1"/>
  <c r="E75" i="23"/>
  <c r="F75" i="23"/>
  <c r="C75" i="23"/>
  <c r="G75" i="23"/>
  <c r="D75" i="23"/>
  <c r="H75" i="23"/>
  <c r="I75" i="23"/>
  <c r="E51" i="23"/>
  <c r="I51" i="23" s="1"/>
  <c r="J51" i="23" s="1"/>
  <c r="D51" i="23"/>
  <c r="C51" i="23"/>
  <c r="E14" i="23"/>
  <c r="I14" i="23" s="1"/>
  <c r="J14" i="23" s="1"/>
  <c r="F14" i="23"/>
  <c r="C14" i="23"/>
  <c r="G14" i="23"/>
  <c r="D14" i="23"/>
  <c r="H14" i="23"/>
  <c r="K14" i="23"/>
  <c r="E15" i="23"/>
  <c r="F15" i="23" s="1"/>
  <c r="C15" i="23"/>
  <c r="G15" i="23" s="1"/>
  <c r="D15" i="23"/>
  <c r="H15" i="23" s="1"/>
  <c r="I15" i="23"/>
  <c r="K15" i="23"/>
  <c r="E16" i="23"/>
  <c r="I16" i="23" s="1"/>
  <c r="K16" i="23" s="1"/>
  <c r="F16" i="23"/>
  <c r="C16" i="23"/>
  <c r="G16" i="23"/>
  <c r="D16" i="23"/>
  <c r="H16" i="23"/>
  <c r="J16" i="23"/>
  <c r="E17" i="23"/>
  <c r="F17" i="23" s="1"/>
  <c r="C17" i="23"/>
  <c r="D17" i="23"/>
  <c r="I17" i="23"/>
  <c r="K17" i="23" s="1"/>
  <c r="E18" i="23"/>
  <c r="F18" i="23"/>
  <c r="C18" i="23"/>
  <c r="D18" i="23"/>
  <c r="H18" i="23"/>
  <c r="I18" i="23"/>
  <c r="K18" i="23" s="1"/>
  <c r="J18" i="23"/>
  <c r="E19" i="23"/>
  <c r="C19" i="23"/>
  <c r="D19" i="23"/>
  <c r="E20" i="23"/>
  <c r="I20" i="23" s="1"/>
  <c r="K20" i="23" s="1"/>
  <c r="F20" i="23"/>
  <c r="C20" i="23"/>
  <c r="G20" i="23"/>
  <c r="D20" i="23"/>
  <c r="H20" i="23"/>
  <c r="E21" i="23"/>
  <c r="F21" i="23" s="1"/>
  <c r="C21" i="23"/>
  <c r="D21" i="23"/>
  <c r="H21" i="23" s="1"/>
  <c r="I21" i="23"/>
  <c r="K21" i="23" s="1"/>
  <c r="E22" i="23"/>
  <c r="F22" i="23"/>
  <c r="C22" i="23"/>
  <c r="D22" i="23"/>
  <c r="H22" i="23"/>
  <c r="I22" i="23"/>
  <c r="K22" i="23" s="1"/>
  <c r="J22" i="23"/>
  <c r="E23" i="23"/>
  <c r="C23" i="23"/>
  <c r="D23" i="23"/>
  <c r="E24" i="23"/>
  <c r="I24" i="23" s="1"/>
  <c r="K24" i="23" s="1"/>
  <c r="F24" i="23"/>
  <c r="C24" i="23"/>
  <c r="G24" i="23"/>
  <c r="D24" i="23"/>
  <c r="H24" i="23"/>
  <c r="E25" i="23"/>
  <c r="F25" i="23" s="1"/>
  <c r="C25" i="23"/>
  <c r="D25" i="23"/>
  <c r="I25" i="23"/>
  <c r="K25" i="23" s="1"/>
  <c r="E26" i="23"/>
  <c r="F26" i="23"/>
  <c r="H26" i="23" s="1"/>
  <c r="C26" i="23"/>
  <c r="D26" i="23"/>
  <c r="I26" i="23"/>
  <c r="K26" i="23" s="1"/>
  <c r="J26" i="23"/>
  <c r="E27" i="23"/>
  <c r="C27" i="23"/>
  <c r="D27" i="23"/>
  <c r="E28" i="23"/>
  <c r="I28" i="23" s="1"/>
  <c r="K28" i="23" s="1"/>
  <c r="F28" i="23"/>
  <c r="C28" i="23"/>
  <c r="G28" i="23"/>
  <c r="D28" i="23"/>
  <c r="H28" i="23"/>
  <c r="J28" i="23"/>
  <c r="E29" i="23"/>
  <c r="F29" i="23" s="1"/>
  <c r="C29" i="23"/>
  <c r="D29" i="23"/>
  <c r="H29" i="23" s="1"/>
  <c r="I29" i="23"/>
  <c r="K29" i="23" s="1"/>
  <c r="E30" i="23"/>
  <c r="F30" i="23"/>
  <c r="C30" i="23"/>
  <c r="D30" i="23"/>
  <c r="H30" i="23"/>
  <c r="I30" i="23"/>
  <c r="K30" i="23" s="1"/>
  <c r="J30" i="23"/>
  <c r="E31" i="23"/>
  <c r="C31" i="23"/>
  <c r="D31" i="23"/>
  <c r="E32" i="23"/>
  <c r="I32" i="23" s="1"/>
  <c r="K32" i="23" s="1"/>
  <c r="F32" i="23"/>
  <c r="C32" i="23"/>
  <c r="G32" i="23"/>
  <c r="D32" i="23"/>
  <c r="H32" i="23"/>
  <c r="E33" i="23"/>
  <c r="F33" i="23" s="1"/>
  <c r="C33" i="23"/>
  <c r="D33" i="23"/>
  <c r="E34" i="23"/>
  <c r="F34" i="23"/>
  <c r="C34" i="23"/>
  <c r="G34" i="23"/>
  <c r="D34" i="23"/>
  <c r="H34" i="23"/>
  <c r="I34" i="23"/>
  <c r="K34" i="23" s="1"/>
  <c r="J34" i="23"/>
  <c r="E35" i="23"/>
  <c r="F35" i="23" s="1"/>
  <c r="C35" i="23"/>
  <c r="D35" i="23"/>
  <c r="E36" i="23"/>
  <c r="I36" i="23" s="1"/>
  <c r="K36" i="23" s="1"/>
  <c r="F36" i="23"/>
  <c r="C36" i="23"/>
  <c r="G36" i="23"/>
  <c r="D36" i="23"/>
  <c r="H36" i="23"/>
  <c r="J36" i="23"/>
  <c r="E37" i="23"/>
  <c r="F37" i="23" s="1"/>
  <c r="C37" i="23"/>
  <c r="D37" i="23"/>
  <c r="D13" i="23"/>
  <c r="E13" i="23"/>
  <c r="C13" i="23"/>
  <c r="I13" i="34"/>
  <c r="I14" i="34"/>
  <c r="I15" i="34"/>
  <c r="I16" i="34"/>
  <c r="I17" i="34"/>
  <c r="I19" i="34"/>
  <c r="I21" i="34"/>
  <c r="I22" i="34"/>
  <c r="I23" i="34"/>
  <c r="I27" i="34"/>
  <c r="I29" i="34"/>
  <c r="I31" i="34"/>
  <c r="I33" i="34"/>
  <c r="I35" i="34"/>
  <c r="I37" i="34"/>
  <c r="D10" i="29"/>
  <c r="D15" i="29" s="1"/>
  <c r="E10" i="29"/>
  <c r="B31" i="26"/>
  <c r="C33" i="26"/>
  <c r="A36" i="26"/>
  <c r="A37" i="26"/>
  <c r="A38" i="26" s="1"/>
  <c r="A39" i="26" s="1"/>
  <c r="A40" i="26" s="1"/>
  <c r="A41" i="26" s="1"/>
  <c r="A42" i="26" s="1"/>
  <c r="A43" i="26" s="1"/>
  <c r="A44" i="26" s="1"/>
  <c r="A45" i="26" s="1"/>
  <c r="A46" i="26" s="1"/>
  <c r="A47" i="26" s="1"/>
  <c r="A48" i="26" s="1"/>
  <c r="A49" i="26" s="1"/>
  <c r="A50" i="26" s="1"/>
  <c r="A51" i="26" s="1"/>
  <c r="A52" i="26" s="1"/>
  <c r="A53" i="26" s="1"/>
  <c r="A54" i="26" s="1"/>
  <c r="A55" i="26" s="1"/>
  <c r="B25" i="26"/>
  <c r="B26" i="26" s="1"/>
  <c r="B32" i="26"/>
  <c r="B55" i="26" l="1"/>
  <c r="B53" i="26"/>
  <c r="B51" i="26"/>
  <c r="B49" i="26"/>
  <c r="B47" i="26"/>
  <c r="B45" i="26"/>
  <c r="B43" i="26"/>
  <c r="B41" i="26"/>
  <c r="B39" i="26"/>
  <c r="B37" i="26"/>
  <c r="B35" i="26"/>
  <c r="B54" i="26"/>
  <c r="B52" i="26"/>
  <c r="B50" i="26"/>
  <c r="B48" i="26"/>
  <c r="B46" i="26"/>
  <c r="B44" i="26"/>
  <c r="B42" i="26"/>
  <c r="B40" i="26"/>
  <c r="B38" i="26"/>
  <c r="B36" i="26"/>
  <c r="I37" i="23"/>
  <c r="K37" i="23" s="1"/>
  <c r="I35" i="23"/>
  <c r="K35" i="23" s="1"/>
  <c r="G27" i="23"/>
  <c r="K75" i="23"/>
  <c r="J75" i="23"/>
  <c r="F31" i="23"/>
  <c r="I31" i="23"/>
  <c r="K31" i="23" s="1"/>
  <c r="G25" i="23"/>
  <c r="L25" i="23" s="1"/>
  <c r="N25" i="23" s="1"/>
  <c r="O25" i="23" s="1"/>
  <c r="J25" i="23"/>
  <c r="I13" i="23"/>
  <c r="F13" i="23"/>
  <c r="H37" i="23"/>
  <c r="L36" i="23"/>
  <c r="H35" i="23"/>
  <c r="I33" i="23"/>
  <c r="K33" i="23" s="1"/>
  <c r="J32" i="23"/>
  <c r="H31" i="23"/>
  <c r="G30" i="23"/>
  <c r="L30" i="23" s="1"/>
  <c r="N30" i="23" s="1"/>
  <c r="O30" i="23" s="1"/>
  <c r="G29" i="23"/>
  <c r="L29" i="23" s="1"/>
  <c r="N29" i="23" s="1"/>
  <c r="O29" i="23" s="1"/>
  <c r="J29" i="23"/>
  <c r="F27" i="23"/>
  <c r="I27" i="23"/>
  <c r="J24" i="23"/>
  <c r="L24" i="23" s="1"/>
  <c r="N24" i="23" s="1"/>
  <c r="O24" i="23" s="1"/>
  <c r="L22" i="23"/>
  <c r="G22" i="23"/>
  <c r="G21" i="23"/>
  <c r="L21" i="23" s="1"/>
  <c r="N21" i="23" s="1"/>
  <c r="O21" i="23" s="1"/>
  <c r="J21" i="23"/>
  <c r="F19" i="23"/>
  <c r="I19" i="23"/>
  <c r="K19" i="23" s="1"/>
  <c r="F70" i="23"/>
  <c r="I70" i="23"/>
  <c r="K70" i="23" s="1"/>
  <c r="G65" i="23"/>
  <c r="H65" i="23"/>
  <c r="G64" i="23"/>
  <c r="J64" i="23"/>
  <c r="H28" i="34"/>
  <c r="I28" i="34" s="1"/>
  <c r="L37" i="23"/>
  <c r="N37" i="23" s="1"/>
  <c r="O37" i="23" s="1"/>
  <c r="G33" i="23"/>
  <c r="L33" i="23" s="1"/>
  <c r="N33" i="23" s="1"/>
  <c r="O33" i="23" s="1"/>
  <c r="J33" i="23"/>
  <c r="H27" i="23"/>
  <c r="L26" i="23"/>
  <c r="N26" i="23" s="1"/>
  <c r="O26" i="23" s="1"/>
  <c r="G26" i="23"/>
  <c r="G37" i="23"/>
  <c r="J37" i="23"/>
  <c r="G35" i="23"/>
  <c r="L35" i="23" s="1"/>
  <c r="N35" i="23" s="1"/>
  <c r="O35" i="23" s="1"/>
  <c r="J35" i="23"/>
  <c r="L34" i="23"/>
  <c r="H33" i="23"/>
  <c r="G31" i="23"/>
  <c r="K27" i="23"/>
  <c r="H25" i="23"/>
  <c r="H17" i="23"/>
  <c r="K51" i="23"/>
  <c r="H51" i="23"/>
  <c r="I66" i="23"/>
  <c r="F66" i="23"/>
  <c r="J53" i="23"/>
  <c r="K53" i="23"/>
  <c r="F23" i="23"/>
  <c r="H23" i="23" s="1"/>
  <c r="I23" i="23"/>
  <c r="K23" i="23" s="1"/>
  <c r="J20" i="23"/>
  <c r="L20" i="23" s="1"/>
  <c r="N20" i="23" s="1"/>
  <c r="O20" i="23" s="1"/>
  <c r="H19" i="23"/>
  <c r="L18" i="23"/>
  <c r="G18" i="23"/>
  <c r="G17" i="23"/>
  <c r="L17" i="23" s="1"/>
  <c r="N17" i="23" s="1"/>
  <c r="O17" i="23" s="1"/>
  <c r="J17" i="23"/>
  <c r="F68" i="23"/>
  <c r="H68" i="23" s="1"/>
  <c r="I68" i="23"/>
  <c r="K68" i="23" s="1"/>
  <c r="L32" i="23"/>
  <c r="N32" i="23" s="1"/>
  <c r="O32" i="23" s="1"/>
  <c r="L28" i="23"/>
  <c r="L16" i="23"/>
  <c r="N16" i="23" s="1"/>
  <c r="O16" i="23" s="1"/>
  <c r="L14" i="23"/>
  <c r="G74" i="23"/>
  <c r="J74" i="23"/>
  <c r="G72" i="23"/>
  <c r="J72" i="23"/>
  <c r="H66" i="23"/>
  <c r="J61" i="23"/>
  <c r="K61" i="23"/>
  <c r="I58" i="23"/>
  <c r="K58" i="23" s="1"/>
  <c r="F58" i="23"/>
  <c r="G57" i="23"/>
  <c r="G56" i="23"/>
  <c r="J56" i="23"/>
  <c r="G54" i="23"/>
  <c r="H52" i="23"/>
  <c r="J70" i="23"/>
  <c r="J68" i="23"/>
  <c r="G66" i="23"/>
  <c r="H57" i="23"/>
  <c r="J57" i="23"/>
  <c r="K57" i="23"/>
  <c r="I54" i="23"/>
  <c r="F54" i="23"/>
  <c r="G53" i="23"/>
  <c r="G52" i="23"/>
  <c r="J52" i="23"/>
  <c r="H36" i="34"/>
  <c r="I36" i="34" s="1"/>
  <c r="J31" i="23"/>
  <c r="J27" i="23"/>
  <c r="J23" i="23"/>
  <c r="J19" i="23"/>
  <c r="J15" i="23"/>
  <c r="L15" i="23" s="1"/>
  <c r="N15" i="23" s="1"/>
  <c r="O15" i="23" s="1"/>
  <c r="F51" i="23"/>
  <c r="H74" i="23"/>
  <c r="H72" i="23"/>
  <c r="J69" i="23"/>
  <c r="K66" i="23"/>
  <c r="J65" i="23"/>
  <c r="K65" i="23"/>
  <c r="I62" i="23"/>
  <c r="K62" i="23" s="1"/>
  <c r="F62" i="23"/>
  <c r="H62" i="23" s="1"/>
  <c r="G61" i="23"/>
  <c r="G60" i="23"/>
  <c r="J60" i="23"/>
  <c r="G58" i="23"/>
  <c r="H56" i="23"/>
  <c r="H54" i="23"/>
  <c r="H32" i="34"/>
  <c r="I32" i="34" s="1"/>
  <c r="H24" i="34"/>
  <c r="I24" i="34" s="1"/>
  <c r="A40" i="34" s="1"/>
  <c r="N34" i="23"/>
  <c r="O34" i="23" s="1"/>
  <c r="N22" i="23"/>
  <c r="O22" i="23" s="1"/>
  <c r="N18" i="23"/>
  <c r="O18" i="23" s="1"/>
  <c r="N14" i="23"/>
  <c r="O14" i="23" s="1"/>
  <c r="H18" i="34"/>
  <c r="I18" i="34" s="1"/>
  <c r="J66" i="23"/>
  <c r="J58" i="23"/>
  <c r="N36" i="23"/>
  <c r="O36" i="23" s="1"/>
  <c r="N28" i="23"/>
  <c r="O28" i="23" s="1"/>
  <c r="H34" i="34"/>
  <c r="I34" i="34" s="1"/>
  <c r="H30" i="34"/>
  <c r="I30" i="34" s="1"/>
  <c r="H26" i="34"/>
  <c r="I26" i="34" s="1"/>
  <c r="F25" i="34"/>
  <c r="H25" i="34" s="1"/>
  <c r="I25" i="34" s="1"/>
  <c r="H20" i="34"/>
  <c r="I20" i="34" s="1"/>
  <c r="G23" i="23" l="1"/>
  <c r="D50" i="26"/>
  <c r="C50" i="26"/>
  <c r="C45" i="26"/>
  <c r="D45" i="26"/>
  <c r="J62" i="23"/>
  <c r="G51" i="23"/>
  <c r="G68" i="23"/>
  <c r="D40" i="26"/>
  <c r="C40" i="26"/>
  <c r="D48" i="26"/>
  <c r="C48" i="26"/>
  <c r="D35" i="26"/>
  <c r="C35" i="26"/>
  <c r="C43" i="26"/>
  <c r="D43" i="26"/>
  <c r="C51" i="26"/>
  <c r="D51" i="26"/>
  <c r="C37" i="26"/>
  <c r="D37" i="26"/>
  <c r="G70" i="23"/>
  <c r="H70" i="23"/>
  <c r="G13" i="23"/>
  <c r="L13" i="23" s="1"/>
  <c r="N13" i="23" s="1"/>
  <c r="H13" i="23"/>
  <c r="D36" i="26"/>
  <c r="C36" i="26"/>
  <c r="D44" i="26"/>
  <c r="C44" i="26"/>
  <c r="D52" i="26"/>
  <c r="C52" i="26"/>
  <c r="D39" i="26"/>
  <c r="C39" i="26"/>
  <c r="D47" i="26"/>
  <c r="C47" i="26"/>
  <c r="D55" i="26"/>
  <c r="C55" i="26"/>
  <c r="L23" i="23"/>
  <c r="N23" i="23" s="1"/>
  <c r="O23" i="23" s="1"/>
  <c r="D42" i="26"/>
  <c r="C42" i="26"/>
  <c r="C53" i="26"/>
  <c r="D53" i="26"/>
  <c r="J54" i="23"/>
  <c r="K54" i="23"/>
  <c r="H58" i="23"/>
  <c r="L19" i="23"/>
  <c r="N19" i="23" s="1"/>
  <c r="O19" i="23" s="1"/>
  <c r="L27" i="23"/>
  <c r="N27" i="23" s="1"/>
  <c r="O27" i="23" s="1"/>
  <c r="J13" i="23"/>
  <c r="K13" i="23"/>
  <c r="L31" i="23"/>
  <c r="N31" i="23" s="1"/>
  <c r="O31" i="23" s="1"/>
  <c r="G62" i="23"/>
  <c r="G19" i="23"/>
  <c r="D38" i="26"/>
  <c r="C38" i="26"/>
  <c r="D46" i="26"/>
  <c r="C46" i="26"/>
  <c r="D54" i="26"/>
  <c r="C54" i="26"/>
  <c r="C41" i="26"/>
  <c r="D41" i="26"/>
  <c r="C49" i="26"/>
  <c r="D49" i="26"/>
  <c r="A46" i="23" l="1"/>
  <c r="B46" i="23"/>
  <c r="O13" i="23"/>
  <c r="A40" i="23" s="1"/>
  <c r="F54" i="34"/>
  <c r="F58" i="34"/>
  <c r="F62" i="34"/>
  <c r="F66" i="34"/>
  <c r="F70" i="34"/>
  <c r="D8" i="29"/>
  <c r="D14" i="29" s="1"/>
  <c r="D16" i="29" s="1"/>
  <c r="F55" i="34"/>
  <c r="F56" i="34"/>
  <c r="F57" i="34"/>
  <c r="F71" i="34"/>
  <c r="F72" i="34"/>
  <c r="F51" i="34"/>
  <c r="F52" i="34"/>
  <c r="F53" i="34"/>
  <c r="F67" i="34"/>
  <c r="F68" i="34"/>
  <c r="F69" i="34"/>
  <c r="F73" i="34"/>
  <c r="F59" i="34"/>
  <c r="F60" i="34"/>
  <c r="F61" i="34"/>
  <c r="F75" i="34"/>
  <c r="F64" i="34"/>
  <c r="F74" i="34"/>
  <c r="F63" i="34"/>
  <c r="F65" i="34"/>
  <c r="E8" i="29"/>
  <c r="G53" i="34"/>
  <c r="G57" i="34"/>
  <c r="G61" i="34"/>
  <c r="G65" i="34"/>
  <c r="G69" i="34"/>
  <c r="G54" i="34"/>
  <c r="G59" i="34"/>
  <c r="G60" i="34"/>
  <c r="G70" i="34"/>
  <c r="G75" i="34"/>
  <c r="G55" i="34"/>
  <c r="G56" i="34"/>
  <c r="G66" i="34"/>
  <c r="G71" i="34"/>
  <c r="G72" i="34"/>
  <c r="G58" i="34"/>
  <c r="G63" i="34"/>
  <c r="G64" i="34"/>
  <c r="G74" i="34"/>
  <c r="G62" i="34"/>
  <c r="G67" i="34"/>
  <c r="G52" i="34"/>
  <c r="G73" i="34"/>
  <c r="G51" i="34"/>
  <c r="G68" i="34"/>
  <c r="H74" i="34" l="1"/>
  <c r="I74" i="34"/>
  <c r="I51" i="34"/>
  <c r="H51" i="34"/>
  <c r="H64" i="34"/>
  <c r="K64" i="34" s="1"/>
  <c r="I64" i="34"/>
  <c r="I59" i="34"/>
  <c r="H59" i="34"/>
  <c r="I67" i="34"/>
  <c r="H67" i="34"/>
  <c r="I72" i="34"/>
  <c r="H72" i="34"/>
  <c r="K72" i="34" s="1"/>
  <c r="I55" i="34"/>
  <c r="H55" i="34"/>
  <c r="I62" i="34"/>
  <c r="H62" i="34"/>
  <c r="H68" i="34"/>
  <c r="K68" i="34" s="1"/>
  <c r="I68" i="34"/>
  <c r="H56" i="34"/>
  <c r="I56" i="34"/>
  <c r="I65" i="34"/>
  <c r="H65" i="34"/>
  <c r="H75" i="34"/>
  <c r="I75" i="34"/>
  <c r="I73" i="34"/>
  <c r="H73" i="34"/>
  <c r="I53" i="34"/>
  <c r="H53" i="34"/>
  <c r="I71" i="34"/>
  <c r="H71" i="34"/>
  <c r="H58" i="34"/>
  <c r="K58" i="34" s="1"/>
  <c r="I58" i="34"/>
  <c r="M51" i="23"/>
  <c r="M55" i="23"/>
  <c r="M59" i="23"/>
  <c r="M63" i="23"/>
  <c r="M67" i="23"/>
  <c r="M71" i="23"/>
  <c r="M75" i="23"/>
  <c r="M52" i="23"/>
  <c r="M56" i="23"/>
  <c r="M60" i="23"/>
  <c r="M64" i="23"/>
  <c r="M68" i="23"/>
  <c r="M72" i="23"/>
  <c r="M53" i="23"/>
  <c r="M57" i="23"/>
  <c r="M61" i="23"/>
  <c r="M54" i="23"/>
  <c r="M58" i="23"/>
  <c r="M62" i="23"/>
  <c r="M66" i="23"/>
  <c r="M70" i="23"/>
  <c r="M74" i="23"/>
  <c r="M69" i="23"/>
  <c r="M73" i="23"/>
  <c r="M65" i="23"/>
  <c r="H60" i="34"/>
  <c r="I60" i="34"/>
  <c r="I66" i="34"/>
  <c r="H66" i="34"/>
  <c r="K66" i="34" s="1"/>
  <c r="I63" i="34"/>
  <c r="H63" i="34"/>
  <c r="K63" i="34" s="1"/>
  <c r="H61" i="34"/>
  <c r="I61" i="34"/>
  <c r="I69" i="34"/>
  <c r="H69" i="34"/>
  <c r="K69" i="34" s="1"/>
  <c r="H52" i="34"/>
  <c r="I52" i="34"/>
  <c r="H57" i="34"/>
  <c r="I57" i="34"/>
  <c r="H70" i="34"/>
  <c r="I70" i="34"/>
  <c r="H54" i="34"/>
  <c r="I54" i="34"/>
  <c r="L65" i="23"/>
  <c r="L52" i="23"/>
  <c r="L71" i="23"/>
  <c r="L72" i="23"/>
  <c r="L75" i="23"/>
  <c r="L64" i="23"/>
  <c r="L55" i="23"/>
  <c r="L67" i="23"/>
  <c r="L57" i="23"/>
  <c r="L63" i="23"/>
  <c r="L74" i="23"/>
  <c r="L60" i="23"/>
  <c r="L56" i="23"/>
  <c r="L61" i="23"/>
  <c r="L59" i="23"/>
  <c r="L69" i="23"/>
  <c r="L53" i="23"/>
  <c r="L73" i="23"/>
  <c r="L68" i="23"/>
  <c r="L66" i="23"/>
  <c r="L62" i="23"/>
  <c r="L70" i="23"/>
  <c r="L58" i="23"/>
  <c r="L51" i="23"/>
  <c r="L54" i="23"/>
  <c r="K56" i="34" l="1"/>
  <c r="K75" i="34"/>
  <c r="K74" i="34"/>
  <c r="N66" i="23"/>
  <c r="O66" i="23"/>
  <c r="N60" i="23"/>
  <c r="O60" i="23"/>
  <c r="N54" i="23"/>
  <c r="O54" i="23"/>
  <c r="N62" i="23"/>
  <c r="Q62" i="23" s="1"/>
  <c r="O62" i="23"/>
  <c r="O53" i="23"/>
  <c r="N53" i="23"/>
  <c r="Q53" i="23" s="1"/>
  <c r="N56" i="23"/>
  <c r="O56" i="23"/>
  <c r="O57" i="23"/>
  <c r="N57" i="23"/>
  <c r="Q57" i="23" s="1"/>
  <c r="N75" i="23"/>
  <c r="O75" i="23"/>
  <c r="O65" i="23"/>
  <c r="N65" i="23"/>
  <c r="Q65" i="23" s="1"/>
  <c r="K70" i="34"/>
  <c r="K52" i="34"/>
  <c r="K61" i="34"/>
  <c r="K53" i="34"/>
  <c r="K62" i="34"/>
  <c r="K59" i="34"/>
  <c r="K51" i="34"/>
  <c r="O69" i="23"/>
  <c r="N69" i="23"/>
  <c r="Q69" i="23" s="1"/>
  <c r="O72" i="23"/>
  <c r="N72" i="23"/>
  <c r="Q72" i="23" s="1"/>
  <c r="N58" i="23"/>
  <c r="O58" i="23"/>
  <c r="O68" i="23"/>
  <c r="N68" i="23"/>
  <c r="N59" i="23"/>
  <c r="O59" i="23"/>
  <c r="N74" i="23"/>
  <c r="Q74" i="23" s="1"/>
  <c r="O74" i="23"/>
  <c r="N55" i="23"/>
  <c r="Q55" i="23" s="1"/>
  <c r="O55" i="23"/>
  <c r="N71" i="23"/>
  <c r="Q71" i="23" s="1"/>
  <c r="O71" i="23"/>
  <c r="K54" i="34"/>
  <c r="K57" i="34"/>
  <c r="K60" i="34"/>
  <c r="K71" i="34"/>
  <c r="K73" i="34"/>
  <c r="K65" i="34"/>
  <c r="K55" i="34"/>
  <c r="K67" i="34"/>
  <c r="N51" i="23"/>
  <c r="O51" i="23"/>
  <c r="N67" i="23"/>
  <c r="Q67" i="23" s="1"/>
  <c r="O67" i="23"/>
  <c r="N70" i="23"/>
  <c r="O70" i="23"/>
  <c r="O73" i="23"/>
  <c r="N73" i="23"/>
  <c r="O61" i="23"/>
  <c r="N61" i="23"/>
  <c r="Q61" i="23" s="1"/>
  <c r="N63" i="23"/>
  <c r="Q63" i="23" s="1"/>
  <c r="O63" i="23"/>
  <c r="O64" i="23"/>
  <c r="N64" i="23"/>
  <c r="Q64" i="23" s="1"/>
  <c r="N52" i="23"/>
  <c r="Q52" i="23" s="1"/>
  <c r="O52" i="23"/>
  <c r="Q75" i="23" l="1"/>
  <c r="Q56" i="23"/>
  <c r="Q60" i="23"/>
  <c r="Q70" i="23"/>
  <c r="Q51" i="23"/>
  <c r="Q59" i="23"/>
  <c r="Q58" i="23"/>
  <c r="Q73" i="23"/>
  <c r="Q68" i="23"/>
  <c r="K76" i="34"/>
  <c r="K77" i="34" s="1"/>
  <c r="Q54" i="23"/>
  <c r="Q66" i="23"/>
  <c r="Q76" i="23" l="1"/>
  <c r="Q77"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Erick Delage</author>
  </authors>
  <commentList>
    <comment ref="F13" authorId="0" shapeId="0" xr:uid="{00000000-0006-0000-0300-000001000000}">
      <text>
        <r>
          <rPr>
            <b/>
            <sz val="9"/>
            <color indexed="81"/>
            <rFont val="Tahoma"/>
            <family val="2"/>
          </rPr>
          <t>Cette cellule calcule la prévision de la valeur comme une fonction linéaire des trois variables influentes.</t>
        </r>
      </text>
    </comment>
    <comment ref="H13" authorId="0" shapeId="0" xr:uid="{00000000-0006-0000-0300-000002000000}">
      <text>
        <r>
          <rPr>
            <b/>
            <sz val="9"/>
            <color indexed="81"/>
            <rFont val="Tahoma"/>
            <family val="2"/>
          </rPr>
          <t>Cette cellule calcule la valeur d'epsilon si la fonction linéaire est la bonne</t>
        </r>
      </text>
    </comment>
    <comment ref="A40" authorId="0" shapeId="0" xr:uid="{00000000-0006-0000-0300-000003000000}">
      <text>
        <r>
          <rPr>
            <b/>
            <sz val="9"/>
            <color indexed="81"/>
            <rFont val="Tahoma"/>
            <family val="2"/>
          </rPr>
          <t>Cette cellule calcule la moyenne de l'erreur au carré</t>
        </r>
      </text>
    </comment>
    <comment ref="A44" authorId="0" shapeId="0" xr:uid="{00000000-0006-0000-0300-000004000000}">
      <text>
        <r>
          <rPr>
            <b/>
            <sz val="9"/>
            <color indexed="81"/>
            <rFont val="Tahoma"/>
            <family val="2"/>
          </rPr>
          <t>Cette hypothèse implique que "V" suit la loi normale avec une moyenne de "a+bD+cT+dP+E[epsilon]" et un écart type égal à l'écart type de "epsilon"</t>
        </r>
      </text>
    </comment>
    <comment ref="H51" authorId="0" shapeId="0" xr:uid="{00000000-0006-0000-0300-000005000000}">
      <text>
        <r>
          <rPr>
            <b/>
            <sz val="9"/>
            <color indexed="81"/>
            <rFont val="Tahoma"/>
            <family val="2"/>
          </rPr>
          <t>Puisque V est normal avec une moyenne et un écart type tel que calculé, il est possible de calculer un intervalle de confiance pour la réalisation de V.</t>
        </r>
      </text>
    </comment>
    <comment ref="K51" authorId="0" shapeId="0" xr:uid="{00000000-0006-0000-0300-000006000000}">
      <text>
        <r>
          <rPr>
            <b/>
            <sz val="9"/>
            <color indexed="81"/>
            <rFont val="Tahoma"/>
            <family val="2"/>
          </rPr>
          <t>Vérification que la vraie valeur est dans l'intervalle de confiance ou pas.</t>
        </r>
        <r>
          <rPr>
            <sz val="9"/>
            <color indexed="81"/>
            <rFont val="Tahoma"/>
            <family val="2"/>
          </rPr>
          <t xml:space="preserve">
</t>
        </r>
      </text>
    </comment>
    <comment ref="K76" authorId="0" shapeId="0" xr:uid="{00000000-0006-0000-0300-000007000000}">
      <text>
        <r>
          <rPr>
            <b/>
            <sz val="9"/>
            <color indexed="81"/>
            <rFont val="Tahoma"/>
            <family val="2"/>
          </rPr>
          <t>Proportion de fois pour ces données où la vrai valeur tombe dans l'intervalle.</t>
        </r>
      </text>
    </comment>
    <comment ref="K77" authorId="0" shapeId="0" xr:uid="{00000000-0006-0000-0300-000008000000}">
      <text>
        <r>
          <rPr>
            <b/>
            <sz val="9"/>
            <color indexed="81"/>
            <rFont val="Arial"/>
            <family val="2"/>
          </rPr>
          <t xml:space="preserve">Un P-value de 30% nous indique que s'il s'agissait du vrai modèle  nous aurions 30% de chance de voir une proportion aussi éloignée de 0.8 que la proportion observée ici.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Erick Delage</author>
  </authors>
  <commentList>
    <comment ref="L13" authorId="0" shapeId="0" xr:uid="{00000000-0006-0000-0400-000001000000}">
      <text>
        <r>
          <rPr>
            <b/>
            <sz val="9"/>
            <color indexed="81"/>
            <rFont val="Tahoma"/>
            <family val="2"/>
          </rPr>
          <t>Cette cellule calcule la prévision de la valeur comme une fonction linéaire des trois variables influentes.</t>
        </r>
      </text>
    </comment>
    <comment ref="N13" authorId="0" shapeId="0" xr:uid="{00000000-0006-0000-0400-000002000000}">
      <text>
        <r>
          <rPr>
            <b/>
            <sz val="9"/>
            <color indexed="81"/>
            <rFont val="Tahoma"/>
            <family val="2"/>
          </rPr>
          <t>Cette cellule calcule la valeur d'epsilon si la fonction linéaire est la bonne</t>
        </r>
      </text>
    </comment>
    <comment ref="A40" authorId="0" shapeId="0" xr:uid="{00000000-0006-0000-0400-000003000000}">
      <text>
        <r>
          <rPr>
            <b/>
            <sz val="9"/>
            <color indexed="81"/>
            <rFont val="Tahoma"/>
            <family val="2"/>
          </rPr>
          <t>Cette cellule calcule la moyenne de l'erreur au carré</t>
        </r>
      </text>
    </comment>
    <comment ref="A44" authorId="0" shapeId="0" xr:uid="{00000000-0006-0000-0400-000004000000}">
      <text>
        <r>
          <rPr>
            <b/>
            <sz val="9"/>
            <color indexed="81"/>
            <rFont val="Tahoma"/>
            <family val="2"/>
          </rPr>
          <t>Cette hypothèse implique que "V" suit la loi normale avec une moyenne de "a+bD+cT+dP+E[epsilon]" et un écart type égal à l'écart type de "epsilon"</t>
        </r>
      </text>
    </comment>
    <comment ref="L51" authorId="0" shapeId="0" xr:uid="{00000000-0006-0000-0400-000005000000}">
      <text>
        <r>
          <rPr>
            <b/>
            <sz val="9"/>
            <color indexed="81"/>
            <rFont val="Tahoma"/>
            <family val="2"/>
          </rPr>
          <t>Cette cellule calcule la prévision de la valeur comme une fonction linéaire des trois variables influentes.</t>
        </r>
      </text>
    </comment>
    <comment ref="N51" authorId="0" shapeId="0" xr:uid="{00000000-0006-0000-0400-000006000000}">
      <text>
        <r>
          <rPr>
            <b/>
            <sz val="9"/>
            <color indexed="81"/>
            <rFont val="Tahoma"/>
            <family val="2"/>
          </rPr>
          <t>Puisque V est normal avec une moyenne et un écart type tel que calculé, il est possible de calculer un intervalle de confiance pour la réalisation de V.</t>
        </r>
      </text>
    </comment>
    <comment ref="Q51" authorId="0" shapeId="0" xr:uid="{00000000-0006-0000-0400-000007000000}">
      <text>
        <r>
          <rPr>
            <b/>
            <sz val="9"/>
            <color indexed="81"/>
            <rFont val="Tahoma"/>
            <family val="2"/>
          </rPr>
          <t>Vérification que la vraie valeur est dans l'intervalle de confiance ou pas.</t>
        </r>
        <r>
          <rPr>
            <sz val="9"/>
            <color indexed="81"/>
            <rFont val="Tahoma"/>
            <family val="2"/>
          </rPr>
          <t xml:space="preserve">
</t>
        </r>
      </text>
    </comment>
    <comment ref="Q76" authorId="0" shapeId="0" xr:uid="{00000000-0006-0000-0400-000008000000}">
      <text>
        <r>
          <rPr>
            <b/>
            <sz val="9"/>
            <color indexed="81"/>
            <rFont val="Tahoma"/>
            <family val="2"/>
          </rPr>
          <t>Proportion de fois pour ces données où la vrai valeur tombe dans l'intervalle.</t>
        </r>
      </text>
    </comment>
    <comment ref="Q77" authorId="0" shapeId="0" xr:uid="{00000000-0006-0000-0400-000009000000}">
      <text>
        <r>
          <rPr>
            <b/>
            <sz val="9"/>
            <color indexed="81"/>
            <rFont val="Arial"/>
            <family val="2"/>
          </rPr>
          <t xml:space="preserve">Un P-value de .0007% nous indique que s'il s'agissait du vrai modèle  nous aurions .0007% de chance de voir une proportion aussi éloignée de 0.8 que la proportion observée ici.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Erick Delage</author>
  </authors>
  <commentList>
    <comment ref="B25" authorId="0" shapeId="0" xr:uid="{00000000-0006-0000-0700-000001000000}">
      <text>
        <r>
          <rPr>
            <b/>
            <sz val="9"/>
            <color indexed="81"/>
            <rFont val="Tahoma"/>
            <family val="2"/>
          </rPr>
          <t>Nous comptons le nombre de sinistres observés</t>
        </r>
      </text>
    </comment>
    <comment ref="B26" authorId="0" shapeId="0" xr:uid="{00000000-0006-0000-0700-000002000000}">
      <text>
        <r>
          <rPr>
            <b/>
            <sz val="9"/>
            <color indexed="81"/>
            <rFont val="Tahoma"/>
            <family val="2"/>
          </rPr>
          <t>Nombre d'occasions de sinistre moins le nombre de sinistres observés</t>
        </r>
        <r>
          <rPr>
            <sz val="9"/>
            <color indexed="81"/>
            <rFont val="Tahoma"/>
            <family val="2"/>
          </rPr>
          <t xml:space="preserve">
</t>
        </r>
      </text>
    </comment>
    <comment ref="C29" authorId="0" shapeId="0" xr:uid="{00000000-0006-0000-0700-000003000000}">
      <text>
        <r>
          <rPr>
            <b/>
            <sz val="9"/>
            <color indexed="81"/>
            <rFont val="Tahoma"/>
            <family val="2"/>
          </rPr>
          <t>Paramètres de la loi Bêta avant l'observation de ces données.</t>
        </r>
      </text>
    </comment>
  </commentList>
</comments>
</file>

<file path=xl/sharedStrings.xml><?xml version="1.0" encoding="utf-8"?>
<sst xmlns="http://schemas.openxmlformats.org/spreadsheetml/2006/main" count="195" uniqueCount="109">
  <si>
    <t>a</t>
  </si>
  <si>
    <t>b</t>
  </si>
  <si>
    <t>c</t>
  </si>
  <si>
    <t>epsilon</t>
  </si>
  <si>
    <t>Objectif de régression</t>
  </si>
  <si>
    <t>epsilon carré</t>
  </si>
  <si>
    <t>index</t>
  </si>
  <si>
    <t>Modélisation de epsilon</t>
  </si>
  <si>
    <t>(hypothèse normale)</t>
  </si>
  <si>
    <t>moyenne</t>
  </si>
  <si>
    <t>(solution analytique)</t>
  </si>
  <si>
    <t>std dev</t>
  </si>
  <si>
    <t>f(x)</t>
  </si>
  <si>
    <t>d</t>
  </si>
  <si>
    <t>Calibration</t>
  </si>
  <si>
    <t>Nombre de sinistre</t>
  </si>
  <si>
    <t>Nombre de non-sinistre</t>
  </si>
  <si>
    <t>Observations</t>
  </si>
  <si>
    <t>Fonction de répartition</t>
  </si>
  <si>
    <t>alpha</t>
  </si>
  <si>
    <t>beta</t>
  </si>
  <si>
    <t>max</t>
  </si>
  <si>
    <t>x</t>
  </si>
  <si>
    <t>P(X&lt;= x)</t>
  </si>
  <si>
    <t xml:space="preserve">                                                                                                                                                                                                                                                                                                                                                                                                                                                                                                                                                                                                                                                                                                                                                                                                                                                                                                                                                                                                                                                                                                                                                                                                                                                                                                                                                                                                                                                                                                                                                                                                                                                     </t>
  </si>
  <si>
    <t>Distance Centre-Ville (D)</t>
  </si>
  <si>
    <t>Grandeur terrain (T)</t>
  </si>
  <si>
    <t>Piscine présente (P)</t>
  </si>
  <si>
    <t>Valeur propriété (V)</t>
  </si>
  <si>
    <t>D</t>
  </si>
  <si>
    <t>T</t>
  </si>
  <si>
    <t>P</t>
  </si>
  <si>
    <t>V</t>
  </si>
  <si>
    <t>Modélisation de influence de D, T et P  sur V</t>
  </si>
  <si>
    <t>Régression V = a + bD + cT + dP + epsilon</t>
  </si>
  <si>
    <t>Borne inf V</t>
  </si>
  <si>
    <t>Borne sup V</t>
  </si>
  <si>
    <t>Vrai V</t>
  </si>
  <si>
    <t>L'intervalle contient vrai V</t>
  </si>
  <si>
    <t>Intervalle confiance 80%</t>
  </si>
  <si>
    <t>Proportion:</t>
  </si>
  <si>
    <t>Probabilité moyenne</t>
  </si>
  <si>
    <t>(i.e. alpha/(alpha+beta))</t>
  </si>
  <si>
    <t>Écart type</t>
  </si>
  <si>
    <t>a + bD + cT + dP</t>
  </si>
  <si>
    <t>Sites 1 à 100</t>
  </si>
  <si>
    <t>Sites 101 à 200</t>
  </si>
  <si>
    <t>Sites 201 à 300</t>
  </si>
  <si>
    <t>Sites 301 à 400</t>
  </si>
  <si>
    <t>Sites 401 à 500</t>
  </si>
  <si>
    <t>Sites 501 à 600</t>
  </si>
  <si>
    <t>Sites 601 à 700</t>
  </si>
  <si>
    <t>Sites 701 à 800</t>
  </si>
  <si>
    <t>Sites 801 à 900</t>
  </si>
  <si>
    <t>Sites 901 à 1000</t>
  </si>
  <si>
    <t>Sites 1001 à 1100</t>
  </si>
  <si>
    <t>Sites 1101 à 1200</t>
  </si>
  <si>
    <t>Sites 1201 à 1300</t>
  </si>
  <si>
    <t>Sites 1301 à 1400</t>
  </si>
  <si>
    <t>Sites 1401 à 1500</t>
  </si>
  <si>
    <t>Sites 1501 à 1600</t>
  </si>
  <si>
    <t>Sites 1601 à 1700</t>
  </si>
  <si>
    <t>Sites 1701 à 1800</t>
  </si>
  <si>
    <t>Sites 1901 à 2000</t>
  </si>
  <si>
    <t>Sites 1801 à 1900</t>
  </si>
  <si>
    <t>E[V]</t>
  </si>
  <si>
    <t>Valeur de la maison:</t>
  </si>
  <si>
    <t>Probabilité d'un sinistre</t>
  </si>
  <si>
    <t>Beta apriori</t>
  </si>
  <si>
    <t>Beta aposteriori</t>
  </si>
  <si>
    <t>Échantillon pour inférence</t>
  </si>
  <si>
    <t>Instruction: Voici les données</t>
  </si>
  <si>
    <t>Échantillon pour évaluation du modèle</t>
  </si>
  <si>
    <t>P-value:</t>
  </si>
  <si>
    <t>Écart type de V</t>
  </si>
  <si>
    <t>Abscisse à l'origine</t>
  </si>
  <si>
    <t>Conclusion : Le modèle est bien calibré selon ces données</t>
  </si>
  <si>
    <t>Un client appel pour recevoir un estimé de la prime qu'il aurait à payer pour cette assurance, il habite à 10 km du centre-ville, son terrain est de 5 000 pieds carrés et ne possède pas de piscine.</t>
  </si>
  <si>
    <t xml:space="preserve">- Estimer une loi normale pour le terme d'erreur de cette régression par maximisation de la 
vraisemblance. </t>
  </si>
  <si>
    <t>Un client appelle pour recevoir un estimé de la prime annuelle qu'il aurait à payer pour cette assurance, il habite à 10 km du centre-ville, son terrain est de 5 000 pieds carrés et ne possède pas de piscine.</t>
  </si>
  <si>
    <t>Est-ce que la compagnie d'assurance peut se permettre d'offrir une prime de 2 000 $ sans déductible?</t>
  </si>
  <si>
    <t>Étapes de manipulation du chiffrier :</t>
  </si>
  <si>
    <t>1.b) À partir des données « d'évaluation », vérifier si la loi obtenue est bien calibrée pour un intervalle de confiance de 80 %.</t>
  </si>
  <si>
    <t>- Vérifier à la cellule J76 que la proportion de fois qu'une donnée d'évaluation tombe dans l'intervalle de confiance prévu par le modèle est près de 80 %.</t>
  </si>
  <si>
    <t>2) Déterminer un modèle stochastique à partir de l'approche Bayesienne pour la variable aléatoire décrivant s'il y aura un sinistre dans la région de l'appel.</t>
  </si>
  <si>
    <t>2.1) Faire l'hypothèse que notre connaissance de la probabilité d'un sinistre avant d'observer les données historiques est bien capturée par la loi Beta(1,1).</t>
  </si>
  <si>
    <t>- Considérer que le  « alpha = 1+nombre de sinistres observés » et que le paramètre « beta= 1 + nombre d'occasions où il n'y a pas eu de sinistre » tel que suggéré par l'approche Bayesienne.</t>
  </si>
  <si>
    <t>Considérer une compagnie d'assurance qui souhaite décider des primes annuelles exigées pour une assurance sur la valeur totale d'une propriété en cas de sinistre grave. Le contrat d'assurance en question stipule que la valeur remboursée est égale à la valeur de la propriété telle qu'évaluée par un expert la veille du sinistre. La compagnie considère que trois critères influencent la valeur d'une propriété résidentielle :  la distance du centre-ville (en km), la grandeur du terrain (en pieds carrés) et la présence d'une piscine. Des données récentes sont utilisées pour définir notre connaissance de la valeur des maisons sur ce territoire. La probabilité d'un sinistre (dans la prochaine année) est estimée en utilisant des données sur les 31 dernières années pour la région. La probabilité d'un sinistre (dans la prochaine année) est estimée en utilisant des données sur les 31 dernières années pour la région.</t>
  </si>
  <si>
    <t>2.2) Faire l'hypothèse que chacun des sites observés dans les données pour chacune des années avait la même probabilité d'avoir un « sinistre grave » que le site de l'appel cette année.</t>
  </si>
  <si>
    <t>2.3) Utiliser les données historiques pour établir la connaissance a posteriori de la probabilité de « sinistre grave » cette année au site de l'appel.</t>
  </si>
  <si>
    <t xml:space="preserve">1.a) Appliquer une régression linéaire sur les données « d'inférence » afin de déterminer une loi pour la        distribution de la valeur de la maison conditionellement à la connaissance des trois variables influentes. </t>
  </si>
  <si>
    <t xml:space="preserve"> - À l'aide du Solveur, déterminer la valeur des paramètres de régression qui minimise la moyenne des  erreurs au carré entre la prévision du modèle et la valeur de chacune des propriétés.</t>
  </si>
  <si>
    <t>1) Déterminer un modèle stochastique pour une variable aléatoire capturant notre connaissance de la valeur      d'une propriété dépendamment des informations reçues à son sujet.</t>
  </si>
  <si>
    <t>Valeur espérée de la maison E[V]</t>
  </si>
  <si>
    <t>E[V]  =  a + bD + cT + dP + E[epsilon]</t>
  </si>
  <si>
    <t>Probabilité moyenne d'un sinistre E[S]</t>
  </si>
  <si>
    <t>(P=1)</t>
  </si>
  <si>
    <t>(P=0)</t>
  </si>
  <si>
    <t>D*(P=0)</t>
  </si>
  <si>
    <t>T*(P=0)</t>
  </si>
  <si>
    <t>combinaison linéaire</t>
  </si>
  <si>
    <t>e</t>
  </si>
  <si>
    <t>f</t>
  </si>
  <si>
    <t>Régression V = (P=0)*(a + bD + cT) + (P=1)(d + eD+ fT) + epsilon</t>
  </si>
  <si>
    <t>Modélisation de influence de D, T et P  sur V à l'aide de transformation non-linéaires des variables observées</t>
  </si>
  <si>
    <t>D*(P=1)</t>
  </si>
  <si>
    <t>T*(P=1)</t>
  </si>
  <si>
    <t>Prime d'assurance minimale (i.e. E[V∙S]=E[V]E[S])</t>
  </si>
  <si>
    <t>* ici on assume que V indépendant de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</si>
</sst>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4"/>
      <name val="Arial"/>
    </font>
    <font>
      <sz val="10"/>
      <name val="Arial"/>
      <family val="2"/>
    </font>
    <font>
      <sz val="14"/>
      <name val="Arial"/>
      <family val="2"/>
    </font>
    <font>
      <b/>
      <sz val="12"/>
      <name val="Arial"/>
      <family val="2"/>
    </font>
    <font>
      <b/>
      <sz val="12"/>
      <color indexed="17"/>
      <name val="Arial"/>
      <family val="2"/>
    </font>
    <font>
      <sz val="14"/>
      <name val="Arial"/>
      <family val="2"/>
    </font>
    <font>
      <b/>
      <sz val="9"/>
      <color indexed="81"/>
      <name val="Tahoma"/>
      <family val="2"/>
    </font>
    <font>
      <sz val="9"/>
      <color indexed="81"/>
      <name val="Tahoma"/>
      <family val="2"/>
    </font>
    <font>
      <sz val="12"/>
      <name val="Calibri"/>
      <family val="2"/>
      <scheme val="minor"/>
    </font>
    <font>
      <u/>
      <sz val="14"/>
      <color theme="10"/>
      <name val="Arial"/>
      <family val="2"/>
    </font>
    <font>
      <u/>
      <sz val="14"/>
      <color theme="11"/>
      <name val="Arial"/>
      <family val="2"/>
    </font>
    <font>
      <b/>
      <sz val="9"/>
      <color indexed="81"/>
      <name val="Arial"/>
      <family val="2"/>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tint="-0.14999847407452621"/>
        <bgColor indexed="64"/>
      </patternFill>
    </fill>
    <fill>
      <patternFill patternType="solid">
        <fgColor theme="7" tint="0.59999389629810485"/>
        <bgColor indexed="64"/>
      </patternFill>
    </fill>
  </fills>
  <borders count="1">
    <border>
      <left/>
      <right/>
      <top/>
      <bottom/>
      <diagonal/>
    </border>
  </borders>
  <cellStyleXfs count="24">
    <xf numFmtId="0" fontId="0" fillId="0" borderId="0"/>
    <xf numFmtId="0" fontId="1" fillId="0" borderId="0"/>
    <xf numFmtId="9" fontId="5" fillId="0" borderId="0" applyFont="0" applyFill="0" applyBorder="0" applyAlignment="0" applyProtection="0"/>
    <xf numFmtId="0" fontId="2" fillId="0" borderId="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cellStyleXfs>
  <cellXfs count="51">
    <xf numFmtId="0" fontId="0" fillId="0" borderId="0" xfId="0"/>
    <xf numFmtId="0" fontId="3" fillId="0" borderId="0" xfId="0" applyFont="1"/>
    <xf numFmtId="0" fontId="3" fillId="0" borderId="0" xfId="1" applyFont="1" applyFill="1" applyBorder="1" applyAlignment="1">
      <alignment horizontal="center"/>
    </xf>
    <xf numFmtId="0" fontId="4" fillId="0" borderId="0" xfId="1" applyFont="1" applyFill="1" applyBorder="1" applyAlignment="1">
      <alignment horizontal="center"/>
    </xf>
    <xf numFmtId="0" fontId="2" fillId="0" borderId="0" xfId="0" applyFont="1"/>
    <xf numFmtId="11" fontId="0" fillId="0" borderId="0" xfId="0" applyNumberFormat="1"/>
    <xf numFmtId="0" fontId="0" fillId="2" borderId="0" xfId="0" applyFill="1"/>
    <xf numFmtId="0" fontId="0" fillId="3" borderId="0" xfId="0" applyFill="1"/>
    <xf numFmtId="0" fontId="3" fillId="0" borderId="0" xfId="0" applyFont="1" applyAlignment="1">
      <alignment horizontal="center" vertical="center" wrapText="1"/>
    </xf>
    <xf numFmtId="0" fontId="3" fillId="0" borderId="0" xfId="1"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11" fontId="2" fillId="3" borderId="0" xfId="0" applyNumberFormat="1" applyFont="1" applyFill="1"/>
    <xf numFmtId="11" fontId="0" fillId="3" borderId="0" xfId="0" applyNumberFormat="1" applyFill="1"/>
    <xf numFmtId="0" fontId="0" fillId="0" borderId="0" xfId="0" applyAlignment="1"/>
    <xf numFmtId="2" fontId="0" fillId="0" borderId="0" xfId="0" applyNumberFormat="1"/>
    <xf numFmtId="2" fontId="2" fillId="0" borderId="0" xfId="0" applyNumberFormat="1" applyFont="1"/>
    <xf numFmtId="0" fontId="0" fillId="4" borderId="0" xfId="0" applyFill="1"/>
    <xf numFmtId="0" fontId="2" fillId="0" borderId="0" xfId="3"/>
    <xf numFmtId="0" fontId="0" fillId="5" borderId="0" xfId="0" applyFill="1"/>
    <xf numFmtId="9" fontId="0" fillId="0" borderId="0" xfId="2" applyFont="1"/>
    <xf numFmtId="0" fontId="2" fillId="0" borderId="0" xfId="0" applyFont="1" applyAlignment="1">
      <alignment horizontal="center" vertical="center"/>
    </xf>
    <xf numFmtId="0" fontId="3" fillId="0" borderId="0" xfId="1" applyFont="1" applyFill="1" applyBorder="1" applyAlignment="1">
      <alignment horizontal="center" vertical="center"/>
    </xf>
    <xf numFmtId="0" fontId="2" fillId="0" borderId="0" xfId="0" applyFont="1" applyAlignment="1">
      <alignment vertical="center"/>
    </xf>
    <xf numFmtId="0" fontId="0" fillId="0" borderId="0" xfId="0" applyAlignment="1">
      <alignment horizontal="center"/>
    </xf>
    <xf numFmtId="0" fontId="8" fillId="0" borderId="0" xfId="3" applyFont="1"/>
    <xf numFmtId="0" fontId="8" fillId="0" borderId="0" xfId="3" applyFont="1" applyAlignment="1">
      <alignment horizontal="left"/>
    </xf>
    <xf numFmtId="0" fontId="8" fillId="0" borderId="0" xfId="3" applyFont="1" applyAlignment="1">
      <alignment horizontal="left" vertical="top"/>
    </xf>
    <xf numFmtId="0" fontId="2" fillId="0" borderId="0" xfId="0" applyFont="1" applyBorder="1" applyAlignment="1">
      <alignment horizontal="center" vertical="center"/>
    </xf>
    <xf numFmtId="0" fontId="0" fillId="0" borderId="0" xfId="0" applyBorder="1" applyAlignment="1">
      <alignment horizontal="center" vertical="center"/>
    </xf>
    <xf numFmtId="0" fontId="3" fillId="0" borderId="0" xfId="0" applyFont="1" applyAlignment="1">
      <alignment horizontal="center"/>
    </xf>
    <xf numFmtId="0" fontId="0" fillId="0" borderId="0" xfId="0" applyAlignment="1">
      <alignment horizontal="center"/>
    </xf>
    <xf numFmtId="0" fontId="0" fillId="0" borderId="0" xfId="0" applyFont="1" applyAlignment="1">
      <alignment horizontal="center" vertical="center" wrapText="1"/>
    </xf>
    <xf numFmtId="0" fontId="0" fillId="0" borderId="0" xfId="0" applyFont="1"/>
    <xf numFmtId="0" fontId="8" fillId="0" borderId="0" xfId="3" applyFont="1" applyAlignment="1">
      <alignment horizontal="justify" vertical="top" wrapText="1"/>
    </xf>
    <xf numFmtId="0" fontId="8" fillId="0" borderId="0" xfId="3" applyFont="1" applyAlignment="1">
      <alignment horizontal="justify" vertical="top"/>
    </xf>
    <xf numFmtId="0" fontId="8" fillId="0" borderId="0" xfId="3" quotePrefix="1" applyFont="1" applyAlignment="1">
      <alignment horizontal="justify" wrapText="1"/>
    </xf>
    <xf numFmtId="0" fontId="8" fillId="0" borderId="0" xfId="3" quotePrefix="1" applyFont="1" applyAlignment="1">
      <alignment horizontal="justify"/>
    </xf>
    <xf numFmtId="0" fontId="8" fillId="0" borderId="0" xfId="3" quotePrefix="1" applyFont="1" applyAlignment="1">
      <alignment horizontal="justify" vertical="center" wrapText="1"/>
    </xf>
    <xf numFmtId="0" fontId="8" fillId="0" borderId="0" xfId="3" quotePrefix="1" applyFont="1" applyAlignment="1">
      <alignment horizontal="justify" vertical="center"/>
    </xf>
    <xf numFmtId="0" fontId="8" fillId="0" borderId="0" xfId="3" applyFont="1" applyAlignment="1">
      <alignment horizontal="justify" vertical="center" wrapText="1"/>
    </xf>
    <xf numFmtId="0" fontId="8" fillId="0" borderId="0" xfId="3" applyFont="1" applyAlignment="1">
      <alignment horizontal="justify" vertical="center"/>
    </xf>
    <xf numFmtId="0" fontId="8" fillId="0" borderId="0" xfId="3" applyFont="1" applyAlignment="1">
      <alignment horizontal="justify" wrapText="1"/>
    </xf>
    <xf numFmtId="0" fontId="8" fillId="0" borderId="0" xfId="3" applyFont="1" applyAlignment="1">
      <alignment horizontal="justify"/>
    </xf>
    <xf numFmtId="0" fontId="8" fillId="0" borderId="0" xfId="3" applyFont="1" applyAlignment="1">
      <alignment horizontal="left" vertical="top" wrapText="1"/>
    </xf>
    <xf numFmtId="0" fontId="8" fillId="0" borderId="0" xfId="3" applyFont="1" applyAlignment="1">
      <alignment horizontal="left" vertical="top"/>
    </xf>
    <xf numFmtId="0" fontId="8" fillId="0" borderId="0" xfId="3" quotePrefix="1" applyFont="1" applyAlignment="1">
      <alignment horizontal="justify" vertical="top" wrapText="1"/>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left" wrapText="1"/>
    </xf>
  </cellXfs>
  <cellStyles count="24">
    <cellStyle name="Lien hypertexte" xfId="4" builtinId="8" hidden="1"/>
    <cellStyle name="Lien hypertexte" xfId="6" builtinId="8" hidden="1"/>
    <cellStyle name="Lien hypertexte" xfId="8" builtinId="8" hidden="1"/>
    <cellStyle name="Lien hypertexte" xfId="10" builtinId="8" hidden="1"/>
    <cellStyle name="Lien hypertexte" xfId="12" builtinId="8" hidden="1"/>
    <cellStyle name="Lien hypertexte" xfId="14" builtinId="8" hidden="1"/>
    <cellStyle name="Lien hypertexte" xfId="16" builtinId="8" hidden="1"/>
    <cellStyle name="Lien hypertexte" xfId="18" builtinId="8" hidden="1"/>
    <cellStyle name="Lien hypertexte" xfId="20" builtinId="8" hidden="1"/>
    <cellStyle name="Lien hypertexte" xfId="22" builtinId="8" hidden="1"/>
    <cellStyle name="Lien hypertexte visité" xfId="5" builtinId="9" hidden="1"/>
    <cellStyle name="Lien hypertexte visité" xfId="7" builtinId="9" hidden="1"/>
    <cellStyle name="Lien hypertexte visité" xfId="9" builtinId="9" hidden="1"/>
    <cellStyle name="Lien hypertexte visité" xfId="11" builtinId="9" hidden="1"/>
    <cellStyle name="Lien hypertexte visité" xfId="13" builtinId="9" hidden="1"/>
    <cellStyle name="Lien hypertexte visité" xfId="15" builtinId="9" hidden="1"/>
    <cellStyle name="Lien hypertexte visité" xfId="17" builtinId="9" hidden="1"/>
    <cellStyle name="Lien hypertexte visité" xfId="19" builtinId="9" hidden="1"/>
    <cellStyle name="Lien hypertexte visité" xfId="21" builtinId="9" hidden="1"/>
    <cellStyle name="Lien hypertexte visité" xfId="23" builtinId="9" hidden="1"/>
    <cellStyle name="Normal" xfId="0" builtinId="0"/>
    <cellStyle name="Normal 2" xfId="3" xr:uid="{00000000-0005-0000-0000-000015000000}"/>
    <cellStyle name="Normal_Book1" xfId="1" xr:uid="{00000000-0005-0000-0000-000016000000}"/>
    <cellStyle name="Pourcentage"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CA"/>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scatterChart>
        <c:scatterStyle val="lineMarker"/>
        <c:varyColors val="0"/>
        <c:ser>
          <c:idx val="0"/>
          <c:order val="0"/>
          <c:tx>
            <c:strRef>
              <c:f>'2) Sinistre - solution'!$D$34</c:f>
              <c:strCache>
                <c:ptCount val="1"/>
                <c:pt idx="0">
                  <c:v>f(x)</c:v>
                </c:pt>
              </c:strCache>
            </c:strRef>
          </c:tx>
          <c:marker>
            <c:symbol val="none"/>
          </c:marker>
          <c:xVal>
            <c:numRef>
              <c:f>'2) Sinistre - solution'!$B$35:$B$55</c:f>
              <c:numCache>
                <c:formatCode>General</c:formatCode>
                <c:ptCount val="21"/>
                <c:pt idx="0">
                  <c:v>9.9999999999999995E-7</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0.99999899999999997</c:v>
                </c:pt>
              </c:numCache>
            </c:numRef>
          </c:xVal>
          <c:yVal>
            <c:numRef>
              <c:f>'2) Sinistre - solution'!$D$35:$D$55</c:f>
              <c:numCache>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Cache>
            </c:numRef>
          </c:yVal>
          <c:smooth val="0"/>
          <c:extLst>
            <c:ext xmlns:c16="http://schemas.microsoft.com/office/drawing/2014/chart" uri="{C3380CC4-5D6E-409C-BE32-E72D297353CC}">
              <c16:uniqueId val="{00000000-F26B-1645-909C-BA15EEABFCBE}"/>
            </c:ext>
          </c:extLst>
        </c:ser>
        <c:dLbls>
          <c:showLegendKey val="0"/>
          <c:showVal val="0"/>
          <c:showCatName val="0"/>
          <c:showSerName val="0"/>
          <c:showPercent val="0"/>
          <c:showBubbleSize val="0"/>
        </c:dLbls>
        <c:axId val="326752000"/>
        <c:axId val="322477008"/>
      </c:scatterChart>
      <c:valAx>
        <c:axId val="326752000"/>
        <c:scaling>
          <c:orientation val="minMax"/>
        </c:scaling>
        <c:delete val="0"/>
        <c:axPos val="b"/>
        <c:numFmt formatCode="General" sourceLinked="1"/>
        <c:majorTickMark val="out"/>
        <c:minorTickMark val="none"/>
        <c:tickLblPos val="nextTo"/>
        <c:crossAx val="322477008"/>
        <c:crosses val="autoZero"/>
        <c:crossBetween val="midCat"/>
      </c:valAx>
      <c:valAx>
        <c:axId val="322477008"/>
        <c:scaling>
          <c:orientation val="minMax"/>
        </c:scaling>
        <c:delete val="0"/>
        <c:axPos val="l"/>
        <c:majorGridlines/>
        <c:numFmt formatCode="General" sourceLinked="1"/>
        <c:majorTickMark val="out"/>
        <c:minorTickMark val="none"/>
        <c:tickLblPos val="nextTo"/>
        <c:crossAx val="326752000"/>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CA"/>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scatterChart>
        <c:scatterStyle val="lineMarker"/>
        <c:varyColors val="0"/>
        <c:ser>
          <c:idx val="0"/>
          <c:order val="0"/>
          <c:tx>
            <c:strRef>
              <c:f>'2) Sinistre - solution'!$C$34</c:f>
              <c:strCache>
                <c:ptCount val="1"/>
                <c:pt idx="0">
                  <c:v>P(X&lt;= x)</c:v>
                </c:pt>
              </c:strCache>
            </c:strRef>
          </c:tx>
          <c:marker>
            <c:symbol val="none"/>
          </c:marker>
          <c:xVal>
            <c:numRef>
              <c:f>'2) Sinistre - solution'!$B$35:$B$55</c:f>
              <c:numCache>
                <c:formatCode>General</c:formatCode>
                <c:ptCount val="21"/>
                <c:pt idx="0">
                  <c:v>9.9999999999999995E-7</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0.99999899999999997</c:v>
                </c:pt>
              </c:numCache>
            </c:numRef>
          </c:xVal>
          <c:yVal>
            <c:numRef>
              <c:f>'2) Sinistre - solution'!$C$35:$C$55</c:f>
              <c:numCache>
                <c:formatCode>General</c:formatCode>
                <c:ptCount val="21"/>
                <c:pt idx="0">
                  <c:v>1.0000000000000004E-6</c:v>
                </c:pt>
                <c:pt idx="1">
                  <c:v>5.000000000000001E-2</c:v>
                </c:pt>
                <c:pt idx="2">
                  <c:v>0.10000000000000002</c:v>
                </c:pt>
                <c:pt idx="3">
                  <c:v>0.15</c:v>
                </c:pt>
                <c:pt idx="4">
                  <c:v>0.2</c:v>
                </c:pt>
                <c:pt idx="5">
                  <c:v>0.25</c:v>
                </c:pt>
                <c:pt idx="6">
                  <c:v>0.3</c:v>
                </c:pt>
                <c:pt idx="7">
                  <c:v>0.34999999999999992</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0.99999899999999997</c:v>
                </c:pt>
              </c:numCache>
            </c:numRef>
          </c:yVal>
          <c:smooth val="0"/>
          <c:extLst>
            <c:ext xmlns:c16="http://schemas.microsoft.com/office/drawing/2014/chart" uri="{C3380CC4-5D6E-409C-BE32-E72D297353CC}">
              <c16:uniqueId val="{00000000-BBE1-6D42-B8DA-F34DD7C5EBA1}"/>
            </c:ext>
          </c:extLst>
        </c:ser>
        <c:dLbls>
          <c:showLegendKey val="0"/>
          <c:showVal val="0"/>
          <c:showCatName val="0"/>
          <c:showSerName val="0"/>
          <c:showPercent val="0"/>
          <c:showBubbleSize val="0"/>
        </c:dLbls>
        <c:axId val="327395312"/>
        <c:axId val="293185440"/>
      </c:scatterChart>
      <c:valAx>
        <c:axId val="327395312"/>
        <c:scaling>
          <c:orientation val="minMax"/>
        </c:scaling>
        <c:delete val="0"/>
        <c:axPos val="b"/>
        <c:numFmt formatCode="General" sourceLinked="1"/>
        <c:majorTickMark val="out"/>
        <c:minorTickMark val="none"/>
        <c:tickLblPos val="nextTo"/>
        <c:crossAx val="293185440"/>
        <c:crosses val="autoZero"/>
        <c:crossBetween val="midCat"/>
      </c:valAx>
      <c:valAx>
        <c:axId val="293185440"/>
        <c:scaling>
          <c:orientation val="minMax"/>
        </c:scaling>
        <c:delete val="0"/>
        <c:axPos val="l"/>
        <c:majorGridlines/>
        <c:numFmt formatCode="General" sourceLinked="1"/>
        <c:majorTickMark val="out"/>
        <c:minorTickMark val="none"/>
        <c:tickLblPos val="nextTo"/>
        <c:crossAx val="32739531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9526</xdr:colOff>
      <xdr:row>12</xdr:row>
      <xdr:rowOff>482975</xdr:rowOff>
    </xdr:from>
    <xdr:to>
      <xdr:col>5</xdr:col>
      <xdr:colOff>1331229</xdr:colOff>
      <xdr:row>16</xdr:row>
      <xdr:rowOff>19610</xdr:rowOff>
    </xdr:to>
    <xdr:pic>
      <xdr:nvPicPr>
        <xdr:cNvPr id="2" name="Imag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r="27381" b="86665"/>
        <a:stretch/>
      </xdr:blipFill>
      <xdr:spPr>
        <a:xfrm>
          <a:off x="9526" y="5636000"/>
          <a:ext cx="6703328" cy="708210"/>
        </a:xfrm>
        <a:prstGeom prst="rect">
          <a:avLst/>
        </a:prstGeom>
      </xdr:spPr>
    </xdr:pic>
    <xdr:clientData/>
  </xdr:twoCellAnchor>
  <xdr:twoCellAnchor>
    <xdr:from>
      <xdr:col>5</xdr:col>
      <xdr:colOff>651622</xdr:colOff>
      <xdr:row>14</xdr:row>
      <xdr:rowOff>42582</xdr:rowOff>
    </xdr:from>
    <xdr:to>
      <xdr:col>5</xdr:col>
      <xdr:colOff>1223122</xdr:colOff>
      <xdr:row>15</xdr:row>
      <xdr:rowOff>8964</xdr:rowOff>
    </xdr:to>
    <xdr:sp macro="" textlink="">
      <xdr:nvSpPr>
        <xdr:cNvPr id="3" name="Ellipse 2">
          <a:extLst>
            <a:ext uri="{FF2B5EF4-FFF2-40B4-BE49-F238E27FC236}">
              <a16:creationId xmlns:a16="http://schemas.microsoft.com/office/drawing/2014/main" id="{00000000-0008-0000-0000-000003000000}"/>
            </a:ext>
          </a:extLst>
        </xdr:cNvPr>
        <xdr:cNvSpPr/>
      </xdr:nvSpPr>
      <xdr:spPr bwMode="auto">
        <a:xfrm>
          <a:off x="6033247" y="5976657"/>
          <a:ext cx="571500" cy="194982"/>
        </a:xfrm>
        <a:prstGeom prst="ellipse">
          <a:avLst/>
        </a:prstGeom>
        <a:noFill/>
        <a:ln w="2540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fr-CA" sz="1100"/>
        </a:p>
      </xdr:txBody>
    </xdr:sp>
    <xdr:clientData/>
  </xdr:twoCellAnchor>
  <xdr:twoCellAnchor editAs="oneCell">
    <xdr:from>
      <xdr:col>2</xdr:col>
      <xdr:colOff>14569</xdr:colOff>
      <xdr:row>15</xdr:row>
      <xdr:rowOff>190500</xdr:rowOff>
    </xdr:from>
    <xdr:to>
      <xdr:col>5</xdr:col>
      <xdr:colOff>116740</xdr:colOff>
      <xdr:row>31</xdr:row>
      <xdr:rowOff>161926</xdr:rowOff>
    </xdr:to>
    <xdr:pic>
      <xdr:nvPicPr>
        <xdr:cNvPr id="4" name="Imag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2167219" y="6353175"/>
          <a:ext cx="3331146" cy="3629026"/>
        </a:xfrm>
        <a:prstGeom prst="rect">
          <a:avLst/>
        </a:prstGeom>
      </xdr:spPr>
    </xdr:pic>
    <xdr:clientData/>
  </xdr:twoCellAnchor>
  <xdr:twoCellAnchor>
    <xdr:from>
      <xdr:col>3</xdr:col>
      <xdr:colOff>661146</xdr:colOff>
      <xdr:row>30</xdr:row>
      <xdr:rowOff>63875</xdr:rowOff>
    </xdr:from>
    <xdr:to>
      <xdr:col>4</xdr:col>
      <xdr:colOff>419099</xdr:colOff>
      <xdr:row>31</xdr:row>
      <xdr:rowOff>131110</xdr:rowOff>
    </xdr:to>
    <xdr:sp macro="" textlink="">
      <xdr:nvSpPr>
        <xdr:cNvPr id="5" name="Ellipse 4">
          <a:extLst>
            <a:ext uri="{FF2B5EF4-FFF2-40B4-BE49-F238E27FC236}">
              <a16:creationId xmlns:a16="http://schemas.microsoft.com/office/drawing/2014/main" id="{00000000-0008-0000-0000-000005000000}"/>
            </a:ext>
          </a:extLst>
        </xdr:cNvPr>
        <xdr:cNvSpPr/>
      </xdr:nvSpPr>
      <xdr:spPr bwMode="auto">
        <a:xfrm>
          <a:off x="3890121" y="9655550"/>
          <a:ext cx="834278" cy="295835"/>
        </a:xfrm>
        <a:prstGeom prst="ellipse">
          <a:avLst/>
        </a:prstGeom>
        <a:noFill/>
        <a:ln w="2540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fr-CA" sz="1100"/>
        </a:p>
      </xdr:txBody>
    </xdr:sp>
    <xdr:clientData/>
  </xdr:twoCellAnchor>
  <xdr:twoCellAnchor editAs="oneCell">
    <xdr:from>
      <xdr:col>1</xdr:col>
      <xdr:colOff>581304</xdr:colOff>
      <xdr:row>34</xdr:row>
      <xdr:rowOff>30816</xdr:rowOff>
    </xdr:from>
    <xdr:to>
      <xdr:col>5</xdr:col>
      <xdr:colOff>843242</xdr:colOff>
      <xdr:row>38</xdr:row>
      <xdr:rowOff>102254</xdr:rowOff>
    </xdr:to>
    <xdr:pic>
      <xdr:nvPicPr>
        <xdr:cNvPr id="7" name="Image 6">
          <a:extLst>
            <a:ext uri="{FF2B5EF4-FFF2-40B4-BE49-F238E27FC236}">
              <a16:creationId xmlns:a16="http://schemas.microsoft.com/office/drawing/2014/main" id="{00000000-0008-0000-0000-000007000000}"/>
            </a:ext>
          </a:extLst>
        </xdr:cNvPr>
        <xdr:cNvPicPr>
          <a:picLocks noChangeAspect="1"/>
        </xdr:cNvPicPr>
      </xdr:nvPicPr>
      <xdr:blipFill rotWithShape="1">
        <a:blip xmlns:r="http://schemas.openxmlformats.org/officeDocument/2006/relationships" r:embed="rId3"/>
        <a:srcRect t="15255" r="73564" b="74496"/>
        <a:stretch/>
      </xdr:blipFill>
      <xdr:spPr>
        <a:xfrm>
          <a:off x="1724304" y="10866904"/>
          <a:ext cx="4833938" cy="967909"/>
        </a:xfrm>
        <a:prstGeom prst="rect">
          <a:avLst/>
        </a:prstGeom>
      </xdr:spPr>
    </xdr:pic>
    <xdr:clientData/>
  </xdr:twoCellAnchor>
  <xdr:twoCellAnchor editAs="oneCell">
    <xdr:from>
      <xdr:col>1</xdr:col>
      <xdr:colOff>0</xdr:colOff>
      <xdr:row>50</xdr:row>
      <xdr:rowOff>134471</xdr:rowOff>
    </xdr:from>
    <xdr:to>
      <xdr:col>5</xdr:col>
      <xdr:colOff>1154206</xdr:colOff>
      <xdr:row>56</xdr:row>
      <xdr:rowOff>190500</xdr:rowOff>
    </xdr:to>
    <xdr:pic>
      <xdr:nvPicPr>
        <xdr:cNvPr id="8" name="Image 7">
          <a:extLst>
            <a:ext uri="{FF2B5EF4-FFF2-40B4-BE49-F238E27FC236}">
              <a16:creationId xmlns:a16="http://schemas.microsoft.com/office/drawing/2014/main" id="{00000000-0008-0000-0000-000008000000}"/>
            </a:ext>
          </a:extLst>
        </xdr:cNvPr>
        <xdr:cNvPicPr>
          <a:picLocks noChangeAspect="1"/>
        </xdr:cNvPicPr>
      </xdr:nvPicPr>
      <xdr:blipFill rotWithShape="1">
        <a:blip xmlns:r="http://schemas.openxmlformats.org/officeDocument/2006/relationships" r:embed="rId4"/>
        <a:srcRect t="15352" r="68685" b="70641"/>
        <a:stretch/>
      </xdr:blipFill>
      <xdr:spPr>
        <a:xfrm>
          <a:off x="1143000" y="15374471"/>
          <a:ext cx="5726206" cy="14007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658091</xdr:colOff>
      <xdr:row>31</xdr:row>
      <xdr:rowOff>39831</xdr:rowOff>
    </xdr:from>
    <xdr:to>
      <xdr:col>9</xdr:col>
      <xdr:colOff>640773</xdr:colOff>
      <xdr:row>43</xdr:row>
      <xdr:rowOff>81395</xdr:rowOff>
    </xdr:to>
    <xdr:graphicFrame macro="">
      <xdr:nvGraphicFramePr>
        <xdr:cNvPr id="3" name="Graphique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675409</xdr:colOff>
      <xdr:row>44</xdr:row>
      <xdr:rowOff>91785</xdr:rowOff>
    </xdr:from>
    <xdr:to>
      <xdr:col>9</xdr:col>
      <xdr:colOff>658091</xdr:colOff>
      <xdr:row>56</xdr:row>
      <xdr:rowOff>133349</xdr:rowOff>
    </xdr:to>
    <xdr:graphicFrame macro="">
      <xdr:nvGraphicFramePr>
        <xdr:cNvPr id="4" name="Graphique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5</xdr:col>
      <xdr:colOff>109536</xdr:colOff>
      <xdr:row>16</xdr:row>
      <xdr:rowOff>76200</xdr:rowOff>
    </xdr:from>
    <xdr:ext cx="3338514" cy="1715150"/>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00000000-0008-0000-0900-000002000000}"/>
                </a:ext>
              </a:extLst>
            </xdr:cNvPr>
            <xdr:cNvSpPr txBox="1"/>
          </xdr:nvSpPr>
          <xdr:spPr>
            <a:xfrm>
              <a:off x="5824536" y="2828925"/>
              <a:ext cx="3338514" cy="171515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14:m>
                <m:oMathPara xmlns:m="http://schemas.openxmlformats.org/officeDocument/2006/math">
                  <m:oMathParaPr>
                    <m:jc m:val="left"/>
                  </m:oMathParaPr>
                  <m:oMath xmlns:m="http://schemas.openxmlformats.org/officeDocument/2006/math">
                    <m:r>
                      <m:rPr>
                        <m:nor/>
                      </m:rPr>
                      <a:rPr lang="fr-CA" sz="2000">
                        <a:solidFill>
                          <a:schemeClr val="tx1"/>
                        </a:solidFill>
                        <a:effectLst/>
                        <a:latin typeface="+mn-lt"/>
                        <a:ea typeface="+mn-ea"/>
                        <a:cs typeface="+mn-cs"/>
                      </a:rPr>
                      <m:t>E</m:t>
                    </m:r>
                    <m:r>
                      <m:rPr>
                        <m:nor/>
                      </m:rPr>
                      <a:rPr lang="fr-CA" sz="2000">
                        <a:solidFill>
                          <a:schemeClr val="tx1"/>
                        </a:solidFill>
                        <a:effectLst/>
                        <a:latin typeface="+mn-lt"/>
                        <a:ea typeface="+mn-ea"/>
                        <a:cs typeface="+mn-cs"/>
                      </a:rPr>
                      <m:t>[</m:t>
                    </m:r>
                    <m:r>
                      <m:rPr>
                        <m:nor/>
                      </m:rPr>
                      <a:rPr lang="fr-CA" sz="2000">
                        <a:solidFill>
                          <a:schemeClr val="tx1"/>
                        </a:solidFill>
                        <a:effectLst/>
                        <a:latin typeface="+mn-lt"/>
                        <a:ea typeface="+mn-ea"/>
                        <a:cs typeface="+mn-cs"/>
                      </a:rPr>
                      <m:t>S</m:t>
                    </m:r>
                    <m:r>
                      <m:rPr>
                        <m:nor/>
                      </m:rPr>
                      <a:rPr lang="fr-CA" sz="2000">
                        <a:solidFill>
                          <a:schemeClr val="tx1"/>
                        </a:solidFill>
                        <a:effectLst/>
                        <a:latin typeface="+mn-lt"/>
                        <a:ea typeface="+mn-ea"/>
                        <a:cs typeface="+mn-cs"/>
                      </a:rPr>
                      <m:t>]</m:t>
                    </m:r>
                    <m:r>
                      <m:rPr>
                        <m:nor/>
                      </m:rPr>
                      <a:rPr lang="en-US" sz="2000" b="0" i="0">
                        <a:solidFill>
                          <a:schemeClr val="tx1"/>
                        </a:solidFill>
                        <a:effectLst/>
                        <a:latin typeface="+mn-lt"/>
                        <a:ea typeface="+mn-ea"/>
                        <a:cs typeface="+mn-cs"/>
                      </a:rPr>
                      <m:t>  </m:t>
                    </m:r>
                    <m:r>
                      <m:rPr>
                        <m:nor/>
                      </m:rPr>
                      <a:rPr lang="fr-CA" sz="2000">
                        <a:solidFill>
                          <a:schemeClr val="tx1"/>
                        </a:solidFill>
                        <a:effectLst/>
                        <a:latin typeface="+mn-lt"/>
                        <a:ea typeface="+mn-ea"/>
                        <a:cs typeface="+mn-cs"/>
                      </a:rPr>
                      <m:t>=</m:t>
                    </m:r>
                    <m:r>
                      <m:rPr>
                        <m:nor/>
                      </m:rPr>
                      <a:rPr lang="en-US" sz="2000" b="0" i="0">
                        <a:solidFill>
                          <a:schemeClr val="tx1"/>
                        </a:solidFill>
                        <a:effectLst/>
                        <a:latin typeface="+mn-lt"/>
                        <a:ea typeface="+mn-ea"/>
                        <a:cs typeface="+mn-cs"/>
                      </a:rPr>
                      <m:t>  </m:t>
                    </m:r>
                    <m:r>
                      <m:rPr>
                        <m:nor/>
                      </m:rPr>
                      <a:rPr lang="fr-CA" sz="2000">
                        <a:solidFill>
                          <a:schemeClr val="tx1"/>
                        </a:solidFill>
                        <a:effectLst/>
                        <a:latin typeface="+mn-lt"/>
                        <a:ea typeface="+mn-ea"/>
                        <a:cs typeface="+mn-cs"/>
                      </a:rPr>
                      <m:t>1</m:t>
                    </m:r>
                    <m:r>
                      <a:rPr lang="en-US" sz="2000" b="0" i="1">
                        <a:solidFill>
                          <a:schemeClr val="tx1"/>
                        </a:solidFill>
                        <a:effectLst/>
                        <a:latin typeface="Cambria Math"/>
                        <a:ea typeface="+mn-ea"/>
                        <a:cs typeface="+mn-cs"/>
                      </a:rPr>
                      <m:t>⋅</m:t>
                    </m:r>
                    <m:r>
                      <m:rPr>
                        <m:nor/>
                      </m:rPr>
                      <a:rPr lang="fr-CA" sz="2000">
                        <a:solidFill>
                          <a:schemeClr val="tx1"/>
                        </a:solidFill>
                        <a:effectLst/>
                        <a:latin typeface="+mn-lt"/>
                        <a:ea typeface="+mn-ea"/>
                        <a:cs typeface="+mn-cs"/>
                      </a:rPr>
                      <m:t>P</m:t>
                    </m:r>
                    <m:r>
                      <m:rPr>
                        <m:nor/>
                      </m:rPr>
                      <a:rPr lang="fr-CA" sz="2000">
                        <a:solidFill>
                          <a:schemeClr val="tx1"/>
                        </a:solidFill>
                        <a:effectLst/>
                        <a:latin typeface="+mn-lt"/>
                        <a:ea typeface="+mn-ea"/>
                        <a:cs typeface="+mn-cs"/>
                      </a:rPr>
                      <m:t>(</m:t>
                    </m:r>
                    <m:r>
                      <m:rPr>
                        <m:nor/>
                      </m:rPr>
                      <a:rPr lang="fr-CA" sz="2000">
                        <a:solidFill>
                          <a:schemeClr val="tx1"/>
                        </a:solidFill>
                        <a:effectLst/>
                        <a:latin typeface="+mn-lt"/>
                        <a:ea typeface="+mn-ea"/>
                        <a:cs typeface="+mn-cs"/>
                      </a:rPr>
                      <m:t>S</m:t>
                    </m:r>
                    <m:r>
                      <m:rPr>
                        <m:nor/>
                      </m:rPr>
                      <a:rPr lang="fr-CA" sz="2000">
                        <a:solidFill>
                          <a:schemeClr val="tx1"/>
                        </a:solidFill>
                        <a:effectLst/>
                        <a:latin typeface="+mn-lt"/>
                        <a:ea typeface="+mn-ea"/>
                        <a:cs typeface="+mn-cs"/>
                      </a:rPr>
                      <m:t>=1)+0</m:t>
                    </m:r>
                    <m:r>
                      <a:rPr lang="en-US" sz="2000" b="0" i="1">
                        <a:solidFill>
                          <a:schemeClr val="tx1"/>
                        </a:solidFill>
                        <a:effectLst/>
                        <a:latin typeface="Cambria Math"/>
                        <a:ea typeface="+mn-ea"/>
                        <a:cs typeface="+mn-cs"/>
                      </a:rPr>
                      <m:t>⋅</m:t>
                    </m:r>
                    <m:r>
                      <m:rPr>
                        <m:nor/>
                      </m:rPr>
                      <a:rPr lang="fr-CA" sz="2000">
                        <a:solidFill>
                          <a:schemeClr val="tx1"/>
                        </a:solidFill>
                        <a:effectLst/>
                        <a:latin typeface="+mn-lt"/>
                        <a:ea typeface="+mn-ea"/>
                        <a:cs typeface="+mn-cs"/>
                      </a:rPr>
                      <m:t>P</m:t>
                    </m:r>
                    <m:r>
                      <m:rPr>
                        <m:nor/>
                      </m:rPr>
                      <a:rPr lang="fr-CA" sz="2000">
                        <a:solidFill>
                          <a:schemeClr val="tx1"/>
                        </a:solidFill>
                        <a:effectLst/>
                        <a:latin typeface="+mn-lt"/>
                        <a:ea typeface="+mn-ea"/>
                        <a:cs typeface="+mn-cs"/>
                      </a:rPr>
                      <m:t>(</m:t>
                    </m:r>
                    <m:r>
                      <m:rPr>
                        <m:nor/>
                      </m:rPr>
                      <a:rPr lang="fr-CA" sz="2000">
                        <a:solidFill>
                          <a:schemeClr val="tx1"/>
                        </a:solidFill>
                        <a:effectLst/>
                        <a:latin typeface="+mn-lt"/>
                        <a:ea typeface="+mn-ea"/>
                        <a:cs typeface="+mn-cs"/>
                      </a:rPr>
                      <m:t>S</m:t>
                    </m:r>
                    <m:r>
                      <m:rPr>
                        <m:nor/>
                      </m:rPr>
                      <a:rPr lang="fr-CA" sz="2000">
                        <a:solidFill>
                          <a:schemeClr val="tx1"/>
                        </a:solidFill>
                        <a:effectLst/>
                        <a:latin typeface="+mn-lt"/>
                        <a:ea typeface="+mn-ea"/>
                        <a:cs typeface="+mn-cs"/>
                      </a:rPr>
                      <m:t>=</m:t>
                    </m:r>
                    <m:r>
                      <m:rPr>
                        <m:nor/>
                      </m:rPr>
                      <a:rPr lang="en-US" sz="2000" b="0" i="0">
                        <a:solidFill>
                          <a:schemeClr val="tx1"/>
                        </a:solidFill>
                        <a:effectLst/>
                        <a:latin typeface="+mn-lt"/>
                        <a:ea typeface="+mn-ea"/>
                        <a:cs typeface="+mn-cs"/>
                      </a:rPr>
                      <m:t>0</m:t>
                    </m:r>
                    <m:r>
                      <m:rPr>
                        <m:nor/>
                      </m:rPr>
                      <a:rPr lang="fr-CA" sz="2000">
                        <a:solidFill>
                          <a:schemeClr val="tx1"/>
                        </a:solidFill>
                        <a:effectLst/>
                        <a:latin typeface="+mn-lt"/>
                        <a:ea typeface="+mn-ea"/>
                        <a:cs typeface="+mn-cs"/>
                      </a:rPr>
                      <m:t>)</m:t>
                    </m:r>
                    <m:r>
                      <m:rPr>
                        <m:nor/>
                      </m:rPr>
                      <a:rPr lang="en-US" sz="2000" b="0" i="0">
                        <a:solidFill>
                          <a:schemeClr val="tx1"/>
                        </a:solidFill>
                        <a:effectLst/>
                        <a:latin typeface="+mn-lt"/>
                        <a:ea typeface="+mn-ea"/>
                        <a:cs typeface="+mn-cs"/>
                      </a:rPr>
                      <m:t>  </m:t>
                    </m:r>
                  </m:oMath>
                </m:oMathPara>
              </a14:m>
              <a:endParaRPr lang="en-US" sz="2000" b="0" i="0">
                <a:solidFill>
                  <a:schemeClr val="tx1"/>
                </a:solidFill>
                <a:effectLst/>
                <a:latin typeface="+mn-lt"/>
                <a:ea typeface="+mn-ea"/>
                <a:cs typeface="+mn-cs"/>
              </a:endParaRPr>
            </a:p>
            <a:p>
              <a:pPr algn="l"/>
              <a:r>
                <a:rPr lang="fr-CA" sz="2000">
                  <a:solidFill>
                    <a:schemeClr val="tx1"/>
                  </a:solidFill>
                  <a:effectLst/>
                  <a:ea typeface="+mn-ea"/>
                  <a:cs typeface="+mn-cs"/>
                </a:rPr>
                <a:t>         </a:t>
              </a:r>
              <a14:m>
                <m:oMath xmlns:m="http://schemas.openxmlformats.org/officeDocument/2006/math">
                  <m:r>
                    <m:rPr>
                      <m:nor/>
                    </m:rPr>
                    <a:rPr lang="fr-CA" sz="2000">
                      <a:solidFill>
                        <a:schemeClr val="tx1"/>
                      </a:solidFill>
                      <a:effectLst/>
                      <a:latin typeface="+mn-lt"/>
                      <a:ea typeface="+mn-ea"/>
                      <a:cs typeface="+mn-cs"/>
                    </a:rPr>
                    <m:t>=</m:t>
                  </m:r>
                  <m:r>
                    <m:rPr>
                      <m:nor/>
                    </m:rPr>
                    <a:rPr lang="en-US" sz="2000" b="0" i="0">
                      <a:solidFill>
                        <a:schemeClr val="tx1"/>
                      </a:solidFill>
                      <a:effectLst/>
                      <a:latin typeface="+mn-lt"/>
                      <a:ea typeface="+mn-ea"/>
                      <a:cs typeface="+mn-cs"/>
                    </a:rPr>
                    <m:t>  </m:t>
                  </m:r>
                  <m:r>
                    <m:rPr>
                      <m:nor/>
                    </m:rPr>
                    <a:rPr lang="fr-CA" sz="2000">
                      <a:solidFill>
                        <a:schemeClr val="tx1"/>
                      </a:solidFill>
                      <a:effectLst/>
                      <a:latin typeface="+mn-lt"/>
                      <a:ea typeface="+mn-ea"/>
                      <a:cs typeface="+mn-cs"/>
                    </a:rPr>
                    <m:t>P</m:t>
                  </m:r>
                  <m:r>
                    <m:rPr>
                      <m:nor/>
                    </m:rPr>
                    <a:rPr lang="fr-CA" sz="2000">
                      <a:solidFill>
                        <a:schemeClr val="tx1"/>
                      </a:solidFill>
                      <a:effectLst/>
                      <a:latin typeface="+mn-lt"/>
                      <a:ea typeface="+mn-ea"/>
                      <a:cs typeface="+mn-cs"/>
                    </a:rPr>
                    <m:t>(</m:t>
                  </m:r>
                  <m:r>
                    <m:rPr>
                      <m:nor/>
                    </m:rPr>
                    <a:rPr lang="fr-CA" sz="2000">
                      <a:solidFill>
                        <a:schemeClr val="tx1"/>
                      </a:solidFill>
                      <a:effectLst/>
                      <a:latin typeface="+mn-lt"/>
                      <a:ea typeface="+mn-ea"/>
                      <a:cs typeface="+mn-cs"/>
                    </a:rPr>
                    <m:t>S</m:t>
                  </m:r>
                  <m:r>
                    <m:rPr>
                      <m:nor/>
                    </m:rPr>
                    <a:rPr lang="fr-CA" sz="2000">
                      <a:solidFill>
                        <a:schemeClr val="tx1"/>
                      </a:solidFill>
                      <a:effectLst/>
                      <a:latin typeface="+mn-lt"/>
                      <a:ea typeface="+mn-ea"/>
                      <a:cs typeface="+mn-cs"/>
                    </a:rPr>
                    <m:t>=1</m:t>
                  </m:r>
                  <m:r>
                    <m:rPr>
                      <m:nor/>
                    </m:rPr>
                    <a:rPr lang="en-US" sz="2000" b="0" i="0">
                      <a:solidFill>
                        <a:schemeClr val="tx1"/>
                      </a:solidFill>
                      <a:effectLst/>
                      <a:latin typeface="+mn-lt"/>
                      <a:ea typeface="+mn-ea"/>
                      <a:cs typeface="+mn-cs"/>
                    </a:rPr>
                    <m:t>)</m:t>
                  </m:r>
                </m:oMath>
              </a14:m>
              <a:endParaRPr lang="en-US" sz="2000" b="0" i="0">
                <a:solidFill>
                  <a:schemeClr val="tx1"/>
                </a:solidFill>
                <a:effectLst/>
                <a:latin typeface="+mn-lt"/>
                <a:ea typeface="+mn-ea"/>
                <a:cs typeface="+mn-cs"/>
              </a:endParaRPr>
            </a:p>
            <a:p>
              <a:pPr algn="l"/>
              <a:r>
                <a:rPr lang="en-US" sz="2000" b="0">
                  <a:solidFill>
                    <a:schemeClr val="tx1"/>
                  </a:solidFill>
                  <a:effectLst/>
                  <a:ea typeface="+mn-ea"/>
                  <a:cs typeface="+mn-cs"/>
                </a:rPr>
                <a:t>         </a:t>
              </a:r>
              <a14:m>
                <m:oMath xmlns:m="http://schemas.openxmlformats.org/officeDocument/2006/math">
                  <m:r>
                    <m:rPr>
                      <m:nor/>
                    </m:rPr>
                    <a:rPr lang="en-US" sz="2000" b="0" i="0">
                      <a:solidFill>
                        <a:schemeClr val="tx1"/>
                      </a:solidFill>
                      <a:effectLst/>
                      <a:latin typeface="+mn-lt"/>
                      <a:ea typeface="+mn-ea"/>
                      <a:cs typeface="+mn-cs"/>
                    </a:rPr>
                    <m:t>= </m:t>
                  </m:r>
                  <m:r>
                    <a:rPr lang="en-US" sz="2000" b="0" i="1">
                      <a:solidFill>
                        <a:schemeClr val="tx1"/>
                      </a:solidFill>
                      <a:effectLst/>
                      <a:latin typeface="Cambria Math"/>
                      <a:ea typeface="+mn-ea"/>
                      <a:cs typeface="+mn-cs"/>
                    </a:rPr>
                    <m:t> ∫</m:t>
                  </m:r>
                  <m:r>
                    <a:rPr lang="en-US" sz="2000" b="0" i="1">
                      <a:solidFill>
                        <a:schemeClr val="tx1"/>
                      </a:solidFill>
                      <a:effectLst/>
                      <a:latin typeface="Cambria Math"/>
                      <a:ea typeface="+mn-ea"/>
                      <a:cs typeface="+mn-cs"/>
                    </a:rPr>
                    <m:t>𝑝𝑓</m:t>
                  </m:r>
                  <m:d>
                    <m:dPr>
                      <m:ctrlPr>
                        <a:rPr lang="en-US" sz="2000" b="0" i="1">
                          <a:solidFill>
                            <a:schemeClr val="tx1"/>
                          </a:solidFill>
                          <a:effectLst/>
                          <a:latin typeface="Cambria Math" panose="02040503050406030204" pitchFamily="18" charset="0"/>
                          <a:ea typeface="+mn-ea"/>
                          <a:cs typeface="+mn-cs"/>
                        </a:rPr>
                      </m:ctrlPr>
                    </m:dPr>
                    <m:e>
                      <m:r>
                        <a:rPr lang="en-US" sz="2000" b="0" i="1">
                          <a:solidFill>
                            <a:schemeClr val="tx1"/>
                          </a:solidFill>
                          <a:effectLst/>
                          <a:latin typeface="Cambria Math"/>
                          <a:ea typeface="+mn-ea"/>
                          <a:cs typeface="+mn-cs"/>
                        </a:rPr>
                        <m:t>𝑝</m:t>
                      </m:r>
                    </m:e>
                  </m:d>
                  <m:r>
                    <a:rPr lang="en-US" sz="2000" b="0" i="1">
                      <a:solidFill>
                        <a:schemeClr val="tx1"/>
                      </a:solidFill>
                      <a:effectLst/>
                      <a:latin typeface="Cambria Math"/>
                      <a:ea typeface="+mn-ea"/>
                      <a:cs typeface="+mn-cs"/>
                    </a:rPr>
                    <m:t>𝑑𝑝</m:t>
                  </m:r>
                </m:oMath>
              </a14:m>
              <a:endParaRPr lang="en-US" sz="2000" b="0" i="1">
                <a:solidFill>
                  <a:schemeClr val="tx1"/>
                </a:solidFill>
                <a:effectLst/>
                <a:latin typeface="Cambria Math"/>
                <a:ea typeface="+mn-ea"/>
                <a:cs typeface="+mn-cs"/>
              </a:endParaRPr>
            </a:p>
            <a:p>
              <a:pPr algn="l"/>
              <a:r>
                <a:rPr lang="en-US" sz="2000" b="0">
                  <a:solidFill>
                    <a:schemeClr val="tx1"/>
                  </a:solidFill>
                  <a:effectLst/>
                  <a:ea typeface="+mn-ea"/>
                  <a:cs typeface="+mn-cs"/>
                </a:rPr>
                <a:t>        </a:t>
              </a:r>
              <a14:m>
                <m:oMath xmlns:m="http://schemas.openxmlformats.org/officeDocument/2006/math">
                  <m:r>
                    <a:rPr lang="en-US" sz="2000" b="0" i="1">
                      <a:solidFill>
                        <a:schemeClr val="tx1"/>
                      </a:solidFill>
                      <a:effectLst/>
                      <a:latin typeface="Cambria Math"/>
                      <a:ea typeface="+mn-ea"/>
                      <a:cs typeface="+mn-cs"/>
                    </a:rPr>
                    <m:t>= </m:t>
                  </m:r>
                  <m:r>
                    <a:rPr lang="en-US" sz="2000" b="0" i="1">
                      <a:solidFill>
                        <a:schemeClr val="tx1"/>
                      </a:solidFill>
                      <a:effectLst/>
                      <a:latin typeface="Cambria Math"/>
                      <a:ea typeface="+mn-ea"/>
                      <a:cs typeface="+mn-cs"/>
                    </a:rPr>
                    <m:t>𝐸</m:t>
                  </m:r>
                  <m:d>
                    <m:dPr>
                      <m:begChr m:val="["/>
                      <m:endChr m:val="]"/>
                      <m:ctrlPr>
                        <a:rPr lang="en-US" sz="2000" b="0" i="1">
                          <a:solidFill>
                            <a:schemeClr val="tx1"/>
                          </a:solidFill>
                          <a:effectLst/>
                          <a:latin typeface="Cambria Math" panose="02040503050406030204" pitchFamily="18" charset="0"/>
                          <a:ea typeface="+mn-ea"/>
                          <a:cs typeface="+mn-cs"/>
                        </a:rPr>
                      </m:ctrlPr>
                    </m:dPr>
                    <m:e>
                      <m:r>
                        <a:rPr lang="en-US" sz="2000" b="0" i="1">
                          <a:solidFill>
                            <a:schemeClr val="tx1"/>
                          </a:solidFill>
                          <a:effectLst/>
                          <a:latin typeface="Cambria Math"/>
                          <a:ea typeface="+mn-ea"/>
                          <a:cs typeface="+mn-cs"/>
                        </a:rPr>
                        <m:t>𝑝</m:t>
                      </m:r>
                    </m:e>
                  </m:d>
                </m:oMath>
              </a14:m>
              <a:endParaRPr lang="en-US" sz="2000" b="0" i="1">
                <a:solidFill>
                  <a:schemeClr val="tx1"/>
                </a:solidFill>
                <a:effectLst/>
                <a:latin typeface="Cambria Math"/>
                <a:ea typeface="+mn-ea"/>
                <a:cs typeface="+mn-cs"/>
              </a:endParaRPr>
            </a:p>
            <a:p>
              <a:pPr algn="l"/>
              <a:r>
                <a:rPr lang="en-US" sz="2000" b="0">
                  <a:solidFill>
                    <a:schemeClr val="tx1"/>
                  </a:solidFill>
                  <a:effectLst/>
                  <a:ea typeface="+mn-ea"/>
                  <a:cs typeface="+mn-cs"/>
                </a:rPr>
                <a:t>        </a:t>
              </a:r>
              <a14:m>
                <m:oMath xmlns:m="http://schemas.openxmlformats.org/officeDocument/2006/math">
                  <m:r>
                    <a:rPr lang="en-US" sz="2000" b="0" i="1">
                      <a:solidFill>
                        <a:schemeClr val="tx1"/>
                      </a:solidFill>
                      <a:effectLst/>
                      <a:latin typeface="Cambria Math"/>
                      <a:ea typeface="+mn-ea"/>
                      <a:cs typeface="+mn-cs"/>
                    </a:rPr>
                    <m:t>= </m:t>
                  </m:r>
                  <m:f>
                    <m:fPr>
                      <m:type m:val="skw"/>
                      <m:ctrlPr>
                        <a:rPr lang="en-US" sz="2000" b="0" i="1">
                          <a:solidFill>
                            <a:schemeClr val="tx1"/>
                          </a:solidFill>
                          <a:effectLst/>
                          <a:latin typeface="Cambria Math" panose="02040503050406030204" pitchFamily="18" charset="0"/>
                          <a:ea typeface="+mn-ea"/>
                          <a:cs typeface="+mn-cs"/>
                        </a:rPr>
                      </m:ctrlPr>
                    </m:fPr>
                    <m:num>
                      <m:r>
                        <a:rPr lang="en-US" sz="2000" b="0" i="1">
                          <a:solidFill>
                            <a:schemeClr val="tx1"/>
                          </a:solidFill>
                          <a:effectLst/>
                          <a:latin typeface="Cambria Math"/>
                          <a:ea typeface="+mn-ea"/>
                          <a:cs typeface="+mn-cs"/>
                        </a:rPr>
                        <m:t>𝛼</m:t>
                      </m:r>
                    </m:num>
                    <m:den>
                      <m:r>
                        <a:rPr lang="en-US" sz="2000" b="0" i="1">
                          <a:solidFill>
                            <a:schemeClr val="tx1"/>
                          </a:solidFill>
                          <a:effectLst/>
                          <a:latin typeface="Cambria Math"/>
                          <a:ea typeface="+mn-ea"/>
                          <a:cs typeface="+mn-cs"/>
                        </a:rPr>
                        <m:t>𝛼</m:t>
                      </m:r>
                      <m:r>
                        <a:rPr lang="en-US" sz="2000" b="0" i="1">
                          <a:solidFill>
                            <a:schemeClr val="tx1"/>
                          </a:solidFill>
                          <a:effectLst/>
                          <a:latin typeface="Cambria Math"/>
                          <a:ea typeface="+mn-ea"/>
                          <a:cs typeface="+mn-cs"/>
                        </a:rPr>
                        <m:t>+</m:t>
                      </m:r>
                      <m:r>
                        <a:rPr lang="en-US" sz="2000" b="0" i="1">
                          <a:solidFill>
                            <a:schemeClr val="tx1"/>
                          </a:solidFill>
                          <a:effectLst/>
                          <a:latin typeface="Cambria Math"/>
                          <a:ea typeface="+mn-ea"/>
                          <a:cs typeface="+mn-cs"/>
                        </a:rPr>
                        <m:t>𝛽</m:t>
                      </m:r>
                    </m:den>
                  </m:f>
                </m:oMath>
              </a14:m>
              <a:endParaRPr lang="fr-CA" sz="2000"/>
            </a:p>
          </xdr:txBody>
        </xdr:sp>
      </mc:Choice>
      <mc:Fallback xmlns="">
        <xdr:sp macro="" textlink="">
          <xdr:nvSpPr>
            <xdr:cNvPr id="2" name="ZoneTexte 1"/>
            <xdr:cNvSpPr txBox="1"/>
          </xdr:nvSpPr>
          <xdr:spPr>
            <a:xfrm>
              <a:off x="5824536" y="2828925"/>
              <a:ext cx="3338514" cy="171515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fr-CA" sz="2000" i="0">
                  <a:solidFill>
                    <a:schemeClr val="tx1"/>
                  </a:solidFill>
                  <a:effectLst/>
                  <a:latin typeface="Cambria Math" panose="02040503050406030204" pitchFamily="18" charset="0"/>
                  <a:ea typeface="+mn-ea"/>
                  <a:cs typeface="+mn-cs"/>
                </a:rPr>
                <a:t>"E[S]</a:t>
              </a:r>
              <a:r>
                <a:rPr lang="en-US" sz="2000" b="0" i="0">
                  <a:solidFill>
                    <a:schemeClr val="tx1"/>
                  </a:solidFill>
                  <a:effectLst/>
                  <a:latin typeface="Cambria Math" panose="02040503050406030204" pitchFamily="18" charset="0"/>
                  <a:ea typeface="+mn-ea"/>
                  <a:cs typeface="+mn-cs"/>
                </a:rPr>
                <a:t>  </a:t>
              </a:r>
              <a:r>
                <a:rPr lang="fr-CA" sz="2000" i="0">
                  <a:solidFill>
                    <a:schemeClr val="tx1"/>
                  </a:solidFill>
                  <a:effectLst/>
                  <a:latin typeface="Cambria Math" panose="02040503050406030204" pitchFamily="18" charset="0"/>
                  <a:ea typeface="+mn-ea"/>
                  <a:cs typeface="+mn-cs"/>
                </a:rPr>
                <a:t>=</a:t>
              </a:r>
              <a:r>
                <a:rPr lang="en-US" sz="2000" b="0" i="0">
                  <a:solidFill>
                    <a:schemeClr val="tx1"/>
                  </a:solidFill>
                  <a:effectLst/>
                  <a:latin typeface="Cambria Math" panose="02040503050406030204" pitchFamily="18" charset="0"/>
                  <a:ea typeface="+mn-ea"/>
                  <a:cs typeface="+mn-cs"/>
                </a:rPr>
                <a:t>  </a:t>
              </a:r>
              <a:r>
                <a:rPr lang="fr-CA" sz="2000" i="0">
                  <a:solidFill>
                    <a:schemeClr val="tx1"/>
                  </a:solidFill>
                  <a:effectLst/>
                  <a:latin typeface="Cambria Math" panose="02040503050406030204" pitchFamily="18" charset="0"/>
                  <a:ea typeface="+mn-ea"/>
                  <a:cs typeface="+mn-cs"/>
                </a:rPr>
                <a:t>1</a:t>
              </a:r>
              <a:r>
                <a:rPr lang="en-US" sz="2000" b="0" i="0">
                  <a:solidFill>
                    <a:schemeClr val="tx1"/>
                  </a:solidFill>
                  <a:effectLst/>
                  <a:latin typeface="Cambria Math"/>
                  <a:ea typeface="+mn-ea"/>
                  <a:cs typeface="+mn-cs"/>
                </a:rPr>
                <a:t>"⋅</a:t>
              </a:r>
              <a:r>
                <a:rPr lang="fr-CA" sz="2000" b="0" i="0">
                  <a:solidFill>
                    <a:schemeClr val="tx1"/>
                  </a:solidFill>
                  <a:effectLst/>
                  <a:latin typeface="Cambria Math" panose="02040503050406030204" pitchFamily="18" charset="0"/>
                  <a:ea typeface="+mn-ea"/>
                  <a:cs typeface="+mn-cs"/>
                </a:rPr>
                <a:t>"</a:t>
              </a:r>
              <a:r>
                <a:rPr lang="fr-CA" sz="2000" i="0">
                  <a:solidFill>
                    <a:schemeClr val="tx1"/>
                  </a:solidFill>
                  <a:effectLst/>
                  <a:latin typeface="Cambria Math" panose="02040503050406030204" pitchFamily="18" charset="0"/>
                  <a:ea typeface="+mn-ea"/>
                  <a:cs typeface="+mn-cs"/>
                </a:rPr>
                <a:t>P(S=1)+0</a:t>
              </a:r>
              <a:r>
                <a:rPr lang="en-US" sz="2000" b="0" i="0">
                  <a:solidFill>
                    <a:schemeClr val="tx1"/>
                  </a:solidFill>
                  <a:effectLst/>
                  <a:latin typeface="Cambria Math"/>
                  <a:ea typeface="+mn-ea"/>
                  <a:cs typeface="+mn-cs"/>
                </a:rPr>
                <a:t>"⋅</a:t>
              </a:r>
              <a:r>
                <a:rPr lang="fr-CA" sz="2000" b="0" i="0">
                  <a:solidFill>
                    <a:schemeClr val="tx1"/>
                  </a:solidFill>
                  <a:effectLst/>
                  <a:latin typeface="Cambria Math" panose="02040503050406030204" pitchFamily="18" charset="0"/>
                  <a:ea typeface="+mn-ea"/>
                  <a:cs typeface="+mn-cs"/>
                </a:rPr>
                <a:t>"</a:t>
              </a:r>
              <a:r>
                <a:rPr lang="fr-CA" sz="2000" i="0">
                  <a:solidFill>
                    <a:schemeClr val="tx1"/>
                  </a:solidFill>
                  <a:effectLst/>
                  <a:latin typeface="Cambria Math" panose="02040503050406030204" pitchFamily="18" charset="0"/>
                  <a:ea typeface="+mn-ea"/>
                  <a:cs typeface="+mn-cs"/>
                </a:rPr>
                <a:t>P(S=</a:t>
              </a:r>
              <a:r>
                <a:rPr lang="en-US" sz="2000" b="0" i="0">
                  <a:solidFill>
                    <a:schemeClr val="tx1"/>
                  </a:solidFill>
                  <a:effectLst/>
                  <a:latin typeface="Cambria Math" panose="02040503050406030204" pitchFamily="18" charset="0"/>
                  <a:ea typeface="+mn-ea"/>
                  <a:cs typeface="+mn-cs"/>
                </a:rPr>
                <a:t>0</a:t>
              </a:r>
              <a:r>
                <a:rPr lang="fr-CA" sz="2000" i="0">
                  <a:solidFill>
                    <a:schemeClr val="tx1"/>
                  </a:solidFill>
                  <a:effectLst/>
                  <a:latin typeface="Cambria Math" panose="02040503050406030204" pitchFamily="18" charset="0"/>
                  <a:ea typeface="+mn-ea"/>
                  <a:cs typeface="+mn-cs"/>
                </a:rPr>
                <a:t>)</a:t>
              </a:r>
              <a:r>
                <a:rPr lang="en-US" sz="2000" b="0" i="0">
                  <a:solidFill>
                    <a:schemeClr val="tx1"/>
                  </a:solidFill>
                  <a:effectLst/>
                  <a:latin typeface="Cambria Math" panose="02040503050406030204" pitchFamily="18" charset="0"/>
                  <a:ea typeface="+mn-ea"/>
                  <a:cs typeface="+mn-cs"/>
                </a:rPr>
                <a:t>  </a:t>
              </a:r>
              <a:r>
                <a:rPr lang="fr-CA" sz="2000" b="0" i="0">
                  <a:solidFill>
                    <a:schemeClr val="tx1"/>
                  </a:solidFill>
                  <a:effectLst/>
                  <a:latin typeface="+mn-lt"/>
                  <a:ea typeface="+mn-ea"/>
                  <a:cs typeface="+mn-cs"/>
                </a:rPr>
                <a:t>"</a:t>
              </a:r>
              <a:endParaRPr lang="en-US" sz="2000" b="0" i="0">
                <a:solidFill>
                  <a:schemeClr val="tx1"/>
                </a:solidFill>
                <a:effectLst/>
                <a:latin typeface="+mn-lt"/>
                <a:ea typeface="+mn-ea"/>
                <a:cs typeface="+mn-cs"/>
              </a:endParaRPr>
            </a:p>
            <a:p>
              <a:pPr algn="l"/>
              <a:r>
                <a:rPr lang="fr-CA" sz="2000">
                  <a:solidFill>
                    <a:schemeClr val="tx1"/>
                  </a:solidFill>
                  <a:effectLst/>
                  <a:ea typeface="+mn-ea"/>
                  <a:cs typeface="+mn-cs"/>
                </a:rPr>
                <a:t>         </a:t>
              </a:r>
              <a:r>
                <a:rPr lang="fr-CA" sz="2000" i="0">
                  <a:solidFill>
                    <a:schemeClr val="tx1"/>
                  </a:solidFill>
                  <a:effectLst/>
                  <a:latin typeface="Cambria Math" panose="02040503050406030204" pitchFamily="18" charset="0"/>
                  <a:ea typeface="+mn-ea"/>
                  <a:cs typeface="+mn-cs"/>
                </a:rPr>
                <a:t>"=</a:t>
              </a:r>
              <a:r>
                <a:rPr lang="en-US" sz="2000" b="0" i="0">
                  <a:solidFill>
                    <a:schemeClr val="tx1"/>
                  </a:solidFill>
                  <a:effectLst/>
                  <a:latin typeface="Cambria Math" panose="02040503050406030204" pitchFamily="18" charset="0"/>
                  <a:ea typeface="+mn-ea"/>
                  <a:cs typeface="+mn-cs"/>
                </a:rPr>
                <a:t>  </a:t>
              </a:r>
              <a:r>
                <a:rPr lang="fr-CA" sz="2000" i="0">
                  <a:solidFill>
                    <a:schemeClr val="tx1"/>
                  </a:solidFill>
                  <a:effectLst/>
                  <a:latin typeface="Cambria Math" panose="02040503050406030204" pitchFamily="18" charset="0"/>
                  <a:ea typeface="+mn-ea"/>
                  <a:cs typeface="+mn-cs"/>
                </a:rPr>
                <a:t>P(S=1</a:t>
              </a:r>
              <a:r>
                <a:rPr lang="en-US" sz="2000" b="0" i="0">
                  <a:solidFill>
                    <a:schemeClr val="tx1"/>
                  </a:solidFill>
                  <a:effectLst/>
                  <a:latin typeface="Cambria Math" panose="02040503050406030204" pitchFamily="18" charset="0"/>
                  <a:ea typeface="+mn-ea"/>
                  <a:cs typeface="+mn-cs"/>
                </a:rPr>
                <a:t>)</a:t>
              </a:r>
              <a:r>
                <a:rPr lang="fr-CA" sz="2000" b="0" i="0">
                  <a:solidFill>
                    <a:schemeClr val="tx1"/>
                  </a:solidFill>
                  <a:effectLst/>
                  <a:latin typeface="+mn-lt"/>
                  <a:ea typeface="+mn-ea"/>
                  <a:cs typeface="+mn-cs"/>
                </a:rPr>
                <a:t>"</a:t>
              </a:r>
              <a:endParaRPr lang="en-US" sz="2000" b="0" i="0">
                <a:solidFill>
                  <a:schemeClr val="tx1"/>
                </a:solidFill>
                <a:effectLst/>
                <a:latin typeface="+mn-lt"/>
                <a:ea typeface="+mn-ea"/>
                <a:cs typeface="+mn-cs"/>
              </a:endParaRPr>
            </a:p>
            <a:p>
              <a:pPr algn="l"/>
              <a:r>
                <a:rPr lang="en-US" sz="2000" b="0">
                  <a:solidFill>
                    <a:schemeClr val="tx1"/>
                  </a:solidFill>
                  <a:effectLst/>
                  <a:ea typeface="+mn-ea"/>
                  <a:cs typeface="+mn-cs"/>
                </a:rPr>
                <a:t>         </a:t>
              </a:r>
              <a:r>
                <a:rPr lang="en-US" sz="2000" b="0" i="0">
                  <a:solidFill>
                    <a:schemeClr val="tx1"/>
                  </a:solidFill>
                  <a:effectLst/>
                  <a:latin typeface="Cambria Math" panose="02040503050406030204" pitchFamily="18" charset="0"/>
                  <a:ea typeface="+mn-ea"/>
                  <a:cs typeface="+mn-cs"/>
                </a:rPr>
                <a:t>"= </a:t>
              </a:r>
              <a:r>
                <a:rPr lang="en-US" sz="2000" b="0" i="0">
                  <a:solidFill>
                    <a:schemeClr val="tx1"/>
                  </a:solidFill>
                  <a:effectLst/>
                  <a:latin typeface="Cambria Math"/>
                  <a:ea typeface="+mn-ea"/>
                  <a:cs typeface="+mn-cs"/>
                </a:rPr>
                <a:t>" ∫𝑝𝑓</a:t>
              </a:r>
              <a:r>
                <a:rPr lang="en-US" sz="2000" b="0" i="0">
                  <a:solidFill>
                    <a:schemeClr val="tx1"/>
                  </a:solidFill>
                  <a:effectLst/>
                  <a:latin typeface="Cambria Math" panose="02040503050406030204" pitchFamily="18" charset="0"/>
                  <a:ea typeface="+mn-ea"/>
                  <a:cs typeface="+mn-cs"/>
                </a:rPr>
                <a:t>(</a:t>
              </a:r>
              <a:r>
                <a:rPr lang="en-US" sz="2000" b="0" i="0">
                  <a:solidFill>
                    <a:schemeClr val="tx1"/>
                  </a:solidFill>
                  <a:effectLst/>
                  <a:latin typeface="Cambria Math"/>
                  <a:ea typeface="+mn-ea"/>
                  <a:cs typeface="+mn-cs"/>
                </a:rPr>
                <a:t>𝑝</a:t>
              </a:r>
              <a:r>
                <a:rPr lang="en-US" sz="2000" b="0" i="0">
                  <a:solidFill>
                    <a:schemeClr val="tx1"/>
                  </a:solidFill>
                  <a:effectLst/>
                  <a:latin typeface="Cambria Math" panose="02040503050406030204" pitchFamily="18" charset="0"/>
                  <a:ea typeface="+mn-ea"/>
                  <a:cs typeface="+mn-cs"/>
                </a:rPr>
                <a:t>)</a:t>
              </a:r>
              <a:r>
                <a:rPr lang="en-US" sz="2000" b="0" i="0">
                  <a:solidFill>
                    <a:schemeClr val="tx1"/>
                  </a:solidFill>
                  <a:effectLst/>
                  <a:latin typeface="Cambria Math"/>
                  <a:ea typeface="+mn-ea"/>
                  <a:cs typeface="+mn-cs"/>
                </a:rPr>
                <a:t>𝑑𝑝</a:t>
              </a:r>
              <a:endParaRPr lang="en-US" sz="2000" b="0" i="1">
                <a:solidFill>
                  <a:schemeClr val="tx1"/>
                </a:solidFill>
                <a:effectLst/>
                <a:latin typeface="Cambria Math"/>
                <a:ea typeface="+mn-ea"/>
                <a:cs typeface="+mn-cs"/>
              </a:endParaRPr>
            </a:p>
            <a:p>
              <a:pPr algn="l"/>
              <a:r>
                <a:rPr lang="en-US" sz="2000" b="0">
                  <a:solidFill>
                    <a:schemeClr val="tx1"/>
                  </a:solidFill>
                  <a:effectLst/>
                  <a:ea typeface="+mn-ea"/>
                  <a:cs typeface="+mn-cs"/>
                </a:rPr>
                <a:t>        </a:t>
              </a:r>
              <a:r>
                <a:rPr lang="en-US" sz="2000" b="0" i="0">
                  <a:solidFill>
                    <a:schemeClr val="tx1"/>
                  </a:solidFill>
                  <a:effectLst/>
                  <a:latin typeface="Cambria Math"/>
                  <a:ea typeface="+mn-ea"/>
                  <a:cs typeface="+mn-cs"/>
                </a:rPr>
                <a:t>= 𝐸</a:t>
              </a:r>
              <a:r>
                <a:rPr lang="en-US" sz="2000" b="0" i="0">
                  <a:solidFill>
                    <a:schemeClr val="tx1"/>
                  </a:solidFill>
                  <a:effectLst/>
                  <a:latin typeface="Cambria Math" panose="02040503050406030204" pitchFamily="18" charset="0"/>
                  <a:ea typeface="+mn-ea"/>
                  <a:cs typeface="+mn-cs"/>
                </a:rPr>
                <a:t>[</a:t>
              </a:r>
              <a:r>
                <a:rPr lang="en-US" sz="2000" b="0" i="0">
                  <a:solidFill>
                    <a:schemeClr val="tx1"/>
                  </a:solidFill>
                  <a:effectLst/>
                  <a:latin typeface="Cambria Math"/>
                  <a:ea typeface="+mn-ea"/>
                  <a:cs typeface="+mn-cs"/>
                </a:rPr>
                <a:t>𝑝</a:t>
              </a:r>
              <a:r>
                <a:rPr lang="en-US" sz="2000" b="0" i="0">
                  <a:solidFill>
                    <a:schemeClr val="tx1"/>
                  </a:solidFill>
                  <a:effectLst/>
                  <a:latin typeface="Cambria Math" panose="02040503050406030204" pitchFamily="18" charset="0"/>
                  <a:ea typeface="+mn-ea"/>
                  <a:cs typeface="+mn-cs"/>
                </a:rPr>
                <a:t>]</a:t>
              </a:r>
              <a:endParaRPr lang="en-US" sz="2000" b="0" i="1">
                <a:solidFill>
                  <a:schemeClr val="tx1"/>
                </a:solidFill>
                <a:effectLst/>
                <a:latin typeface="Cambria Math"/>
                <a:ea typeface="+mn-ea"/>
                <a:cs typeface="+mn-cs"/>
              </a:endParaRPr>
            </a:p>
            <a:p>
              <a:pPr algn="l"/>
              <a:r>
                <a:rPr lang="en-US" sz="2000" b="0">
                  <a:solidFill>
                    <a:schemeClr val="tx1"/>
                  </a:solidFill>
                  <a:effectLst/>
                  <a:ea typeface="+mn-ea"/>
                  <a:cs typeface="+mn-cs"/>
                </a:rPr>
                <a:t>        </a:t>
              </a:r>
              <a:r>
                <a:rPr lang="en-US" sz="2000" b="0" i="0">
                  <a:solidFill>
                    <a:schemeClr val="tx1"/>
                  </a:solidFill>
                  <a:effectLst/>
                  <a:latin typeface="Cambria Math"/>
                  <a:ea typeface="+mn-ea"/>
                  <a:cs typeface="+mn-cs"/>
                </a:rPr>
                <a:t>=  𝛼</a:t>
              </a:r>
              <a:r>
                <a:rPr lang="en-US" sz="2000" b="0" i="0">
                  <a:solidFill>
                    <a:schemeClr val="tx1"/>
                  </a:solidFill>
                  <a:effectLst/>
                  <a:latin typeface="Cambria Math" panose="02040503050406030204" pitchFamily="18" charset="0"/>
                  <a:ea typeface="+mn-ea"/>
                  <a:cs typeface="+mn-cs"/>
                </a:rPr>
                <a:t>⁄(</a:t>
              </a:r>
              <a:r>
                <a:rPr lang="en-US" sz="2000" b="0" i="0">
                  <a:solidFill>
                    <a:schemeClr val="tx1"/>
                  </a:solidFill>
                  <a:effectLst/>
                  <a:latin typeface="Cambria Math"/>
                  <a:ea typeface="+mn-ea"/>
                  <a:cs typeface="+mn-cs"/>
                </a:rPr>
                <a:t>𝛼+𝛽</a:t>
              </a:r>
              <a:r>
                <a:rPr lang="en-US" sz="2000" b="0" i="0">
                  <a:solidFill>
                    <a:schemeClr val="tx1"/>
                  </a:solidFill>
                  <a:effectLst/>
                  <a:latin typeface="Cambria Math" panose="02040503050406030204" pitchFamily="18" charset="0"/>
                  <a:ea typeface="+mn-ea"/>
                  <a:cs typeface="+mn-cs"/>
                </a:rPr>
                <a:t>)</a:t>
              </a:r>
              <a:endParaRPr lang="fr-CA" sz="2000"/>
            </a:p>
          </xdr:txBody>
        </xdr:sp>
      </mc:Fallback>
    </mc:AlternateContent>
    <xdr:clientData/>
  </xdr:oneCellAnchor>
  <xdr:twoCellAnchor>
    <xdr:from>
      <xdr:col>4</xdr:col>
      <xdr:colOff>90714</xdr:colOff>
      <xdr:row>14</xdr:row>
      <xdr:rowOff>199571</xdr:rowOff>
    </xdr:from>
    <xdr:to>
      <xdr:col>5</xdr:col>
      <xdr:colOff>109536</xdr:colOff>
      <xdr:row>19</xdr:row>
      <xdr:rowOff>226203</xdr:rowOff>
    </xdr:to>
    <xdr:cxnSp macro="">
      <xdr:nvCxnSpPr>
        <xdr:cNvPr id="3" name="Connecteur droit avec flèche 2">
          <a:extLst>
            <a:ext uri="{FF2B5EF4-FFF2-40B4-BE49-F238E27FC236}">
              <a16:creationId xmlns:a16="http://schemas.microsoft.com/office/drawing/2014/main" id="{00000000-0008-0000-0900-000003000000}"/>
            </a:ext>
          </a:extLst>
        </xdr:cNvPr>
        <xdr:cNvCxnSpPr>
          <a:stCxn id="2" idx="1"/>
        </xdr:cNvCxnSpPr>
      </xdr:nvCxnSpPr>
      <xdr:spPr bwMode="auto">
        <a:xfrm flipH="1" flipV="1">
          <a:off x="6477000" y="4136571"/>
          <a:ext cx="1669822" cy="1351061"/>
        </a:xfrm>
        <a:prstGeom prst="straightConnector1">
          <a:avLst/>
        </a:prstGeom>
        <a:solidFill>
          <a:srgbClr val="FFFFFF"/>
        </a:solidFill>
        <a:ln w="25400" cap="flat" cmpd="sng" algn="ctr">
          <a:solidFill>
            <a:srgbClr val="000000"/>
          </a:solidFill>
          <a:prstDash val="solid"/>
          <a:round/>
          <a:headEnd type="none" w="med" len="med"/>
          <a:tailEnd type="triangle"/>
        </a:ln>
        <a:effectLst/>
      </xdr:spPr>
    </xdr:cxnSp>
    <xdr:clientData/>
  </xdr:twoCellAnchor>
  <xdr:twoCellAnchor>
    <xdr:from>
      <xdr:col>4</xdr:col>
      <xdr:colOff>54429</xdr:colOff>
      <xdr:row>13</xdr:row>
      <xdr:rowOff>108857</xdr:rowOff>
    </xdr:from>
    <xdr:to>
      <xdr:col>4</xdr:col>
      <xdr:colOff>1564822</xdr:colOff>
      <xdr:row>13</xdr:row>
      <xdr:rowOff>108858</xdr:rowOff>
    </xdr:to>
    <xdr:cxnSp macro="">
      <xdr:nvCxnSpPr>
        <xdr:cNvPr id="4" name="Connecteur droit avec flèche 3">
          <a:extLst>
            <a:ext uri="{FF2B5EF4-FFF2-40B4-BE49-F238E27FC236}">
              <a16:creationId xmlns:a16="http://schemas.microsoft.com/office/drawing/2014/main" id="{00000000-0008-0000-0900-000004000000}"/>
            </a:ext>
          </a:extLst>
        </xdr:cNvPr>
        <xdr:cNvCxnSpPr/>
      </xdr:nvCxnSpPr>
      <xdr:spPr bwMode="auto">
        <a:xfrm flipH="1" flipV="1">
          <a:off x="6626679" y="3741964"/>
          <a:ext cx="1510393" cy="1"/>
        </a:xfrm>
        <a:prstGeom prst="straightConnector1">
          <a:avLst/>
        </a:prstGeom>
        <a:solidFill>
          <a:srgbClr val="FFFFFF"/>
        </a:solidFill>
        <a:ln w="25400" cap="flat" cmpd="sng" algn="ctr">
          <a:solidFill>
            <a:srgbClr val="000000"/>
          </a:solidFill>
          <a:prstDash val="solid"/>
          <a:round/>
          <a:headEnd type="none" w="med" len="med"/>
          <a:tailEnd type="triangle"/>
        </a:ln>
        <a:effectLst/>
      </xdr:spPr>
    </xdr:cxn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9"/>
  <sheetViews>
    <sheetView tabSelected="1" zoomScale="85" zoomScaleNormal="85" zoomScalePageLayoutView="85" workbookViewId="0"/>
  </sheetViews>
  <sheetFormatPr baseColWidth="10" defaultRowHeight="18" x14ac:dyDescent="0.2"/>
  <cols>
    <col min="1" max="5" width="10.625" style="19"/>
    <col min="6" max="6" width="18.375" style="19" customWidth="1"/>
    <col min="7" max="16384" width="10.625" style="19"/>
  </cols>
  <sheetData>
    <row r="1" spans="1:14" x14ac:dyDescent="0.2">
      <c r="A1" s="26"/>
      <c r="B1" s="26"/>
      <c r="C1" s="26"/>
      <c r="D1" s="26"/>
      <c r="E1" s="26"/>
      <c r="F1" s="26"/>
      <c r="G1" s="26"/>
      <c r="H1" s="26"/>
      <c r="I1" s="26"/>
      <c r="J1" s="26"/>
      <c r="K1" s="26"/>
      <c r="L1" s="26"/>
      <c r="M1" s="26"/>
      <c r="N1" s="26"/>
    </row>
    <row r="2" spans="1:14" ht="162.75" customHeight="1" x14ac:dyDescent="0.2">
      <c r="A2" s="35" t="s">
        <v>87</v>
      </c>
      <c r="B2" s="35"/>
      <c r="C2" s="35"/>
      <c r="D2" s="35"/>
      <c r="E2" s="35"/>
      <c r="F2" s="35"/>
      <c r="G2" s="26"/>
      <c r="H2" s="26"/>
      <c r="I2" s="26"/>
      <c r="J2" s="26"/>
      <c r="K2" s="26"/>
      <c r="L2" s="26"/>
      <c r="M2" s="26"/>
      <c r="N2" s="26"/>
    </row>
    <row r="3" spans="1:14" ht="34.5" customHeight="1" x14ac:dyDescent="0.2">
      <c r="A3" s="35" t="s">
        <v>79</v>
      </c>
      <c r="B3" s="36"/>
      <c r="C3" s="36"/>
      <c r="D3" s="36"/>
      <c r="E3" s="36"/>
      <c r="F3" s="36"/>
      <c r="G3" s="26"/>
      <c r="H3" s="26"/>
      <c r="I3" s="26"/>
      <c r="J3" s="26"/>
      <c r="K3" s="26"/>
      <c r="L3" s="26"/>
      <c r="M3" s="26"/>
      <c r="N3" s="26"/>
    </row>
    <row r="4" spans="1:14" ht="18" customHeight="1" x14ac:dyDescent="0.2">
      <c r="A4" s="45"/>
      <c r="B4" s="46"/>
      <c r="C4" s="46"/>
      <c r="D4" s="46"/>
      <c r="E4" s="46"/>
      <c r="F4" s="46"/>
      <c r="G4" s="26"/>
      <c r="H4" s="26"/>
      <c r="I4" s="26"/>
      <c r="J4" s="26"/>
      <c r="K4" s="26"/>
      <c r="L4" s="26"/>
      <c r="M4" s="26"/>
      <c r="N4" s="26"/>
    </row>
    <row r="5" spans="1:14" ht="18" customHeight="1" x14ac:dyDescent="0.2">
      <c r="A5" s="36" t="s">
        <v>80</v>
      </c>
      <c r="B5" s="36"/>
      <c r="C5" s="36"/>
      <c r="D5" s="36"/>
      <c r="E5" s="36"/>
      <c r="F5" s="36"/>
      <c r="G5" s="26"/>
      <c r="H5" s="26"/>
      <c r="I5" s="26"/>
      <c r="J5" s="26"/>
      <c r="K5" s="26"/>
      <c r="L5" s="26"/>
      <c r="M5" s="26"/>
      <c r="N5" s="26"/>
    </row>
    <row r="6" spans="1:14" ht="18" customHeight="1" x14ac:dyDescent="0.2">
      <c r="A6" s="28"/>
      <c r="B6" s="28"/>
      <c r="C6" s="28"/>
      <c r="D6" s="28"/>
      <c r="E6" s="28"/>
      <c r="F6" s="28"/>
      <c r="G6" s="26"/>
      <c r="H6" s="26"/>
      <c r="I6" s="26"/>
      <c r="J6" s="26"/>
      <c r="K6" s="26"/>
      <c r="L6" s="26"/>
      <c r="M6" s="26"/>
      <c r="N6" s="26"/>
    </row>
    <row r="7" spans="1:14" x14ac:dyDescent="0.2">
      <c r="A7" s="28"/>
      <c r="B7" s="28"/>
      <c r="C7" s="28"/>
      <c r="D7" s="28"/>
      <c r="E7" s="28"/>
      <c r="F7" s="28"/>
      <c r="G7" s="26"/>
      <c r="H7" s="26"/>
      <c r="I7" s="26"/>
      <c r="J7" s="26"/>
      <c r="K7" s="26"/>
      <c r="L7" s="26"/>
      <c r="M7" s="26"/>
      <c r="N7" s="26"/>
    </row>
    <row r="8" spans="1:14" x14ac:dyDescent="0.2">
      <c r="A8" s="46" t="s">
        <v>81</v>
      </c>
      <c r="B8" s="46"/>
      <c r="C8" s="46"/>
      <c r="D8" s="46"/>
      <c r="E8" s="46"/>
      <c r="F8" s="46"/>
      <c r="G8" s="26"/>
      <c r="H8" s="26"/>
      <c r="I8" s="26"/>
      <c r="J8" s="26"/>
      <c r="K8" s="26"/>
      <c r="L8" s="26"/>
      <c r="M8" s="26"/>
      <c r="N8" s="26"/>
    </row>
    <row r="9" spans="1:14" x14ac:dyDescent="0.2">
      <c r="A9" s="28"/>
      <c r="B9" s="28"/>
      <c r="C9" s="28"/>
      <c r="D9" s="28"/>
      <c r="E9" s="28"/>
      <c r="F9" s="28"/>
      <c r="G9" s="26"/>
      <c r="H9" s="26"/>
      <c r="I9" s="26"/>
      <c r="J9" s="26"/>
      <c r="K9" s="26"/>
      <c r="L9" s="26"/>
      <c r="M9" s="26"/>
      <c r="N9" s="26"/>
    </row>
    <row r="10" spans="1:14" ht="32.25" customHeight="1" x14ac:dyDescent="0.2">
      <c r="A10" s="35" t="s">
        <v>92</v>
      </c>
      <c r="B10" s="36"/>
      <c r="C10" s="36"/>
      <c r="D10" s="36"/>
      <c r="E10" s="36"/>
      <c r="F10" s="36"/>
      <c r="G10" s="26"/>
      <c r="H10" s="26"/>
      <c r="I10" s="26"/>
      <c r="J10" s="26"/>
      <c r="K10" s="26"/>
      <c r="L10" s="26"/>
      <c r="M10" s="26"/>
      <c r="N10" s="26"/>
    </row>
    <row r="11" spans="1:14" x14ac:dyDescent="0.2">
      <c r="A11" s="28"/>
      <c r="B11" s="28"/>
      <c r="C11" s="28"/>
      <c r="D11" s="28"/>
      <c r="E11" s="28"/>
      <c r="F11" s="28"/>
      <c r="G11" s="26"/>
      <c r="H11" s="26"/>
      <c r="I11" s="26"/>
      <c r="J11" s="26"/>
      <c r="K11" s="26"/>
      <c r="L11" s="26"/>
      <c r="M11" s="26"/>
      <c r="N11" s="26"/>
    </row>
    <row r="12" spans="1:14" ht="32.25" customHeight="1" x14ac:dyDescent="0.2">
      <c r="A12" s="35" t="s">
        <v>90</v>
      </c>
      <c r="B12" s="36"/>
      <c r="C12" s="36"/>
      <c r="D12" s="36"/>
      <c r="E12" s="36"/>
      <c r="F12" s="36"/>
      <c r="G12" s="26"/>
      <c r="H12" s="26"/>
      <c r="I12" s="26"/>
      <c r="J12" s="26"/>
      <c r="K12" s="26"/>
      <c r="L12" s="26"/>
      <c r="M12" s="26"/>
      <c r="N12" s="26"/>
    </row>
    <row r="13" spans="1:14" ht="38.25" customHeight="1" x14ac:dyDescent="0.2">
      <c r="B13" s="47" t="s">
        <v>91</v>
      </c>
      <c r="C13" s="47"/>
      <c r="D13" s="47"/>
      <c r="E13" s="47"/>
      <c r="F13" s="47"/>
      <c r="G13" s="26"/>
      <c r="H13" s="26"/>
      <c r="I13" s="26"/>
      <c r="J13" s="26"/>
      <c r="K13" s="26"/>
      <c r="L13" s="26"/>
      <c r="M13" s="26"/>
      <c r="N13" s="26"/>
    </row>
    <row r="14" spans="1:14" x14ac:dyDescent="0.2">
      <c r="A14" s="27"/>
      <c r="B14" s="26"/>
      <c r="C14" s="26"/>
      <c r="D14" s="26"/>
      <c r="E14" s="26"/>
      <c r="F14" s="26"/>
      <c r="G14" s="26"/>
      <c r="H14" s="26"/>
      <c r="I14" s="26"/>
      <c r="J14" s="26"/>
      <c r="K14" s="26"/>
      <c r="L14" s="26"/>
      <c r="M14" s="26"/>
      <c r="N14" s="26"/>
    </row>
    <row r="15" spans="1:14" x14ac:dyDescent="0.2">
      <c r="A15" s="26"/>
      <c r="B15" s="26"/>
      <c r="C15" s="26"/>
      <c r="D15" s="26"/>
      <c r="E15" s="26"/>
      <c r="F15" s="26"/>
      <c r="G15" s="26"/>
      <c r="H15" s="26"/>
      <c r="I15" s="26"/>
      <c r="J15" s="26"/>
      <c r="K15" s="26"/>
      <c r="L15" s="26"/>
      <c r="M15" s="26"/>
      <c r="N15" s="26"/>
    </row>
    <row r="16" spans="1:14" x14ac:dyDescent="0.2">
      <c r="A16" s="26"/>
      <c r="B16" s="26"/>
      <c r="C16" s="26"/>
      <c r="D16" s="26"/>
      <c r="E16" s="26"/>
      <c r="F16" s="26"/>
      <c r="G16" s="26"/>
      <c r="H16" s="26"/>
      <c r="I16" s="26"/>
      <c r="J16" s="26"/>
      <c r="K16" s="26"/>
      <c r="L16" s="26"/>
      <c r="M16" s="26"/>
      <c r="N16" s="26"/>
    </row>
    <row r="17" spans="1:14" x14ac:dyDescent="0.2">
      <c r="A17" s="26"/>
      <c r="B17" s="26"/>
      <c r="C17" s="26"/>
      <c r="D17" s="26"/>
      <c r="E17" s="26"/>
      <c r="F17" s="26"/>
      <c r="G17" s="26"/>
      <c r="H17" s="26"/>
      <c r="I17" s="26"/>
      <c r="J17" s="26"/>
      <c r="K17" s="26"/>
      <c r="L17" s="26"/>
      <c r="M17" s="26"/>
      <c r="N17" s="26"/>
    </row>
    <row r="18" spans="1:14" x14ac:dyDescent="0.2">
      <c r="A18" s="26"/>
      <c r="B18" s="26"/>
      <c r="C18" s="26"/>
      <c r="D18" s="26"/>
      <c r="E18" s="26"/>
      <c r="F18" s="26"/>
      <c r="G18" s="26"/>
      <c r="H18" s="26"/>
      <c r="I18" s="26"/>
      <c r="J18" s="26"/>
      <c r="K18" s="26"/>
      <c r="L18" s="26"/>
      <c r="M18" s="26"/>
      <c r="N18" s="26"/>
    </row>
    <row r="19" spans="1:14" x14ac:dyDescent="0.2">
      <c r="A19" s="26"/>
      <c r="B19" s="26"/>
      <c r="C19" s="26"/>
      <c r="D19" s="26"/>
      <c r="E19" s="26"/>
      <c r="F19" s="26"/>
      <c r="G19" s="26"/>
      <c r="H19" s="26"/>
      <c r="I19" s="26"/>
      <c r="J19" s="26"/>
      <c r="K19" s="26"/>
      <c r="L19" s="26"/>
      <c r="M19" s="26"/>
      <c r="N19" s="26"/>
    </row>
    <row r="20" spans="1:14" x14ac:dyDescent="0.2">
      <c r="A20" s="26"/>
      <c r="B20" s="26"/>
      <c r="C20" s="26"/>
      <c r="D20" s="26"/>
      <c r="E20" s="26"/>
      <c r="F20" s="26"/>
      <c r="G20" s="26"/>
      <c r="H20" s="26"/>
      <c r="I20" s="26"/>
      <c r="J20" s="26"/>
      <c r="K20" s="26"/>
      <c r="L20" s="26"/>
      <c r="M20" s="26"/>
      <c r="N20" s="26"/>
    </row>
    <row r="21" spans="1:14" x14ac:dyDescent="0.2">
      <c r="A21" s="26"/>
      <c r="B21" s="26"/>
      <c r="C21" s="26"/>
      <c r="D21" s="26"/>
      <c r="E21" s="26"/>
      <c r="F21" s="26"/>
      <c r="G21" s="26"/>
      <c r="H21" s="26"/>
      <c r="I21" s="26"/>
      <c r="J21" s="26"/>
      <c r="K21" s="26"/>
      <c r="L21" s="26"/>
      <c r="M21" s="26"/>
      <c r="N21" s="26"/>
    </row>
    <row r="22" spans="1:14" x14ac:dyDescent="0.2">
      <c r="A22" s="26"/>
      <c r="B22" s="26"/>
      <c r="C22" s="26"/>
      <c r="D22" s="26"/>
      <c r="E22" s="26"/>
      <c r="F22" s="26"/>
      <c r="G22" s="26"/>
      <c r="H22" s="26"/>
      <c r="I22" s="26"/>
      <c r="J22" s="26"/>
      <c r="K22" s="26"/>
      <c r="L22" s="26"/>
      <c r="M22" s="26"/>
      <c r="N22" s="26"/>
    </row>
    <row r="23" spans="1:14" x14ac:dyDescent="0.2">
      <c r="A23" s="26"/>
      <c r="B23" s="26"/>
      <c r="C23" s="26"/>
      <c r="D23" s="26"/>
      <c r="E23" s="26"/>
      <c r="F23" s="26"/>
      <c r="G23" s="26"/>
      <c r="H23" s="26"/>
      <c r="I23" s="26"/>
      <c r="J23" s="26"/>
      <c r="K23" s="26"/>
      <c r="L23" s="26"/>
      <c r="M23" s="26"/>
      <c r="N23" s="26"/>
    </row>
    <row r="24" spans="1:14" x14ac:dyDescent="0.2">
      <c r="A24" s="26"/>
      <c r="B24" s="26"/>
      <c r="C24" s="26"/>
      <c r="D24" s="26"/>
      <c r="E24" s="26"/>
      <c r="F24" s="26"/>
      <c r="G24" s="26"/>
      <c r="H24" s="26"/>
      <c r="I24" s="26"/>
      <c r="J24" s="26"/>
      <c r="K24" s="26"/>
      <c r="L24" s="26"/>
      <c r="M24" s="26"/>
      <c r="N24" s="26"/>
    </row>
    <row r="25" spans="1:14" x14ac:dyDescent="0.2">
      <c r="A25" s="26"/>
      <c r="B25" s="26"/>
      <c r="C25" s="26"/>
      <c r="D25" s="26"/>
      <c r="E25" s="26"/>
      <c r="F25" s="26"/>
      <c r="G25" s="26"/>
      <c r="H25" s="26"/>
      <c r="I25" s="26"/>
      <c r="J25" s="26"/>
      <c r="K25" s="26"/>
      <c r="L25" s="26"/>
      <c r="M25" s="26"/>
      <c r="N25" s="26"/>
    </row>
    <row r="26" spans="1:14" x14ac:dyDescent="0.2">
      <c r="A26" s="26"/>
      <c r="B26" s="26"/>
      <c r="C26" s="26"/>
      <c r="D26" s="26"/>
      <c r="E26" s="26"/>
      <c r="F26" s="26"/>
      <c r="G26" s="26"/>
      <c r="H26" s="26"/>
      <c r="I26" s="26"/>
      <c r="J26" s="26"/>
      <c r="K26" s="26"/>
      <c r="L26" s="26"/>
      <c r="M26" s="26"/>
      <c r="N26" s="26"/>
    </row>
    <row r="27" spans="1:14" x14ac:dyDescent="0.2">
      <c r="A27" s="26"/>
      <c r="B27" s="26"/>
      <c r="C27" s="26"/>
      <c r="D27" s="26"/>
      <c r="E27" s="26"/>
      <c r="F27" s="26"/>
      <c r="G27" s="26"/>
      <c r="H27" s="26"/>
      <c r="I27" s="26"/>
      <c r="J27" s="26"/>
      <c r="K27" s="26"/>
      <c r="L27" s="26"/>
      <c r="M27" s="26"/>
      <c r="N27" s="26"/>
    </row>
    <row r="28" spans="1:14" x14ac:dyDescent="0.2">
      <c r="A28" s="26"/>
      <c r="B28" s="26"/>
      <c r="C28" s="26"/>
      <c r="D28" s="26"/>
      <c r="E28" s="26"/>
      <c r="F28" s="26"/>
      <c r="G28" s="26"/>
      <c r="H28" s="26"/>
      <c r="I28" s="26"/>
      <c r="J28" s="26"/>
      <c r="K28" s="26"/>
      <c r="L28" s="26"/>
      <c r="M28" s="26"/>
      <c r="N28" s="26"/>
    </row>
    <row r="29" spans="1:14" x14ac:dyDescent="0.2">
      <c r="A29" s="26"/>
      <c r="B29" s="26"/>
      <c r="C29" s="26"/>
      <c r="D29" s="26"/>
      <c r="E29" s="26"/>
      <c r="F29" s="26"/>
      <c r="G29" s="26"/>
      <c r="H29" s="26"/>
      <c r="I29" s="26"/>
      <c r="J29" s="26"/>
      <c r="K29" s="26"/>
      <c r="L29" s="26"/>
      <c r="M29" s="26"/>
      <c r="N29" s="26"/>
    </row>
    <row r="30" spans="1:14" x14ac:dyDescent="0.2">
      <c r="A30" s="26"/>
      <c r="B30" s="26"/>
      <c r="C30" s="26"/>
      <c r="D30" s="26"/>
      <c r="E30" s="26"/>
      <c r="F30" s="26"/>
      <c r="G30" s="26"/>
      <c r="H30" s="26"/>
      <c r="I30" s="26"/>
      <c r="J30" s="26"/>
      <c r="K30" s="26"/>
      <c r="L30" s="26"/>
      <c r="M30" s="26"/>
      <c r="N30" s="26"/>
    </row>
    <row r="31" spans="1:14" x14ac:dyDescent="0.2">
      <c r="A31" s="26"/>
      <c r="B31" s="26"/>
      <c r="C31" s="26"/>
      <c r="D31" s="26"/>
      <c r="E31" s="26"/>
      <c r="F31" s="26"/>
      <c r="G31" s="26"/>
      <c r="H31" s="26"/>
      <c r="I31" s="26"/>
      <c r="J31" s="26"/>
      <c r="K31" s="26"/>
      <c r="L31" s="26"/>
      <c r="M31" s="26"/>
      <c r="N31" s="26"/>
    </row>
    <row r="32" spans="1:14" x14ac:dyDescent="0.2">
      <c r="A32" s="26"/>
      <c r="B32" s="26"/>
      <c r="C32" s="26"/>
      <c r="D32" s="26"/>
      <c r="E32" s="26"/>
      <c r="F32" s="26"/>
      <c r="G32" s="26"/>
      <c r="H32" s="26"/>
      <c r="I32" s="26"/>
      <c r="J32" s="26"/>
      <c r="K32" s="26"/>
      <c r="L32" s="26"/>
      <c r="M32" s="26"/>
      <c r="N32" s="26"/>
    </row>
    <row r="33" spans="1:14" x14ac:dyDescent="0.2">
      <c r="A33" s="26"/>
      <c r="B33" s="26"/>
      <c r="C33" s="26"/>
      <c r="D33" s="26"/>
      <c r="E33" s="26"/>
      <c r="F33" s="26"/>
      <c r="G33" s="26"/>
      <c r="H33" s="26"/>
      <c r="I33" s="26"/>
      <c r="J33" s="26"/>
      <c r="K33" s="26"/>
      <c r="L33" s="26"/>
      <c r="M33" s="26"/>
      <c r="N33" s="26"/>
    </row>
    <row r="34" spans="1:14" ht="31.5" customHeight="1" x14ac:dyDescent="0.2">
      <c r="A34" s="26"/>
      <c r="B34" s="39" t="s">
        <v>78</v>
      </c>
      <c r="C34" s="40"/>
      <c r="D34" s="40"/>
      <c r="E34" s="40"/>
      <c r="F34" s="40"/>
      <c r="G34" s="26"/>
      <c r="H34" s="26"/>
      <c r="I34" s="26"/>
      <c r="J34" s="26"/>
      <c r="K34" s="26"/>
      <c r="L34" s="26"/>
      <c r="M34" s="26"/>
      <c r="N34" s="26"/>
    </row>
    <row r="35" spans="1:14" x14ac:dyDescent="0.2">
      <c r="A35" s="26"/>
      <c r="B35" s="26"/>
      <c r="C35" s="26"/>
      <c r="D35" s="26"/>
      <c r="E35" s="26"/>
      <c r="F35" s="26"/>
      <c r="G35" s="26"/>
      <c r="H35" s="26"/>
      <c r="I35" s="26"/>
      <c r="J35" s="26"/>
      <c r="K35" s="26"/>
      <c r="L35" s="26"/>
      <c r="M35" s="26"/>
      <c r="N35" s="26"/>
    </row>
    <row r="36" spans="1:14" x14ac:dyDescent="0.2">
      <c r="A36" s="26"/>
      <c r="B36" s="26"/>
      <c r="C36" s="26"/>
      <c r="D36" s="26"/>
      <c r="E36" s="26"/>
      <c r="F36" s="26"/>
      <c r="G36" s="26"/>
      <c r="H36" s="26"/>
      <c r="I36" s="26"/>
      <c r="J36" s="26"/>
      <c r="K36" s="26"/>
      <c r="L36" s="26"/>
      <c r="M36" s="26"/>
      <c r="N36" s="26"/>
    </row>
    <row r="37" spans="1:14" x14ac:dyDescent="0.2">
      <c r="A37" s="26"/>
      <c r="B37" s="26"/>
      <c r="C37" s="26"/>
      <c r="D37" s="26"/>
      <c r="E37" s="26"/>
      <c r="F37" s="26"/>
      <c r="G37" s="26"/>
      <c r="H37" s="26"/>
      <c r="I37" s="26"/>
      <c r="J37" s="26"/>
      <c r="K37" s="26"/>
      <c r="L37" s="26"/>
      <c r="M37" s="26"/>
      <c r="N37" s="26"/>
    </row>
    <row r="38" spans="1:14" x14ac:dyDescent="0.2">
      <c r="A38" s="26"/>
      <c r="B38" s="26"/>
      <c r="C38" s="26"/>
      <c r="D38" s="26"/>
      <c r="E38" s="26"/>
      <c r="F38" s="26"/>
      <c r="G38" s="26"/>
      <c r="H38" s="26"/>
      <c r="I38" s="26"/>
      <c r="J38" s="26"/>
      <c r="K38" s="26"/>
      <c r="L38" s="26"/>
      <c r="M38" s="26"/>
      <c r="N38" s="26"/>
    </row>
    <row r="39" spans="1:14" x14ac:dyDescent="0.2">
      <c r="A39" s="26"/>
      <c r="B39" s="26"/>
      <c r="C39" s="26"/>
      <c r="D39" s="26"/>
      <c r="E39" s="26"/>
      <c r="F39" s="26"/>
      <c r="G39" s="26"/>
      <c r="H39" s="26"/>
      <c r="I39" s="26"/>
      <c r="J39" s="26"/>
      <c r="K39" s="26"/>
      <c r="L39" s="26"/>
      <c r="M39" s="26"/>
      <c r="N39" s="26"/>
    </row>
    <row r="40" spans="1:14" x14ac:dyDescent="0.2">
      <c r="A40" s="26"/>
      <c r="B40" s="26"/>
      <c r="C40" s="26"/>
      <c r="D40" s="26"/>
      <c r="E40" s="26"/>
      <c r="F40" s="26"/>
      <c r="G40" s="26"/>
      <c r="H40" s="26"/>
      <c r="I40" s="26"/>
      <c r="J40" s="26"/>
      <c r="K40" s="26"/>
      <c r="L40" s="26"/>
      <c r="M40" s="26"/>
      <c r="N40" s="26"/>
    </row>
    <row r="41" spans="1:14" x14ac:dyDescent="0.2">
      <c r="A41" s="26"/>
      <c r="B41" s="26"/>
      <c r="C41" s="26"/>
      <c r="D41" s="26"/>
      <c r="E41" s="26"/>
      <c r="F41" s="26"/>
      <c r="G41" s="26"/>
      <c r="H41" s="26"/>
      <c r="I41" s="26"/>
      <c r="J41" s="26"/>
      <c r="K41" s="26"/>
      <c r="L41" s="26"/>
      <c r="M41" s="26"/>
      <c r="N41" s="26"/>
    </row>
    <row r="42" spans="1:14" ht="30.75" customHeight="1" x14ac:dyDescent="0.2">
      <c r="A42" s="41" t="s">
        <v>82</v>
      </c>
      <c r="B42" s="42"/>
      <c r="C42" s="42"/>
      <c r="D42" s="42"/>
      <c r="E42" s="42"/>
      <c r="F42" s="42"/>
      <c r="G42" s="26"/>
      <c r="H42" s="26"/>
      <c r="I42" s="26"/>
      <c r="J42" s="26"/>
      <c r="K42" s="26"/>
      <c r="L42" s="26"/>
      <c r="M42" s="26"/>
      <c r="N42" s="26"/>
    </row>
    <row r="43" spans="1:14" ht="32.25" customHeight="1" x14ac:dyDescent="0.2">
      <c r="A43" s="26"/>
      <c r="B43" s="37" t="s">
        <v>83</v>
      </c>
      <c r="C43" s="38"/>
      <c r="D43" s="38"/>
      <c r="E43" s="38"/>
      <c r="F43" s="38"/>
      <c r="G43" s="26"/>
      <c r="H43" s="26"/>
      <c r="I43" s="26"/>
      <c r="J43" s="26"/>
      <c r="K43" s="26"/>
      <c r="L43" s="26"/>
      <c r="M43" s="26"/>
      <c r="N43" s="26"/>
    </row>
    <row r="44" spans="1:14" x14ac:dyDescent="0.2">
      <c r="A44" s="26"/>
      <c r="B44" s="26"/>
      <c r="C44" s="26"/>
      <c r="D44" s="26"/>
      <c r="E44" s="26"/>
      <c r="F44" s="26"/>
      <c r="G44" s="26"/>
      <c r="H44" s="26"/>
      <c r="I44" s="26"/>
      <c r="J44" s="26"/>
      <c r="K44" s="26"/>
      <c r="L44" s="26"/>
      <c r="M44" s="26"/>
      <c r="N44" s="26"/>
    </row>
    <row r="45" spans="1:14" ht="32.25" customHeight="1" x14ac:dyDescent="0.2">
      <c r="A45" s="43" t="s">
        <v>84</v>
      </c>
      <c r="B45" s="44"/>
      <c r="C45" s="44"/>
      <c r="D45" s="44"/>
      <c r="E45" s="44"/>
      <c r="F45" s="44"/>
      <c r="G45" s="26"/>
      <c r="H45" s="26"/>
      <c r="I45" s="26"/>
      <c r="J45" s="26"/>
      <c r="K45" s="26"/>
      <c r="L45" s="26"/>
      <c r="M45" s="26"/>
      <c r="N45" s="26"/>
    </row>
    <row r="46" spans="1:14" x14ac:dyDescent="0.2">
      <c r="A46" s="26"/>
      <c r="B46" s="26"/>
      <c r="C46" s="26"/>
      <c r="D46" s="26"/>
      <c r="E46" s="26"/>
      <c r="F46" s="26"/>
      <c r="G46" s="26"/>
      <c r="H46" s="26"/>
      <c r="I46" s="26"/>
      <c r="J46" s="26"/>
      <c r="K46" s="26"/>
      <c r="L46" s="26"/>
      <c r="M46" s="26"/>
      <c r="N46" s="26"/>
    </row>
    <row r="47" spans="1:14" ht="38.25" customHeight="1" x14ac:dyDescent="0.2">
      <c r="A47" s="35" t="s">
        <v>85</v>
      </c>
      <c r="B47" s="36"/>
      <c r="C47" s="36"/>
      <c r="D47" s="36"/>
      <c r="E47" s="36"/>
      <c r="F47" s="36"/>
      <c r="G47" s="26"/>
      <c r="H47" s="26"/>
      <c r="I47" s="26"/>
      <c r="J47" s="26"/>
      <c r="K47" s="26"/>
      <c r="L47" s="26"/>
      <c r="M47" s="26"/>
      <c r="N47" s="26"/>
    </row>
    <row r="48" spans="1:14" ht="38.25" customHeight="1" x14ac:dyDescent="0.2">
      <c r="A48" s="35" t="s">
        <v>88</v>
      </c>
      <c r="B48" s="36"/>
      <c r="C48" s="36"/>
      <c r="D48" s="36"/>
      <c r="E48" s="36"/>
      <c r="F48" s="36"/>
      <c r="G48" s="26"/>
      <c r="H48" s="26"/>
      <c r="I48" s="26"/>
      <c r="J48" s="26"/>
      <c r="K48" s="26"/>
      <c r="L48" s="26"/>
      <c r="M48" s="26"/>
      <c r="N48" s="26"/>
    </row>
    <row r="49" spans="1:14" ht="38.25" customHeight="1" x14ac:dyDescent="0.2">
      <c r="A49" s="35" t="s">
        <v>89</v>
      </c>
      <c r="B49" s="36"/>
      <c r="C49" s="36"/>
      <c r="D49" s="36"/>
      <c r="E49" s="36"/>
      <c r="F49" s="36"/>
      <c r="G49" s="26"/>
      <c r="H49" s="26"/>
      <c r="I49" s="26"/>
      <c r="J49" s="26"/>
      <c r="K49" s="26"/>
      <c r="L49" s="26"/>
      <c r="M49" s="26"/>
      <c r="N49" s="26"/>
    </row>
    <row r="50" spans="1:14" ht="37.5" customHeight="1" x14ac:dyDescent="0.2">
      <c r="A50" s="26"/>
      <c r="B50" s="37" t="s">
        <v>86</v>
      </c>
      <c r="C50" s="38"/>
      <c r="D50" s="38"/>
      <c r="E50" s="38"/>
      <c r="F50" s="38"/>
      <c r="G50" s="26"/>
      <c r="H50" s="26"/>
      <c r="I50" s="26"/>
      <c r="J50" s="26"/>
      <c r="K50" s="26"/>
      <c r="L50" s="26"/>
      <c r="M50" s="26"/>
      <c r="N50" s="26"/>
    </row>
    <row r="51" spans="1:14" x14ac:dyDescent="0.2">
      <c r="A51" s="26"/>
      <c r="B51" s="26"/>
      <c r="C51" s="26"/>
      <c r="D51" s="26"/>
      <c r="E51" s="26"/>
      <c r="F51" s="26"/>
      <c r="G51" s="26"/>
      <c r="H51" s="26"/>
      <c r="I51" s="26"/>
      <c r="J51" s="26"/>
      <c r="K51" s="26"/>
      <c r="L51" s="26"/>
      <c r="M51" s="26"/>
      <c r="N51" s="26"/>
    </row>
    <row r="52" spans="1:14" x14ac:dyDescent="0.2">
      <c r="A52" s="26"/>
      <c r="B52" s="26"/>
      <c r="C52" s="26"/>
      <c r="D52" s="26"/>
      <c r="E52" s="26"/>
      <c r="F52" s="26"/>
      <c r="G52" s="26"/>
      <c r="H52" s="26"/>
      <c r="I52" s="26"/>
      <c r="J52" s="26"/>
      <c r="K52" s="26"/>
      <c r="L52" s="26"/>
      <c r="M52" s="26"/>
      <c r="N52" s="26"/>
    </row>
    <row r="53" spans="1:14" x14ac:dyDescent="0.2">
      <c r="A53" s="26"/>
      <c r="B53" s="26"/>
      <c r="C53" s="26"/>
      <c r="D53" s="26"/>
      <c r="E53" s="26"/>
      <c r="F53" s="26"/>
      <c r="G53" s="26"/>
      <c r="H53" s="26"/>
      <c r="I53" s="26"/>
      <c r="J53" s="26"/>
      <c r="K53" s="26"/>
      <c r="L53" s="26"/>
      <c r="M53" s="26"/>
      <c r="N53" s="26"/>
    </row>
    <row r="54" spans="1:14" x14ac:dyDescent="0.2">
      <c r="A54" s="26"/>
      <c r="B54" s="26"/>
      <c r="C54" s="26"/>
      <c r="D54" s="26"/>
      <c r="E54" s="26"/>
      <c r="F54" s="26"/>
      <c r="G54" s="26"/>
      <c r="H54" s="26"/>
      <c r="I54" s="26"/>
      <c r="J54" s="26"/>
      <c r="K54" s="26"/>
      <c r="L54" s="26"/>
      <c r="M54" s="26"/>
      <c r="N54" s="26"/>
    </row>
    <row r="55" spans="1:14" x14ac:dyDescent="0.2">
      <c r="A55" s="26"/>
      <c r="B55" s="26"/>
      <c r="C55" s="26"/>
      <c r="D55" s="26"/>
      <c r="E55" s="26"/>
      <c r="F55" s="26"/>
      <c r="G55" s="26"/>
      <c r="H55" s="26"/>
      <c r="I55" s="26"/>
      <c r="J55" s="26"/>
      <c r="K55" s="26"/>
      <c r="L55" s="26"/>
      <c r="M55" s="26"/>
      <c r="N55" s="26"/>
    </row>
    <row r="56" spans="1:14" x14ac:dyDescent="0.2">
      <c r="A56" s="26"/>
      <c r="B56" s="26"/>
      <c r="C56" s="26"/>
      <c r="D56" s="26"/>
      <c r="E56" s="26"/>
      <c r="F56" s="26"/>
      <c r="G56" s="26"/>
      <c r="H56" s="26"/>
      <c r="I56" s="26"/>
      <c r="J56" s="26"/>
      <c r="K56" s="26"/>
      <c r="L56" s="26"/>
      <c r="M56" s="26"/>
      <c r="N56" s="26"/>
    </row>
    <row r="57" spans="1:14" x14ac:dyDescent="0.2">
      <c r="A57" s="26"/>
      <c r="B57" s="26"/>
      <c r="C57" s="26"/>
      <c r="D57" s="26"/>
      <c r="E57" s="26"/>
      <c r="F57" s="26"/>
      <c r="G57" s="26"/>
      <c r="H57" s="26"/>
      <c r="I57" s="26"/>
      <c r="J57" s="26"/>
      <c r="K57" s="26"/>
      <c r="L57" s="26"/>
      <c r="M57" s="26"/>
      <c r="N57" s="26"/>
    </row>
    <row r="58" spans="1:14" x14ac:dyDescent="0.2">
      <c r="A58" s="26"/>
      <c r="B58" s="26"/>
      <c r="C58" s="26"/>
      <c r="D58" s="26"/>
      <c r="E58" s="26"/>
      <c r="F58" s="26"/>
      <c r="G58" s="26"/>
      <c r="H58" s="26"/>
      <c r="I58" s="26"/>
      <c r="J58" s="26"/>
      <c r="K58" s="26"/>
      <c r="L58" s="26"/>
      <c r="M58" s="26"/>
      <c r="N58" s="26"/>
    </row>
    <row r="59" spans="1:14" x14ac:dyDescent="0.2">
      <c r="A59" s="26"/>
      <c r="B59" s="26"/>
      <c r="C59" s="26"/>
      <c r="D59" s="26"/>
      <c r="E59" s="26"/>
      <c r="F59" s="26"/>
      <c r="G59" s="26"/>
      <c r="H59" s="26"/>
      <c r="I59" s="26"/>
      <c r="J59" s="26"/>
      <c r="K59" s="26"/>
      <c r="L59" s="26"/>
      <c r="M59" s="26"/>
      <c r="N59" s="26"/>
    </row>
    <row r="60" spans="1:14" x14ac:dyDescent="0.2">
      <c r="A60" s="26"/>
      <c r="G60" s="26"/>
      <c r="H60" s="26"/>
      <c r="I60" s="26"/>
      <c r="J60" s="26"/>
      <c r="K60" s="26"/>
      <c r="L60" s="26"/>
      <c r="M60" s="26"/>
      <c r="N60" s="26"/>
    </row>
    <row r="61" spans="1:14" x14ac:dyDescent="0.2">
      <c r="A61" s="26"/>
      <c r="B61" s="26"/>
      <c r="C61" s="26"/>
      <c r="D61" s="26"/>
      <c r="E61" s="26"/>
      <c r="F61" s="26"/>
      <c r="G61" s="26"/>
      <c r="H61" s="26"/>
      <c r="I61" s="26"/>
      <c r="J61" s="26"/>
      <c r="K61" s="26"/>
      <c r="L61" s="26"/>
      <c r="M61" s="26"/>
      <c r="N61" s="26"/>
    </row>
    <row r="62" spans="1:14" x14ac:dyDescent="0.2">
      <c r="A62" s="26"/>
      <c r="B62" s="26"/>
      <c r="C62" s="26"/>
      <c r="D62" s="26"/>
      <c r="E62" s="26"/>
      <c r="F62" s="26"/>
      <c r="G62" s="26"/>
      <c r="H62" s="26"/>
      <c r="I62" s="26"/>
      <c r="J62" s="26"/>
      <c r="K62" s="26"/>
      <c r="L62" s="26"/>
      <c r="M62" s="26"/>
      <c r="N62" s="26"/>
    </row>
    <row r="63" spans="1:14" x14ac:dyDescent="0.2">
      <c r="A63" s="26"/>
      <c r="B63" s="26"/>
      <c r="C63" s="26"/>
      <c r="D63" s="26"/>
      <c r="E63" s="26"/>
      <c r="F63" s="26"/>
      <c r="G63" s="26"/>
      <c r="H63" s="26"/>
      <c r="I63" s="26"/>
      <c r="J63" s="26"/>
      <c r="K63" s="26"/>
      <c r="L63" s="26"/>
      <c r="M63" s="26"/>
      <c r="N63" s="26"/>
    </row>
    <row r="64" spans="1:14" x14ac:dyDescent="0.2">
      <c r="A64" s="26"/>
      <c r="B64" s="26"/>
      <c r="C64" s="26"/>
      <c r="D64" s="26"/>
      <c r="E64" s="26"/>
      <c r="F64" s="26"/>
      <c r="G64" s="26"/>
      <c r="H64" s="26"/>
      <c r="I64" s="26"/>
      <c r="J64" s="26"/>
      <c r="K64" s="26"/>
      <c r="L64" s="26"/>
      <c r="M64" s="26"/>
      <c r="N64" s="26"/>
    </row>
    <row r="65" spans="1:14" x14ac:dyDescent="0.2">
      <c r="A65" s="26"/>
      <c r="B65" s="26"/>
      <c r="C65" s="26"/>
      <c r="D65" s="26"/>
      <c r="E65" s="26"/>
      <c r="F65" s="26"/>
      <c r="G65" s="26"/>
      <c r="H65" s="26"/>
      <c r="I65" s="26"/>
      <c r="J65" s="26"/>
      <c r="K65" s="26"/>
      <c r="L65" s="26"/>
      <c r="M65" s="26"/>
      <c r="N65" s="26"/>
    </row>
    <row r="66" spans="1:14" x14ac:dyDescent="0.2">
      <c r="A66" s="26"/>
      <c r="B66" s="26"/>
      <c r="C66" s="26"/>
      <c r="D66" s="26"/>
      <c r="E66" s="26"/>
      <c r="F66" s="26"/>
      <c r="G66" s="26"/>
      <c r="H66" s="26"/>
      <c r="I66" s="26"/>
      <c r="J66" s="26"/>
      <c r="K66" s="26"/>
      <c r="L66" s="26"/>
      <c r="M66" s="26"/>
      <c r="N66" s="26"/>
    </row>
    <row r="67" spans="1:14" x14ac:dyDescent="0.2">
      <c r="A67" s="26"/>
      <c r="B67" s="26"/>
      <c r="C67" s="26"/>
      <c r="D67" s="26"/>
      <c r="E67" s="26"/>
      <c r="F67" s="26"/>
      <c r="G67" s="26"/>
      <c r="H67" s="26"/>
      <c r="I67" s="26"/>
      <c r="J67" s="26"/>
      <c r="K67" s="26"/>
      <c r="L67" s="26"/>
      <c r="M67" s="26"/>
      <c r="N67" s="26"/>
    </row>
    <row r="68" spans="1:14" x14ac:dyDescent="0.2">
      <c r="A68" s="26"/>
      <c r="B68" s="26"/>
      <c r="C68" s="26"/>
      <c r="D68" s="26"/>
      <c r="E68" s="26"/>
      <c r="F68" s="26"/>
      <c r="G68" s="26"/>
      <c r="H68" s="26"/>
      <c r="I68" s="26"/>
      <c r="J68" s="26"/>
      <c r="K68" s="26"/>
      <c r="L68" s="26"/>
      <c r="M68" s="26"/>
      <c r="N68" s="26"/>
    </row>
    <row r="69" spans="1:14" x14ac:dyDescent="0.2">
      <c r="A69" s="26"/>
      <c r="B69" s="26"/>
      <c r="C69" s="26"/>
      <c r="D69" s="26"/>
      <c r="E69" s="26"/>
      <c r="F69" s="26"/>
      <c r="G69" s="26"/>
      <c r="H69" s="26"/>
      <c r="I69" s="26"/>
      <c r="J69" s="26"/>
      <c r="K69" s="26"/>
      <c r="L69" s="26"/>
      <c r="M69" s="26"/>
      <c r="N69" s="26"/>
    </row>
    <row r="70" spans="1:14" x14ac:dyDescent="0.2">
      <c r="A70" s="26"/>
      <c r="B70" s="26"/>
      <c r="C70" s="26"/>
      <c r="D70" s="26"/>
      <c r="E70" s="26"/>
      <c r="F70" s="26"/>
      <c r="G70" s="26"/>
      <c r="H70" s="26"/>
      <c r="I70" s="26"/>
      <c r="J70" s="26"/>
      <c r="K70" s="26"/>
      <c r="L70" s="26"/>
      <c r="M70" s="26"/>
      <c r="N70" s="26"/>
    </row>
    <row r="71" spans="1:14" x14ac:dyDescent="0.2">
      <c r="A71" s="26"/>
      <c r="B71" s="26"/>
      <c r="C71" s="26"/>
      <c r="D71" s="26"/>
      <c r="E71" s="26"/>
      <c r="F71" s="26"/>
      <c r="G71" s="26"/>
      <c r="H71" s="26"/>
      <c r="I71" s="26"/>
      <c r="J71" s="26"/>
      <c r="K71" s="26"/>
      <c r="L71" s="26"/>
      <c r="M71" s="26"/>
      <c r="N71" s="26"/>
    </row>
    <row r="72" spans="1:14" x14ac:dyDescent="0.2">
      <c r="A72" s="26"/>
      <c r="B72" s="26"/>
      <c r="C72" s="26"/>
      <c r="D72" s="26"/>
      <c r="E72" s="26"/>
      <c r="F72" s="26"/>
      <c r="G72" s="26"/>
      <c r="H72" s="26"/>
      <c r="I72" s="26"/>
      <c r="J72" s="26"/>
      <c r="K72" s="26"/>
      <c r="L72" s="26"/>
      <c r="M72" s="26"/>
      <c r="N72" s="26"/>
    </row>
    <row r="73" spans="1:14" x14ac:dyDescent="0.2">
      <c r="A73" s="26"/>
      <c r="B73" s="26"/>
      <c r="C73" s="26"/>
      <c r="D73" s="26"/>
      <c r="E73" s="26"/>
      <c r="F73" s="26"/>
      <c r="G73" s="26"/>
      <c r="H73" s="26"/>
      <c r="I73" s="26"/>
      <c r="J73" s="26"/>
      <c r="K73" s="26"/>
      <c r="L73" s="26"/>
      <c r="M73" s="26"/>
      <c r="N73" s="26"/>
    </row>
    <row r="74" spans="1:14" x14ac:dyDescent="0.2">
      <c r="A74" s="26"/>
      <c r="B74" s="26"/>
      <c r="C74" s="26"/>
      <c r="D74" s="26"/>
      <c r="E74" s="26"/>
      <c r="F74" s="26"/>
      <c r="G74" s="26"/>
      <c r="H74" s="26"/>
      <c r="I74" s="26"/>
      <c r="J74" s="26"/>
      <c r="K74" s="26"/>
      <c r="L74" s="26"/>
      <c r="M74" s="26"/>
      <c r="N74" s="26"/>
    </row>
    <row r="75" spans="1:14" x14ac:dyDescent="0.2">
      <c r="A75" s="26"/>
      <c r="B75" s="26"/>
      <c r="C75" s="26"/>
      <c r="D75" s="26"/>
      <c r="E75" s="26"/>
      <c r="F75" s="26"/>
      <c r="G75" s="26"/>
      <c r="H75" s="26"/>
      <c r="I75" s="26"/>
      <c r="J75" s="26"/>
      <c r="K75" s="26"/>
      <c r="L75" s="26"/>
      <c r="M75" s="26"/>
      <c r="N75" s="26"/>
    </row>
    <row r="76" spans="1:14" x14ac:dyDescent="0.2">
      <c r="A76" s="26"/>
      <c r="B76" s="26"/>
      <c r="C76" s="26"/>
      <c r="D76" s="26"/>
      <c r="E76" s="26"/>
      <c r="F76" s="26"/>
      <c r="G76" s="26"/>
      <c r="H76" s="26"/>
      <c r="I76" s="26"/>
      <c r="J76" s="26"/>
      <c r="K76" s="26"/>
      <c r="L76" s="26"/>
      <c r="M76" s="26"/>
      <c r="N76" s="26"/>
    </row>
    <row r="77" spans="1:14" x14ac:dyDescent="0.2">
      <c r="A77" s="26"/>
      <c r="B77" s="26"/>
      <c r="C77" s="26"/>
      <c r="D77" s="26"/>
      <c r="E77" s="26"/>
      <c r="F77" s="26"/>
      <c r="G77" s="26"/>
      <c r="H77" s="26"/>
      <c r="I77" s="26"/>
      <c r="J77" s="26"/>
      <c r="K77" s="26"/>
      <c r="L77" s="26"/>
      <c r="M77" s="26"/>
      <c r="N77" s="26"/>
    </row>
    <row r="78" spans="1:14" x14ac:dyDescent="0.2">
      <c r="A78" s="26"/>
      <c r="B78" s="26"/>
      <c r="C78" s="26"/>
      <c r="D78" s="26"/>
      <c r="E78" s="26"/>
      <c r="F78" s="26"/>
      <c r="G78" s="26"/>
      <c r="H78" s="26"/>
      <c r="I78" s="26"/>
      <c r="J78" s="26"/>
      <c r="K78" s="26"/>
      <c r="L78" s="26"/>
      <c r="M78" s="26"/>
      <c r="N78" s="26"/>
    </row>
    <row r="79" spans="1:14" x14ac:dyDescent="0.2">
      <c r="A79" s="26"/>
      <c r="B79" s="26"/>
      <c r="C79" s="26"/>
      <c r="D79" s="26"/>
      <c r="E79" s="26"/>
      <c r="F79" s="26"/>
      <c r="G79" s="26"/>
      <c r="H79" s="26"/>
      <c r="I79" s="26"/>
      <c r="J79" s="26"/>
      <c r="K79" s="26"/>
      <c r="L79" s="26"/>
      <c r="M79" s="26"/>
      <c r="N79" s="26"/>
    </row>
    <row r="80" spans="1:14" x14ac:dyDescent="0.2">
      <c r="A80" s="26"/>
      <c r="B80" s="26"/>
      <c r="C80" s="26"/>
      <c r="D80" s="26"/>
      <c r="E80" s="26"/>
      <c r="F80" s="26"/>
      <c r="G80" s="26"/>
      <c r="H80" s="26"/>
      <c r="I80" s="26"/>
      <c r="J80" s="26"/>
      <c r="K80" s="26"/>
      <c r="L80" s="26"/>
      <c r="M80" s="26"/>
      <c r="N80" s="26"/>
    </row>
    <row r="81" spans="1:14" x14ac:dyDescent="0.2">
      <c r="A81" s="26"/>
      <c r="B81" s="26"/>
      <c r="C81" s="26"/>
      <c r="D81" s="26"/>
      <c r="E81" s="26"/>
      <c r="F81" s="26"/>
      <c r="G81" s="26"/>
      <c r="H81" s="26"/>
      <c r="I81" s="26"/>
      <c r="J81" s="26"/>
      <c r="K81" s="26"/>
      <c r="L81" s="26"/>
      <c r="M81" s="26"/>
      <c r="N81" s="26"/>
    </row>
    <row r="82" spans="1:14" x14ac:dyDescent="0.2">
      <c r="A82" s="26"/>
      <c r="B82" s="26"/>
      <c r="C82" s="26"/>
      <c r="D82" s="26"/>
      <c r="E82" s="26"/>
      <c r="F82" s="26"/>
      <c r="G82" s="26"/>
      <c r="H82" s="26"/>
      <c r="I82" s="26"/>
      <c r="J82" s="26"/>
      <c r="K82" s="26"/>
      <c r="L82" s="26"/>
      <c r="M82" s="26"/>
      <c r="N82" s="26"/>
    </row>
    <row r="83" spans="1:14" x14ac:dyDescent="0.2">
      <c r="A83" s="26"/>
      <c r="B83" s="26"/>
      <c r="C83" s="26"/>
      <c r="D83" s="26"/>
      <c r="E83" s="26"/>
      <c r="F83" s="26"/>
      <c r="G83" s="26"/>
      <c r="H83" s="26"/>
      <c r="I83" s="26"/>
      <c r="J83" s="26"/>
      <c r="K83" s="26"/>
      <c r="L83" s="26"/>
      <c r="M83" s="26"/>
      <c r="N83" s="26"/>
    </row>
    <row r="84" spans="1:14" x14ac:dyDescent="0.2">
      <c r="A84" s="26"/>
      <c r="B84" s="26"/>
      <c r="C84" s="26"/>
      <c r="D84" s="26"/>
      <c r="E84" s="26"/>
      <c r="F84" s="26"/>
      <c r="G84" s="26"/>
      <c r="H84" s="26"/>
      <c r="I84" s="26"/>
      <c r="J84" s="26"/>
      <c r="K84" s="26"/>
      <c r="L84" s="26"/>
      <c r="M84" s="26"/>
      <c r="N84" s="26"/>
    </row>
    <row r="85" spans="1:14" x14ac:dyDescent="0.2">
      <c r="A85" s="26"/>
      <c r="B85" s="26"/>
      <c r="C85" s="26"/>
      <c r="D85" s="26"/>
      <c r="E85" s="26"/>
      <c r="F85" s="26"/>
      <c r="G85" s="26"/>
      <c r="H85" s="26"/>
      <c r="I85" s="26"/>
      <c r="J85" s="26"/>
      <c r="K85" s="26"/>
      <c r="L85" s="26"/>
      <c r="M85" s="26"/>
      <c r="N85" s="26"/>
    </row>
    <row r="86" spans="1:14" x14ac:dyDescent="0.2">
      <c r="A86" s="26"/>
      <c r="B86" s="26"/>
      <c r="C86" s="26"/>
      <c r="D86" s="26"/>
      <c r="E86" s="26"/>
      <c r="F86" s="26"/>
      <c r="G86" s="26"/>
      <c r="H86" s="26"/>
      <c r="I86" s="26"/>
      <c r="J86" s="26"/>
      <c r="K86" s="26"/>
      <c r="L86" s="26"/>
      <c r="M86" s="26"/>
      <c r="N86" s="26"/>
    </row>
    <row r="87" spans="1:14" x14ac:dyDescent="0.2">
      <c r="A87" s="26"/>
      <c r="B87" s="26"/>
      <c r="C87" s="26"/>
      <c r="D87" s="26"/>
      <c r="E87" s="26"/>
      <c r="F87" s="26"/>
      <c r="G87" s="26"/>
      <c r="H87" s="26"/>
      <c r="I87" s="26"/>
      <c r="J87" s="26"/>
      <c r="K87" s="26"/>
      <c r="L87" s="26"/>
      <c r="M87" s="26"/>
      <c r="N87" s="26"/>
    </row>
    <row r="88" spans="1:14" x14ac:dyDescent="0.2">
      <c r="A88" s="26"/>
      <c r="B88" s="26"/>
      <c r="C88" s="26"/>
      <c r="D88" s="26"/>
      <c r="E88" s="26"/>
      <c r="F88" s="26"/>
      <c r="G88" s="26"/>
      <c r="H88" s="26"/>
      <c r="I88" s="26"/>
      <c r="J88" s="26"/>
      <c r="K88" s="26"/>
      <c r="L88" s="26"/>
      <c r="M88" s="26"/>
      <c r="N88" s="26"/>
    </row>
    <row r="89" spans="1:14" x14ac:dyDescent="0.2">
      <c r="A89" s="26"/>
      <c r="B89" s="26"/>
      <c r="C89" s="26"/>
      <c r="D89" s="26"/>
      <c r="E89" s="26"/>
      <c r="F89" s="26"/>
      <c r="G89" s="26"/>
      <c r="H89" s="26"/>
      <c r="I89" s="26"/>
      <c r="J89" s="26"/>
      <c r="K89" s="26"/>
      <c r="L89" s="26"/>
      <c r="M89" s="26"/>
      <c r="N89" s="26"/>
    </row>
    <row r="90" spans="1:14" x14ac:dyDescent="0.2">
      <c r="A90" s="26"/>
      <c r="B90" s="26"/>
      <c r="C90" s="26"/>
      <c r="D90" s="26"/>
      <c r="E90" s="26"/>
      <c r="F90" s="26"/>
      <c r="G90" s="26"/>
      <c r="H90" s="26"/>
      <c r="I90" s="26"/>
      <c r="J90" s="26"/>
      <c r="K90" s="26"/>
      <c r="L90" s="26"/>
      <c r="M90" s="26"/>
      <c r="N90" s="26"/>
    </row>
    <row r="91" spans="1:14" x14ac:dyDescent="0.2">
      <c r="A91" s="26"/>
      <c r="B91" s="26"/>
      <c r="C91" s="26"/>
      <c r="D91" s="26"/>
      <c r="E91" s="26"/>
      <c r="F91" s="26"/>
      <c r="G91" s="26"/>
      <c r="H91" s="26"/>
      <c r="I91" s="26"/>
      <c r="J91" s="26"/>
      <c r="K91" s="26"/>
      <c r="L91" s="26"/>
      <c r="M91" s="26"/>
      <c r="N91" s="26"/>
    </row>
    <row r="92" spans="1:14" x14ac:dyDescent="0.2">
      <c r="A92" s="26"/>
      <c r="B92" s="26"/>
      <c r="C92" s="26"/>
      <c r="D92" s="26"/>
      <c r="E92" s="26"/>
      <c r="F92" s="26"/>
      <c r="G92" s="26"/>
      <c r="H92" s="26"/>
      <c r="I92" s="26"/>
      <c r="J92" s="26"/>
      <c r="K92" s="26"/>
      <c r="L92" s="26"/>
      <c r="M92" s="26"/>
      <c r="N92" s="26"/>
    </row>
    <row r="93" spans="1:14" x14ac:dyDescent="0.2">
      <c r="A93" s="26"/>
      <c r="B93" s="26"/>
      <c r="C93" s="26"/>
      <c r="D93" s="26"/>
      <c r="E93" s="26"/>
      <c r="F93" s="26"/>
      <c r="G93" s="26"/>
      <c r="H93" s="26"/>
      <c r="I93" s="26"/>
      <c r="J93" s="26"/>
      <c r="K93" s="26"/>
      <c r="L93" s="26"/>
      <c r="M93" s="26"/>
      <c r="N93" s="26"/>
    </row>
    <row r="94" spans="1:14" x14ac:dyDescent="0.2">
      <c r="A94" s="26"/>
      <c r="B94" s="26"/>
      <c r="C94" s="26"/>
      <c r="D94" s="26"/>
      <c r="E94" s="26"/>
      <c r="F94" s="26"/>
      <c r="G94" s="26"/>
      <c r="H94" s="26"/>
      <c r="I94" s="26"/>
      <c r="J94" s="26"/>
      <c r="K94" s="26"/>
      <c r="L94" s="26"/>
      <c r="M94" s="26"/>
      <c r="N94" s="26"/>
    </row>
    <row r="95" spans="1:14" x14ac:dyDescent="0.2">
      <c r="A95" s="26"/>
      <c r="B95" s="26"/>
      <c r="C95" s="26"/>
      <c r="D95" s="26"/>
      <c r="E95" s="26"/>
      <c r="F95" s="26"/>
      <c r="G95" s="26"/>
      <c r="H95" s="26"/>
      <c r="I95" s="26"/>
      <c r="J95" s="26"/>
      <c r="K95" s="26"/>
      <c r="L95" s="26"/>
      <c r="M95" s="26"/>
      <c r="N95" s="26"/>
    </row>
    <row r="96" spans="1:14" x14ac:dyDescent="0.2">
      <c r="A96" s="26"/>
      <c r="B96" s="26"/>
      <c r="C96" s="26"/>
      <c r="D96" s="26"/>
      <c r="E96" s="26"/>
      <c r="F96" s="26"/>
      <c r="G96" s="26"/>
      <c r="H96" s="26"/>
      <c r="I96" s="26"/>
      <c r="J96" s="26"/>
      <c r="K96" s="26"/>
      <c r="L96" s="26"/>
      <c r="M96" s="26"/>
      <c r="N96" s="26"/>
    </row>
    <row r="97" spans="1:14" x14ac:dyDescent="0.2">
      <c r="A97" s="26"/>
      <c r="B97" s="26"/>
      <c r="C97" s="26"/>
      <c r="D97" s="26"/>
      <c r="E97" s="26"/>
      <c r="F97" s="26"/>
      <c r="G97" s="26"/>
      <c r="H97" s="26"/>
      <c r="I97" s="26"/>
      <c r="J97" s="26"/>
      <c r="K97" s="26"/>
      <c r="L97" s="26"/>
      <c r="M97" s="26"/>
      <c r="N97" s="26"/>
    </row>
    <row r="98" spans="1:14" x14ac:dyDescent="0.2">
      <c r="A98" s="26"/>
      <c r="B98" s="26"/>
      <c r="C98" s="26"/>
      <c r="D98" s="26"/>
      <c r="E98" s="26"/>
      <c r="F98" s="26"/>
      <c r="G98" s="26"/>
      <c r="H98" s="26"/>
      <c r="I98" s="26"/>
      <c r="J98" s="26"/>
      <c r="K98" s="26"/>
      <c r="L98" s="26"/>
      <c r="M98" s="26"/>
      <c r="N98" s="26"/>
    </row>
    <row r="99" spans="1:14" x14ac:dyDescent="0.2">
      <c r="A99" s="26"/>
      <c r="B99" s="26"/>
      <c r="C99" s="26"/>
      <c r="D99" s="26"/>
      <c r="E99" s="26"/>
      <c r="F99" s="26"/>
      <c r="G99" s="26"/>
      <c r="H99" s="26"/>
      <c r="I99" s="26"/>
      <c r="J99" s="26"/>
      <c r="K99" s="26"/>
      <c r="L99" s="26"/>
      <c r="M99" s="26"/>
      <c r="N99" s="26"/>
    </row>
    <row r="100" spans="1:14" x14ac:dyDescent="0.2">
      <c r="A100" s="26"/>
      <c r="B100" s="26"/>
      <c r="C100" s="26"/>
      <c r="D100" s="26"/>
      <c r="E100" s="26"/>
      <c r="F100" s="26"/>
      <c r="G100" s="26"/>
      <c r="H100" s="26"/>
      <c r="I100" s="26"/>
      <c r="J100" s="26"/>
      <c r="K100" s="26"/>
      <c r="L100" s="26"/>
      <c r="M100" s="26"/>
      <c r="N100" s="26"/>
    </row>
    <row r="101" spans="1:14" x14ac:dyDescent="0.2">
      <c r="A101" s="26"/>
      <c r="B101" s="26"/>
      <c r="C101" s="26"/>
      <c r="D101" s="26"/>
      <c r="E101" s="26"/>
      <c r="F101" s="26"/>
      <c r="G101" s="26"/>
      <c r="H101" s="26"/>
      <c r="I101" s="26"/>
      <c r="J101" s="26"/>
      <c r="K101" s="26"/>
      <c r="L101" s="26"/>
      <c r="M101" s="26"/>
      <c r="N101" s="26"/>
    </row>
    <row r="102" spans="1:14" x14ac:dyDescent="0.2">
      <c r="A102" s="26"/>
      <c r="B102" s="26"/>
      <c r="C102" s="26"/>
      <c r="D102" s="26"/>
      <c r="E102" s="26"/>
      <c r="F102" s="26"/>
      <c r="G102" s="26"/>
      <c r="H102" s="26"/>
      <c r="I102" s="26"/>
      <c r="J102" s="26"/>
      <c r="K102" s="26"/>
      <c r="L102" s="26"/>
      <c r="M102" s="26"/>
      <c r="N102" s="26"/>
    </row>
    <row r="103" spans="1:14" x14ac:dyDescent="0.2">
      <c r="A103" s="26"/>
      <c r="B103" s="26"/>
      <c r="C103" s="26"/>
      <c r="D103" s="26"/>
      <c r="E103" s="26"/>
      <c r="F103" s="26"/>
      <c r="G103" s="26"/>
      <c r="H103" s="26"/>
      <c r="I103" s="26"/>
      <c r="J103" s="26"/>
      <c r="K103" s="26"/>
      <c r="L103" s="26"/>
      <c r="M103" s="26"/>
      <c r="N103" s="26"/>
    </row>
    <row r="104" spans="1:14" x14ac:dyDescent="0.2">
      <c r="A104" s="26"/>
      <c r="B104" s="26"/>
      <c r="C104" s="26"/>
      <c r="D104" s="26"/>
      <c r="E104" s="26"/>
      <c r="F104" s="26"/>
      <c r="G104" s="26"/>
      <c r="H104" s="26"/>
      <c r="I104" s="26"/>
      <c r="J104" s="26"/>
      <c r="K104" s="26"/>
      <c r="L104" s="26"/>
      <c r="M104" s="26"/>
      <c r="N104" s="26"/>
    </row>
    <row r="105" spans="1:14" x14ac:dyDescent="0.2">
      <c r="A105" s="26"/>
      <c r="B105" s="26"/>
      <c r="C105" s="26"/>
      <c r="D105" s="26"/>
      <c r="E105" s="26"/>
      <c r="F105" s="26"/>
      <c r="G105" s="26"/>
      <c r="H105" s="26"/>
      <c r="I105" s="26"/>
      <c r="J105" s="26"/>
      <c r="K105" s="26"/>
      <c r="L105" s="26"/>
      <c r="M105" s="26"/>
      <c r="N105" s="26"/>
    </row>
    <row r="106" spans="1:14" x14ac:dyDescent="0.2">
      <c r="A106" s="26"/>
      <c r="B106" s="26"/>
      <c r="C106" s="26"/>
      <c r="D106" s="26"/>
      <c r="E106" s="26"/>
      <c r="F106" s="26"/>
      <c r="G106" s="26"/>
      <c r="H106" s="26"/>
      <c r="I106" s="26"/>
      <c r="J106" s="26"/>
      <c r="K106" s="26"/>
      <c r="L106" s="26"/>
      <c r="M106" s="26"/>
      <c r="N106" s="26"/>
    </row>
    <row r="107" spans="1:14" x14ac:dyDescent="0.2">
      <c r="A107" s="26"/>
      <c r="B107" s="26"/>
      <c r="C107" s="26"/>
      <c r="D107" s="26"/>
      <c r="E107" s="26"/>
      <c r="F107" s="26"/>
      <c r="G107" s="26"/>
      <c r="H107" s="26"/>
      <c r="I107" s="26"/>
      <c r="J107" s="26"/>
      <c r="K107" s="26"/>
      <c r="L107" s="26"/>
      <c r="M107" s="26"/>
      <c r="N107" s="26"/>
    </row>
    <row r="108" spans="1:14" x14ac:dyDescent="0.2">
      <c r="A108" s="26"/>
      <c r="B108" s="26"/>
      <c r="C108" s="26"/>
      <c r="D108" s="26"/>
      <c r="E108" s="26"/>
      <c r="F108" s="26"/>
      <c r="G108" s="26"/>
      <c r="H108" s="26"/>
      <c r="I108" s="26"/>
      <c r="J108" s="26"/>
      <c r="K108" s="26"/>
      <c r="L108" s="26"/>
      <c r="M108" s="26"/>
      <c r="N108" s="26"/>
    </row>
    <row r="109" spans="1:14" x14ac:dyDescent="0.2">
      <c r="A109" s="26"/>
      <c r="B109" s="26"/>
      <c r="C109" s="26"/>
      <c r="D109" s="26"/>
      <c r="E109" s="26"/>
      <c r="F109" s="26"/>
      <c r="G109" s="26"/>
      <c r="H109" s="26"/>
      <c r="I109" s="26"/>
      <c r="J109" s="26"/>
      <c r="K109" s="26"/>
      <c r="L109" s="26"/>
      <c r="M109" s="26"/>
      <c r="N109" s="26"/>
    </row>
    <row r="110" spans="1:14" x14ac:dyDescent="0.2">
      <c r="A110" s="26"/>
      <c r="B110" s="26"/>
      <c r="C110" s="26"/>
      <c r="D110" s="26"/>
      <c r="E110" s="26"/>
      <c r="F110" s="26"/>
      <c r="G110" s="26"/>
      <c r="H110" s="26"/>
      <c r="I110" s="26"/>
      <c r="J110" s="26"/>
      <c r="K110" s="26"/>
      <c r="L110" s="26"/>
      <c r="M110" s="26"/>
      <c r="N110" s="26"/>
    </row>
    <row r="111" spans="1:14" x14ac:dyDescent="0.2">
      <c r="A111" s="26"/>
      <c r="B111" s="26"/>
      <c r="C111" s="26"/>
      <c r="D111" s="26"/>
      <c r="E111" s="26"/>
      <c r="F111" s="26"/>
      <c r="G111" s="26"/>
      <c r="H111" s="26"/>
      <c r="I111" s="26"/>
      <c r="J111" s="26"/>
      <c r="K111" s="26"/>
      <c r="L111" s="26"/>
      <c r="M111" s="26"/>
      <c r="N111" s="26"/>
    </row>
    <row r="112" spans="1:14" x14ac:dyDescent="0.2">
      <c r="A112" s="26"/>
      <c r="B112" s="26"/>
      <c r="C112" s="26"/>
      <c r="D112" s="26"/>
      <c r="E112" s="26"/>
      <c r="F112" s="26"/>
      <c r="G112" s="26"/>
      <c r="H112" s="26"/>
      <c r="I112" s="26"/>
      <c r="J112" s="26"/>
      <c r="K112" s="26"/>
      <c r="L112" s="26"/>
      <c r="M112" s="26"/>
      <c r="N112" s="26"/>
    </row>
    <row r="113" spans="1:14" x14ac:dyDescent="0.2">
      <c r="A113" s="26"/>
      <c r="B113" s="26"/>
      <c r="C113" s="26"/>
      <c r="D113" s="26"/>
      <c r="E113" s="26"/>
      <c r="F113" s="26"/>
      <c r="G113" s="26"/>
      <c r="H113" s="26"/>
      <c r="I113" s="26"/>
      <c r="J113" s="26"/>
      <c r="K113" s="26"/>
      <c r="L113" s="26"/>
      <c r="M113" s="26"/>
      <c r="N113" s="26"/>
    </row>
    <row r="114" spans="1:14" x14ac:dyDescent="0.2">
      <c r="A114" s="26"/>
      <c r="B114" s="26"/>
      <c r="C114" s="26"/>
      <c r="D114" s="26"/>
      <c r="E114" s="26"/>
      <c r="F114" s="26"/>
      <c r="G114" s="26"/>
      <c r="H114" s="26"/>
      <c r="I114" s="26"/>
      <c r="J114" s="26"/>
      <c r="K114" s="26"/>
      <c r="L114" s="26"/>
      <c r="M114" s="26"/>
      <c r="N114" s="26"/>
    </row>
    <row r="115" spans="1:14" x14ac:dyDescent="0.2">
      <c r="A115" s="26"/>
      <c r="B115" s="26"/>
      <c r="C115" s="26"/>
      <c r="D115" s="26"/>
      <c r="E115" s="26"/>
      <c r="F115" s="26"/>
      <c r="G115" s="26"/>
      <c r="H115" s="26"/>
      <c r="I115" s="26"/>
      <c r="J115" s="26"/>
      <c r="K115" s="26"/>
      <c r="L115" s="26"/>
      <c r="M115" s="26"/>
      <c r="N115" s="26"/>
    </row>
    <row r="116" spans="1:14" x14ac:dyDescent="0.2">
      <c r="A116" s="26"/>
      <c r="B116" s="26"/>
      <c r="C116" s="26"/>
      <c r="D116" s="26"/>
      <c r="E116" s="26"/>
      <c r="F116" s="26"/>
      <c r="G116" s="26"/>
      <c r="H116" s="26"/>
      <c r="I116" s="26"/>
      <c r="J116" s="26"/>
      <c r="K116" s="26"/>
      <c r="L116" s="26"/>
      <c r="M116" s="26"/>
      <c r="N116" s="26"/>
    </row>
    <row r="117" spans="1:14" x14ac:dyDescent="0.2">
      <c r="A117" s="26"/>
      <c r="B117" s="26"/>
      <c r="C117" s="26"/>
      <c r="D117" s="26"/>
      <c r="E117" s="26"/>
      <c r="F117" s="26"/>
      <c r="G117" s="26"/>
      <c r="H117" s="26"/>
      <c r="I117" s="26"/>
      <c r="J117" s="26"/>
      <c r="K117" s="26"/>
      <c r="L117" s="26"/>
      <c r="M117" s="26"/>
      <c r="N117" s="26"/>
    </row>
    <row r="118" spans="1:14" x14ac:dyDescent="0.2">
      <c r="A118" s="26"/>
      <c r="B118" s="26"/>
      <c r="C118" s="26"/>
      <c r="D118" s="26"/>
      <c r="E118" s="26"/>
      <c r="F118" s="26"/>
      <c r="G118" s="26"/>
      <c r="H118" s="26"/>
      <c r="I118" s="26"/>
      <c r="J118" s="26"/>
      <c r="K118" s="26"/>
      <c r="L118" s="26"/>
      <c r="M118" s="26"/>
      <c r="N118" s="26"/>
    </row>
    <row r="119" spans="1:14" x14ac:dyDescent="0.2">
      <c r="A119" s="26"/>
      <c r="B119" s="26"/>
      <c r="C119" s="26"/>
      <c r="D119" s="26"/>
      <c r="E119" s="26"/>
      <c r="F119" s="26"/>
      <c r="G119" s="26"/>
      <c r="H119" s="26"/>
      <c r="I119" s="26"/>
      <c r="J119" s="26"/>
      <c r="K119" s="26"/>
      <c r="L119" s="26"/>
      <c r="M119" s="26"/>
      <c r="N119" s="26"/>
    </row>
    <row r="120" spans="1:14" x14ac:dyDescent="0.2">
      <c r="A120" s="26"/>
      <c r="B120" s="26"/>
      <c r="C120" s="26"/>
      <c r="D120" s="26"/>
      <c r="E120" s="26"/>
      <c r="F120" s="26"/>
      <c r="G120" s="26"/>
      <c r="H120" s="26"/>
      <c r="I120" s="26"/>
      <c r="J120" s="26"/>
      <c r="K120" s="26"/>
      <c r="L120" s="26"/>
      <c r="M120" s="26"/>
      <c r="N120" s="26"/>
    </row>
    <row r="121" spans="1:14" x14ac:dyDescent="0.2">
      <c r="A121" s="26"/>
      <c r="B121" s="26"/>
      <c r="C121" s="26"/>
      <c r="D121" s="26"/>
      <c r="E121" s="26"/>
      <c r="F121" s="26"/>
      <c r="G121" s="26"/>
      <c r="H121" s="26"/>
      <c r="I121" s="26"/>
      <c r="J121" s="26"/>
      <c r="K121" s="26"/>
      <c r="L121" s="26"/>
      <c r="M121" s="26"/>
      <c r="N121" s="26"/>
    </row>
    <row r="122" spans="1:14" x14ac:dyDescent="0.2">
      <c r="A122" s="26"/>
      <c r="B122" s="26"/>
      <c r="C122" s="26"/>
      <c r="D122" s="26"/>
      <c r="E122" s="26"/>
      <c r="F122" s="26"/>
      <c r="G122" s="26"/>
      <c r="H122" s="26"/>
      <c r="I122" s="26"/>
      <c r="J122" s="26"/>
      <c r="K122" s="26"/>
      <c r="L122" s="26"/>
      <c r="M122" s="26"/>
      <c r="N122" s="26"/>
    </row>
    <row r="123" spans="1:14" x14ac:dyDescent="0.2">
      <c r="A123" s="26"/>
      <c r="B123" s="26"/>
      <c r="C123" s="26"/>
      <c r="D123" s="26"/>
      <c r="E123" s="26"/>
      <c r="F123" s="26"/>
      <c r="G123" s="26"/>
      <c r="H123" s="26"/>
      <c r="I123" s="26"/>
      <c r="J123" s="26"/>
      <c r="K123" s="26"/>
      <c r="L123" s="26"/>
      <c r="M123" s="26"/>
      <c r="N123" s="26"/>
    </row>
    <row r="124" spans="1:14" x14ac:dyDescent="0.2">
      <c r="A124" s="26"/>
      <c r="B124" s="26"/>
      <c r="C124" s="26"/>
      <c r="D124" s="26"/>
      <c r="E124" s="26"/>
      <c r="F124" s="26"/>
      <c r="G124" s="26"/>
      <c r="H124" s="26"/>
      <c r="I124" s="26"/>
      <c r="J124" s="26"/>
      <c r="K124" s="26"/>
      <c r="L124" s="26"/>
      <c r="M124" s="26"/>
      <c r="N124" s="26"/>
    </row>
    <row r="125" spans="1:14" x14ac:dyDescent="0.2">
      <c r="A125" s="26"/>
      <c r="B125" s="26"/>
      <c r="C125" s="26"/>
      <c r="D125" s="26"/>
      <c r="E125" s="26"/>
      <c r="F125" s="26"/>
      <c r="G125" s="26"/>
      <c r="H125" s="26"/>
      <c r="I125" s="26"/>
      <c r="J125" s="26"/>
      <c r="K125" s="26"/>
      <c r="L125" s="26"/>
      <c r="M125" s="26"/>
      <c r="N125" s="26"/>
    </row>
    <row r="126" spans="1:14" x14ac:dyDescent="0.2">
      <c r="A126" s="26"/>
      <c r="B126" s="26"/>
      <c r="C126" s="26"/>
      <c r="D126" s="26"/>
      <c r="E126" s="26"/>
      <c r="F126" s="26"/>
      <c r="G126" s="26"/>
      <c r="H126" s="26"/>
      <c r="I126" s="26"/>
      <c r="J126" s="26"/>
      <c r="K126" s="26"/>
      <c r="L126" s="26"/>
      <c r="M126" s="26"/>
      <c r="N126" s="26"/>
    </row>
    <row r="127" spans="1:14" x14ac:dyDescent="0.2">
      <c r="A127" s="26"/>
      <c r="B127" s="26"/>
      <c r="C127" s="26"/>
      <c r="D127" s="26"/>
      <c r="E127" s="26"/>
      <c r="F127" s="26"/>
      <c r="G127" s="26"/>
      <c r="H127" s="26"/>
      <c r="I127" s="26"/>
      <c r="J127" s="26"/>
      <c r="K127" s="26"/>
      <c r="L127" s="26"/>
      <c r="M127" s="26"/>
      <c r="N127" s="26"/>
    </row>
    <row r="128" spans="1:14" x14ac:dyDescent="0.2">
      <c r="A128" s="26"/>
      <c r="B128" s="26"/>
      <c r="C128" s="26"/>
      <c r="D128" s="26"/>
      <c r="E128" s="26"/>
      <c r="F128" s="26"/>
      <c r="G128" s="26"/>
      <c r="H128" s="26"/>
      <c r="I128" s="26"/>
      <c r="J128" s="26"/>
      <c r="K128" s="26"/>
      <c r="L128" s="26"/>
      <c r="M128" s="26"/>
      <c r="N128" s="26"/>
    </row>
    <row r="129" spans="1:14" x14ac:dyDescent="0.2">
      <c r="A129" s="26"/>
      <c r="B129" s="26"/>
      <c r="C129" s="26"/>
      <c r="D129" s="26"/>
      <c r="E129" s="26"/>
      <c r="F129" s="26"/>
      <c r="G129" s="26"/>
      <c r="H129" s="26"/>
      <c r="I129" s="26"/>
      <c r="J129" s="26"/>
      <c r="K129" s="26"/>
      <c r="L129" s="26"/>
      <c r="M129" s="26"/>
      <c r="N129" s="26"/>
    </row>
    <row r="130" spans="1:14" x14ac:dyDescent="0.2">
      <c r="A130" s="26"/>
      <c r="B130" s="26"/>
      <c r="C130" s="26"/>
      <c r="D130" s="26"/>
      <c r="E130" s="26"/>
      <c r="F130" s="26"/>
      <c r="G130" s="26"/>
      <c r="H130" s="26"/>
      <c r="I130" s="26"/>
      <c r="J130" s="26"/>
      <c r="K130" s="26"/>
      <c r="L130" s="26"/>
      <c r="M130" s="26"/>
      <c r="N130" s="26"/>
    </row>
    <row r="131" spans="1:14" x14ac:dyDescent="0.2">
      <c r="A131" s="26"/>
      <c r="B131" s="26"/>
      <c r="C131" s="26"/>
      <c r="D131" s="26"/>
      <c r="E131" s="26"/>
      <c r="F131" s="26"/>
      <c r="G131" s="26"/>
      <c r="H131" s="26"/>
      <c r="I131" s="26"/>
      <c r="J131" s="26"/>
      <c r="K131" s="26"/>
      <c r="L131" s="26"/>
      <c r="M131" s="26"/>
      <c r="N131" s="26"/>
    </row>
    <row r="132" spans="1:14" x14ac:dyDescent="0.2">
      <c r="A132" s="26"/>
      <c r="B132" s="26"/>
      <c r="C132" s="26"/>
      <c r="D132" s="26"/>
      <c r="E132" s="26"/>
      <c r="F132" s="26"/>
      <c r="G132" s="26"/>
      <c r="H132" s="26"/>
      <c r="I132" s="26"/>
      <c r="J132" s="26"/>
      <c r="K132" s="26"/>
      <c r="L132" s="26"/>
      <c r="M132" s="26"/>
      <c r="N132" s="26"/>
    </row>
    <row r="133" spans="1:14" x14ac:dyDescent="0.2">
      <c r="A133" s="26"/>
      <c r="B133" s="26"/>
      <c r="C133" s="26"/>
      <c r="D133" s="26"/>
      <c r="E133" s="26"/>
      <c r="F133" s="26"/>
      <c r="G133" s="26"/>
      <c r="H133" s="26"/>
      <c r="I133" s="26"/>
      <c r="J133" s="26"/>
      <c r="K133" s="26"/>
      <c r="L133" s="26"/>
      <c r="M133" s="26"/>
      <c r="N133" s="26"/>
    </row>
    <row r="134" spans="1:14" x14ac:dyDescent="0.2">
      <c r="A134" s="26"/>
      <c r="B134" s="26"/>
      <c r="C134" s="26"/>
      <c r="D134" s="26"/>
      <c r="E134" s="26"/>
      <c r="F134" s="26"/>
      <c r="G134" s="26"/>
      <c r="H134" s="26"/>
      <c r="I134" s="26"/>
      <c r="J134" s="26"/>
      <c r="K134" s="26"/>
      <c r="L134" s="26"/>
      <c r="M134" s="26"/>
      <c r="N134" s="26"/>
    </row>
    <row r="135" spans="1:14" x14ac:dyDescent="0.2">
      <c r="A135" s="26"/>
      <c r="B135" s="26"/>
      <c r="C135" s="26"/>
      <c r="D135" s="26"/>
      <c r="E135" s="26"/>
      <c r="F135" s="26"/>
      <c r="G135" s="26"/>
      <c r="H135" s="26"/>
      <c r="I135" s="26"/>
      <c r="J135" s="26"/>
      <c r="K135" s="26"/>
      <c r="L135" s="26"/>
      <c r="M135" s="26"/>
      <c r="N135" s="26"/>
    </row>
    <row r="136" spans="1:14" x14ac:dyDescent="0.2">
      <c r="A136" s="26"/>
      <c r="B136" s="26"/>
      <c r="C136" s="26"/>
      <c r="D136" s="26"/>
      <c r="E136" s="26"/>
      <c r="F136" s="26"/>
      <c r="G136" s="26"/>
      <c r="H136" s="26"/>
      <c r="I136" s="26"/>
      <c r="J136" s="26"/>
      <c r="K136" s="26"/>
      <c r="L136" s="26"/>
      <c r="M136" s="26"/>
      <c r="N136" s="26"/>
    </row>
    <row r="137" spans="1:14" x14ac:dyDescent="0.2">
      <c r="A137" s="26"/>
      <c r="B137" s="26"/>
      <c r="C137" s="26"/>
      <c r="D137" s="26"/>
      <c r="E137" s="26"/>
      <c r="F137" s="26"/>
      <c r="G137" s="26"/>
      <c r="H137" s="26"/>
      <c r="I137" s="26"/>
      <c r="J137" s="26"/>
      <c r="K137" s="26"/>
      <c r="L137" s="26"/>
      <c r="M137" s="26"/>
      <c r="N137" s="26"/>
    </row>
    <row r="138" spans="1:14" x14ac:dyDescent="0.2">
      <c r="A138" s="26"/>
      <c r="B138" s="26"/>
      <c r="C138" s="26"/>
      <c r="D138" s="26"/>
      <c r="E138" s="26"/>
      <c r="F138" s="26"/>
      <c r="G138" s="26"/>
      <c r="H138" s="26"/>
      <c r="I138" s="26"/>
      <c r="J138" s="26"/>
      <c r="K138" s="26"/>
      <c r="L138" s="26"/>
      <c r="M138" s="26"/>
      <c r="N138" s="26"/>
    </row>
    <row r="139" spans="1:14" x14ac:dyDescent="0.2">
      <c r="A139" s="26"/>
      <c r="B139" s="26"/>
      <c r="C139" s="26"/>
      <c r="D139" s="26"/>
      <c r="E139" s="26"/>
      <c r="F139" s="26"/>
      <c r="G139" s="26"/>
      <c r="H139" s="26"/>
      <c r="I139" s="26"/>
      <c r="J139" s="26"/>
      <c r="K139" s="26"/>
      <c r="L139" s="26"/>
      <c r="M139" s="26"/>
      <c r="N139" s="26"/>
    </row>
    <row r="140" spans="1:14" x14ac:dyDescent="0.2">
      <c r="A140" s="26"/>
      <c r="B140" s="26"/>
      <c r="C140" s="26"/>
      <c r="D140" s="26"/>
      <c r="E140" s="26"/>
      <c r="F140" s="26"/>
      <c r="G140" s="26"/>
      <c r="H140" s="26"/>
      <c r="I140" s="26"/>
      <c r="J140" s="26"/>
      <c r="K140" s="26"/>
      <c r="L140" s="26"/>
      <c r="M140" s="26"/>
      <c r="N140" s="26"/>
    </row>
    <row r="141" spans="1:14" x14ac:dyDescent="0.2">
      <c r="A141" s="26"/>
      <c r="B141" s="26"/>
      <c r="C141" s="26"/>
      <c r="D141" s="26"/>
      <c r="E141" s="26"/>
      <c r="F141" s="26"/>
      <c r="G141" s="26"/>
      <c r="H141" s="26"/>
      <c r="I141" s="26"/>
      <c r="J141" s="26"/>
      <c r="K141" s="26"/>
      <c r="L141" s="26"/>
      <c r="M141" s="26"/>
      <c r="N141" s="26"/>
    </row>
    <row r="142" spans="1:14" x14ac:dyDescent="0.2">
      <c r="A142" s="26"/>
      <c r="B142" s="26"/>
      <c r="C142" s="26"/>
      <c r="D142" s="26"/>
      <c r="E142" s="26"/>
      <c r="F142" s="26"/>
      <c r="G142" s="26"/>
      <c r="H142" s="26"/>
      <c r="I142" s="26"/>
      <c r="J142" s="26"/>
      <c r="K142" s="26"/>
      <c r="L142" s="26"/>
      <c r="M142" s="26"/>
      <c r="N142" s="26"/>
    </row>
    <row r="143" spans="1:14" x14ac:dyDescent="0.2">
      <c r="A143" s="26"/>
      <c r="B143" s="26"/>
      <c r="C143" s="26"/>
      <c r="D143" s="26"/>
      <c r="E143" s="26"/>
      <c r="F143" s="26"/>
      <c r="G143" s="26"/>
      <c r="H143" s="26"/>
      <c r="I143" s="26"/>
      <c r="J143" s="26"/>
      <c r="K143" s="26"/>
      <c r="L143" s="26"/>
      <c r="M143" s="26"/>
      <c r="N143" s="26"/>
    </row>
    <row r="144" spans="1:14" x14ac:dyDescent="0.2">
      <c r="A144" s="26"/>
      <c r="B144" s="26"/>
      <c r="C144" s="26"/>
      <c r="D144" s="26"/>
      <c r="E144" s="26"/>
      <c r="F144" s="26"/>
      <c r="G144" s="26"/>
      <c r="H144" s="26"/>
      <c r="I144" s="26"/>
      <c r="J144" s="26"/>
      <c r="K144" s="26"/>
      <c r="L144" s="26"/>
      <c r="M144" s="26"/>
      <c r="N144" s="26"/>
    </row>
    <row r="145" spans="1:14" x14ac:dyDescent="0.2">
      <c r="A145" s="26"/>
      <c r="B145" s="26"/>
      <c r="C145" s="26"/>
      <c r="D145" s="26"/>
      <c r="E145" s="26"/>
      <c r="F145" s="26"/>
      <c r="G145" s="26"/>
      <c r="H145" s="26"/>
      <c r="I145" s="26"/>
      <c r="J145" s="26"/>
      <c r="K145" s="26"/>
      <c r="L145" s="26"/>
      <c r="M145" s="26"/>
      <c r="N145" s="26"/>
    </row>
    <row r="146" spans="1:14" x14ac:dyDescent="0.2">
      <c r="A146" s="26"/>
      <c r="B146" s="26"/>
      <c r="C146" s="26"/>
      <c r="D146" s="26"/>
      <c r="E146" s="26"/>
      <c r="F146" s="26"/>
      <c r="G146" s="26"/>
      <c r="H146" s="26"/>
      <c r="I146" s="26"/>
      <c r="J146" s="26"/>
      <c r="K146" s="26"/>
      <c r="L146" s="26"/>
      <c r="M146" s="26"/>
      <c r="N146" s="26"/>
    </row>
    <row r="147" spans="1:14" x14ac:dyDescent="0.2">
      <c r="A147" s="26"/>
      <c r="B147" s="26"/>
      <c r="C147" s="26"/>
      <c r="D147" s="26"/>
      <c r="E147" s="26"/>
      <c r="F147" s="26"/>
      <c r="G147" s="26"/>
      <c r="H147" s="26"/>
      <c r="I147" s="26"/>
      <c r="J147" s="26"/>
      <c r="K147" s="26"/>
      <c r="L147" s="26"/>
      <c r="M147" s="26"/>
      <c r="N147" s="26"/>
    </row>
    <row r="148" spans="1:14" x14ac:dyDescent="0.2">
      <c r="A148" s="26"/>
      <c r="B148" s="26"/>
      <c r="C148" s="26"/>
      <c r="D148" s="26"/>
      <c r="E148" s="26"/>
      <c r="F148" s="26"/>
      <c r="G148" s="26"/>
      <c r="H148" s="26"/>
      <c r="I148" s="26"/>
      <c r="J148" s="26"/>
      <c r="K148" s="26"/>
      <c r="L148" s="26"/>
      <c r="M148" s="26"/>
      <c r="N148" s="26"/>
    </row>
    <row r="149" spans="1:14" x14ac:dyDescent="0.2">
      <c r="A149" s="26"/>
      <c r="B149" s="26"/>
      <c r="C149" s="26"/>
      <c r="D149" s="26"/>
      <c r="E149" s="26"/>
      <c r="F149" s="26"/>
      <c r="G149" s="26"/>
      <c r="H149" s="26"/>
      <c r="I149" s="26"/>
      <c r="J149" s="26"/>
      <c r="K149" s="26"/>
      <c r="L149" s="26"/>
      <c r="M149" s="26"/>
      <c r="N149" s="26"/>
    </row>
    <row r="150" spans="1:14" x14ac:dyDescent="0.2">
      <c r="A150" s="26"/>
      <c r="B150" s="26"/>
      <c r="C150" s="26"/>
      <c r="D150" s="26"/>
      <c r="E150" s="26"/>
      <c r="F150" s="26"/>
      <c r="G150" s="26"/>
      <c r="H150" s="26"/>
      <c r="I150" s="26"/>
      <c r="J150" s="26"/>
      <c r="K150" s="26"/>
      <c r="L150" s="26"/>
      <c r="M150" s="26"/>
      <c r="N150" s="26"/>
    </row>
    <row r="151" spans="1:14" x14ac:dyDescent="0.2">
      <c r="A151" s="26"/>
      <c r="B151" s="26"/>
      <c r="C151" s="26"/>
      <c r="D151" s="26"/>
      <c r="E151" s="26"/>
      <c r="F151" s="26"/>
      <c r="G151" s="26"/>
      <c r="H151" s="26"/>
      <c r="I151" s="26"/>
      <c r="J151" s="26"/>
      <c r="K151" s="26"/>
      <c r="L151" s="26"/>
      <c r="M151" s="26"/>
      <c r="N151" s="26"/>
    </row>
    <row r="152" spans="1:14" x14ac:dyDescent="0.2">
      <c r="A152" s="26"/>
      <c r="B152" s="26"/>
      <c r="C152" s="26"/>
      <c r="D152" s="26"/>
      <c r="E152" s="26"/>
      <c r="F152" s="26"/>
      <c r="G152" s="26"/>
      <c r="H152" s="26"/>
      <c r="I152" s="26"/>
      <c r="J152" s="26"/>
      <c r="K152" s="26"/>
      <c r="L152" s="26"/>
      <c r="M152" s="26"/>
      <c r="N152" s="26"/>
    </row>
    <row r="153" spans="1:14" x14ac:dyDescent="0.2">
      <c r="A153" s="26"/>
      <c r="B153" s="26"/>
      <c r="C153" s="26"/>
      <c r="D153" s="26"/>
      <c r="E153" s="26"/>
      <c r="F153" s="26"/>
      <c r="G153" s="26"/>
      <c r="H153" s="26"/>
      <c r="I153" s="26"/>
      <c r="J153" s="26"/>
      <c r="K153" s="26"/>
      <c r="L153" s="26"/>
      <c r="M153" s="26"/>
      <c r="N153" s="26"/>
    </row>
    <row r="154" spans="1:14" x14ac:dyDescent="0.2">
      <c r="A154" s="26"/>
      <c r="B154" s="26"/>
      <c r="C154" s="26"/>
      <c r="D154" s="26"/>
      <c r="E154" s="26"/>
      <c r="F154" s="26"/>
      <c r="G154" s="26"/>
      <c r="H154" s="26"/>
      <c r="I154" s="26"/>
      <c r="J154" s="26"/>
      <c r="K154" s="26"/>
      <c r="L154" s="26"/>
      <c r="M154" s="26"/>
      <c r="N154" s="26"/>
    </row>
    <row r="155" spans="1:14" x14ac:dyDescent="0.2">
      <c r="A155" s="26"/>
      <c r="B155" s="26"/>
      <c r="C155" s="26"/>
      <c r="D155" s="26"/>
      <c r="E155" s="26"/>
      <c r="F155" s="26"/>
      <c r="G155" s="26"/>
      <c r="H155" s="26"/>
      <c r="I155" s="26"/>
      <c r="J155" s="26"/>
      <c r="K155" s="26"/>
      <c r="L155" s="26"/>
      <c r="M155" s="26"/>
      <c r="N155" s="26"/>
    </row>
    <row r="156" spans="1:14" x14ac:dyDescent="0.2">
      <c r="A156" s="26"/>
      <c r="B156" s="26"/>
      <c r="C156" s="26"/>
      <c r="D156" s="26"/>
      <c r="E156" s="26"/>
      <c r="F156" s="26"/>
      <c r="G156" s="26"/>
      <c r="H156" s="26"/>
      <c r="I156" s="26"/>
      <c r="J156" s="26"/>
      <c r="K156" s="26"/>
      <c r="L156" s="26"/>
      <c r="M156" s="26"/>
      <c r="N156" s="26"/>
    </row>
    <row r="157" spans="1:14" x14ac:dyDescent="0.2">
      <c r="A157" s="26"/>
      <c r="B157" s="26"/>
      <c r="C157" s="26"/>
      <c r="D157" s="26"/>
      <c r="E157" s="26"/>
      <c r="F157" s="26"/>
      <c r="G157" s="26"/>
      <c r="H157" s="26"/>
      <c r="I157" s="26"/>
      <c r="J157" s="26"/>
      <c r="K157" s="26"/>
      <c r="L157" s="26"/>
      <c r="M157" s="26"/>
      <c r="N157" s="26"/>
    </row>
    <row r="158" spans="1:14" x14ac:dyDescent="0.2">
      <c r="A158" s="26"/>
      <c r="B158" s="26"/>
      <c r="C158" s="26"/>
      <c r="D158" s="26"/>
      <c r="E158" s="26"/>
      <c r="F158" s="26"/>
      <c r="G158" s="26"/>
      <c r="H158" s="26"/>
      <c r="I158" s="26"/>
      <c r="J158" s="26"/>
      <c r="K158" s="26"/>
      <c r="L158" s="26"/>
      <c r="M158" s="26"/>
      <c r="N158" s="26"/>
    </row>
    <row r="159" spans="1:14" x14ac:dyDescent="0.2">
      <c r="A159" s="26"/>
      <c r="B159" s="26"/>
      <c r="C159" s="26"/>
      <c r="D159" s="26"/>
      <c r="E159" s="26"/>
      <c r="F159" s="26"/>
      <c r="G159" s="26"/>
      <c r="H159" s="26"/>
      <c r="I159" s="26"/>
      <c r="J159" s="26"/>
      <c r="K159" s="26"/>
      <c r="L159" s="26"/>
      <c r="M159" s="26"/>
      <c r="N159" s="26"/>
    </row>
    <row r="160" spans="1:14" x14ac:dyDescent="0.2">
      <c r="A160" s="26"/>
      <c r="B160" s="26"/>
      <c r="C160" s="26"/>
      <c r="D160" s="26"/>
      <c r="E160" s="26"/>
      <c r="F160" s="26"/>
      <c r="G160" s="26"/>
      <c r="H160" s="26"/>
      <c r="I160" s="26"/>
      <c r="J160" s="26"/>
      <c r="K160" s="26"/>
      <c r="L160" s="26"/>
      <c r="M160" s="26"/>
      <c r="N160" s="26"/>
    </row>
    <row r="161" spans="1:14" x14ac:dyDescent="0.2">
      <c r="A161" s="26"/>
      <c r="B161" s="26"/>
      <c r="C161" s="26"/>
      <c r="D161" s="26"/>
      <c r="E161" s="26"/>
      <c r="F161" s="26"/>
      <c r="G161" s="26"/>
      <c r="H161" s="26"/>
      <c r="I161" s="26"/>
      <c r="J161" s="26"/>
      <c r="K161" s="26"/>
      <c r="L161" s="26"/>
      <c r="M161" s="26"/>
      <c r="N161" s="26"/>
    </row>
    <row r="162" spans="1:14" x14ac:dyDescent="0.2">
      <c r="A162" s="26"/>
      <c r="B162" s="26"/>
      <c r="C162" s="26"/>
      <c r="D162" s="26"/>
      <c r="E162" s="26"/>
      <c r="F162" s="26"/>
      <c r="G162" s="26"/>
      <c r="H162" s="26"/>
      <c r="I162" s="26"/>
      <c r="J162" s="26"/>
      <c r="K162" s="26"/>
      <c r="L162" s="26"/>
      <c r="M162" s="26"/>
      <c r="N162" s="26"/>
    </row>
    <row r="163" spans="1:14" x14ac:dyDescent="0.2">
      <c r="A163" s="26"/>
      <c r="B163" s="26"/>
      <c r="C163" s="26"/>
      <c r="D163" s="26"/>
      <c r="E163" s="26"/>
      <c r="F163" s="26"/>
      <c r="G163" s="26"/>
      <c r="H163" s="26"/>
      <c r="I163" s="26"/>
      <c r="J163" s="26"/>
      <c r="K163" s="26"/>
      <c r="L163" s="26"/>
      <c r="M163" s="26"/>
      <c r="N163" s="26"/>
    </row>
    <row r="164" spans="1:14" x14ac:dyDescent="0.2">
      <c r="A164" s="26"/>
      <c r="B164" s="26"/>
      <c r="C164" s="26"/>
      <c r="D164" s="26"/>
      <c r="E164" s="26"/>
      <c r="F164" s="26"/>
      <c r="G164" s="26"/>
      <c r="H164" s="26"/>
      <c r="I164" s="26"/>
      <c r="J164" s="26"/>
      <c r="K164" s="26"/>
      <c r="L164" s="26"/>
      <c r="M164" s="26"/>
      <c r="N164" s="26"/>
    </row>
    <row r="165" spans="1:14" x14ac:dyDescent="0.2">
      <c r="A165" s="26"/>
      <c r="B165" s="26"/>
      <c r="C165" s="26"/>
      <c r="D165" s="26"/>
      <c r="E165" s="26"/>
      <c r="F165" s="26"/>
      <c r="G165" s="26"/>
      <c r="H165" s="26"/>
      <c r="I165" s="26"/>
      <c r="J165" s="26"/>
      <c r="K165" s="26"/>
      <c r="L165" s="26"/>
      <c r="M165" s="26"/>
      <c r="N165" s="26"/>
    </row>
    <row r="166" spans="1:14" x14ac:dyDescent="0.2">
      <c r="A166" s="26"/>
      <c r="B166" s="26"/>
      <c r="C166" s="26"/>
      <c r="D166" s="26"/>
      <c r="E166" s="26"/>
      <c r="F166" s="26"/>
      <c r="G166" s="26"/>
      <c r="H166" s="26"/>
      <c r="I166" s="26"/>
      <c r="J166" s="26"/>
      <c r="K166" s="26"/>
      <c r="L166" s="26"/>
      <c r="M166" s="26"/>
      <c r="N166" s="26"/>
    </row>
    <row r="167" spans="1:14" x14ac:dyDescent="0.2">
      <c r="A167" s="26"/>
      <c r="B167" s="26"/>
      <c r="C167" s="26"/>
      <c r="D167" s="26"/>
      <c r="E167" s="26"/>
      <c r="F167" s="26"/>
      <c r="G167" s="26"/>
      <c r="H167" s="26"/>
      <c r="I167" s="26"/>
      <c r="J167" s="26"/>
      <c r="K167" s="26"/>
      <c r="L167" s="26"/>
      <c r="M167" s="26"/>
      <c r="N167" s="26"/>
    </row>
    <row r="168" spans="1:14" x14ac:dyDescent="0.2">
      <c r="A168" s="26"/>
      <c r="B168" s="26"/>
      <c r="C168" s="26"/>
      <c r="D168" s="26"/>
      <c r="E168" s="26"/>
      <c r="F168" s="26"/>
      <c r="G168" s="26"/>
      <c r="H168" s="26"/>
      <c r="I168" s="26"/>
      <c r="J168" s="26"/>
      <c r="K168" s="26"/>
      <c r="L168" s="26"/>
      <c r="M168" s="26"/>
      <c r="N168" s="26"/>
    </row>
    <row r="169" spans="1:14" x14ac:dyDescent="0.2">
      <c r="A169" s="26"/>
      <c r="B169" s="26"/>
      <c r="C169" s="26"/>
      <c r="D169" s="26"/>
      <c r="E169" s="26"/>
      <c r="F169" s="26"/>
      <c r="G169" s="26"/>
      <c r="H169" s="26"/>
      <c r="I169" s="26"/>
      <c r="J169" s="26"/>
      <c r="K169" s="26"/>
      <c r="L169" s="26"/>
      <c r="M169" s="26"/>
      <c r="N169" s="26"/>
    </row>
    <row r="170" spans="1:14" x14ac:dyDescent="0.2">
      <c r="A170" s="26"/>
      <c r="B170" s="26"/>
      <c r="C170" s="26"/>
      <c r="D170" s="26"/>
      <c r="E170" s="26"/>
      <c r="F170" s="26"/>
      <c r="G170" s="26"/>
      <c r="H170" s="26"/>
      <c r="I170" s="26"/>
      <c r="J170" s="26"/>
      <c r="K170" s="26"/>
      <c r="L170" s="26"/>
      <c r="M170" s="26"/>
      <c r="N170" s="26"/>
    </row>
    <row r="171" spans="1:14" x14ac:dyDescent="0.2">
      <c r="A171" s="26"/>
      <c r="B171" s="26"/>
      <c r="C171" s="26"/>
      <c r="D171" s="26"/>
      <c r="E171" s="26"/>
      <c r="F171" s="26"/>
      <c r="G171" s="26"/>
      <c r="H171" s="26"/>
      <c r="I171" s="26"/>
      <c r="J171" s="26"/>
      <c r="K171" s="26"/>
      <c r="L171" s="26"/>
      <c r="M171" s="26"/>
      <c r="N171" s="26"/>
    </row>
    <row r="172" spans="1:14" x14ac:dyDescent="0.2">
      <c r="A172" s="26"/>
      <c r="B172" s="26"/>
      <c r="C172" s="26"/>
      <c r="D172" s="26"/>
      <c r="E172" s="26"/>
      <c r="F172" s="26"/>
      <c r="G172" s="26"/>
      <c r="H172" s="26"/>
      <c r="I172" s="26"/>
      <c r="J172" s="26"/>
      <c r="K172" s="26"/>
      <c r="L172" s="26"/>
      <c r="M172" s="26"/>
      <c r="N172" s="26"/>
    </row>
    <row r="173" spans="1:14" x14ac:dyDescent="0.2">
      <c r="A173" s="26"/>
      <c r="B173" s="26"/>
      <c r="C173" s="26"/>
      <c r="D173" s="26"/>
      <c r="E173" s="26"/>
      <c r="F173" s="26"/>
      <c r="G173" s="26"/>
      <c r="H173" s="26"/>
      <c r="I173" s="26"/>
      <c r="J173" s="26"/>
      <c r="K173" s="26"/>
      <c r="L173" s="26"/>
      <c r="M173" s="26"/>
      <c r="N173" s="26"/>
    </row>
    <row r="174" spans="1:14" x14ac:dyDescent="0.2">
      <c r="A174" s="26"/>
      <c r="B174" s="26"/>
      <c r="C174" s="26"/>
      <c r="D174" s="26"/>
      <c r="E174" s="26"/>
      <c r="F174" s="26"/>
      <c r="G174" s="26"/>
      <c r="H174" s="26"/>
      <c r="I174" s="26"/>
      <c r="J174" s="26"/>
      <c r="K174" s="26"/>
      <c r="L174" s="26"/>
      <c r="M174" s="26"/>
      <c r="N174" s="26"/>
    </row>
    <row r="175" spans="1:14" x14ac:dyDescent="0.2">
      <c r="A175" s="26"/>
      <c r="B175" s="26"/>
      <c r="C175" s="26"/>
      <c r="D175" s="26"/>
      <c r="E175" s="26"/>
      <c r="F175" s="26"/>
      <c r="G175" s="26"/>
      <c r="H175" s="26"/>
      <c r="I175" s="26"/>
      <c r="J175" s="26"/>
      <c r="K175" s="26"/>
      <c r="L175" s="26"/>
      <c r="M175" s="26"/>
      <c r="N175" s="26"/>
    </row>
    <row r="176" spans="1:14" x14ac:dyDescent="0.2">
      <c r="A176" s="26"/>
      <c r="B176" s="26"/>
      <c r="C176" s="26"/>
      <c r="D176" s="26"/>
      <c r="E176" s="26"/>
      <c r="F176" s="26"/>
      <c r="G176" s="26"/>
      <c r="H176" s="26"/>
      <c r="I176" s="26"/>
      <c r="J176" s="26"/>
      <c r="K176" s="26"/>
      <c r="L176" s="26"/>
      <c r="M176" s="26"/>
      <c r="N176" s="26"/>
    </row>
    <row r="177" spans="1:14" x14ac:dyDescent="0.2">
      <c r="A177" s="26"/>
      <c r="B177" s="26"/>
      <c r="C177" s="26"/>
      <c r="D177" s="26"/>
      <c r="E177" s="26"/>
      <c r="F177" s="26"/>
      <c r="G177" s="26"/>
      <c r="H177" s="26"/>
      <c r="I177" s="26"/>
      <c r="J177" s="26"/>
      <c r="K177" s="26"/>
      <c r="L177" s="26"/>
      <c r="M177" s="26"/>
      <c r="N177" s="26"/>
    </row>
    <row r="178" spans="1:14" x14ac:dyDescent="0.2">
      <c r="A178" s="26"/>
      <c r="B178" s="26"/>
      <c r="C178" s="26"/>
      <c r="D178" s="26"/>
      <c r="E178" s="26"/>
      <c r="F178" s="26"/>
      <c r="G178" s="26"/>
      <c r="H178" s="26"/>
      <c r="I178" s="26"/>
      <c r="J178" s="26"/>
      <c r="K178" s="26"/>
      <c r="L178" s="26"/>
      <c r="M178" s="26"/>
      <c r="N178" s="26"/>
    </row>
    <row r="179" spans="1:14" x14ac:dyDescent="0.2">
      <c r="A179" s="26"/>
      <c r="B179" s="26"/>
      <c r="C179" s="26"/>
      <c r="D179" s="26"/>
      <c r="E179" s="26"/>
      <c r="F179" s="26"/>
      <c r="G179" s="26"/>
      <c r="H179" s="26"/>
      <c r="I179" s="26"/>
      <c r="J179" s="26"/>
      <c r="K179" s="26"/>
      <c r="L179" s="26"/>
      <c r="M179" s="26"/>
      <c r="N179" s="26"/>
    </row>
    <row r="180" spans="1:14" x14ac:dyDescent="0.2">
      <c r="A180" s="26"/>
      <c r="B180" s="26"/>
      <c r="C180" s="26"/>
      <c r="D180" s="26"/>
      <c r="E180" s="26"/>
      <c r="F180" s="26"/>
      <c r="G180" s="26"/>
      <c r="H180" s="26"/>
      <c r="I180" s="26"/>
      <c r="J180" s="26"/>
      <c r="K180" s="26"/>
      <c r="L180" s="26"/>
      <c r="M180" s="26"/>
      <c r="N180" s="26"/>
    </row>
    <row r="181" spans="1:14" x14ac:dyDescent="0.2">
      <c r="A181" s="26"/>
      <c r="B181" s="26"/>
      <c r="C181" s="26"/>
      <c r="D181" s="26"/>
      <c r="E181" s="26"/>
      <c r="F181" s="26"/>
      <c r="G181" s="26"/>
      <c r="H181" s="26"/>
      <c r="I181" s="26"/>
      <c r="J181" s="26"/>
      <c r="K181" s="26"/>
      <c r="L181" s="26"/>
      <c r="M181" s="26"/>
      <c r="N181" s="26"/>
    </row>
    <row r="182" spans="1:14" x14ac:dyDescent="0.2">
      <c r="A182" s="26"/>
      <c r="B182" s="26"/>
      <c r="C182" s="26"/>
      <c r="D182" s="26"/>
      <c r="E182" s="26"/>
      <c r="F182" s="26"/>
      <c r="G182" s="26"/>
      <c r="H182" s="26"/>
      <c r="I182" s="26"/>
      <c r="J182" s="26"/>
      <c r="K182" s="26"/>
      <c r="L182" s="26"/>
      <c r="M182" s="26"/>
      <c r="N182" s="26"/>
    </row>
    <row r="183" spans="1:14" x14ac:dyDescent="0.2">
      <c r="A183" s="26"/>
      <c r="B183" s="26"/>
      <c r="C183" s="26"/>
      <c r="D183" s="26"/>
      <c r="E183" s="26"/>
      <c r="F183" s="26"/>
      <c r="G183" s="26"/>
      <c r="H183" s="26"/>
      <c r="I183" s="26"/>
      <c r="J183" s="26"/>
      <c r="K183" s="26"/>
      <c r="L183" s="26"/>
      <c r="M183" s="26"/>
      <c r="N183" s="26"/>
    </row>
    <row r="184" spans="1:14" x14ac:dyDescent="0.2">
      <c r="A184" s="26"/>
      <c r="B184" s="26"/>
      <c r="C184" s="26"/>
      <c r="D184" s="26"/>
      <c r="E184" s="26"/>
      <c r="F184" s="26"/>
      <c r="G184" s="26"/>
      <c r="H184" s="26"/>
      <c r="I184" s="26"/>
      <c r="J184" s="26"/>
      <c r="K184" s="26"/>
      <c r="L184" s="26"/>
      <c r="M184" s="26"/>
      <c r="N184" s="26"/>
    </row>
    <row r="185" spans="1:14" x14ac:dyDescent="0.2">
      <c r="A185" s="26"/>
      <c r="B185" s="26"/>
      <c r="C185" s="26"/>
      <c r="D185" s="26"/>
      <c r="E185" s="26"/>
      <c r="F185" s="26"/>
      <c r="G185" s="26"/>
      <c r="H185" s="26"/>
      <c r="I185" s="26"/>
      <c r="J185" s="26"/>
      <c r="K185" s="26"/>
      <c r="L185" s="26"/>
      <c r="M185" s="26"/>
      <c r="N185" s="26"/>
    </row>
    <row r="186" spans="1:14" x14ac:dyDescent="0.2">
      <c r="A186" s="26"/>
      <c r="B186" s="26"/>
      <c r="C186" s="26"/>
      <c r="D186" s="26"/>
      <c r="E186" s="26"/>
      <c r="F186" s="26"/>
      <c r="G186" s="26"/>
      <c r="H186" s="26"/>
      <c r="I186" s="26"/>
      <c r="J186" s="26"/>
      <c r="K186" s="26"/>
      <c r="L186" s="26"/>
      <c r="M186" s="26"/>
      <c r="N186" s="26"/>
    </row>
    <row r="187" spans="1:14" x14ac:dyDescent="0.2">
      <c r="A187" s="26"/>
      <c r="B187" s="26"/>
      <c r="C187" s="26"/>
      <c r="D187" s="26"/>
      <c r="E187" s="26"/>
      <c r="F187" s="26"/>
      <c r="G187" s="26"/>
      <c r="H187" s="26"/>
      <c r="I187" s="26"/>
      <c r="J187" s="26"/>
      <c r="K187" s="26"/>
      <c r="L187" s="26"/>
      <c r="M187" s="26"/>
      <c r="N187" s="26"/>
    </row>
    <row r="188" spans="1:14" x14ac:dyDescent="0.2">
      <c r="A188" s="26"/>
      <c r="B188" s="26"/>
      <c r="C188" s="26"/>
      <c r="D188" s="26"/>
      <c r="E188" s="26"/>
      <c r="F188" s="26"/>
      <c r="G188" s="26"/>
      <c r="H188" s="26"/>
      <c r="I188" s="26"/>
      <c r="J188" s="26"/>
      <c r="K188" s="26"/>
      <c r="L188" s="26"/>
      <c r="M188" s="26"/>
      <c r="N188" s="26"/>
    </row>
    <row r="189" spans="1:14" x14ac:dyDescent="0.2">
      <c r="A189" s="26"/>
      <c r="B189" s="26"/>
      <c r="C189" s="26"/>
      <c r="D189" s="26"/>
      <c r="E189" s="26"/>
      <c r="F189" s="26"/>
      <c r="G189" s="26"/>
      <c r="H189" s="26"/>
      <c r="I189" s="26"/>
      <c r="J189" s="26"/>
      <c r="K189" s="26"/>
      <c r="L189" s="26"/>
      <c r="M189" s="26"/>
      <c r="N189" s="26"/>
    </row>
    <row r="190" spans="1:14" x14ac:dyDescent="0.2">
      <c r="A190" s="26"/>
      <c r="B190" s="26"/>
      <c r="C190" s="26"/>
      <c r="D190" s="26"/>
      <c r="E190" s="26"/>
      <c r="F190" s="26"/>
      <c r="G190" s="26"/>
      <c r="H190" s="26"/>
      <c r="I190" s="26"/>
      <c r="J190" s="26"/>
      <c r="K190" s="26"/>
      <c r="L190" s="26"/>
      <c r="M190" s="26"/>
      <c r="N190" s="26"/>
    </row>
    <row r="191" spans="1:14" x14ac:dyDescent="0.2">
      <c r="A191" s="26"/>
      <c r="B191" s="26"/>
      <c r="C191" s="26"/>
      <c r="D191" s="26"/>
      <c r="E191" s="26"/>
      <c r="F191" s="26"/>
      <c r="G191" s="26"/>
      <c r="H191" s="26"/>
      <c r="I191" s="26"/>
      <c r="J191" s="26"/>
      <c r="K191" s="26"/>
      <c r="L191" s="26"/>
      <c r="M191" s="26"/>
      <c r="N191" s="26"/>
    </row>
    <row r="192" spans="1:14" x14ac:dyDescent="0.2">
      <c r="A192" s="26"/>
      <c r="B192" s="26"/>
      <c r="C192" s="26"/>
      <c r="D192" s="26"/>
      <c r="E192" s="26"/>
      <c r="F192" s="26"/>
      <c r="G192" s="26"/>
      <c r="H192" s="26"/>
      <c r="I192" s="26"/>
      <c r="J192" s="26"/>
      <c r="K192" s="26"/>
      <c r="L192" s="26"/>
      <c r="M192" s="26"/>
      <c r="N192" s="26"/>
    </row>
    <row r="193" spans="1:14" x14ac:dyDescent="0.2">
      <c r="A193" s="26"/>
      <c r="B193" s="26"/>
      <c r="C193" s="26"/>
      <c r="D193" s="26"/>
      <c r="E193" s="26"/>
      <c r="F193" s="26"/>
      <c r="G193" s="26"/>
      <c r="H193" s="26"/>
      <c r="I193" s="26"/>
      <c r="J193" s="26"/>
      <c r="K193" s="26"/>
      <c r="L193" s="26"/>
      <c r="M193" s="26"/>
      <c r="N193" s="26"/>
    </row>
    <row r="194" spans="1:14" x14ac:dyDescent="0.2">
      <c r="A194" s="26"/>
      <c r="B194" s="26"/>
      <c r="C194" s="26"/>
      <c r="D194" s="26"/>
      <c r="E194" s="26"/>
      <c r="F194" s="26"/>
      <c r="G194" s="26"/>
      <c r="H194" s="26"/>
      <c r="I194" s="26"/>
      <c r="J194" s="26"/>
      <c r="K194" s="26"/>
      <c r="L194" s="26"/>
      <c r="M194" s="26"/>
      <c r="N194" s="26"/>
    </row>
    <row r="195" spans="1:14" x14ac:dyDescent="0.2">
      <c r="A195" s="26"/>
      <c r="B195" s="26"/>
      <c r="C195" s="26"/>
      <c r="D195" s="26"/>
      <c r="E195" s="26"/>
      <c r="F195" s="26"/>
      <c r="G195" s="26"/>
      <c r="H195" s="26"/>
      <c r="I195" s="26"/>
      <c r="J195" s="26"/>
      <c r="K195" s="26"/>
      <c r="L195" s="26"/>
      <c r="M195" s="26"/>
      <c r="N195" s="26"/>
    </row>
    <row r="196" spans="1:14" x14ac:dyDescent="0.2">
      <c r="A196" s="26"/>
      <c r="B196" s="26"/>
      <c r="C196" s="26"/>
      <c r="D196" s="26"/>
      <c r="E196" s="26"/>
      <c r="F196" s="26"/>
      <c r="G196" s="26"/>
      <c r="H196" s="26"/>
      <c r="I196" s="26"/>
      <c r="J196" s="26"/>
      <c r="K196" s="26"/>
      <c r="L196" s="26"/>
      <c r="M196" s="26"/>
      <c r="N196" s="26"/>
    </row>
    <row r="197" spans="1:14" x14ac:dyDescent="0.2">
      <c r="A197" s="26"/>
      <c r="B197" s="26"/>
      <c r="C197" s="26"/>
      <c r="D197" s="26"/>
      <c r="E197" s="26"/>
      <c r="F197" s="26"/>
      <c r="G197" s="26"/>
      <c r="H197" s="26"/>
      <c r="I197" s="26"/>
      <c r="J197" s="26"/>
      <c r="K197" s="26"/>
      <c r="L197" s="26"/>
      <c r="M197" s="26"/>
      <c r="N197" s="26"/>
    </row>
    <row r="198" spans="1:14" x14ac:dyDescent="0.2">
      <c r="A198" s="26"/>
      <c r="B198" s="26"/>
      <c r="C198" s="26"/>
      <c r="D198" s="26"/>
      <c r="E198" s="26"/>
      <c r="F198" s="26"/>
      <c r="G198" s="26"/>
      <c r="H198" s="26"/>
      <c r="I198" s="26"/>
      <c r="J198" s="26"/>
      <c r="K198" s="26"/>
      <c r="L198" s="26"/>
      <c r="M198" s="26"/>
      <c r="N198" s="26"/>
    </row>
    <row r="199" spans="1:14" x14ac:dyDescent="0.2">
      <c r="A199" s="26"/>
      <c r="B199" s="26"/>
      <c r="C199" s="26"/>
      <c r="D199" s="26"/>
      <c r="E199" s="26"/>
      <c r="F199" s="26"/>
      <c r="G199" s="26"/>
      <c r="H199" s="26"/>
      <c r="I199" s="26"/>
      <c r="J199" s="26"/>
      <c r="K199" s="26"/>
      <c r="L199" s="26"/>
      <c r="M199" s="26"/>
      <c r="N199" s="26"/>
    </row>
  </sheetData>
  <mergeCells count="16">
    <mergeCell ref="A2:F2"/>
    <mergeCell ref="A3:F3"/>
    <mergeCell ref="A4:F4"/>
    <mergeCell ref="A5:F5"/>
    <mergeCell ref="B43:F43"/>
    <mergeCell ref="A8:F8"/>
    <mergeCell ref="B13:F13"/>
    <mergeCell ref="A10:F10"/>
    <mergeCell ref="A12:F12"/>
    <mergeCell ref="A49:F49"/>
    <mergeCell ref="B50:F50"/>
    <mergeCell ref="B34:F34"/>
    <mergeCell ref="A42:F42"/>
    <mergeCell ref="A45:F45"/>
    <mergeCell ref="A47:F47"/>
    <mergeCell ref="A48:F48"/>
  </mergeCells>
  <pageMargins left="0.11811023622047245" right="0.11811023622047245" top="0.15748031496062992" bottom="0.19685039370078741" header="0.31496062992125984" footer="0.31496062992125984"/>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B32" sqref="B32"/>
    </sheetView>
  </sheetViews>
  <sheetFormatPr baseColWidth="10" defaultRowHeight="18" x14ac:dyDescent="0.2"/>
  <cols>
    <col min="1" max="16384" width="10.625" style="19"/>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4"/>
  <sheetViews>
    <sheetView workbookViewId="0"/>
  </sheetViews>
  <sheetFormatPr baseColWidth="10" defaultColWidth="8.75" defaultRowHeight="18" x14ac:dyDescent="0.2"/>
  <cols>
    <col min="2" max="2" width="9.625" customWidth="1"/>
    <col min="3" max="3" width="7.875" customWidth="1"/>
    <col min="5" max="5" width="7.625" customWidth="1"/>
  </cols>
  <sheetData>
    <row r="1" spans="1:5" x14ac:dyDescent="0.2">
      <c r="A1" s="4" t="s">
        <v>71</v>
      </c>
    </row>
    <row r="5" spans="1:5" x14ac:dyDescent="0.2">
      <c r="A5" s="4"/>
    </row>
    <row r="8" spans="1:5" x14ac:dyDescent="0.2">
      <c r="A8" s="1" t="s">
        <v>70</v>
      </c>
      <c r="B8" s="1"/>
    </row>
    <row r="9" spans="1:5" s="11" customFormat="1" ht="56.25" customHeight="1" x14ac:dyDescent="0.2">
      <c r="A9" s="8" t="s">
        <v>6</v>
      </c>
      <c r="B9" s="9" t="s">
        <v>25</v>
      </c>
      <c r="C9" s="10" t="s">
        <v>26</v>
      </c>
      <c r="D9" s="10" t="s">
        <v>27</v>
      </c>
      <c r="E9" s="9" t="s">
        <v>28</v>
      </c>
    </row>
    <row r="10" spans="1:5" x14ac:dyDescent="0.2">
      <c r="A10" s="1">
        <v>1</v>
      </c>
      <c r="B10" s="3">
        <v>26</v>
      </c>
      <c r="C10" s="3">
        <v>5200</v>
      </c>
      <c r="D10" s="3">
        <v>1</v>
      </c>
      <c r="E10" s="3">
        <v>575000</v>
      </c>
    </row>
    <row r="11" spans="1:5" x14ac:dyDescent="0.2">
      <c r="A11" s="1">
        <v>2</v>
      </c>
      <c r="B11" s="3">
        <v>14</v>
      </c>
      <c r="C11" s="3">
        <v>4500</v>
      </c>
      <c r="D11" s="3">
        <v>0</v>
      </c>
      <c r="E11" s="3">
        <v>411000</v>
      </c>
    </row>
    <row r="12" spans="1:5" x14ac:dyDescent="0.2">
      <c r="A12" s="1">
        <v>3</v>
      </c>
      <c r="B12" s="3">
        <v>13</v>
      </c>
      <c r="C12" s="3">
        <v>2400</v>
      </c>
      <c r="D12" s="3">
        <v>0</v>
      </c>
      <c r="E12" s="3">
        <v>323000</v>
      </c>
    </row>
    <row r="13" spans="1:5" x14ac:dyDescent="0.2">
      <c r="A13" s="1">
        <v>4</v>
      </c>
      <c r="B13" s="3">
        <v>1</v>
      </c>
      <c r="C13" s="3">
        <v>2400</v>
      </c>
      <c r="D13" s="3">
        <v>0</v>
      </c>
      <c r="E13" s="3">
        <v>667000</v>
      </c>
    </row>
    <row r="14" spans="1:5" x14ac:dyDescent="0.2">
      <c r="A14" s="1">
        <v>5</v>
      </c>
      <c r="B14" s="3">
        <v>25</v>
      </c>
      <c r="C14" s="3">
        <v>9800</v>
      </c>
      <c r="D14" s="3">
        <v>0</v>
      </c>
      <c r="E14" s="3">
        <v>555000</v>
      </c>
    </row>
    <row r="15" spans="1:5" x14ac:dyDescent="0.2">
      <c r="A15" s="1">
        <v>6</v>
      </c>
      <c r="B15" s="3">
        <v>2</v>
      </c>
      <c r="C15" s="3">
        <v>1800</v>
      </c>
      <c r="D15" s="3">
        <v>0</v>
      </c>
      <c r="E15" s="3">
        <v>539000</v>
      </c>
    </row>
    <row r="16" spans="1:5" x14ac:dyDescent="0.2">
      <c r="A16" s="1">
        <v>7</v>
      </c>
      <c r="B16" s="3">
        <v>18</v>
      </c>
      <c r="C16" s="3">
        <v>5000</v>
      </c>
      <c r="D16" s="3">
        <v>1</v>
      </c>
      <c r="E16" s="3">
        <v>375000</v>
      </c>
    </row>
    <row r="17" spans="1:7" x14ac:dyDescent="0.2">
      <c r="A17" s="1">
        <v>8</v>
      </c>
      <c r="B17" s="3">
        <v>32</v>
      </c>
      <c r="C17" s="3">
        <v>7400</v>
      </c>
      <c r="D17" s="3">
        <v>0</v>
      </c>
      <c r="E17" s="3">
        <v>254000</v>
      </c>
    </row>
    <row r="18" spans="1:7" x14ac:dyDescent="0.2">
      <c r="A18" s="1">
        <v>9</v>
      </c>
      <c r="B18" s="3">
        <v>28</v>
      </c>
      <c r="C18" s="3">
        <v>6700</v>
      </c>
      <c r="D18" s="3">
        <v>0</v>
      </c>
      <c r="E18" s="3">
        <v>279000</v>
      </c>
    </row>
    <row r="19" spans="1:7" x14ac:dyDescent="0.2">
      <c r="A19" s="1">
        <v>10</v>
      </c>
      <c r="B19" s="3">
        <v>26</v>
      </c>
      <c r="C19" s="3">
        <v>4800</v>
      </c>
      <c r="D19" s="3">
        <v>0</v>
      </c>
      <c r="E19" s="3">
        <v>396000</v>
      </c>
    </row>
    <row r="20" spans="1:7" x14ac:dyDescent="0.2">
      <c r="A20" s="1">
        <v>11</v>
      </c>
      <c r="B20" s="3">
        <v>26</v>
      </c>
      <c r="C20" s="3">
        <v>5200</v>
      </c>
      <c r="D20" s="3">
        <v>1</v>
      </c>
      <c r="E20" s="3">
        <v>575000</v>
      </c>
      <c r="G20" t="s">
        <v>24</v>
      </c>
    </row>
    <row r="21" spans="1:7" x14ac:dyDescent="0.2">
      <c r="A21" s="1">
        <v>12</v>
      </c>
      <c r="B21" s="3">
        <v>14</v>
      </c>
      <c r="C21" s="3">
        <v>4500</v>
      </c>
      <c r="D21" s="3">
        <v>0</v>
      </c>
      <c r="E21" s="3">
        <v>411000</v>
      </c>
    </row>
    <row r="22" spans="1:7" x14ac:dyDescent="0.2">
      <c r="A22" s="1">
        <v>13</v>
      </c>
      <c r="B22" s="3">
        <v>13</v>
      </c>
      <c r="C22" s="3">
        <v>2400</v>
      </c>
      <c r="D22" s="3">
        <v>0</v>
      </c>
      <c r="E22" s="3">
        <v>323000</v>
      </c>
    </row>
    <row r="23" spans="1:7" x14ac:dyDescent="0.2">
      <c r="A23" s="1">
        <v>14</v>
      </c>
      <c r="B23" s="3">
        <v>1</v>
      </c>
      <c r="C23" s="3">
        <v>2400</v>
      </c>
      <c r="D23" s="3">
        <v>0</v>
      </c>
      <c r="E23" s="3">
        <v>667000</v>
      </c>
    </row>
    <row r="24" spans="1:7" x14ac:dyDescent="0.2">
      <c r="A24" s="1">
        <v>15</v>
      </c>
      <c r="B24" s="3">
        <v>25</v>
      </c>
      <c r="C24" s="3">
        <v>9800</v>
      </c>
      <c r="D24" s="3">
        <v>0</v>
      </c>
      <c r="E24" s="3">
        <v>555000</v>
      </c>
    </row>
    <row r="25" spans="1:7" x14ac:dyDescent="0.2">
      <c r="A25" s="1">
        <v>16</v>
      </c>
      <c r="B25" s="3">
        <v>2</v>
      </c>
      <c r="C25" s="3">
        <v>1800</v>
      </c>
      <c r="D25" s="3">
        <v>0</v>
      </c>
      <c r="E25" s="3">
        <v>539000</v>
      </c>
    </row>
    <row r="26" spans="1:7" x14ac:dyDescent="0.2">
      <c r="A26" s="1">
        <v>17</v>
      </c>
      <c r="B26" s="3">
        <v>18</v>
      </c>
      <c r="C26" s="3">
        <v>5000</v>
      </c>
      <c r="D26" s="3">
        <v>1</v>
      </c>
      <c r="E26" s="3">
        <v>375000</v>
      </c>
    </row>
    <row r="27" spans="1:7" x14ac:dyDescent="0.2">
      <c r="A27" s="1">
        <v>18</v>
      </c>
      <c r="B27" s="3">
        <v>32</v>
      </c>
      <c r="C27" s="3">
        <v>7400</v>
      </c>
      <c r="D27" s="3">
        <v>0</v>
      </c>
      <c r="E27" s="3">
        <v>254000</v>
      </c>
    </row>
    <row r="28" spans="1:7" x14ac:dyDescent="0.2">
      <c r="A28" s="1">
        <v>19</v>
      </c>
      <c r="B28" s="3">
        <v>28</v>
      </c>
      <c r="C28" s="3">
        <v>6700</v>
      </c>
      <c r="D28" s="3">
        <v>0</v>
      </c>
      <c r="E28" s="3">
        <v>279000</v>
      </c>
    </row>
    <row r="29" spans="1:7" x14ac:dyDescent="0.2">
      <c r="A29" s="1">
        <v>20</v>
      </c>
      <c r="B29" s="3">
        <v>26</v>
      </c>
      <c r="C29" s="3">
        <v>4800</v>
      </c>
      <c r="D29" s="3">
        <v>0</v>
      </c>
      <c r="E29" s="3">
        <v>396000</v>
      </c>
    </row>
    <row r="30" spans="1:7" x14ac:dyDescent="0.2">
      <c r="A30" s="1">
        <v>21</v>
      </c>
      <c r="B30" s="3">
        <v>28</v>
      </c>
      <c r="C30" s="3">
        <v>4900</v>
      </c>
      <c r="D30" s="3">
        <v>0</v>
      </c>
      <c r="E30" s="3">
        <v>336000</v>
      </c>
    </row>
    <row r="31" spans="1:7" x14ac:dyDescent="0.2">
      <c r="A31" s="1">
        <v>22</v>
      </c>
      <c r="B31" s="3">
        <v>37</v>
      </c>
      <c r="C31" s="3">
        <v>18100</v>
      </c>
      <c r="D31" s="3">
        <v>1</v>
      </c>
      <c r="E31" s="3">
        <v>755000</v>
      </c>
    </row>
    <row r="32" spans="1:7" x14ac:dyDescent="0.2">
      <c r="A32" s="1">
        <v>23</v>
      </c>
      <c r="B32" s="3">
        <v>8</v>
      </c>
      <c r="C32" s="3">
        <v>2600</v>
      </c>
      <c r="D32" s="3">
        <v>0</v>
      </c>
      <c r="E32" s="3">
        <v>636000</v>
      </c>
    </row>
    <row r="33" spans="1:5" x14ac:dyDescent="0.2">
      <c r="A33" s="1">
        <v>24</v>
      </c>
      <c r="B33" s="3">
        <v>7</v>
      </c>
      <c r="C33" s="3">
        <v>2500</v>
      </c>
      <c r="D33" s="3">
        <v>0</v>
      </c>
      <c r="E33" s="3">
        <v>465000</v>
      </c>
    </row>
    <row r="34" spans="1:5" x14ac:dyDescent="0.2">
      <c r="A34" s="1">
        <v>25</v>
      </c>
      <c r="B34" s="3">
        <v>22</v>
      </c>
      <c r="C34" s="3">
        <v>7200</v>
      </c>
      <c r="D34" s="3">
        <v>1</v>
      </c>
      <c r="E34" s="3">
        <v>600000</v>
      </c>
    </row>
    <row r="35" spans="1:5" x14ac:dyDescent="0.2">
      <c r="A35" s="1"/>
      <c r="B35" s="3"/>
      <c r="C35" s="3"/>
      <c r="D35" s="3"/>
      <c r="E35" s="3"/>
    </row>
    <row r="36" spans="1:5" x14ac:dyDescent="0.2">
      <c r="A36" s="1"/>
      <c r="B36" s="3"/>
      <c r="C36" s="3"/>
      <c r="D36" s="3"/>
      <c r="E36" s="3"/>
    </row>
    <row r="37" spans="1:5" x14ac:dyDescent="0.2">
      <c r="A37" s="1"/>
      <c r="B37" s="3"/>
      <c r="C37" s="3"/>
      <c r="D37" s="3"/>
      <c r="E37" s="3"/>
    </row>
    <row r="38" spans="1:5" x14ac:dyDescent="0.2">
      <c r="A38" s="1" t="s">
        <v>72</v>
      </c>
      <c r="B38" s="1"/>
    </row>
    <row r="39" spans="1:5" x14ac:dyDescent="0.2">
      <c r="A39" s="1" t="s">
        <v>6</v>
      </c>
      <c r="B39" s="2" t="s">
        <v>29</v>
      </c>
      <c r="C39" s="4" t="s">
        <v>30</v>
      </c>
      <c r="D39" s="4" t="s">
        <v>31</v>
      </c>
      <c r="E39" s="4" t="s">
        <v>32</v>
      </c>
    </row>
    <row r="40" spans="1:5" x14ac:dyDescent="0.2">
      <c r="A40" s="1">
        <v>26</v>
      </c>
      <c r="B40" s="3">
        <v>24</v>
      </c>
      <c r="C40" s="3">
        <v>4800</v>
      </c>
      <c r="D40" s="3">
        <v>0</v>
      </c>
      <c r="E40" s="3">
        <v>491000</v>
      </c>
    </row>
    <row r="41" spans="1:5" x14ac:dyDescent="0.2">
      <c r="A41" s="1">
        <v>27</v>
      </c>
      <c r="B41" s="3">
        <v>34</v>
      </c>
      <c r="C41" s="3">
        <v>13400</v>
      </c>
      <c r="D41" s="3">
        <v>1</v>
      </c>
      <c r="E41" s="3">
        <v>665000</v>
      </c>
    </row>
    <row r="42" spans="1:5" x14ac:dyDescent="0.2">
      <c r="A42" s="1">
        <v>28</v>
      </c>
      <c r="B42" s="3">
        <v>29</v>
      </c>
      <c r="C42" s="3">
        <v>10100</v>
      </c>
      <c r="D42" s="3">
        <v>1</v>
      </c>
      <c r="E42" s="3">
        <v>505000</v>
      </c>
    </row>
    <row r="43" spans="1:5" x14ac:dyDescent="0.2">
      <c r="A43" s="1">
        <v>29</v>
      </c>
      <c r="B43" s="3">
        <v>35</v>
      </c>
      <c r="C43" s="3">
        <v>17200</v>
      </c>
      <c r="D43" s="3">
        <v>1</v>
      </c>
      <c r="E43" s="3">
        <v>1049000</v>
      </c>
    </row>
    <row r="44" spans="1:5" x14ac:dyDescent="0.2">
      <c r="A44" s="1">
        <v>30</v>
      </c>
      <c r="B44" s="3">
        <v>38</v>
      </c>
      <c r="C44" s="3">
        <v>17200</v>
      </c>
      <c r="D44" s="3">
        <v>1</v>
      </c>
      <c r="E44" s="3">
        <v>619000</v>
      </c>
    </row>
    <row r="45" spans="1:5" x14ac:dyDescent="0.2">
      <c r="A45" s="1">
        <v>31</v>
      </c>
      <c r="B45" s="3">
        <v>25</v>
      </c>
      <c r="C45" s="3">
        <v>7600</v>
      </c>
      <c r="D45" s="3">
        <v>0</v>
      </c>
      <c r="E45" s="3">
        <v>447000</v>
      </c>
    </row>
    <row r="46" spans="1:5" x14ac:dyDescent="0.2">
      <c r="A46" s="1">
        <v>32</v>
      </c>
      <c r="B46" s="3">
        <v>33</v>
      </c>
      <c r="C46" s="3">
        <v>8200</v>
      </c>
      <c r="D46" s="3">
        <v>1</v>
      </c>
      <c r="E46" s="3">
        <v>486000</v>
      </c>
    </row>
    <row r="47" spans="1:5" x14ac:dyDescent="0.2">
      <c r="A47" s="1">
        <v>33</v>
      </c>
      <c r="B47" s="3">
        <v>20</v>
      </c>
      <c r="C47" s="3">
        <v>6900</v>
      </c>
      <c r="D47" s="3">
        <v>1</v>
      </c>
      <c r="E47" s="3">
        <v>505000</v>
      </c>
    </row>
    <row r="48" spans="1:5" x14ac:dyDescent="0.2">
      <c r="A48" s="1">
        <v>34</v>
      </c>
      <c r="B48" s="3">
        <v>16</v>
      </c>
      <c r="C48" s="3">
        <v>5800</v>
      </c>
      <c r="D48" s="3">
        <v>1</v>
      </c>
      <c r="E48" s="3">
        <v>639000</v>
      </c>
    </row>
    <row r="49" spans="1:5" x14ac:dyDescent="0.2">
      <c r="A49" s="1">
        <v>35</v>
      </c>
      <c r="B49" s="3">
        <v>27</v>
      </c>
      <c r="C49" s="3">
        <v>6100</v>
      </c>
      <c r="D49" s="3">
        <v>0</v>
      </c>
      <c r="E49" s="3">
        <v>420000</v>
      </c>
    </row>
    <row r="50" spans="1:5" x14ac:dyDescent="0.2">
      <c r="A50" s="1">
        <v>36</v>
      </c>
      <c r="B50" s="3">
        <v>15</v>
      </c>
      <c r="C50" s="3">
        <v>5300</v>
      </c>
      <c r="D50" s="3">
        <v>1</v>
      </c>
      <c r="E50" s="3">
        <v>675000</v>
      </c>
    </row>
    <row r="51" spans="1:5" x14ac:dyDescent="0.2">
      <c r="A51" s="1">
        <v>37</v>
      </c>
      <c r="B51" s="3">
        <v>12</v>
      </c>
      <c r="C51" s="3">
        <v>3000</v>
      </c>
      <c r="D51" s="3">
        <v>0</v>
      </c>
      <c r="E51" s="3">
        <v>332000</v>
      </c>
    </row>
    <row r="52" spans="1:5" x14ac:dyDescent="0.2">
      <c r="A52" s="1">
        <v>38</v>
      </c>
      <c r="B52" s="3">
        <v>33</v>
      </c>
      <c r="C52" s="3">
        <v>6300</v>
      </c>
      <c r="D52" s="3">
        <v>1</v>
      </c>
      <c r="E52" s="3">
        <v>323000</v>
      </c>
    </row>
    <row r="53" spans="1:5" x14ac:dyDescent="0.2">
      <c r="A53" s="1">
        <v>39</v>
      </c>
      <c r="B53" s="3">
        <v>26</v>
      </c>
      <c r="C53" s="3">
        <v>4700</v>
      </c>
      <c r="D53" s="3">
        <v>0</v>
      </c>
      <c r="E53" s="3">
        <v>440000</v>
      </c>
    </row>
    <row r="54" spans="1:5" x14ac:dyDescent="0.2">
      <c r="A54" s="1">
        <v>40</v>
      </c>
      <c r="B54" s="3">
        <v>16</v>
      </c>
      <c r="C54" s="3">
        <v>2900</v>
      </c>
      <c r="D54" s="3">
        <v>0</v>
      </c>
      <c r="E54" s="3">
        <v>321000</v>
      </c>
    </row>
    <row r="55" spans="1:5" x14ac:dyDescent="0.2">
      <c r="A55" s="1">
        <v>41</v>
      </c>
      <c r="B55" s="3">
        <v>31</v>
      </c>
      <c r="C55" s="3">
        <v>10900</v>
      </c>
      <c r="D55" s="3">
        <v>1</v>
      </c>
      <c r="E55" s="3">
        <v>701000</v>
      </c>
    </row>
    <row r="56" spans="1:5" x14ac:dyDescent="0.2">
      <c r="A56" s="1">
        <v>42</v>
      </c>
      <c r="B56" s="3">
        <v>21</v>
      </c>
      <c r="C56" s="3">
        <v>6400</v>
      </c>
      <c r="D56" s="3">
        <v>1</v>
      </c>
      <c r="E56" s="3">
        <v>425000</v>
      </c>
    </row>
    <row r="57" spans="1:5" x14ac:dyDescent="0.2">
      <c r="A57" s="1">
        <v>43</v>
      </c>
      <c r="B57" s="3">
        <v>3</v>
      </c>
      <c r="C57" s="3">
        <v>1200</v>
      </c>
      <c r="D57" s="3">
        <v>0</v>
      </c>
      <c r="E57" s="3">
        <v>493000</v>
      </c>
    </row>
    <row r="58" spans="1:5" x14ac:dyDescent="0.2">
      <c r="A58" s="1">
        <v>44</v>
      </c>
      <c r="B58" s="3">
        <v>5</v>
      </c>
      <c r="C58" s="3">
        <v>1500</v>
      </c>
      <c r="D58" s="3">
        <v>0</v>
      </c>
      <c r="E58" s="3">
        <v>476000</v>
      </c>
    </row>
    <row r="59" spans="1:5" x14ac:dyDescent="0.2">
      <c r="A59" s="1">
        <v>45</v>
      </c>
      <c r="B59" s="3">
        <v>4</v>
      </c>
      <c r="C59" s="3">
        <v>3000</v>
      </c>
      <c r="D59" s="3">
        <v>0</v>
      </c>
      <c r="E59" s="3">
        <v>564000</v>
      </c>
    </row>
    <row r="60" spans="1:5" x14ac:dyDescent="0.2">
      <c r="A60" s="1">
        <v>46</v>
      </c>
      <c r="B60" s="3">
        <v>10</v>
      </c>
      <c r="C60" s="3">
        <v>1400</v>
      </c>
      <c r="D60" s="3">
        <v>0</v>
      </c>
      <c r="E60" s="3">
        <v>539000</v>
      </c>
    </row>
    <row r="61" spans="1:5" x14ac:dyDescent="0.2">
      <c r="A61" s="1">
        <v>47</v>
      </c>
      <c r="B61" s="3">
        <v>13</v>
      </c>
      <c r="C61" s="3">
        <v>1900</v>
      </c>
      <c r="D61" s="3">
        <v>0</v>
      </c>
      <c r="E61" s="3">
        <v>248000</v>
      </c>
    </row>
    <row r="62" spans="1:5" x14ac:dyDescent="0.2">
      <c r="A62" s="1">
        <v>48</v>
      </c>
      <c r="B62" s="3">
        <v>12</v>
      </c>
      <c r="C62" s="3">
        <v>3700</v>
      </c>
      <c r="D62" s="3">
        <v>0</v>
      </c>
      <c r="E62" s="3">
        <v>489000</v>
      </c>
    </row>
    <row r="63" spans="1:5" x14ac:dyDescent="0.2">
      <c r="A63" s="1">
        <v>49</v>
      </c>
      <c r="B63" s="3">
        <v>6</v>
      </c>
      <c r="C63" s="3">
        <v>1200</v>
      </c>
      <c r="D63" s="3">
        <v>0</v>
      </c>
      <c r="E63" s="3">
        <v>495000</v>
      </c>
    </row>
    <row r="64" spans="1:5" x14ac:dyDescent="0.2">
      <c r="A64" s="1">
        <v>50</v>
      </c>
      <c r="B64" s="3">
        <v>31</v>
      </c>
      <c r="C64" s="3">
        <v>13700</v>
      </c>
      <c r="D64" s="3">
        <v>1</v>
      </c>
      <c r="E64" s="3">
        <v>765000</v>
      </c>
    </row>
  </sheetData>
  <sortState xmlns:xlrd2="http://schemas.microsoft.com/office/spreadsheetml/2017/richdata2" ref="B12:E17">
    <sortCondition ref="B1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79"/>
  <sheetViews>
    <sheetView zoomScale="85" zoomScaleNormal="85" zoomScalePageLayoutView="85" workbookViewId="0"/>
  </sheetViews>
  <sheetFormatPr baseColWidth="10" defaultColWidth="8.75" defaultRowHeight="18" x14ac:dyDescent="0.2"/>
  <cols>
    <col min="1" max="1" width="12.625" bestFit="1" customWidth="1"/>
    <col min="2" max="2" width="9.5" customWidth="1"/>
    <col min="3" max="5" width="11.125" customWidth="1"/>
    <col min="6" max="6" width="14.875" customWidth="1"/>
    <col min="7" max="7" width="10.25" customWidth="1"/>
    <col min="8" max="8" width="13.625" customWidth="1"/>
    <col min="9" max="9" width="12" customWidth="1"/>
    <col min="10" max="10" width="8.875" bestFit="1" customWidth="1"/>
    <col min="11" max="11" width="9.875" bestFit="1" customWidth="1"/>
  </cols>
  <sheetData>
    <row r="1" spans="1:9" x14ac:dyDescent="0.2">
      <c r="A1" s="4"/>
    </row>
    <row r="2" spans="1:9" x14ac:dyDescent="0.2">
      <c r="A2" s="4"/>
    </row>
    <row r="4" spans="1:9" x14ac:dyDescent="0.2">
      <c r="A4" s="4" t="s">
        <v>33</v>
      </c>
    </row>
    <row r="5" spans="1:9" x14ac:dyDescent="0.2">
      <c r="A5" s="4"/>
    </row>
    <row r="6" spans="1:9" x14ac:dyDescent="0.2">
      <c r="A6" s="4" t="s">
        <v>34</v>
      </c>
    </row>
    <row r="7" spans="1:9" x14ac:dyDescent="0.2">
      <c r="A7" s="4"/>
    </row>
    <row r="8" spans="1:9" x14ac:dyDescent="0.2">
      <c r="A8" s="4" t="s">
        <v>0</v>
      </c>
      <c r="B8" s="4" t="s">
        <v>1</v>
      </c>
      <c r="C8" s="4" t="s">
        <v>2</v>
      </c>
      <c r="D8" s="4" t="s">
        <v>13</v>
      </c>
    </row>
    <row r="9" spans="1:9" x14ac:dyDescent="0.2">
      <c r="A9" s="13">
        <v>0</v>
      </c>
      <c r="B9" s="14">
        <v>0</v>
      </c>
      <c r="C9" s="14">
        <v>0</v>
      </c>
      <c r="D9" s="7">
        <v>0</v>
      </c>
    </row>
    <row r="11" spans="1:9" x14ac:dyDescent="0.2">
      <c r="A11" s="1"/>
    </row>
    <row r="12" spans="1:9" s="32" customFormat="1" ht="37.5" customHeight="1" x14ac:dyDescent="0.2">
      <c r="A12" s="22" t="s">
        <v>6</v>
      </c>
      <c r="B12" s="10" t="s">
        <v>75</v>
      </c>
      <c r="C12" s="23" t="s">
        <v>29</v>
      </c>
      <c r="D12" s="23" t="s">
        <v>30</v>
      </c>
      <c r="E12" s="23" t="s">
        <v>31</v>
      </c>
      <c r="F12" s="22" t="s">
        <v>44</v>
      </c>
      <c r="G12" s="23" t="s">
        <v>32</v>
      </c>
      <c r="H12" s="22" t="s">
        <v>3</v>
      </c>
      <c r="I12" s="23" t="s">
        <v>5</v>
      </c>
    </row>
    <row r="13" spans="1:9" ht="20.25" customHeight="1" x14ac:dyDescent="0.2">
      <c r="A13">
        <v>1</v>
      </c>
      <c r="B13" s="32">
        <v>1</v>
      </c>
      <c r="C13" s="3">
        <f>'Valeur maison - Données'!B10</f>
        <v>26</v>
      </c>
      <c r="D13" s="3">
        <f>'Valeur maison - Données'!C10</f>
        <v>5200</v>
      </c>
      <c r="E13" s="3">
        <f>'Valeur maison - Données'!D10</f>
        <v>1</v>
      </c>
      <c r="F13">
        <f t="shared" ref="F13:F37" si="0">SUMPRODUCT($A$9:$D$9,B13:E13)</f>
        <v>0</v>
      </c>
      <c r="G13" s="3">
        <f>'Valeur maison - Données'!E10</f>
        <v>575000</v>
      </c>
      <c r="H13">
        <f t="shared" ref="H13:H37" si="1">G13-F13</f>
        <v>575000</v>
      </c>
      <c r="I13">
        <f t="shared" ref="I13:I37" si="2">H13^2</f>
        <v>330625000000</v>
      </c>
    </row>
    <row r="14" spans="1:9" ht="20.25" customHeight="1" x14ac:dyDescent="0.2">
      <c r="A14">
        <v>2</v>
      </c>
      <c r="B14" s="32">
        <v>1</v>
      </c>
      <c r="C14" s="3">
        <f>'Valeur maison - Données'!B11</f>
        <v>14</v>
      </c>
      <c r="D14" s="3">
        <f>'Valeur maison - Données'!C11</f>
        <v>4500</v>
      </c>
      <c r="E14" s="3">
        <f>'Valeur maison - Données'!D11</f>
        <v>0</v>
      </c>
      <c r="F14">
        <f t="shared" si="0"/>
        <v>0</v>
      </c>
      <c r="G14" s="3">
        <f>'Valeur maison - Données'!E11</f>
        <v>411000</v>
      </c>
      <c r="H14">
        <f t="shared" si="1"/>
        <v>411000</v>
      </c>
      <c r="I14">
        <f t="shared" si="2"/>
        <v>168921000000</v>
      </c>
    </row>
    <row r="15" spans="1:9" ht="20.25" customHeight="1" x14ac:dyDescent="0.2">
      <c r="A15">
        <v>3</v>
      </c>
      <c r="B15" s="32">
        <v>1</v>
      </c>
      <c r="C15" s="3">
        <f>'Valeur maison - Données'!B12</f>
        <v>13</v>
      </c>
      <c r="D15" s="3">
        <f>'Valeur maison - Données'!C12</f>
        <v>2400</v>
      </c>
      <c r="E15" s="3">
        <f>'Valeur maison - Données'!D12</f>
        <v>0</v>
      </c>
      <c r="F15">
        <f t="shared" si="0"/>
        <v>0</v>
      </c>
      <c r="G15" s="3">
        <f>'Valeur maison - Données'!E12</f>
        <v>323000</v>
      </c>
      <c r="H15">
        <f t="shared" si="1"/>
        <v>323000</v>
      </c>
      <c r="I15">
        <f t="shared" si="2"/>
        <v>104329000000</v>
      </c>
    </row>
    <row r="16" spans="1:9" ht="20.25" customHeight="1" x14ac:dyDescent="0.2">
      <c r="A16">
        <v>4</v>
      </c>
      <c r="B16" s="32">
        <v>1</v>
      </c>
      <c r="C16" s="3">
        <f>'Valeur maison - Données'!B13</f>
        <v>1</v>
      </c>
      <c r="D16" s="3">
        <f>'Valeur maison - Données'!C13</f>
        <v>2400</v>
      </c>
      <c r="E16" s="3">
        <f>'Valeur maison - Données'!D13</f>
        <v>0</v>
      </c>
      <c r="F16">
        <f t="shared" si="0"/>
        <v>0</v>
      </c>
      <c r="G16" s="3">
        <f>'Valeur maison - Données'!E13</f>
        <v>667000</v>
      </c>
      <c r="H16">
        <f t="shared" si="1"/>
        <v>667000</v>
      </c>
      <c r="I16">
        <f t="shared" si="2"/>
        <v>444889000000</v>
      </c>
    </row>
    <row r="17" spans="1:9" ht="20.25" customHeight="1" x14ac:dyDescent="0.2">
      <c r="A17">
        <v>5</v>
      </c>
      <c r="B17" s="32">
        <v>1</v>
      </c>
      <c r="C17" s="3">
        <f>'Valeur maison - Données'!B14</f>
        <v>25</v>
      </c>
      <c r="D17" s="3">
        <f>'Valeur maison - Données'!C14</f>
        <v>9800</v>
      </c>
      <c r="E17" s="3">
        <f>'Valeur maison - Données'!D14</f>
        <v>0</v>
      </c>
      <c r="F17">
        <f t="shared" si="0"/>
        <v>0</v>
      </c>
      <c r="G17" s="3">
        <f>'Valeur maison - Données'!E14</f>
        <v>555000</v>
      </c>
      <c r="H17">
        <f t="shared" si="1"/>
        <v>555000</v>
      </c>
      <c r="I17">
        <f t="shared" si="2"/>
        <v>308025000000</v>
      </c>
    </row>
    <row r="18" spans="1:9" ht="20.25" customHeight="1" x14ac:dyDescent="0.2">
      <c r="A18">
        <v>6</v>
      </c>
      <c r="B18" s="32">
        <v>1</v>
      </c>
      <c r="C18" s="3">
        <f>'Valeur maison - Données'!B15</f>
        <v>2</v>
      </c>
      <c r="D18" s="3">
        <f>'Valeur maison - Données'!C15</f>
        <v>1800</v>
      </c>
      <c r="E18" s="3">
        <f>'Valeur maison - Données'!D15</f>
        <v>0</v>
      </c>
      <c r="F18">
        <f t="shared" si="0"/>
        <v>0</v>
      </c>
      <c r="G18" s="3">
        <f>'Valeur maison - Données'!E15</f>
        <v>539000</v>
      </c>
      <c r="H18">
        <f t="shared" si="1"/>
        <v>539000</v>
      </c>
      <c r="I18">
        <f t="shared" si="2"/>
        <v>290521000000</v>
      </c>
    </row>
    <row r="19" spans="1:9" ht="20.25" customHeight="1" x14ac:dyDescent="0.2">
      <c r="A19">
        <v>7</v>
      </c>
      <c r="B19" s="32">
        <v>1</v>
      </c>
      <c r="C19" s="3">
        <f>'Valeur maison - Données'!B16</f>
        <v>18</v>
      </c>
      <c r="D19" s="3">
        <f>'Valeur maison - Données'!C16</f>
        <v>5000</v>
      </c>
      <c r="E19" s="3">
        <f>'Valeur maison - Données'!D16</f>
        <v>1</v>
      </c>
      <c r="F19">
        <f t="shared" si="0"/>
        <v>0</v>
      </c>
      <c r="G19" s="3">
        <f>'Valeur maison - Données'!E16</f>
        <v>375000</v>
      </c>
      <c r="H19">
        <f t="shared" si="1"/>
        <v>375000</v>
      </c>
      <c r="I19">
        <f t="shared" si="2"/>
        <v>140625000000</v>
      </c>
    </row>
    <row r="20" spans="1:9" ht="20.25" customHeight="1" x14ac:dyDescent="0.2">
      <c r="A20">
        <v>8</v>
      </c>
      <c r="B20" s="32">
        <v>1</v>
      </c>
      <c r="C20" s="3">
        <f>'Valeur maison - Données'!B17</f>
        <v>32</v>
      </c>
      <c r="D20" s="3">
        <f>'Valeur maison - Données'!C17</f>
        <v>7400</v>
      </c>
      <c r="E20" s="3">
        <f>'Valeur maison - Données'!D17</f>
        <v>0</v>
      </c>
      <c r="F20">
        <f t="shared" si="0"/>
        <v>0</v>
      </c>
      <c r="G20" s="3">
        <f>'Valeur maison - Données'!E17</f>
        <v>254000</v>
      </c>
      <c r="H20">
        <f t="shared" si="1"/>
        <v>254000</v>
      </c>
      <c r="I20">
        <f t="shared" si="2"/>
        <v>64516000000</v>
      </c>
    </row>
    <row r="21" spans="1:9" ht="20.25" customHeight="1" x14ac:dyDescent="0.2">
      <c r="A21">
        <v>9</v>
      </c>
      <c r="B21" s="32">
        <v>1</v>
      </c>
      <c r="C21" s="3">
        <f>'Valeur maison - Données'!B18</f>
        <v>28</v>
      </c>
      <c r="D21" s="3">
        <f>'Valeur maison - Données'!C18</f>
        <v>6700</v>
      </c>
      <c r="E21" s="3">
        <f>'Valeur maison - Données'!D18</f>
        <v>0</v>
      </c>
      <c r="F21">
        <f t="shared" si="0"/>
        <v>0</v>
      </c>
      <c r="G21" s="3">
        <f>'Valeur maison - Données'!E18</f>
        <v>279000</v>
      </c>
      <c r="H21">
        <f t="shared" si="1"/>
        <v>279000</v>
      </c>
      <c r="I21">
        <f t="shared" si="2"/>
        <v>77841000000</v>
      </c>
    </row>
    <row r="22" spans="1:9" ht="20.25" customHeight="1" x14ac:dyDescent="0.2">
      <c r="A22">
        <v>10</v>
      </c>
      <c r="B22" s="32">
        <v>1</v>
      </c>
      <c r="C22" s="3">
        <f>'Valeur maison - Données'!B19</f>
        <v>26</v>
      </c>
      <c r="D22" s="3">
        <f>'Valeur maison - Données'!C19</f>
        <v>4800</v>
      </c>
      <c r="E22" s="3">
        <f>'Valeur maison - Données'!D19</f>
        <v>0</v>
      </c>
      <c r="F22">
        <f t="shared" si="0"/>
        <v>0</v>
      </c>
      <c r="G22" s="3">
        <f>'Valeur maison - Données'!E19</f>
        <v>396000</v>
      </c>
      <c r="H22">
        <f t="shared" si="1"/>
        <v>396000</v>
      </c>
      <c r="I22">
        <f t="shared" si="2"/>
        <v>156816000000</v>
      </c>
    </row>
    <row r="23" spans="1:9" ht="20.25" customHeight="1" x14ac:dyDescent="0.2">
      <c r="A23">
        <v>11</v>
      </c>
      <c r="B23" s="32">
        <v>1</v>
      </c>
      <c r="C23" s="3">
        <f>'Valeur maison - Données'!B20</f>
        <v>26</v>
      </c>
      <c r="D23" s="3">
        <f>'Valeur maison - Données'!C20</f>
        <v>5200</v>
      </c>
      <c r="E23" s="3">
        <f>'Valeur maison - Données'!D20</f>
        <v>1</v>
      </c>
      <c r="F23">
        <f t="shared" si="0"/>
        <v>0</v>
      </c>
      <c r="G23" s="3">
        <f>'Valeur maison - Données'!E20</f>
        <v>575000</v>
      </c>
      <c r="H23">
        <f t="shared" si="1"/>
        <v>575000</v>
      </c>
      <c r="I23">
        <f t="shared" si="2"/>
        <v>330625000000</v>
      </c>
    </row>
    <row r="24" spans="1:9" ht="20.25" customHeight="1" x14ac:dyDescent="0.2">
      <c r="A24">
        <v>12</v>
      </c>
      <c r="B24" s="32">
        <v>1</v>
      </c>
      <c r="C24" s="3">
        <f>'Valeur maison - Données'!B21</f>
        <v>14</v>
      </c>
      <c r="D24" s="3">
        <f>'Valeur maison - Données'!C21</f>
        <v>4500</v>
      </c>
      <c r="E24" s="3">
        <f>'Valeur maison - Données'!D21</f>
        <v>0</v>
      </c>
      <c r="F24">
        <f t="shared" si="0"/>
        <v>0</v>
      </c>
      <c r="G24" s="3">
        <f>'Valeur maison - Données'!E21</f>
        <v>411000</v>
      </c>
      <c r="H24">
        <f t="shared" si="1"/>
        <v>411000</v>
      </c>
      <c r="I24">
        <f t="shared" si="2"/>
        <v>168921000000</v>
      </c>
    </row>
    <row r="25" spans="1:9" ht="20.25" customHeight="1" x14ac:dyDescent="0.2">
      <c r="A25">
        <v>13</v>
      </c>
      <c r="B25" s="32">
        <v>1</v>
      </c>
      <c r="C25" s="3">
        <f>'Valeur maison - Données'!B22</f>
        <v>13</v>
      </c>
      <c r="D25" s="3">
        <f>'Valeur maison - Données'!C22</f>
        <v>2400</v>
      </c>
      <c r="E25" s="3">
        <f>'Valeur maison - Données'!D22</f>
        <v>0</v>
      </c>
      <c r="F25">
        <f t="shared" si="0"/>
        <v>0</v>
      </c>
      <c r="G25" s="3">
        <f>'Valeur maison - Données'!E22</f>
        <v>323000</v>
      </c>
      <c r="H25">
        <f t="shared" si="1"/>
        <v>323000</v>
      </c>
      <c r="I25">
        <f t="shared" si="2"/>
        <v>104329000000</v>
      </c>
    </row>
    <row r="26" spans="1:9" ht="20.25" customHeight="1" x14ac:dyDescent="0.2">
      <c r="A26">
        <v>14</v>
      </c>
      <c r="B26" s="32">
        <v>1</v>
      </c>
      <c r="C26" s="3">
        <f>'Valeur maison - Données'!B23</f>
        <v>1</v>
      </c>
      <c r="D26" s="3">
        <f>'Valeur maison - Données'!C23</f>
        <v>2400</v>
      </c>
      <c r="E26" s="3">
        <f>'Valeur maison - Données'!D23</f>
        <v>0</v>
      </c>
      <c r="F26">
        <f t="shared" si="0"/>
        <v>0</v>
      </c>
      <c r="G26" s="3">
        <f>'Valeur maison - Données'!E23</f>
        <v>667000</v>
      </c>
      <c r="H26">
        <f t="shared" si="1"/>
        <v>667000</v>
      </c>
      <c r="I26">
        <f t="shared" si="2"/>
        <v>444889000000</v>
      </c>
    </row>
    <row r="27" spans="1:9" ht="20.25" customHeight="1" x14ac:dyDescent="0.2">
      <c r="A27">
        <v>15</v>
      </c>
      <c r="B27" s="32">
        <v>1</v>
      </c>
      <c r="C27" s="3">
        <f>'Valeur maison - Données'!B24</f>
        <v>25</v>
      </c>
      <c r="D27" s="3">
        <f>'Valeur maison - Données'!C24</f>
        <v>9800</v>
      </c>
      <c r="E27" s="3">
        <f>'Valeur maison - Données'!D24</f>
        <v>0</v>
      </c>
      <c r="F27">
        <f t="shared" si="0"/>
        <v>0</v>
      </c>
      <c r="G27" s="3">
        <f>'Valeur maison - Données'!E24</f>
        <v>555000</v>
      </c>
      <c r="H27">
        <f t="shared" si="1"/>
        <v>555000</v>
      </c>
      <c r="I27">
        <f t="shared" si="2"/>
        <v>308025000000</v>
      </c>
    </row>
    <row r="28" spans="1:9" ht="20.25" customHeight="1" x14ac:dyDescent="0.2">
      <c r="A28">
        <v>16</v>
      </c>
      <c r="B28" s="32">
        <v>1</v>
      </c>
      <c r="C28" s="3">
        <f>'Valeur maison - Données'!B25</f>
        <v>2</v>
      </c>
      <c r="D28" s="3">
        <f>'Valeur maison - Données'!C25</f>
        <v>1800</v>
      </c>
      <c r="E28" s="3">
        <f>'Valeur maison - Données'!D25</f>
        <v>0</v>
      </c>
      <c r="F28">
        <f t="shared" si="0"/>
        <v>0</v>
      </c>
      <c r="G28" s="3">
        <f>'Valeur maison - Données'!E25</f>
        <v>539000</v>
      </c>
      <c r="H28">
        <f t="shared" si="1"/>
        <v>539000</v>
      </c>
      <c r="I28">
        <f t="shared" si="2"/>
        <v>290521000000</v>
      </c>
    </row>
    <row r="29" spans="1:9" ht="20.25" customHeight="1" x14ac:dyDescent="0.2">
      <c r="A29">
        <v>17</v>
      </c>
      <c r="B29" s="32">
        <v>1</v>
      </c>
      <c r="C29" s="3">
        <f>'Valeur maison - Données'!B26</f>
        <v>18</v>
      </c>
      <c r="D29" s="3">
        <f>'Valeur maison - Données'!C26</f>
        <v>5000</v>
      </c>
      <c r="E29" s="3">
        <f>'Valeur maison - Données'!D26</f>
        <v>1</v>
      </c>
      <c r="F29">
        <f t="shared" si="0"/>
        <v>0</v>
      </c>
      <c r="G29" s="3">
        <f>'Valeur maison - Données'!E26</f>
        <v>375000</v>
      </c>
      <c r="H29">
        <f t="shared" si="1"/>
        <v>375000</v>
      </c>
      <c r="I29">
        <f t="shared" si="2"/>
        <v>140625000000</v>
      </c>
    </row>
    <row r="30" spans="1:9" ht="20.25" customHeight="1" x14ac:dyDescent="0.2">
      <c r="A30">
        <v>18</v>
      </c>
      <c r="B30" s="32">
        <v>1</v>
      </c>
      <c r="C30" s="3">
        <f>'Valeur maison - Données'!B27</f>
        <v>32</v>
      </c>
      <c r="D30" s="3">
        <f>'Valeur maison - Données'!C27</f>
        <v>7400</v>
      </c>
      <c r="E30" s="3">
        <f>'Valeur maison - Données'!D27</f>
        <v>0</v>
      </c>
      <c r="F30">
        <f t="shared" si="0"/>
        <v>0</v>
      </c>
      <c r="G30" s="3">
        <f>'Valeur maison - Données'!E27</f>
        <v>254000</v>
      </c>
      <c r="H30">
        <f t="shared" si="1"/>
        <v>254000</v>
      </c>
      <c r="I30">
        <f t="shared" si="2"/>
        <v>64516000000</v>
      </c>
    </row>
    <row r="31" spans="1:9" ht="20.25" customHeight="1" x14ac:dyDescent="0.2">
      <c r="A31">
        <v>19</v>
      </c>
      <c r="B31" s="32">
        <v>1</v>
      </c>
      <c r="C31" s="3">
        <f>'Valeur maison - Données'!B28</f>
        <v>28</v>
      </c>
      <c r="D31" s="3">
        <f>'Valeur maison - Données'!C28</f>
        <v>6700</v>
      </c>
      <c r="E31" s="3">
        <f>'Valeur maison - Données'!D28</f>
        <v>0</v>
      </c>
      <c r="F31">
        <f t="shared" si="0"/>
        <v>0</v>
      </c>
      <c r="G31" s="3">
        <f>'Valeur maison - Données'!E28</f>
        <v>279000</v>
      </c>
      <c r="H31">
        <f t="shared" si="1"/>
        <v>279000</v>
      </c>
      <c r="I31">
        <f t="shared" si="2"/>
        <v>77841000000</v>
      </c>
    </row>
    <row r="32" spans="1:9" ht="20.25" customHeight="1" x14ac:dyDescent="0.2">
      <c r="A32">
        <v>20</v>
      </c>
      <c r="B32" s="32">
        <v>1</v>
      </c>
      <c r="C32" s="3">
        <f>'Valeur maison - Données'!B29</f>
        <v>26</v>
      </c>
      <c r="D32" s="3">
        <f>'Valeur maison - Données'!C29</f>
        <v>4800</v>
      </c>
      <c r="E32" s="3">
        <f>'Valeur maison - Données'!D29</f>
        <v>0</v>
      </c>
      <c r="F32">
        <f t="shared" si="0"/>
        <v>0</v>
      </c>
      <c r="G32" s="3">
        <f>'Valeur maison - Données'!E29</f>
        <v>396000</v>
      </c>
      <c r="H32">
        <f t="shared" si="1"/>
        <v>396000</v>
      </c>
      <c r="I32">
        <f t="shared" si="2"/>
        <v>156816000000</v>
      </c>
    </row>
    <row r="33" spans="1:13" ht="20.25" customHeight="1" x14ac:dyDescent="0.2">
      <c r="A33">
        <v>21</v>
      </c>
      <c r="B33" s="32">
        <v>1</v>
      </c>
      <c r="C33" s="3">
        <f>'Valeur maison - Données'!B30</f>
        <v>28</v>
      </c>
      <c r="D33" s="3">
        <f>'Valeur maison - Données'!C30</f>
        <v>4900</v>
      </c>
      <c r="E33" s="3">
        <f>'Valeur maison - Données'!D30</f>
        <v>0</v>
      </c>
      <c r="F33">
        <f t="shared" si="0"/>
        <v>0</v>
      </c>
      <c r="G33" s="3">
        <f>'Valeur maison - Données'!E30</f>
        <v>336000</v>
      </c>
      <c r="H33">
        <f t="shared" si="1"/>
        <v>336000</v>
      </c>
      <c r="I33">
        <f t="shared" si="2"/>
        <v>112896000000</v>
      </c>
    </row>
    <row r="34" spans="1:13" ht="20.25" customHeight="1" x14ac:dyDescent="0.2">
      <c r="A34">
        <v>22</v>
      </c>
      <c r="B34" s="32">
        <v>1</v>
      </c>
      <c r="C34" s="3">
        <f>'Valeur maison - Données'!B31</f>
        <v>37</v>
      </c>
      <c r="D34" s="3">
        <f>'Valeur maison - Données'!C31</f>
        <v>18100</v>
      </c>
      <c r="E34" s="3">
        <f>'Valeur maison - Données'!D31</f>
        <v>1</v>
      </c>
      <c r="F34">
        <f t="shared" si="0"/>
        <v>0</v>
      </c>
      <c r="G34" s="3">
        <f>'Valeur maison - Données'!E31</f>
        <v>755000</v>
      </c>
      <c r="H34">
        <f t="shared" si="1"/>
        <v>755000</v>
      </c>
      <c r="I34">
        <f t="shared" si="2"/>
        <v>570025000000</v>
      </c>
    </row>
    <row r="35" spans="1:13" s="11" customFormat="1" ht="20.25" customHeight="1" x14ac:dyDescent="0.2">
      <c r="A35">
        <v>23</v>
      </c>
      <c r="B35" s="32">
        <v>1</v>
      </c>
      <c r="C35" s="3">
        <f>'Valeur maison - Données'!B32</f>
        <v>8</v>
      </c>
      <c r="D35" s="3">
        <f>'Valeur maison - Données'!C32</f>
        <v>2600</v>
      </c>
      <c r="E35" s="3">
        <f>'Valeur maison - Données'!D32</f>
        <v>0</v>
      </c>
      <c r="F35">
        <f t="shared" si="0"/>
        <v>0</v>
      </c>
      <c r="G35" s="3">
        <f>'Valeur maison - Données'!E32</f>
        <v>636000</v>
      </c>
      <c r="H35">
        <f t="shared" si="1"/>
        <v>636000</v>
      </c>
      <c r="I35">
        <f t="shared" si="2"/>
        <v>404496000000</v>
      </c>
      <c r="J35"/>
      <c r="K35"/>
      <c r="L35"/>
      <c r="M35"/>
    </row>
    <row r="36" spans="1:13" ht="20.25" customHeight="1" x14ac:dyDescent="0.2">
      <c r="A36">
        <v>24</v>
      </c>
      <c r="B36" s="32">
        <v>1</v>
      </c>
      <c r="C36" s="3">
        <f>'Valeur maison - Données'!B33</f>
        <v>7</v>
      </c>
      <c r="D36" s="3">
        <f>'Valeur maison - Données'!C33</f>
        <v>2500</v>
      </c>
      <c r="E36" s="3">
        <f>'Valeur maison - Données'!D33</f>
        <v>0</v>
      </c>
      <c r="F36">
        <f t="shared" si="0"/>
        <v>0</v>
      </c>
      <c r="G36" s="3">
        <f>'Valeur maison - Données'!E33</f>
        <v>465000</v>
      </c>
      <c r="H36">
        <f t="shared" si="1"/>
        <v>465000</v>
      </c>
      <c r="I36">
        <f t="shared" si="2"/>
        <v>216225000000</v>
      </c>
    </row>
    <row r="37" spans="1:13" ht="20.25" customHeight="1" x14ac:dyDescent="0.2">
      <c r="A37">
        <v>25</v>
      </c>
      <c r="B37" s="32">
        <v>1</v>
      </c>
      <c r="C37" s="3">
        <f>'Valeur maison - Données'!B34</f>
        <v>22</v>
      </c>
      <c r="D37" s="3">
        <f>'Valeur maison - Données'!C34</f>
        <v>7200</v>
      </c>
      <c r="E37" s="3">
        <f>'Valeur maison - Données'!D34</f>
        <v>1</v>
      </c>
      <c r="F37">
        <f t="shared" si="0"/>
        <v>0</v>
      </c>
      <c r="G37" s="3">
        <f>'Valeur maison - Données'!E34</f>
        <v>600000</v>
      </c>
      <c r="H37">
        <f t="shared" si="1"/>
        <v>600000</v>
      </c>
      <c r="I37">
        <f t="shared" si="2"/>
        <v>360000000000</v>
      </c>
    </row>
    <row r="38" spans="1:13" x14ac:dyDescent="0.2">
      <c r="B38" s="32"/>
    </row>
    <row r="39" spans="1:13" x14ac:dyDescent="0.2">
      <c r="A39" s="4" t="s">
        <v>4</v>
      </c>
    </row>
    <row r="40" spans="1:13" x14ac:dyDescent="0.2">
      <c r="A40" s="6">
        <f>AVERAGE(I13:I37)</f>
        <v>233514320000</v>
      </c>
    </row>
    <row r="43" spans="1:13" x14ac:dyDescent="0.2">
      <c r="A43" s="4" t="s">
        <v>7</v>
      </c>
    </row>
    <row r="44" spans="1:13" x14ac:dyDescent="0.2">
      <c r="A44" s="4" t="s">
        <v>8</v>
      </c>
    </row>
    <row r="45" spans="1:13" x14ac:dyDescent="0.2">
      <c r="A45" s="4" t="s">
        <v>9</v>
      </c>
      <c r="B45" s="4" t="s">
        <v>11</v>
      </c>
    </row>
    <row r="46" spans="1:13" x14ac:dyDescent="0.2">
      <c r="A46" s="18">
        <f>AVERAGE(H13:H37)</f>
        <v>461600</v>
      </c>
      <c r="B46" s="18">
        <f>STDEV(H13:H37)</f>
        <v>145915.7862147433</v>
      </c>
      <c r="C46" s="4" t="s">
        <v>10</v>
      </c>
    </row>
    <row r="49" spans="1:14" x14ac:dyDescent="0.2">
      <c r="A49" s="4" t="s">
        <v>14</v>
      </c>
      <c r="H49" s="48" t="s">
        <v>39</v>
      </c>
      <c r="I49" s="49"/>
    </row>
    <row r="50" spans="1:14" ht="57" x14ac:dyDescent="0.2">
      <c r="A50" s="8" t="s">
        <v>6</v>
      </c>
      <c r="B50" s="10" t="s">
        <v>75</v>
      </c>
      <c r="C50" s="9" t="s">
        <v>29</v>
      </c>
      <c r="D50" s="9" t="s">
        <v>30</v>
      </c>
      <c r="E50" s="9" t="s">
        <v>31</v>
      </c>
      <c r="F50" s="9" t="s">
        <v>65</v>
      </c>
      <c r="G50" s="9" t="s">
        <v>74</v>
      </c>
      <c r="H50" s="10" t="s">
        <v>35</v>
      </c>
      <c r="I50" s="10" t="s">
        <v>36</v>
      </c>
      <c r="J50" s="10" t="s">
        <v>37</v>
      </c>
      <c r="K50" s="10" t="s">
        <v>38</v>
      </c>
      <c r="L50" s="11"/>
      <c r="M50" s="11"/>
      <c r="N50" s="11"/>
    </row>
    <row r="51" spans="1:14" x14ac:dyDescent="0.2">
      <c r="A51" s="1">
        <v>26</v>
      </c>
      <c r="B51" s="31">
        <v>1</v>
      </c>
      <c r="C51" s="3">
        <f>'Valeur maison - Données'!B40</f>
        <v>24</v>
      </c>
      <c r="D51" s="3">
        <f>'Valeur maison - Données'!C40</f>
        <v>4800</v>
      </c>
      <c r="E51" s="3">
        <f>'Valeur maison - Données'!D40</f>
        <v>0</v>
      </c>
      <c r="F51" s="15">
        <f t="shared" ref="F51:F75" si="3">SUMPRODUCT(B51:E51,$A$9:$D$9)+$A$46</f>
        <v>461600</v>
      </c>
      <c r="G51" s="15">
        <f>$B$46</f>
        <v>145915.7862147433</v>
      </c>
      <c r="H51" s="15">
        <f>NORMINV(0.1,F51,G51)</f>
        <v>274601.3957388245</v>
      </c>
      <c r="I51" s="15">
        <f>NORMINV(0.9,F51,G51)</f>
        <v>648598.6042611755</v>
      </c>
      <c r="J51" s="3">
        <f>'Valeur maison - Données'!E40</f>
        <v>491000</v>
      </c>
      <c r="K51">
        <f t="shared" ref="K51:K75" si="4">IF(J51&gt;=H51,IF(J51&lt;=I51,1,0),0)</f>
        <v>1</v>
      </c>
    </row>
    <row r="52" spans="1:14" x14ac:dyDescent="0.2">
      <c r="A52" s="1">
        <v>27</v>
      </c>
      <c r="B52" s="31">
        <v>1</v>
      </c>
      <c r="C52" s="3">
        <f>'Valeur maison - Données'!B41</f>
        <v>34</v>
      </c>
      <c r="D52" s="3">
        <f>'Valeur maison - Données'!C41</f>
        <v>13400</v>
      </c>
      <c r="E52" s="3">
        <f>'Valeur maison - Données'!D41</f>
        <v>1</v>
      </c>
      <c r="F52" s="15">
        <f t="shared" si="3"/>
        <v>461600</v>
      </c>
      <c r="G52" s="15">
        <f t="shared" ref="G52:G75" si="5">$B$46</f>
        <v>145915.7862147433</v>
      </c>
      <c r="H52" s="15">
        <f t="shared" ref="H52:H75" si="6">NORMINV(0.1,F52,G52)</f>
        <v>274601.3957388245</v>
      </c>
      <c r="I52" s="15">
        <f t="shared" ref="I52:I75" si="7">NORMINV(0.9,F52,G52)</f>
        <v>648598.6042611755</v>
      </c>
      <c r="J52" s="3">
        <f>'Valeur maison - Données'!E41</f>
        <v>665000</v>
      </c>
      <c r="K52">
        <f t="shared" si="4"/>
        <v>0</v>
      </c>
    </row>
    <row r="53" spans="1:14" x14ac:dyDescent="0.2">
      <c r="A53" s="1">
        <v>28</v>
      </c>
      <c r="B53" s="31">
        <v>1</v>
      </c>
      <c r="C53" s="3">
        <f>'Valeur maison - Données'!B42</f>
        <v>29</v>
      </c>
      <c r="D53" s="3">
        <f>'Valeur maison - Données'!C42</f>
        <v>10100</v>
      </c>
      <c r="E53" s="3">
        <f>'Valeur maison - Données'!D42</f>
        <v>1</v>
      </c>
      <c r="F53" s="15">
        <f t="shared" si="3"/>
        <v>461600</v>
      </c>
      <c r="G53" s="15">
        <f t="shared" si="5"/>
        <v>145915.7862147433</v>
      </c>
      <c r="H53" s="15">
        <f t="shared" si="6"/>
        <v>274601.3957388245</v>
      </c>
      <c r="I53" s="15">
        <f t="shared" si="7"/>
        <v>648598.6042611755</v>
      </c>
      <c r="J53" s="3">
        <f>'Valeur maison - Données'!E42</f>
        <v>505000</v>
      </c>
      <c r="K53">
        <f t="shared" si="4"/>
        <v>1</v>
      </c>
    </row>
    <row r="54" spans="1:14" x14ac:dyDescent="0.2">
      <c r="A54" s="1">
        <v>29</v>
      </c>
      <c r="B54" s="31">
        <v>1</v>
      </c>
      <c r="C54" s="3">
        <f>'Valeur maison - Données'!B43</f>
        <v>35</v>
      </c>
      <c r="D54" s="3">
        <f>'Valeur maison - Données'!C43</f>
        <v>17200</v>
      </c>
      <c r="E54" s="3">
        <f>'Valeur maison - Données'!D43</f>
        <v>1</v>
      </c>
      <c r="F54" s="15">
        <f t="shared" si="3"/>
        <v>461600</v>
      </c>
      <c r="G54" s="15">
        <f t="shared" si="5"/>
        <v>145915.7862147433</v>
      </c>
      <c r="H54" s="15">
        <f t="shared" si="6"/>
        <v>274601.3957388245</v>
      </c>
      <c r="I54" s="15">
        <f t="shared" si="7"/>
        <v>648598.6042611755</v>
      </c>
      <c r="J54" s="3">
        <f>'Valeur maison - Données'!E43</f>
        <v>1049000</v>
      </c>
      <c r="K54">
        <f t="shared" si="4"/>
        <v>0</v>
      </c>
      <c r="M54" s="4"/>
    </row>
    <row r="55" spans="1:14" x14ac:dyDescent="0.2">
      <c r="A55" s="1">
        <v>30</v>
      </c>
      <c r="B55" s="31">
        <v>1</v>
      </c>
      <c r="C55" s="3">
        <f>'Valeur maison - Données'!B44</f>
        <v>38</v>
      </c>
      <c r="D55" s="3">
        <f>'Valeur maison - Données'!C44</f>
        <v>17200</v>
      </c>
      <c r="E55" s="3">
        <f>'Valeur maison - Données'!D44</f>
        <v>1</v>
      </c>
      <c r="F55" s="15">
        <f t="shared" si="3"/>
        <v>461600</v>
      </c>
      <c r="G55" s="15">
        <f t="shared" si="5"/>
        <v>145915.7862147433</v>
      </c>
      <c r="H55" s="15">
        <f t="shared" si="6"/>
        <v>274601.3957388245</v>
      </c>
      <c r="I55" s="15">
        <f t="shared" si="7"/>
        <v>648598.6042611755</v>
      </c>
      <c r="J55" s="3">
        <f>'Valeur maison - Données'!E44</f>
        <v>619000</v>
      </c>
      <c r="K55">
        <f t="shared" si="4"/>
        <v>1</v>
      </c>
      <c r="M55" s="4"/>
    </row>
    <row r="56" spans="1:14" x14ac:dyDescent="0.2">
      <c r="A56" s="1">
        <v>31</v>
      </c>
      <c r="B56" s="31">
        <v>1</v>
      </c>
      <c r="C56" s="3">
        <f>'Valeur maison - Données'!B45</f>
        <v>25</v>
      </c>
      <c r="D56" s="3">
        <f>'Valeur maison - Données'!C45</f>
        <v>7600</v>
      </c>
      <c r="E56" s="3">
        <f>'Valeur maison - Données'!D45</f>
        <v>0</v>
      </c>
      <c r="F56" s="15">
        <f t="shared" si="3"/>
        <v>461600</v>
      </c>
      <c r="G56" s="15">
        <f t="shared" si="5"/>
        <v>145915.7862147433</v>
      </c>
      <c r="H56" s="15">
        <f t="shared" si="6"/>
        <v>274601.3957388245</v>
      </c>
      <c r="I56" s="15">
        <f t="shared" si="7"/>
        <v>648598.6042611755</v>
      </c>
      <c r="J56" s="3">
        <f>'Valeur maison - Données'!E45</f>
        <v>447000</v>
      </c>
      <c r="K56">
        <f t="shared" si="4"/>
        <v>1</v>
      </c>
      <c r="L56" s="4"/>
    </row>
    <row r="57" spans="1:14" x14ac:dyDescent="0.2">
      <c r="A57" s="1">
        <v>32</v>
      </c>
      <c r="B57" s="31">
        <v>1</v>
      </c>
      <c r="C57" s="3">
        <f>'Valeur maison - Données'!B46</f>
        <v>33</v>
      </c>
      <c r="D57" s="3">
        <f>'Valeur maison - Données'!C46</f>
        <v>8200</v>
      </c>
      <c r="E57" s="3">
        <f>'Valeur maison - Données'!D46</f>
        <v>1</v>
      </c>
      <c r="F57" s="15">
        <f t="shared" si="3"/>
        <v>461600</v>
      </c>
      <c r="G57" s="15">
        <f t="shared" si="5"/>
        <v>145915.7862147433</v>
      </c>
      <c r="H57" s="15">
        <f t="shared" si="6"/>
        <v>274601.3957388245</v>
      </c>
      <c r="I57" s="15">
        <f t="shared" si="7"/>
        <v>648598.6042611755</v>
      </c>
      <c r="J57" s="3">
        <f>'Valeur maison - Données'!E46</f>
        <v>486000</v>
      </c>
      <c r="K57">
        <f t="shared" si="4"/>
        <v>1</v>
      </c>
    </row>
    <row r="58" spans="1:14" x14ac:dyDescent="0.2">
      <c r="A58" s="1">
        <v>33</v>
      </c>
      <c r="B58" s="31">
        <v>1</v>
      </c>
      <c r="C58" s="3">
        <f>'Valeur maison - Données'!B47</f>
        <v>20</v>
      </c>
      <c r="D58" s="3">
        <f>'Valeur maison - Données'!C47</f>
        <v>6900</v>
      </c>
      <c r="E58" s="3">
        <f>'Valeur maison - Données'!D47</f>
        <v>1</v>
      </c>
      <c r="F58" s="15">
        <f t="shared" si="3"/>
        <v>461600</v>
      </c>
      <c r="G58" s="15">
        <f t="shared" si="5"/>
        <v>145915.7862147433</v>
      </c>
      <c r="H58" s="15">
        <f t="shared" si="6"/>
        <v>274601.3957388245</v>
      </c>
      <c r="I58" s="15">
        <f t="shared" si="7"/>
        <v>648598.6042611755</v>
      </c>
      <c r="J58" s="3">
        <f>'Valeur maison - Données'!E47</f>
        <v>505000</v>
      </c>
      <c r="K58">
        <f t="shared" si="4"/>
        <v>1</v>
      </c>
    </row>
    <row r="59" spans="1:14" x14ac:dyDescent="0.2">
      <c r="A59" s="1">
        <v>34</v>
      </c>
      <c r="B59" s="31">
        <v>1</v>
      </c>
      <c r="C59" s="3">
        <f>'Valeur maison - Données'!B48</f>
        <v>16</v>
      </c>
      <c r="D59" s="3">
        <f>'Valeur maison - Données'!C48</f>
        <v>5800</v>
      </c>
      <c r="E59" s="3">
        <f>'Valeur maison - Données'!D48</f>
        <v>1</v>
      </c>
      <c r="F59" s="15">
        <f t="shared" si="3"/>
        <v>461600</v>
      </c>
      <c r="G59" s="15">
        <f t="shared" si="5"/>
        <v>145915.7862147433</v>
      </c>
      <c r="H59" s="15">
        <f t="shared" si="6"/>
        <v>274601.3957388245</v>
      </c>
      <c r="I59" s="15">
        <f t="shared" si="7"/>
        <v>648598.6042611755</v>
      </c>
      <c r="J59" s="3">
        <f>'Valeur maison - Données'!E48</f>
        <v>639000</v>
      </c>
      <c r="K59">
        <f t="shared" si="4"/>
        <v>1</v>
      </c>
    </row>
    <row r="60" spans="1:14" x14ac:dyDescent="0.2">
      <c r="A60" s="1">
        <v>35</v>
      </c>
      <c r="B60" s="31">
        <v>1</v>
      </c>
      <c r="C60" s="3">
        <f>'Valeur maison - Données'!B49</f>
        <v>27</v>
      </c>
      <c r="D60" s="3">
        <f>'Valeur maison - Données'!C49</f>
        <v>6100</v>
      </c>
      <c r="E60" s="3">
        <f>'Valeur maison - Données'!D49</f>
        <v>0</v>
      </c>
      <c r="F60" s="15">
        <f t="shared" si="3"/>
        <v>461600</v>
      </c>
      <c r="G60" s="15">
        <f t="shared" si="5"/>
        <v>145915.7862147433</v>
      </c>
      <c r="H60" s="15">
        <f t="shared" si="6"/>
        <v>274601.3957388245</v>
      </c>
      <c r="I60" s="15">
        <f t="shared" si="7"/>
        <v>648598.6042611755</v>
      </c>
      <c r="J60" s="3">
        <f>'Valeur maison - Données'!E49</f>
        <v>420000</v>
      </c>
      <c r="K60">
        <f t="shared" si="4"/>
        <v>1</v>
      </c>
    </row>
    <row r="61" spans="1:14" x14ac:dyDescent="0.2">
      <c r="A61" s="1">
        <v>36</v>
      </c>
      <c r="B61" s="31">
        <v>1</v>
      </c>
      <c r="C61" s="3">
        <f>'Valeur maison - Données'!B50</f>
        <v>15</v>
      </c>
      <c r="D61" s="3">
        <f>'Valeur maison - Données'!C50</f>
        <v>5300</v>
      </c>
      <c r="E61" s="3">
        <f>'Valeur maison - Données'!D50</f>
        <v>1</v>
      </c>
      <c r="F61" s="15">
        <f t="shared" si="3"/>
        <v>461600</v>
      </c>
      <c r="G61" s="15">
        <f t="shared" si="5"/>
        <v>145915.7862147433</v>
      </c>
      <c r="H61" s="15">
        <f t="shared" si="6"/>
        <v>274601.3957388245</v>
      </c>
      <c r="I61" s="15">
        <f t="shared" si="7"/>
        <v>648598.6042611755</v>
      </c>
      <c r="J61" s="3">
        <f>'Valeur maison - Données'!E50</f>
        <v>675000</v>
      </c>
      <c r="K61">
        <f t="shared" si="4"/>
        <v>0</v>
      </c>
    </row>
    <row r="62" spans="1:14" x14ac:dyDescent="0.2">
      <c r="A62" s="1">
        <v>37</v>
      </c>
      <c r="B62" s="31">
        <v>1</v>
      </c>
      <c r="C62" s="3">
        <f>'Valeur maison - Données'!B51</f>
        <v>12</v>
      </c>
      <c r="D62" s="3">
        <f>'Valeur maison - Données'!C51</f>
        <v>3000</v>
      </c>
      <c r="E62" s="3">
        <f>'Valeur maison - Données'!D51</f>
        <v>0</v>
      </c>
      <c r="F62" s="15">
        <f t="shared" si="3"/>
        <v>461600</v>
      </c>
      <c r="G62" s="15">
        <f t="shared" si="5"/>
        <v>145915.7862147433</v>
      </c>
      <c r="H62" s="15">
        <f t="shared" si="6"/>
        <v>274601.3957388245</v>
      </c>
      <c r="I62" s="15">
        <f t="shared" si="7"/>
        <v>648598.6042611755</v>
      </c>
      <c r="J62" s="3">
        <f>'Valeur maison - Données'!E51</f>
        <v>332000</v>
      </c>
      <c r="K62">
        <f t="shared" si="4"/>
        <v>1</v>
      </c>
    </row>
    <row r="63" spans="1:14" x14ac:dyDescent="0.2">
      <c r="A63" s="1">
        <v>38</v>
      </c>
      <c r="B63" s="31">
        <v>1</v>
      </c>
      <c r="C63" s="3">
        <f>'Valeur maison - Données'!B52</f>
        <v>33</v>
      </c>
      <c r="D63" s="3">
        <f>'Valeur maison - Données'!C52</f>
        <v>6300</v>
      </c>
      <c r="E63" s="3">
        <f>'Valeur maison - Données'!D52</f>
        <v>1</v>
      </c>
      <c r="F63" s="15">
        <f t="shared" si="3"/>
        <v>461600</v>
      </c>
      <c r="G63" s="15">
        <f t="shared" si="5"/>
        <v>145915.7862147433</v>
      </c>
      <c r="H63" s="15">
        <f t="shared" si="6"/>
        <v>274601.3957388245</v>
      </c>
      <c r="I63" s="15">
        <f t="shared" si="7"/>
        <v>648598.6042611755</v>
      </c>
      <c r="J63" s="3">
        <f>'Valeur maison - Données'!E52</f>
        <v>323000</v>
      </c>
      <c r="K63">
        <f t="shared" si="4"/>
        <v>1</v>
      </c>
    </row>
    <row r="64" spans="1:14" x14ac:dyDescent="0.2">
      <c r="A64" s="1">
        <v>39</v>
      </c>
      <c r="B64" s="31">
        <v>1</v>
      </c>
      <c r="C64" s="3">
        <f>'Valeur maison - Données'!B53</f>
        <v>26</v>
      </c>
      <c r="D64" s="3">
        <f>'Valeur maison - Données'!C53</f>
        <v>4700</v>
      </c>
      <c r="E64" s="3">
        <f>'Valeur maison - Données'!D53</f>
        <v>0</v>
      </c>
      <c r="F64" s="15">
        <f t="shared" si="3"/>
        <v>461600</v>
      </c>
      <c r="G64" s="15">
        <f t="shared" si="5"/>
        <v>145915.7862147433</v>
      </c>
      <c r="H64" s="15">
        <f t="shared" si="6"/>
        <v>274601.3957388245</v>
      </c>
      <c r="I64" s="15">
        <f t="shared" si="7"/>
        <v>648598.6042611755</v>
      </c>
      <c r="J64" s="3">
        <f>'Valeur maison - Données'!E53</f>
        <v>440000</v>
      </c>
      <c r="K64">
        <f t="shared" si="4"/>
        <v>1</v>
      </c>
    </row>
    <row r="65" spans="1:11" x14ac:dyDescent="0.2">
      <c r="A65" s="1">
        <v>40</v>
      </c>
      <c r="B65" s="31">
        <v>1</v>
      </c>
      <c r="C65" s="3">
        <f>'Valeur maison - Données'!B54</f>
        <v>16</v>
      </c>
      <c r="D65" s="3">
        <f>'Valeur maison - Données'!C54</f>
        <v>2900</v>
      </c>
      <c r="E65" s="3">
        <f>'Valeur maison - Données'!D54</f>
        <v>0</v>
      </c>
      <c r="F65" s="15">
        <f t="shared" si="3"/>
        <v>461600</v>
      </c>
      <c r="G65" s="15">
        <f t="shared" si="5"/>
        <v>145915.7862147433</v>
      </c>
      <c r="H65" s="15">
        <f t="shared" si="6"/>
        <v>274601.3957388245</v>
      </c>
      <c r="I65" s="15">
        <f t="shared" si="7"/>
        <v>648598.6042611755</v>
      </c>
      <c r="J65" s="3">
        <f>'Valeur maison - Données'!E54</f>
        <v>321000</v>
      </c>
      <c r="K65">
        <f t="shared" si="4"/>
        <v>1</v>
      </c>
    </row>
    <row r="66" spans="1:11" x14ac:dyDescent="0.2">
      <c r="A66" s="1">
        <v>41</v>
      </c>
      <c r="B66" s="31">
        <v>1</v>
      </c>
      <c r="C66" s="3">
        <f>'Valeur maison - Données'!B55</f>
        <v>31</v>
      </c>
      <c r="D66" s="3">
        <f>'Valeur maison - Données'!C55</f>
        <v>10900</v>
      </c>
      <c r="E66" s="3">
        <f>'Valeur maison - Données'!D55</f>
        <v>1</v>
      </c>
      <c r="F66" s="15">
        <f t="shared" si="3"/>
        <v>461600</v>
      </c>
      <c r="G66" s="15">
        <f t="shared" si="5"/>
        <v>145915.7862147433</v>
      </c>
      <c r="H66" s="15">
        <f t="shared" si="6"/>
        <v>274601.3957388245</v>
      </c>
      <c r="I66" s="15">
        <f t="shared" si="7"/>
        <v>648598.6042611755</v>
      </c>
      <c r="J66" s="3">
        <f>'Valeur maison - Données'!E55</f>
        <v>701000</v>
      </c>
      <c r="K66">
        <f t="shared" si="4"/>
        <v>0</v>
      </c>
    </row>
    <row r="67" spans="1:11" x14ac:dyDescent="0.2">
      <c r="A67" s="1">
        <v>42</v>
      </c>
      <c r="B67" s="31">
        <v>1</v>
      </c>
      <c r="C67" s="3">
        <f>'Valeur maison - Données'!B56</f>
        <v>21</v>
      </c>
      <c r="D67" s="3">
        <f>'Valeur maison - Données'!C56</f>
        <v>6400</v>
      </c>
      <c r="E67" s="3">
        <f>'Valeur maison - Données'!D56</f>
        <v>1</v>
      </c>
      <c r="F67" s="15">
        <f t="shared" si="3"/>
        <v>461600</v>
      </c>
      <c r="G67" s="15">
        <f t="shared" si="5"/>
        <v>145915.7862147433</v>
      </c>
      <c r="H67" s="15">
        <f t="shared" si="6"/>
        <v>274601.3957388245</v>
      </c>
      <c r="I67" s="15">
        <f t="shared" si="7"/>
        <v>648598.6042611755</v>
      </c>
      <c r="J67" s="3">
        <f>'Valeur maison - Données'!E56</f>
        <v>425000</v>
      </c>
      <c r="K67">
        <f t="shared" si="4"/>
        <v>1</v>
      </c>
    </row>
    <row r="68" spans="1:11" x14ac:dyDescent="0.2">
      <c r="A68" s="1">
        <v>43</v>
      </c>
      <c r="B68" s="31">
        <v>1</v>
      </c>
      <c r="C68" s="3">
        <f>'Valeur maison - Données'!B57</f>
        <v>3</v>
      </c>
      <c r="D68" s="3">
        <f>'Valeur maison - Données'!C57</f>
        <v>1200</v>
      </c>
      <c r="E68" s="3">
        <f>'Valeur maison - Données'!D57</f>
        <v>0</v>
      </c>
      <c r="F68" s="15">
        <f t="shared" si="3"/>
        <v>461600</v>
      </c>
      <c r="G68" s="15">
        <f t="shared" si="5"/>
        <v>145915.7862147433</v>
      </c>
      <c r="H68" s="15">
        <f t="shared" si="6"/>
        <v>274601.3957388245</v>
      </c>
      <c r="I68" s="15">
        <f t="shared" si="7"/>
        <v>648598.6042611755</v>
      </c>
      <c r="J68" s="3">
        <f>'Valeur maison - Données'!E57</f>
        <v>493000</v>
      </c>
      <c r="K68">
        <f t="shared" si="4"/>
        <v>1</v>
      </c>
    </row>
    <row r="69" spans="1:11" x14ac:dyDescent="0.2">
      <c r="A69" s="1">
        <v>44</v>
      </c>
      <c r="B69" s="31">
        <v>1</v>
      </c>
      <c r="C69" s="3">
        <f>'Valeur maison - Données'!B58</f>
        <v>5</v>
      </c>
      <c r="D69" s="3">
        <f>'Valeur maison - Données'!C58</f>
        <v>1500</v>
      </c>
      <c r="E69" s="3">
        <f>'Valeur maison - Données'!D58</f>
        <v>0</v>
      </c>
      <c r="F69" s="15">
        <f t="shared" si="3"/>
        <v>461600</v>
      </c>
      <c r="G69" s="15">
        <f t="shared" si="5"/>
        <v>145915.7862147433</v>
      </c>
      <c r="H69" s="15">
        <f t="shared" si="6"/>
        <v>274601.3957388245</v>
      </c>
      <c r="I69" s="15">
        <f t="shared" si="7"/>
        <v>648598.6042611755</v>
      </c>
      <c r="J69" s="3">
        <f>'Valeur maison - Données'!E58</f>
        <v>476000</v>
      </c>
      <c r="K69">
        <f t="shared" si="4"/>
        <v>1</v>
      </c>
    </row>
    <row r="70" spans="1:11" x14ac:dyDescent="0.2">
      <c r="A70" s="1">
        <v>45</v>
      </c>
      <c r="B70" s="31">
        <v>1</v>
      </c>
      <c r="C70" s="3">
        <f>'Valeur maison - Données'!B59</f>
        <v>4</v>
      </c>
      <c r="D70" s="3">
        <f>'Valeur maison - Données'!C59</f>
        <v>3000</v>
      </c>
      <c r="E70" s="3">
        <f>'Valeur maison - Données'!D59</f>
        <v>0</v>
      </c>
      <c r="F70" s="15">
        <f t="shared" si="3"/>
        <v>461600</v>
      </c>
      <c r="G70" s="15">
        <f t="shared" si="5"/>
        <v>145915.7862147433</v>
      </c>
      <c r="H70" s="15">
        <f t="shared" si="6"/>
        <v>274601.3957388245</v>
      </c>
      <c r="I70" s="15">
        <f t="shared" si="7"/>
        <v>648598.6042611755</v>
      </c>
      <c r="J70" s="3">
        <f>'Valeur maison - Données'!E59</f>
        <v>564000</v>
      </c>
      <c r="K70">
        <f t="shared" si="4"/>
        <v>1</v>
      </c>
    </row>
    <row r="71" spans="1:11" x14ac:dyDescent="0.2">
      <c r="A71" s="1">
        <v>46</v>
      </c>
      <c r="B71" s="31">
        <v>1</v>
      </c>
      <c r="C71" s="3">
        <f>'Valeur maison - Données'!B60</f>
        <v>10</v>
      </c>
      <c r="D71" s="3">
        <f>'Valeur maison - Données'!C60</f>
        <v>1400</v>
      </c>
      <c r="E71" s="3">
        <f>'Valeur maison - Données'!D60</f>
        <v>0</v>
      </c>
      <c r="F71" s="15">
        <f t="shared" si="3"/>
        <v>461600</v>
      </c>
      <c r="G71" s="15">
        <f t="shared" si="5"/>
        <v>145915.7862147433</v>
      </c>
      <c r="H71" s="15">
        <f t="shared" si="6"/>
        <v>274601.3957388245</v>
      </c>
      <c r="I71" s="15">
        <f t="shared" si="7"/>
        <v>648598.6042611755</v>
      </c>
      <c r="J71" s="3">
        <f>'Valeur maison - Données'!E60</f>
        <v>539000</v>
      </c>
      <c r="K71">
        <f t="shared" si="4"/>
        <v>1</v>
      </c>
    </row>
    <row r="72" spans="1:11" x14ac:dyDescent="0.2">
      <c r="A72" s="1">
        <v>47</v>
      </c>
      <c r="B72" s="31">
        <v>1</v>
      </c>
      <c r="C72" s="3">
        <f>'Valeur maison - Données'!B61</f>
        <v>13</v>
      </c>
      <c r="D72" s="3">
        <f>'Valeur maison - Données'!C61</f>
        <v>1900</v>
      </c>
      <c r="E72" s="3">
        <f>'Valeur maison - Données'!D61</f>
        <v>0</v>
      </c>
      <c r="F72" s="15">
        <f t="shared" si="3"/>
        <v>461600</v>
      </c>
      <c r="G72" s="15">
        <f t="shared" si="5"/>
        <v>145915.7862147433</v>
      </c>
      <c r="H72" s="15">
        <f t="shared" si="6"/>
        <v>274601.3957388245</v>
      </c>
      <c r="I72" s="15">
        <f t="shared" si="7"/>
        <v>648598.6042611755</v>
      </c>
      <c r="J72" s="3">
        <f>'Valeur maison - Données'!E61</f>
        <v>248000</v>
      </c>
      <c r="K72">
        <f t="shared" si="4"/>
        <v>0</v>
      </c>
    </row>
    <row r="73" spans="1:11" x14ac:dyDescent="0.2">
      <c r="A73" s="1">
        <v>48</v>
      </c>
      <c r="B73" s="31">
        <v>1</v>
      </c>
      <c r="C73" s="3">
        <f>'Valeur maison - Données'!B62</f>
        <v>12</v>
      </c>
      <c r="D73" s="3">
        <f>'Valeur maison - Données'!C62</f>
        <v>3700</v>
      </c>
      <c r="E73" s="3">
        <f>'Valeur maison - Données'!D62</f>
        <v>0</v>
      </c>
      <c r="F73" s="15">
        <f t="shared" si="3"/>
        <v>461600</v>
      </c>
      <c r="G73" s="15">
        <f t="shared" si="5"/>
        <v>145915.7862147433</v>
      </c>
      <c r="H73" s="15">
        <f t="shared" si="6"/>
        <v>274601.3957388245</v>
      </c>
      <c r="I73" s="15">
        <f t="shared" si="7"/>
        <v>648598.6042611755</v>
      </c>
      <c r="J73" s="3">
        <f>'Valeur maison - Données'!E62</f>
        <v>489000</v>
      </c>
      <c r="K73">
        <f t="shared" si="4"/>
        <v>1</v>
      </c>
    </row>
    <row r="74" spans="1:11" x14ac:dyDescent="0.2">
      <c r="A74" s="1">
        <v>49</v>
      </c>
      <c r="B74" s="31">
        <v>1</v>
      </c>
      <c r="C74" s="3">
        <f>'Valeur maison - Données'!B63</f>
        <v>6</v>
      </c>
      <c r="D74" s="3">
        <f>'Valeur maison - Données'!C63</f>
        <v>1200</v>
      </c>
      <c r="E74" s="3">
        <f>'Valeur maison - Données'!D63</f>
        <v>0</v>
      </c>
      <c r="F74" s="15">
        <f t="shared" si="3"/>
        <v>461600</v>
      </c>
      <c r="G74" s="15">
        <f t="shared" si="5"/>
        <v>145915.7862147433</v>
      </c>
      <c r="H74" s="15">
        <f t="shared" si="6"/>
        <v>274601.3957388245</v>
      </c>
      <c r="I74" s="15">
        <f t="shared" si="7"/>
        <v>648598.6042611755</v>
      </c>
      <c r="J74" s="3">
        <f>'Valeur maison - Données'!E63</f>
        <v>495000</v>
      </c>
      <c r="K74">
        <f t="shared" si="4"/>
        <v>1</v>
      </c>
    </row>
    <row r="75" spans="1:11" x14ac:dyDescent="0.2">
      <c r="A75" s="1">
        <v>50</v>
      </c>
      <c r="B75" s="31">
        <v>1</v>
      </c>
      <c r="C75" s="3">
        <f>'Valeur maison - Données'!B64</f>
        <v>31</v>
      </c>
      <c r="D75" s="3">
        <f>'Valeur maison - Données'!C64</f>
        <v>13700</v>
      </c>
      <c r="E75" s="3">
        <f>'Valeur maison - Données'!D64</f>
        <v>1</v>
      </c>
      <c r="F75" s="15">
        <f t="shared" si="3"/>
        <v>461600</v>
      </c>
      <c r="G75" s="15">
        <f t="shared" si="5"/>
        <v>145915.7862147433</v>
      </c>
      <c r="H75" s="15">
        <f t="shared" si="6"/>
        <v>274601.3957388245</v>
      </c>
      <c r="I75" s="15">
        <f t="shared" si="7"/>
        <v>648598.6042611755</v>
      </c>
      <c r="J75" s="3">
        <f>'Valeur maison - Données'!E64</f>
        <v>765000</v>
      </c>
      <c r="K75">
        <f t="shared" si="4"/>
        <v>0</v>
      </c>
    </row>
    <row r="76" spans="1:11" x14ac:dyDescent="0.2">
      <c r="G76" s="15"/>
      <c r="J76" s="4" t="s">
        <v>40</v>
      </c>
      <c r="K76" s="20">
        <f>AVERAGE(K51:K75)</f>
        <v>0.76</v>
      </c>
    </row>
    <row r="77" spans="1:11" x14ac:dyDescent="0.2">
      <c r="G77" s="15"/>
      <c r="J77" s="4" t="s">
        <v>73</v>
      </c>
      <c r="K77" s="21">
        <f>2*_xlfn.NORM.DIST(-ABS(K76-0.8)/SQRT(0.8*0.2/COUNT(K51:K75)),0,1,TRUE)</f>
        <v>0.61707507745197332</v>
      </c>
    </row>
    <row r="78" spans="1:11" x14ac:dyDescent="0.2">
      <c r="A78" s="4" t="s">
        <v>76</v>
      </c>
      <c r="G78" s="15"/>
      <c r="H78" s="4"/>
    </row>
    <row r="79" spans="1:11" x14ac:dyDescent="0.2">
      <c r="A79" s="4"/>
    </row>
  </sheetData>
  <mergeCells count="1">
    <mergeCell ref="H49:I49"/>
  </mergeCells>
  <pageMargins left="0.7" right="0.7" top="0.75" bottom="0.75" header="0.3" footer="0.3"/>
  <pageSetup paperSize="119" scale="47"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79"/>
  <sheetViews>
    <sheetView zoomScale="85" zoomScaleNormal="85" zoomScalePageLayoutView="85" workbookViewId="0"/>
  </sheetViews>
  <sheetFormatPr baseColWidth="10" defaultColWidth="8.75" defaultRowHeight="18" x14ac:dyDescent="0.2"/>
  <cols>
    <col min="1" max="1" width="12.625" bestFit="1" customWidth="1"/>
    <col min="2" max="2" width="9.5" customWidth="1"/>
    <col min="3" max="11" width="11.125" customWidth="1"/>
    <col min="12" max="12" width="14.875" customWidth="1"/>
    <col min="13" max="13" width="10.25" customWidth="1"/>
    <col min="14" max="14" width="13.625" customWidth="1"/>
    <col min="15" max="15" width="12" customWidth="1"/>
    <col min="16" max="16" width="8.875" bestFit="1" customWidth="1"/>
    <col min="17" max="17" width="9.875" customWidth="1"/>
    <col min="18" max="18" width="12.5" bestFit="1" customWidth="1"/>
  </cols>
  <sheetData>
    <row r="1" spans="1:15" x14ac:dyDescent="0.2">
      <c r="A1" s="4"/>
    </row>
    <row r="2" spans="1:15" x14ac:dyDescent="0.2">
      <c r="A2" s="4"/>
    </row>
    <row r="4" spans="1:15" x14ac:dyDescent="0.2">
      <c r="A4" s="34" t="s">
        <v>104</v>
      </c>
    </row>
    <row r="5" spans="1:15" x14ac:dyDescent="0.2">
      <c r="A5" s="4"/>
    </row>
    <row r="6" spans="1:15" x14ac:dyDescent="0.2">
      <c r="A6" s="34" t="s">
        <v>103</v>
      </c>
    </row>
    <row r="7" spans="1:15" x14ac:dyDescent="0.2">
      <c r="A7" s="4"/>
    </row>
    <row r="8" spans="1:15" x14ac:dyDescent="0.2">
      <c r="A8" s="4" t="s">
        <v>0</v>
      </c>
      <c r="B8" s="4" t="s">
        <v>1</v>
      </c>
      <c r="C8" s="4" t="s">
        <v>2</v>
      </c>
      <c r="D8" s="4" t="s">
        <v>13</v>
      </c>
      <c r="E8" s="34" t="s">
        <v>101</v>
      </c>
      <c r="F8" s="34" t="s">
        <v>102</v>
      </c>
    </row>
    <row r="9" spans="1:15" x14ac:dyDescent="0.2">
      <c r="A9" s="13">
        <v>521982.835845922</v>
      </c>
      <c r="B9" s="14">
        <v>-17098.367933385442</v>
      </c>
      <c r="C9" s="14">
        <v>43.797905820125443</v>
      </c>
      <c r="D9" s="7">
        <v>53625.098647350474</v>
      </c>
      <c r="E9" s="7">
        <v>20844.328338131363</v>
      </c>
      <c r="F9" s="7">
        <v>-2.86362893723047</v>
      </c>
    </row>
    <row r="11" spans="1:15" x14ac:dyDescent="0.2">
      <c r="A11" s="1"/>
      <c r="F11" t="s">
        <v>0</v>
      </c>
      <c r="G11" t="s">
        <v>1</v>
      </c>
      <c r="H11" t="s">
        <v>2</v>
      </c>
      <c r="I11" t="s">
        <v>13</v>
      </c>
      <c r="J11" t="s">
        <v>101</v>
      </c>
      <c r="K11" t="s">
        <v>102</v>
      </c>
    </row>
    <row r="12" spans="1:15" s="12" customFormat="1" ht="37.5" customHeight="1" x14ac:dyDescent="0.2">
      <c r="A12" s="22" t="s">
        <v>6</v>
      </c>
      <c r="B12" s="10" t="s">
        <v>75</v>
      </c>
      <c r="C12" s="23" t="s">
        <v>29</v>
      </c>
      <c r="D12" s="23" t="s">
        <v>30</v>
      </c>
      <c r="E12" s="23" t="s">
        <v>31</v>
      </c>
      <c r="F12" s="23" t="s">
        <v>97</v>
      </c>
      <c r="G12" s="23" t="s">
        <v>98</v>
      </c>
      <c r="H12" s="23" t="s">
        <v>99</v>
      </c>
      <c r="I12" s="23" t="s">
        <v>96</v>
      </c>
      <c r="J12" s="23" t="s">
        <v>105</v>
      </c>
      <c r="K12" s="23" t="s">
        <v>106</v>
      </c>
      <c r="L12" s="33" t="s">
        <v>100</v>
      </c>
      <c r="M12" s="23" t="s">
        <v>32</v>
      </c>
      <c r="N12" s="22" t="s">
        <v>3</v>
      </c>
      <c r="O12" s="23" t="s">
        <v>5</v>
      </c>
    </row>
    <row r="13" spans="1:15" ht="20.25" customHeight="1" x14ac:dyDescent="0.2">
      <c r="A13">
        <v>1</v>
      </c>
      <c r="B13" s="25">
        <v>1</v>
      </c>
      <c r="C13" s="3">
        <f>'Valeur maison - Données'!B10</f>
        <v>26</v>
      </c>
      <c r="D13" s="3">
        <f>'Valeur maison - Données'!C10</f>
        <v>5200</v>
      </c>
      <c r="E13" s="3">
        <f>'Valeur maison - Données'!D10</f>
        <v>1</v>
      </c>
      <c r="F13" s="3">
        <f>IF(E13=0,1,0)</f>
        <v>0</v>
      </c>
      <c r="G13" s="3">
        <f>C13*F13</f>
        <v>0</v>
      </c>
      <c r="H13" s="3">
        <f>D13*F13</f>
        <v>0</v>
      </c>
      <c r="I13" s="3">
        <f>IF(E13=1,1,0)</f>
        <v>1</v>
      </c>
      <c r="J13" s="3">
        <f>C13*I13</f>
        <v>26</v>
      </c>
      <c r="K13" s="3">
        <f>D13*I13</f>
        <v>5200</v>
      </c>
      <c r="L13">
        <f>SUMPRODUCT($A$9:$F$9,F13:K13)</f>
        <v>580686.76496516739</v>
      </c>
      <c r="M13" s="3">
        <f>'Valeur maison - Données'!E10</f>
        <v>575000</v>
      </c>
      <c r="N13">
        <f t="shared" ref="N13:N14" si="0">M13-L13</f>
        <v>-5686.7649651673855</v>
      </c>
      <c r="O13">
        <f t="shared" ref="O13:O14" si="1">N13^2</f>
        <v>32339295.769055214</v>
      </c>
    </row>
    <row r="14" spans="1:15" ht="20.25" customHeight="1" x14ac:dyDescent="0.2">
      <c r="A14">
        <v>2</v>
      </c>
      <c r="B14" s="25">
        <v>1</v>
      </c>
      <c r="C14" s="3">
        <f>'Valeur maison - Données'!B11</f>
        <v>14</v>
      </c>
      <c r="D14" s="3">
        <f>'Valeur maison - Données'!C11</f>
        <v>4500</v>
      </c>
      <c r="E14" s="3">
        <f>'Valeur maison - Données'!D11</f>
        <v>0</v>
      </c>
      <c r="F14" s="3">
        <f t="shared" ref="F14:F37" si="2">IF(E14=0,1,0)</f>
        <v>1</v>
      </c>
      <c r="G14" s="3">
        <f t="shared" ref="G14:G37" si="3">C14*F14</f>
        <v>14</v>
      </c>
      <c r="H14" s="3">
        <f t="shared" ref="H14:H37" si="4">D14*F14</f>
        <v>4500</v>
      </c>
      <c r="I14" s="3">
        <f t="shared" ref="I14:I37" si="5">IF(E14=1,1,0)</f>
        <v>0</v>
      </c>
      <c r="J14" s="3">
        <f t="shared" ref="J14:J37" si="6">C14*I14</f>
        <v>0</v>
      </c>
      <c r="K14" s="3">
        <f t="shared" ref="K14:K37" si="7">D14*I14</f>
        <v>0</v>
      </c>
      <c r="L14">
        <f t="shared" ref="L14:L37" si="8">SUMPRODUCT($A$9:$F$9,F14:K14)</f>
        <v>479696.26096909033</v>
      </c>
      <c r="M14" s="3">
        <f>'Valeur maison - Données'!E11</f>
        <v>411000</v>
      </c>
      <c r="N14">
        <f t="shared" si="0"/>
        <v>-68696.260969090334</v>
      </c>
      <c r="O14">
        <f t="shared" si="1"/>
        <v>4719176271.1333637</v>
      </c>
    </row>
    <row r="15" spans="1:15" ht="20.25" customHeight="1" x14ac:dyDescent="0.2">
      <c r="A15">
        <v>3</v>
      </c>
      <c r="B15" s="25">
        <v>1</v>
      </c>
      <c r="C15" s="3">
        <f>'Valeur maison - Données'!B12</f>
        <v>13</v>
      </c>
      <c r="D15" s="3">
        <f>'Valeur maison - Données'!C12</f>
        <v>2400</v>
      </c>
      <c r="E15" s="3">
        <f>'Valeur maison - Données'!D12</f>
        <v>0</v>
      </c>
      <c r="F15" s="3">
        <f t="shared" si="2"/>
        <v>1</v>
      </c>
      <c r="G15" s="3">
        <f t="shared" si="3"/>
        <v>13</v>
      </c>
      <c r="H15" s="3">
        <f t="shared" si="4"/>
        <v>2400</v>
      </c>
      <c r="I15" s="3">
        <f t="shared" si="5"/>
        <v>0</v>
      </c>
      <c r="J15" s="3">
        <f t="shared" si="6"/>
        <v>0</v>
      </c>
      <c r="K15" s="3">
        <f t="shared" si="7"/>
        <v>0</v>
      </c>
      <c r="L15">
        <f t="shared" si="8"/>
        <v>404819.02668021235</v>
      </c>
      <c r="M15" s="3">
        <f>'Valeur maison - Données'!E12</f>
        <v>323000</v>
      </c>
      <c r="N15">
        <f t="shared" ref="N15:N17" si="9">M15-L15</f>
        <v>-81819.026680212351</v>
      </c>
      <c r="O15">
        <f t="shared" ref="O15:O17" si="10">N15^2</f>
        <v>6694353126.8973007</v>
      </c>
    </row>
    <row r="16" spans="1:15" ht="20.25" customHeight="1" x14ac:dyDescent="0.2">
      <c r="A16">
        <v>4</v>
      </c>
      <c r="B16" s="25">
        <v>1</v>
      </c>
      <c r="C16" s="3">
        <f>'Valeur maison - Données'!B13</f>
        <v>1</v>
      </c>
      <c r="D16" s="3">
        <f>'Valeur maison - Données'!C13</f>
        <v>2400</v>
      </c>
      <c r="E16" s="3">
        <f>'Valeur maison - Données'!D13</f>
        <v>0</v>
      </c>
      <c r="F16" s="3">
        <f t="shared" si="2"/>
        <v>1</v>
      </c>
      <c r="G16" s="3">
        <f t="shared" si="3"/>
        <v>1</v>
      </c>
      <c r="H16" s="3">
        <f t="shared" si="4"/>
        <v>2400</v>
      </c>
      <c r="I16" s="3">
        <f t="shared" si="5"/>
        <v>0</v>
      </c>
      <c r="J16" s="3">
        <f t="shared" si="6"/>
        <v>0</v>
      </c>
      <c r="K16" s="3">
        <f t="shared" si="7"/>
        <v>0</v>
      </c>
      <c r="L16">
        <f t="shared" si="8"/>
        <v>609999.44188083766</v>
      </c>
      <c r="M16" s="3">
        <f>'Valeur maison - Données'!E13</f>
        <v>667000</v>
      </c>
      <c r="N16">
        <f t="shared" si="9"/>
        <v>57000.558119162335</v>
      </c>
      <c r="O16">
        <f t="shared" si="10"/>
        <v>3249063625.8960032</v>
      </c>
    </row>
    <row r="17" spans="1:15" ht="20.25" customHeight="1" x14ac:dyDescent="0.2">
      <c r="A17">
        <v>5</v>
      </c>
      <c r="B17" s="25">
        <v>1</v>
      </c>
      <c r="C17" s="3">
        <f>'Valeur maison - Données'!B14</f>
        <v>25</v>
      </c>
      <c r="D17" s="3">
        <f>'Valeur maison - Données'!C14</f>
        <v>9800</v>
      </c>
      <c r="E17" s="3">
        <f>'Valeur maison - Données'!D14</f>
        <v>0</v>
      </c>
      <c r="F17" s="3">
        <f t="shared" si="2"/>
        <v>1</v>
      </c>
      <c r="G17" s="3">
        <f t="shared" si="3"/>
        <v>25</v>
      </c>
      <c r="H17" s="3">
        <f t="shared" si="4"/>
        <v>9800</v>
      </c>
      <c r="I17" s="3">
        <f t="shared" si="5"/>
        <v>0</v>
      </c>
      <c r="J17" s="3">
        <f t="shared" si="6"/>
        <v>0</v>
      </c>
      <c r="K17" s="3">
        <f t="shared" si="7"/>
        <v>0</v>
      </c>
      <c r="L17">
        <f t="shared" si="8"/>
        <v>523743.1145485153</v>
      </c>
      <c r="M17" s="3">
        <f>'Valeur maison - Données'!E14</f>
        <v>555000</v>
      </c>
      <c r="N17">
        <f t="shared" si="9"/>
        <v>31256.885451484704</v>
      </c>
      <c r="O17">
        <f t="shared" si="10"/>
        <v>976992888.12723613</v>
      </c>
    </row>
    <row r="18" spans="1:15" ht="20.25" customHeight="1" x14ac:dyDescent="0.2">
      <c r="A18">
        <v>6</v>
      </c>
      <c r="B18" s="25">
        <v>1</v>
      </c>
      <c r="C18" s="3">
        <f>'Valeur maison - Données'!B15</f>
        <v>2</v>
      </c>
      <c r="D18" s="3">
        <f>'Valeur maison - Données'!C15</f>
        <v>1800</v>
      </c>
      <c r="E18" s="3">
        <f>'Valeur maison - Données'!D15</f>
        <v>0</v>
      </c>
      <c r="F18" s="3">
        <f t="shared" si="2"/>
        <v>1</v>
      </c>
      <c r="G18" s="3">
        <f t="shared" si="3"/>
        <v>2</v>
      </c>
      <c r="H18" s="3">
        <f t="shared" si="4"/>
        <v>1800</v>
      </c>
      <c r="I18" s="3">
        <f t="shared" si="5"/>
        <v>0</v>
      </c>
      <c r="J18" s="3">
        <f t="shared" si="6"/>
        <v>0</v>
      </c>
      <c r="K18" s="3">
        <f t="shared" si="7"/>
        <v>0</v>
      </c>
      <c r="L18">
        <f t="shared" si="8"/>
        <v>566622.33045537688</v>
      </c>
      <c r="M18" s="3">
        <f>'Valeur maison - Données'!E15</f>
        <v>539000</v>
      </c>
      <c r="N18">
        <f t="shared" ref="N18:N22" si="11">M18-L18</f>
        <v>-27622.330455376883</v>
      </c>
      <c r="O18">
        <f t="shared" ref="O18:O22" si="12">N18^2</f>
        <v>762993139.78604126</v>
      </c>
    </row>
    <row r="19" spans="1:15" ht="20.25" customHeight="1" x14ac:dyDescent="0.2">
      <c r="A19">
        <v>7</v>
      </c>
      <c r="B19" s="25">
        <v>1</v>
      </c>
      <c r="C19" s="3">
        <f>'Valeur maison - Données'!B16</f>
        <v>18</v>
      </c>
      <c r="D19" s="3">
        <f>'Valeur maison - Données'!C16</f>
        <v>5000</v>
      </c>
      <c r="E19" s="3">
        <f>'Valeur maison - Données'!D16</f>
        <v>1</v>
      </c>
      <c r="F19" s="3">
        <f t="shared" si="2"/>
        <v>0</v>
      </c>
      <c r="G19" s="3">
        <f t="shared" si="3"/>
        <v>0</v>
      </c>
      <c r="H19" s="3">
        <f t="shared" si="4"/>
        <v>0</v>
      </c>
      <c r="I19" s="3">
        <f t="shared" si="5"/>
        <v>1</v>
      </c>
      <c r="J19" s="3">
        <f t="shared" si="6"/>
        <v>18</v>
      </c>
      <c r="K19" s="3">
        <f t="shared" si="7"/>
        <v>5000</v>
      </c>
      <c r="L19">
        <f t="shared" si="8"/>
        <v>414504.8640475627</v>
      </c>
      <c r="M19" s="3">
        <f>'Valeur maison - Données'!E16</f>
        <v>375000</v>
      </c>
      <c r="N19">
        <f t="shared" si="11"/>
        <v>-39504.864047562703</v>
      </c>
      <c r="O19">
        <f t="shared" si="12"/>
        <v>1560634283.4164124</v>
      </c>
    </row>
    <row r="20" spans="1:15" ht="20.25" customHeight="1" x14ac:dyDescent="0.2">
      <c r="A20">
        <v>8</v>
      </c>
      <c r="B20" s="25">
        <v>1</v>
      </c>
      <c r="C20" s="3">
        <f>'Valeur maison - Données'!B17</f>
        <v>32</v>
      </c>
      <c r="D20" s="3">
        <f>'Valeur maison - Données'!C17</f>
        <v>7400</v>
      </c>
      <c r="E20" s="3">
        <f>'Valeur maison - Données'!D17</f>
        <v>0</v>
      </c>
      <c r="F20" s="3">
        <f t="shared" si="2"/>
        <v>1</v>
      </c>
      <c r="G20" s="3">
        <f t="shared" si="3"/>
        <v>32</v>
      </c>
      <c r="H20" s="3">
        <f t="shared" si="4"/>
        <v>7400</v>
      </c>
      <c r="I20" s="3">
        <f t="shared" si="5"/>
        <v>0</v>
      </c>
      <c r="J20" s="3">
        <f t="shared" si="6"/>
        <v>0</v>
      </c>
      <c r="K20" s="3">
        <f t="shared" si="7"/>
        <v>0</v>
      </c>
      <c r="L20">
        <f t="shared" si="8"/>
        <v>298939.56504651613</v>
      </c>
      <c r="M20" s="3">
        <f>'Valeur maison - Données'!E17</f>
        <v>254000</v>
      </c>
      <c r="N20">
        <f t="shared" si="11"/>
        <v>-44939.565046516131</v>
      </c>
      <c r="O20">
        <f t="shared" si="12"/>
        <v>2019564506.5700543</v>
      </c>
    </row>
    <row r="21" spans="1:15" ht="20.25" customHeight="1" x14ac:dyDescent="0.2">
      <c r="A21">
        <v>9</v>
      </c>
      <c r="B21" s="25">
        <v>1</v>
      </c>
      <c r="C21" s="3">
        <f>'Valeur maison - Données'!B18</f>
        <v>28</v>
      </c>
      <c r="D21" s="3">
        <f>'Valeur maison - Données'!C18</f>
        <v>6700</v>
      </c>
      <c r="E21" s="3">
        <f>'Valeur maison - Données'!D18</f>
        <v>0</v>
      </c>
      <c r="F21" s="3">
        <f t="shared" si="2"/>
        <v>1</v>
      </c>
      <c r="G21" s="3">
        <f t="shared" si="3"/>
        <v>28</v>
      </c>
      <c r="H21" s="3">
        <f t="shared" si="4"/>
        <v>6700</v>
      </c>
      <c r="I21" s="3">
        <f t="shared" si="5"/>
        <v>0</v>
      </c>
      <c r="J21" s="3">
        <f t="shared" si="6"/>
        <v>0</v>
      </c>
      <c r="K21" s="3">
        <f t="shared" si="7"/>
        <v>0</v>
      </c>
      <c r="L21">
        <f t="shared" si="8"/>
        <v>336674.50270597008</v>
      </c>
      <c r="M21" s="3">
        <f>'Valeur maison - Données'!E18</f>
        <v>279000</v>
      </c>
      <c r="N21">
        <f t="shared" si="11"/>
        <v>-57674.502705970081</v>
      </c>
      <c r="O21">
        <f t="shared" si="12"/>
        <v>3326348262.38095</v>
      </c>
    </row>
    <row r="22" spans="1:15" ht="20.25" customHeight="1" x14ac:dyDescent="0.2">
      <c r="A22">
        <v>10</v>
      </c>
      <c r="B22" s="25">
        <v>1</v>
      </c>
      <c r="C22" s="3">
        <f>'Valeur maison - Données'!B19</f>
        <v>26</v>
      </c>
      <c r="D22" s="3">
        <f>'Valeur maison - Données'!C19</f>
        <v>4800</v>
      </c>
      <c r="E22" s="3">
        <f>'Valeur maison - Données'!D19</f>
        <v>0</v>
      </c>
      <c r="F22" s="3">
        <f t="shared" si="2"/>
        <v>1</v>
      </c>
      <c r="G22" s="3">
        <f t="shared" si="3"/>
        <v>26</v>
      </c>
      <c r="H22" s="3">
        <f t="shared" si="4"/>
        <v>4800</v>
      </c>
      <c r="I22" s="3">
        <f t="shared" si="5"/>
        <v>0</v>
      </c>
      <c r="J22" s="3">
        <f t="shared" si="6"/>
        <v>0</v>
      </c>
      <c r="K22" s="3">
        <f t="shared" si="7"/>
        <v>0</v>
      </c>
      <c r="L22">
        <f t="shared" si="8"/>
        <v>287655.2175145027</v>
      </c>
      <c r="M22" s="3">
        <f>'Valeur maison - Données'!E19</f>
        <v>396000</v>
      </c>
      <c r="N22">
        <f t="shared" si="11"/>
        <v>108344.7824854973</v>
      </c>
      <c r="O22">
        <f t="shared" si="12"/>
        <v>11738591891.829723</v>
      </c>
    </row>
    <row r="23" spans="1:15" ht="20.25" customHeight="1" x14ac:dyDescent="0.2">
      <c r="A23">
        <v>11</v>
      </c>
      <c r="B23" s="25">
        <v>1</v>
      </c>
      <c r="C23" s="3">
        <f>'Valeur maison - Données'!B20</f>
        <v>26</v>
      </c>
      <c r="D23" s="3">
        <f>'Valeur maison - Données'!C20</f>
        <v>5200</v>
      </c>
      <c r="E23" s="3">
        <f>'Valeur maison - Données'!D20</f>
        <v>1</v>
      </c>
      <c r="F23" s="3">
        <f t="shared" si="2"/>
        <v>0</v>
      </c>
      <c r="G23" s="3">
        <f t="shared" si="3"/>
        <v>0</v>
      </c>
      <c r="H23" s="3">
        <f t="shared" si="4"/>
        <v>0</v>
      </c>
      <c r="I23" s="3">
        <f t="shared" si="5"/>
        <v>1</v>
      </c>
      <c r="J23" s="3">
        <f t="shared" si="6"/>
        <v>26</v>
      </c>
      <c r="K23" s="3">
        <f t="shared" si="7"/>
        <v>5200</v>
      </c>
      <c r="L23">
        <f t="shared" si="8"/>
        <v>580686.76496516739</v>
      </c>
      <c r="M23" s="3">
        <f>'Valeur maison - Données'!E20</f>
        <v>575000</v>
      </c>
      <c r="N23">
        <f t="shared" ref="N23:N37" si="13">M23-L23</f>
        <v>-5686.7649651673855</v>
      </c>
      <c r="O23">
        <f t="shared" ref="O23:O37" si="14">N23^2</f>
        <v>32339295.769055214</v>
      </c>
    </row>
    <row r="24" spans="1:15" ht="20.25" customHeight="1" x14ac:dyDescent="0.2">
      <c r="A24">
        <v>12</v>
      </c>
      <c r="B24" s="25">
        <v>1</v>
      </c>
      <c r="C24" s="3">
        <f>'Valeur maison - Données'!B21</f>
        <v>14</v>
      </c>
      <c r="D24" s="3">
        <f>'Valeur maison - Données'!C21</f>
        <v>4500</v>
      </c>
      <c r="E24" s="3">
        <f>'Valeur maison - Données'!D21</f>
        <v>0</v>
      </c>
      <c r="F24" s="3">
        <f t="shared" si="2"/>
        <v>1</v>
      </c>
      <c r="G24" s="3">
        <f t="shared" si="3"/>
        <v>14</v>
      </c>
      <c r="H24" s="3">
        <f t="shared" si="4"/>
        <v>4500</v>
      </c>
      <c r="I24" s="3">
        <f t="shared" si="5"/>
        <v>0</v>
      </c>
      <c r="J24" s="3">
        <f t="shared" si="6"/>
        <v>0</v>
      </c>
      <c r="K24" s="3">
        <f t="shared" si="7"/>
        <v>0</v>
      </c>
      <c r="L24">
        <f t="shared" si="8"/>
        <v>479696.26096909033</v>
      </c>
      <c r="M24" s="3">
        <f>'Valeur maison - Données'!E21</f>
        <v>411000</v>
      </c>
      <c r="N24">
        <f t="shared" si="13"/>
        <v>-68696.260969090334</v>
      </c>
      <c r="O24">
        <f t="shared" si="14"/>
        <v>4719176271.1333637</v>
      </c>
    </row>
    <row r="25" spans="1:15" ht="20.25" customHeight="1" x14ac:dyDescent="0.2">
      <c r="A25">
        <v>13</v>
      </c>
      <c r="B25" s="25">
        <v>1</v>
      </c>
      <c r="C25" s="3">
        <f>'Valeur maison - Données'!B22</f>
        <v>13</v>
      </c>
      <c r="D25" s="3">
        <f>'Valeur maison - Données'!C22</f>
        <v>2400</v>
      </c>
      <c r="E25" s="3">
        <f>'Valeur maison - Données'!D22</f>
        <v>0</v>
      </c>
      <c r="F25" s="3">
        <f t="shared" si="2"/>
        <v>1</v>
      </c>
      <c r="G25" s="3">
        <f t="shared" si="3"/>
        <v>13</v>
      </c>
      <c r="H25" s="3">
        <f t="shared" si="4"/>
        <v>2400</v>
      </c>
      <c r="I25" s="3">
        <f t="shared" si="5"/>
        <v>0</v>
      </c>
      <c r="J25" s="3">
        <f t="shared" si="6"/>
        <v>0</v>
      </c>
      <c r="K25" s="3">
        <f t="shared" si="7"/>
        <v>0</v>
      </c>
      <c r="L25">
        <f t="shared" si="8"/>
        <v>404819.02668021235</v>
      </c>
      <c r="M25" s="3">
        <f>'Valeur maison - Données'!E22</f>
        <v>323000</v>
      </c>
      <c r="N25">
        <f t="shared" si="13"/>
        <v>-81819.026680212351</v>
      </c>
      <c r="O25">
        <f t="shared" si="14"/>
        <v>6694353126.8973007</v>
      </c>
    </row>
    <row r="26" spans="1:15" ht="20.25" customHeight="1" x14ac:dyDescent="0.2">
      <c r="A26">
        <v>14</v>
      </c>
      <c r="B26" s="25">
        <v>1</v>
      </c>
      <c r="C26" s="3">
        <f>'Valeur maison - Données'!B23</f>
        <v>1</v>
      </c>
      <c r="D26" s="3">
        <f>'Valeur maison - Données'!C23</f>
        <v>2400</v>
      </c>
      <c r="E26" s="3">
        <f>'Valeur maison - Données'!D23</f>
        <v>0</v>
      </c>
      <c r="F26" s="3">
        <f t="shared" si="2"/>
        <v>1</v>
      </c>
      <c r="G26" s="3">
        <f t="shared" si="3"/>
        <v>1</v>
      </c>
      <c r="H26" s="3">
        <f t="shared" si="4"/>
        <v>2400</v>
      </c>
      <c r="I26" s="3">
        <f t="shared" si="5"/>
        <v>0</v>
      </c>
      <c r="J26" s="3">
        <f t="shared" si="6"/>
        <v>0</v>
      </c>
      <c r="K26" s="3">
        <f t="shared" si="7"/>
        <v>0</v>
      </c>
      <c r="L26">
        <f t="shared" si="8"/>
        <v>609999.44188083766</v>
      </c>
      <c r="M26" s="3">
        <f>'Valeur maison - Données'!E23</f>
        <v>667000</v>
      </c>
      <c r="N26">
        <f t="shared" si="13"/>
        <v>57000.558119162335</v>
      </c>
      <c r="O26">
        <f t="shared" si="14"/>
        <v>3249063625.8960032</v>
      </c>
    </row>
    <row r="27" spans="1:15" ht="20.25" customHeight="1" x14ac:dyDescent="0.2">
      <c r="A27">
        <v>15</v>
      </c>
      <c r="B27" s="25">
        <v>1</v>
      </c>
      <c r="C27" s="3">
        <f>'Valeur maison - Données'!B24</f>
        <v>25</v>
      </c>
      <c r="D27" s="3">
        <f>'Valeur maison - Données'!C24</f>
        <v>9800</v>
      </c>
      <c r="E27" s="3">
        <f>'Valeur maison - Données'!D24</f>
        <v>0</v>
      </c>
      <c r="F27" s="3">
        <f t="shared" si="2"/>
        <v>1</v>
      </c>
      <c r="G27" s="3">
        <f t="shared" si="3"/>
        <v>25</v>
      </c>
      <c r="H27" s="3">
        <f t="shared" si="4"/>
        <v>9800</v>
      </c>
      <c r="I27" s="3">
        <f t="shared" si="5"/>
        <v>0</v>
      </c>
      <c r="J27" s="3">
        <f t="shared" si="6"/>
        <v>0</v>
      </c>
      <c r="K27" s="3">
        <f t="shared" si="7"/>
        <v>0</v>
      </c>
      <c r="L27">
        <f t="shared" si="8"/>
        <v>523743.1145485153</v>
      </c>
      <c r="M27" s="3">
        <f>'Valeur maison - Données'!E24</f>
        <v>555000</v>
      </c>
      <c r="N27">
        <f t="shared" si="13"/>
        <v>31256.885451484704</v>
      </c>
      <c r="O27">
        <f t="shared" si="14"/>
        <v>976992888.12723613</v>
      </c>
    </row>
    <row r="28" spans="1:15" ht="20.25" customHeight="1" x14ac:dyDescent="0.2">
      <c r="A28">
        <v>16</v>
      </c>
      <c r="B28" s="25">
        <v>1</v>
      </c>
      <c r="C28" s="3">
        <f>'Valeur maison - Données'!B25</f>
        <v>2</v>
      </c>
      <c r="D28" s="3">
        <f>'Valeur maison - Données'!C25</f>
        <v>1800</v>
      </c>
      <c r="E28" s="3">
        <f>'Valeur maison - Données'!D25</f>
        <v>0</v>
      </c>
      <c r="F28" s="3">
        <f t="shared" si="2"/>
        <v>1</v>
      </c>
      <c r="G28" s="3">
        <f t="shared" si="3"/>
        <v>2</v>
      </c>
      <c r="H28" s="3">
        <f t="shared" si="4"/>
        <v>1800</v>
      </c>
      <c r="I28" s="3">
        <f t="shared" si="5"/>
        <v>0</v>
      </c>
      <c r="J28" s="3">
        <f t="shared" si="6"/>
        <v>0</v>
      </c>
      <c r="K28" s="3">
        <f t="shared" si="7"/>
        <v>0</v>
      </c>
      <c r="L28">
        <f t="shared" si="8"/>
        <v>566622.33045537688</v>
      </c>
      <c r="M28" s="3">
        <f>'Valeur maison - Données'!E25</f>
        <v>539000</v>
      </c>
      <c r="N28">
        <f t="shared" si="13"/>
        <v>-27622.330455376883</v>
      </c>
      <c r="O28">
        <f t="shared" si="14"/>
        <v>762993139.78604126</v>
      </c>
    </row>
    <row r="29" spans="1:15" ht="20.25" customHeight="1" x14ac:dyDescent="0.2">
      <c r="A29">
        <v>17</v>
      </c>
      <c r="B29" s="25">
        <v>1</v>
      </c>
      <c r="C29" s="3">
        <f>'Valeur maison - Données'!B26</f>
        <v>18</v>
      </c>
      <c r="D29" s="3">
        <f>'Valeur maison - Données'!C26</f>
        <v>5000</v>
      </c>
      <c r="E29" s="3">
        <f>'Valeur maison - Données'!D26</f>
        <v>1</v>
      </c>
      <c r="F29" s="3">
        <f t="shared" si="2"/>
        <v>0</v>
      </c>
      <c r="G29" s="3">
        <f t="shared" si="3"/>
        <v>0</v>
      </c>
      <c r="H29" s="3">
        <f t="shared" si="4"/>
        <v>0</v>
      </c>
      <c r="I29" s="3">
        <f t="shared" si="5"/>
        <v>1</v>
      </c>
      <c r="J29" s="3">
        <f t="shared" si="6"/>
        <v>18</v>
      </c>
      <c r="K29" s="3">
        <f t="shared" si="7"/>
        <v>5000</v>
      </c>
      <c r="L29">
        <f t="shared" si="8"/>
        <v>414504.8640475627</v>
      </c>
      <c r="M29" s="3">
        <f>'Valeur maison - Données'!E26</f>
        <v>375000</v>
      </c>
      <c r="N29">
        <f t="shared" si="13"/>
        <v>-39504.864047562703</v>
      </c>
      <c r="O29">
        <f t="shared" si="14"/>
        <v>1560634283.4164124</v>
      </c>
    </row>
    <row r="30" spans="1:15" ht="20.25" customHeight="1" x14ac:dyDescent="0.2">
      <c r="A30">
        <v>18</v>
      </c>
      <c r="B30" s="25">
        <v>1</v>
      </c>
      <c r="C30" s="3">
        <f>'Valeur maison - Données'!B27</f>
        <v>32</v>
      </c>
      <c r="D30" s="3">
        <f>'Valeur maison - Données'!C27</f>
        <v>7400</v>
      </c>
      <c r="E30" s="3">
        <f>'Valeur maison - Données'!D27</f>
        <v>0</v>
      </c>
      <c r="F30" s="3">
        <f t="shared" si="2"/>
        <v>1</v>
      </c>
      <c r="G30" s="3">
        <f t="shared" si="3"/>
        <v>32</v>
      </c>
      <c r="H30" s="3">
        <f t="shared" si="4"/>
        <v>7400</v>
      </c>
      <c r="I30" s="3">
        <f t="shared" si="5"/>
        <v>0</v>
      </c>
      <c r="J30" s="3">
        <f t="shared" si="6"/>
        <v>0</v>
      </c>
      <c r="K30" s="3">
        <f t="shared" si="7"/>
        <v>0</v>
      </c>
      <c r="L30">
        <f t="shared" si="8"/>
        <v>298939.56504651613</v>
      </c>
      <c r="M30" s="3">
        <f>'Valeur maison - Données'!E27</f>
        <v>254000</v>
      </c>
      <c r="N30">
        <f t="shared" si="13"/>
        <v>-44939.565046516131</v>
      </c>
      <c r="O30">
        <f t="shared" si="14"/>
        <v>2019564506.5700543</v>
      </c>
    </row>
    <row r="31" spans="1:15" ht="20.25" customHeight="1" x14ac:dyDescent="0.2">
      <c r="A31">
        <v>19</v>
      </c>
      <c r="B31" s="25">
        <v>1</v>
      </c>
      <c r="C31" s="3">
        <f>'Valeur maison - Données'!B28</f>
        <v>28</v>
      </c>
      <c r="D31" s="3">
        <f>'Valeur maison - Données'!C28</f>
        <v>6700</v>
      </c>
      <c r="E31" s="3">
        <f>'Valeur maison - Données'!D28</f>
        <v>0</v>
      </c>
      <c r="F31" s="3">
        <f t="shared" si="2"/>
        <v>1</v>
      </c>
      <c r="G31" s="3">
        <f t="shared" si="3"/>
        <v>28</v>
      </c>
      <c r="H31" s="3">
        <f t="shared" si="4"/>
        <v>6700</v>
      </c>
      <c r="I31" s="3">
        <f t="shared" si="5"/>
        <v>0</v>
      </c>
      <c r="J31" s="3">
        <f t="shared" si="6"/>
        <v>0</v>
      </c>
      <c r="K31" s="3">
        <f t="shared" si="7"/>
        <v>0</v>
      </c>
      <c r="L31">
        <f t="shared" si="8"/>
        <v>336674.50270597008</v>
      </c>
      <c r="M31" s="3">
        <f>'Valeur maison - Données'!E28</f>
        <v>279000</v>
      </c>
      <c r="N31">
        <f t="shared" si="13"/>
        <v>-57674.502705970081</v>
      </c>
      <c r="O31">
        <f t="shared" si="14"/>
        <v>3326348262.38095</v>
      </c>
    </row>
    <row r="32" spans="1:15" ht="20.25" customHeight="1" x14ac:dyDescent="0.2">
      <c r="A32">
        <v>20</v>
      </c>
      <c r="B32" s="25">
        <v>1</v>
      </c>
      <c r="C32" s="3">
        <f>'Valeur maison - Données'!B29</f>
        <v>26</v>
      </c>
      <c r="D32" s="3">
        <f>'Valeur maison - Données'!C29</f>
        <v>4800</v>
      </c>
      <c r="E32" s="3">
        <f>'Valeur maison - Données'!D29</f>
        <v>0</v>
      </c>
      <c r="F32" s="3">
        <f t="shared" si="2"/>
        <v>1</v>
      </c>
      <c r="G32" s="3">
        <f t="shared" si="3"/>
        <v>26</v>
      </c>
      <c r="H32" s="3">
        <f t="shared" si="4"/>
        <v>4800</v>
      </c>
      <c r="I32" s="3">
        <f t="shared" si="5"/>
        <v>0</v>
      </c>
      <c r="J32" s="3">
        <f t="shared" si="6"/>
        <v>0</v>
      </c>
      <c r="K32" s="3">
        <f t="shared" si="7"/>
        <v>0</v>
      </c>
      <c r="L32">
        <f t="shared" si="8"/>
        <v>287655.2175145027</v>
      </c>
      <c r="M32" s="3">
        <f>'Valeur maison - Données'!E29</f>
        <v>396000</v>
      </c>
      <c r="N32">
        <f t="shared" si="13"/>
        <v>108344.7824854973</v>
      </c>
      <c r="O32">
        <f t="shared" si="14"/>
        <v>11738591891.829723</v>
      </c>
    </row>
    <row r="33" spans="1:19" ht="20.25" customHeight="1" x14ac:dyDescent="0.2">
      <c r="A33">
        <v>21</v>
      </c>
      <c r="B33" s="25">
        <v>1</v>
      </c>
      <c r="C33" s="3">
        <f>'Valeur maison - Données'!B30</f>
        <v>28</v>
      </c>
      <c r="D33" s="3">
        <f>'Valeur maison - Données'!C30</f>
        <v>4900</v>
      </c>
      <c r="E33" s="3">
        <f>'Valeur maison - Données'!D30</f>
        <v>0</v>
      </c>
      <c r="F33" s="3">
        <f t="shared" si="2"/>
        <v>1</v>
      </c>
      <c r="G33" s="3">
        <f t="shared" si="3"/>
        <v>28</v>
      </c>
      <c r="H33" s="3">
        <f t="shared" si="4"/>
        <v>4900</v>
      </c>
      <c r="I33" s="3">
        <f t="shared" si="5"/>
        <v>0</v>
      </c>
      <c r="J33" s="3">
        <f t="shared" si="6"/>
        <v>0</v>
      </c>
      <c r="K33" s="3">
        <f t="shared" si="7"/>
        <v>0</v>
      </c>
      <c r="L33">
        <f t="shared" si="8"/>
        <v>257838.2722297443</v>
      </c>
      <c r="M33" s="3">
        <f>'Valeur maison - Données'!E30</f>
        <v>336000</v>
      </c>
      <c r="N33">
        <f t="shared" si="13"/>
        <v>78161.727770255704</v>
      </c>
      <c r="O33">
        <f t="shared" si="14"/>
        <v>6109255688.0315619</v>
      </c>
    </row>
    <row r="34" spans="1:19" ht="20.25" customHeight="1" x14ac:dyDescent="0.2">
      <c r="A34">
        <v>22</v>
      </c>
      <c r="B34" s="25">
        <v>1</v>
      </c>
      <c r="C34" s="3">
        <f>'Valeur maison - Données'!B31</f>
        <v>37</v>
      </c>
      <c r="D34" s="3">
        <f>'Valeur maison - Données'!C31</f>
        <v>18100</v>
      </c>
      <c r="E34" s="3">
        <f>'Valeur maison - Données'!D31</f>
        <v>1</v>
      </c>
      <c r="F34" s="3">
        <f t="shared" si="2"/>
        <v>0</v>
      </c>
      <c r="G34" s="3">
        <f t="shared" si="3"/>
        <v>0</v>
      </c>
      <c r="H34" s="3">
        <f t="shared" si="4"/>
        <v>0</v>
      </c>
      <c r="I34" s="3">
        <f t="shared" si="5"/>
        <v>1</v>
      </c>
      <c r="J34" s="3">
        <f t="shared" si="6"/>
        <v>37</v>
      </c>
      <c r="K34" s="3">
        <f t="shared" si="7"/>
        <v>18100</v>
      </c>
      <c r="L34">
        <f t="shared" si="8"/>
        <v>773033.56339433929</v>
      </c>
      <c r="M34" s="3">
        <f>'Valeur maison - Données'!E31</f>
        <v>755000</v>
      </c>
      <c r="N34">
        <f t="shared" si="13"/>
        <v>-18033.56339433929</v>
      </c>
      <c r="O34">
        <f t="shared" si="14"/>
        <v>325209408.69765401</v>
      </c>
    </row>
    <row r="35" spans="1:19" s="11" customFormat="1" ht="20.25" customHeight="1" x14ac:dyDescent="0.2">
      <c r="A35">
        <v>23</v>
      </c>
      <c r="B35" s="25">
        <v>1</v>
      </c>
      <c r="C35" s="3">
        <f>'Valeur maison - Données'!B32</f>
        <v>8</v>
      </c>
      <c r="D35" s="3">
        <f>'Valeur maison - Données'!C32</f>
        <v>2600</v>
      </c>
      <c r="E35" s="3">
        <f>'Valeur maison - Données'!D32</f>
        <v>0</v>
      </c>
      <c r="F35" s="3">
        <f t="shared" si="2"/>
        <v>1</v>
      </c>
      <c r="G35" s="3">
        <f t="shared" si="3"/>
        <v>8</v>
      </c>
      <c r="H35" s="3">
        <f t="shared" si="4"/>
        <v>2600</v>
      </c>
      <c r="I35" s="3">
        <f t="shared" si="5"/>
        <v>0</v>
      </c>
      <c r="J35" s="3">
        <f t="shared" si="6"/>
        <v>0</v>
      </c>
      <c r="K35" s="3">
        <f t="shared" si="7"/>
        <v>0</v>
      </c>
      <c r="L35">
        <f t="shared" si="8"/>
        <v>499070.44751116465</v>
      </c>
      <c r="M35" s="3">
        <f>'Valeur maison - Données'!E32</f>
        <v>636000</v>
      </c>
      <c r="N35">
        <f t="shared" si="13"/>
        <v>136929.55248883535</v>
      </c>
      <c r="O35">
        <f t="shared" si="14"/>
        <v>18749702344.792717</v>
      </c>
      <c r="P35"/>
      <c r="Q35"/>
      <c r="R35"/>
      <c r="S35"/>
    </row>
    <row r="36" spans="1:19" ht="20.25" customHeight="1" x14ac:dyDescent="0.2">
      <c r="A36">
        <v>24</v>
      </c>
      <c r="B36" s="25">
        <v>1</v>
      </c>
      <c r="C36" s="3">
        <f>'Valeur maison - Données'!B33</f>
        <v>7</v>
      </c>
      <c r="D36" s="3">
        <f>'Valeur maison - Données'!C33</f>
        <v>2500</v>
      </c>
      <c r="E36" s="3">
        <f>'Valeur maison - Données'!D33</f>
        <v>0</v>
      </c>
      <c r="F36" s="3">
        <f t="shared" si="2"/>
        <v>1</v>
      </c>
      <c r="G36" s="3">
        <f t="shared" si="3"/>
        <v>7</v>
      </c>
      <c r="H36" s="3">
        <f t="shared" si="4"/>
        <v>2500</v>
      </c>
      <c r="I36" s="3">
        <f t="shared" si="5"/>
        <v>0</v>
      </c>
      <c r="J36" s="3">
        <f t="shared" si="6"/>
        <v>0</v>
      </c>
      <c r="K36" s="3">
        <f t="shared" si="7"/>
        <v>0</v>
      </c>
      <c r="L36">
        <f t="shared" si="8"/>
        <v>511789.02486253751</v>
      </c>
      <c r="M36" s="3">
        <f>'Valeur maison - Données'!E33</f>
        <v>465000</v>
      </c>
      <c r="N36">
        <f t="shared" si="13"/>
        <v>-46789.02486253751</v>
      </c>
      <c r="O36">
        <f t="shared" si="14"/>
        <v>2189212847.5871534</v>
      </c>
    </row>
    <row r="37" spans="1:19" ht="20.25" customHeight="1" x14ac:dyDescent="0.2">
      <c r="A37">
        <v>25</v>
      </c>
      <c r="B37" s="25">
        <v>1</v>
      </c>
      <c r="C37" s="3">
        <f>'Valeur maison - Données'!B34</f>
        <v>22</v>
      </c>
      <c r="D37" s="3">
        <f>'Valeur maison - Données'!C34</f>
        <v>7200</v>
      </c>
      <c r="E37" s="3">
        <f>'Valeur maison - Données'!D34</f>
        <v>1</v>
      </c>
      <c r="F37" s="3">
        <f t="shared" si="2"/>
        <v>0</v>
      </c>
      <c r="G37" s="3">
        <f t="shared" si="3"/>
        <v>0</v>
      </c>
      <c r="H37" s="3">
        <f t="shared" si="4"/>
        <v>0</v>
      </c>
      <c r="I37" s="3">
        <f t="shared" si="5"/>
        <v>1</v>
      </c>
      <c r="J37" s="3">
        <f t="shared" si="6"/>
        <v>22</v>
      </c>
      <c r="K37" s="3">
        <f t="shared" si="7"/>
        <v>7200</v>
      </c>
      <c r="L37">
        <f t="shared" si="8"/>
        <v>491582.19373818114</v>
      </c>
      <c r="M37" s="3">
        <f>'Valeur maison - Données'!E34</f>
        <v>600000</v>
      </c>
      <c r="N37">
        <f t="shared" si="13"/>
        <v>108417.80626181886</v>
      </c>
      <c r="O37">
        <f t="shared" si="14"/>
        <v>11754420714.625288</v>
      </c>
    </row>
    <row r="38" spans="1:19" x14ac:dyDescent="0.2">
      <c r="B38" s="25"/>
    </row>
    <row r="39" spans="1:19" x14ac:dyDescent="0.2">
      <c r="A39" s="4" t="s">
        <v>4</v>
      </c>
    </row>
    <row r="40" spans="1:19" x14ac:dyDescent="0.2">
      <c r="A40" s="6">
        <f>AVERAGE(O13:O37)</f>
        <v>4371516623.493865</v>
      </c>
    </row>
    <row r="43" spans="1:19" x14ac:dyDescent="0.2">
      <c r="A43" s="4" t="s">
        <v>7</v>
      </c>
    </row>
    <row r="44" spans="1:19" x14ac:dyDescent="0.2">
      <c r="A44" s="4" t="s">
        <v>8</v>
      </c>
    </row>
    <row r="45" spans="1:19" x14ac:dyDescent="0.2">
      <c r="A45" s="4" t="s">
        <v>9</v>
      </c>
      <c r="B45" s="4" t="s">
        <v>11</v>
      </c>
    </row>
    <row r="46" spans="1:19" x14ac:dyDescent="0.2">
      <c r="A46" s="18">
        <f>AVERAGE(N13:N37)</f>
        <v>0.17282546120230108</v>
      </c>
      <c r="B46" s="18">
        <f>STDEV(N13:N37)</f>
        <v>67480.835423412354</v>
      </c>
      <c r="C46" s="4" t="s">
        <v>10</v>
      </c>
    </row>
    <row r="49" spans="1:20" x14ac:dyDescent="0.2">
      <c r="A49" s="4" t="s">
        <v>14</v>
      </c>
      <c r="N49" s="48" t="s">
        <v>39</v>
      </c>
      <c r="O49" s="49"/>
    </row>
    <row r="50" spans="1:20" ht="57" x14ac:dyDescent="0.2">
      <c r="A50" s="8" t="s">
        <v>6</v>
      </c>
      <c r="B50" s="10" t="s">
        <v>75</v>
      </c>
      <c r="C50" s="9" t="s">
        <v>29</v>
      </c>
      <c r="D50" s="9" t="s">
        <v>30</v>
      </c>
      <c r="E50" s="9" t="s">
        <v>31</v>
      </c>
      <c r="F50" s="23" t="s">
        <v>97</v>
      </c>
      <c r="G50" s="23" t="s">
        <v>98</v>
      </c>
      <c r="H50" s="23" t="s">
        <v>99</v>
      </c>
      <c r="I50" s="23" t="s">
        <v>96</v>
      </c>
      <c r="J50" s="23" t="s">
        <v>98</v>
      </c>
      <c r="K50" s="23" t="s">
        <v>99</v>
      </c>
      <c r="L50" s="9" t="s">
        <v>65</v>
      </c>
      <c r="M50" s="9" t="s">
        <v>74</v>
      </c>
      <c r="N50" s="10" t="s">
        <v>35</v>
      </c>
      <c r="O50" s="10" t="s">
        <v>36</v>
      </c>
      <c r="P50" s="10" t="s">
        <v>37</v>
      </c>
      <c r="Q50" s="10" t="s">
        <v>38</v>
      </c>
      <c r="R50" s="11"/>
      <c r="S50" s="11"/>
      <c r="T50" s="11"/>
    </row>
    <row r="51" spans="1:20" x14ac:dyDescent="0.2">
      <c r="A51" s="1">
        <v>26</v>
      </c>
      <c r="B51" s="31">
        <v>1</v>
      </c>
      <c r="C51" s="3">
        <f>'Valeur maison - Données'!B40</f>
        <v>24</v>
      </c>
      <c r="D51" s="3">
        <f>'Valeur maison - Données'!C40</f>
        <v>4800</v>
      </c>
      <c r="E51" s="3">
        <f>'Valeur maison - Données'!D40</f>
        <v>0</v>
      </c>
      <c r="F51" s="3">
        <f>IF(E51=0,1,0)</f>
        <v>1</v>
      </c>
      <c r="G51" s="3">
        <f>C51*F51</f>
        <v>24</v>
      </c>
      <c r="H51" s="3">
        <f>D51*F51</f>
        <v>4800</v>
      </c>
      <c r="I51" s="3">
        <f>IF(E51=1,1,0)</f>
        <v>0</v>
      </c>
      <c r="J51" s="3">
        <f>C51*I51</f>
        <v>0</v>
      </c>
      <c r="K51" s="3">
        <f>D51*I51</f>
        <v>0</v>
      </c>
      <c r="L51" s="5">
        <f>SUMPRODUCT($A$9:$F$9,F51:K51)+$A$46</f>
        <v>321852.12620673474</v>
      </c>
      <c r="M51" s="15">
        <f>$B$46</f>
        <v>67480.835423412354</v>
      </c>
      <c r="N51" s="15">
        <f>NORMINV(0.1,L51,M51)</f>
        <v>235371.95592560311</v>
      </c>
      <c r="O51" s="15">
        <f>NORMINV(0.9,L51,M51)</f>
        <v>408332.29648786638</v>
      </c>
      <c r="P51" s="3">
        <f>'Valeur maison - Données'!E40</f>
        <v>491000</v>
      </c>
      <c r="Q51">
        <f t="shared" ref="Q51:Q54" si="15">IF(P51&gt;=N51,IF(P51&lt;=O51,1,0),0)</f>
        <v>0</v>
      </c>
    </row>
    <row r="52" spans="1:20" x14ac:dyDescent="0.2">
      <c r="A52" s="1">
        <v>27</v>
      </c>
      <c r="B52" s="31">
        <v>1</v>
      </c>
      <c r="C52" s="3">
        <f>'Valeur maison - Données'!B41</f>
        <v>34</v>
      </c>
      <c r="D52" s="3">
        <f>'Valeur maison - Données'!C41</f>
        <v>13400</v>
      </c>
      <c r="E52" s="3">
        <f>'Valeur maison - Données'!D41</f>
        <v>1</v>
      </c>
      <c r="F52" s="3">
        <f t="shared" ref="F52:F75" si="16">IF(E52=0,1,0)</f>
        <v>0</v>
      </c>
      <c r="G52" s="3">
        <f t="shared" ref="G52:G75" si="17">C52*F52</f>
        <v>0</v>
      </c>
      <c r="H52" s="3">
        <f t="shared" ref="H52:H75" si="18">D52*F52</f>
        <v>0</v>
      </c>
      <c r="I52" s="3">
        <f t="shared" ref="I52:I75" si="19">IF(E52=1,1,0)</f>
        <v>1</v>
      </c>
      <c r="J52" s="3">
        <f t="shared" ref="J52:J75" si="20">C52*I52</f>
        <v>34</v>
      </c>
      <c r="K52" s="3">
        <f t="shared" ref="K52:K75" si="21">D52*I52</f>
        <v>13400</v>
      </c>
      <c r="L52" s="5">
        <f t="shared" ref="L52:L75" si="22">SUMPRODUCT($A$9:$F$9,F52:K52)+$A$46</f>
        <v>723959.80721038976</v>
      </c>
      <c r="M52" s="15">
        <f t="shared" ref="M52:M75" si="23">$B$46</f>
        <v>67480.835423412354</v>
      </c>
      <c r="N52" s="15">
        <f t="shared" ref="N52:N75" si="24">NORMINV(0.1,L52,M52)</f>
        <v>637479.63692925812</v>
      </c>
      <c r="O52" s="15">
        <f t="shared" ref="O52:O75" si="25">NORMINV(0.9,L52,M52)</f>
        <v>810439.97749152139</v>
      </c>
      <c r="P52" s="3">
        <f>'Valeur maison - Données'!E41</f>
        <v>665000</v>
      </c>
      <c r="Q52">
        <f t="shared" si="15"/>
        <v>1</v>
      </c>
    </row>
    <row r="53" spans="1:20" x14ac:dyDescent="0.2">
      <c r="A53" s="1">
        <v>28</v>
      </c>
      <c r="B53" s="31">
        <v>1</v>
      </c>
      <c r="C53" s="3">
        <f>'Valeur maison - Données'!B42</f>
        <v>29</v>
      </c>
      <c r="D53" s="3">
        <f>'Valeur maison - Données'!C42</f>
        <v>10100</v>
      </c>
      <c r="E53" s="3">
        <f>'Valeur maison - Données'!D42</f>
        <v>1</v>
      </c>
      <c r="F53" s="3">
        <f t="shared" si="16"/>
        <v>0</v>
      </c>
      <c r="G53" s="3">
        <f t="shared" si="17"/>
        <v>0</v>
      </c>
      <c r="H53" s="3">
        <f t="shared" si="18"/>
        <v>0</v>
      </c>
      <c r="I53" s="3">
        <f t="shared" si="19"/>
        <v>1</v>
      </c>
      <c r="J53" s="3">
        <f t="shared" si="20"/>
        <v>29</v>
      </c>
      <c r="K53" s="3">
        <f t="shared" si="21"/>
        <v>10100</v>
      </c>
      <c r="L53" s="5">
        <f t="shared" si="22"/>
        <v>629188.14101259352</v>
      </c>
      <c r="M53" s="15">
        <f t="shared" si="23"/>
        <v>67480.835423412354</v>
      </c>
      <c r="N53" s="15">
        <f t="shared" si="24"/>
        <v>542707.97073146189</v>
      </c>
      <c r="O53" s="15">
        <f t="shared" si="25"/>
        <v>715668.31129372516</v>
      </c>
      <c r="P53" s="3">
        <f>'Valeur maison - Données'!E42</f>
        <v>505000</v>
      </c>
      <c r="Q53">
        <f t="shared" si="15"/>
        <v>0</v>
      </c>
    </row>
    <row r="54" spans="1:20" x14ac:dyDescent="0.2">
      <c r="A54" s="1">
        <v>29</v>
      </c>
      <c r="B54" s="31">
        <v>1</v>
      </c>
      <c r="C54" s="3">
        <f>'Valeur maison - Données'!B43</f>
        <v>35</v>
      </c>
      <c r="D54" s="3">
        <f>'Valeur maison - Données'!C43</f>
        <v>17200</v>
      </c>
      <c r="E54" s="3">
        <f>'Valeur maison - Données'!D43</f>
        <v>1</v>
      </c>
      <c r="F54" s="3">
        <f t="shared" si="16"/>
        <v>0</v>
      </c>
      <c r="G54" s="3">
        <f t="shared" si="17"/>
        <v>0</v>
      </c>
      <c r="H54" s="3">
        <f t="shared" si="18"/>
        <v>0</v>
      </c>
      <c r="I54" s="3">
        <f t="shared" si="19"/>
        <v>1</v>
      </c>
      <c r="J54" s="3">
        <f t="shared" si="20"/>
        <v>35</v>
      </c>
      <c r="K54" s="3">
        <f t="shared" si="21"/>
        <v>17200</v>
      </c>
      <c r="L54" s="5">
        <f t="shared" si="22"/>
        <v>733922.3455870453</v>
      </c>
      <c r="M54" s="15">
        <f t="shared" si="23"/>
        <v>67480.835423412354</v>
      </c>
      <c r="N54" s="15">
        <f t="shared" si="24"/>
        <v>647442.17530591367</v>
      </c>
      <c r="O54" s="15">
        <f t="shared" si="25"/>
        <v>820402.51586817694</v>
      </c>
      <c r="P54" s="3">
        <f>'Valeur maison - Données'!E43</f>
        <v>1049000</v>
      </c>
      <c r="Q54">
        <f t="shared" si="15"/>
        <v>0</v>
      </c>
      <c r="S54" s="4"/>
    </row>
    <row r="55" spans="1:20" x14ac:dyDescent="0.2">
      <c r="A55" s="1">
        <v>30</v>
      </c>
      <c r="B55" s="31">
        <v>1</v>
      </c>
      <c r="C55" s="3">
        <f>'Valeur maison - Données'!B44</f>
        <v>38</v>
      </c>
      <c r="D55" s="3">
        <f>'Valeur maison - Données'!C44</f>
        <v>17200</v>
      </c>
      <c r="E55" s="3">
        <f>'Valeur maison - Données'!D44</f>
        <v>1</v>
      </c>
      <c r="F55" s="3">
        <f t="shared" si="16"/>
        <v>0</v>
      </c>
      <c r="G55" s="3">
        <f t="shared" si="17"/>
        <v>0</v>
      </c>
      <c r="H55" s="3">
        <f t="shared" si="18"/>
        <v>0</v>
      </c>
      <c r="I55" s="3">
        <f t="shared" si="19"/>
        <v>1</v>
      </c>
      <c r="J55" s="3">
        <f t="shared" si="20"/>
        <v>38</v>
      </c>
      <c r="K55" s="3">
        <f t="shared" si="21"/>
        <v>17200</v>
      </c>
      <c r="L55" s="5">
        <f t="shared" si="22"/>
        <v>796455.33060143946</v>
      </c>
      <c r="M55" s="15">
        <f t="shared" si="23"/>
        <v>67480.835423412354</v>
      </c>
      <c r="N55" s="15">
        <f t="shared" si="24"/>
        <v>709975.16032030783</v>
      </c>
      <c r="O55" s="15">
        <f t="shared" si="25"/>
        <v>882935.5008825711</v>
      </c>
      <c r="P55" s="3">
        <f>'Valeur maison - Données'!E44</f>
        <v>619000</v>
      </c>
      <c r="Q55">
        <f t="shared" ref="Q55:Q62" si="26">IF(P55&gt;=N55,IF(P55&lt;=O55,1,0),0)</f>
        <v>0</v>
      </c>
      <c r="S55" s="4"/>
    </row>
    <row r="56" spans="1:20" x14ac:dyDescent="0.2">
      <c r="A56" s="1">
        <v>31</v>
      </c>
      <c r="B56" s="31">
        <v>1</v>
      </c>
      <c r="C56" s="3">
        <f>'Valeur maison - Données'!B45</f>
        <v>25</v>
      </c>
      <c r="D56" s="3">
        <f>'Valeur maison - Données'!C45</f>
        <v>7600</v>
      </c>
      <c r="E56" s="3">
        <f>'Valeur maison - Données'!D45</f>
        <v>0</v>
      </c>
      <c r="F56" s="3">
        <f t="shared" si="16"/>
        <v>1</v>
      </c>
      <c r="G56" s="3">
        <f t="shared" si="17"/>
        <v>25</v>
      </c>
      <c r="H56" s="3">
        <f t="shared" si="18"/>
        <v>7600</v>
      </c>
      <c r="I56" s="3">
        <f t="shared" si="19"/>
        <v>0</v>
      </c>
      <c r="J56" s="3">
        <f t="shared" si="20"/>
        <v>0</v>
      </c>
      <c r="K56" s="3">
        <f t="shared" si="21"/>
        <v>0</v>
      </c>
      <c r="L56" s="5">
        <f t="shared" si="22"/>
        <v>427387.89456970053</v>
      </c>
      <c r="M56" s="15">
        <f t="shared" si="23"/>
        <v>67480.835423412354</v>
      </c>
      <c r="N56" s="15">
        <f t="shared" si="24"/>
        <v>340907.72428856889</v>
      </c>
      <c r="O56" s="15">
        <f t="shared" si="25"/>
        <v>513868.06485083216</v>
      </c>
      <c r="P56" s="3">
        <f>'Valeur maison - Données'!E45</f>
        <v>447000</v>
      </c>
      <c r="Q56">
        <f t="shared" si="26"/>
        <v>1</v>
      </c>
      <c r="R56" s="4"/>
    </row>
    <row r="57" spans="1:20" x14ac:dyDescent="0.2">
      <c r="A57" s="1">
        <v>32</v>
      </c>
      <c r="B57" s="31">
        <v>1</v>
      </c>
      <c r="C57" s="3">
        <f>'Valeur maison - Données'!B46</f>
        <v>33</v>
      </c>
      <c r="D57" s="3">
        <f>'Valeur maison - Données'!C46</f>
        <v>8200</v>
      </c>
      <c r="E57" s="3">
        <f>'Valeur maison - Données'!D46</f>
        <v>1</v>
      </c>
      <c r="F57" s="3">
        <f t="shared" si="16"/>
        <v>0</v>
      </c>
      <c r="G57" s="3">
        <f t="shared" si="17"/>
        <v>0</v>
      </c>
      <c r="H57" s="3">
        <f t="shared" si="18"/>
        <v>0</v>
      </c>
      <c r="I57" s="3">
        <f t="shared" si="19"/>
        <v>1</v>
      </c>
      <c r="J57" s="3">
        <f t="shared" si="20"/>
        <v>33</v>
      </c>
      <c r="K57" s="3">
        <f t="shared" si="21"/>
        <v>8200</v>
      </c>
      <c r="L57" s="5">
        <f t="shared" si="22"/>
        <v>718006.34934585681</v>
      </c>
      <c r="M57" s="15">
        <f t="shared" si="23"/>
        <v>67480.835423412354</v>
      </c>
      <c r="N57" s="15">
        <f t="shared" si="24"/>
        <v>631526.17906472518</v>
      </c>
      <c r="O57" s="15">
        <f t="shared" si="25"/>
        <v>804486.51962698845</v>
      </c>
      <c r="P57" s="3">
        <f>'Valeur maison - Données'!E46</f>
        <v>486000</v>
      </c>
      <c r="Q57">
        <f t="shared" si="26"/>
        <v>0</v>
      </c>
    </row>
    <row r="58" spans="1:20" x14ac:dyDescent="0.2">
      <c r="A58" s="1">
        <v>33</v>
      </c>
      <c r="B58" s="31">
        <v>1</v>
      </c>
      <c r="C58" s="3">
        <f>'Valeur maison - Données'!B47</f>
        <v>20</v>
      </c>
      <c r="D58" s="3">
        <f>'Valeur maison - Données'!C47</f>
        <v>6900</v>
      </c>
      <c r="E58" s="3">
        <f>'Valeur maison - Données'!D47</f>
        <v>1</v>
      </c>
      <c r="F58" s="3">
        <f t="shared" si="16"/>
        <v>0</v>
      </c>
      <c r="G58" s="3">
        <f t="shared" si="17"/>
        <v>0</v>
      </c>
      <c r="H58" s="3">
        <f t="shared" si="18"/>
        <v>0</v>
      </c>
      <c r="I58" s="3">
        <f t="shared" si="19"/>
        <v>1</v>
      </c>
      <c r="J58" s="3">
        <f t="shared" si="20"/>
        <v>20</v>
      </c>
      <c r="K58" s="3">
        <f t="shared" si="21"/>
        <v>6900</v>
      </c>
      <c r="L58" s="5">
        <f t="shared" si="22"/>
        <v>450752.79856854875</v>
      </c>
      <c r="M58" s="15">
        <f t="shared" si="23"/>
        <v>67480.835423412354</v>
      </c>
      <c r="N58" s="15">
        <f t="shared" si="24"/>
        <v>364272.62828741712</v>
      </c>
      <c r="O58" s="15">
        <f t="shared" si="25"/>
        <v>537232.96884968039</v>
      </c>
      <c r="P58" s="3">
        <f>'Valeur maison - Données'!E47</f>
        <v>505000</v>
      </c>
      <c r="Q58">
        <f t="shared" si="26"/>
        <v>1</v>
      </c>
    </row>
    <row r="59" spans="1:20" x14ac:dyDescent="0.2">
      <c r="A59" s="1">
        <v>34</v>
      </c>
      <c r="B59" s="31">
        <v>1</v>
      </c>
      <c r="C59" s="3">
        <f>'Valeur maison - Données'!B48</f>
        <v>16</v>
      </c>
      <c r="D59" s="3">
        <f>'Valeur maison - Données'!C48</f>
        <v>5800</v>
      </c>
      <c r="E59" s="3">
        <f>'Valeur maison - Données'!D48</f>
        <v>1</v>
      </c>
      <c r="F59" s="3">
        <f t="shared" si="16"/>
        <v>0</v>
      </c>
      <c r="G59" s="3">
        <f t="shared" si="17"/>
        <v>0</v>
      </c>
      <c r="H59" s="3">
        <f t="shared" si="18"/>
        <v>0</v>
      </c>
      <c r="I59" s="3">
        <f t="shared" si="19"/>
        <v>1</v>
      </c>
      <c r="J59" s="3">
        <f t="shared" si="20"/>
        <v>16</v>
      </c>
      <c r="K59" s="3">
        <f t="shared" si="21"/>
        <v>5800</v>
      </c>
      <c r="L59" s="5">
        <f t="shared" si="22"/>
        <v>370525.4770469768</v>
      </c>
      <c r="M59" s="15">
        <f t="shared" si="23"/>
        <v>67480.835423412354</v>
      </c>
      <c r="N59" s="15">
        <f t="shared" si="24"/>
        <v>284045.30676584516</v>
      </c>
      <c r="O59" s="15">
        <f t="shared" si="25"/>
        <v>457005.64732810843</v>
      </c>
      <c r="P59" s="3">
        <f>'Valeur maison - Données'!E48</f>
        <v>639000</v>
      </c>
      <c r="Q59">
        <f t="shared" si="26"/>
        <v>0</v>
      </c>
    </row>
    <row r="60" spans="1:20" x14ac:dyDescent="0.2">
      <c r="A60" s="1">
        <v>35</v>
      </c>
      <c r="B60" s="31">
        <v>1</v>
      </c>
      <c r="C60" s="3">
        <f>'Valeur maison - Données'!B49</f>
        <v>27</v>
      </c>
      <c r="D60" s="3">
        <f>'Valeur maison - Données'!C49</f>
        <v>6100</v>
      </c>
      <c r="E60" s="3">
        <f>'Valeur maison - Données'!D49</f>
        <v>0</v>
      </c>
      <c r="F60" s="3">
        <f t="shared" si="16"/>
        <v>1</v>
      </c>
      <c r="G60" s="3">
        <f t="shared" si="17"/>
        <v>27</v>
      </c>
      <c r="H60" s="3">
        <f t="shared" si="18"/>
        <v>6100</v>
      </c>
      <c r="I60" s="3">
        <f t="shared" si="19"/>
        <v>0</v>
      </c>
      <c r="J60" s="3">
        <f t="shared" si="20"/>
        <v>0</v>
      </c>
      <c r="K60" s="3">
        <f t="shared" si="21"/>
        <v>0</v>
      </c>
      <c r="L60" s="5">
        <f t="shared" si="22"/>
        <v>327494.29997274152</v>
      </c>
      <c r="M60" s="15">
        <f t="shared" si="23"/>
        <v>67480.835423412354</v>
      </c>
      <c r="N60" s="15">
        <f t="shared" si="24"/>
        <v>241014.12969160988</v>
      </c>
      <c r="O60" s="15">
        <f t="shared" si="25"/>
        <v>413974.47025387315</v>
      </c>
      <c r="P60" s="3">
        <f>'Valeur maison - Données'!E49</f>
        <v>420000</v>
      </c>
      <c r="Q60">
        <f t="shared" si="26"/>
        <v>0</v>
      </c>
    </row>
    <row r="61" spans="1:20" x14ac:dyDescent="0.2">
      <c r="A61" s="1">
        <v>36</v>
      </c>
      <c r="B61" s="31">
        <v>1</v>
      </c>
      <c r="C61" s="3">
        <f>'Valeur maison - Données'!B50</f>
        <v>15</v>
      </c>
      <c r="D61" s="3">
        <f>'Valeur maison - Données'!C50</f>
        <v>5300</v>
      </c>
      <c r="E61" s="3">
        <f>'Valeur maison - Données'!D50</f>
        <v>1</v>
      </c>
      <c r="F61" s="3">
        <f t="shared" si="16"/>
        <v>0</v>
      </c>
      <c r="G61" s="3">
        <f t="shared" si="17"/>
        <v>0</v>
      </c>
      <c r="H61" s="3">
        <f t="shared" si="18"/>
        <v>0</v>
      </c>
      <c r="I61" s="3">
        <f t="shared" si="19"/>
        <v>1</v>
      </c>
      <c r="J61" s="3">
        <f t="shared" si="20"/>
        <v>15</v>
      </c>
      <c r="K61" s="3">
        <f t="shared" si="21"/>
        <v>5300</v>
      </c>
      <c r="L61" s="5">
        <f t="shared" si="22"/>
        <v>351112.9631774606</v>
      </c>
      <c r="M61" s="15">
        <f t="shared" si="23"/>
        <v>67480.835423412354</v>
      </c>
      <c r="N61" s="15">
        <f t="shared" si="24"/>
        <v>264632.79289632896</v>
      </c>
      <c r="O61" s="15">
        <f t="shared" si="25"/>
        <v>437593.13345859223</v>
      </c>
      <c r="P61" s="3">
        <f>'Valeur maison - Données'!E50</f>
        <v>675000</v>
      </c>
      <c r="Q61">
        <f t="shared" si="26"/>
        <v>0</v>
      </c>
    </row>
    <row r="62" spans="1:20" x14ac:dyDescent="0.2">
      <c r="A62" s="1">
        <v>37</v>
      </c>
      <c r="B62" s="31">
        <v>1</v>
      </c>
      <c r="C62" s="3">
        <f>'Valeur maison - Données'!B51</f>
        <v>12</v>
      </c>
      <c r="D62" s="3">
        <f>'Valeur maison - Données'!C51</f>
        <v>3000</v>
      </c>
      <c r="E62" s="3">
        <f>'Valeur maison - Données'!D51</f>
        <v>0</v>
      </c>
      <c r="F62" s="3">
        <f t="shared" si="16"/>
        <v>1</v>
      </c>
      <c r="G62" s="3">
        <f t="shared" si="17"/>
        <v>12</v>
      </c>
      <c r="H62" s="3">
        <f t="shared" si="18"/>
        <v>3000</v>
      </c>
      <c r="I62" s="3">
        <f t="shared" si="19"/>
        <v>0</v>
      </c>
      <c r="J62" s="3">
        <f t="shared" si="20"/>
        <v>0</v>
      </c>
      <c r="K62" s="3">
        <f t="shared" si="21"/>
        <v>0</v>
      </c>
      <c r="L62" s="5">
        <f t="shared" si="22"/>
        <v>448196.31093113421</v>
      </c>
      <c r="M62" s="15">
        <f t="shared" si="23"/>
        <v>67480.835423412354</v>
      </c>
      <c r="N62" s="15">
        <f t="shared" si="24"/>
        <v>361716.14065000258</v>
      </c>
      <c r="O62" s="15">
        <f t="shared" si="25"/>
        <v>534676.48121226591</v>
      </c>
      <c r="P62" s="3">
        <f>'Valeur maison - Données'!E51</f>
        <v>332000</v>
      </c>
      <c r="Q62">
        <f t="shared" si="26"/>
        <v>0</v>
      </c>
    </row>
    <row r="63" spans="1:20" x14ac:dyDescent="0.2">
      <c r="A63" s="1">
        <v>38</v>
      </c>
      <c r="B63" s="31">
        <v>1</v>
      </c>
      <c r="C63" s="3">
        <f>'Valeur maison - Données'!B52</f>
        <v>33</v>
      </c>
      <c r="D63" s="3">
        <f>'Valeur maison - Données'!C52</f>
        <v>6300</v>
      </c>
      <c r="E63" s="3">
        <f>'Valeur maison - Données'!D52</f>
        <v>1</v>
      </c>
      <c r="F63" s="3">
        <f t="shared" si="16"/>
        <v>0</v>
      </c>
      <c r="G63" s="3">
        <f t="shared" si="17"/>
        <v>0</v>
      </c>
      <c r="H63" s="3">
        <f t="shared" si="18"/>
        <v>0</v>
      </c>
      <c r="I63" s="3">
        <f t="shared" si="19"/>
        <v>1</v>
      </c>
      <c r="J63" s="3">
        <f t="shared" si="20"/>
        <v>33</v>
      </c>
      <c r="K63" s="3">
        <f t="shared" si="21"/>
        <v>6300</v>
      </c>
      <c r="L63" s="5">
        <f t="shared" si="22"/>
        <v>723447.24432659463</v>
      </c>
      <c r="M63" s="15">
        <f t="shared" si="23"/>
        <v>67480.835423412354</v>
      </c>
      <c r="N63" s="15">
        <f t="shared" si="24"/>
        <v>636967.074045463</v>
      </c>
      <c r="O63" s="15">
        <f t="shared" si="25"/>
        <v>809927.41460772627</v>
      </c>
      <c r="P63" s="3">
        <f>'Valeur maison - Données'!E52</f>
        <v>323000</v>
      </c>
      <c r="Q63">
        <f t="shared" ref="Q63:Q66" si="27">IF(P63&gt;=N63,IF(P63&lt;=O63,1,0),0)</f>
        <v>0</v>
      </c>
    </row>
    <row r="64" spans="1:20" x14ac:dyDescent="0.2">
      <c r="A64" s="1">
        <v>39</v>
      </c>
      <c r="B64" s="31">
        <v>1</v>
      </c>
      <c r="C64" s="3">
        <f>'Valeur maison - Données'!B53</f>
        <v>26</v>
      </c>
      <c r="D64" s="3">
        <f>'Valeur maison - Données'!C53</f>
        <v>4700</v>
      </c>
      <c r="E64" s="3">
        <f>'Valeur maison - Données'!D53</f>
        <v>0</v>
      </c>
      <c r="F64" s="3">
        <f t="shared" si="16"/>
        <v>1</v>
      </c>
      <c r="G64" s="3">
        <f t="shared" si="17"/>
        <v>26</v>
      </c>
      <c r="H64" s="3">
        <f t="shared" si="18"/>
        <v>4700</v>
      </c>
      <c r="I64" s="3">
        <f t="shared" si="19"/>
        <v>0</v>
      </c>
      <c r="J64" s="3">
        <f t="shared" si="20"/>
        <v>0</v>
      </c>
      <c r="K64" s="3">
        <f t="shared" si="21"/>
        <v>0</v>
      </c>
      <c r="L64" s="5">
        <f t="shared" si="22"/>
        <v>283275.59975795128</v>
      </c>
      <c r="M64" s="15">
        <f t="shared" si="23"/>
        <v>67480.835423412354</v>
      </c>
      <c r="N64" s="15">
        <f t="shared" si="24"/>
        <v>196795.42947681964</v>
      </c>
      <c r="O64" s="15">
        <f t="shared" si="25"/>
        <v>369755.77003908291</v>
      </c>
      <c r="P64" s="3">
        <f>'Valeur maison - Données'!E53</f>
        <v>440000</v>
      </c>
      <c r="Q64">
        <f t="shared" si="27"/>
        <v>0</v>
      </c>
    </row>
    <row r="65" spans="1:17" x14ac:dyDescent="0.2">
      <c r="A65" s="1">
        <v>40</v>
      </c>
      <c r="B65" s="31">
        <v>1</v>
      </c>
      <c r="C65" s="3">
        <f>'Valeur maison - Données'!B54</f>
        <v>16</v>
      </c>
      <c r="D65" s="3">
        <f>'Valeur maison - Données'!C54</f>
        <v>2900</v>
      </c>
      <c r="E65" s="3">
        <f>'Valeur maison - Données'!D54</f>
        <v>0</v>
      </c>
      <c r="F65" s="3">
        <f t="shared" si="16"/>
        <v>1</v>
      </c>
      <c r="G65" s="3">
        <f t="shared" si="17"/>
        <v>16</v>
      </c>
      <c r="H65" s="3">
        <f t="shared" si="18"/>
        <v>2900</v>
      </c>
      <c r="I65" s="3">
        <f t="shared" si="19"/>
        <v>0</v>
      </c>
      <c r="J65" s="3">
        <f t="shared" si="20"/>
        <v>0</v>
      </c>
      <c r="K65" s="3">
        <f t="shared" si="21"/>
        <v>0</v>
      </c>
      <c r="L65" s="5">
        <f t="shared" si="22"/>
        <v>375423.0486155799</v>
      </c>
      <c r="M65" s="15">
        <f t="shared" si="23"/>
        <v>67480.835423412354</v>
      </c>
      <c r="N65" s="15">
        <f t="shared" si="24"/>
        <v>288942.87833444827</v>
      </c>
      <c r="O65" s="15">
        <f t="shared" si="25"/>
        <v>461903.21889671154</v>
      </c>
      <c r="P65" s="3">
        <f>'Valeur maison - Données'!E54</f>
        <v>321000</v>
      </c>
      <c r="Q65">
        <f t="shared" si="27"/>
        <v>1</v>
      </c>
    </row>
    <row r="66" spans="1:17" x14ac:dyDescent="0.2">
      <c r="A66" s="1">
        <v>41</v>
      </c>
      <c r="B66" s="31">
        <v>1</v>
      </c>
      <c r="C66" s="3">
        <f>'Valeur maison - Données'!B55</f>
        <v>31</v>
      </c>
      <c r="D66" s="3">
        <f>'Valeur maison - Données'!C55</f>
        <v>10900</v>
      </c>
      <c r="E66" s="3">
        <f>'Valeur maison - Données'!D55</f>
        <v>1</v>
      </c>
      <c r="F66" s="3">
        <f t="shared" si="16"/>
        <v>0</v>
      </c>
      <c r="G66" s="3">
        <f t="shared" si="17"/>
        <v>0</v>
      </c>
      <c r="H66" s="3">
        <f t="shared" si="18"/>
        <v>0</v>
      </c>
      <c r="I66" s="3">
        <f t="shared" si="19"/>
        <v>1</v>
      </c>
      <c r="J66" s="3">
        <f t="shared" si="20"/>
        <v>31</v>
      </c>
      <c r="K66" s="3">
        <f t="shared" si="21"/>
        <v>10900</v>
      </c>
      <c r="L66" s="5">
        <f t="shared" si="22"/>
        <v>668585.89453907195</v>
      </c>
      <c r="M66" s="15">
        <f t="shared" si="23"/>
        <v>67480.835423412354</v>
      </c>
      <c r="N66" s="15">
        <f t="shared" si="24"/>
        <v>582105.72425794031</v>
      </c>
      <c r="O66" s="15">
        <f t="shared" si="25"/>
        <v>755066.06482020358</v>
      </c>
      <c r="P66" s="3">
        <f>'Valeur maison - Données'!E55</f>
        <v>701000</v>
      </c>
      <c r="Q66">
        <f t="shared" si="27"/>
        <v>1</v>
      </c>
    </row>
    <row r="67" spans="1:17" x14ac:dyDescent="0.2">
      <c r="A67" s="1">
        <v>42</v>
      </c>
      <c r="B67" s="31">
        <v>1</v>
      </c>
      <c r="C67" s="3">
        <f>'Valeur maison - Données'!B56</f>
        <v>21</v>
      </c>
      <c r="D67" s="3">
        <f>'Valeur maison - Données'!C56</f>
        <v>6400</v>
      </c>
      <c r="E67" s="3">
        <f>'Valeur maison - Données'!D56</f>
        <v>1</v>
      </c>
      <c r="F67" s="3">
        <f t="shared" si="16"/>
        <v>0</v>
      </c>
      <c r="G67" s="3">
        <f t="shared" si="17"/>
        <v>0</v>
      </c>
      <c r="H67" s="3">
        <f t="shared" si="18"/>
        <v>0</v>
      </c>
      <c r="I67" s="3">
        <f t="shared" si="19"/>
        <v>1</v>
      </c>
      <c r="J67" s="3">
        <f t="shared" si="20"/>
        <v>21</v>
      </c>
      <c r="K67" s="3">
        <f t="shared" si="21"/>
        <v>6400</v>
      </c>
      <c r="L67" s="5">
        <f t="shared" si="22"/>
        <v>473028.94137529528</v>
      </c>
      <c r="M67" s="15">
        <f t="shared" si="23"/>
        <v>67480.835423412354</v>
      </c>
      <c r="N67" s="15">
        <f t="shared" si="24"/>
        <v>386548.77109416365</v>
      </c>
      <c r="O67" s="15">
        <f t="shared" si="25"/>
        <v>559509.11165642692</v>
      </c>
      <c r="P67" s="3">
        <f>'Valeur maison - Données'!E56</f>
        <v>425000</v>
      </c>
      <c r="Q67">
        <f t="shared" ref="Q67:Q69" si="28">IF(P67&gt;=N67,IF(P67&lt;=O67,1,0),0)</f>
        <v>1</v>
      </c>
    </row>
    <row r="68" spans="1:17" x14ac:dyDescent="0.2">
      <c r="A68" s="1">
        <v>43</v>
      </c>
      <c r="B68" s="31">
        <v>1</v>
      </c>
      <c r="C68" s="3">
        <f>'Valeur maison - Données'!B57</f>
        <v>3</v>
      </c>
      <c r="D68" s="3">
        <f>'Valeur maison - Données'!C57</f>
        <v>1200</v>
      </c>
      <c r="E68" s="3">
        <f>'Valeur maison - Données'!D57</f>
        <v>0</v>
      </c>
      <c r="F68" s="3">
        <f t="shared" si="16"/>
        <v>1</v>
      </c>
      <c r="G68" s="3">
        <f t="shared" si="17"/>
        <v>3</v>
      </c>
      <c r="H68" s="3">
        <f t="shared" si="18"/>
        <v>1200</v>
      </c>
      <c r="I68" s="3">
        <f t="shared" si="19"/>
        <v>0</v>
      </c>
      <c r="J68" s="3">
        <f t="shared" si="20"/>
        <v>0</v>
      </c>
      <c r="K68" s="3">
        <f t="shared" si="21"/>
        <v>0</v>
      </c>
      <c r="L68" s="5">
        <f t="shared" si="22"/>
        <v>523245.39185537741</v>
      </c>
      <c r="M68" s="15">
        <f t="shared" si="23"/>
        <v>67480.835423412354</v>
      </c>
      <c r="N68" s="15">
        <f t="shared" si="24"/>
        <v>436765.22157424578</v>
      </c>
      <c r="O68" s="15">
        <f t="shared" si="25"/>
        <v>609725.56213650911</v>
      </c>
      <c r="P68" s="3">
        <f>'Valeur maison - Données'!E57</f>
        <v>493000</v>
      </c>
      <c r="Q68">
        <f t="shared" si="28"/>
        <v>1</v>
      </c>
    </row>
    <row r="69" spans="1:17" x14ac:dyDescent="0.2">
      <c r="A69" s="1">
        <v>44</v>
      </c>
      <c r="B69" s="31">
        <v>1</v>
      </c>
      <c r="C69" s="3">
        <f>'Valeur maison - Données'!B58</f>
        <v>5</v>
      </c>
      <c r="D69" s="3">
        <f>'Valeur maison - Données'!C58</f>
        <v>1500</v>
      </c>
      <c r="E69" s="3">
        <f>'Valeur maison - Données'!D58</f>
        <v>0</v>
      </c>
      <c r="F69" s="3">
        <f t="shared" si="16"/>
        <v>1</v>
      </c>
      <c r="G69" s="3">
        <f t="shared" si="17"/>
        <v>5</v>
      </c>
      <c r="H69" s="3">
        <f t="shared" si="18"/>
        <v>1500</v>
      </c>
      <c r="I69" s="3">
        <f t="shared" si="19"/>
        <v>0</v>
      </c>
      <c r="J69" s="3">
        <f t="shared" si="20"/>
        <v>0</v>
      </c>
      <c r="K69" s="3">
        <f t="shared" si="21"/>
        <v>0</v>
      </c>
      <c r="L69" s="5">
        <f t="shared" si="22"/>
        <v>502188.02773464413</v>
      </c>
      <c r="M69" s="15">
        <f t="shared" si="23"/>
        <v>67480.835423412354</v>
      </c>
      <c r="N69" s="15">
        <f t="shared" si="24"/>
        <v>415707.85745351249</v>
      </c>
      <c r="O69" s="15">
        <f t="shared" si="25"/>
        <v>588668.19801577576</v>
      </c>
      <c r="P69" s="3">
        <f>'Valeur maison - Données'!E58</f>
        <v>476000</v>
      </c>
      <c r="Q69">
        <f t="shared" si="28"/>
        <v>1</v>
      </c>
    </row>
    <row r="70" spans="1:17" x14ac:dyDescent="0.2">
      <c r="A70" s="1">
        <v>45</v>
      </c>
      <c r="B70" s="31">
        <v>1</v>
      </c>
      <c r="C70" s="3">
        <f>'Valeur maison - Données'!B59</f>
        <v>4</v>
      </c>
      <c r="D70" s="3">
        <f>'Valeur maison - Données'!C59</f>
        <v>3000</v>
      </c>
      <c r="E70" s="3">
        <f>'Valeur maison - Données'!D59</f>
        <v>0</v>
      </c>
      <c r="F70" s="3">
        <f t="shared" si="16"/>
        <v>1</v>
      </c>
      <c r="G70" s="3">
        <f t="shared" si="17"/>
        <v>4</v>
      </c>
      <c r="H70" s="3">
        <f t="shared" si="18"/>
        <v>3000</v>
      </c>
      <c r="I70" s="3">
        <f t="shared" si="19"/>
        <v>0</v>
      </c>
      <c r="J70" s="3">
        <f t="shared" si="20"/>
        <v>0</v>
      </c>
      <c r="K70" s="3">
        <f t="shared" si="21"/>
        <v>0</v>
      </c>
      <c r="L70" s="5">
        <f t="shared" si="22"/>
        <v>584983.25439821789</v>
      </c>
      <c r="M70" s="15">
        <f t="shared" si="23"/>
        <v>67480.835423412354</v>
      </c>
      <c r="N70" s="15">
        <f t="shared" si="24"/>
        <v>498503.08411708625</v>
      </c>
      <c r="O70" s="15">
        <f t="shared" si="25"/>
        <v>671463.42467934953</v>
      </c>
      <c r="P70" s="3">
        <f>'Valeur maison - Données'!E59</f>
        <v>564000</v>
      </c>
      <c r="Q70">
        <f t="shared" ref="Q70:Q75" si="29">IF(P70&gt;=N70,IF(P70&lt;=O70,1,0),0)</f>
        <v>1</v>
      </c>
    </row>
    <row r="71" spans="1:17" x14ac:dyDescent="0.2">
      <c r="A71" s="1">
        <v>46</v>
      </c>
      <c r="B71" s="31">
        <v>1</v>
      </c>
      <c r="C71" s="3">
        <f>'Valeur maison - Données'!B60</f>
        <v>10</v>
      </c>
      <c r="D71" s="3">
        <f>'Valeur maison - Données'!C60</f>
        <v>1400</v>
      </c>
      <c r="E71" s="3">
        <f>'Valeur maison - Données'!D60</f>
        <v>0</v>
      </c>
      <c r="F71" s="3">
        <f t="shared" si="16"/>
        <v>1</v>
      </c>
      <c r="G71" s="3">
        <f t="shared" si="17"/>
        <v>10</v>
      </c>
      <c r="H71" s="3">
        <f t="shared" si="18"/>
        <v>1400</v>
      </c>
      <c r="I71" s="3">
        <f t="shared" si="19"/>
        <v>0</v>
      </c>
      <c r="J71" s="3">
        <f t="shared" si="20"/>
        <v>0</v>
      </c>
      <c r="K71" s="3">
        <f t="shared" si="21"/>
        <v>0</v>
      </c>
      <c r="L71" s="5">
        <f t="shared" si="22"/>
        <v>412316.39748570439</v>
      </c>
      <c r="M71" s="15">
        <f t="shared" si="23"/>
        <v>67480.835423412354</v>
      </c>
      <c r="N71" s="15">
        <f t="shared" si="24"/>
        <v>325836.22720457276</v>
      </c>
      <c r="O71" s="15">
        <f t="shared" si="25"/>
        <v>498796.56776683603</v>
      </c>
      <c r="P71" s="3">
        <f>'Valeur maison - Données'!E60</f>
        <v>539000</v>
      </c>
      <c r="Q71">
        <f t="shared" si="29"/>
        <v>0</v>
      </c>
    </row>
    <row r="72" spans="1:17" x14ac:dyDescent="0.2">
      <c r="A72" s="1">
        <v>47</v>
      </c>
      <c r="B72" s="31">
        <v>1</v>
      </c>
      <c r="C72" s="3">
        <f>'Valeur maison - Données'!B61</f>
        <v>13</v>
      </c>
      <c r="D72" s="3">
        <f>'Valeur maison - Données'!C61</f>
        <v>1900</v>
      </c>
      <c r="E72" s="3">
        <f>'Valeur maison - Données'!D61</f>
        <v>0</v>
      </c>
      <c r="F72" s="3">
        <f t="shared" si="16"/>
        <v>1</v>
      </c>
      <c r="G72" s="3">
        <f t="shared" si="17"/>
        <v>13</v>
      </c>
      <c r="H72" s="3">
        <f t="shared" si="18"/>
        <v>1900</v>
      </c>
      <c r="I72" s="3">
        <f t="shared" si="19"/>
        <v>0</v>
      </c>
      <c r="J72" s="3">
        <f t="shared" si="20"/>
        <v>0</v>
      </c>
      <c r="K72" s="3">
        <f t="shared" si="21"/>
        <v>0</v>
      </c>
      <c r="L72" s="5">
        <f t="shared" si="22"/>
        <v>382920.24659561081</v>
      </c>
      <c r="M72" s="15">
        <f t="shared" si="23"/>
        <v>67480.835423412354</v>
      </c>
      <c r="N72" s="15">
        <f t="shared" si="24"/>
        <v>296440.07631447917</v>
      </c>
      <c r="O72" s="15">
        <f t="shared" si="25"/>
        <v>469400.41687674244</v>
      </c>
      <c r="P72" s="3">
        <f>'Valeur maison - Données'!E61</f>
        <v>248000</v>
      </c>
      <c r="Q72">
        <f t="shared" si="29"/>
        <v>0</v>
      </c>
    </row>
    <row r="73" spans="1:17" x14ac:dyDescent="0.2">
      <c r="A73" s="1">
        <v>48</v>
      </c>
      <c r="B73" s="31">
        <v>1</v>
      </c>
      <c r="C73" s="3">
        <f>'Valeur maison - Données'!B62</f>
        <v>12</v>
      </c>
      <c r="D73" s="3">
        <f>'Valeur maison - Données'!C62</f>
        <v>3700</v>
      </c>
      <c r="E73" s="3">
        <f>'Valeur maison - Données'!D62</f>
        <v>0</v>
      </c>
      <c r="F73" s="3">
        <f t="shared" si="16"/>
        <v>1</v>
      </c>
      <c r="G73" s="3">
        <f t="shared" si="17"/>
        <v>12</v>
      </c>
      <c r="H73" s="3">
        <f t="shared" si="18"/>
        <v>3700</v>
      </c>
      <c r="I73" s="3">
        <f t="shared" si="19"/>
        <v>0</v>
      </c>
      <c r="J73" s="3">
        <f t="shared" si="20"/>
        <v>0</v>
      </c>
      <c r="K73" s="3">
        <f t="shared" si="21"/>
        <v>0</v>
      </c>
      <c r="L73" s="5">
        <f t="shared" si="22"/>
        <v>478854.84500522201</v>
      </c>
      <c r="M73" s="15">
        <f t="shared" si="23"/>
        <v>67480.835423412354</v>
      </c>
      <c r="N73" s="15">
        <f t="shared" si="24"/>
        <v>392374.67472409038</v>
      </c>
      <c r="O73" s="15">
        <f t="shared" si="25"/>
        <v>565335.01528635365</v>
      </c>
      <c r="P73" s="3">
        <f>'Valeur maison - Données'!E62</f>
        <v>489000</v>
      </c>
      <c r="Q73">
        <f t="shared" si="29"/>
        <v>1</v>
      </c>
    </row>
    <row r="74" spans="1:17" x14ac:dyDescent="0.2">
      <c r="A74" s="1">
        <v>49</v>
      </c>
      <c r="B74" s="31">
        <v>1</v>
      </c>
      <c r="C74" s="3">
        <f>'Valeur maison - Données'!B63</f>
        <v>6</v>
      </c>
      <c r="D74" s="3">
        <f>'Valeur maison - Données'!C63</f>
        <v>1200</v>
      </c>
      <c r="E74" s="3">
        <f>'Valeur maison - Données'!D63</f>
        <v>0</v>
      </c>
      <c r="F74" s="3">
        <f t="shared" si="16"/>
        <v>1</v>
      </c>
      <c r="G74" s="3">
        <f t="shared" si="17"/>
        <v>6</v>
      </c>
      <c r="H74" s="3">
        <f t="shared" si="18"/>
        <v>1200</v>
      </c>
      <c r="I74" s="3">
        <f t="shared" si="19"/>
        <v>0</v>
      </c>
      <c r="J74" s="3">
        <f t="shared" si="20"/>
        <v>0</v>
      </c>
      <c r="K74" s="3">
        <f t="shared" si="21"/>
        <v>0</v>
      </c>
      <c r="L74" s="5">
        <f t="shared" si="22"/>
        <v>471950.28805522108</v>
      </c>
      <c r="M74" s="15">
        <f t="shared" si="23"/>
        <v>67480.835423412354</v>
      </c>
      <c r="N74" s="15">
        <f t="shared" si="24"/>
        <v>385470.11777408945</v>
      </c>
      <c r="O74" s="15">
        <f t="shared" si="25"/>
        <v>558430.45833635272</v>
      </c>
      <c r="P74" s="3">
        <f>'Valeur maison - Données'!E63</f>
        <v>495000</v>
      </c>
      <c r="Q74">
        <f t="shared" si="29"/>
        <v>1</v>
      </c>
    </row>
    <row r="75" spans="1:17" x14ac:dyDescent="0.2">
      <c r="A75" s="1">
        <v>50</v>
      </c>
      <c r="B75" s="31">
        <v>1</v>
      </c>
      <c r="C75" s="3">
        <f>'Valeur maison - Données'!B64</f>
        <v>31</v>
      </c>
      <c r="D75" s="3">
        <f>'Valeur maison - Données'!C64</f>
        <v>13700</v>
      </c>
      <c r="E75" s="3">
        <f>'Valeur maison - Données'!D64</f>
        <v>1</v>
      </c>
      <c r="F75" s="3">
        <f t="shared" si="16"/>
        <v>0</v>
      </c>
      <c r="G75" s="3">
        <f t="shared" si="17"/>
        <v>0</v>
      </c>
      <c r="H75" s="3">
        <f t="shared" si="18"/>
        <v>0</v>
      </c>
      <c r="I75" s="3">
        <f t="shared" si="19"/>
        <v>1</v>
      </c>
      <c r="J75" s="3">
        <f t="shared" si="20"/>
        <v>31</v>
      </c>
      <c r="K75" s="3">
        <f t="shared" si="21"/>
        <v>13700</v>
      </c>
      <c r="L75" s="5">
        <f t="shared" si="22"/>
        <v>660567.73351482651</v>
      </c>
      <c r="M75" s="15">
        <f t="shared" si="23"/>
        <v>67480.835423412354</v>
      </c>
      <c r="N75" s="15">
        <f t="shared" si="24"/>
        <v>574087.56323369488</v>
      </c>
      <c r="O75" s="15">
        <f t="shared" si="25"/>
        <v>747047.90379595815</v>
      </c>
      <c r="P75" s="3">
        <f>'Valeur maison - Données'!E64</f>
        <v>765000</v>
      </c>
      <c r="Q75">
        <f t="shared" si="29"/>
        <v>0</v>
      </c>
    </row>
    <row r="76" spans="1:17" x14ac:dyDescent="0.2">
      <c r="M76" s="15"/>
      <c r="P76" s="4" t="s">
        <v>40</v>
      </c>
      <c r="Q76" s="20">
        <f>AVERAGE(Q51:Q75)</f>
        <v>0.44</v>
      </c>
    </row>
    <row r="77" spans="1:17" x14ac:dyDescent="0.2">
      <c r="M77" s="15"/>
      <c r="P77" s="4" t="s">
        <v>73</v>
      </c>
      <c r="Q77" s="21">
        <f>2*_xlfn.NORM.DIST(-ABS(Q76-0.8)/SQRT(0.8*0.2/COUNT(Q51:Q75)),0,1,TRUE)</f>
        <v>6.795346249460107E-6</v>
      </c>
    </row>
    <row r="78" spans="1:17" x14ac:dyDescent="0.2">
      <c r="A78" s="34"/>
      <c r="M78" s="15"/>
      <c r="N78" s="4"/>
    </row>
    <row r="79" spans="1:17" x14ac:dyDescent="0.2">
      <c r="A79" s="4"/>
    </row>
  </sheetData>
  <mergeCells count="1">
    <mergeCell ref="N49:O49"/>
  </mergeCells>
  <pageMargins left="0.7" right="0.7" top="0.75" bottom="0.75" header="0.3" footer="0.3"/>
  <pageSetup paperSize="119" scale="47"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75" defaultRowHeight="18"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F23"/>
  <sheetViews>
    <sheetView zoomScale="85" zoomScaleNormal="85" zoomScalePageLayoutView="85" workbookViewId="0"/>
  </sheetViews>
  <sheetFormatPr baseColWidth="10" defaultColWidth="8.75" defaultRowHeight="18" x14ac:dyDescent="0.2"/>
  <cols>
    <col min="1" max="1" width="21.75" customWidth="1"/>
  </cols>
  <sheetData>
    <row r="2" spans="1:32" x14ac:dyDescent="0.2">
      <c r="A2" t="s">
        <v>17</v>
      </c>
    </row>
    <row r="3" spans="1:32" x14ac:dyDescent="0.2">
      <c r="B3">
        <v>1980</v>
      </c>
      <c r="C3">
        <v>1981</v>
      </c>
      <c r="D3">
        <v>1982</v>
      </c>
      <c r="E3">
        <v>1983</v>
      </c>
      <c r="F3">
        <v>1984</v>
      </c>
      <c r="G3">
        <v>1985</v>
      </c>
      <c r="H3">
        <v>1986</v>
      </c>
      <c r="I3">
        <v>1987</v>
      </c>
      <c r="J3">
        <v>1988</v>
      </c>
      <c r="K3">
        <v>1989</v>
      </c>
      <c r="L3">
        <v>1990</v>
      </c>
      <c r="M3">
        <v>1991</v>
      </c>
      <c r="N3">
        <v>1992</v>
      </c>
      <c r="O3">
        <v>1993</v>
      </c>
      <c r="P3">
        <v>1994</v>
      </c>
      <c r="Q3">
        <v>1995</v>
      </c>
      <c r="R3">
        <v>1996</v>
      </c>
      <c r="S3">
        <v>1997</v>
      </c>
      <c r="T3">
        <v>1998</v>
      </c>
      <c r="U3">
        <v>1999</v>
      </c>
      <c r="V3">
        <v>2000</v>
      </c>
      <c r="W3">
        <v>2001</v>
      </c>
      <c r="X3">
        <v>2002</v>
      </c>
      <c r="Y3">
        <v>2003</v>
      </c>
      <c r="Z3">
        <v>2004</v>
      </c>
      <c r="AA3">
        <v>2005</v>
      </c>
      <c r="AB3">
        <v>2006</v>
      </c>
      <c r="AC3">
        <v>2007</v>
      </c>
      <c r="AD3">
        <v>2008</v>
      </c>
      <c r="AE3">
        <v>2009</v>
      </c>
      <c r="AF3">
        <v>2010</v>
      </c>
    </row>
    <row r="4" spans="1:32" x14ac:dyDescent="0.2">
      <c r="A4" t="s">
        <v>45</v>
      </c>
      <c r="B4">
        <v>0</v>
      </c>
      <c r="C4">
        <v>0</v>
      </c>
      <c r="D4">
        <v>0</v>
      </c>
      <c r="E4">
        <v>0</v>
      </c>
      <c r="F4">
        <v>1</v>
      </c>
      <c r="G4">
        <v>1</v>
      </c>
      <c r="H4">
        <v>1</v>
      </c>
      <c r="I4">
        <v>0</v>
      </c>
      <c r="J4">
        <v>0</v>
      </c>
      <c r="K4">
        <v>0</v>
      </c>
      <c r="L4">
        <v>1</v>
      </c>
      <c r="M4">
        <v>0</v>
      </c>
      <c r="N4">
        <v>0</v>
      </c>
      <c r="O4">
        <v>0</v>
      </c>
      <c r="P4">
        <v>1</v>
      </c>
      <c r="Q4">
        <v>1</v>
      </c>
      <c r="R4">
        <v>0</v>
      </c>
      <c r="S4">
        <v>1</v>
      </c>
      <c r="T4">
        <v>0</v>
      </c>
      <c r="U4">
        <v>0</v>
      </c>
      <c r="V4">
        <v>0</v>
      </c>
      <c r="W4">
        <v>1</v>
      </c>
      <c r="X4">
        <v>0</v>
      </c>
      <c r="Y4">
        <v>0</v>
      </c>
      <c r="Z4">
        <v>0</v>
      </c>
      <c r="AA4">
        <v>0</v>
      </c>
      <c r="AB4">
        <v>0</v>
      </c>
      <c r="AC4">
        <v>0</v>
      </c>
      <c r="AD4">
        <v>0</v>
      </c>
      <c r="AE4">
        <v>0</v>
      </c>
      <c r="AF4">
        <v>0</v>
      </c>
    </row>
    <row r="5" spans="1:32" x14ac:dyDescent="0.2">
      <c r="A5" t="s">
        <v>46</v>
      </c>
      <c r="B5">
        <v>1</v>
      </c>
      <c r="C5">
        <v>0</v>
      </c>
      <c r="D5">
        <v>0</v>
      </c>
      <c r="E5">
        <v>0</v>
      </c>
      <c r="F5">
        <v>0</v>
      </c>
      <c r="G5">
        <v>0</v>
      </c>
      <c r="H5">
        <v>0</v>
      </c>
      <c r="I5">
        <v>0</v>
      </c>
      <c r="J5">
        <v>1</v>
      </c>
      <c r="K5">
        <v>0</v>
      </c>
      <c r="L5">
        <v>1</v>
      </c>
      <c r="M5">
        <v>0</v>
      </c>
      <c r="N5">
        <v>0</v>
      </c>
      <c r="O5">
        <v>0</v>
      </c>
      <c r="P5">
        <v>0</v>
      </c>
      <c r="Q5">
        <v>0</v>
      </c>
      <c r="R5">
        <v>0</v>
      </c>
      <c r="S5">
        <v>0</v>
      </c>
      <c r="T5">
        <v>0</v>
      </c>
      <c r="U5">
        <v>0</v>
      </c>
      <c r="V5">
        <v>0</v>
      </c>
      <c r="W5">
        <v>0</v>
      </c>
      <c r="X5">
        <v>1</v>
      </c>
      <c r="Y5">
        <v>1</v>
      </c>
      <c r="Z5">
        <v>0</v>
      </c>
      <c r="AA5">
        <v>0</v>
      </c>
      <c r="AB5">
        <v>1</v>
      </c>
      <c r="AC5">
        <v>0</v>
      </c>
      <c r="AD5">
        <v>0</v>
      </c>
      <c r="AE5">
        <v>1</v>
      </c>
      <c r="AF5">
        <v>0</v>
      </c>
    </row>
    <row r="6" spans="1:32" x14ac:dyDescent="0.2">
      <c r="A6" t="s">
        <v>47</v>
      </c>
      <c r="B6">
        <v>0</v>
      </c>
      <c r="C6">
        <v>0</v>
      </c>
      <c r="D6">
        <v>0</v>
      </c>
      <c r="E6">
        <v>1</v>
      </c>
      <c r="F6">
        <v>0</v>
      </c>
      <c r="G6">
        <v>0</v>
      </c>
      <c r="H6">
        <v>0</v>
      </c>
      <c r="I6">
        <v>0</v>
      </c>
      <c r="J6">
        <v>0</v>
      </c>
      <c r="K6">
        <v>1</v>
      </c>
      <c r="L6">
        <v>1</v>
      </c>
      <c r="M6">
        <v>1</v>
      </c>
      <c r="N6">
        <v>0</v>
      </c>
      <c r="O6">
        <v>1</v>
      </c>
      <c r="P6">
        <v>0</v>
      </c>
      <c r="Q6">
        <v>0</v>
      </c>
      <c r="R6">
        <v>2</v>
      </c>
      <c r="S6">
        <v>0</v>
      </c>
      <c r="T6">
        <v>1</v>
      </c>
      <c r="U6">
        <v>0</v>
      </c>
      <c r="V6">
        <v>1</v>
      </c>
      <c r="W6">
        <v>0</v>
      </c>
      <c r="X6">
        <v>0</v>
      </c>
      <c r="Y6">
        <v>0</v>
      </c>
      <c r="Z6">
        <v>0</v>
      </c>
      <c r="AA6">
        <v>0</v>
      </c>
      <c r="AB6">
        <v>1</v>
      </c>
      <c r="AC6">
        <v>0</v>
      </c>
      <c r="AD6">
        <v>0</v>
      </c>
      <c r="AE6">
        <v>0</v>
      </c>
      <c r="AF6">
        <v>1</v>
      </c>
    </row>
    <row r="7" spans="1:32" x14ac:dyDescent="0.2">
      <c r="A7" t="s">
        <v>48</v>
      </c>
      <c r="B7">
        <v>0</v>
      </c>
      <c r="C7">
        <v>0</v>
      </c>
      <c r="D7">
        <v>0</v>
      </c>
      <c r="E7">
        <v>0</v>
      </c>
      <c r="F7">
        <v>0</v>
      </c>
      <c r="G7">
        <v>0</v>
      </c>
      <c r="H7">
        <v>1</v>
      </c>
      <c r="I7">
        <v>0</v>
      </c>
      <c r="J7">
        <v>1</v>
      </c>
      <c r="K7">
        <v>1</v>
      </c>
      <c r="L7">
        <v>0</v>
      </c>
      <c r="M7">
        <v>0</v>
      </c>
      <c r="N7">
        <v>1</v>
      </c>
      <c r="O7">
        <v>0</v>
      </c>
      <c r="P7">
        <v>0</v>
      </c>
      <c r="Q7">
        <v>0</v>
      </c>
      <c r="R7">
        <v>1</v>
      </c>
      <c r="S7">
        <v>1</v>
      </c>
      <c r="T7">
        <v>0</v>
      </c>
      <c r="U7">
        <v>0</v>
      </c>
      <c r="V7">
        <v>1</v>
      </c>
      <c r="W7">
        <v>0</v>
      </c>
      <c r="X7">
        <v>0</v>
      </c>
      <c r="Y7">
        <v>0</v>
      </c>
      <c r="Z7">
        <v>0</v>
      </c>
      <c r="AA7">
        <v>0</v>
      </c>
      <c r="AB7">
        <v>0</v>
      </c>
      <c r="AC7">
        <v>0</v>
      </c>
      <c r="AD7">
        <v>0</v>
      </c>
      <c r="AE7">
        <v>2</v>
      </c>
      <c r="AF7">
        <v>0</v>
      </c>
    </row>
    <row r="8" spans="1:32" x14ac:dyDescent="0.2">
      <c r="A8" t="s">
        <v>49</v>
      </c>
      <c r="B8">
        <v>0</v>
      </c>
      <c r="C8">
        <v>0</v>
      </c>
      <c r="D8">
        <v>0</v>
      </c>
      <c r="E8">
        <v>0</v>
      </c>
      <c r="F8">
        <v>0</v>
      </c>
      <c r="G8">
        <v>0</v>
      </c>
      <c r="H8">
        <v>1</v>
      </c>
      <c r="I8">
        <v>0</v>
      </c>
      <c r="J8">
        <v>0</v>
      </c>
      <c r="K8">
        <v>0</v>
      </c>
      <c r="L8">
        <v>0</v>
      </c>
      <c r="M8">
        <v>1</v>
      </c>
      <c r="N8">
        <v>0</v>
      </c>
      <c r="O8">
        <v>0</v>
      </c>
      <c r="P8">
        <v>0</v>
      </c>
      <c r="Q8">
        <v>1</v>
      </c>
      <c r="R8">
        <v>0</v>
      </c>
      <c r="S8">
        <v>1</v>
      </c>
      <c r="T8">
        <v>0</v>
      </c>
      <c r="U8">
        <v>0</v>
      </c>
      <c r="V8">
        <v>0</v>
      </c>
      <c r="W8">
        <v>0</v>
      </c>
      <c r="X8">
        <v>2</v>
      </c>
      <c r="Y8">
        <v>0</v>
      </c>
      <c r="Z8">
        <v>0</v>
      </c>
      <c r="AA8">
        <v>0</v>
      </c>
      <c r="AB8">
        <v>0</v>
      </c>
      <c r="AC8">
        <v>0</v>
      </c>
      <c r="AD8">
        <v>0</v>
      </c>
      <c r="AE8">
        <v>0</v>
      </c>
      <c r="AF8">
        <v>0</v>
      </c>
    </row>
    <row r="9" spans="1:32" x14ac:dyDescent="0.2">
      <c r="A9" t="s">
        <v>50</v>
      </c>
      <c r="B9">
        <v>0</v>
      </c>
      <c r="C9">
        <v>1</v>
      </c>
      <c r="D9">
        <v>0</v>
      </c>
      <c r="E9">
        <v>0</v>
      </c>
      <c r="F9">
        <v>0</v>
      </c>
      <c r="G9">
        <v>0</v>
      </c>
      <c r="H9">
        <v>0</v>
      </c>
      <c r="I9">
        <v>0</v>
      </c>
      <c r="J9">
        <v>0</v>
      </c>
      <c r="K9">
        <v>0</v>
      </c>
      <c r="L9">
        <v>1</v>
      </c>
      <c r="M9">
        <v>0</v>
      </c>
      <c r="N9">
        <v>2</v>
      </c>
      <c r="O9">
        <v>0</v>
      </c>
      <c r="P9">
        <v>1</v>
      </c>
      <c r="Q9">
        <v>0</v>
      </c>
      <c r="R9">
        <v>0</v>
      </c>
      <c r="S9">
        <v>1</v>
      </c>
      <c r="T9">
        <v>0</v>
      </c>
      <c r="U9">
        <v>0</v>
      </c>
      <c r="V9">
        <v>0</v>
      </c>
      <c r="W9">
        <v>0</v>
      </c>
      <c r="X9">
        <v>1</v>
      </c>
      <c r="Y9">
        <v>1</v>
      </c>
      <c r="Z9">
        <v>3</v>
      </c>
      <c r="AA9">
        <v>0</v>
      </c>
      <c r="AB9">
        <v>0</v>
      </c>
      <c r="AC9">
        <v>0</v>
      </c>
      <c r="AD9">
        <v>0</v>
      </c>
      <c r="AE9">
        <v>0</v>
      </c>
      <c r="AF9">
        <v>0</v>
      </c>
    </row>
    <row r="10" spans="1:32" x14ac:dyDescent="0.2">
      <c r="A10" t="s">
        <v>51</v>
      </c>
      <c r="B10">
        <v>1</v>
      </c>
      <c r="C10">
        <v>0</v>
      </c>
      <c r="D10">
        <v>0</v>
      </c>
      <c r="E10">
        <v>1</v>
      </c>
      <c r="F10">
        <v>0</v>
      </c>
      <c r="G10">
        <v>1</v>
      </c>
      <c r="H10">
        <v>0</v>
      </c>
      <c r="I10">
        <v>0</v>
      </c>
      <c r="J10">
        <v>0</v>
      </c>
      <c r="K10">
        <v>0</v>
      </c>
      <c r="L10">
        <v>0</v>
      </c>
      <c r="M10">
        <v>0</v>
      </c>
      <c r="N10">
        <v>0</v>
      </c>
      <c r="O10">
        <v>1</v>
      </c>
      <c r="P10">
        <v>1</v>
      </c>
      <c r="Q10">
        <v>0</v>
      </c>
      <c r="R10">
        <v>0</v>
      </c>
      <c r="S10">
        <v>0</v>
      </c>
      <c r="T10">
        <v>0</v>
      </c>
      <c r="U10">
        <v>1</v>
      </c>
      <c r="V10">
        <v>0</v>
      </c>
      <c r="W10">
        <v>1</v>
      </c>
      <c r="X10">
        <v>1</v>
      </c>
      <c r="Y10">
        <v>0</v>
      </c>
      <c r="Z10">
        <v>0</v>
      </c>
      <c r="AA10">
        <v>0</v>
      </c>
      <c r="AB10">
        <v>0</v>
      </c>
      <c r="AC10">
        <v>0</v>
      </c>
      <c r="AD10">
        <v>0</v>
      </c>
      <c r="AE10">
        <v>0</v>
      </c>
      <c r="AF10">
        <v>0</v>
      </c>
    </row>
    <row r="11" spans="1:32" x14ac:dyDescent="0.2">
      <c r="A11" t="s">
        <v>52</v>
      </c>
      <c r="B11">
        <v>0</v>
      </c>
      <c r="C11">
        <v>0</v>
      </c>
      <c r="D11">
        <v>0</v>
      </c>
      <c r="E11">
        <v>1</v>
      </c>
      <c r="F11">
        <v>0</v>
      </c>
      <c r="G11">
        <v>0</v>
      </c>
      <c r="H11">
        <v>0</v>
      </c>
      <c r="I11">
        <v>1</v>
      </c>
      <c r="J11">
        <v>0</v>
      </c>
      <c r="K11">
        <v>0</v>
      </c>
      <c r="L11">
        <v>0</v>
      </c>
      <c r="M11">
        <v>1</v>
      </c>
      <c r="N11">
        <v>0</v>
      </c>
      <c r="O11">
        <v>1</v>
      </c>
      <c r="P11">
        <v>1</v>
      </c>
      <c r="Q11">
        <v>0</v>
      </c>
      <c r="R11">
        <v>0</v>
      </c>
      <c r="S11">
        <v>0</v>
      </c>
      <c r="T11">
        <v>0</v>
      </c>
      <c r="U11">
        <v>0</v>
      </c>
      <c r="V11">
        <v>0</v>
      </c>
      <c r="W11">
        <v>0</v>
      </c>
      <c r="X11">
        <v>0</v>
      </c>
      <c r="Y11">
        <v>0</v>
      </c>
      <c r="Z11">
        <v>0</v>
      </c>
      <c r="AA11">
        <v>1</v>
      </c>
      <c r="AB11">
        <v>0</v>
      </c>
      <c r="AC11">
        <v>1</v>
      </c>
      <c r="AD11">
        <v>0</v>
      </c>
      <c r="AE11">
        <v>0</v>
      </c>
      <c r="AF11">
        <v>0</v>
      </c>
    </row>
    <row r="12" spans="1:32" x14ac:dyDescent="0.2">
      <c r="A12" t="s">
        <v>53</v>
      </c>
      <c r="B12">
        <v>2</v>
      </c>
      <c r="C12">
        <v>0</v>
      </c>
      <c r="D12">
        <v>2</v>
      </c>
      <c r="E12">
        <v>0</v>
      </c>
      <c r="F12">
        <v>2</v>
      </c>
      <c r="G12">
        <v>0</v>
      </c>
      <c r="H12">
        <v>0</v>
      </c>
      <c r="I12">
        <v>1</v>
      </c>
      <c r="J12">
        <v>1</v>
      </c>
      <c r="K12">
        <v>0</v>
      </c>
      <c r="L12">
        <v>0</v>
      </c>
      <c r="M12">
        <v>0</v>
      </c>
      <c r="N12">
        <v>0</v>
      </c>
      <c r="O12">
        <v>0</v>
      </c>
      <c r="P12">
        <v>2</v>
      </c>
      <c r="Q12">
        <v>1</v>
      </c>
      <c r="R12">
        <v>1</v>
      </c>
      <c r="S12">
        <v>0</v>
      </c>
      <c r="T12">
        <v>0</v>
      </c>
      <c r="U12">
        <v>0</v>
      </c>
      <c r="V12">
        <v>1</v>
      </c>
      <c r="W12">
        <v>0</v>
      </c>
      <c r="X12">
        <v>0</v>
      </c>
      <c r="Y12">
        <v>0</v>
      </c>
      <c r="Z12">
        <v>1</v>
      </c>
      <c r="AA12">
        <v>1</v>
      </c>
      <c r="AB12">
        <v>1</v>
      </c>
      <c r="AC12">
        <v>0</v>
      </c>
      <c r="AD12">
        <v>0</v>
      </c>
      <c r="AE12">
        <v>0</v>
      </c>
      <c r="AF12">
        <v>0</v>
      </c>
    </row>
    <row r="13" spans="1:32" x14ac:dyDescent="0.2">
      <c r="A13" t="s">
        <v>54</v>
      </c>
      <c r="B13">
        <v>0</v>
      </c>
      <c r="C13">
        <v>0</v>
      </c>
      <c r="D13">
        <v>0</v>
      </c>
      <c r="E13">
        <v>0</v>
      </c>
      <c r="F13">
        <v>0</v>
      </c>
      <c r="G13">
        <v>0</v>
      </c>
      <c r="H13">
        <v>0</v>
      </c>
      <c r="I13">
        <v>0</v>
      </c>
      <c r="J13">
        <v>1</v>
      </c>
      <c r="K13">
        <v>0</v>
      </c>
      <c r="L13">
        <v>1</v>
      </c>
      <c r="M13">
        <v>0</v>
      </c>
      <c r="N13">
        <v>0</v>
      </c>
      <c r="O13">
        <v>1</v>
      </c>
      <c r="P13">
        <v>0</v>
      </c>
      <c r="Q13">
        <v>0</v>
      </c>
      <c r="R13">
        <v>0</v>
      </c>
      <c r="S13">
        <v>0</v>
      </c>
      <c r="T13">
        <v>0</v>
      </c>
      <c r="U13">
        <v>0</v>
      </c>
      <c r="V13">
        <v>0</v>
      </c>
      <c r="W13">
        <v>0</v>
      </c>
      <c r="X13">
        <v>0</v>
      </c>
      <c r="Y13">
        <v>1</v>
      </c>
      <c r="Z13">
        <v>0</v>
      </c>
      <c r="AA13">
        <v>1</v>
      </c>
      <c r="AB13">
        <v>0</v>
      </c>
      <c r="AC13">
        <v>0</v>
      </c>
      <c r="AD13">
        <v>0</v>
      </c>
      <c r="AE13">
        <v>0</v>
      </c>
      <c r="AF13">
        <v>0</v>
      </c>
    </row>
    <row r="14" spans="1:32" x14ac:dyDescent="0.2">
      <c r="A14" t="s">
        <v>55</v>
      </c>
      <c r="B14">
        <v>1</v>
      </c>
      <c r="C14">
        <v>1</v>
      </c>
      <c r="D14">
        <v>1</v>
      </c>
      <c r="E14">
        <v>0</v>
      </c>
      <c r="F14">
        <v>2</v>
      </c>
      <c r="G14">
        <v>0</v>
      </c>
      <c r="H14">
        <v>1</v>
      </c>
      <c r="I14">
        <v>0</v>
      </c>
      <c r="J14">
        <v>0</v>
      </c>
      <c r="K14">
        <v>0</v>
      </c>
      <c r="L14">
        <v>3</v>
      </c>
      <c r="M14">
        <v>1</v>
      </c>
      <c r="N14">
        <v>0</v>
      </c>
      <c r="O14">
        <v>0</v>
      </c>
      <c r="P14">
        <v>0</v>
      </c>
      <c r="Q14">
        <v>0</v>
      </c>
      <c r="R14">
        <v>0</v>
      </c>
      <c r="S14">
        <v>0</v>
      </c>
      <c r="T14">
        <v>0</v>
      </c>
      <c r="U14">
        <v>0</v>
      </c>
      <c r="V14">
        <v>1</v>
      </c>
      <c r="W14">
        <v>0</v>
      </c>
      <c r="X14">
        <v>0</v>
      </c>
      <c r="Y14">
        <v>0</v>
      </c>
      <c r="Z14">
        <v>0</v>
      </c>
      <c r="AA14">
        <v>0</v>
      </c>
      <c r="AB14">
        <v>1</v>
      </c>
      <c r="AC14">
        <v>0</v>
      </c>
      <c r="AD14">
        <v>0</v>
      </c>
      <c r="AE14">
        <v>2</v>
      </c>
      <c r="AF14">
        <v>0</v>
      </c>
    </row>
    <row r="15" spans="1:32" x14ac:dyDescent="0.2">
      <c r="A15" t="s">
        <v>56</v>
      </c>
      <c r="B15">
        <v>0</v>
      </c>
      <c r="C15">
        <v>0</v>
      </c>
      <c r="D15">
        <v>0</v>
      </c>
      <c r="E15">
        <v>0</v>
      </c>
      <c r="F15">
        <v>0</v>
      </c>
      <c r="G15">
        <v>0</v>
      </c>
      <c r="H15">
        <v>0</v>
      </c>
      <c r="I15">
        <v>0</v>
      </c>
      <c r="J15">
        <v>0</v>
      </c>
      <c r="K15">
        <v>1</v>
      </c>
      <c r="L15">
        <v>0</v>
      </c>
      <c r="M15">
        <v>0</v>
      </c>
      <c r="N15">
        <v>0</v>
      </c>
      <c r="O15">
        <v>1</v>
      </c>
      <c r="P15">
        <v>0</v>
      </c>
      <c r="Q15">
        <v>0</v>
      </c>
      <c r="R15">
        <v>0</v>
      </c>
      <c r="S15">
        <v>0</v>
      </c>
      <c r="T15">
        <v>0</v>
      </c>
      <c r="U15">
        <v>0</v>
      </c>
      <c r="V15">
        <v>0</v>
      </c>
      <c r="W15">
        <v>1</v>
      </c>
      <c r="X15">
        <v>1</v>
      </c>
      <c r="Y15">
        <v>0</v>
      </c>
      <c r="Z15">
        <v>0</v>
      </c>
      <c r="AA15">
        <v>0</v>
      </c>
      <c r="AB15">
        <v>0</v>
      </c>
      <c r="AC15">
        <v>0</v>
      </c>
      <c r="AD15">
        <v>0</v>
      </c>
      <c r="AE15">
        <v>0</v>
      </c>
      <c r="AF15">
        <v>0</v>
      </c>
    </row>
    <row r="16" spans="1:32" x14ac:dyDescent="0.2">
      <c r="A16" t="s">
        <v>57</v>
      </c>
      <c r="B16">
        <v>0</v>
      </c>
      <c r="C16">
        <v>0</v>
      </c>
      <c r="D16">
        <v>1</v>
      </c>
      <c r="E16">
        <v>0</v>
      </c>
      <c r="F16">
        <v>0</v>
      </c>
      <c r="G16">
        <v>0</v>
      </c>
      <c r="H16">
        <v>0</v>
      </c>
      <c r="I16">
        <v>1</v>
      </c>
      <c r="J16">
        <v>0</v>
      </c>
      <c r="K16">
        <v>2</v>
      </c>
      <c r="L16">
        <v>0</v>
      </c>
      <c r="M16">
        <v>0</v>
      </c>
      <c r="N16">
        <v>0</v>
      </c>
      <c r="O16">
        <v>0</v>
      </c>
      <c r="P16">
        <v>0</v>
      </c>
      <c r="Q16">
        <v>1</v>
      </c>
      <c r="R16">
        <v>0</v>
      </c>
      <c r="S16">
        <v>0</v>
      </c>
      <c r="T16">
        <v>0</v>
      </c>
      <c r="U16">
        <v>0</v>
      </c>
      <c r="V16">
        <v>0</v>
      </c>
      <c r="W16">
        <v>0</v>
      </c>
      <c r="X16">
        <v>1</v>
      </c>
      <c r="Y16">
        <v>0</v>
      </c>
      <c r="Z16">
        <v>0</v>
      </c>
      <c r="AA16">
        <v>0</v>
      </c>
      <c r="AB16">
        <v>0</v>
      </c>
      <c r="AC16">
        <v>0</v>
      </c>
      <c r="AD16">
        <v>1</v>
      </c>
      <c r="AE16">
        <v>1</v>
      </c>
      <c r="AF16">
        <v>0</v>
      </c>
    </row>
    <row r="17" spans="1:32" x14ac:dyDescent="0.2">
      <c r="A17" t="s">
        <v>58</v>
      </c>
      <c r="B17">
        <v>0</v>
      </c>
      <c r="C17">
        <v>0</v>
      </c>
      <c r="D17">
        <v>1</v>
      </c>
      <c r="E17">
        <v>0</v>
      </c>
      <c r="F17">
        <v>0</v>
      </c>
      <c r="G17">
        <v>0</v>
      </c>
      <c r="H17">
        <v>2</v>
      </c>
      <c r="I17">
        <v>1</v>
      </c>
      <c r="J17">
        <v>0</v>
      </c>
      <c r="K17">
        <v>0</v>
      </c>
      <c r="L17">
        <v>0</v>
      </c>
      <c r="M17">
        <v>1</v>
      </c>
      <c r="N17">
        <v>0</v>
      </c>
      <c r="O17">
        <v>1</v>
      </c>
      <c r="P17">
        <v>0</v>
      </c>
      <c r="Q17">
        <v>0</v>
      </c>
      <c r="R17">
        <v>0</v>
      </c>
      <c r="S17">
        <v>0</v>
      </c>
      <c r="T17">
        <v>1</v>
      </c>
      <c r="U17">
        <v>0</v>
      </c>
      <c r="V17">
        <v>0</v>
      </c>
      <c r="W17">
        <v>1</v>
      </c>
      <c r="X17">
        <v>0</v>
      </c>
      <c r="Y17">
        <v>0</v>
      </c>
      <c r="Z17">
        <v>0</v>
      </c>
      <c r="AA17">
        <v>0</v>
      </c>
      <c r="AB17">
        <v>0</v>
      </c>
      <c r="AC17">
        <v>0</v>
      </c>
      <c r="AD17">
        <v>0</v>
      </c>
      <c r="AE17">
        <v>0</v>
      </c>
      <c r="AF17">
        <v>0</v>
      </c>
    </row>
    <row r="18" spans="1:32" x14ac:dyDescent="0.2">
      <c r="A18" t="s">
        <v>59</v>
      </c>
      <c r="B18">
        <v>0</v>
      </c>
      <c r="C18">
        <v>1</v>
      </c>
      <c r="D18">
        <v>0</v>
      </c>
      <c r="E18">
        <v>0</v>
      </c>
      <c r="F18">
        <v>1</v>
      </c>
      <c r="G18">
        <v>0</v>
      </c>
      <c r="H18">
        <v>0</v>
      </c>
      <c r="I18">
        <v>0</v>
      </c>
      <c r="J18">
        <v>0</v>
      </c>
      <c r="K18">
        <v>1</v>
      </c>
      <c r="L18">
        <v>1</v>
      </c>
      <c r="M18">
        <v>0</v>
      </c>
      <c r="N18">
        <v>0</v>
      </c>
      <c r="O18">
        <v>0</v>
      </c>
      <c r="P18">
        <v>0</v>
      </c>
      <c r="Q18">
        <v>0</v>
      </c>
      <c r="R18">
        <v>0</v>
      </c>
      <c r="S18">
        <v>2</v>
      </c>
      <c r="T18">
        <v>2</v>
      </c>
      <c r="U18">
        <v>0</v>
      </c>
      <c r="V18">
        <v>1</v>
      </c>
      <c r="W18">
        <v>0</v>
      </c>
      <c r="X18">
        <v>1</v>
      </c>
      <c r="Y18">
        <v>0</v>
      </c>
      <c r="Z18">
        <v>0</v>
      </c>
      <c r="AA18">
        <v>1</v>
      </c>
      <c r="AB18">
        <v>0</v>
      </c>
      <c r="AC18">
        <v>1</v>
      </c>
      <c r="AD18">
        <v>0</v>
      </c>
      <c r="AE18">
        <v>0</v>
      </c>
      <c r="AF18">
        <v>1</v>
      </c>
    </row>
    <row r="19" spans="1:32" x14ac:dyDescent="0.2">
      <c r="A19" t="s">
        <v>60</v>
      </c>
      <c r="B19">
        <v>1</v>
      </c>
      <c r="C19">
        <v>0</v>
      </c>
      <c r="D19">
        <v>1</v>
      </c>
      <c r="E19">
        <v>0</v>
      </c>
      <c r="F19">
        <v>0</v>
      </c>
      <c r="G19">
        <v>0</v>
      </c>
      <c r="H19">
        <v>0</v>
      </c>
      <c r="I19">
        <v>0</v>
      </c>
      <c r="J19">
        <v>0</v>
      </c>
      <c r="K19">
        <v>0</v>
      </c>
      <c r="L19">
        <v>1</v>
      </c>
      <c r="M19">
        <v>1</v>
      </c>
      <c r="N19">
        <v>1</v>
      </c>
      <c r="O19">
        <v>1</v>
      </c>
      <c r="P19">
        <v>0</v>
      </c>
      <c r="Q19">
        <v>1</v>
      </c>
      <c r="R19">
        <v>0</v>
      </c>
      <c r="S19">
        <v>0</v>
      </c>
      <c r="T19">
        <v>1</v>
      </c>
      <c r="U19">
        <v>0</v>
      </c>
      <c r="V19">
        <v>0</v>
      </c>
      <c r="W19">
        <v>0</v>
      </c>
      <c r="X19">
        <v>0</v>
      </c>
      <c r="Y19">
        <v>1</v>
      </c>
      <c r="Z19">
        <v>1</v>
      </c>
      <c r="AA19">
        <v>0</v>
      </c>
      <c r="AB19">
        <v>1</v>
      </c>
      <c r="AC19">
        <v>0</v>
      </c>
      <c r="AD19">
        <v>1</v>
      </c>
      <c r="AE19">
        <v>0</v>
      </c>
      <c r="AF19">
        <v>0</v>
      </c>
    </row>
    <row r="20" spans="1:32" x14ac:dyDescent="0.2">
      <c r="A20" t="s">
        <v>61</v>
      </c>
      <c r="B20">
        <v>0</v>
      </c>
      <c r="C20">
        <v>1</v>
      </c>
      <c r="D20">
        <v>0</v>
      </c>
      <c r="E20">
        <v>1</v>
      </c>
      <c r="F20">
        <v>0</v>
      </c>
      <c r="G20">
        <v>0</v>
      </c>
      <c r="H20">
        <v>0</v>
      </c>
      <c r="I20">
        <v>0</v>
      </c>
      <c r="J20">
        <v>0</v>
      </c>
      <c r="K20">
        <v>0</v>
      </c>
      <c r="L20">
        <v>0</v>
      </c>
      <c r="M20">
        <v>0</v>
      </c>
      <c r="N20">
        <v>0</v>
      </c>
      <c r="O20">
        <v>1</v>
      </c>
      <c r="P20">
        <v>1</v>
      </c>
      <c r="Q20">
        <v>0</v>
      </c>
      <c r="R20">
        <v>0</v>
      </c>
      <c r="S20">
        <v>0</v>
      </c>
      <c r="T20">
        <v>0</v>
      </c>
      <c r="U20">
        <v>1</v>
      </c>
      <c r="V20">
        <v>0</v>
      </c>
      <c r="W20">
        <v>0</v>
      </c>
      <c r="X20">
        <v>0</v>
      </c>
      <c r="Y20">
        <v>0</v>
      </c>
      <c r="Z20">
        <v>0</v>
      </c>
      <c r="AA20">
        <v>1</v>
      </c>
      <c r="AB20">
        <v>0</v>
      </c>
      <c r="AC20">
        <v>1</v>
      </c>
      <c r="AD20">
        <v>0</v>
      </c>
      <c r="AE20">
        <v>0</v>
      </c>
      <c r="AF20">
        <v>0</v>
      </c>
    </row>
    <row r="21" spans="1:32" x14ac:dyDescent="0.2">
      <c r="A21" t="s">
        <v>62</v>
      </c>
      <c r="B21">
        <v>1</v>
      </c>
      <c r="C21">
        <v>0</v>
      </c>
      <c r="D21">
        <v>1</v>
      </c>
      <c r="E21">
        <v>0</v>
      </c>
      <c r="F21">
        <v>1</v>
      </c>
      <c r="G21">
        <v>0</v>
      </c>
      <c r="H21">
        <v>2</v>
      </c>
      <c r="I21">
        <v>1</v>
      </c>
      <c r="J21">
        <v>0</v>
      </c>
      <c r="K21">
        <v>1</v>
      </c>
      <c r="L21">
        <v>1</v>
      </c>
      <c r="M21">
        <v>0</v>
      </c>
      <c r="N21">
        <v>0</v>
      </c>
      <c r="O21">
        <v>1</v>
      </c>
      <c r="P21">
        <v>0</v>
      </c>
      <c r="Q21">
        <v>0</v>
      </c>
      <c r="R21">
        <v>0</v>
      </c>
      <c r="S21">
        <v>1</v>
      </c>
      <c r="T21">
        <v>0</v>
      </c>
      <c r="U21">
        <v>0</v>
      </c>
      <c r="V21">
        <v>0</v>
      </c>
      <c r="W21">
        <v>0</v>
      </c>
      <c r="X21">
        <v>0</v>
      </c>
      <c r="Y21">
        <v>0</v>
      </c>
      <c r="Z21">
        <v>0</v>
      </c>
      <c r="AA21">
        <v>1</v>
      </c>
      <c r="AB21">
        <v>0</v>
      </c>
      <c r="AC21">
        <v>0</v>
      </c>
      <c r="AD21">
        <v>0</v>
      </c>
      <c r="AE21">
        <v>0</v>
      </c>
      <c r="AF21">
        <v>1</v>
      </c>
    </row>
    <row r="22" spans="1:32" x14ac:dyDescent="0.2">
      <c r="A22" t="s">
        <v>64</v>
      </c>
      <c r="B22">
        <v>0</v>
      </c>
      <c r="C22">
        <v>1</v>
      </c>
      <c r="D22">
        <v>1</v>
      </c>
      <c r="E22">
        <v>1</v>
      </c>
      <c r="F22">
        <v>1</v>
      </c>
      <c r="G22">
        <v>1</v>
      </c>
      <c r="H22">
        <v>1</v>
      </c>
      <c r="I22">
        <v>0</v>
      </c>
      <c r="J22">
        <v>0</v>
      </c>
      <c r="K22">
        <v>1</v>
      </c>
      <c r="L22">
        <v>1</v>
      </c>
      <c r="M22">
        <v>0</v>
      </c>
      <c r="N22">
        <v>0</v>
      </c>
      <c r="O22">
        <v>0</v>
      </c>
      <c r="P22">
        <v>0</v>
      </c>
      <c r="Q22">
        <v>1</v>
      </c>
      <c r="R22">
        <v>0</v>
      </c>
      <c r="S22">
        <v>1</v>
      </c>
      <c r="T22">
        <v>0</v>
      </c>
      <c r="U22">
        <v>1</v>
      </c>
      <c r="V22">
        <v>0</v>
      </c>
      <c r="W22">
        <v>0</v>
      </c>
      <c r="X22">
        <v>0</v>
      </c>
      <c r="Y22">
        <v>0</v>
      </c>
      <c r="Z22">
        <v>0</v>
      </c>
      <c r="AA22">
        <v>0</v>
      </c>
      <c r="AB22">
        <v>0</v>
      </c>
      <c r="AC22">
        <v>0</v>
      </c>
      <c r="AD22">
        <v>1</v>
      </c>
      <c r="AE22">
        <v>0</v>
      </c>
      <c r="AF22">
        <v>1</v>
      </c>
    </row>
    <row r="23" spans="1:32" x14ac:dyDescent="0.2">
      <c r="A23" t="s">
        <v>63</v>
      </c>
      <c r="B23">
        <v>0</v>
      </c>
      <c r="C23">
        <v>0</v>
      </c>
      <c r="D23">
        <v>1</v>
      </c>
      <c r="E23">
        <v>0</v>
      </c>
      <c r="F23">
        <v>1</v>
      </c>
      <c r="G23">
        <v>0</v>
      </c>
      <c r="H23">
        <v>1</v>
      </c>
      <c r="I23">
        <v>0</v>
      </c>
      <c r="J23">
        <v>0</v>
      </c>
      <c r="K23">
        <v>0</v>
      </c>
      <c r="L23">
        <v>1</v>
      </c>
      <c r="M23">
        <v>0</v>
      </c>
      <c r="N23">
        <v>0</v>
      </c>
      <c r="O23">
        <v>0</v>
      </c>
      <c r="P23">
        <v>0</v>
      </c>
      <c r="Q23">
        <v>0</v>
      </c>
      <c r="R23">
        <v>1</v>
      </c>
      <c r="S23">
        <v>1</v>
      </c>
      <c r="T23">
        <v>0</v>
      </c>
      <c r="U23">
        <v>0</v>
      </c>
      <c r="V23">
        <v>1</v>
      </c>
      <c r="W23">
        <v>1</v>
      </c>
      <c r="X23">
        <v>0</v>
      </c>
      <c r="Y23">
        <v>0</v>
      </c>
      <c r="Z23">
        <v>0</v>
      </c>
      <c r="AA23">
        <v>0</v>
      </c>
      <c r="AB23">
        <v>0</v>
      </c>
      <c r="AC23">
        <v>0</v>
      </c>
      <c r="AD23">
        <v>0</v>
      </c>
      <c r="AE23">
        <v>0</v>
      </c>
      <c r="AF23">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F55"/>
  <sheetViews>
    <sheetView workbookViewId="0"/>
  </sheetViews>
  <sheetFormatPr baseColWidth="10" defaultColWidth="8.75" defaultRowHeight="18" x14ac:dyDescent="0.2"/>
  <cols>
    <col min="1" max="1" width="19" customWidth="1"/>
    <col min="2" max="2" width="12.125" bestFit="1" customWidth="1"/>
    <col min="3" max="4" width="12.75" bestFit="1" customWidth="1"/>
    <col min="5" max="32" width="8.875" bestFit="1" customWidth="1"/>
  </cols>
  <sheetData>
    <row r="2" spans="1:32" x14ac:dyDescent="0.2">
      <c r="A2" t="s">
        <v>17</v>
      </c>
    </row>
    <row r="3" spans="1:32" x14ac:dyDescent="0.2">
      <c r="B3">
        <v>1980</v>
      </c>
      <c r="C3">
        <v>1981</v>
      </c>
      <c r="D3">
        <v>1982</v>
      </c>
      <c r="E3">
        <v>1983</v>
      </c>
      <c r="F3">
        <v>1984</v>
      </c>
      <c r="G3">
        <v>1985</v>
      </c>
      <c r="H3">
        <v>1986</v>
      </c>
      <c r="I3">
        <v>1987</v>
      </c>
      <c r="J3">
        <v>1988</v>
      </c>
      <c r="K3">
        <v>1989</v>
      </c>
      <c r="L3">
        <v>1990</v>
      </c>
      <c r="M3">
        <v>1991</v>
      </c>
      <c r="N3">
        <v>1992</v>
      </c>
      <c r="O3">
        <v>1993</v>
      </c>
      <c r="P3">
        <v>1994</v>
      </c>
      <c r="Q3">
        <v>1995</v>
      </c>
      <c r="R3">
        <v>1996</v>
      </c>
      <c r="S3">
        <v>1997</v>
      </c>
      <c r="T3">
        <v>1998</v>
      </c>
      <c r="U3">
        <v>1999</v>
      </c>
      <c r="V3">
        <v>2000</v>
      </c>
      <c r="W3">
        <v>2001</v>
      </c>
      <c r="X3">
        <v>2002</v>
      </c>
      <c r="Y3">
        <v>2003</v>
      </c>
      <c r="Z3">
        <v>2004</v>
      </c>
      <c r="AA3">
        <v>2005</v>
      </c>
      <c r="AB3">
        <v>2006</v>
      </c>
      <c r="AC3">
        <v>2007</v>
      </c>
      <c r="AD3">
        <v>2008</v>
      </c>
      <c r="AE3">
        <v>2009</v>
      </c>
      <c r="AF3">
        <v>2010</v>
      </c>
    </row>
    <row r="4" spans="1:32" x14ac:dyDescent="0.2">
      <c r="A4" t="s">
        <v>45</v>
      </c>
      <c r="B4">
        <v>0</v>
      </c>
      <c r="C4">
        <v>0</v>
      </c>
      <c r="D4">
        <v>0</v>
      </c>
      <c r="E4">
        <v>0</v>
      </c>
      <c r="F4">
        <v>1</v>
      </c>
      <c r="G4">
        <v>1</v>
      </c>
      <c r="H4">
        <v>1</v>
      </c>
      <c r="I4">
        <v>0</v>
      </c>
      <c r="J4">
        <v>0</v>
      </c>
      <c r="K4">
        <v>0</v>
      </c>
      <c r="L4">
        <v>1</v>
      </c>
      <c r="M4">
        <v>0</v>
      </c>
      <c r="N4">
        <v>0</v>
      </c>
      <c r="O4">
        <v>0</v>
      </c>
      <c r="P4">
        <v>1</v>
      </c>
      <c r="Q4">
        <v>1</v>
      </c>
      <c r="R4">
        <v>0</v>
      </c>
      <c r="S4">
        <v>1</v>
      </c>
      <c r="T4">
        <v>0</v>
      </c>
      <c r="U4">
        <v>0</v>
      </c>
      <c r="V4">
        <v>0</v>
      </c>
      <c r="W4">
        <v>1</v>
      </c>
      <c r="X4">
        <v>0</v>
      </c>
      <c r="Y4">
        <v>0</v>
      </c>
      <c r="Z4">
        <v>0</v>
      </c>
      <c r="AA4">
        <v>0</v>
      </c>
      <c r="AB4">
        <v>0</v>
      </c>
      <c r="AC4">
        <v>0</v>
      </c>
      <c r="AD4">
        <v>0</v>
      </c>
      <c r="AE4">
        <v>0</v>
      </c>
      <c r="AF4">
        <v>0</v>
      </c>
    </row>
    <row r="5" spans="1:32" x14ac:dyDescent="0.2">
      <c r="A5" t="s">
        <v>46</v>
      </c>
      <c r="B5">
        <v>1</v>
      </c>
      <c r="C5">
        <v>0</v>
      </c>
      <c r="D5">
        <v>0</v>
      </c>
      <c r="E5">
        <v>0</v>
      </c>
      <c r="F5">
        <v>0</v>
      </c>
      <c r="G5">
        <v>0</v>
      </c>
      <c r="H5">
        <v>0</v>
      </c>
      <c r="I5">
        <v>0</v>
      </c>
      <c r="J5">
        <v>1</v>
      </c>
      <c r="K5">
        <v>0</v>
      </c>
      <c r="L5">
        <v>1</v>
      </c>
      <c r="M5">
        <v>0</v>
      </c>
      <c r="N5">
        <v>0</v>
      </c>
      <c r="O5">
        <v>0</v>
      </c>
      <c r="P5">
        <v>0</v>
      </c>
      <c r="Q5">
        <v>0</v>
      </c>
      <c r="R5">
        <v>0</v>
      </c>
      <c r="S5">
        <v>0</v>
      </c>
      <c r="T5">
        <v>0</v>
      </c>
      <c r="U5">
        <v>0</v>
      </c>
      <c r="V5">
        <v>0</v>
      </c>
      <c r="W5">
        <v>0</v>
      </c>
      <c r="X5">
        <v>1</v>
      </c>
      <c r="Y5">
        <v>1</v>
      </c>
      <c r="Z5">
        <v>0</v>
      </c>
      <c r="AA5">
        <v>0</v>
      </c>
      <c r="AB5">
        <v>1</v>
      </c>
      <c r="AC5">
        <v>0</v>
      </c>
      <c r="AD5">
        <v>0</v>
      </c>
      <c r="AE5">
        <v>1</v>
      </c>
      <c r="AF5">
        <v>0</v>
      </c>
    </row>
    <row r="6" spans="1:32" x14ac:dyDescent="0.2">
      <c r="A6" t="s">
        <v>47</v>
      </c>
      <c r="B6">
        <v>0</v>
      </c>
      <c r="C6">
        <v>0</v>
      </c>
      <c r="D6">
        <v>0</v>
      </c>
      <c r="E6">
        <v>1</v>
      </c>
      <c r="F6">
        <v>0</v>
      </c>
      <c r="G6">
        <v>0</v>
      </c>
      <c r="H6">
        <v>0</v>
      </c>
      <c r="I6">
        <v>0</v>
      </c>
      <c r="J6">
        <v>0</v>
      </c>
      <c r="K6">
        <v>1</v>
      </c>
      <c r="L6">
        <v>1</v>
      </c>
      <c r="M6">
        <v>1</v>
      </c>
      <c r="N6">
        <v>0</v>
      </c>
      <c r="O6">
        <v>1</v>
      </c>
      <c r="P6">
        <v>0</v>
      </c>
      <c r="Q6">
        <v>0</v>
      </c>
      <c r="R6">
        <v>2</v>
      </c>
      <c r="S6">
        <v>0</v>
      </c>
      <c r="T6">
        <v>1</v>
      </c>
      <c r="U6">
        <v>0</v>
      </c>
      <c r="V6">
        <v>1</v>
      </c>
      <c r="W6">
        <v>0</v>
      </c>
      <c r="X6">
        <v>0</v>
      </c>
      <c r="Y6">
        <v>0</v>
      </c>
      <c r="Z6">
        <v>0</v>
      </c>
      <c r="AA6">
        <v>0</v>
      </c>
      <c r="AB6">
        <v>1</v>
      </c>
      <c r="AC6">
        <v>0</v>
      </c>
      <c r="AD6">
        <v>0</v>
      </c>
      <c r="AE6">
        <v>0</v>
      </c>
      <c r="AF6">
        <v>1</v>
      </c>
    </row>
    <row r="7" spans="1:32" x14ac:dyDescent="0.2">
      <c r="A7" t="s">
        <v>48</v>
      </c>
      <c r="B7">
        <v>0</v>
      </c>
      <c r="C7">
        <v>0</v>
      </c>
      <c r="D7">
        <v>0</v>
      </c>
      <c r="E7">
        <v>0</v>
      </c>
      <c r="F7">
        <v>0</v>
      </c>
      <c r="G7">
        <v>0</v>
      </c>
      <c r="H7">
        <v>1</v>
      </c>
      <c r="I7">
        <v>0</v>
      </c>
      <c r="J7">
        <v>1</v>
      </c>
      <c r="K7">
        <v>1</v>
      </c>
      <c r="L7">
        <v>0</v>
      </c>
      <c r="M7">
        <v>0</v>
      </c>
      <c r="N7">
        <v>1</v>
      </c>
      <c r="O7">
        <v>0</v>
      </c>
      <c r="P7">
        <v>0</v>
      </c>
      <c r="Q7">
        <v>0</v>
      </c>
      <c r="R7">
        <v>1</v>
      </c>
      <c r="S7">
        <v>1</v>
      </c>
      <c r="T7">
        <v>0</v>
      </c>
      <c r="U7">
        <v>0</v>
      </c>
      <c r="V7">
        <v>1</v>
      </c>
      <c r="W7">
        <v>0</v>
      </c>
      <c r="X7">
        <v>0</v>
      </c>
      <c r="Y7">
        <v>0</v>
      </c>
      <c r="Z7">
        <v>0</v>
      </c>
      <c r="AA7">
        <v>0</v>
      </c>
      <c r="AB7">
        <v>0</v>
      </c>
      <c r="AC7">
        <v>0</v>
      </c>
      <c r="AD7">
        <v>0</v>
      </c>
      <c r="AE7">
        <v>2</v>
      </c>
      <c r="AF7">
        <v>0</v>
      </c>
    </row>
    <row r="8" spans="1:32" x14ac:dyDescent="0.2">
      <c r="A8" t="s">
        <v>49</v>
      </c>
      <c r="B8">
        <v>0</v>
      </c>
      <c r="C8">
        <v>0</v>
      </c>
      <c r="D8">
        <v>0</v>
      </c>
      <c r="E8">
        <v>0</v>
      </c>
      <c r="F8">
        <v>0</v>
      </c>
      <c r="G8">
        <v>0</v>
      </c>
      <c r="H8">
        <v>1</v>
      </c>
      <c r="I8">
        <v>0</v>
      </c>
      <c r="J8">
        <v>0</v>
      </c>
      <c r="K8">
        <v>0</v>
      </c>
      <c r="L8">
        <v>0</v>
      </c>
      <c r="M8">
        <v>1</v>
      </c>
      <c r="N8">
        <v>0</v>
      </c>
      <c r="O8">
        <v>0</v>
      </c>
      <c r="P8">
        <v>0</v>
      </c>
      <c r="Q8">
        <v>1</v>
      </c>
      <c r="R8">
        <v>0</v>
      </c>
      <c r="S8">
        <v>1</v>
      </c>
      <c r="T8">
        <v>0</v>
      </c>
      <c r="U8">
        <v>0</v>
      </c>
      <c r="V8">
        <v>0</v>
      </c>
      <c r="W8">
        <v>0</v>
      </c>
      <c r="X8">
        <v>2</v>
      </c>
      <c r="Y8">
        <v>0</v>
      </c>
      <c r="Z8">
        <v>0</v>
      </c>
      <c r="AA8">
        <v>0</v>
      </c>
      <c r="AB8">
        <v>0</v>
      </c>
      <c r="AC8">
        <v>0</v>
      </c>
      <c r="AD8">
        <v>0</v>
      </c>
      <c r="AE8">
        <v>0</v>
      </c>
      <c r="AF8">
        <v>0</v>
      </c>
    </row>
    <row r="9" spans="1:32" x14ac:dyDescent="0.2">
      <c r="A9" t="s">
        <v>50</v>
      </c>
      <c r="B9">
        <v>0</v>
      </c>
      <c r="C9">
        <v>1</v>
      </c>
      <c r="D9">
        <v>0</v>
      </c>
      <c r="E9">
        <v>0</v>
      </c>
      <c r="F9">
        <v>0</v>
      </c>
      <c r="G9">
        <v>0</v>
      </c>
      <c r="H9">
        <v>0</v>
      </c>
      <c r="I9">
        <v>0</v>
      </c>
      <c r="J9">
        <v>0</v>
      </c>
      <c r="K9">
        <v>0</v>
      </c>
      <c r="L9">
        <v>1</v>
      </c>
      <c r="M9">
        <v>0</v>
      </c>
      <c r="N9">
        <v>2</v>
      </c>
      <c r="O9">
        <v>0</v>
      </c>
      <c r="P9">
        <v>1</v>
      </c>
      <c r="Q9">
        <v>0</v>
      </c>
      <c r="R9">
        <v>0</v>
      </c>
      <c r="S9">
        <v>1</v>
      </c>
      <c r="T9">
        <v>0</v>
      </c>
      <c r="U9">
        <v>0</v>
      </c>
      <c r="V9">
        <v>0</v>
      </c>
      <c r="W9">
        <v>0</v>
      </c>
      <c r="X9">
        <v>1</v>
      </c>
      <c r="Y9">
        <v>1</v>
      </c>
      <c r="Z9">
        <v>3</v>
      </c>
      <c r="AA9">
        <v>0</v>
      </c>
      <c r="AB9">
        <v>0</v>
      </c>
      <c r="AC9">
        <v>0</v>
      </c>
      <c r="AD9">
        <v>0</v>
      </c>
      <c r="AE9">
        <v>0</v>
      </c>
      <c r="AF9">
        <v>0</v>
      </c>
    </row>
    <row r="10" spans="1:32" x14ac:dyDescent="0.2">
      <c r="A10" t="s">
        <v>51</v>
      </c>
      <c r="B10">
        <v>1</v>
      </c>
      <c r="C10">
        <v>0</v>
      </c>
      <c r="D10">
        <v>0</v>
      </c>
      <c r="E10">
        <v>1</v>
      </c>
      <c r="F10">
        <v>0</v>
      </c>
      <c r="G10">
        <v>1</v>
      </c>
      <c r="H10">
        <v>0</v>
      </c>
      <c r="I10">
        <v>0</v>
      </c>
      <c r="J10">
        <v>0</v>
      </c>
      <c r="K10">
        <v>0</v>
      </c>
      <c r="L10">
        <v>0</v>
      </c>
      <c r="M10">
        <v>0</v>
      </c>
      <c r="N10">
        <v>0</v>
      </c>
      <c r="O10">
        <v>1</v>
      </c>
      <c r="P10">
        <v>1</v>
      </c>
      <c r="Q10">
        <v>0</v>
      </c>
      <c r="R10">
        <v>0</v>
      </c>
      <c r="S10">
        <v>0</v>
      </c>
      <c r="T10">
        <v>0</v>
      </c>
      <c r="U10">
        <v>1</v>
      </c>
      <c r="V10">
        <v>0</v>
      </c>
      <c r="W10">
        <v>1</v>
      </c>
      <c r="X10">
        <v>1</v>
      </c>
      <c r="Y10">
        <v>0</v>
      </c>
      <c r="Z10">
        <v>0</v>
      </c>
      <c r="AA10">
        <v>0</v>
      </c>
      <c r="AB10">
        <v>0</v>
      </c>
      <c r="AC10">
        <v>0</v>
      </c>
      <c r="AD10">
        <v>0</v>
      </c>
      <c r="AE10">
        <v>0</v>
      </c>
      <c r="AF10">
        <v>0</v>
      </c>
    </row>
    <row r="11" spans="1:32" x14ac:dyDescent="0.2">
      <c r="A11" t="s">
        <v>52</v>
      </c>
      <c r="B11">
        <v>0</v>
      </c>
      <c r="C11">
        <v>0</v>
      </c>
      <c r="D11">
        <v>0</v>
      </c>
      <c r="E11">
        <v>1</v>
      </c>
      <c r="F11">
        <v>0</v>
      </c>
      <c r="G11">
        <v>0</v>
      </c>
      <c r="H11">
        <v>0</v>
      </c>
      <c r="I11">
        <v>1</v>
      </c>
      <c r="J11">
        <v>0</v>
      </c>
      <c r="K11">
        <v>0</v>
      </c>
      <c r="L11">
        <v>0</v>
      </c>
      <c r="M11">
        <v>1</v>
      </c>
      <c r="N11">
        <v>0</v>
      </c>
      <c r="O11">
        <v>1</v>
      </c>
      <c r="P11">
        <v>1</v>
      </c>
      <c r="Q11">
        <v>0</v>
      </c>
      <c r="R11">
        <v>0</v>
      </c>
      <c r="S11">
        <v>0</v>
      </c>
      <c r="T11">
        <v>0</v>
      </c>
      <c r="U11">
        <v>0</v>
      </c>
      <c r="V11">
        <v>0</v>
      </c>
      <c r="W11">
        <v>0</v>
      </c>
      <c r="X11">
        <v>0</v>
      </c>
      <c r="Y11">
        <v>0</v>
      </c>
      <c r="Z11">
        <v>0</v>
      </c>
      <c r="AA11">
        <v>1</v>
      </c>
      <c r="AB11">
        <v>0</v>
      </c>
      <c r="AC11">
        <v>1</v>
      </c>
      <c r="AD11">
        <v>0</v>
      </c>
      <c r="AE11">
        <v>0</v>
      </c>
      <c r="AF11">
        <v>0</v>
      </c>
    </row>
    <row r="12" spans="1:32" x14ac:dyDescent="0.2">
      <c r="A12" t="s">
        <v>53</v>
      </c>
      <c r="B12">
        <v>2</v>
      </c>
      <c r="C12">
        <v>0</v>
      </c>
      <c r="D12">
        <v>2</v>
      </c>
      <c r="E12">
        <v>0</v>
      </c>
      <c r="F12">
        <v>2</v>
      </c>
      <c r="G12">
        <v>0</v>
      </c>
      <c r="H12">
        <v>0</v>
      </c>
      <c r="I12">
        <v>1</v>
      </c>
      <c r="J12">
        <v>1</v>
      </c>
      <c r="K12">
        <v>0</v>
      </c>
      <c r="L12">
        <v>0</v>
      </c>
      <c r="M12">
        <v>0</v>
      </c>
      <c r="N12">
        <v>0</v>
      </c>
      <c r="O12">
        <v>0</v>
      </c>
      <c r="P12">
        <v>2</v>
      </c>
      <c r="Q12">
        <v>1</v>
      </c>
      <c r="R12">
        <v>1</v>
      </c>
      <c r="S12">
        <v>0</v>
      </c>
      <c r="T12">
        <v>0</v>
      </c>
      <c r="U12">
        <v>0</v>
      </c>
      <c r="V12">
        <v>1</v>
      </c>
      <c r="W12">
        <v>0</v>
      </c>
      <c r="X12">
        <v>0</v>
      </c>
      <c r="Y12">
        <v>0</v>
      </c>
      <c r="Z12">
        <v>1</v>
      </c>
      <c r="AA12">
        <v>1</v>
      </c>
      <c r="AB12">
        <v>1</v>
      </c>
      <c r="AC12">
        <v>0</v>
      </c>
      <c r="AD12">
        <v>0</v>
      </c>
      <c r="AE12">
        <v>0</v>
      </c>
      <c r="AF12">
        <v>0</v>
      </c>
    </row>
    <row r="13" spans="1:32" x14ac:dyDescent="0.2">
      <c r="A13" t="s">
        <v>54</v>
      </c>
      <c r="B13">
        <v>0</v>
      </c>
      <c r="C13">
        <v>0</v>
      </c>
      <c r="D13">
        <v>0</v>
      </c>
      <c r="E13">
        <v>0</v>
      </c>
      <c r="F13">
        <v>0</v>
      </c>
      <c r="G13">
        <v>0</v>
      </c>
      <c r="H13">
        <v>0</v>
      </c>
      <c r="I13">
        <v>0</v>
      </c>
      <c r="J13">
        <v>1</v>
      </c>
      <c r="K13">
        <v>0</v>
      </c>
      <c r="L13">
        <v>1</v>
      </c>
      <c r="M13">
        <v>0</v>
      </c>
      <c r="N13">
        <v>0</v>
      </c>
      <c r="O13">
        <v>1</v>
      </c>
      <c r="P13">
        <v>0</v>
      </c>
      <c r="Q13">
        <v>0</v>
      </c>
      <c r="R13">
        <v>0</v>
      </c>
      <c r="S13">
        <v>0</v>
      </c>
      <c r="T13">
        <v>0</v>
      </c>
      <c r="U13">
        <v>0</v>
      </c>
      <c r="V13">
        <v>0</v>
      </c>
      <c r="W13">
        <v>0</v>
      </c>
      <c r="X13">
        <v>0</v>
      </c>
      <c r="Y13">
        <v>1</v>
      </c>
      <c r="Z13">
        <v>0</v>
      </c>
      <c r="AA13">
        <v>1</v>
      </c>
      <c r="AB13">
        <v>0</v>
      </c>
      <c r="AC13">
        <v>0</v>
      </c>
      <c r="AD13">
        <v>0</v>
      </c>
      <c r="AE13">
        <v>0</v>
      </c>
      <c r="AF13">
        <v>0</v>
      </c>
    </row>
    <row r="14" spans="1:32" x14ac:dyDescent="0.2">
      <c r="A14" t="s">
        <v>55</v>
      </c>
      <c r="B14">
        <v>1</v>
      </c>
      <c r="C14">
        <v>1</v>
      </c>
      <c r="D14">
        <v>1</v>
      </c>
      <c r="E14">
        <v>0</v>
      </c>
      <c r="F14">
        <v>2</v>
      </c>
      <c r="G14">
        <v>0</v>
      </c>
      <c r="H14">
        <v>1</v>
      </c>
      <c r="I14">
        <v>0</v>
      </c>
      <c r="J14">
        <v>0</v>
      </c>
      <c r="K14">
        <v>0</v>
      </c>
      <c r="L14">
        <v>3</v>
      </c>
      <c r="M14">
        <v>1</v>
      </c>
      <c r="N14">
        <v>0</v>
      </c>
      <c r="O14">
        <v>0</v>
      </c>
      <c r="P14">
        <v>0</v>
      </c>
      <c r="Q14">
        <v>0</v>
      </c>
      <c r="R14">
        <v>0</v>
      </c>
      <c r="S14">
        <v>0</v>
      </c>
      <c r="T14">
        <v>0</v>
      </c>
      <c r="U14">
        <v>0</v>
      </c>
      <c r="V14">
        <v>1</v>
      </c>
      <c r="W14">
        <v>0</v>
      </c>
      <c r="X14">
        <v>0</v>
      </c>
      <c r="Y14">
        <v>0</v>
      </c>
      <c r="Z14">
        <v>0</v>
      </c>
      <c r="AA14">
        <v>0</v>
      </c>
      <c r="AB14">
        <v>1</v>
      </c>
      <c r="AC14">
        <v>0</v>
      </c>
      <c r="AD14">
        <v>0</v>
      </c>
      <c r="AE14">
        <v>2</v>
      </c>
      <c r="AF14">
        <v>0</v>
      </c>
    </row>
    <row r="15" spans="1:32" x14ac:dyDescent="0.2">
      <c r="A15" t="s">
        <v>56</v>
      </c>
      <c r="B15">
        <v>0</v>
      </c>
      <c r="C15">
        <v>0</v>
      </c>
      <c r="D15">
        <v>0</v>
      </c>
      <c r="E15">
        <v>0</v>
      </c>
      <c r="F15">
        <v>0</v>
      </c>
      <c r="G15">
        <v>0</v>
      </c>
      <c r="H15">
        <v>0</v>
      </c>
      <c r="I15">
        <v>0</v>
      </c>
      <c r="J15">
        <v>0</v>
      </c>
      <c r="K15">
        <v>1</v>
      </c>
      <c r="L15">
        <v>0</v>
      </c>
      <c r="M15">
        <v>0</v>
      </c>
      <c r="N15">
        <v>0</v>
      </c>
      <c r="O15">
        <v>1</v>
      </c>
      <c r="P15">
        <v>0</v>
      </c>
      <c r="Q15">
        <v>0</v>
      </c>
      <c r="R15">
        <v>0</v>
      </c>
      <c r="S15">
        <v>0</v>
      </c>
      <c r="T15">
        <v>0</v>
      </c>
      <c r="U15">
        <v>0</v>
      </c>
      <c r="V15">
        <v>0</v>
      </c>
      <c r="W15">
        <v>1</v>
      </c>
      <c r="X15">
        <v>1</v>
      </c>
      <c r="Y15">
        <v>0</v>
      </c>
      <c r="Z15">
        <v>0</v>
      </c>
      <c r="AA15">
        <v>0</v>
      </c>
      <c r="AB15">
        <v>0</v>
      </c>
      <c r="AC15">
        <v>0</v>
      </c>
      <c r="AD15">
        <v>0</v>
      </c>
      <c r="AE15">
        <v>0</v>
      </c>
      <c r="AF15">
        <v>0</v>
      </c>
    </row>
    <row r="16" spans="1:32" x14ac:dyDescent="0.2">
      <c r="A16" t="s">
        <v>57</v>
      </c>
      <c r="B16">
        <v>0</v>
      </c>
      <c r="C16">
        <v>0</v>
      </c>
      <c r="D16">
        <v>1</v>
      </c>
      <c r="E16">
        <v>0</v>
      </c>
      <c r="F16">
        <v>0</v>
      </c>
      <c r="G16">
        <v>0</v>
      </c>
      <c r="H16">
        <v>0</v>
      </c>
      <c r="I16">
        <v>1</v>
      </c>
      <c r="J16">
        <v>0</v>
      </c>
      <c r="K16">
        <v>2</v>
      </c>
      <c r="L16">
        <v>0</v>
      </c>
      <c r="M16">
        <v>0</v>
      </c>
      <c r="N16">
        <v>0</v>
      </c>
      <c r="O16">
        <v>0</v>
      </c>
      <c r="P16">
        <v>0</v>
      </c>
      <c r="Q16">
        <v>1</v>
      </c>
      <c r="R16">
        <v>0</v>
      </c>
      <c r="S16">
        <v>0</v>
      </c>
      <c r="T16">
        <v>0</v>
      </c>
      <c r="U16">
        <v>0</v>
      </c>
      <c r="V16">
        <v>0</v>
      </c>
      <c r="W16">
        <v>0</v>
      </c>
      <c r="X16">
        <v>1</v>
      </c>
      <c r="Y16">
        <v>0</v>
      </c>
      <c r="Z16">
        <v>0</v>
      </c>
      <c r="AA16">
        <v>0</v>
      </c>
      <c r="AB16">
        <v>0</v>
      </c>
      <c r="AC16">
        <v>0</v>
      </c>
      <c r="AD16">
        <v>1</v>
      </c>
      <c r="AE16">
        <v>1</v>
      </c>
      <c r="AF16">
        <v>0</v>
      </c>
    </row>
    <row r="17" spans="1:32" x14ac:dyDescent="0.2">
      <c r="A17" t="s">
        <v>58</v>
      </c>
      <c r="B17">
        <v>0</v>
      </c>
      <c r="C17">
        <v>0</v>
      </c>
      <c r="D17">
        <v>1</v>
      </c>
      <c r="E17">
        <v>0</v>
      </c>
      <c r="F17">
        <v>0</v>
      </c>
      <c r="G17">
        <v>0</v>
      </c>
      <c r="H17">
        <v>2</v>
      </c>
      <c r="I17">
        <v>1</v>
      </c>
      <c r="J17">
        <v>0</v>
      </c>
      <c r="K17">
        <v>0</v>
      </c>
      <c r="L17">
        <v>0</v>
      </c>
      <c r="M17">
        <v>1</v>
      </c>
      <c r="N17">
        <v>0</v>
      </c>
      <c r="O17">
        <v>1</v>
      </c>
      <c r="P17">
        <v>0</v>
      </c>
      <c r="Q17">
        <v>0</v>
      </c>
      <c r="R17">
        <v>0</v>
      </c>
      <c r="S17">
        <v>0</v>
      </c>
      <c r="T17">
        <v>1</v>
      </c>
      <c r="U17">
        <v>0</v>
      </c>
      <c r="V17">
        <v>0</v>
      </c>
      <c r="W17">
        <v>1</v>
      </c>
      <c r="X17">
        <v>0</v>
      </c>
      <c r="Y17">
        <v>0</v>
      </c>
      <c r="Z17">
        <v>0</v>
      </c>
      <c r="AA17">
        <v>0</v>
      </c>
      <c r="AB17">
        <v>0</v>
      </c>
      <c r="AC17">
        <v>0</v>
      </c>
      <c r="AD17">
        <v>0</v>
      </c>
      <c r="AE17">
        <v>0</v>
      </c>
      <c r="AF17">
        <v>0</v>
      </c>
    </row>
    <row r="18" spans="1:32" x14ac:dyDescent="0.2">
      <c r="A18" t="s">
        <v>59</v>
      </c>
      <c r="B18">
        <v>0</v>
      </c>
      <c r="C18">
        <v>1</v>
      </c>
      <c r="D18">
        <v>0</v>
      </c>
      <c r="E18">
        <v>0</v>
      </c>
      <c r="F18">
        <v>1</v>
      </c>
      <c r="G18">
        <v>0</v>
      </c>
      <c r="H18">
        <v>0</v>
      </c>
      <c r="I18">
        <v>0</v>
      </c>
      <c r="J18">
        <v>0</v>
      </c>
      <c r="K18">
        <v>1</v>
      </c>
      <c r="L18">
        <v>1</v>
      </c>
      <c r="M18">
        <v>0</v>
      </c>
      <c r="N18">
        <v>0</v>
      </c>
      <c r="O18">
        <v>0</v>
      </c>
      <c r="P18">
        <v>0</v>
      </c>
      <c r="Q18">
        <v>0</v>
      </c>
      <c r="R18">
        <v>0</v>
      </c>
      <c r="S18">
        <v>2</v>
      </c>
      <c r="T18">
        <v>2</v>
      </c>
      <c r="U18">
        <v>0</v>
      </c>
      <c r="V18">
        <v>1</v>
      </c>
      <c r="W18">
        <v>0</v>
      </c>
      <c r="X18">
        <v>1</v>
      </c>
      <c r="Y18">
        <v>0</v>
      </c>
      <c r="Z18">
        <v>0</v>
      </c>
      <c r="AA18">
        <v>1</v>
      </c>
      <c r="AB18">
        <v>0</v>
      </c>
      <c r="AC18">
        <v>1</v>
      </c>
      <c r="AD18">
        <v>0</v>
      </c>
      <c r="AE18">
        <v>0</v>
      </c>
      <c r="AF18">
        <v>1</v>
      </c>
    </row>
    <row r="19" spans="1:32" x14ac:dyDescent="0.2">
      <c r="A19" t="s">
        <v>60</v>
      </c>
      <c r="B19">
        <v>1</v>
      </c>
      <c r="C19">
        <v>0</v>
      </c>
      <c r="D19">
        <v>1</v>
      </c>
      <c r="E19">
        <v>0</v>
      </c>
      <c r="F19">
        <v>0</v>
      </c>
      <c r="G19">
        <v>0</v>
      </c>
      <c r="H19">
        <v>0</v>
      </c>
      <c r="I19">
        <v>0</v>
      </c>
      <c r="J19">
        <v>0</v>
      </c>
      <c r="K19">
        <v>0</v>
      </c>
      <c r="L19">
        <v>1</v>
      </c>
      <c r="M19">
        <v>1</v>
      </c>
      <c r="N19">
        <v>1</v>
      </c>
      <c r="O19">
        <v>1</v>
      </c>
      <c r="P19">
        <v>0</v>
      </c>
      <c r="Q19">
        <v>1</v>
      </c>
      <c r="R19">
        <v>0</v>
      </c>
      <c r="S19">
        <v>0</v>
      </c>
      <c r="T19">
        <v>1</v>
      </c>
      <c r="U19">
        <v>0</v>
      </c>
      <c r="V19">
        <v>0</v>
      </c>
      <c r="W19">
        <v>0</v>
      </c>
      <c r="X19">
        <v>0</v>
      </c>
      <c r="Y19">
        <v>1</v>
      </c>
      <c r="Z19">
        <v>1</v>
      </c>
      <c r="AA19">
        <v>0</v>
      </c>
      <c r="AB19">
        <v>1</v>
      </c>
      <c r="AC19">
        <v>0</v>
      </c>
      <c r="AD19">
        <v>1</v>
      </c>
      <c r="AE19">
        <v>0</v>
      </c>
      <c r="AF19">
        <v>0</v>
      </c>
    </row>
    <row r="20" spans="1:32" x14ac:dyDescent="0.2">
      <c r="A20" t="s">
        <v>61</v>
      </c>
      <c r="B20">
        <v>0</v>
      </c>
      <c r="C20">
        <v>1</v>
      </c>
      <c r="D20">
        <v>0</v>
      </c>
      <c r="E20">
        <v>1</v>
      </c>
      <c r="F20">
        <v>0</v>
      </c>
      <c r="G20">
        <v>0</v>
      </c>
      <c r="H20">
        <v>0</v>
      </c>
      <c r="I20">
        <v>0</v>
      </c>
      <c r="J20">
        <v>0</v>
      </c>
      <c r="K20">
        <v>0</v>
      </c>
      <c r="L20">
        <v>0</v>
      </c>
      <c r="M20">
        <v>0</v>
      </c>
      <c r="N20">
        <v>0</v>
      </c>
      <c r="O20">
        <v>1</v>
      </c>
      <c r="P20">
        <v>1</v>
      </c>
      <c r="Q20">
        <v>0</v>
      </c>
      <c r="R20">
        <v>0</v>
      </c>
      <c r="S20">
        <v>0</v>
      </c>
      <c r="T20">
        <v>0</v>
      </c>
      <c r="U20">
        <v>1</v>
      </c>
      <c r="V20">
        <v>0</v>
      </c>
      <c r="W20">
        <v>0</v>
      </c>
      <c r="X20">
        <v>0</v>
      </c>
      <c r="Y20">
        <v>0</v>
      </c>
      <c r="Z20">
        <v>0</v>
      </c>
      <c r="AA20">
        <v>1</v>
      </c>
      <c r="AB20">
        <v>0</v>
      </c>
      <c r="AC20">
        <v>1</v>
      </c>
      <c r="AD20">
        <v>0</v>
      </c>
      <c r="AE20">
        <v>0</v>
      </c>
      <c r="AF20">
        <v>0</v>
      </c>
    </row>
    <row r="21" spans="1:32" x14ac:dyDescent="0.2">
      <c r="A21" t="s">
        <v>62</v>
      </c>
      <c r="B21">
        <v>1</v>
      </c>
      <c r="C21">
        <v>0</v>
      </c>
      <c r="D21">
        <v>1</v>
      </c>
      <c r="E21">
        <v>0</v>
      </c>
      <c r="F21">
        <v>1</v>
      </c>
      <c r="G21">
        <v>0</v>
      </c>
      <c r="H21">
        <v>2</v>
      </c>
      <c r="I21">
        <v>1</v>
      </c>
      <c r="J21">
        <v>0</v>
      </c>
      <c r="K21">
        <v>1</v>
      </c>
      <c r="L21">
        <v>1</v>
      </c>
      <c r="M21">
        <v>0</v>
      </c>
      <c r="N21">
        <v>0</v>
      </c>
      <c r="O21">
        <v>1</v>
      </c>
      <c r="P21">
        <v>0</v>
      </c>
      <c r="Q21">
        <v>0</v>
      </c>
      <c r="R21">
        <v>0</v>
      </c>
      <c r="S21">
        <v>1</v>
      </c>
      <c r="T21">
        <v>0</v>
      </c>
      <c r="U21">
        <v>0</v>
      </c>
      <c r="V21">
        <v>0</v>
      </c>
      <c r="W21">
        <v>0</v>
      </c>
      <c r="X21">
        <v>0</v>
      </c>
      <c r="Y21">
        <v>0</v>
      </c>
      <c r="Z21">
        <v>0</v>
      </c>
      <c r="AA21">
        <v>1</v>
      </c>
      <c r="AB21">
        <v>0</v>
      </c>
      <c r="AC21">
        <v>0</v>
      </c>
      <c r="AD21">
        <v>0</v>
      </c>
      <c r="AE21">
        <v>0</v>
      </c>
      <c r="AF21">
        <v>1</v>
      </c>
    </row>
    <row r="22" spans="1:32" x14ac:dyDescent="0.2">
      <c r="A22" t="s">
        <v>64</v>
      </c>
      <c r="B22">
        <v>0</v>
      </c>
      <c r="C22">
        <v>1</v>
      </c>
      <c r="D22">
        <v>1</v>
      </c>
      <c r="E22">
        <v>1</v>
      </c>
      <c r="F22">
        <v>1</v>
      </c>
      <c r="G22">
        <v>1</v>
      </c>
      <c r="H22">
        <v>1</v>
      </c>
      <c r="I22">
        <v>0</v>
      </c>
      <c r="J22">
        <v>0</v>
      </c>
      <c r="K22">
        <v>1</v>
      </c>
      <c r="L22">
        <v>1</v>
      </c>
      <c r="M22">
        <v>0</v>
      </c>
      <c r="N22">
        <v>0</v>
      </c>
      <c r="O22">
        <v>0</v>
      </c>
      <c r="P22">
        <v>0</v>
      </c>
      <c r="Q22">
        <v>1</v>
      </c>
      <c r="R22">
        <v>0</v>
      </c>
      <c r="S22">
        <v>1</v>
      </c>
      <c r="T22">
        <v>0</v>
      </c>
      <c r="U22">
        <v>1</v>
      </c>
      <c r="V22">
        <v>0</v>
      </c>
      <c r="W22">
        <v>0</v>
      </c>
      <c r="X22">
        <v>0</v>
      </c>
      <c r="Y22">
        <v>0</v>
      </c>
      <c r="Z22">
        <v>0</v>
      </c>
      <c r="AA22">
        <v>0</v>
      </c>
      <c r="AB22">
        <v>0</v>
      </c>
      <c r="AC22">
        <v>0</v>
      </c>
      <c r="AD22">
        <v>1</v>
      </c>
      <c r="AE22">
        <v>0</v>
      </c>
      <c r="AF22">
        <v>1</v>
      </c>
    </row>
    <row r="23" spans="1:32" x14ac:dyDescent="0.2">
      <c r="A23" t="s">
        <v>63</v>
      </c>
      <c r="B23">
        <v>0</v>
      </c>
      <c r="C23">
        <v>0</v>
      </c>
      <c r="D23">
        <v>1</v>
      </c>
      <c r="E23">
        <v>0</v>
      </c>
      <c r="F23">
        <v>1</v>
      </c>
      <c r="G23">
        <v>0</v>
      </c>
      <c r="H23">
        <v>1</v>
      </c>
      <c r="I23">
        <v>0</v>
      </c>
      <c r="J23">
        <v>0</v>
      </c>
      <c r="K23">
        <v>0</v>
      </c>
      <c r="L23">
        <v>1</v>
      </c>
      <c r="M23">
        <v>0</v>
      </c>
      <c r="N23">
        <v>0</v>
      </c>
      <c r="O23">
        <v>0</v>
      </c>
      <c r="P23">
        <v>0</v>
      </c>
      <c r="Q23">
        <v>0</v>
      </c>
      <c r="R23">
        <v>1</v>
      </c>
      <c r="S23">
        <v>1</v>
      </c>
      <c r="T23">
        <v>0</v>
      </c>
      <c r="U23">
        <v>0</v>
      </c>
      <c r="V23">
        <v>1</v>
      </c>
      <c r="W23">
        <v>1</v>
      </c>
      <c r="X23">
        <v>0</v>
      </c>
      <c r="Y23">
        <v>0</v>
      </c>
      <c r="Z23">
        <v>0</v>
      </c>
      <c r="AA23">
        <v>0</v>
      </c>
      <c r="AB23">
        <v>0</v>
      </c>
      <c r="AC23">
        <v>0</v>
      </c>
      <c r="AD23">
        <v>0</v>
      </c>
      <c r="AE23">
        <v>0</v>
      </c>
      <c r="AF23">
        <v>0</v>
      </c>
    </row>
    <row r="25" spans="1:32" x14ac:dyDescent="0.2">
      <c r="A25" t="s">
        <v>15</v>
      </c>
      <c r="B25">
        <f>SUM(B4:AF23)</f>
        <v>187</v>
      </c>
    </row>
    <row r="26" spans="1:32" x14ac:dyDescent="0.2">
      <c r="A26" t="s">
        <v>16</v>
      </c>
      <c r="B26">
        <f>100*COUNT(B4:AF23)-B25</f>
        <v>61813</v>
      </c>
    </row>
    <row r="28" spans="1:32" x14ac:dyDescent="0.2">
      <c r="B28" t="s">
        <v>19</v>
      </c>
      <c r="C28" t="s">
        <v>20</v>
      </c>
    </row>
    <row r="29" spans="1:32" x14ac:dyDescent="0.2">
      <c r="A29" s="4" t="s">
        <v>68</v>
      </c>
      <c r="B29">
        <v>1</v>
      </c>
      <c r="C29">
        <v>1</v>
      </c>
    </row>
    <row r="30" spans="1:32" x14ac:dyDescent="0.2">
      <c r="A30" s="4" t="s">
        <v>69</v>
      </c>
      <c r="B30" s="18">
        <v>1</v>
      </c>
      <c r="C30" s="18">
        <v>1</v>
      </c>
    </row>
    <row r="31" spans="1:32" x14ac:dyDescent="0.2">
      <c r="A31" s="4" t="s">
        <v>41</v>
      </c>
      <c r="B31">
        <f>B30/(B30+C30)</f>
        <v>0.5</v>
      </c>
      <c r="C31" s="4" t="s">
        <v>42</v>
      </c>
    </row>
    <row r="32" spans="1:32" x14ac:dyDescent="0.2">
      <c r="A32" s="4" t="s">
        <v>43</v>
      </c>
      <c r="B32">
        <f>SQRT((B30*C30)/(B30+C30)^2/(B30+C30+1))</f>
        <v>0.28867513459481287</v>
      </c>
      <c r="C32" s="4"/>
    </row>
    <row r="33" spans="1:4" x14ac:dyDescent="0.2">
      <c r="A33" t="s">
        <v>18</v>
      </c>
      <c r="B33" t="s">
        <v>21</v>
      </c>
      <c r="C33" s="5">
        <f>MIN(1,2*B31)</f>
        <v>1</v>
      </c>
    </row>
    <row r="34" spans="1:4" x14ac:dyDescent="0.2">
      <c r="A34" t="s">
        <v>6</v>
      </c>
      <c r="B34" t="s">
        <v>22</v>
      </c>
      <c r="C34" t="s">
        <v>23</v>
      </c>
      <c r="D34" t="s">
        <v>12</v>
      </c>
    </row>
    <row r="35" spans="1:4" x14ac:dyDescent="0.2">
      <c r="A35">
        <v>0</v>
      </c>
      <c r="B35">
        <f>$C$33*A35/(COUNT($A$35:$A$55)-1)+10^(-6)</f>
        <v>9.9999999999999995E-7</v>
      </c>
      <c r="C35">
        <f>BETADIST(B35,$B$30,$C$30)</f>
        <v>1.0000000000000004E-6</v>
      </c>
      <c r="D35">
        <f>_xlfn.BETA.DIST(B35,$B$30,$C$30,FALSE)</f>
        <v>1</v>
      </c>
    </row>
    <row r="36" spans="1:4" x14ac:dyDescent="0.2">
      <c r="A36">
        <f>1+A35</f>
        <v>1</v>
      </c>
      <c r="B36">
        <f t="shared" ref="B36:B54" si="0">$C$33*A36/(COUNT($A$35:$A$55)-1)</f>
        <v>0.05</v>
      </c>
      <c r="C36">
        <f t="shared" ref="C36:C55" si="1">BETADIST(B36,$B$30,$C$30)</f>
        <v>5.000000000000001E-2</v>
      </c>
      <c r="D36">
        <f t="shared" ref="D36:D55" si="2">_xlfn.BETA.DIST(B36,$B$30,$C$30,FALSE)</f>
        <v>1</v>
      </c>
    </row>
    <row r="37" spans="1:4" x14ac:dyDescent="0.2">
      <c r="A37">
        <f t="shared" ref="A37:A54" si="3">1+A36</f>
        <v>2</v>
      </c>
      <c r="B37">
        <f t="shared" si="0"/>
        <v>0.1</v>
      </c>
      <c r="C37">
        <f t="shared" si="1"/>
        <v>0.10000000000000002</v>
      </c>
      <c r="D37">
        <f t="shared" si="2"/>
        <v>1</v>
      </c>
    </row>
    <row r="38" spans="1:4" x14ac:dyDescent="0.2">
      <c r="A38">
        <f t="shared" si="3"/>
        <v>3</v>
      </c>
      <c r="B38">
        <f t="shared" si="0"/>
        <v>0.15</v>
      </c>
      <c r="C38">
        <f t="shared" si="1"/>
        <v>0.15</v>
      </c>
      <c r="D38">
        <f t="shared" si="2"/>
        <v>1</v>
      </c>
    </row>
    <row r="39" spans="1:4" x14ac:dyDescent="0.2">
      <c r="A39">
        <f t="shared" si="3"/>
        <v>4</v>
      </c>
      <c r="B39">
        <f t="shared" si="0"/>
        <v>0.2</v>
      </c>
      <c r="C39">
        <f t="shared" si="1"/>
        <v>0.2</v>
      </c>
      <c r="D39">
        <f t="shared" si="2"/>
        <v>1</v>
      </c>
    </row>
    <row r="40" spans="1:4" x14ac:dyDescent="0.2">
      <c r="A40">
        <f t="shared" si="3"/>
        <v>5</v>
      </c>
      <c r="B40">
        <f t="shared" si="0"/>
        <v>0.25</v>
      </c>
      <c r="C40">
        <f t="shared" si="1"/>
        <v>0.25</v>
      </c>
      <c r="D40">
        <f t="shared" si="2"/>
        <v>1</v>
      </c>
    </row>
    <row r="41" spans="1:4" x14ac:dyDescent="0.2">
      <c r="A41">
        <f t="shared" si="3"/>
        <v>6</v>
      </c>
      <c r="B41">
        <f t="shared" si="0"/>
        <v>0.3</v>
      </c>
      <c r="C41">
        <f t="shared" si="1"/>
        <v>0.3</v>
      </c>
      <c r="D41">
        <f t="shared" si="2"/>
        <v>1</v>
      </c>
    </row>
    <row r="42" spans="1:4" x14ac:dyDescent="0.2">
      <c r="A42">
        <f t="shared" si="3"/>
        <v>7</v>
      </c>
      <c r="B42">
        <f t="shared" si="0"/>
        <v>0.35</v>
      </c>
      <c r="C42">
        <f t="shared" si="1"/>
        <v>0.34999999999999992</v>
      </c>
      <c r="D42">
        <f t="shared" si="2"/>
        <v>1</v>
      </c>
    </row>
    <row r="43" spans="1:4" x14ac:dyDescent="0.2">
      <c r="A43">
        <f t="shared" si="3"/>
        <v>8</v>
      </c>
      <c r="B43">
        <f t="shared" si="0"/>
        <v>0.4</v>
      </c>
      <c r="C43">
        <f t="shared" si="1"/>
        <v>0.4</v>
      </c>
      <c r="D43">
        <f t="shared" si="2"/>
        <v>1</v>
      </c>
    </row>
    <row r="44" spans="1:4" x14ac:dyDescent="0.2">
      <c r="A44">
        <f>1+A43</f>
        <v>9</v>
      </c>
      <c r="B44">
        <f t="shared" si="0"/>
        <v>0.45</v>
      </c>
      <c r="C44">
        <f t="shared" si="1"/>
        <v>0.45</v>
      </c>
      <c r="D44">
        <f t="shared" si="2"/>
        <v>1</v>
      </c>
    </row>
    <row r="45" spans="1:4" x14ac:dyDescent="0.2">
      <c r="A45">
        <f t="shared" si="3"/>
        <v>10</v>
      </c>
      <c r="B45">
        <f t="shared" si="0"/>
        <v>0.5</v>
      </c>
      <c r="C45">
        <f t="shared" si="1"/>
        <v>0.5</v>
      </c>
      <c r="D45">
        <f t="shared" si="2"/>
        <v>1</v>
      </c>
    </row>
    <row r="46" spans="1:4" x14ac:dyDescent="0.2">
      <c r="A46">
        <f t="shared" si="3"/>
        <v>11</v>
      </c>
      <c r="B46">
        <f t="shared" si="0"/>
        <v>0.55000000000000004</v>
      </c>
      <c r="C46">
        <f t="shared" si="1"/>
        <v>0.55000000000000004</v>
      </c>
      <c r="D46">
        <f t="shared" si="2"/>
        <v>1</v>
      </c>
    </row>
    <row r="47" spans="1:4" x14ac:dyDescent="0.2">
      <c r="A47">
        <f t="shared" si="3"/>
        <v>12</v>
      </c>
      <c r="B47">
        <f t="shared" si="0"/>
        <v>0.6</v>
      </c>
      <c r="C47">
        <f t="shared" si="1"/>
        <v>0.6</v>
      </c>
      <c r="D47">
        <f t="shared" si="2"/>
        <v>1</v>
      </c>
    </row>
    <row r="48" spans="1:4" x14ac:dyDescent="0.2">
      <c r="A48">
        <f>1+A47</f>
        <v>13</v>
      </c>
      <c r="B48">
        <f t="shared" si="0"/>
        <v>0.65</v>
      </c>
      <c r="C48">
        <f t="shared" si="1"/>
        <v>0.65</v>
      </c>
      <c r="D48">
        <f t="shared" si="2"/>
        <v>1</v>
      </c>
    </row>
    <row r="49" spans="1:4" x14ac:dyDescent="0.2">
      <c r="A49">
        <f t="shared" si="3"/>
        <v>14</v>
      </c>
      <c r="B49">
        <f t="shared" si="0"/>
        <v>0.7</v>
      </c>
      <c r="C49">
        <f t="shared" si="1"/>
        <v>0.7</v>
      </c>
      <c r="D49">
        <f t="shared" si="2"/>
        <v>1</v>
      </c>
    </row>
    <row r="50" spans="1:4" x14ac:dyDescent="0.2">
      <c r="A50">
        <f t="shared" si="3"/>
        <v>15</v>
      </c>
      <c r="B50">
        <f t="shared" si="0"/>
        <v>0.75</v>
      </c>
      <c r="C50">
        <f t="shared" si="1"/>
        <v>0.75</v>
      </c>
      <c r="D50">
        <f t="shared" si="2"/>
        <v>1</v>
      </c>
    </row>
    <row r="51" spans="1:4" x14ac:dyDescent="0.2">
      <c r="A51">
        <f t="shared" si="3"/>
        <v>16</v>
      </c>
      <c r="B51">
        <f t="shared" si="0"/>
        <v>0.8</v>
      </c>
      <c r="C51">
        <f t="shared" si="1"/>
        <v>0.8</v>
      </c>
      <c r="D51">
        <f t="shared" si="2"/>
        <v>1</v>
      </c>
    </row>
    <row r="52" spans="1:4" x14ac:dyDescent="0.2">
      <c r="A52">
        <f t="shared" si="3"/>
        <v>17</v>
      </c>
      <c r="B52">
        <f t="shared" si="0"/>
        <v>0.85</v>
      </c>
      <c r="C52">
        <f t="shared" si="1"/>
        <v>0.85</v>
      </c>
      <c r="D52">
        <f t="shared" si="2"/>
        <v>1</v>
      </c>
    </row>
    <row r="53" spans="1:4" x14ac:dyDescent="0.2">
      <c r="A53">
        <f t="shared" si="3"/>
        <v>18</v>
      </c>
      <c r="B53">
        <f t="shared" si="0"/>
        <v>0.9</v>
      </c>
      <c r="C53">
        <f t="shared" si="1"/>
        <v>0.9</v>
      </c>
      <c r="D53">
        <f t="shared" si="2"/>
        <v>1</v>
      </c>
    </row>
    <row r="54" spans="1:4" x14ac:dyDescent="0.2">
      <c r="A54">
        <f t="shared" si="3"/>
        <v>19</v>
      </c>
      <c r="B54">
        <f t="shared" si="0"/>
        <v>0.95</v>
      </c>
      <c r="C54">
        <f t="shared" si="1"/>
        <v>0.95</v>
      </c>
      <c r="D54">
        <f t="shared" si="2"/>
        <v>1</v>
      </c>
    </row>
    <row r="55" spans="1:4" x14ac:dyDescent="0.2">
      <c r="A55">
        <f>1+A54</f>
        <v>20</v>
      </c>
      <c r="B55">
        <f>$C$33*A55/(COUNT($A$35:$A$55)-1)-10^(-6)</f>
        <v>0.99999899999999997</v>
      </c>
      <c r="C55">
        <f t="shared" si="1"/>
        <v>0.99999899999999997</v>
      </c>
      <c r="D55">
        <f t="shared" si="2"/>
        <v>1</v>
      </c>
    </row>
  </sheetData>
  <pageMargins left="0.7" right="0.7" top="0.75" bottom="0.75" header="0.3" footer="0.3"/>
  <pageSetup paperSize="119" scale="50" fitToWidth="0" fitToHeight="0" orientation="portrait"/>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election sqref="A1:XFD1048576"/>
    </sheetView>
  </sheetViews>
  <sheetFormatPr baseColWidth="10" defaultColWidth="8.75" defaultRowHeight="18" x14ac:dyDescent="0.2"/>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6"/>
  <sheetViews>
    <sheetView zoomScale="70" zoomScaleNormal="70" zoomScalePageLayoutView="70" workbookViewId="0">
      <selection activeCell="A16" sqref="A16:A17"/>
    </sheetView>
  </sheetViews>
  <sheetFormatPr baseColWidth="10" defaultColWidth="8.75" defaultRowHeight="18" x14ac:dyDescent="0.2"/>
  <cols>
    <col min="1" max="1" width="12.25" customWidth="1"/>
    <col min="2" max="2" width="10.125" customWidth="1"/>
    <col min="3" max="3" width="20.875" customWidth="1"/>
    <col min="4" max="4" width="19.375" customWidth="1"/>
    <col min="5" max="5" width="16.25" customWidth="1"/>
    <col min="6" max="9" width="9.875" bestFit="1" customWidth="1"/>
    <col min="10" max="10" width="9.5" customWidth="1"/>
    <col min="12" max="13" width="12.75" customWidth="1"/>
    <col min="14" max="14" width="22.5" customWidth="1"/>
    <col min="16" max="16" width="14.875" customWidth="1"/>
  </cols>
  <sheetData>
    <row r="1" spans="1:10" ht="49.5" customHeight="1" x14ac:dyDescent="0.2">
      <c r="A1" s="50" t="s">
        <v>77</v>
      </c>
      <c r="B1" s="50"/>
      <c r="C1" s="50"/>
      <c r="D1" s="50"/>
      <c r="E1" s="50"/>
      <c r="F1" s="50"/>
      <c r="G1" s="50"/>
      <c r="H1" s="50"/>
      <c r="I1" s="50"/>
      <c r="J1" s="50"/>
    </row>
    <row r="4" spans="1:10" ht="38" x14ac:dyDescent="0.2">
      <c r="A4" s="10" t="s">
        <v>75</v>
      </c>
      <c r="B4" s="24" t="s">
        <v>29</v>
      </c>
      <c r="C4" s="24" t="s">
        <v>30</v>
      </c>
      <c r="D4" s="24" t="s">
        <v>31</v>
      </c>
    </row>
    <row r="5" spans="1:10" x14ac:dyDescent="0.2">
      <c r="A5">
        <v>1</v>
      </c>
      <c r="B5">
        <v>10</v>
      </c>
      <c r="C5">
        <v>5000</v>
      </c>
      <c r="D5">
        <v>0</v>
      </c>
    </row>
    <row r="7" spans="1:10" x14ac:dyDescent="0.2">
      <c r="D7" s="4" t="s">
        <v>65</v>
      </c>
      <c r="E7" s="4" t="s">
        <v>43</v>
      </c>
    </row>
    <row r="8" spans="1:10" x14ac:dyDescent="0.2">
      <c r="A8" s="4" t="s">
        <v>66</v>
      </c>
      <c r="D8" s="16">
        <f>SUMPRODUCT('1) Régression sur D, T et P'!$A$9:$D$9,$A$5:$D$5)+'1) Régression sur D, T et P'!$A$46</f>
        <v>461600</v>
      </c>
      <c r="E8">
        <f>'1) Régression sur D, T et P'!$B$46</f>
        <v>145915.7862147433</v>
      </c>
    </row>
    <row r="9" spans="1:10" x14ac:dyDescent="0.2">
      <c r="A9" s="4"/>
      <c r="D9" s="17" t="s">
        <v>19</v>
      </c>
      <c r="E9" s="4" t="s">
        <v>20</v>
      </c>
    </row>
    <row r="10" spans="1:10" x14ac:dyDescent="0.2">
      <c r="A10" s="4" t="s">
        <v>67</v>
      </c>
      <c r="D10">
        <f>'2) Sinistre - solution'!$B$30</f>
        <v>1</v>
      </c>
      <c r="E10">
        <f>'2) Sinistre - solution'!$C$30</f>
        <v>1</v>
      </c>
    </row>
    <row r="12" spans="1:10" x14ac:dyDescent="0.2">
      <c r="C12" s="30"/>
      <c r="D12" s="30"/>
      <c r="E12" s="30"/>
    </row>
    <row r="13" spans="1:10" x14ac:dyDescent="0.2">
      <c r="C13" s="30"/>
      <c r="D13" s="30"/>
      <c r="E13" s="30"/>
    </row>
    <row r="14" spans="1:10" x14ac:dyDescent="0.2">
      <c r="A14" s="4" t="s">
        <v>93</v>
      </c>
      <c r="D14" s="16">
        <f>D8</f>
        <v>461600</v>
      </c>
      <c r="F14" s="4" t="s">
        <v>94</v>
      </c>
    </row>
    <row r="15" spans="1:10" x14ac:dyDescent="0.2">
      <c r="A15" s="4" t="s">
        <v>95</v>
      </c>
      <c r="D15">
        <f>D10/(D10+E10)</f>
        <v>0.5</v>
      </c>
      <c r="F15" s="4"/>
    </row>
    <row r="16" spans="1:10" ht="30" customHeight="1" x14ac:dyDescent="0.2">
      <c r="A16" s="4" t="s">
        <v>107</v>
      </c>
      <c r="D16">
        <f>D15*D14</f>
        <v>230800</v>
      </c>
    </row>
    <row r="17" spans="1:2" x14ac:dyDescent="0.2">
      <c r="A17" s="4" t="s">
        <v>108</v>
      </c>
    </row>
    <row r="26" spans="1:2" x14ac:dyDescent="0.2">
      <c r="A26" s="29"/>
      <c r="B26" s="30"/>
    </row>
  </sheetData>
  <mergeCells count="1">
    <mergeCell ref="A1:J1"/>
  </mergeCells>
  <pageMargins left="0.7" right="0.7" top="0.75" bottom="0.75" header="0.3" footer="0.3"/>
  <pageSetup scale="50"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10</vt:i4>
      </vt:variant>
      <vt:variant>
        <vt:lpstr>Plages nommées</vt:lpstr>
      </vt:variant>
      <vt:variant>
        <vt:i4>5</vt:i4>
      </vt:variant>
    </vt:vector>
  </HeadingPairs>
  <TitlesOfParts>
    <vt:vector size="15" baseType="lpstr">
      <vt:lpstr>Instructions</vt:lpstr>
      <vt:lpstr>   </vt:lpstr>
      <vt:lpstr>Valeur maison - Données</vt:lpstr>
      <vt:lpstr>1) Régression sur D, T et P</vt:lpstr>
      <vt:lpstr>1.2) Régression avec P discret</vt:lpstr>
      <vt:lpstr>              </vt:lpstr>
      <vt:lpstr>Sinistre - données</vt:lpstr>
      <vt:lpstr>2) Sinistre - solution</vt:lpstr>
      <vt:lpstr>                </vt:lpstr>
      <vt:lpstr>3) Estimation valeur espérée</vt:lpstr>
      <vt:lpstr>'1.2) Régression avec P discret'!Zone_d_impression</vt:lpstr>
      <vt:lpstr>'1) Régression sur D, T et P'!Zone_d_impression</vt:lpstr>
      <vt:lpstr>'2) Sinistre - solution'!Zone_d_impression</vt:lpstr>
      <vt:lpstr>'3) Estimation valeur espérée'!Zone_d_impression</vt:lpstr>
      <vt:lpstr>Instructions!Zone_d_impression</vt:lpstr>
    </vt:vector>
  </TitlesOfParts>
  <Company>GERAD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Jacques Desrosiers</dc:creator>
  <cp:lastModifiedBy>erick delage</cp:lastModifiedBy>
  <cp:lastPrinted>2013-11-08T21:30:48Z</cp:lastPrinted>
  <dcterms:created xsi:type="dcterms:W3CDTF">2001-11-10T21:39:53Z</dcterms:created>
  <dcterms:modified xsi:type="dcterms:W3CDTF">2020-09-18T13:40:27Z</dcterms:modified>
</cp:coreProperties>
</file>