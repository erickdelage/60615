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kdelage/Dropbox/My Documents/My Classes/MSc_AnalyseDecisions/AD_Automne2020/Lectures/Seance_3/fr/"/>
    </mc:Choice>
  </mc:AlternateContent>
  <xr:revisionPtr revIDLastSave="0" documentId="8_{6B2A8652-25F2-4F43-9988-AA317C3B498D}" xr6:coauthVersionLast="45" xr6:coauthVersionMax="45" xr10:uidLastSave="{00000000-0000-0000-0000-000000000000}"/>
  <bookViews>
    <workbookView xWindow="25600" yWindow="-4540" windowWidth="33600" windowHeight="20540" activeTab="2" xr2:uid="{FC947F25-2690-0040-A3EC-F9E14B29CFDF}"/>
  </bookViews>
  <sheets>
    <sheet name="données0" sheetId="13" r:id="rId1"/>
    <sheet name="hypothèse normale" sheetId="1" r:id="rId2"/>
    <sheet name="hyp.norm. bootstrap" sheetId="2" r:id="rId3"/>
    <sheet name="hypothèse uniforme" sheetId="12" r:id="rId4"/>
    <sheet name="hyp.unif. bootstrap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9" i="1" l="1"/>
  <c r="G32" i="11" l="1"/>
  <c r="A100" i="1" l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C5" i="1" s="1"/>
  <c r="C9" i="11"/>
  <c r="D8" i="11"/>
  <c r="C9" i="12"/>
  <c r="C10" i="12" s="1"/>
  <c r="D8" i="12"/>
  <c r="C9" i="2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9" i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D8" i="2"/>
  <c r="D8" i="1"/>
  <c r="D9" i="1" l="1"/>
  <c r="D9" i="12"/>
  <c r="A97" i="12"/>
  <c r="A81" i="12"/>
  <c r="A65" i="12"/>
  <c r="A33" i="12"/>
  <c r="A93" i="12"/>
  <c r="A77" i="12"/>
  <c r="A57" i="12"/>
  <c r="A25" i="12"/>
  <c r="A89" i="12"/>
  <c r="A73" i="12"/>
  <c r="A49" i="12"/>
  <c r="A17" i="12"/>
  <c r="A85" i="12"/>
  <c r="A69" i="12"/>
  <c r="A41" i="12"/>
  <c r="A9" i="12"/>
  <c r="A95" i="12"/>
  <c r="A87" i="12"/>
  <c r="A79" i="12"/>
  <c r="A71" i="12"/>
  <c r="A63" i="12"/>
  <c r="A55" i="12"/>
  <c r="A47" i="12"/>
  <c r="A39" i="12"/>
  <c r="A31" i="12"/>
  <c r="A23" i="12"/>
  <c r="A15" i="12"/>
  <c r="A7" i="12"/>
  <c r="A61" i="12"/>
  <c r="A53" i="12"/>
  <c r="A45" i="12"/>
  <c r="A37" i="12"/>
  <c r="A29" i="12"/>
  <c r="A21" i="12"/>
  <c r="A13" i="12"/>
  <c r="A5" i="12"/>
  <c r="A99" i="12"/>
  <c r="A91" i="12"/>
  <c r="A83" i="12"/>
  <c r="A75" i="12"/>
  <c r="A67" i="12"/>
  <c r="A59" i="12"/>
  <c r="A51" i="12"/>
  <c r="A43" i="12"/>
  <c r="A35" i="12"/>
  <c r="A27" i="12"/>
  <c r="A19" i="12"/>
  <c r="A11" i="12"/>
  <c r="A3" i="12"/>
  <c r="A76" i="12"/>
  <c r="A100" i="12"/>
  <c r="A96" i="12"/>
  <c r="A92" i="12"/>
  <c r="A88" i="12"/>
  <c r="A84" i="12"/>
  <c r="A80" i="12"/>
  <c r="A72" i="12"/>
  <c r="A68" i="12"/>
  <c r="A64" i="12"/>
  <c r="A60" i="12"/>
  <c r="A56" i="12"/>
  <c r="A52" i="12"/>
  <c r="A48" i="12"/>
  <c r="A44" i="12"/>
  <c r="A40" i="12"/>
  <c r="A36" i="12"/>
  <c r="A32" i="12"/>
  <c r="A28" i="12"/>
  <c r="A24" i="12"/>
  <c r="A20" i="12"/>
  <c r="A16" i="12"/>
  <c r="A12" i="12"/>
  <c r="A8" i="12"/>
  <c r="A4" i="12"/>
  <c r="A98" i="12"/>
  <c r="A94" i="12"/>
  <c r="A90" i="12"/>
  <c r="A86" i="12"/>
  <c r="A82" i="12"/>
  <c r="A78" i="12"/>
  <c r="A74" i="12"/>
  <c r="A70" i="12"/>
  <c r="A66" i="12"/>
  <c r="A62" i="12"/>
  <c r="A58" i="12"/>
  <c r="A54" i="12"/>
  <c r="A50" i="12"/>
  <c r="A46" i="12"/>
  <c r="A42" i="12"/>
  <c r="A38" i="12"/>
  <c r="A34" i="12"/>
  <c r="A30" i="12"/>
  <c r="A26" i="12"/>
  <c r="A22" i="12"/>
  <c r="A18" i="12"/>
  <c r="A14" i="12"/>
  <c r="A10" i="12"/>
  <c r="A6" i="12"/>
  <c r="A2" i="12"/>
  <c r="A1" i="12"/>
  <c r="D9" i="11"/>
  <c r="C10" i="11"/>
  <c r="C11" i="12"/>
  <c r="D10" i="12"/>
  <c r="C20" i="2"/>
  <c r="C21" i="2" s="1"/>
  <c r="C22" i="2" s="1"/>
  <c r="C23" i="2" s="1"/>
  <c r="C24" i="2" s="1"/>
  <c r="C25" i="2" s="1"/>
  <c r="C26" i="2" s="1"/>
  <c r="C27" i="2" s="1"/>
  <c r="C28" i="2" s="1"/>
  <c r="C21" i="1"/>
  <c r="E8" i="1"/>
  <c r="E9" i="1" s="1"/>
  <c r="D5" i="1"/>
  <c r="D19" i="2"/>
  <c r="D9" i="2"/>
  <c r="D10" i="2"/>
  <c r="D20" i="1"/>
  <c r="D19" i="1"/>
  <c r="D20" i="2" l="1"/>
  <c r="E8" i="12"/>
  <c r="E9" i="12" s="1"/>
  <c r="E10" i="12" s="1"/>
  <c r="D5" i="12"/>
  <c r="C5" i="12"/>
  <c r="C11" i="11"/>
  <c r="D10" i="11"/>
  <c r="C12" i="12"/>
  <c r="D12" i="12" s="1"/>
  <c r="D11" i="12"/>
  <c r="C22" i="1"/>
  <c r="D22" i="1" s="1"/>
  <c r="D21" i="1"/>
  <c r="D11" i="1"/>
  <c r="D10" i="1"/>
  <c r="A21" i="2"/>
  <c r="A25" i="2"/>
  <c r="A29" i="2"/>
  <c r="A33" i="2"/>
  <c r="A37" i="2"/>
  <c r="A41" i="2"/>
  <c r="A45" i="2"/>
  <c r="A49" i="2"/>
  <c r="A53" i="2"/>
  <c r="A57" i="2"/>
  <c r="A61" i="2"/>
  <c r="A65" i="2"/>
  <c r="A69" i="2"/>
  <c r="A73" i="2"/>
  <c r="A77" i="2"/>
  <c r="A81" i="2"/>
  <c r="A85" i="2"/>
  <c r="A89" i="2"/>
  <c r="A93" i="2"/>
  <c r="A97" i="2"/>
  <c r="A27" i="2"/>
  <c r="A43" i="2"/>
  <c r="A55" i="2"/>
  <c r="A63" i="2"/>
  <c r="A71" i="2"/>
  <c r="A79" i="2"/>
  <c r="A87" i="2"/>
  <c r="A95" i="2"/>
  <c r="A24" i="2"/>
  <c r="A32" i="2"/>
  <c r="A40" i="2"/>
  <c r="A48" i="2"/>
  <c r="A56" i="2"/>
  <c r="A64" i="2"/>
  <c r="A72" i="2"/>
  <c r="A80" i="2"/>
  <c r="A88" i="2"/>
  <c r="A96" i="2"/>
  <c r="A22" i="2"/>
  <c r="A26" i="2"/>
  <c r="A30" i="2"/>
  <c r="A34" i="2"/>
  <c r="A38" i="2"/>
  <c r="A42" i="2"/>
  <c r="A46" i="2"/>
  <c r="A50" i="2"/>
  <c r="A54" i="2"/>
  <c r="A58" i="2"/>
  <c r="A62" i="2"/>
  <c r="A66" i="2"/>
  <c r="A70" i="2"/>
  <c r="A74" i="2"/>
  <c r="A78" i="2"/>
  <c r="A82" i="2"/>
  <c r="A86" i="2"/>
  <c r="A90" i="2"/>
  <c r="A94" i="2"/>
  <c r="A98" i="2"/>
  <c r="A23" i="2"/>
  <c r="A31" i="2"/>
  <c r="A35" i="2"/>
  <c r="A39" i="2"/>
  <c r="A47" i="2"/>
  <c r="A51" i="2"/>
  <c r="A59" i="2"/>
  <c r="A67" i="2"/>
  <c r="A75" i="2"/>
  <c r="A83" i="2"/>
  <c r="A91" i="2"/>
  <c r="A99" i="2"/>
  <c r="A28" i="2"/>
  <c r="A36" i="2"/>
  <c r="A44" i="2"/>
  <c r="A52" i="2"/>
  <c r="A60" i="2"/>
  <c r="A68" i="2"/>
  <c r="A76" i="2"/>
  <c r="A84" i="2"/>
  <c r="A92" i="2"/>
  <c r="A100" i="2"/>
  <c r="E10" i="1"/>
  <c r="E11" i="1" s="1"/>
  <c r="D21" i="2"/>
  <c r="F8" i="1"/>
  <c r="F9" i="1" s="1"/>
  <c r="A1" i="2"/>
  <c r="A2" i="2"/>
  <c r="A6" i="2"/>
  <c r="A10" i="2"/>
  <c r="A14" i="2"/>
  <c r="A18" i="2"/>
  <c r="A3" i="2"/>
  <c r="A7" i="2"/>
  <c r="A11" i="2"/>
  <c r="A15" i="2"/>
  <c r="A19" i="2"/>
  <c r="A4" i="2"/>
  <c r="A8" i="2"/>
  <c r="A12" i="2"/>
  <c r="A16" i="2"/>
  <c r="A20" i="2"/>
  <c r="A5" i="2"/>
  <c r="A9" i="2"/>
  <c r="A13" i="2"/>
  <c r="A17" i="2"/>
  <c r="E11" i="12" l="1"/>
  <c r="E12" i="12" s="1"/>
  <c r="A57" i="11"/>
  <c r="A47" i="11"/>
  <c r="A88" i="11"/>
  <c r="A28" i="11"/>
  <c r="A30" i="11"/>
  <c r="F8" i="12"/>
  <c r="G8" i="12" s="1"/>
  <c r="A89" i="11"/>
  <c r="A21" i="11"/>
  <c r="A56" i="11"/>
  <c r="A91" i="11"/>
  <c r="A5" i="11"/>
  <c r="A65" i="11"/>
  <c r="A96" i="11"/>
  <c r="A36" i="11"/>
  <c r="A75" i="11"/>
  <c r="A74" i="11"/>
  <c r="A97" i="11"/>
  <c r="A33" i="11"/>
  <c r="A64" i="11"/>
  <c r="A12" i="11"/>
  <c r="A15" i="11"/>
  <c r="A94" i="11"/>
  <c r="A4" i="11"/>
  <c r="A87" i="11"/>
  <c r="A67" i="11"/>
  <c r="A35" i="11"/>
  <c r="A3" i="11"/>
  <c r="A76" i="11"/>
  <c r="A50" i="11"/>
  <c r="A81" i="11"/>
  <c r="A49" i="11"/>
  <c r="A13" i="11"/>
  <c r="A80" i="11"/>
  <c r="A52" i="11"/>
  <c r="A20" i="11"/>
  <c r="A99" i="11"/>
  <c r="A83" i="11"/>
  <c r="A63" i="11"/>
  <c r="A31" i="11"/>
  <c r="A69" i="11"/>
  <c r="A40" i="11"/>
  <c r="A1" i="11"/>
  <c r="A73" i="11"/>
  <c r="A41" i="11"/>
  <c r="A9" i="11"/>
  <c r="A72" i="11"/>
  <c r="A44" i="11"/>
  <c r="A16" i="11"/>
  <c r="A95" i="11"/>
  <c r="A79" i="11"/>
  <c r="A51" i="11"/>
  <c r="A19" i="11"/>
  <c r="A37" i="11"/>
  <c r="A2" i="11"/>
  <c r="A93" i="11"/>
  <c r="A61" i="11"/>
  <c r="A29" i="11"/>
  <c r="A100" i="11"/>
  <c r="A68" i="11"/>
  <c r="A32" i="11"/>
  <c r="A90" i="11"/>
  <c r="A66" i="11"/>
  <c r="A46" i="11"/>
  <c r="A26" i="11"/>
  <c r="A59" i="11"/>
  <c r="A43" i="11"/>
  <c r="A27" i="11"/>
  <c r="A11" i="11"/>
  <c r="A85" i="11"/>
  <c r="A53" i="11"/>
  <c r="A25" i="11"/>
  <c r="A92" i="11"/>
  <c r="A60" i="11"/>
  <c r="A24" i="11"/>
  <c r="A82" i="11"/>
  <c r="A62" i="11"/>
  <c r="A42" i="11"/>
  <c r="A14" i="11"/>
  <c r="A71" i="11"/>
  <c r="A55" i="11"/>
  <c r="A39" i="11"/>
  <c r="A23" i="11"/>
  <c r="A7" i="11"/>
  <c r="A77" i="11"/>
  <c r="A45" i="11"/>
  <c r="A17" i="11"/>
  <c r="A84" i="11"/>
  <c r="A48" i="11"/>
  <c r="A98" i="11"/>
  <c r="A78" i="11"/>
  <c r="A58" i="11"/>
  <c r="A34" i="11"/>
  <c r="A10" i="11"/>
  <c r="A8" i="11"/>
  <c r="A86" i="11"/>
  <c r="A70" i="11"/>
  <c r="A54" i="11"/>
  <c r="A38" i="11"/>
  <c r="A22" i="11"/>
  <c r="A6" i="11"/>
  <c r="A18" i="11"/>
  <c r="C12" i="11"/>
  <c r="D12" i="11"/>
  <c r="D11" i="11"/>
  <c r="C13" i="12"/>
  <c r="D13" i="12" s="1"/>
  <c r="C23" i="1"/>
  <c r="D23" i="1"/>
  <c r="D12" i="1"/>
  <c r="E8" i="2"/>
  <c r="E9" i="2" s="1"/>
  <c r="D12" i="2"/>
  <c r="D11" i="2"/>
  <c r="D22" i="2"/>
  <c r="F10" i="1"/>
  <c r="D5" i="2"/>
  <c r="C5" i="2"/>
  <c r="G9" i="1"/>
  <c r="G8" i="1"/>
  <c r="F9" i="12" l="1"/>
  <c r="G9" i="12" s="1"/>
  <c r="D5" i="11"/>
  <c r="E8" i="11"/>
  <c r="E9" i="11" s="1"/>
  <c r="E10" i="11" s="1"/>
  <c r="E11" i="11" s="1"/>
  <c r="C5" i="11"/>
  <c r="C13" i="11"/>
  <c r="D13" i="11"/>
  <c r="C14" i="12"/>
  <c r="E13" i="12"/>
  <c r="C24" i="1"/>
  <c r="D24" i="1"/>
  <c r="E12" i="1"/>
  <c r="D13" i="1"/>
  <c r="E10" i="2"/>
  <c r="F8" i="2"/>
  <c r="D23" i="2"/>
  <c r="F11" i="1"/>
  <c r="G11" i="1" s="1"/>
  <c r="G10" i="1"/>
  <c r="G8" i="2" l="1"/>
  <c r="F10" i="12"/>
  <c r="G10" i="12" s="1"/>
  <c r="F8" i="11"/>
  <c r="F9" i="11" s="1"/>
  <c r="E12" i="11"/>
  <c r="E13" i="11" s="1"/>
  <c r="C14" i="11"/>
  <c r="D14" i="11" s="1"/>
  <c r="C15" i="12"/>
  <c r="E14" i="12"/>
  <c r="D14" i="12"/>
  <c r="C25" i="1"/>
  <c r="D25" i="1" s="1"/>
  <c r="D14" i="1"/>
  <c r="E13" i="1"/>
  <c r="E11" i="2"/>
  <c r="F9" i="2"/>
  <c r="F10" i="2" s="1"/>
  <c r="F11" i="2" s="1"/>
  <c r="D14" i="2"/>
  <c r="D13" i="2"/>
  <c r="D24" i="2"/>
  <c r="F12" i="1"/>
  <c r="G12" i="1" s="1"/>
  <c r="G8" i="11" l="1"/>
  <c r="F11" i="12"/>
  <c r="G11" i="12" s="1"/>
  <c r="G9" i="11"/>
  <c r="F10" i="11"/>
  <c r="G10" i="11" s="1"/>
  <c r="E14" i="11"/>
  <c r="C15" i="11"/>
  <c r="D15" i="11" s="1"/>
  <c r="C16" i="12"/>
  <c r="D16" i="12" s="1"/>
  <c r="E15" i="12"/>
  <c r="D15" i="12"/>
  <c r="C26" i="1"/>
  <c r="D26" i="1" s="1"/>
  <c r="D15" i="1"/>
  <c r="E14" i="1"/>
  <c r="E12" i="2"/>
  <c r="G11" i="2"/>
  <c r="G9" i="2"/>
  <c r="F12" i="2"/>
  <c r="F13" i="2" s="1"/>
  <c r="F14" i="2" s="1"/>
  <c r="G10" i="2"/>
  <c r="D25" i="2"/>
  <c r="D15" i="2"/>
  <c r="F13" i="1"/>
  <c r="F12" i="12" l="1"/>
  <c r="F13" i="12" s="1"/>
  <c r="F11" i="11"/>
  <c r="C16" i="11"/>
  <c r="E15" i="11"/>
  <c r="G12" i="12"/>
  <c r="C17" i="12"/>
  <c r="E16" i="12"/>
  <c r="C27" i="1"/>
  <c r="C28" i="1" s="1"/>
  <c r="D16" i="1"/>
  <c r="E15" i="1"/>
  <c r="E13" i="2"/>
  <c r="G13" i="2" s="1"/>
  <c r="G12" i="2"/>
  <c r="F15" i="2"/>
  <c r="F14" i="1"/>
  <c r="G14" i="1" s="1"/>
  <c r="G13" i="1"/>
  <c r="D27" i="1" l="1"/>
  <c r="C17" i="11"/>
  <c r="D17" i="11" s="1"/>
  <c r="E16" i="11"/>
  <c r="D16" i="11"/>
  <c r="G11" i="11"/>
  <c r="F12" i="11"/>
  <c r="F13" i="11" s="1"/>
  <c r="G13" i="11" s="1"/>
  <c r="G13" i="12"/>
  <c r="F14" i="12"/>
  <c r="C18" i="12"/>
  <c r="E17" i="12"/>
  <c r="D18" i="12"/>
  <c r="D17" i="12"/>
  <c r="D29" i="1"/>
  <c r="D28" i="1"/>
  <c r="D17" i="1"/>
  <c r="E16" i="1"/>
  <c r="E14" i="2"/>
  <c r="E15" i="2" s="1"/>
  <c r="D27" i="2"/>
  <c r="F16" i="2"/>
  <c r="D17" i="2"/>
  <c r="D16" i="2"/>
  <c r="D26" i="2"/>
  <c r="F15" i="1"/>
  <c r="G15" i="1" s="1"/>
  <c r="G12" i="11" l="1"/>
  <c r="F14" i="11"/>
  <c r="G14" i="11" s="1"/>
  <c r="D18" i="11"/>
  <c r="E17" i="11"/>
  <c r="C18" i="11"/>
  <c r="G14" i="12"/>
  <c r="F15" i="12"/>
  <c r="C19" i="12"/>
  <c r="E18" i="12"/>
  <c r="E17" i="1"/>
  <c r="E18" i="1" s="1"/>
  <c r="E19" i="1" s="1"/>
  <c r="E20" i="1" s="1"/>
  <c r="E21" i="1" s="1"/>
  <c r="E22" i="1" s="1"/>
  <c r="E23" i="1" s="1"/>
  <c r="D18" i="1"/>
  <c r="G15" i="2"/>
  <c r="E16" i="2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G14" i="2"/>
  <c r="F17" i="2"/>
  <c r="F18" i="2" s="1"/>
  <c r="D18" i="2"/>
  <c r="D28" i="2"/>
  <c r="F16" i="1"/>
  <c r="F17" i="1" s="1"/>
  <c r="F15" i="11" l="1"/>
  <c r="E18" i="11"/>
  <c r="C19" i="11"/>
  <c r="G15" i="12"/>
  <c r="F16" i="12"/>
  <c r="C20" i="12"/>
  <c r="D20" i="12" s="1"/>
  <c r="E19" i="12"/>
  <c r="D19" i="12"/>
  <c r="E24" i="1"/>
  <c r="E25" i="1" s="1"/>
  <c r="E26" i="1" s="1"/>
  <c r="E27" i="1" s="1"/>
  <c r="E28" i="1" s="1"/>
  <c r="G16" i="2"/>
  <c r="G16" i="1"/>
  <c r="G18" i="2"/>
  <c r="G17" i="2"/>
  <c r="F19" i="2"/>
  <c r="D29" i="2"/>
  <c r="F18" i="1"/>
  <c r="G17" i="1"/>
  <c r="C20" i="11" l="1"/>
  <c r="D20" i="11" s="1"/>
  <c r="E19" i="11"/>
  <c r="D19" i="11"/>
  <c r="G15" i="11"/>
  <c r="F16" i="11"/>
  <c r="F17" i="12"/>
  <c r="G16" i="12"/>
  <c r="C21" i="12"/>
  <c r="E20" i="12"/>
  <c r="E29" i="1"/>
  <c r="G29" i="1" s="1"/>
  <c r="G31" i="1" s="1"/>
  <c r="G32" i="2" s="1"/>
  <c r="G19" i="2"/>
  <c r="F20" i="2"/>
  <c r="F19" i="1"/>
  <c r="G18" i="1"/>
  <c r="F17" i="11" l="1"/>
  <c r="G17" i="11" s="1"/>
  <c r="G16" i="11"/>
  <c r="C21" i="11"/>
  <c r="D21" i="11" s="1"/>
  <c r="E20" i="11"/>
  <c r="F18" i="12"/>
  <c r="G17" i="12"/>
  <c r="C22" i="12"/>
  <c r="D22" i="12" s="1"/>
  <c r="E21" i="12"/>
  <c r="D21" i="12"/>
  <c r="E29" i="2"/>
  <c r="G20" i="2"/>
  <c r="F21" i="2"/>
  <c r="F20" i="1"/>
  <c r="G19" i="1"/>
  <c r="F18" i="11" l="1"/>
  <c r="E21" i="11"/>
  <c r="C22" i="11"/>
  <c r="D22" i="11" s="1"/>
  <c r="F19" i="12"/>
  <c r="G18" i="12"/>
  <c r="C23" i="12"/>
  <c r="D23" i="12" s="1"/>
  <c r="E22" i="12"/>
  <c r="G21" i="2"/>
  <c r="F22" i="2"/>
  <c r="F21" i="1"/>
  <c r="G20" i="1"/>
  <c r="E22" i="11" l="1"/>
  <c r="C23" i="11"/>
  <c r="G18" i="11"/>
  <c r="F19" i="11"/>
  <c r="G19" i="11" s="1"/>
  <c r="F20" i="12"/>
  <c r="G19" i="12"/>
  <c r="C24" i="12"/>
  <c r="D24" i="12" s="1"/>
  <c r="E23" i="12"/>
  <c r="G22" i="2"/>
  <c r="F23" i="2"/>
  <c r="G21" i="1"/>
  <c r="F22" i="1"/>
  <c r="F20" i="11" l="1"/>
  <c r="G20" i="11" s="1"/>
  <c r="C24" i="11"/>
  <c r="D24" i="11" s="1"/>
  <c r="E23" i="11"/>
  <c r="D23" i="11"/>
  <c r="F21" i="12"/>
  <c r="G20" i="12"/>
  <c r="C25" i="12"/>
  <c r="E24" i="12"/>
  <c r="G23" i="2"/>
  <c r="F24" i="2"/>
  <c r="F23" i="1"/>
  <c r="G22" i="1"/>
  <c r="F21" i="11" l="1"/>
  <c r="G21" i="11" s="1"/>
  <c r="C25" i="11"/>
  <c r="D25" i="11" s="1"/>
  <c r="E24" i="11"/>
  <c r="F22" i="12"/>
  <c r="G21" i="12"/>
  <c r="C26" i="12"/>
  <c r="E25" i="12"/>
  <c r="D25" i="12"/>
  <c r="G24" i="2"/>
  <c r="F25" i="2"/>
  <c r="F24" i="1"/>
  <c r="G23" i="1"/>
  <c r="F22" i="11" l="1"/>
  <c r="G22" i="11" s="1"/>
  <c r="E25" i="11"/>
  <c r="C26" i="11"/>
  <c r="F23" i="12"/>
  <c r="G22" i="12"/>
  <c r="C27" i="12"/>
  <c r="D27" i="12" s="1"/>
  <c r="E26" i="12"/>
  <c r="D26" i="12"/>
  <c r="G25" i="2"/>
  <c r="F26" i="2"/>
  <c r="F25" i="1"/>
  <c r="G24" i="1"/>
  <c r="F23" i="11" l="1"/>
  <c r="G23" i="11" s="1"/>
  <c r="E26" i="11"/>
  <c r="C27" i="11"/>
  <c r="D27" i="11" s="1"/>
  <c r="D26" i="11"/>
  <c r="F24" i="12"/>
  <c r="G23" i="12"/>
  <c r="C28" i="12"/>
  <c r="E27" i="12"/>
  <c r="D28" i="12"/>
  <c r="G26" i="2"/>
  <c r="F27" i="2"/>
  <c r="F26" i="1"/>
  <c r="G25" i="1"/>
  <c r="F24" i="11" l="1"/>
  <c r="G24" i="11" s="1"/>
  <c r="C28" i="11"/>
  <c r="E27" i="11"/>
  <c r="D28" i="11"/>
  <c r="F25" i="12"/>
  <c r="G24" i="12"/>
  <c r="D29" i="12"/>
  <c r="E28" i="12"/>
  <c r="G27" i="2"/>
  <c r="F28" i="2"/>
  <c r="F27" i="1"/>
  <c r="G26" i="1"/>
  <c r="G28" i="2" l="1"/>
  <c r="F29" i="2"/>
  <c r="G29" i="2" s="1"/>
  <c r="F25" i="11"/>
  <c r="G25" i="11" s="1"/>
  <c r="E28" i="11"/>
  <c r="E29" i="11" s="1"/>
  <c r="D29" i="11"/>
  <c r="F26" i="12"/>
  <c r="G25" i="12"/>
  <c r="E29" i="12"/>
  <c r="F28" i="1"/>
  <c r="G28" i="1" s="1"/>
  <c r="G27" i="1"/>
  <c r="G31" i="2" l="1"/>
  <c r="D36" i="2" s="1"/>
  <c r="G35" i="2" s="1"/>
  <c r="F26" i="11"/>
  <c r="G26" i="11" s="1"/>
  <c r="F27" i="12"/>
  <c r="G26" i="12"/>
  <c r="F27" i="11" l="1"/>
  <c r="G27" i="11" s="1"/>
  <c r="F28" i="12"/>
  <c r="F29" i="12" s="1"/>
  <c r="G27" i="12"/>
  <c r="F28" i="11" l="1"/>
  <c r="F29" i="11" s="1"/>
  <c r="G29" i="11" s="1"/>
  <c r="G28" i="12"/>
  <c r="G29" i="12"/>
  <c r="G28" i="11" l="1"/>
  <c r="G31" i="11" s="1"/>
  <c r="D36" i="11" s="1"/>
  <c r="G35" i="11" s="1"/>
  <c r="G3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delage</author>
  </authors>
  <commentList>
    <comment ref="G35" authorId="0" shapeId="0" xr:uid="{1748456E-A943-9648-B92F-86AF5FF81AF0}">
      <text>
        <r>
          <rPr>
            <sz val="10"/>
            <color rgb="FF000000"/>
            <rFont val="Calibri"/>
            <scheme val="minor"/>
          </rPr>
          <t xml:space="preserve">Nous n’avons pas assez d’évidence pour rejeter ce modèle puisque la p-value est plus grande que 5%.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erick delage</author>
  </authors>
  <commentList>
    <comment ref="G35" authorId="0" shapeId="0" xr:uid="{9ADEE054-CF0D-CD4A-9ECE-96089E45857E}">
      <text>
        <r>
          <rPr>
            <sz val="10"/>
            <color rgb="FF000000"/>
            <rFont val="Calibri"/>
            <scheme val="minor"/>
          </rPr>
          <t xml:space="preserve">Nous avons assez d’évidence pour rejeter ce modèle puisque la p-value est plus petite que 5%.
</t>
        </r>
      </text>
    </comment>
  </commentList>
</comments>
</file>

<file path=xl/sharedStrings.xml><?xml version="1.0" encoding="utf-8"?>
<sst xmlns="http://schemas.openxmlformats.org/spreadsheetml/2006/main" count="48" uniqueCount="17">
  <si>
    <t>Hypothèse de loi normale</t>
  </si>
  <si>
    <t>mu</t>
  </si>
  <si>
    <t>sigma</t>
  </si>
  <si>
    <t>Plages</t>
  </si>
  <si>
    <t>Fréquence</t>
  </si>
  <si>
    <t>Prob prévue</t>
  </si>
  <si>
    <t>erreur^2 relative</t>
  </si>
  <si>
    <t>X_0^2</t>
  </si>
  <si>
    <t>Table de bootstrap</t>
  </si>
  <si>
    <t>Expérience</t>
  </si>
  <si>
    <t>X_i^2</t>
  </si>
  <si>
    <t>Probabilité(X_i^2&gt;=X_0^2)</t>
  </si>
  <si>
    <t>Valeurs de x</t>
  </si>
  <si>
    <t>Hypothèse de loi uniforme</t>
  </si>
  <si>
    <t>a</t>
  </si>
  <si>
    <t>b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</si>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</sst>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2" borderId="0" xfId="1" applyFont="1" applyFill="1"/>
    <xf numFmtId="9" fontId="0" fillId="2" borderId="0" xfId="1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E1B3-A675-E24E-9684-551A871F50E8}">
  <dimension ref="A1:A100"/>
  <sheetViews>
    <sheetView zoomScale="190" zoomScaleNormal="190" workbookViewId="0">
      <selection activeCell="A14" sqref="A14"/>
    </sheetView>
  </sheetViews>
  <sheetFormatPr baseColWidth="10" defaultRowHeight="16" x14ac:dyDescent="0.2"/>
  <sheetData>
    <row r="1" spans="1:1" x14ac:dyDescent="0.2">
      <c r="A1">
        <v>1.1956768473641932</v>
      </c>
    </row>
    <row r="2" spans="1:1" x14ac:dyDescent="0.2">
      <c r="A2">
        <v>-0.96440945302869208</v>
      </c>
    </row>
    <row r="3" spans="1:1" x14ac:dyDescent="0.2">
      <c r="A3">
        <v>0.97602562556837957</v>
      </c>
    </row>
    <row r="4" spans="1:1" x14ac:dyDescent="0.2">
      <c r="A4">
        <v>-0.17323444606317936</v>
      </c>
    </row>
    <row r="5" spans="1:1" x14ac:dyDescent="0.2">
      <c r="A5">
        <v>0.75767452397499047</v>
      </c>
    </row>
    <row r="6" spans="1:1" x14ac:dyDescent="0.2">
      <c r="A6">
        <v>7.8803471009424003E-2</v>
      </c>
    </row>
    <row r="7" spans="1:1" x14ac:dyDescent="0.2">
      <c r="A7">
        <v>-1.0865878138151104</v>
      </c>
    </row>
    <row r="8" spans="1:1" x14ac:dyDescent="0.2">
      <c r="A8">
        <v>-0.84379214067413644</v>
      </c>
    </row>
    <row r="9" spans="1:1" x14ac:dyDescent="0.2">
      <c r="A9">
        <v>0.50315428682025942</v>
      </c>
    </row>
    <row r="10" spans="1:1" x14ac:dyDescent="0.2">
      <c r="A10">
        <v>-0.27748089271718923</v>
      </c>
    </row>
    <row r="11" spans="1:1" x14ac:dyDescent="0.2">
      <c r="A11">
        <v>1.0118688945166197</v>
      </c>
    </row>
    <row r="12" spans="1:1" x14ac:dyDescent="0.2">
      <c r="A12">
        <v>1.4974858377331359</v>
      </c>
    </row>
    <row r="13" spans="1:1" x14ac:dyDescent="0.2">
      <c r="A13">
        <v>-2.2868489902189193</v>
      </c>
    </row>
    <row r="14" spans="1:1" x14ac:dyDescent="0.2">
      <c r="A14">
        <v>0.29639911194924162</v>
      </c>
    </row>
    <row r="15" spans="1:1" x14ac:dyDescent="0.2">
      <c r="A15">
        <v>-1.9130227025271038</v>
      </c>
    </row>
    <row r="16" spans="1:1" x14ac:dyDescent="0.2">
      <c r="A16">
        <v>0.89368854766502703</v>
      </c>
    </row>
    <row r="17" spans="1:1" x14ac:dyDescent="0.2">
      <c r="A17">
        <v>-1.209015444630992</v>
      </c>
    </row>
    <row r="18" spans="1:1" x14ac:dyDescent="0.2">
      <c r="A18">
        <v>1.2121841878843211</v>
      </c>
    </row>
    <row r="19" spans="1:1" x14ac:dyDescent="0.2">
      <c r="A19">
        <v>-0.53615235884754919</v>
      </c>
    </row>
    <row r="20" spans="1:1" x14ac:dyDescent="0.2">
      <c r="A20">
        <v>2.0314961969030928E-2</v>
      </c>
    </row>
    <row r="21" spans="1:1" x14ac:dyDescent="0.2">
      <c r="A21">
        <v>-8.3423046499850939E-2</v>
      </c>
    </row>
    <row r="22" spans="1:1" x14ac:dyDescent="0.2">
      <c r="A22">
        <v>-7.9396881417437115E-2</v>
      </c>
    </row>
    <row r="23" spans="1:1" x14ac:dyDescent="0.2">
      <c r="A23">
        <v>-0.79585990567532472</v>
      </c>
    </row>
    <row r="24" spans="1:1" x14ac:dyDescent="0.2">
      <c r="A24">
        <v>0.18619148174119618</v>
      </c>
    </row>
    <row r="25" spans="1:1" x14ac:dyDescent="0.2">
      <c r="A25">
        <v>0.21132817945244711</v>
      </c>
    </row>
    <row r="26" spans="1:1" x14ac:dyDescent="0.2">
      <c r="A26">
        <v>0.98764620800722369</v>
      </c>
    </row>
    <row r="27" spans="1:1" x14ac:dyDescent="0.2">
      <c r="A27">
        <v>-0.40959385762338513</v>
      </c>
    </row>
    <row r="28" spans="1:1" x14ac:dyDescent="0.2">
      <c r="A28">
        <v>-1.7598654038131569</v>
      </c>
    </row>
    <row r="29" spans="1:1" x14ac:dyDescent="0.2">
      <c r="A29">
        <v>0.34657906107578867</v>
      </c>
    </row>
    <row r="30" spans="1:1" x14ac:dyDescent="0.2">
      <c r="A30">
        <v>1.3172659524646657</v>
      </c>
    </row>
    <row r="31" spans="1:1" x14ac:dyDescent="0.2">
      <c r="A31">
        <v>1.0875471497682196</v>
      </c>
    </row>
    <row r="32" spans="1:1" x14ac:dyDescent="0.2">
      <c r="A32">
        <v>-0.72249163809894512</v>
      </c>
    </row>
    <row r="33" spans="1:1" x14ac:dyDescent="0.2">
      <c r="A33">
        <v>-1.0941587611246379</v>
      </c>
    </row>
    <row r="34" spans="1:1" x14ac:dyDescent="0.2">
      <c r="A34">
        <v>-1.0655924496504183</v>
      </c>
    </row>
    <row r="35" spans="1:1" x14ac:dyDescent="0.2">
      <c r="A35">
        <v>-2.080352209764825</v>
      </c>
    </row>
    <row r="36" spans="1:1" x14ac:dyDescent="0.2">
      <c r="A36">
        <v>-0.42549582943920072</v>
      </c>
    </row>
    <row r="37" spans="1:1" x14ac:dyDescent="0.2">
      <c r="A37">
        <v>0.24328072744475382</v>
      </c>
    </row>
    <row r="38" spans="1:1" x14ac:dyDescent="0.2">
      <c r="A38">
        <v>-0.57136633111801072</v>
      </c>
    </row>
    <row r="39" spans="1:1" x14ac:dyDescent="0.2">
      <c r="A39">
        <v>1.9429039691732346</v>
      </c>
    </row>
    <row r="40" spans="1:1" x14ac:dyDescent="0.2">
      <c r="A40">
        <v>0.31237752059551199</v>
      </c>
    </row>
    <row r="41" spans="1:1" x14ac:dyDescent="0.2">
      <c r="A41">
        <v>-0.52004454820599266</v>
      </c>
    </row>
    <row r="42" spans="1:1" x14ac:dyDescent="0.2">
      <c r="A42">
        <v>-5.6480867181776237E-2</v>
      </c>
    </row>
    <row r="43" spans="1:1" x14ac:dyDescent="0.2">
      <c r="A43">
        <v>1.195331471493035</v>
      </c>
    </row>
    <row r="44" spans="1:1" x14ac:dyDescent="0.2">
      <c r="A44">
        <v>1.1012137455581907</v>
      </c>
    </row>
    <row r="45" spans="1:1" x14ac:dyDescent="0.2">
      <c r="A45">
        <v>0.2917507188223108</v>
      </c>
    </row>
    <row r="46" spans="1:1" x14ac:dyDescent="0.2">
      <c r="A46">
        <v>-0.95844176672668013</v>
      </c>
    </row>
    <row r="47" spans="1:1" x14ac:dyDescent="0.2">
      <c r="A47">
        <v>1.5384971607221576</v>
      </c>
    </row>
    <row r="48" spans="1:1" x14ac:dyDescent="0.2">
      <c r="A48">
        <v>1.1110000264927082</v>
      </c>
    </row>
    <row r="49" spans="1:1" x14ac:dyDescent="0.2">
      <c r="A49">
        <v>-0.24316746773096526</v>
      </c>
    </row>
    <row r="50" spans="1:1" x14ac:dyDescent="0.2">
      <c r="A50">
        <v>1.5716682425133483E-2</v>
      </c>
    </row>
    <row r="51" spans="1:1" x14ac:dyDescent="0.2">
      <c r="A51">
        <v>1.6369601526570652</v>
      </c>
    </row>
    <row r="52" spans="1:1" x14ac:dyDescent="0.2">
      <c r="A52">
        <v>0.59787774019903839</v>
      </c>
    </row>
    <row r="53" spans="1:1" x14ac:dyDescent="0.2">
      <c r="A53">
        <v>6.019024327467664E-2</v>
      </c>
    </row>
    <row r="54" spans="1:1" x14ac:dyDescent="0.2">
      <c r="A54">
        <v>-0.35235689353646349</v>
      </c>
    </row>
    <row r="55" spans="1:1" x14ac:dyDescent="0.2">
      <c r="A55">
        <v>-3.5857900279710211E-2</v>
      </c>
    </row>
    <row r="56" spans="1:1" x14ac:dyDescent="0.2">
      <c r="A56">
        <v>-1.5864091848336046</v>
      </c>
    </row>
    <row r="57" spans="1:1" x14ac:dyDescent="0.2">
      <c r="A57">
        <v>0.90391907514427128</v>
      </c>
    </row>
    <row r="58" spans="1:1" x14ac:dyDescent="0.2">
      <c r="A58">
        <v>-0.61966025132897307</v>
      </c>
    </row>
    <row r="59" spans="1:1" x14ac:dyDescent="0.2">
      <c r="A59">
        <v>-1.0514807239619599</v>
      </c>
    </row>
    <row r="60" spans="1:1" x14ac:dyDescent="0.2">
      <c r="A60">
        <v>-0.58261762617295476</v>
      </c>
    </row>
    <row r="61" spans="1:1" x14ac:dyDescent="0.2">
      <c r="A61">
        <v>-1.7107329787234493</v>
      </c>
    </row>
    <row r="62" spans="1:1" x14ac:dyDescent="0.2">
      <c r="A62">
        <v>-0.17810511394518896</v>
      </c>
    </row>
    <row r="63" spans="1:1" x14ac:dyDescent="0.2">
      <c r="A63">
        <v>-0.12999915964003456</v>
      </c>
    </row>
    <row r="64" spans="1:1" x14ac:dyDescent="0.2">
      <c r="A64">
        <v>1.3923450485708806</v>
      </c>
    </row>
    <row r="65" spans="1:1" x14ac:dyDescent="0.2">
      <c r="A65">
        <v>0.38964933651468464</v>
      </c>
    </row>
    <row r="66" spans="1:1" x14ac:dyDescent="0.2">
      <c r="A66">
        <v>1.5212786915936214</v>
      </c>
    </row>
    <row r="67" spans="1:1" x14ac:dyDescent="0.2">
      <c r="A67">
        <v>-0.87336686837308486</v>
      </c>
    </row>
    <row r="68" spans="1:1" x14ac:dyDescent="0.2">
      <c r="A68">
        <v>0.91890529180077729</v>
      </c>
    </row>
    <row r="69" spans="1:1" x14ac:dyDescent="0.2">
      <c r="A69">
        <v>0.73023360051534925</v>
      </c>
    </row>
    <row r="70" spans="1:1" x14ac:dyDescent="0.2">
      <c r="A70">
        <v>0.45978062269100911</v>
      </c>
    </row>
    <row r="71" spans="1:1" x14ac:dyDescent="0.2">
      <c r="A71">
        <v>-1.7795065815579734</v>
      </c>
    </row>
    <row r="72" spans="1:1" x14ac:dyDescent="0.2">
      <c r="A72">
        <v>0.8311380540502098</v>
      </c>
    </row>
    <row r="73" spans="1:1" x14ac:dyDescent="0.2">
      <c r="A73">
        <v>0.42346840362921612</v>
      </c>
    </row>
    <row r="74" spans="1:1" x14ac:dyDescent="0.2">
      <c r="A74">
        <v>0.85870440040977158</v>
      </c>
    </row>
    <row r="75" spans="1:1" x14ac:dyDescent="0.2">
      <c r="A75">
        <v>-0.52073834902989347</v>
      </c>
    </row>
    <row r="76" spans="1:1" x14ac:dyDescent="0.2">
      <c r="A76">
        <v>-1.6589108596785085</v>
      </c>
    </row>
    <row r="77" spans="1:1" x14ac:dyDescent="0.2">
      <c r="A77">
        <v>-0.16004246754792933</v>
      </c>
    </row>
    <row r="78" spans="1:1" x14ac:dyDescent="0.2">
      <c r="A78">
        <v>-0.29778785176975842</v>
      </c>
    </row>
    <row r="79" spans="1:1" x14ac:dyDescent="0.2">
      <c r="A79">
        <v>0.49157829460726837</v>
      </c>
    </row>
    <row r="80" spans="1:1" x14ac:dyDescent="0.2">
      <c r="A80">
        <v>1.2371518005162367</v>
      </c>
    </row>
    <row r="81" spans="1:1" x14ac:dyDescent="0.2">
      <c r="A81">
        <v>1.8820658407054875E-3</v>
      </c>
    </row>
    <row r="82" spans="1:1" x14ac:dyDescent="0.2">
      <c r="A82">
        <v>-8.6049263348502367E-2</v>
      </c>
    </row>
    <row r="83" spans="1:1" x14ac:dyDescent="0.2">
      <c r="A83">
        <v>-0.48286608127124814</v>
      </c>
    </row>
    <row r="84" spans="1:1" x14ac:dyDescent="0.2">
      <c r="A84">
        <v>-0.53375610864102541</v>
      </c>
    </row>
    <row r="85" spans="1:1" x14ac:dyDescent="0.2">
      <c r="A85">
        <v>1.7524072681298415</v>
      </c>
    </row>
    <row r="86" spans="1:1" x14ac:dyDescent="0.2">
      <c r="A86">
        <v>-4.1103624932580775E-2</v>
      </c>
    </row>
    <row r="87" spans="1:1" x14ac:dyDescent="0.2">
      <c r="A87">
        <v>0.15565179409775889</v>
      </c>
    </row>
    <row r="88" spans="1:1" x14ac:dyDescent="0.2">
      <c r="A88">
        <v>0.1377390757396435</v>
      </c>
    </row>
    <row r="89" spans="1:1" x14ac:dyDescent="0.2">
      <c r="A89">
        <v>-1.2262985471504102</v>
      </c>
    </row>
    <row r="90" spans="1:1" x14ac:dyDescent="0.2">
      <c r="A90">
        <v>0.2688312340101599</v>
      </c>
    </row>
    <row r="91" spans="1:1" x14ac:dyDescent="0.2">
      <c r="A91">
        <v>-1.7066976868932906</v>
      </c>
    </row>
    <row r="92" spans="1:1" x14ac:dyDescent="0.2">
      <c r="A92">
        <v>0.10138472995688366</v>
      </c>
    </row>
    <row r="93" spans="1:1" x14ac:dyDescent="0.2">
      <c r="A93">
        <v>0.95186317915975149</v>
      </c>
    </row>
    <row r="94" spans="1:1" x14ac:dyDescent="0.2">
      <c r="A94">
        <v>-6.2934124463499233E-2</v>
      </c>
    </row>
    <row r="95" spans="1:1" x14ac:dyDescent="0.2">
      <c r="A95">
        <v>0.19450029476553285</v>
      </c>
    </row>
    <row r="96" spans="1:1" x14ac:dyDescent="0.2">
      <c r="A96">
        <v>0.20560183223443343</v>
      </c>
    </row>
    <row r="97" spans="1:1" x14ac:dyDescent="0.2">
      <c r="A97">
        <v>-0.25276164223471409</v>
      </c>
    </row>
    <row r="98" spans="1:1" x14ac:dyDescent="0.2">
      <c r="A98">
        <v>-0.22196990479365036</v>
      </c>
    </row>
    <row r="99" spans="1:1" x14ac:dyDescent="0.2">
      <c r="A99">
        <v>-1.7377349899480932</v>
      </c>
    </row>
    <row r="100" spans="1:1" x14ac:dyDescent="0.2">
      <c r="A100">
        <v>-1.3950019719372462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B61A-F72E-4F4A-8966-5815DE59FC30}">
  <dimension ref="A1:G100"/>
  <sheetViews>
    <sheetView topLeftCell="A10" zoomScale="190" zoomScaleNormal="190" workbookViewId="0">
      <selection activeCell="F29" sqref="F29"/>
    </sheetView>
  </sheetViews>
  <sheetFormatPr baseColWidth="10" defaultRowHeight="16" x14ac:dyDescent="0.2"/>
  <cols>
    <col min="6" max="6" width="11.6640625" bestFit="1" customWidth="1"/>
  </cols>
  <sheetData>
    <row r="1" spans="1:7" x14ac:dyDescent="0.2">
      <c r="A1">
        <f>données0!A1</f>
        <v>1.1956768473641932</v>
      </c>
    </row>
    <row r="2" spans="1:7" x14ac:dyDescent="0.2">
      <c r="A2">
        <f>données0!A2</f>
        <v>-0.96440945302869208</v>
      </c>
    </row>
    <row r="3" spans="1:7" x14ac:dyDescent="0.2">
      <c r="A3">
        <f>données0!A3</f>
        <v>0.97602562556837957</v>
      </c>
      <c r="C3" t="s">
        <v>0</v>
      </c>
    </row>
    <row r="4" spans="1:7" x14ac:dyDescent="0.2">
      <c r="A4">
        <f>données0!A4</f>
        <v>-0.17323444606317936</v>
      </c>
      <c r="C4" t="s">
        <v>1</v>
      </c>
      <c r="D4" t="s">
        <v>2</v>
      </c>
    </row>
    <row r="5" spans="1:7" x14ac:dyDescent="0.2">
      <c r="A5">
        <f>données0!A5</f>
        <v>0.75767452397499047</v>
      </c>
      <c r="C5">
        <f>AVERAGE(A1:A100)</f>
        <v>-2.886073380787238E-2</v>
      </c>
      <c r="D5">
        <f>STDEV(A1:A100)</f>
        <v>0.96128554924908782</v>
      </c>
    </row>
    <row r="6" spans="1:7" x14ac:dyDescent="0.2">
      <c r="A6">
        <f>données0!A6</f>
        <v>7.8803471009424003E-2</v>
      </c>
    </row>
    <row r="7" spans="1:7" x14ac:dyDescent="0.2">
      <c r="A7">
        <f>données0!A7</f>
        <v>-1.0865878138151104</v>
      </c>
      <c r="C7" t="s">
        <v>12</v>
      </c>
      <c r="D7" t="s">
        <v>3</v>
      </c>
      <c r="E7" t="s">
        <v>4</v>
      </c>
      <c r="F7" t="s">
        <v>5</v>
      </c>
      <c r="G7" t="s">
        <v>6</v>
      </c>
    </row>
    <row r="8" spans="1:7" x14ac:dyDescent="0.2">
      <c r="A8">
        <f>données0!A8</f>
        <v>-0.84379214067413644</v>
      </c>
      <c r="C8" s="1">
        <v>-2</v>
      </c>
      <c r="D8" t="str">
        <f>CONCATENATE("&lt;",C8)</f>
        <v>&lt;-2</v>
      </c>
      <c r="E8">
        <f>COUNTIF($A$1:$A$100,D8)/COUNT($A$1:$A$100)</f>
        <v>0.02</v>
      </c>
      <c r="F8" s="2">
        <f>_xlfn.NORM.DIST(C8,$C$5,$D$5,TRUE)</f>
        <v>2.0156653162011939E-2</v>
      </c>
      <c r="G8">
        <f>(F8-E8)^2/F8</f>
        <v>1.2174745961590522E-6</v>
      </c>
    </row>
    <row r="9" spans="1:7" x14ac:dyDescent="0.2">
      <c r="A9">
        <f>données0!A9</f>
        <v>0.50315428682025942</v>
      </c>
      <c r="C9" s="1">
        <f>C8+0.2</f>
        <v>-1.8</v>
      </c>
      <c r="D9" t="str">
        <f>CONCATENATE("[",C8,", ",C9,"]")</f>
        <v>[-2, -1,8]</v>
      </c>
      <c r="E9">
        <f>COUNTIF($A$1:$A$100,CONCATENATE("&lt;",C9))/COUNT($A$1:$A$100)-SUM($E$8:E8)</f>
        <v>9.9999999999999985E-3</v>
      </c>
      <c r="F9" s="2">
        <f>_xlfn.NORM.DIST(C9,$C$5,$D$5,TRUE)-SUM($F$8:F8)</f>
        <v>1.2546601758530725E-2</v>
      </c>
      <c r="G9">
        <f t="shared" ref="G9:G28" si="0">(F9-E9)^2/F9</f>
        <v>5.1688741233397052E-4</v>
      </c>
    </row>
    <row r="10" spans="1:7" x14ac:dyDescent="0.2">
      <c r="A10">
        <f>données0!A10</f>
        <v>-0.27748089271718923</v>
      </c>
      <c r="C10" s="1">
        <f t="shared" ref="C10:C27" si="1">C9+0.2</f>
        <v>-1.6</v>
      </c>
      <c r="D10" t="str">
        <f>CONCATENATE("[",C9,", ",C10,"]")</f>
        <v>[-1,8, -1,6]</v>
      </c>
      <c r="E10">
        <f>COUNTIF($A$1:$A$100,CONCATENATE("&lt;",C10))/COUNT($A$1:$A$100)-SUM($E$8:E9)</f>
        <v>0.06</v>
      </c>
      <c r="F10" s="2">
        <f>_xlfn.NORM.DIST(C10,$C$5,$D$5,TRUE)-SUM($F$8:F9)</f>
        <v>1.8382643254161231E-2</v>
      </c>
      <c r="G10">
        <f t="shared" si="0"/>
        <v>9.4219550396722307E-2</v>
      </c>
    </row>
    <row r="11" spans="1:7" x14ac:dyDescent="0.2">
      <c r="A11">
        <f>données0!A11</f>
        <v>1.0118688945166197</v>
      </c>
      <c r="C11" s="1">
        <f t="shared" si="1"/>
        <v>-1.4000000000000001</v>
      </c>
      <c r="D11" t="str">
        <f t="shared" ref="D11:D28" si="2">CONCATENATE("[",C10,", ",C11,"]")</f>
        <v>[-1,6, -1,4]</v>
      </c>
      <c r="E11">
        <f>COUNTIF($A$1:$A$100,CONCATENATE("&lt;",C11))/COUNT($A$1:$A$100)-SUM($E$8:E10)</f>
        <v>1.0000000000000009E-2</v>
      </c>
      <c r="F11" s="2">
        <f>_xlfn.NORM.DIST(C11,$C$5,$D$5,TRUE)-SUM($F$8:F10)</f>
        <v>2.5796327089640803E-2</v>
      </c>
      <c r="G11">
        <f t="shared" si="0"/>
        <v>9.6728479467576029E-3</v>
      </c>
    </row>
    <row r="12" spans="1:7" x14ac:dyDescent="0.2">
      <c r="A12">
        <f>données0!A12</f>
        <v>1.4974858377331359</v>
      </c>
      <c r="C12" s="1">
        <f t="shared" si="1"/>
        <v>-1.2000000000000002</v>
      </c>
      <c r="D12" t="str">
        <f t="shared" si="2"/>
        <v>[-1,4, -1,2]</v>
      </c>
      <c r="E12">
        <f>COUNTIF($A$1:$A$100,CONCATENATE("&lt;",C12))/COUNT($A$1:$A$100)-SUM($E$8:E11)</f>
        <v>0.03</v>
      </c>
      <c r="F12" s="2">
        <f>_xlfn.NORM.DIST(C12,$C$5,$D$5,TRUE)-SUM($F$8:F11)</f>
        <v>3.4671765736100396E-2</v>
      </c>
      <c r="G12">
        <f t="shared" si="0"/>
        <v>6.2948611441144425E-4</v>
      </c>
    </row>
    <row r="13" spans="1:7" x14ac:dyDescent="0.2">
      <c r="A13">
        <f>données0!A13</f>
        <v>-2.2868489902189193</v>
      </c>
      <c r="C13" s="1">
        <f t="shared" si="1"/>
        <v>-1.0000000000000002</v>
      </c>
      <c r="D13" t="str">
        <f t="shared" si="2"/>
        <v>[-1,2, -1]</v>
      </c>
      <c r="E13">
        <f>COUNTIF($A$1:$A$100,CONCATENATE("&lt;",C13))/COUNT($A$1:$A$100)-SUM($E$8:E12)</f>
        <v>4.0000000000000008E-2</v>
      </c>
      <c r="F13" s="2">
        <f>_xlfn.NORM.DIST(C13,$C$5,$D$5,TRUE)-SUM($F$8:F12)</f>
        <v>4.4633639258166616E-2</v>
      </c>
      <c r="G13">
        <f t="shared" si="0"/>
        <v>4.8104105180924307E-4</v>
      </c>
    </row>
    <row r="14" spans="1:7" x14ac:dyDescent="0.2">
      <c r="A14">
        <f>données0!A14</f>
        <v>0.29639911194924162</v>
      </c>
      <c r="C14" s="1">
        <f t="shared" si="1"/>
        <v>-0.80000000000000027</v>
      </c>
      <c r="D14" t="str">
        <f t="shared" si="2"/>
        <v>[-1, -0,8]</v>
      </c>
      <c r="E14">
        <f>COUNTIF($A$1:$A$100,CONCATENATE("&lt;",C14))/COUNT($A$1:$A$100)-SUM($E$8:E13)</f>
        <v>3.999999999999998E-2</v>
      </c>
      <c r="F14" s="2">
        <f>_xlfn.NORM.DIST(C14,$C$5,$D$5,TRUE)-SUM($F$8:F13)</f>
        <v>5.503221167524236E-2</v>
      </c>
      <c r="G14">
        <f t="shared" si="0"/>
        <v>4.106093158362932E-3</v>
      </c>
    </row>
    <row r="15" spans="1:7" x14ac:dyDescent="0.2">
      <c r="A15">
        <f>données0!A15</f>
        <v>-1.9130227025271038</v>
      </c>
      <c r="C15" s="1">
        <f t="shared" si="1"/>
        <v>-0.60000000000000031</v>
      </c>
      <c r="D15" t="str">
        <f t="shared" si="2"/>
        <v>[-0,8, -0,6]</v>
      </c>
      <c r="E15">
        <f>COUNTIF($A$1:$A$100,CONCATENATE("&lt;",C15))/COUNT($A$1:$A$100)-SUM($E$8:E14)</f>
        <v>0.03</v>
      </c>
      <c r="F15" s="2">
        <f>_xlfn.NORM.DIST(C15,$C$5,$D$5,TRUE)-SUM($F$8:F14)</f>
        <v>6.4989025454281701E-2</v>
      </c>
      <c r="G15">
        <f t="shared" si="0"/>
        <v>1.8837517468262267E-2</v>
      </c>
    </row>
    <row r="16" spans="1:7" x14ac:dyDescent="0.2">
      <c r="A16">
        <f>données0!A16</f>
        <v>0.89368854766502703</v>
      </c>
      <c r="C16" s="1">
        <f t="shared" si="1"/>
        <v>-0.4000000000000003</v>
      </c>
      <c r="D16" t="str">
        <f t="shared" si="2"/>
        <v>[-0,6, -0,4]</v>
      </c>
      <c r="E16">
        <f>COUNTIF($A$1:$A$100,CONCATENATE("&lt;",C16))/COUNT($A$1:$A$100)-SUM($E$8:E15)</f>
        <v>9.0000000000000024E-2</v>
      </c>
      <c r="F16" s="2">
        <f>_xlfn.NORM.DIST(C16,$C$5,$D$5,TRUE)-SUM($F$8:F15)</f>
        <v>7.3507477654387365E-2</v>
      </c>
      <c r="G16">
        <f t="shared" si="0"/>
        <v>3.7003486175844601E-3</v>
      </c>
    </row>
    <row r="17" spans="1:7" x14ac:dyDescent="0.2">
      <c r="A17">
        <f>données0!A17</f>
        <v>-1.209015444630992</v>
      </c>
      <c r="C17" s="1">
        <f t="shared" si="1"/>
        <v>-0.20000000000000029</v>
      </c>
      <c r="D17" t="str">
        <f t="shared" si="2"/>
        <v>[-0,4, -0,2]</v>
      </c>
      <c r="E17">
        <f>COUNTIF($A$1:$A$100,CONCATENATE("&lt;",C17))/COUNT($A$1:$A$100)-SUM($E$8:E16)</f>
        <v>0.06</v>
      </c>
      <c r="F17" s="2">
        <f>_xlfn.NORM.DIST(C17,$C$5,$D$5,TRUE)-SUM($F$8:F16)</f>
        <v>7.9632709180892103E-2</v>
      </c>
      <c r="G17">
        <f t="shared" si="0"/>
        <v>4.8402631750970541E-3</v>
      </c>
    </row>
    <row r="18" spans="1:7" x14ac:dyDescent="0.2">
      <c r="A18">
        <f>données0!A18</f>
        <v>1.2121841878843211</v>
      </c>
      <c r="C18" s="1">
        <f t="shared" si="1"/>
        <v>-2.7755575615628914E-16</v>
      </c>
      <c r="D18" t="str">
        <f t="shared" si="2"/>
        <v>[-0,2, -2,77555756156289E-16]</v>
      </c>
      <c r="E18">
        <f>COUNTIF($A$1:$A$100,CONCATENATE("&lt;",C18))/COUNT($A$1:$A$100)-SUM($E$8:E17)</f>
        <v>0.10999999999999999</v>
      </c>
      <c r="F18" s="2">
        <f>_xlfn.NORM.DIST(C18,$C$5,$D$5,TRUE)-SUM($F$8:F17)</f>
        <v>8.2626614693131983E-2</v>
      </c>
      <c r="G18">
        <f t="shared" si="0"/>
        <v>9.0685334978456988E-3</v>
      </c>
    </row>
    <row r="19" spans="1:7" x14ac:dyDescent="0.2">
      <c r="A19">
        <f>données0!A19</f>
        <v>-0.53615235884754919</v>
      </c>
      <c r="C19" s="1">
        <f t="shared" si="1"/>
        <v>0.19999999999999973</v>
      </c>
      <c r="D19" t="str">
        <f t="shared" si="2"/>
        <v>[-2,77555756156289E-16, 0,2]</v>
      </c>
      <c r="E19">
        <f>COUNTIF($A$1:$A$100,CONCATENATE("&lt;",C19))/COUNT($A$1:$A$100)-SUM($E$8:E18)</f>
        <v>9.9999999999999978E-2</v>
      </c>
      <c r="F19" s="2">
        <f>_xlfn.NORM.DIST(C19,$C$5,$D$5,TRUE)-SUM($F$8:F18)</f>
        <v>8.2113948671240111E-2</v>
      </c>
      <c r="G19">
        <f t="shared" si="0"/>
        <v>3.8959377464096957E-3</v>
      </c>
    </row>
    <row r="20" spans="1:7" x14ac:dyDescent="0.2">
      <c r="A20">
        <f>données0!A20</f>
        <v>2.0314961969030928E-2</v>
      </c>
      <c r="C20" s="1">
        <f t="shared" si="1"/>
        <v>0.39999999999999974</v>
      </c>
      <c r="D20" t="str">
        <f t="shared" si="2"/>
        <v>[0,2, 0,4]</v>
      </c>
      <c r="E20">
        <f>COUNTIF($A$1:$A$100,CONCATENATE("&lt;",C20))/COUNT($A$1:$A$100)-SUM($E$8:E19)</f>
        <v>8.9999999999999969E-2</v>
      </c>
      <c r="F20" s="2">
        <f>_xlfn.NORM.DIST(C20,$C$5,$D$5,TRUE)-SUM($F$8:F19)</f>
        <v>7.8159616734016502E-2</v>
      </c>
      <c r="G20">
        <f t="shared" si="0"/>
        <v>1.7936970745708128E-3</v>
      </c>
    </row>
    <row r="21" spans="1:7" x14ac:dyDescent="0.2">
      <c r="A21">
        <f>données0!A21</f>
        <v>-8.3423046499850939E-2</v>
      </c>
      <c r="C21" s="1">
        <f t="shared" si="1"/>
        <v>0.59999999999999976</v>
      </c>
      <c r="D21" t="str">
        <f t="shared" si="2"/>
        <v>[0,4, 0,6]</v>
      </c>
      <c r="E21">
        <f>COUNTIF($A$1:$A$100,CONCATENATE("&lt;",C21))/COUNT($A$1:$A$100)-SUM($E$8:E20)</f>
        <v>5.0000000000000044E-2</v>
      </c>
      <c r="F21" s="2">
        <f>_xlfn.NORM.DIST(C21,$C$5,$D$5,TRUE)-SUM($F$8:F20)</f>
        <v>7.1255172833081248E-2</v>
      </c>
      <c r="G21">
        <f t="shared" si="0"/>
        <v>6.3403449069231186E-3</v>
      </c>
    </row>
    <row r="22" spans="1:7" x14ac:dyDescent="0.2">
      <c r="A22">
        <f>données0!A22</f>
        <v>-7.9396881417437115E-2</v>
      </c>
      <c r="C22" s="1">
        <f t="shared" si="1"/>
        <v>0.79999999999999982</v>
      </c>
      <c r="D22" t="str">
        <f t="shared" si="2"/>
        <v>[0,6, 0,8]</v>
      </c>
      <c r="E22">
        <f>COUNTIF($A$1:$A$100,CONCATENATE("&lt;",C22))/COUNT($A$1:$A$100)-SUM($E$8:E21)</f>
        <v>2.0000000000000018E-2</v>
      </c>
      <c r="F22" s="2">
        <f>_xlfn.NORM.DIST(C22,$C$5,$D$5,TRUE)-SUM($F$8:F21)</f>
        <v>6.2218400181099365E-2</v>
      </c>
      <c r="G22">
        <f t="shared" si="0"/>
        <v>2.8647366513176641E-2</v>
      </c>
    </row>
    <row r="23" spans="1:7" x14ac:dyDescent="0.2">
      <c r="A23">
        <f>données0!A23</f>
        <v>-0.79585990567532472</v>
      </c>
      <c r="C23" s="1">
        <f t="shared" si="1"/>
        <v>0.99999999999999978</v>
      </c>
      <c r="D23" t="str">
        <f t="shared" si="2"/>
        <v>[0,8, 1]</v>
      </c>
      <c r="E23">
        <f>COUNTIF($A$1:$A$100,CONCATENATE("&lt;",C23))/COUNT($A$1:$A$100)-SUM($E$8:E22)</f>
        <v>7.999999999999996E-2</v>
      </c>
      <c r="F23" s="2">
        <f>_xlfn.NORM.DIST(C23,$C$5,$D$5,TRUE)-SUM($F$8:F22)</f>
        <v>5.2034298939817369E-2</v>
      </c>
      <c r="G23">
        <f t="shared" si="0"/>
        <v>1.5030094605330386E-2</v>
      </c>
    </row>
    <row r="24" spans="1:7" x14ac:dyDescent="0.2">
      <c r="A24">
        <f>données0!A24</f>
        <v>0.18619148174119618</v>
      </c>
      <c r="C24" s="1">
        <f t="shared" si="1"/>
        <v>1.1999999999999997</v>
      </c>
      <c r="D24" t="str">
        <f t="shared" si="2"/>
        <v>[1, 1,2]</v>
      </c>
      <c r="E24">
        <f>COUNTIF($A$1:$A$100,CONCATENATE("&lt;",C24))/COUNT($A$1:$A$100)-SUM($E$8:E23)</f>
        <v>6.0000000000000053E-2</v>
      </c>
      <c r="F24" s="2">
        <f>_xlfn.NORM.DIST(C24,$C$5,$D$5,TRUE)-SUM($F$8:F23)</f>
        <v>4.1680118858495319E-2</v>
      </c>
      <c r="G24">
        <f t="shared" si="0"/>
        <v>8.0522333964135155E-3</v>
      </c>
    </row>
    <row r="25" spans="1:7" x14ac:dyDescent="0.2">
      <c r="A25">
        <f>données0!A25</f>
        <v>0.21132817945244711</v>
      </c>
      <c r="C25" s="1">
        <f t="shared" si="1"/>
        <v>1.3999999999999997</v>
      </c>
      <c r="D25" t="str">
        <f t="shared" si="2"/>
        <v>[1,2, 1,4]</v>
      </c>
      <c r="E25">
        <f>COUNTIF($A$1:$A$100,CONCATENATE("&lt;",C25))/COUNT($A$1:$A$100)-SUM($E$8:E24)</f>
        <v>3.9999999999999925E-2</v>
      </c>
      <c r="F25" s="2">
        <f>_xlfn.NORM.DIST(C25,$C$5,$D$5,TRUE)-SUM($F$8:F24)</f>
        <v>3.1976910277717319E-2</v>
      </c>
      <c r="G25">
        <f t="shared" si="0"/>
        <v>2.0130140195768736E-3</v>
      </c>
    </row>
    <row r="26" spans="1:7" x14ac:dyDescent="0.2">
      <c r="A26">
        <f>données0!A26</f>
        <v>0.98764620800722369</v>
      </c>
      <c r="C26" s="1">
        <f t="shared" si="1"/>
        <v>1.5999999999999996</v>
      </c>
      <c r="D26" t="str">
        <f t="shared" si="2"/>
        <v>[1,4, 1,6]</v>
      </c>
      <c r="E26">
        <f>COUNTIF($A$1:$A$100,CONCATENATE("&lt;",C26))/COUNT($A$1:$A$100)-SUM($E$8:E25)</f>
        <v>3.0000000000000027E-2</v>
      </c>
      <c r="F26" s="2">
        <f>_xlfn.NORM.DIST(C26,$C$5,$D$5,TRUE)-SUM($F$8:F25)</f>
        <v>2.34969925492724E-2</v>
      </c>
      <c r="G26">
        <f t="shared" si="0"/>
        <v>1.7997667495335925E-3</v>
      </c>
    </row>
    <row r="27" spans="1:7" x14ac:dyDescent="0.2">
      <c r="A27">
        <f>données0!A27</f>
        <v>-0.40959385762338513</v>
      </c>
      <c r="C27" s="1">
        <f t="shared" si="1"/>
        <v>1.7999999999999996</v>
      </c>
      <c r="D27" t="str">
        <f t="shared" si="2"/>
        <v>[1,6, 1,8]</v>
      </c>
      <c r="E27">
        <f>COUNTIF($A$1:$A$100,CONCATENATE("&lt;",C27))/COUNT($A$1:$A$100)-SUM($E$8:E26)</f>
        <v>2.0000000000000018E-2</v>
      </c>
      <c r="F27" s="2">
        <f>_xlfn.NORM.DIST(C27,$C$5,$D$5,TRUE)-SUM($F$8:F26)</f>
        <v>1.6536980011608082E-2</v>
      </c>
      <c r="G27">
        <f t="shared" si="0"/>
        <v>7.2519332015785092E-4</v>
      </c>
    </row>
    <row r="28" spans="1:7" x14ac:dyDescent="0.2">
      <c r="A28">
        <f>données0!A28</f>
        <v>-1.7598654038131569</v>
      </c>
      <c r="C28" s="1">
        <f>C27+0.2</f>
        <v>1.9999999999999996</v>
      </c>
      <c r="D28" t="str">
        <f t="shared" si="2"/>
        <v>[1,8, 2]</v>
      </c>
      <c r="E28">
        <f>COUNTIF($A$1:$A$100,CONCATENATE("&lt;",C28))/COUNT($A$1:$A$100)-SUM($E$8:E27)</f>
        <v>1.0000000000000009E-2</v>
      </c>
      <c r="F28" s="2">
        <f>_xlfn.NORM.DIST(C28,$C$5,$D$5,TRUE)-SUM($F$8:F27)</f>
        <v>1.1147260832242045E-2</v>
      </c>
      <c r="G28">
        <f t="shared" si="0"/>
        <v>1.1807451507636082E-4</v>
      </c>
    </row>
    <row r="29" spans="1:7" x14ac:dyDescent="0.2">
      <c r="A29">
        <f>données0!A29</f>
        <v>0.34657906107578867</v>
      </c>
      <c r="C29" s="1"/>
      <c r="D29" t="str">
        <f>CONCATENATE("&gt;",C28)</f>
        <v>&gt;2</v>
      </c>
      <c r="E29">
        <f>1-SUM($E$8:E28)</f>
        <v>0</v>
      </c>
      <c r="F29" s="2">
        <f>1-SUM($F$8:F28)</f>
        <v>1.7404631194863018E-2</v>
      </c>
      <c r="G29">
        <f>(F29-E29)^2/F29</f>
        <v>1.7404631194863018E-2</v>
      </c>
    </row>
    <row r="30" spans="1:7" x14ac:dyDescent="0.2">
      <c r="A30">
        <f>données0!A30</f>
        <v>1.3172659524646657</v>
      </c>
      <c r="F30" s="2"/>
    </row>
    <row r="31" spans="1:7" x14ac:dyDescent="0.2">
      <c r="A31">
        <f>données0!A31</f>
        <v>1.0875471497682196</v>
      </c>
      <c r="F31" t="s">
        <v>7</v>
      </c>
      <c r="G31">
        <f>SUM(G8:G29)</f>
        <v>0.23189414035581499</v>
      </c>
    </row>
    <row r="32" spans="1:7" x14ac:dyDescent="0.2">
      <c r="A32">
        <f>données0!A32</f>
        <v>-0.72249163809894512</v>
      </c>
    </row>
    <row r="33" spans="1:1" x14ac:dyDescent="0.2">
      <c r="A33">
        <f>données0!A33</f>
        <v>-1.0941587611246379</v>
      </c>
    </row>
    <row r="34" spans="1:1" x14ac:dyDescent="0.2">
      <c r="A34">
        <f>données0!A34</f>
        <v>-1.0655924496504183</v>
      </c>
    </row>
    <row r="35" spans="1:1" x14ac:dyDescent="0.2">
      <c r="A35">
        <f>données0!A35</f>
        <v>-2.080352209764825</v>
      </c>
    </row>
    <row r="36" spans="1:1" x14ac:dyDescent="0.2">
      <c r="A36">
        <f>données0!A36</f>
        <v>-0.42549582943920072</v>
      </c>
    </row>
    <row r="37" spans="1:1" x14ac:dyDescent="0.2">
      <c r="A37">
        <f>données0!A37</f>
        <v>0.24328072744475382</v>
      </c>
    </row>
    <row r="38" spans="1:1" x14ac:dyDescent="0.2">
      <c r="A38">
        <f>données0!A38</f>
        <v>-0.57136633111801072</v>
      </c>
    </row>
    <row r="39" spans="1:1" x14ac:dyDescent="0.2">
      <c r="A39">
        <f>données0!A39</f>
        <v>1.9429039691732346</v>
      </c>
    </row>
    <row r="40" spans="1:1" x14ac:dyDescent="0.2">
      <c r="A40">
        <f>données0!A40</f>
        <v>0.31237752059551199</v>
      </c>
    </row>
    <row r="41" spans="1:1" x14ac:dyDescent="0.2">
      <c r="A41">
        <f>données0!A41</f>
        <v>-0.52004454820599266</v>
      </c>
    </row>
    <row r="42" spans="1:1" x14ac:dyDescent="0.2">
      <c r="A42">
        <f>données0!A42</f>
        <v>-5.6480867181776237E-2</v>
      </c>
    </row>
    <row r="43" spans="1:1" x14ac:dyDescent="0.2">
      <c r="A43">
        <f>données0!A43</f>
        <v>1.195331471493035</v>
      </c>
    </row>
    <row r="44" spans="1:1" x14ac:dyDescent="0.2">
      <c r="A44">
        <f>données0!A44</f>
        <v>1.1012137455581907</v>
      </c>
    </row>
    <row r="45" spans="1:1" x14ac:dyDescent="0.2">
      <c r="A45">
        <f>données0!A45</f>
        <v>0.2917507188223108</v>
      </c>
    </row>
    <row r="46" spans="1:1" x14ac:dyDescent="0.2">
      <c r="A46">
        <f>données0!A46</f>
        <v>-0.95844176672668013</v>
      </c>
    </row>
    <row r="47" spans="1:1" x14ac:dyDescent="0.2">
      <c r="A47">
        <f>données0!A47</f>
        <v>1.5384971607221576</v>
      </c>
    </row>
    <row r="48" spans="1:1" x14ac:dyDescent="0.2">
      <c r="A48">
        <f>données0!A48</f>
        <v>1.1110000264927082</v>
      </c>
    </row>
    <row r="49" spans="1:1" x14ac:dyDescent="0.2">
      <c r="A49">
        <f>données0!A49</f>
        <v>-0.24316746773096526</v>
      </c>
    </row>
    <row r="50" spans="1:1" x14ac:dyDescent="0.2">
      <c r="A50">
        <f>données0!A50</f>
        <v>1.5716682425133483E-2</v>
      </c>
    </row>
    <row r="51" spans="1:1" x14ac:dyDescent="0.2">
      <c r="A51">
        <f>données0!A51</f>
        <v>1.6369601526570652</v>
      </c>
    </row>
    <row r="52" spans="1:1" x14ac:dyDescent="0.2">
      <c r="A52">
        <f>données0!A52</f>
        <v>0.59787774019903839</v>
      </c>
    </row>
    <row r="53" spans="1:1" x14ac:dyDescent="0.2">
      <c r="A53">
        <f>données0!A53</f>
        <v>6.019024327467664E-2</v>
      </c>
    </row>
    <row r="54" spans="1:1" x14ac:dyDescent="0.2">
      <c r="A54">
        <f>données0!A54</f>
        <v>-0.35235689353646349</v>
      </c>
    </row>
    <row r="55" spans="1:1" x14ac:dyDescent="0.2">
      <c r="A55">
        <f>données0!A55</f>
        <v>-3.5857900279710211E-2</v>
      </c>
    </row>
    <row r="56" spans="1:1" x14ac:dyDescent="0.2">
      <c r="A56">
        <f>données0!A56</f>
        <v>-1.5864091848336046</v>
      </c>
    </row>
    <row r="57" spans="1:1" x14ac:dyDescent="0.2">
      <c r="A57">
        <f>données0!A57</f>
        <v>0.90391907514427128</v>
      </c>
    </row>
    <row r="58" spans="1:1" x14ac:dyDescent="0.2">
      <c r="A58">
        <f>données0!A58</f>
        <v>-0.61966025132897307</v>
      </c>
    </row>
    <row r="59" spans="1:1" x14ac:dyDescent="0.2">
      <c r="A59">
        <f>données0!A59</f>
        <v>-1.0514807239619599</v>
      </c>
    </row>
    <row r="60" spans="1:1" x14ac:dyDescent="0.2">
      <c r="A60">
        <f>données0!A60</f>
        <v>-0.58261762617295476</v>
      </c>
    </row>
    <row r="61" spans="1:1" x14ac:dyDescent="0.2">
      <c r="A61">
        <f>données0!A61</f>
        <v>-1.7107329787234493</v>
      </c>
    </row>
    <row r="62" spans="1:1" x14ac:dyDescent="0.2">
      <c r="A62">
        <f>données0!A62</f>
        <v>-0.17810511394518896</v>
      </c>
    </row>
    <row r="63" spans="1:1" x14ac:dyDescent="0.2">
      <c r="A63">
        <f>données0!A63</f>
        <v>-0.12999915964003456</v>
      </c>
    </row>
    <row r="64" spans="1:1" x14ac:dyDescent="0.2">
      <c r="A64">
        <f>données0!A64</f>
        <v>1.3923450485708806</v>
      </c>
    </row>
    <row r="65" spans="1:1" x14ac:dyDescent="0.2">
      <c r="A65">
        <f>données0!A65</f>
        <v>0.38964933651468464</v>
      </c>
    </row>
    <row r="66" spans="1:1" x14ac:dyDescent="0.2">
      <c r="A66">
        <f>données0!A66</f>
        <v>1.5212786915936214</v>
      </c>
    </row>
    <row r="67" spans="1:1" x14ac:dyDescent="0.2">
      <c r="A67">
        <f>données0!A67</f>
        <v>-0.87336686837308486</v>
      </c>
    </row>
    <row r="68" spans="1:1" x14ac:dyDescent="0.2">
      <c r="A68">
        <f>données0!A68</f>
        <v>0.91890529180077729</v>
      </c>
    </row>
    <row r="69" spans="1:1" x14ac:dyDescent="0.2">
      <c r="A69">
        <f>données0!A69</f>
        <v>0.73023360051534925</v>
      </c>
    </row>
    <row r="70" spans="1:1" x14ac:dyDescent="0.2">
      <c r="A70">
        <f>données0!A70</f>
        <v>0.45978062269100911</v>
      </c>
    </row>
    <row r="71" spans="1:1" x14ac:dyDescent="0.2">
      <c r="A71">
        <f>données0!A71</f>
        <v>-1.7795065815579734</v>
      </c>
    </row>
    <row r="72" spans="1:1" x14ac:dyDescent="0.2">
      <c r="A72">
        <f>données0!A72</f>
        <v>0.8311380540502098</v>
      </c>
    </row>
    <row r="73" spans="1:1" x14ac:dyDescent="0.2">
      <c r="A73">
        <f>données0!A73</f>
        <v>0.42346840362921612</v>
      </c>
    </row>
    <row r="74" spans="1:1" x14ac:dyDescent="0.2">
      <c r="A74">
        <f>données0!A74</f>
        <v>0.85870440040977158</v>
      </c>
    </row>
    <row r="75" spans="1:1" x14ac:dyDescent="0.2">
      <c r="A75">
        <f>données0!A75</f>
        <v>-0.52073834902989347</v>
      </c>
    </row>
    <row r="76" spans="1:1" x14ac:dyDescent="0.2">
      <c r="A76">
        <f>données0!A76</f>
        <v>-1.6589108596785085</v>
      </c>
    </row>
    <row r="77" spans="1:1" x14ac:dyDescent="0.2">
      <c r="A77">
        <f>données0!A77</f>
        <v>-0.16004246754792933</v>
      </c>
    </row>
    <row r="78" spans="1:1" x14ac:dyDescent="0.2">
      <c r="A78">
        <f>données0!A78</f>
        <v>-0.29778785176975842</v>
      </c>
    </row>
    <row r="79" spans="1:1" x14ac:dyDescent="0.2">
      <c r="A79">
        <f>données0!A79</f>
        <v>0.49157829460726837</v>
      </c>
    </row>
    <row r="80" spans="1:1" x14ac:dyDescent="0.2">
      <c r="A80">
        <f>données0!A80</f>
        <v>1.2371518005162367</v>
      </c>
    </row>
    <row r="81" spans="1:1" x14ac:dyDescent="0.2">
      <c r="A81">
        <f>données0!A81</f>
        <v>1.8820658407054875E-3</v>
      </c>
    </row>
    <row r="82" spans="1:1" x14ac:dyDescent="0.2">
      <c r="A82">
        <f>données0!A82</f>
        <v>-8.6049263348502367E-2</v>
      </c>
    </row>
    <row r="83" spans="1:1" x14ac:dyDescent="0.2">
      <c r="A83">
        <f>données0!A83</f>
        <v>-0.48286608127124814</v>
      </c>
    </row>
    <row r="84" spans="1:1" x14ac:dyDescent="0.2">
      <c r="A84">
        <f>données0!A84</f>
        <v>-0.53375610864102541</v>
      </c>
    </row>
    <row r="85" spans="1:1" x14ac:dyDescent="0.2">
      <c r="A85">
        <f>données0!A85</f>
        <v>1.7524072681298415</v>
      </c>
    </row>
    <row r="86" spans="1:1" x14ac:dyDescent="0.2">
      <c r="A86">
        <f>données0!A86</f>
        <v>-4.1103624932580775E-2</v>
      </c>
    </row>
    <row r="87" spans="1:1" x14ac:dyDescent="0.2">
      <c r="A87">
        <f>données0!A87</f>
        <v>0.15565179409775889</v>
      </c>
    </row>
    <row r="88" spans="1:1" x14ac:dyDescent="0.2">
      <c r="A88">
        <f>données0!A88</f>
        <v>0.1377390757396435</v>
      </c>
    </row>
    <row r="89" spans="1:1" x14ac:dyDescent="0.2">
      <c r="A89">
        <f>données0!A89</f>
        <v>-1.2262985471504102</v>
      </c>
    </row>
    <row r="90" spans="1:1" x14ac:dyDescent="0.2">
      <c r="A90">
        <f>données0!A90</f>
        <v>0.2688312340101599</v>
      </c>
    </row>
    <row r="91" spans="1:1" x14ac:dyDescent="0.2">
      <c r="A91">
        <f>données0!A91</f>
        <v>-1.7066976868932906</v>
      </c>
    </row>
    <row r="92" spans="1:1" x14ac:dyDescent="0.2">
      <c r="A92">
        <f>données0!A92</f>
        <v>0.10138472995688366</v>
      </c>
    </row>
    <row r="93" spans="1:1" x14ac:dyDescent="0.2">
      <c r="A93">
        <f>données0!A93</f>
        <v>0.95186317915975149</v>
      </c>
    </row>
    <row r="94" spans="1:1" x14ac:dyDescent="0.2">
      <c r="A94">
        <f>données0!A94</f>
        <v>-6.2934124463499233E-2</v>
      </c>
    </row>
    <row r="95" spans="1:1" x14ac:dyDescent="0.2">
      <c r="A95">
        <f>données0!A95</f>
        <v>0.19450029476553285</v>
      </c>
    </row>
    <row r="96" spans="1:1" x14ac:dyDescent="0.2">
      <c r="A96">
        <f>données0!A96</f>
        <v>0.20560183223443343</v>
      </c>
    </row>
    <row r="97" spans="1:1" x14ac:dyDescent="0.2">
      <c r="A97">
        <f>données0!A97</f>
        <v>-0.25276164223471409</v>
      </c>
    </row>
    <row r="98" spans="1:1" x14ac:dyDescent="0.2">
      <c r="A98">
        <f>données0!A98</f>
        <v>-0.22196990479365036</v>
      </c>
    </row>
    <row r="99" spans="1:1" x14ac:dyDescent="0.2">
      <c r="A99">
        <f>données0!A99</f>
        <v>-1.7377349899480932</v>
      </c>
    </row>
    <row r="100" spans="1:1" x14ac:dyDescent="0.2">
      <c r="A100">
        <f>données0!A100</f>
        <v>-1.3950019719372462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0AD3-3848-C741-9E72-A383030CEF41}">
  <dimension ref="A1:G136"/>
  <sheetViews>
    <sheetView tabSelected="1" topLeftCell="A24" zoomScale="190" zoomScaleNormal="190" workbookViewId="0">
      <selection activeCell="H30" sqref="H30"/>
    </sheetView>
  </sheetViews>
  <sheetFormatPr baseColWidth="10" defaultRowHeight="16" x14ac:dyDescent="0.2"/>
  <sheetData>
    <row r="1" spans="1:7" x14ac:dyDescent="0.2">
      <c r="A1">
        <f ca="1">_xlfn.NORM.INV(RAND(),'hypothèse normale'!$C$5,'hypothèse normale'!$D$5)</f>
        <v>-6.107266475360746E-2</v>
      </c>
    </row>
    <row r="2" spans="1:7" x14ac:dyDescent="0.2">
      <c r="A2">
        <f ca="1">_xlfn.NORM.INV(RAND(),'hypothèse normale'!$C$5,'hypothèse normale'!$D$5)</f>
        <v>1.3496288661809157</v>
      </c>
    </row>
    <row r="3" spans="1:7" x14ac:dyDescent="0.2">
      <c r="A3">
        <f ca="1">_xlfn.NORM.INV(RAND(),'hypothèse normale'!$C$5,'hypothèse normale'!$D$5)</f>
        <v>1.2819666840387318</v>
      </c>
      <c r="C3" t="s">
        <v>0</v>
      </c>
    </row>
    <row r="4" spans="1:7" x14ac:dyDescent="0.2">
      <c r="A4">
        <f ca="1">_xlfn.NORM.INV(RAND(),'hypothèse normale'!$C$5,'hypothèse normale'!$D$5)</f>
        <v>-1.2770968476370259</v>
      </c>
      <c r="C4" t="s">
        <v>1</v>
      </c>
      <c r="D4" t="s">
        <v>2</v>
      </c>
    </row>
    <row r="5" spans="1:7" x14ac:dyDescent="0.2">
      <c r="A5">
        <f ca="1">_xlfn.NORM.INV(RAND(),'hypothèse normale'!$C$5,'hypothèse normale'!$D$5)</f>
        <v>1.8766684826927951</v>
      </c>
      <c r="C5">
        <f ca="1">AVERAGE(A1:A20)</f>
        <v>0.22461805152951714</v>
      </c>
      <c r="D5">
        <f ca="1">STDEV(A1:A20)</f>
        <v>1.3525895198739073</v>
      </c>
    </row>
    <row r="6" spans="1:7" x14ac:dyDescent="0.2">
      <c r="A6">
        <f ca="1">_xlfn.NORM.INV(RAND(),'hypothèse normale'!$C$5,'hypothèse normale'!$D$5)</f>
        <v>-0.60884489979688339</v>
      </c>
    </row>
    <row r="7" spans="1:7" x14ac:dyDescent="0.2">
      <c r="A7">
        <f ca="1">_xlfn.NORM.INV(RAND(),'hypothèse normale'!$C$5,'hypothèse normale'!$D$5)</f>
        <v>0.43981550885044851</v>
      </c>
      <c r="C7" t="s">
        <v>12</v>
      </c>
      <c r="D7" t="s">
        <v>3</v>
      </c>
      <c r="E7" t="s">
        <v>4</v>
      </c>
      <c r="F7" t="s">
        <v>5</v>
      </c>
      <c r="G7" t="s">
        <v>6</v>
      </c>
    </row>
    <row r="8" spans="1:7" x14ac:dyDescent="0.2">
      <c r="A8">
        <f ca="1">_xlfn.NORM.INV(RAND(),'hypothèse normale'!$C$5,'hypothèse normale'!$D$5)</f>
        <v>-3.1801530261099091</v>
      </c>
      <c r="C8" s="1">
        <v>-2</v>
      </c>
      <c r="D8" t="str">
        <f>CONCATENATE("&lt;",C8)</f>
        <v>&lt;-2</v>
      </c>
      <c r="E8">
        <f ca="1">COUNTIF($A$1:$A$100,D8)/COUNT($A$1:$A$100)</f>
        <v>0.03</v>
      </c>
      <c r="F8" s="2">
        <f ca="1">_xlfn.NORM.DIST(C8,$C$5,$D$5,TRUE)</f>
        <v>5.0014773447227635E-2</v>
      </c>
      <c r="G8">
        <f ca="1">(F8-E8)^2/F8</f>
        <v>8.0094565771956644E-3</v>
      </c>
    </row>
    <row r="9" spans="1:7" x14ac:dyDescent="0.2">
      <c r="A9">
        <f ca="1">_xlfn.NORM.INV(RAND(),'hypothèse normale'!$C$5,'hypothèse normale'!$D$5)</f>
        <v>0.17469330624917578</v>
      </c>
      <c r="C9" s="1">
        <f>C8+0.2</f>
        <v>-1.8</v>
      </c>
      <c r="D9" t="str">
        <f>CONCATENATE("[",C8,", ",C9,"]")</f>
        <v>[-2, -1,8]</v>
      </c>
      <c r="E9">
        <f ca="1">COUNTIF($A$1:$A$100,CONCATENATE("&lt;",C9))/COUNT($A$1:$A$100)-SUM($E$8:E8)</f>
        <v>0.03</v>
      </c>
      <c r="F9" s="2">
        <f ca="1">_xlfn.NORM.DIST(C9,$C$5,$D$5,TRUE)-SUM($F$8:F8)</f>
        <v>1.7201908950985091E-2</v>
      </c>
      <c r="G9">
        <f t="shared" ref="G9:G28" ca="1" si="0">(F9-E9)^2/F9</f>
        <v>9.5216836088122519E-3</v>
      </c>
    </row>
    <row r="10" spans="1:7" x14ac:dyDescent="0.2">
      <c r="A10">
        <f ca="1">_xlfn.NORM.INV(RAND(),'hypothèse normale'!$C$5,'hypothèse normale'!$D$5)</f>
        <v>-0.57730967825740909</v>
      </c>
      <c r="C10" s="1">
        <f t="shared" ref="C10:C27" si="1">C9+0.2</f>
        <v>-1.6</v>
      </c>
      <c r="D10" t="str">
        <f>CONCATENATE("[",C9,", ",C10,"]")</f>
        <v>[-1,8, -1,6]</v>
      </c>
      <c r="E10">
        <f ca="1">COUNTIF($A$1:$A$100,CONCATENATE("&lt;",C10))/COUNT($A$1:$A$100)-SUM($E$8:E9)</f>
        <v>1.0000000000000009E-2</v>
      </c>
      <c r="F10" s="2">
        <f ca="1">_xlfn.NORM.DIST(C10,$C$5,$D$5,TRUE)-SUM($F$8:F9)</f>
        <v>2.1454794090512264E-2</v>
      </c>
      <c r="G10">
        <f t="shared" ca="1" si="0"/>
        <v>6.1157570239305705E-3</v>
      </c>
    </row>
    <row r="11" spans="1:7" x14ac:dyDescent="0.2">
      <c r="A11">
        <f ca="1">_xlfn.NORM.INV(RAND(),'hypothèse normale'!$C$5,'hypothèse normale'!$D$5)</f>
        <v>2.6050202162062699</v>
      </c>
      <c r="C11" s="1">
        <f t="shared" si="1"/>
        <v>-1.4000000000000001</v>
      </c>
      <c r="D11" t="str">
        <f t="shared" ref="D11:D28" si="2">CONCATENATE("[",C10,", ",C11,"]")</f>
        <v>[-1,6, -1,4]</v>
      </c>
      <c r="E11">
        <f ca="1">COUNTIF($A$1:$A$100,CONCATENATE("&lt;",C11))/COUNT($A$1:$A$100)-SUM($E$8:E10)</f>
        <v>0</v>
      </c>
      <c r="F11" s="2">
        <f ca="1">_xlfn.NORM.DIST(C11,$C$5,$D$5,TRUE)-SUM($F$8:F10)</f>
        <v>2.6181464058508117E-2</v>
      </c>
      <c r="G11">
        <f t="shared" ca="1" si="0"/>
        <v>2.6181464058508113E-2</v>
      </c>
    </row>
    <row r="12" spans="1:7" x14ac:dyDescent="0.2">
      <c r="A12">
        <f ca="1">_xlfn.NORM.INV(RAND(),'hypothèse normale'!$C$5,'hypothèse normale'!$D$5)</f>
        <v>-0.94761026296293949</v>
      </c>
      <c r="C12" s="1">
        <f t="shared" si="1"/>
        <v>-1.2000000000000002</v>
      </c>
      <c r="D12" t="str">
        <f t="shared" si="2"/>
        <v>[-1,4, -1,2]</v>
      </c>
      <c r="E12">
        <f ca="1">COUNTIF($A$1:$A$100,CONCATENATE("&lt;",C12))/COUNT($A$1:$A$100)-SUM($E$8:E11)</f>
        <v>0.03</v>
      </c>
      <c r="F12" s="2">
        <f ca="1">_xlfn.NORM.DIST(C12,$C$5,$D$5,TRUE)-SUM($F$8:F11)</f>
        <v>3.1259741706153366E-2</v>
      </c>
      <c r="G12">
        <f t="shared" ca="1" si="0"/>
        <v>5.0766547629848459E-5</v>
      </c>
    </row>
    <row r="13" spans="1:7" x14ac:dyDescent="0.2">
      <c r="A13">
        <f ca="1">_xlfn.NORM.INV(RAND(),'hypothèse normale'!$C$5,'hypothèse normale'!$D$5)</f>
        <v>2.0298997832112438</v>
      </c>
      <c r="C13" s="1">
        <f t="shared" si="1"/>
        <v>-1.0000000000000002</v>
      </c>
      <c r="D13" t="str">
        <f t="shared" si="2"/>
        <v>[-1,2, -1]</v>
      </c>
      <c r="E13">
        <f ca="1">COUNTIF($A$1:$A$100,CONCATENATE("&lt;",C13))/COUNT($A$1:$A$100)-SUM($E$8:E12)</f>
        <v>4.9999999999999989E-2</v>
      </c>
      <c r="F13" s="2">
        <f ca="1">_xlfn.NORM.DIST(C13,$C$5,$D$5,TRUE)-SUM($F$8:F12)</f>
        <v>3.6517305737305494E-2</v>
      </c>
      <c r="G13">
        <f t="shared" ca="1" si="0"/>
        <v>4.9779971690405512E-3</v>
      </c>
    </row>
    <row r="14" spans="1:7" x14ac:dyDescent="0.2">
      <c r="A14">
        <f ca="1">_xlfn.NORM.INV(RAND(),'hypothèse normale'!$C$5,'hypothèse normale'!$D$5)</f>
        <v>-0.41964524442734152</v>
      </c>
      <c r="C14" s="1">
        <f t="shared" si="1"/>
        <v>-0.80000000000000027</v>
      </c>
      <c r="D14" t="str">
        <f t="shared" si="2"/>
        <v>[-1, -0,8]</v>
      </c>
      <c r="E14">
        <f ca="1">COUNTIF($A$1:$A$100,CONCATENATE("&lt;",C14))/COUNT($A$1:$A$100)-SUM($E$8:E13)</f>
        <v>0.06</v>
      </c>
      <c r="F14" s="2">
        <f ca="1">_xlfn.NORM.DIST(C14,$C$5,$D$5,TRUE)-SUM($F$8:F13)</f>
        <v>4.1738223625309656E-2</v>
      </c>
      <c r="G14">
        <f t="shared" ca="1" si="0"/>
        <v>7.9900975027833165E-3</v>
      </c>
    </row>
    <row r="15" spans="1:7" x14ac:dyDescent="0.2">
      <c r="A15">
        <f ca="1">_xlfn.NORM.INV(RAND(),'hypothèse normale'!$C$5,'hypothèse normale'!$D$5)</f>
        <v>1.3656413830440235</v>
      </c>
      <c r="C15" s="1">
        <f t="shared" si="1"/>
        <v>-0.60000000000000031</v>
      </c>
      <c r="D15" t="str">
        <f t="shared" si="2"/>
        <v>[-0,8, -0,6]</v>
      </c>
      <c r="E15">
        <f ca="1">COUNTIF($A$1:$A$100,CONCATENATE("&lt;",C15))/COUNT($A$1:$A$100)-SUM($E$8:E14)</f>
        <v>0.03</v>
      </c>
      <c r="F15" s="2">
        <f ca="1">_xlfn.NORM.DIST(C15,$C$5,$D$5,TRUE)-SUM($F$8:F14)</f>
        <v>4.6675727123273059E-2</v>
      </c>
      <c r="G15">
        <f t="shared" ca="1" si="0"/>
        <v>5.9576977634529654E-3</v>
      </c>
    </row>
    <row r="16" spans="1:7" x14ac:dyDescent="0.2">
      <c r="A16">
        <f ca="1">_xlfn.NORM.INV(RAND(),'hypothèse normale'!$C$5,'hypothèse normale'!$D$5)</f>
        <v>0.6734096968416623</v>
      </c>
      <c r="C16" s="1">
        <f t="shared" si="1"/>
        <v>-0.4000000000000003</v>
      </c>
      <c r="D16" t="str">
        <f t="shared" si="2"/>
        <v>[-0,6, -0,4]</v>
      </c>
      <c r="E16">
        <f ca="1">COUNTIF($A$1:$A$100,CONCATENATE("&lt;",C16))/COUNT($A$1:$A$100)-SUM($E$8:E15)</f>
        <v>0.10999999999999999</v>
      </c>
      <c r="F16" s="2">
        <f ca="1">_xlfn.NORM.DIST(C16,$C$5,$D$5,TRUE)-SUM($F$8:F15)</f>
        <v>5.1070501629011722E-2</v>
      </c>
      <c r="G16">
        <f t="shared" ca="1" si="0"/>
        <v>6.7997878765372707E-2</v>
      </c>
    </row>
    <row r="17" spans="1:7" x14ac:dyDescent="0.2">
      <c r="A17">
        <f ca="1">_xlfn.NORM.INV(RAND(),'hypothèse normale'!$C$5,'hypothèse normale'!$D$5)</f>
        <v>0.44981945341426566</v>
      </c>
      <c r="C17" s="1">
        <f t="shared" si="1"/>
        <v>-0.20000000000000029</v>
      </c>
      <c r="D17" t="str">
        <f t="shared" si="2"/>
        <v>[-0,4, -0,2]</v>
      </c>
      <c r="E17">
        <f ca="1">COUNTIF($A$1:$A$100,CONCATENATE("&lt;",C17))/COUNT($A$1:$A$100)-SUM($E$8:E16)</f>
        <v>5.0000000000000044E-2</v>
      </c>
      <c r="F17" s="2">
        <f ca="1">_xlfn.NORM.DIST(C17,$C$5,$D$5,TRUE)-SUM($F$8:F16)</f>
        <v>5.4672767648113629E-2</v>
      </c>
      <c r="G17">
        <f t="shared" ca="1" si="0"/>
        <v>3.9937172439834088E-4</v>
      </c>
    </row>
    <row r="18" spans="1:7" x14ac:dyDescent="0.2">
      <c r="A18">
        <f ca="1">_xlfn.NORM.INV(RAND(),'hypothèse normale'!$C$5,'hypothèse normale'!$D$5)</f>
        <v>-0.78678804416006887</v>
      </c>
      <c r="C18" s="1">
        <f t="shared" si="1"/>
        <v>-2.7755575615628914E-16</v>
      </c>
      <c r="D18" t="str">
        <f t="shared" si="2"/>
        <v>[-0,2, -2,77555756156289E-16]</v>
      </c>
      <c r="E18">
        <f ca="1">COUNTIF($A$1:$A$100,CONCATENATE("&lt;",C18))/COUNT($A$1:$A$100)-SUM($E$8:E17)</f>
        <v>6.9999999999999951E-2</v>
      </c>
      <c r="F18" s="2">
        <f ca="1">_xlfn.NORM.DIST(C18,$C$5,$D$5,TRUE)-SUM($F$8:F17)</f>
        <v>5.72656113980064E-2</v>
      </c>
      <c r="G18">
        <f t="shared" ca="1" si="0"/>
        <v>2.8317981613696481E-3</v>
      </c>
    </row>
    <row r="19" spans="1:7" x14ac:dyDescent="0.2">
      <c r="A19">
        <f ca="1">_xlfn.NORM.INV(RAND(),'hypothèse normale'!$C$5,'hypothèse normale'!$D$5)</f>
        <v>0.75242284946536164</v>
      </c>
      <c r="C19" s="1">
        <f t="shared" si="1"/>
        <v>0.19999999999999973</v>
      </c>
      <c r="D19" t="str">
        <f t="shared" si="2"/>
        <v>[-2,77555756156289E-16, 0,2]</v>
      </c>
      <c r="E19">
        <f ca="1">COUNTIF($A$1:$A$100,CONCATENATE("&lt;",C19))/COUNT($A$1:$A$100)-SUM($E$8:E18)</f>
        <v>5.0000000000000044E-2</v>
      </c>
      <c r="F19" s="2">
        <f ca="1">_xlfn.NORM.DIST(C19,$C$5,$D$5,TRUE)-SUM($F$8:F18)</f>
        <v>5.868655992903471E-2</v>
      </c>
      <c r="G19">
        <f t="shared" ca="1" si="0"/>
        <v>1.2857513456565599E-3</v>
      </c>
    </row>
    <row r="20" spans="1:7" x14ac:dyDescent="0.2">
      <c r="A20">
        <f ca="1">_xlfn.NORM.INV(RAND(),'hypothèse normale'!$C$5,'hypothèse normale'!$D$5)</f>
        <v>-0.64810453149936575</v>
      </c>
      <c r="C20" s="1">
        <f t="shared" si="1"/>
        <v>0.39999999999999974</v>
      </c>
      <c r="D20" t="str">
        <f t="shared" si="2"/>
        <v>[0,2, 0,4]</v>
      </c>
      <c r="E20">
        <f ca="1">COUNTIF($A$1:$A$100,CONCATENATE("&lt;",C20))/COUNT($A$1:$A$100)-SUM($E$8:E19)</f>
        <v>5.9999999999999942E-2</v>
      </c>
      <c r="F20" s="2">
        <f ca="1">_xlfn.NORM.DIST(C20,$C$5,$D$5,TRUE)-SUM($F$8:F19)</f>
        <v>5.8844423646518651E-2</v>
      </c>
      <c r="G20">
        <f t="shared" ca="1" si="0"/>
        <v>2.2693003448324547E-5</v>
      </c>
    </row>
    <row r="21" spans="1:7" x14ac:dyDescent="0.2">
      <c r="A21">
        <f ca="1">_xlfn.NORM.INV(RAND(),'hypothèse normale'!$C$5,'hypothèse normale'!$D$5)</f>
        <v>0.568432723650663</v>
      </c>
      <c r="C21" s="1">
        <f t="shared" si="1"/>
        <v>0.59999999999999976</v>
      </c>
      <c r="D21" t="str">
        <f t="shared" si="2"/>
        <v>[0,4, 0,6]</v>
      </c>
      <c r="E21">
        <f ca="1">COUNTIF($A$1:$A$100,CONCATENATE("&lt;",C21))/COUNT($A$1:$A$100)-SUM($E$8:E20)</f>
        <v>0.10000000000000009</v>
      </c>
      <c r="F21" s="2">
        <f ca="1">_xlfn.NORM.DIST(C21,$C$5,$D$5,TRUE)-SUM($F$8:F20)</f>
        <v>5.772897994099091E-2</v>
      </c>
      <c r="G21">
        <f t="shared" ca="1" si="0"/>
        <v>3.0952203532014905E-2</v>
      </c>
    </row>
    <row r="22" spans="1:7" x14ac:dyDescent="0.2">
      <c r="A22">
        <f ca="1">_xlfn.NORM.INV(RAND(),'hypothèse normale'!$C$5,'hypothèse normale'!$D$5)</f>
        <v>-0.29455119501616778</v>
      </c>
      <c r="C22" s="1">
        <f t="shared" si="1"/>
        <v>0.79999999999999982</v>
      </c>
      <c r="D22" t="str">
        <f t="shared" si="2"/>
        <v>[0,6, 0,8]</v>
      </c>
      <c r="E22">
        <f ca="1">COUNTIF($A$1:$A$100,CONCATENATE("&lt;",C22))/COUNT($A$1:$A$100)-SUM($E$8:E21)</f>
        <v>0.10999999999999999</v>
      </c>
      <c r="F22" s="2">
        <f ca="1">_xlfn.NORM.DIST(C22,$C$5,$D$5,TRUE)-SUM($F$8:F21)</f>
        <v>5.5412068539212656E-2</v>
      </c>
      <c r="G22">
        <f t="shared" ca="1" si="0"/>
        <v>5.3776051674716191E-2</v>
      </c>
    </row>
    <row r="23" spans="1:7" x14ac:dyDescent="0.2">
      <c r="A23">
        <f ca="1">_xlfn.NORM.INV(RAND(),'hypothèse normale'!$C$5,'hypothèse normale'!$D$5)</f>
        <v>-0.44887393082541149</v>
      </c>
      <c r="C23" s="1">
        <f t="shared" si="1"/>
        <v>0.99999999999999978</v>
      </c>
      <c r="D23" t="str">
        <f t="shared" si="2"/>
        <v>[0,8, 1]</v>
      </c>
      <c r="E23">
        <f ca="1">COUNTIF($A$1:$A$100,CONCATENATE("&lt;",C23))/COUNT($A$1:$A$100)-SUM($E$8:E22)</f>
        <v>2.0000000000000018E-2</v>
      </c>
      <c r="F23" s="2">
        <f ca="1">_xlfn.NORM.DIST(C23,$C$5,$D$5,TRUE)-SUM($F$8:F22)</f>
        <v>5.2039935439925133E-2</v>
      </c>
      <c r="G23">
        <f t="shared" ca="1" si="0"/>
        <v>1.9726340056275177E-2</v>
      </c>
    </row>
    <row r="24" spans="1:7" x14ac:dyDescent="0.2">
      <c r="A24">
        <f ca="1">_xlfn.NORM.INV(RAND(),'hypothèse normale'!$C$5,'hypothèse normale'!$D$5)</f>
        <v>0.23017496723108596</v>
      </c>
      <c r="C24" s="1">
        <f t="shared" si="1"/>
        <v>1.1999999999999997</v>
      </c>
      <c r="D24" t="str">
        <f t="shared" si="2"/>
        <v>[1, 1,2]</v>
      </c>
      <c r="E24">
        <f ca="1">COUNTIF($A$1:$A$100,CONCATENATE("&lt;",C24))/COUNT($A$1:$A$100)-SUM($E$8:E23)</f>
        <v>1.9999999999999907E-2</v>
      </c>
      <c r="F24" s="2">
        <f ca="1">_xlfn.NORM.DIST(C24,$C$5,$D$5,TRUE)-SUM($F$8:F23)</f>
        <v>4.7817959565369716E-2</v>
      </c>
      <c r="G24">
        <f t="shared" ca="1" si="0"/>
        <v>1.6183017456499173E-2</v>
      </c>
    </row>
    <row r="25" spans="1:7" x14ac:dyDescent="0.2">
      <c r="A25">
        <f ca="1">_xlfn.NORM.INV(RAND(),'hypothèse normale'!$C$5,'hypothèse normale'!$D$5)</f>
        <v>-6.4864475176663688E-2</v>
      </c>
      <c r="C25" s="1">
        <f t="shared" si="1"/>
        <v>1.3999999999999997</v>
      </c>
      <c r="D25" t="str">
        <f t="shared" si="2"/>
        <v>[1,2, 1,4]</v>
      </c>
      <c r="E25">
        <f ca="1">COUNTIF($A$1:$A$100,CONCATENATE("&lt;",C25))/COUNT($A$1:$A$100)-SUM($E$8:E24)</f>
        <v>4.0000000000000036E-2</v>
      </c>
      <c r="F25" s="2">
        <f ca="1">_xlfn.NORM.DIST(C25,$C$5,$D$5,TRUE)-SUM($F$8:F24)</f>
        <v>4.2989979056139105E-2</v>
      </c>
      <c r="G25">
        <f t="shared" ca="1" si="0"/>
        <v>2.0795485255938086E-4</v>
      </c>
    </row>
    <row r="26" spans="1:7" x14ac:dyDescent="0.2">
      <c r="A26">
        <f ca="1">_xlfn.NORM.INV(RAND(),'hypothèse normale'!$C$5,'hypothèse normale'!$D$5)</f>
        <v>-1.2597098087843621</v>
      </c>
      <c r="C26" s="1">
        <f t="shared" si="1"/>
        <v>1.5999999999999996</v>
      </c>
      <c r="D26" t="str">
        <f t="shared" si="2"/>
        <v>[1,4, 1,6]</v>
      </c>
      <c r="E26">
        <f ca="1">COUNTIF($A$1:$A$100,CONCATENATE("&lt;",C26))/COUNT($A$1:$A$100)-SUM($E$8:E25)</f>
        <v>6.0000000000000053E-2</v>
      </c>
      <c r="F26" s="2">
        <f ca="1">_xlfn.NORM.DIST(C26,$C$5,$D$5,TRUE)-SUM($F$8:F25)</f>
        <v>3.7815106196295578E-2</v>
      </c>
      <c r="G26">
        <f t="shared" ca="1" si="0"/>
        <v>1.301515617930114E-2</v>
      </c>
    </row>
    <row r="27" spans="1:7" x14ac:dyDescent="0.2">
      <c r="A27">
        <f ca="1">_xlfn.NORM.INV(RAND(),'hypothèse normale'!$C$5,'hypothèse normale'!$D$5)</f>
        <v>-1.3518899255135319</v>
      </c>
      <c r="C27" s="1">
        <f t="shared" si="1"/>
        <v>1.7999999999999996</v>
      </c>
      <c r="D27" t="str">
        <f t="shared" si="2"/>
        <v>[1,6, 1,8]</v>
      </c>
      <c r="E27">
        <f ca="1">COUNTIF($A$1:$A$100,CONCATENATE("&lt;",C27))/COUNT($A$1:$A$100)-SUM($E$8:E26)</f>
        <v>9.9999999999998979E-3</v>
      </c>
      <c r="F27" s="2">
        <f ca="1">_xlfn.NORM.DIST(C27,$C$5,$D$5,TRUE)-SUM($F$8:F26)</f>
        <v>3.2545077351103346E-2</v>
      </c>
      <c r="G27">
        <f t="shared" ca="1" si="0"/>
        <v>1.5617738660867122E-2</v>
      </c>
    </row>
    <row r="28" spans="1:7" x14ac:dyDescent="0.2">
      <c r="A28">
        <f ca="1">_xlfn.NORM.INV(RAND(),'hypothèse normale'!$C$5,'hypothèse normale'!$D$5)</f>
        <v>0.6795431203007094</v>
      </c>
      <c r="C28" s="1">
        <f>C27+0.2</f>
        <v>1.9999999999999996</v>
      </c>
      <c r="D28" t="str">
        <f t="shared" si="2"/>
        <v>[1,8, 2]</v>
      </c>
      <c r="E28">
        <f ca="1">COUNTIF($A$1:$A$100,CONCATENATE("&lt;",C28))/COUNT($A$1:$A$100)-SUM($E$8:E27)</f>
        <v>2.0000000000000018E-2</v>
      </c>
      <c r="F28" s="2">
        <f ca="1">_xlfn.NORM.DIST(C28,$C$5,$D$5,TRUE)-SUM($F$8:F27)</f>
        <v>2.7404834206638862E-2</v>
      </c>
      <c r="G28">
        <f t="shared" ca="1" si="0"/>
        <v>2.0007991734000597E-3</v>
      </c>
    </row>
    <row r="29" spans="1:7" x14ac:dyDescent="0.2">
      <c r="A29">
        <f ca="1">_xlfn.NORM.INV(RAND(),'hypothèse normale'!$C$5,'hypothèse normale'!$D$5)</f>
        <v>0.38915530765768191</v>
      </c>
      <c r="C29" s="1"/>
      <c r="D29" t="str">
        <f>CONCATENATE("&gt;",C28)</f>
        <v>&gt;2</v>
      </c>
      <c r="E29">
        <f ca="1">1-SUM($E$8:E28)</f>
        <v>4.0000000000000036E-2</v>
      </c>
      <c r="F29" s="2">
        <f ca="1">1-SUM($F$8:F28)</f>
        <v>9.4662256714364901E-2</v>
      </c>
      <c r="G29">
        <f ca="1">(F29-E29)^2/F29</f>
        <v>3.156445253701317E-2</v>
      </c>
    </row>
    <row r="30" spans="1:7" x14ac:dyDescent="0.2">
      <c r="A30">
        <f ca="1">_xlfn.NORM.INV(RAND(),'hypothèse normale'!$C$5,'hypothèse normale'!$D$5)</f>
        <v>0.4996446898786614</v>
      </c>
    </row>
    <row r="31" spans="1:7" x14ac:dyDescent="0.2">
      <c r="A31">
        <f ca="1">_xlfn.NORM.INV(RAND(),'hypothèse normale'!$C$5,'hypothèse normale'!$D$5)</f>
        <v>0.70655784436684366</v>
      </c>
      <c r="F31" t="s">
        <v>10</v>
      </c>
      <c r="G31">
        <f ca="1">SUM(G8:G29)</f>
        <v>0.32438612737424521</v>
      </c>
    </row>
    <row r="32" spans="1:7" x14ac:dyDescent="0.2">
      <c r="A32">
        <f ca="1">_xlfn.NORM.INV(RAND(),'hypothèse normale'!$C$5,'hypothèse normale'!$D$5)</f>
        <v>2.4035130845470216</v>
      </c>
      <c r="F32" t="s">
        <v>7</v>
      </c>
      <c r="G32">
        <f>'hypothèse normale'!G31</f>
        <v>0.23189414035581499</v>
      </c>
    </row>
    <row r="33" spans="1:7" x14ac:dyDescent="0.2">
      <c r="A33">
        <f ca="1">_xlfn.NORM.INV(RAND(),'hypothèse normale'!$C$5,'hypothèse normale'!$D$5)</f>
        <v>-1.7846472936861111</v>
      </c>
    </row>
    <row r="34" spans="1:7" x14ac:dyDescent="0.2">
      <c r="A34">
        <f ca="1">_xlfn.NORM.INV(RAND(),'hypothèse normale'!$C$5,'hypothèse normale'!$D$5)</f>
        <v>-1.097472031840139</v>
      </c>
      <c r="C34" t="s">
        <v>8</v>
      </c>
      <c r="F34" t="s">
        <v>11</v>
      </c>
    </row>
    <row r="35" spans="1:7" x14ac:dyDescent="0.2">
      <c r="A35">
        <f ca="1">_xlfn.NORM.INV(RAND(),'hypothèse normale'!$C$5,'hypothèse normale'!$D$5)</f>
        <v>0.62081088402413021</v>
      </c>
      <c r="C35" t="s">
        <v>9</v>
      </c>
      <c r="D35" t="s">
        <v>10</v>
      </c>
      <c r="F35" t="s">
        <v>16</v>
      </c>
      <c r="G35" s="3">
        <f ca="1">COUNTIF(D36:D136,CONCATENATE("&gt;",G32))/COUNT(D36:D136)</f>
        <v>0.64356435643564358</v>
      </c>
    </row>
    <row r="36" spans="1:7" x14ac:dyDescent="0.2">
      <c r="A36">
        <f ca="1">_xlfn.NORM.INV(RAND(),'hypothèse normale'!$C$5,'hypothèse normale'!$D$5)</f>
        <v>0.27578527362969452</v>
      </c>
      <c r="D36">
        <f ca="1">G31</f>
        <v>0.32438612737424521</v>
      </c>
    </row>
    <row r="37" spans="1:7" x14ac:dyDescent="0.2">
      <c r="A37">
        <f ca="1">_xlfn.NORM.INV(RAND(),'hypothèse normale'!$C$5,'hypothèse normale'!$D$5)</f>
        <v>1.5843531913764379</v>
      </c>
      <c r="C37">
        <v>1</v>
      </c>
      <c r="D37">
        <f t="dataTable" ref="D37:D136" dt2D="0" dtr="0" r1="B36" ca="1"/>
        <v>0.40265936096236454</v>
      </c>
    </row>
    <row r="38" spans="1:7" x14ac:dyDescent="0.2">
      <c r="A38">
        <f ca="1">_xlfn.NORM.INV(RAND(),'hypothèse normale'!$C$5,'hypothèse normale'!$D$5)</f>
        <v>0.49379625139099492</v>
      </c>
      <c r="C38">
        <v>2</v>
      </c>
      <c r="D38">
        <v>0.34276475093438802</v>
      </c>
    </row>
    <row r="39" spans="1:7" x14ac:dyDescent="0.2">
      <c r="A39">
        <f ca="1">_xlfn.NORM.INV(RAND(),'hypothèse normale'!$C$5,'hypothèse normale'!$D$5)</f>
        <v>1.8797736233073772</v>
      </c>
      <c r="C39">
        <v>3</v>
      </c>
      <c r="D39">
        <v>0.30095785778840256</v>
      </c>
    </row>
    <row r="40" spans="1:7" x14ac:dyDescent="0.2">
      <c r="A40">
        <f ca="1">_xlfn.NORM.INV(RAND(),'hypothèse normale'!$C$5,'hypothèse normale'!$D$5)</f>
        <v>1.4249067303906338</v>
      </c>
      <c r="C40">
        <v>4</v>
      </c>
      <c r="D40">
        <v>0.33308399104385866</v>
      </c>
    </row>
    <row r="41" spans="1:7" x14ac:dyDescent="0.2">
      <c r="A41">
        <f ca="1">_xlfn.NORM.INV(RAND(),'hypothèse normale'!$C$5,'hypothèse normale'!$D$5)</f>
        <v>-0.38528129557089763</v>
      </c>
      <c r="C41">
        <v>5</v>
      </c>
      <c r="D41">
        <v>0.26348261083412455</v>
      </c>
    </row>
    <row r="42" spans="1:7" x14ac:dyDescent="0.2">
      <c r="A42">
        <f ca="1">_xlfn.NORM.INV(RAND(),'hypothèse normale'!$C$5,'hypothèse normale'!$D$5)</f>
        <v>-0.48528103131181777</v>
      </c>
      <c r="C42">
        <v>6</v>
      </c>
      <c r="D42">
        <v>0.19423928092059048</v>
      </c>
    </row>
    <row r="43" spans="1:7" x14ac:dyDescent="0.2">
      <c r="A43">
        <f ca="1">_xlfn.NORM.INV(RAND(),'hypothèse normale'!$C$5,'hypothèse normale'!$D$5)</f>
        <v>-0.90111466831464637</v>
      </c>
      <c r="C43">
        <v>7</v>
      </c>
      <c r="D43">
        <v>1.7359215563618149</v>
      </c>
    </row>
    <row r="44" spans="1:7" x14ac:dyDescent="0.2">
      <c r="A44">
        <f ca="1">_xlfn.NORM.INV(RAND(),'hypothèse normale'!$C$5,'hypothèse normale'!$D$5)</f>
        <v>-2.2458212872368111</v>
      </c>
      <c r="C44">
        <v>8</v>
      </c>
      <c r="D44">
        <v>3.3944508507941551</v>
      </c>
    </row>
    <row r="45" spans="1:7" x14ac:dyDescent="0.2">
      <c r="A45">
        <f ca="1">_xlfn.NORM.INV(RAND(),'hypothèse normale'!$C$5,'hypothèse normale'!$D$5)</f>
        <v>-2.2423307431732686</v>
      </c>
      <c r="C45">
        <v>9</v>
      </c>
      <c r="D45">
        <v>0.23373872570159612</v>
      </c>
    </row>
    <row r="46" spans="1:7" x14ac:dyDescent="0.2">
      <c r="A46">
        <f ca="1">_xlfn.NORM.INV(RAND(),'hypothèse normale'!$C$5,'hypothèse normale'!$D$5)</f>
        <v>1.5236621948197391</v>
      </c>
      <c r="C46">
        <v>10</v>
      </c>
      <c r="D46">
        <v>8.1872246101839977E-2</v>
      </c>
    </row>
    <row r="47" spans="1:7" x14ac:dyDescent="0.2">
      <c r="A47">
        <f ca="1">_xlfn.NORM.INV(RAND(),'hypothèse normale'!$C$5,'hypothèse normale'!$D$5)</f>
        <v>-0.85412929818481165</v>
      </c>
      <c r="C47">
        <v>11</v>
      </c>
      <c r="D47">
        <v>0.20798789230806963</v>
      </c>
    </row>
    <row r="48" spans="1:7" x14ac:dyDescent="0.2">
      <c r="A48">
        <f ca="1">_xlfn.NORM.INV(RAND(),'hypothèse normale'!$C$5,'hypothèse normale'!$D$5)</f>
        <v>0.44742566850774124</v>
      </c>
      <c r="C48">
        <v>12</v>
      </c>
      <c r="D48">
        <v>0.19355520929333137</v>
      </c>
    </row>
    <row r="49" spans="1:4" x14ac:dyDescent="0.2">
      <c r="A49">
        <f ca="1">_xlfn.NORM.INV(RAND(),'hypothèse normale'!$C$5,'hypothèse normale'!$D$5)</f>
        <v>-3.4542054134987371E-2</v>
      </c>
      <c r="C49">
        <v>13</v>
      </c>
      <c r="D49">
        <v>0.23018894461767112</v>
      </c>
    </row>
    <row r="50" spans="1:4" x14ac:dyDescent="0.2">
      <c r="A50">
        <f ca="1">_xlfn.NORM.INV(RAND(),'hypothèse normale'!$C$5,'hypothèse normale'!$D$5)</f>
        <v>0.71528235132251217</v>
      </c>
      <c r="C50">
        <v>14</v>
      </c>
      <c r="D50">
        <v>4.4985182731680755</v>
      </c>
    </row>
    <row r="51" spans="1:4" x14ac:dyDescent="0.2">
      <c r="A51">
        <f ca="1">_xlfn.NORM.INV(RAND(),'hypothèse normale'!$C$5,'hypothèse normale'!$D$5)</f>
        <v>0.93242433389078572</v>
      </c>
      <c r="C51">
        <v>15</v>
      </c>
      <c r="D51">
        <v>0.33319931726421237</v>
      </c>
    </row>
    <row r="52" spans="1:4" x14ac:dyDescent="0.2">
      <c r="A52">
        <f ca="1">_xlfn.NORM.INV(RAND(),'hypothèse normale'!$C$5,'hypothèse normale'!$D$5)</f>
        <v>0.61208367592482427</v>
      </c>
      <c r="C52">
        <v>16</v>
      </c>
      <c r="D52">
        <v>0.18584931841773958</v>
      </c>
    </row>
    <row r="53" spans="1:4" x14ac:dyDescent="0.2">
      <c r="A53">
        <f ca="1">_xlfn.NORM.INV(RAND(),'hypothèse normale'!$C$5,'hypothèse normale'!$D$5)</f>
        <v>-0.16381252360748</v>
      </c>
      <c r="C53">
        <v>17</v>
      </c>
      <c r="D53">
        <v>0.1952553175102518</v>
      </c>
    </row>
    <row r="54" spans="1:4" x14ac:dyDescent="0.2">
      <c r="A54">
        <f ca="1">_xlfn.NORM.INV(RAND(),'hypothèse normale'!$C$5,'hypothèse normale'!$D$5)</f>
        <v>-0.3341672902987497</v>
      </c>
      <c r="C54">
        <v>18</v>
      </c>
      <c r="D54">
        <v>0.219650272835196</v>
      </c>
    </row>
    <row r="55" spans="1:4" x14ac:dyDescent="0.2">
      <c r="A55">
        <f ca="1">_xlfn.NORM.INV(RAND(),'hypothèse normale'!$C$5,'hypothèse normale'!$D$5)</f>
        <v>0.39865216690980543</v>
      </c>
      <c r="C55">
        <v>19</v>
      </c>
      <c r="D55">
        <v>0.2308484531617534</v>
      </c>
    </row>
    <row r="56" spans="1:4" x14ac:dyDescent="0.2">
      <c r="A56">
        <f ca="1">_xlfn.NORM.INV(RAND(),'hypothèse normale'!$C$5,'hypothèse normale'!$D$5)</f>
        <v>-3.4428214041967449E-2</v>
      </c>
      <c r="C56">
        <v>20</v>
      </c>
      <c r="D56">
        <v>0.26177476035432001</v>
      </c>
    </row>
    <row r="57" spans="1:4" x14ac:dyDescent="0.2">
      <c r="A57">
        <f ca="1">_xlfn.NORM.INV(RAND(),'hypothèse normale'!$C$5,'hypothèse normale'!$D$5)</f>
        <v>-1.9334089109996317</v>
      </c>
      <c r="C57">
        <v>21</v>
      </c>
      <c r="D57">
        <v>0.17776086517597986</v>
      </c>
    </row>
    <row r="58" spans="1:4" x14ac:dyDescent="0.2">
      <c r="A58">
        <f ca="1">_xlfn.NORM.INV(RAND(),'hypothèse normale'!$C$5,'hypothèse normale'!$D$5)</f>
        <v>-1.1719310453695106</v>
      </c>
      <c r="C58">
        <v>22</v>
      </c>
      <c r="D58">
        <v>0.38219243068136688</v>
      </c>
    </row>
    <row r="59" spans="1:4" x14ac:dyDescent="0.2">
      <c r="A59">
        <f ca="1">_xlfn.NORM.INV(RAND(),'hypothèse normale'!$C$5,'hypothèse normale'!$D$5)</f>
        <v>0.38202348925280671</v>
      </c>
      <c r="C59">
        <v>23</v>
      </c>
      <c r="D59">
        <v>0.21258109802339645</v>
      </c>
    </row>
    <row r="60" spans="1:4" x14ac:dyDescent="0.2">
      <c r="A60">
        <f ca="1">_xlfn.NORM.INV(RAND(),'hypothèse normale'!$C$5,'hypothèse normale'!$D$5)</f>
        <v>8.3025451248346163E-2</v>
      </c>
      <c r="C60">
        <v>24</v>
      </c>
      <c r="D60">
        <v>0.20311400632167476</v>
      </c>
    </row>
    <row r="61" spans="1:4" x14ac:dyDescent="0.2">
      <c r="A61">
        <f ca="1">_xlfn.NORM.INV(RAND(),'hypothèse normale'!$C$5,'hypothèse normale'!$D$5)</f>
        <v>1.482197146660291</v>
      </c>
      <c r="C61">
        <v>25</v>
      </c>
      <c r="D61">
        <v>0.20745502587936104</v>
      </c>
    </row>
    <row r="62" spans="1:4" x14ac:dyDescent="0.2">
      <c r="A62">
        <f ca="1">_xlfn.NORM.INV(RAND(),'hypothèse normale'!$C$5,'hypothèse normale'!$D$5)</f>
        <v>1.5538004976349815</v>
      </c>
      <c r="C62">
        <v>26</v>
      </c>
      <c r="D62">
        <v>0.41823572763929473</v>
      </c>
    </row>
    <row r="63" spans="1:4" x14ac:dyDescent="0.2">
      <c r="A63">
        <f ca="1">_xlfn.NORM.INV(RAND(),'hypothèse normale'!$C$5,'hypothèse normale'!$D$5)</f>
        <v>-0.26891599224698576</v>
      </c>
      <c r="C63">
        <v>27</v>
      </c>
      <c r="D63">
        <v>0.1884683457532538</v>
      </c>
    </row>
    <row r="64" spans="1:4" x14ac:dyDescent="0.2">
      <c r="A64">
        <f ca="1">_xlfn.NORM.INV(RAND(),'hypothèse normale'!$C$5,'hypothèse normale'!$D$5)</f>
        <v>-0.23082884010853735</v>
      </c>
      <c r="C64">
        <v>28</v>
      </c>
      <c r="D64">
        <v>0.39873774073401114</v>
      </c>
    </row>
    <row r="65" spans="1:4" x14ac:dyDescent="0.2">
      <c r="A65">
        <f ca="1">_xlfn.NORM.INV(RAND(),'hypothèse normale'!$C$5,'hypothèse normale'!$D$5)</f>
        <v>0.73957772184856263</v>
      </c>
      <c r="C65">
        <v>29</v>
      </c>
      <c r="D65">
        <v>0.38278526763846521</v>
      </c>
    </row>
    <row r="66" spans="1:4" x14ac:dyDescent="0.2">
      <c r="A66">
        <f ca="1">_xlfn.NORM.INV(RAND(),'hypothèse normale'!$C$5,'hypothèse normale'!$D$5)</f>
        <v>0.26347597582855098</v>
      </c>
      <c r="C66">
        <v>30</v>
      </c>
      <c r="D66">
        <v>2.5153320217238946</v>
      </c>
    </row>
    <row r="67" spans="1:4" x14ac:dyDescent="0.2">
      <c r="A67">
        <f ca="1">_xlfn.NORM.INV(RAND(),'hypothèse normale'!$C$5,'hypothèse normale'!$D$5)</f>
        <v>1.279398337706152</v>
      </c>
      <c r="C67">
        <v>31</v>
      </c>
      <c r="D67">
        <v>0.33192396823826231</v>
      </c>
    </row>
    <row r="68" spans="1:4" x14ac:dyDescent="0.2">
      <c r="A68">
        <f ca="1">_xlfn.NORM.INV(RAND(),'hypothèse normale'!$C$5,'hypothèse normale'!$D$5)</f>
        <v>-0.96415013645188474</v>
      </c>
      <c r="C68">
        <v>32</v>
      </c>
      <c r="D68">
        <v>0.24268004441661362</v>
      </c>
    </row>
    <row r="69" spans="1:4" x14ac:dyDescent="0.2">
      <c r="A69">
        <f ca="1">_xlfn.NORM.INV(RAND(),'hypothèse normale'!$C$5,'hypothèse normale'!$D$5)</f>
        <v>-0.15579251577589984</v>
      </c>
      <c r="C69">
        <v>33</v>
      </c>
      <c r="D69">
        <v>0.14962226067335507</v>
      </c>
    </row>
    <row r="70" spans="1:4" x14ac:dyDescent="0.2">
      <c r="A70">
        <f ca="1">_xlfn.NORM.INV(RAND(),'hypothèse normale'!$C$5,'hypothèse normale'!$D$5)</f>
        <v>-0.8967211796561062</v>
      </c>
      <c r="C70">
        <v>34</v>
      </c>
      <c r="D70">
        <v>0.25497935109425346</v>
      </c>
    </row>
    <row r="71" spans="1:4" x14ac:dyDescent="0.2">
      <c r="A71">
        <f ca="1">_xlfn.NORM.INV(RAND(),'hypothèse normale'!$C$5,'hypothèse normale'!$D$5)</f>
        <v>0.43710152979198547</v>
      </c>
      <c r="C71">
        <v>35</v>
      </c>
      <c r="D71">
        <v>1.614804146425352</v>
      </c>
    </row>
    <row r="72" spans="1:4" x14ac:dyDescent="0.2">
      <c r="A72">
        <f ca="1">_xlfn.NORM.INV(RAND(),'hypothèse normale'!$C$5,'hypothèse normale'!$D$5)</f>
        <v>-1.0193866057867584</v>
      </c>
      <c r="C72">
        <v>36</v>
      </c>
      <c r="D72">
        <v>0.23051240504943141</v>
      </c>
    </row>
    <row r="73" spans="1:4" x14ac:dyDescent="0.2">
      <c r="A73">
        <f ca="1">_xlfn.NORM.INV(RAND(),'hypothèse normale'!$C$5,'hypothèse normale'!$D$5)</f>
        <v>-0.52534016081424095</v>
      </c>
      <c r="C73">
        <v>37</v>
      </c>
      <c r="D73">
        <v>0.28568610231680935</v>
      </c>
    </row>
    <row r="74" spans="1:4" x14ac:dyDescent="0.2">
      <c r="A74">
        <f ca="1">_xlfn.NORM.INV(RAND(),'hypothèse normale'!$C$5,'hypothèse normale'!$D$5)</f>
        <v>1.4456341274753324</v>
      </c>
      <c r="C74">
        <v>38</v>
      </c>
      <c r="D74">
        <v>0.21466089658695342</v>
      </c>
    </row>
    <row r="75" spans="1:4" x14ac:dyDescent="0.2">
      <c r="A75">
        <f ca="1">_xlfn.NORM.INV(RAND(),'hypothèse normale'!$C$5,'hypothèse normale'!$D$5)</f>
        <v>-1.093655147591738</v>
      </c>
      <c r="C75">
        <v>39</v>
      </c>
      <c r="D75">
        <v>0.50292971601587755</v>
      </c>
    </row>
    <row r="76" spans="1:4" x14ac:dyDescent="0.2">
      <c r="A76">
        <f ca="1">_xlfn.NORM.INV(RAND(),'hypothèse normale'!$C$5,'hypothèse normale'!$D$5)</f>
        <v>1.0630309914171818</v>
      </c>
      <c r="C76">
        <v>40</v>
      </c>
      <c r="D76">
        <v>0.29919566488567506</v>
      </c>
    </row>
    <row r="77" spans="1:4" x14ac:dyDescent="0.2">
      <c r="A77">
        <f ca="1">_xlfn.NORM.INV(RAND(),'hypothèse normale'!$C$5,'hypothèse normale'!$D$5)</f>
        <v>-0.51572966760023198</v>
      </c>
      <c r="C77">
        <v>41</v>
      </c>
      <c r="D77">
        <v>0.27945295895241606</v>
      </c>
    </row>
    <row r="78" spans="1:4" x14ac:dyDescent="0.2">
      <c r="A78">
        <f ca="1">_xlfn.NORM.INV(RAND(),'hypothèse normale'!$C$5,'hypothèse normale'!$D$5)</f>
        <v>-0.40426876276624213</v>
      </c>
      <c r="C78">
        <v>42</v>
      </c>
      <c r="D78">
        <v>0.71097554860474577</v>
      </c>
    </row>
    <row r="79" spans="1:4" x14ac:dyDescent="0.2">
      <c r="A79">
        <f ca="1">_xlfn.NORM.INV(RAND(),'hypothèse normale'!$C$5,'hypothèse normale'!$D$5)</f>
        <v>0.47942260549269122</v>
      </c>
      <c r="C79">
        <v>43</v>
      </c>
      <c r="D79">
        <v>0.27451376195914134</v>
      </c>
    </row>
    <row r="80" spans="1:4" x14ac:dyDescent="0.2">
      <c r="A80">
        <f ca="1">_xlfn.NORM.INV(RAND(),'hypothèse normale'!$C$5,'hypothèse normale'!$D$5)</f>
        <v>0.48466810712017461</v>
      </c>
      <c r="C80">
        <v>44</v>
      </c>
      <c r="D80">
        <v>0.57915009208718837</v>
      </c>
    </row>
    <row r="81" spans="1:4" x14ac:dyDescent="0.2">
      <c r="A81">
        <f ca="1">_xlfn.NORM.INV(RAND(),'hypothèse normale'!$C$5,'hypothèse normale'!$D$5)</f>
        <v>-0.40148122879368398</v>
      </c>
      <c r="C81">
        <v>45</v>
      </c>
      <c r="D81">
        <v>0.23492887892810088</v>
      </c>
    </row>
    <row r="82" spans="1:4" x14ac:dyDescent="0.2">
      <c r="A82">
        <f ca="1">_xlfn.NORM.INV(RAND(),'hypothèse normale'!$C$5,'hypothèse normale'!$D$5)</f>
        <v>0.15448282077326198</v>
      </c>
      <c r="C82">
        <v>46</v>
      </c>
      <c r="D82">
        <v>0.22956040809702175</v>
      </c>
    </row>
    <row r="83" spans="1:4" x14ac:dyDescent="0.2">
      <c r="A83">
        <f ca="1">_xlfn.NORM.INV(RAND(),'hypothèse normale'!$C$5,'hypothèse normale'!$D$5)</f>
        <v>-0.4844081333394773</v>
      </c>
      <c r="C83">
        <v>47</v>
      </c>
      <c r="D83">
        <v>0.38343530135673409</v>
      </c>
    </row>
    <row r="84" spans="1:4" x14ac:dyDescent="0.2">
      <c r="A84">
        <f ca="1">_xlfn.NORM.INV(RAND(),'hypothèse normale'!$C$5,'hypothèse normale'!$D$5)</f>
        <v>2.8350762728918469E-3</v>
      </c>
      <c r="C84">
        <v>48</v>
      </c>
      <c r="D84">
        <v>0.32840457020793534</v>
      </c>
    </row>
    <row r="85" spans="1:4" x14ac:dyDescent="0.2">
      <c r="A85">
        <f ca="1">_xlfn.NORM.INV(RAND(),'hypothèse normale'!$C$5,'hypothèse normale'!$D$5)</f>
        <v>0.72919749485423668</v>
      </c>
      <c r="C85">
        <v>49</v>
      </c>
      <c r="D85">
        <v>0.29926899718906264</v>
      </c>
    </row>
    <row r="86" spans="1:4" x14ac:dyDescent="0.2">
      <c r="A86">
        <f ca="1">_xlfn.NORM.INV(RAND(),'hypothèse normale'!$C$5,'hypothèse normale'!$D$5)</f>
        <v>1.1562819270446043</v>
      </c>
      <c r="C86">
        <v>50</v>
      </c>
      <c r="D86">
        <v>0.31218813638796716</v>
      </c>
    </row>
    <row r="87" spans="1:4" x14ac:dyDescent="0.2">
      <c r="A87">
        <f ca="1">_xlfn.NORM.INV(RAND(),'hypothèse normale'!$C$5,'hypothèse normale'!$D$5)</f>
        <v>-7.0950396104914354E-2</v>
      </c>
      <c r="C87">
        <v>51</v>
      </c>
      <c r="D87">
        <v>0.25360707303193092</v>
      </c>
    </row>
    <row r="88" spans="1:4" x14ac:dyDescent="0.2">
      <c r="A88">
        <f ca="1">_xlfn.NORM.INV(RAND(),'hypothèse normale'!$C$5,'hypothèse normale'!$D$5)</f>
        <v>-1.9328726564680767</v>
      </c>
      <c r="C88">
        <v>52</v>
      </c>
      <c r="D88">
        <v>0.27457311732974821</v>
      </c>
    </row>
    <row r="89" spans="1:4" x14ac:dyDescent="0.2">
      <c r="A89">
        <f ca="1">_xlfn.NORM.INV(RAND(),'hypothèse normale'!$C$5,'hypothèse normale'!$D$5)</f>
        <v>0.79930462137831837</v>
      </c>
      <c r="C89">
        <v>53</v>
      </c>
      <c r="D89">
        <v>0.34939026991663658</v>
      </c>
    </row>
    <row r="90" spans="1:4" x14ac:dyDescent="0.2">
      <c r="A90">
        <f ca="1">_xlfn.NORM.INV(RAND(),'hypothèse normale'!$C$5,'hypothèse normale'!$D$5)</f>
        <v>2.7699783992423752</v>
      </c>
      <c r="C90">
        <v>54</v>
      </c>
      <c r="D90">
        <v>0.41240114173332526</v>
      </c>
    </row>
    <row r="91" spans="1:4" x14ac:dyDescent="0.2">
      <c r="A91">
        <f ca="1">_xlfn.NORM.INV(RAND(),'hypothèse normale'!$C$5,'hypothèse normale'!$D$5)</f>
        <v>-1.8016643079878429</v>
      </c>
      <c r="C91">
        <v>55</v>
      </c>
      <c r="D91">
        <v>0.18075784989526861</v>
      </c>
    </row>
    <row r="92" spans="1:4" x14ac:dyDescent="0.2">
      <c r="A92">
        <f ca="1">_xlfn.NORM.INV(RAND(),'hypothèse normale'!$C$5,'hypothèse normale'!$D$5)</f>
        <v>-0.47850829087348956</v>
      </c>
      <c r="C92">
        <v>56</v>
      </c>
      <c r="D92">
        <v>0.23219607958815758</v>
      </c>
    </row>
    <row r="93" spans="1:4" x14ac:dyDescent="0.2">
      <c r="A93">
        <f ca="1">_xlfn.NORM.INV(RAND(),'hypothèse normale'!$C$5,'hypothèse normale'!$D$5)</f>
        <v>0.73480077179313508</v>
      </c>
      <c r="C93">
        <v>57</v>
      </c>
      <c r="D93">
        <v>0.1956056338362076</v>
      </c>
    </row>
    <row r="94" spans="1:4" x14ac:dyDescent="0.2">
      <c r="A94">
        <f ca="1">_xlfn.NORM.INV(RAND(),'hypothèse normale'!$C$5,'hypothèse normale'!$D$5)</f>
        <v>3.4301868904964214E-3</v>
      </c>
      <c r="C94">
        <v>58</v>
      </c>
      <c r="D94">
        <v>0.22048219222325874</v>
      </c>
    </row>
    <row r="95" spans="1:4" x14ac:dyDescent="0.2">
      <c r="A95">
        <f ca="1">_xlfn.NORM.INV(RAND(),'hypothèse normale'!$C$5,'hypothèse normale'!$D$5)</f>
        <v>-0.82609442951334222</v>
      </c>
      <c r="C95">
        <v>59</v>
      </c>
      <c r="D95">
        <v>0.17944153259547527</v>
      </c>
    </row>
    <row r="96" spans="1:4" x14ac:dyDescent="0.2">
      <c r="A96">
        <f ca="1">_xlfn.NORM.INV(RAND(),'hypothèse normale'!$C$5,'hypothèse normale'!$D$5)</f>
        <v>0.84738525232156003</v>
      </c>
      <c r="C96">
        <v>60</v>
      </c>
      <c r="D96">
        <v>0.37502559458154339</v>
      </c>
    </row>
    <row r="97" spans="1:4" x14ac:dyDescent="0.2">
      <c r="A97">
        <f ca="1">_xlfn.NORM.INV(RAND(),'hypothèse normale'!$C$5,'hypothèse normale'!$D$5)</f>
        <v>-0.52400176664848253</v>
      </c>
      <c r="C97">
        <v>61</v>
      </c>
      <c r="D97">
        <v>0.28133458501238401</v>
      </c>
    </row>
    <row r="98" spans="1:4" x14ac:dyDescent="0.2">
      <c r="A98">
        <f ca="1">_xlfn.NORM.INV(RAND(),'hypothèse normale'!$C$5,'hypothèse normale'!$D$5)</f>
        <v>1.6398275187372549</v>
      </c>
      <c r="C98">
        <v>62</v>
      </c>
      <c r="D98">
        <v>0.15997178158862299</v>
      </c>
    </row>
    <row r="99" spans="1:4" x14ac:dyDescent="0.2">
      <c r="A99">
        <f ca="1">_xlfn.NORM.INV(RAND(),'hypothèse normale'!$C$5,'hypothèse normale'!$D$5)</f>
        <v>0.40231307885506185</v>
      </c>
      <c r="C99">
        <v>63</v>
      </c>
      <c r="D99">
        <v>0.7299132709922298</v>
      </c>
    </row>
    <row r="100" spans="1:4" x14ac:dyDescent="0.2">
      <c r="A100">
        <f ca="1">_xlfn.NORM.INV(RAND(),'hypothèse normale'!$C$5,'hypothèse normale'!$D$5)</f>
        <v>-1.0589681075459481</v>
      </c>
      <c r="C100">
        <v>64</v>
      </c>
      <c r="D100">
        <v>0.21315539477655943</v>
      </c>
    </row>
    <row r="101" spans="1:4" x14ac:dyDescent="0.2">
      <c r="C101">
        <v>65</v>
      </c>
      <c r="D101">
        <v>0.3444157705911855</v>
      </c>
    </row>
    <row r="102" spans="1:4" x14ac:dyDescent="0.2">
      <c r="C102">
        <v>66</v>
      </c>
      <c r="D102">
        <v>0.24918058510166735</v>
      </c>
    </row>
    <row r="103" spans="1:4" x14ac:dyDescent="0.2">
      <c r="C103">
        <v>67</v>
      </c>
      <c r="D103">
        <v>0.41877582373305078</v>
      </c>
    </row>
    <row r="104" spans="1:4" x14ac:dyDescent="0.2">
      <c r="C104">
        <v>68</v>
      </c>
      <c r="D104">
        <v>0.28415004459551207</v>
      </c>
    </row>
    <row r="105" spans="1:4" x14ac:dyDescent="0.2">
      <c r="C105">
        <v>69</v>
      </c>
      <c r="D105">
        <v>0.37536220000059384</v>
      </c>
    </row>
    <row r="106" spans="1:4" x14ac:dyDescent="0.2">
      <c r="C106">
        <v>70</v>
      </c>
      <c r="D106">
        <v>0.23037482735044906</v>
      </c>
    </row>
    <row r="107" spans="1:4" x14ac:dyDescent="0.2">
      <c r="C107">
        <v>71</v>
      </c>
      <c r="D107">
        <v>0.1913068265228903</v>
      </c>
    </row>
    <row r="108" spans="1:4" x14ac:dyDescent="0.2">
      <c r="C108">
        <v>72</v>
      </c>
      <c r="D108">
        <v>0.23493233697665616</v>
      </c>
    </row>
    <row r="109" spans="1:4" x14ac:dyDescent="0.2">
      <c r="C109">
        <v>73</v>
      </c>
      <c r="D109">
        <v>0.32708713466853906</v>
      </c>
    </row>
    <row r="110" spans="1:4" x14ac:dyDescent="0.2">
      <c r="C110">
        <v>74</v>
      </c>
      <c r="D110">
        <v>0.2939327210682568</v>
      </c>
    </row>
    <row r="111" spans="1:4" x14ac:dyDescent="0.2">
      <c r="C111">
        <v>75</v>
      </c>
      <c r="D111">
        <v>26.900222949989029</v>
      </c>
    </row>
    <row r="112" spans="1:4" x14ac:dyDescent="0.2">
      <c r="C112">
        <v>76</v>
      </c>
      <c r="D112">
        <v>0.34598141217287143</v>
      </c>
    </row>
    <row r="113" spans="3:4" x14ac:dyDescent="0.2">
      <c r="C113">
        <v>77</v>
      </c>
      <c r="D113">
        <v>0.17701558315976407</v>
      </c>
    </row>
    <row r="114" spans="3:4" x14ac:dyDescent="0.2">
      <c r="C114">
        <v>78</v>
      </c>
      <c r="D114">
        <v>0.30643652918518921</v>
      </c>
    </row>
    <row r="115" spans="3:4" x14ac:dyDescent="0.2">
      <c r="C115">
        <v>79</v>
      </c>
      <c r="D115">
        <v>0.62439565368320205</v>
      </c>
    </row>
    <row r="116" spans="3:4" x14ac:dyDescent="0.2">
      <c r="C116">
        <v>80</v>
      </c>
      <c r="D116">
        <v>0.94309839640839743</v>
      </c>
    </row>
    <row r="117" spans="3:4" x14ac:dyDescent="0.2">
      <c r="C117">
        <v>81</v>
      </c>
      <c r="D117">
        <v>0.19820228802699799</v>
      </c>
    </row>
    <row r="118" spans="3:4" x14ac:dyDescent="0.2">
      <c r="C118">
        <v>82</v>
      </c>
      <c r="D118">
        <v>0.23209152626141971</v>
      </c>
    </row>
    <row r="119" spans="3:4" x14ac:dyDescent="0.2">
      <c r="C119">
        <v>83</v>
      </c>
      <c r="D119">
        <v>0.16789443330155226</v>
      </c>
    </row>
    <row r="120" spans="3:4" x14ac:dyDescent="0.2">
      <c r="C120">
        <v>84</v>
      </c>
      <c r="D120">
        <v>0.38694143995465741</v>
      </c>
    </row>
    <row r="121" spans="3:4" x14ac:dyDescent="0.2">
      <c r="C121">
        <v>85</v>
      </c>
      <c r="D121">
        <v>0.15751090695391048</v>
      </c>
    </row>
    <row r="122" spans="3:4" x14ac:dyDescent="0.2">
      <c r="C122">
        <v>86</v>
      </c>
      <c r="D122">
        <v>0.69253794788878609</v>
      </c>
    </row>
    <row r="123" spans="3:4" x14ac:dyDescent="0.2">
      <c r="C123">
        <v>87</v>
      </c>
      <c r="D123">
        <v>0.10869676179347229</v>
      </c>
    </row>
    <row r="124" spans="3:4" x14ac:dyDescent="0.2">
      <c r="C124">
        <v>88</v>
      </c>
      <c r="D124">
        <v>0.11589194817604456</v>
      </c>
    </row>
    <row r="125" spans="3:4" x14ac:dyDescent="0.2">
      <c r="C125">
        <v>89</v>
      </c>
      <c r="D125">
        <v>0.14564216090516768</v>
      </c>
    </row>
    <row r="126" spans="3:4" x14ac:dyDescent="0.2">
      <c r="C126">
        <v>90</v>
      </c>
      <c r="D126">
        <v>0.33489539146324143</v>
      </c>
    </row>
    <row r="127" spans="3:4" x14ac:dyDescent="0.2">
      <c r="C127">
        <v>91</v>
      </c>
      <c r="D127">
        <v>0.17722993969178238</v>
      </c>
    </row>
    <row r="128" spans="3:4" x14ac:dyDescent="0.2">
      <c r="C128">
        <v>92</v>
      </c>
      <c r="D128">
        <v>0.13605435622762682</v>
      </c>
    </row>
    <row r="129" spans="3:4" x14ac:dyDescent="0.2">
      <c r="C129">
        <v>93</v>
      </c>
      <c r="D129">
        <v>0.72820204183060655</v>
      </c>
    </row>
    <row r="130" spans="3:4" x14ac:dyDescent="0.2">
      <c r="C130">
        <v>94</v>
      </c>
      <c r="D130">
        <v>0.27422767261282804</v>
      </c>
    </row>
    <row r="131" spans="3:4" x14ac:dyDescent="0.2">
      <c r="C131">
        <v>95</v>
      </c>
      <c r="D131">
        <v>0.36411682490048197</v>
      </c>
    </row>
    <row r="132" spans="3:4" x14ac:dyDescent="0.2">
      <c r="C132">
        <v>96</v>
      </c>
      <c r="D132">
        <v>0.3634071935755151</v>
      </c>
    </row>
    <row r="133" spans="3:4" x14ac:dyDescent="0.2">
      <c r="C133">
        <v>97</v>
      </c>
      <c r="D133">
        <v>2.0686901329477254</v>
      </c>
    </row>
    <row r="134" spans="3:4" x14ac:dyDescent="0.2">
      <c r="C134">
        <v>98</v>
      </c>
      <c r="D134">
        <v>0.30313323321934793</v>
      </c>
    </row>
    <row r="135" spans="3:4" x14ac:dyDescent="0.2">
      <c r="C135">
        <v>99</v>
      </c>
      <c r="D135">
        <v>0.18389153174128053</v>
      </c>
    </row>
    <row r="136" spans="3:4" x14ac:dyDescent="0.2">
      <c r="C136">
        <v>100</v>
      </c>
      <c r="D136">
        <v>0.27173098946261126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8BFE2-9F32-3F45-A403-C96C1709CBD4}">
  <dimension ref="A1:G100"/>
  <sheetViews>
    <sheetView topLeftCell="A12" zoomScale="190" zoomScaleNormal="190" workbookViewId="0">
      <selection activeCell="F29" sqref="F29"/>
    </sheetView>
  </sheetViews>
  <sheetFormatPr baseColWidth="10" defaultRowHeight="16" x14ac:dyDescent="0.2"/>
  <cols>
    <col min="6" max="6" width="11.6640625" bestFit="1" customWidth="1"/>
  </cols>
  <sheetData>
    <row r="1" spans="1:7" x14ac:dyDescent="0.2">
      <c r="A1">
        <f>données0!A1</f>
        <v>1.1956768473641932</v>
      </c>
    </row>
    <row r="2" spans="1:7" x14ac:dyDescent="0.2">
      <c r="A2">
        <f>données0!A2</f>
        <v>-0.96440945302869208</v>
      </c>
    </row>
    <row r="3" spans="1:7" x14ac:dyDescent="0.2">
      <c r="A3">
        <f>données0!A3</f>
        <v>0.97602562556837957</v>
      </c>
      <c r="C3" t="s">
        <v>13</v>
      </c>
    </row>
    <row r="4" spans="1:7" x14ac:dyDescent="0.2">
      <c r="A4">
        <f>données0!A4</f>
        <v>-0.17323444606317936</v>
      </c>
      <c r="C4" t="s">
        <v>14</v>
      </c>
      <c r="D4" t="s">
        <v>15</v>
      </c>
    </row>
    <row r="5" spans="1:7" x14ac:dyDescent="0.2">
      <c r="A5">
        <f>données0!A5</f>
        <v>0.75767452397499047</v>
      </c>
      <c r="C5">
        <f>MIN(A1:A100)</f>
        <v>-2.2868489902189193</v>
      </c>
      <c r="D5">
        <f>MAX(A4:A100)</f>
        <v>1.9429039691732346</v>
      </c>
    </row>
    <row r="6" spans="1:7" x14ac:dyDescent="0.2">
      <c r="A6">
        <f>données0!A6</f>
        <v>7.8803471009424003E-2</v>
      </c>
    </row>
    <row r="7" spans="1:7" x14ac:dyDescent="0.2">
      <c r="A7">
        <f>données0!A7</f>
        <v>-1.0865878138151104</v>
      </c>
      <c r="C7" t="s">
        <v>12</v>
      </c>
      <c r="D7" t="s">
        <v>3</v>
      </c>
      <c r="E7" t="s">
        <v>4</v>
      </c>
      <c r="F7" t="s">
        <v>5</v>
      </c>
      <c r="G7" t="s">
        <v>6</v>
      </c>
    </row>
    <row r="8" spans="1:7" x14ac:dyDescent="0.2">
      <c r="A8">
        <f>données0!A8</f>
        <v>-0.84379214067413644</v>
      </c>
      <c r="C8" s="1">
        <v>-2</v>
      </c>
      <c r="D8" t="str">
        <f>CONCATENATE("&lt;",C8)</f>
        <v>&lt;-2</v>
      </c>
      <c r="E8">
        <f>COUNTIF($A$1:$A$100,D8)/COUNT($A$1:$A$100)</f>
        <v>0.02</v>
      </c>
      <c r="F8" s="2">
        <f>IF(C8&gt;$C$5,IF(C8&lt;$D$5,(C8-$C$5)/($D$5-$C$5),1),0)</f>
        <v>6.7816960700263121E-2</v>
      </c>
      <c r="G8">
        <f>IF(F8&lt;=0,0,(F8-E8)^2/F8)</f>
        <v>3.3715190226766327E-2</v>
      </c>
    </row>
    <row r="9" spans="1:7" x14ac:dyDescent="0.2">
      <c r="A9">
        <f>données0!A9</f>
        <v>0.50315428682025942</v>
      </c>
      <c r="C9" s="1">
        <f>C8+0.2</f>
        <v>-1.8</v>
      </c>
      <c r="D9" t="str">
        <f>CONCATENATE("[",C8,", ",C9,"]")</f>
        <v>[-2, -1,8]</v>
      </c>
      <c r="E9">
        <f>COUNTIF($A$1:$A$100,CONCATENATE("&lt;",C9))/COUNT($A$1:$A$100)-SUM($E$8:E8)</f>
        <v>9.9999999999999985E-3</v>
      </c>
      <c r="F9" s="2">
        <f>IF(C9&gt;$C$5,IF(C9&lt;$D$5,(C9-$C$5)/($D$5-$C$5),1),0)-SUM($F$8:F8)</f>
        <v>4.7284085363874628E-2</v>
      </c>
      <c r="G9">
        <f t="shared" ref="G9:G29" si="0">IF(F9&lt;=0,0,(F9-E9)^2/F9)</f>
        <v>2.9398961843570715E-2</v>
      </c>
    </row>
    <row r="10" spans="1:7" x14ac:dyDescent="0.2">
      <c r="A10">
        <f>données0!A10</f>
        <v>-0.27748089271718923</v>
      </c>
      <c r="C10" s="1">
        <f t="shared" ref="C10:C27" si="1">C9+0.2</f>
        <v>-1.6</v>
      </c>
      <c r="D10" t="str">
        <f>CONCATENATE("[",C9,", ",C10,"]")</f>
        <v>[-1,8, -1,6]</v>
      </c>
      <c r="E10">
        <f>COUNTIF($A$1:$A$100,CONCATENATE("&lt;",C10))/COUNT($A$1:$A$100)-SUM($E$8:E9)</f>
        <v>0.06</v>
      </c>
      <c r="F10" s="2">
        <f>IF(C10&gt;$C$5,IF(C10&lt;$D$5,(C10-$C$5)/($D$5-$C$5),1),0)-SUM($F$8:F9)</f>
        <v>4.7284085363874642E-2</v>
      </c>
      <c r="G10">
        <f t="shared" si="0"/>
        <v>3.4196386329334119E-3</v>
      </c>
    </row>
    <row r="11" spans="1:7" x14ac:dyDescent="0.2">
      <c r="A11">
        <f>données0!A11</f>
        <v>1.0118688945166197</v>
      </c>
      <c r="C11" s="1">
        <f t="shared" si="1"/>
        <v>-1.4000000000000001</v>
      </c>
      <c r="D11" t="str">
        <f t="shared" ref="D11:D28" si="2">CONCATENATE("[",C10,", ",C11,"]")</f>
        <v>[-1,6, -1,4]</v>
      </c>
      <c r="E11">
        <f>COUNTIF($A$1:$A$100,CONCATENATE("&lt;",C11))/COUNT($A$1:$A$100)-SUM($E$8:E10)</f>
        <v>1.0000000000000009E-2</v>
      </c>
      <c r="F11" s="2">
        <f>IF(C11&gt;$C$5,IF(C11&lt;$D$5,(C11-$C$5)/($D$5-$C$5),1),0)-SUM($F$8:F10)</f>
        <v>4.7284085363874628E-2</v>
      </c>
      <c r="G11">
        <f t="shared" si="0"/>
        <v>2.939896184357069E-2</v>
      </c>
    </row>
    <row r="12" spans="1:7" x14ac:dyDescent="0.2">
      <c r="A12">
        <f>données0!A12</f>
        <v>1.4974858377331359</v>
      </c>
      <c r="C12" s="1">
        <f t="shared" si="1"/>
        <v>-1.2000000000000002</v>
      </c>
      <c r="D12" t="str">
        <f t="shared" si="2"/>
        <v>[-1,4, -1,2]</v>
      </c>
      <c r="E12">
        <f>COUNTIF($A$1:$A$100,CONCATENATE("&lt;",C12))/COUNT($A$1:$A$100)-SUM($E$8:E11)</f>
        <v>0.03</v>
      </c>
      <c r="F12" s="2">
        <f>IF(C12&gt;$C$5,IF(C12&lt;$D$5,(C12-$C$5)/($D$5-$C$5),1),0)-SUM($F$8:F11)</f>
        <v>4.7284085363874656E-2</v>
      </c>
      <c r="G12">
        <f t="shared" si="0"/>
        <v>6.3179736811393439E-3</v>
      </c>
    </row>
    <row r="13" spans="1:7" x14ac:dyDescent="0.2">
      <c r="A13">
        <f>données0!A13</f>
        <v>-2.2868489902189193</v>
      </c>
      <c r="C13" s="1">
        <f t="shared" si="1"/>
        <v>-1.0000000000000002</v>
      </c>
      <c r="D13" t="str">
        <f t="shared" si="2"/>
        <v>[-1,2, -1]</v>
      </c>
      <c r="E13">
        <f>COUNTIF($A$1:$A$100,CONCATENATE("&lt;",C13))/COUNT($A$1:$A$100)-SUM($E$8:E12)</f>
        <v>4.0000000000000008E-2</v>
      </c>
      <c r="F13" s="2">
        <f>IF(C13&gt;$C$5,IF(C13&lt;$D$5,(C13-$C$5)/($D$5-$C$5),1),0)-SUM($F$8:F12)</f>
        <v>4.7284085363874628E-2</v>
      </c>
      <c r="G13">
        <f t="shared" si="0"/>
        <v>1.1221090390118673E-3</v>
      </c>
    </row>
    <row r="14" spans="1:7" x14ac:dyDescent="0.2">
      <c r="A14">
        <f>données0!A14</f>
        <v>0.29639911194924162</v>
      </c>
      <c r="C14" s="1">
        <f t="shared" si="1"/>
        <v>-0.80000000000000027</v>
      </c>
      <c r="D14" t="str">
        <f t="shared" si="2"/>
        <v>[-1, -0,8]</v>
      </c>
      <c r="E14">
        <f>COUNTIF($A$1:$A$100,CONCATENATE("&lt;",C14))/COUNT($A$1:$A$100)-SUM($E$8:E13)</f>
        <v>3.999999999999998E-2</v>
      </c>
      <c r="F14" s="2">
        <f>IF(C14&gt;$C$5,IF(C14&lt;$D$5,(C14-$C$5)/($D$5-$C$5),1),0)-SUM($F$8:F13)</f>
        <v>4.7284085363874628E-2</v>
      </c>
      <c r="G14">
        <f t="shared" si="0"/>
        <v>1.1221090390118758E-3</v>
      </c>
    </row>
    <row r="15" spans="1:7" x14ac:dyDescent="0.2">
      <c r="A15">
        <f>données0!A15</f>
        <v>-1.9130227025271038</v>
      </c>
      <c r="C15" s="1">
        <f t="shared" si="1"/>
        <v>-0.60000000000000031</v>
      </c>
      <c r="D15" t="str">
        <f t="shared" si="2"/>
        <v>[-0,8, -0,6]</v>
      </c>
      <c r="E15">
        <f>COUNTIF($A$1:$A$100,CONCATENATE("&lt;",C15))/COUNT($A$1:$A$100)-SUM($E$8:E14)</f>
        <v>0.03</v>
      </c>
      <c r="F15" s="2">
        <f>IF(C15&gt;$C$5,IF(C15&lt;$D$5,(C15-$C$5)/($D$5-$C$5),1),0)-SUM($F$8:F14)</f>
        <v>4.7284085363874628E-2</v>
      </c>
      <c r="G15">
        <f t="shared" si="0"/>
        <v>6.3179736811393274E-3</v>
      </c>
    </row>
    <row r="16" spans="1:7" x14ac:dyDescent="0.2">
      <c r="A16">
        <f>données0!A16</f>
        <v>0.89368854766502703</v>
      </c>
      <c r="C16" s="1">
        <f t="shared" si="1"/>
        <v>-0.4000000000000003</v>
      </c>
      <c r="D16" t="str">
        <f t="shared" si="2"/>
        <v>[-0,6, -0,4]</v>
      </c>
      <c r="E16">
        <f>COUNTIF($A$1:$A$100,CONCATENATE("&lt;",C16))/COUNT($A$1:$A$100)-SUM($E$8:E15)</f>
        <v>9.0000000000000024E-2</v>
      </c>
      <c r="F16" s="2">
        <f>IF(C16&gt;$C$5,IF(C16&lt;$D$5,(C16-$C$5)/($D$5-$C$5),1),0)-SUM($F$8:F15)</f>
        <v>4.7284085363874628E-2</v>
      </c>
      <c r="G16">
        <f t="shared" si="0"/>
        <v>3.8589080219256958E-2</v>
      </c>
    </row>
    <row r="17" spans="1:7" x14ac:dyDescent="0.2">
      <c r="A17">
        <f>données0!A17</f>
        <v>-1.209015444630992</v>
      </c>
      <c r="C17" s="1">
        <f t="shared" si="1"/>
        <v>-0.20000000000000029</v>
      </c>
      <c r="D17" t="str">
        <f t="shared" si="2"/>
        <v>[-0,4, -0,2]</v>
      </c>
      <c r="E17">
        <f>COUNTIF($A$1:$A$100,CONCATENATE("&lt;",C17))/COUNT($A$1:$A$100)-SUM($E$8:E16)</f>
        <v>0.06</v>
      </c>
      <c r="F17" s="2">
        <f>IF(C17&gt;$C$5,IF(C17&lt;$D$5,(C17-$C$5)/($D$5-$C$5),1),0)-SUM($F$8:F16)</f>
        <v>4.7284085363874684E-2</v>
      </c>
      <c r="G17">
        <f t="shared" si="0"/>
        <v>3.4196386329333863E-3</v>
      </c>
    </row>
    <row r="18" spans="1:7" x14ac:dyDescent="0.2">
      <c r="A18">
        <f>données0!A18</f>
        <v>1.2121841878843211</v>
      </c>
      <c r="C18" s="1">
        <f t="shared" si="1"/>
        <v>-2.7755575615628914E-16</v>
      </c>
      <c r="D18" t="str">
        <f t="shared" si="2"/>
        <v>[-0,2, -2,77555756156289E-16]</v>
      </c>
      <c r="E18">
        <f>COUNTIF($A$1:$A$100,CONCATENATE("&lt;",C18))/COUNT($A$1:$A$100)-SUM($E$8:E17)</f>
        <v>0.10999999999999999</v>
      </c>
      <c r="F18" s="2">
        <f>IF(C18&gt;$C$5,IF(C18&lt;$D$5,(C18-$C$5)/($D$5-$C$5),1),0)-SUM($F$8:F17)</f>
        <v>4.7284085363874628E-2</v>
      </c>
      <c r="G18">
        <f t="shared" si="0"/>
        <v>8.3184139407099969E-2</v>
      </c>
    </row>
    <row r="19" spans="1:7" x14ac:dyDescent="0.2">
      <c r="A19">
        <f>données0!A19</f>
        <v>-0.53615235884754919</v>
      </c>
      <c r="C19" s="1">
        <f t="shared" si="1"/>
        <v>0.19999999999999973</v>
      </c>
      <c r="D19" t="str">
        <f t="shared" si="2"/>
        <v>[-2,77555756156289E-16, 0,2]</v>
      </c>
      <c r="E19">
        <f>COUNTIF($A$1:$A$100,CONCATENATE("&lt;",C19))/COUNT($A$1:$A$100)-SUM($E$8:E18)</f>
        <v>9.9999999999999978E-2</v>
      </c>
      <c r="F19" s="2">
        <f>IF(C19&gt;$C$5,IF(C19&lt;$D$5,(C19-$C$5)/($D$5-$C$5),1),0)-SUM($F$8:F18)</f>
        <v>4.7284085363874628E-2</v>
      </c>
      <c r="G19">
        <f t="shared" si="0"/>
        <v>5.8771733333482339E-2</v>
      </c>
    </row>
    <row r="20" spans="1:7" x14ac:dyDescent="0.2">
      <c r="A20">
        <f>données0!A20</f>
        <v>2.0314961969030928E-2</v>
      </c>
      <c r="C20" s="1">
        <f t="shared" si="1"/>
        <v>0.39999999999999974</v>
      </c>
      <c r="D20" t="str">
        <f t="shared" si="2"/>
        <v>[0,2, 0,4]</v>
      </c>
      <c r="E20">
        <f>COUNTIF($A$1:$A$100,CONCATENATE("&lt;",C20))/COUNT($A$1:$A$100)-SUM($E$8:E19)</f>
        <v>8.9999999999999969E-2</v>
      </c>
      <c r="F20" s="2">
        <f>IF(C20&gt;$C$5,IF(C20&lt;$D$5,(C20-$C$5)/($D$5-$C$5),1),0)-SUM($F$8:F19)</f>
        <v>4.7284085363874739E-2</v>
      </c>
      <c r="G20">
        <f t="shared" si="0"/>
        <v>3.8589080219256562E-2</v>
      </c>
    </row>
    <row r="21" spans="1:7" x14ac:dyDescent="0.2">
      <c r="A21">
        <f>données0!A21</f>
        <v>-8.3423046499850939E-2</v>
      </c>
      <c r="C21" s="1">
        <f t="shared" si="1"/>
        <v>0.59999999999999976</v>
      </c>
      <c r="D21" t="str">
        <f t="shared" si="2"/>
        <v>[0,4, 0,6]</v>
      </c>
      <c r="E21">
        <f>COUNTIF($A$1:$A$100,CONCATENATE("&lt;",C21))/COUNT($A$1:$A$100)-SUM($E$8:E20)</f>
        <v>5.0000000000000044E-2</v>
      </c>
      <c r="F21" s="2">
        <f>IF(C21&gt;$C$5,IF(C21&lt;$D$5,(C21-$C$5)/($D$5-$C$5),1),0)-SUM($F$8:F20)</f>
        <v>4.7284085363874517E-2</v>
      </c>
      <c r="G21">
        <f t="shared" si="0"/>
        <v>1.5599735627658633E-4</v>
      </c>
    </row>
    <row r="22" spans="1:7" x14ac:dyDescent="0.2">
      <c r="A22">
        <f>données0!A22</f>
        <v>-7.9396881417437115E-2</v>
      </c>
      <c r="C22" s="1">
        <f t="shared" si="1"/>
        <v>0.79999999999999982</v>
      </c>
      <c r="D22" t="str">
        <f t="shared" si="2"/>
        <v>[0,6, 0,8]</v>
      </c>
      <c r="E22">
        <f>COUNTIF($A$1:$A$100,CONCATENATE("&lt;",C22))/COUNT($A$1:$A$100)-SUM($E$8:E21)</f>
        <v>2.0000000000000018E-2</v>
      </c>
      <c r="F22" s="2">
        <f>IF(C22&gt;$C$5,IF(C22&lt;$D$5,(C22-$C$5)/($D$5-$C$5),1),0)-SUM($F$8:F21)</f>
        <v>4.7284085363874739E-2</v>
      </c>
      <c r="G22">
        <f t="shared" si="0"/>
        <v>1.5743591282659009E-2</v>
      </c>
    </row>
    <row r="23" spans="1:7" x14ac:dyDescent="0.2">
      <c r="A23">
        <f>données0!A23</f>
        <v>-0.79585990567532472</v>
      </c>
      <c r="C23" s="1">
        <f t="shared" si="1"/>
        <v>0.99999999999999978</v>
      </c>
      <c r="D23" t="str">
        <f t="shared" si="2"/>
        <v>[0,8, 1]</v>
      </c>
      <c r="E23">
        <f>COUNTIF($A$1:$A$100,CONCATENATE("&lt;",C23))/COUNT($A$1:$A$100)-SUM($E$8:E22)</f>
        <v>7.999999999999996E-2</v>
      </c>
      <c r="F23" s="2">
        <f>IF(C23&gt;$C$5,IF(C23&lt;$D$5,(C23-$C$5)/($D$5-$C$5),1),0)-SUM($F$8:F22)</f>
        <v>4.7284085363874628E-2</v>
      </c>
      <c r="G23">
        <f t="shared" si="0"/>
        <v>2.2636180064423538E-2</v>
      </c>
    </row>
    <row r="24" spans="1:7" x14ac:dyDescent="0.2">
      <c r="A24">
        <f>données0!A24</f>
        <v>0.18619148174119618</v>
      </c>
      <c r="C24" s="1">
        <f t="shared" si="1"/>
        <v>1.1999999999999997</v>
      </c>
      <c r="D24" t="str">
        <f t="shared" si="2"/>
        <v>[1, 1,2]</v>
      </c>
      <c r="E24">
        <f>COUNTIF($A$1:$A$100,CONCATENATE("&lt;",C24))/COUNT($A$1:$A$100)-SUM($E$8:E23)</f>
        <v>6.0000000000000053E-2</v>
      </c>
      <c r="F24" s="2">
        <f>IF(C24&gt;$C$5,IF(C24&lt;$D$5,(C24-$C$5)/($D$5-$C$5),1),0)-SUM($F$8:F23)</f>
        <v>4.7284085363874628E-2</v>
      </c>
      <c r="G24">
        <f t="shared" si="0"/>
        <v>3.41963863293345E-3</v>
      </c>
    </row>
    <row r="25" spans="1:7" x14ac:dyDescent="0.2">
      <c r="A25">
        <f>données0!A25</f>
        <v>0.21132817945244711</v>
      </c>
      <c r="C25" s="1">
        <f t="shared" si="1"/>
        <v>1.3999999999999997</v>
      </c>
      <c r="D25" t="str">
        <f t="shared" si="2"/>
        <v>[1,2, 1,4]</v>
      </c>
      <c r="E25">
        <f>COUNTIF($A$1:$A$100,CONCATENATE("&lt;",C25))/COUNT($A$1:$A$100)-SUM($E$8:E24)</f>
        <v>3.9999999999999925E-2</v>
      </c>
      <c r="F25" s="2">
        <f>IF(C25&gt;$C$5,IF(C25&lt;$D$5,(C25-$C$5)/($D$5-$C$5),1),0)-SUM($F$8:F24)</f>
        <v>4.7284085363874628E-2</v>
      </c>
      <c r="G25">
        <f t="shared" si="0"/>
        <v>1.1221090390118931E-3</v>
      </c>
    </row>
    <row r="26" spans="1:7" x14ac:dyDescent="0.2">
      <c r="A26">
        <f>données0!A26</f>
        <v>0.98764620800722369</v>
      </c>
      <c r="C26" s="1">
        <f t="shared" si="1"/>
        <v>1.5999999999999996</v>
      </c>
      <c r="D26" t="str">
        <f t="shared" si="2"/>
        <v>[1,4, 1,6]</v>
      </c>
      <c r="E26">
        <f>COUNTIF($A$1:$A$100,CONCATENATE("&lt;",C26))/COUNT($A$1:$A$100)-SUM($E$8:E25)</f>
        <v>3.0000000000000027E-2</v>
      </c>
      <c r="F26" s="2">
        <f>IF(C26&gt;$C$5,IF(C26&lt;$D$5,(C26-$C$5)/($D$5-$C$5),1),0)-SUM($F$8:F25)</f>
        <v>4.7284085363874628E-2</v>
      </c>
      <c r="G26">
        <f t="shared" si="0"/>
        <v>6.3179736811393074E-3</v>
      </c>
    </row>
    <row r="27" spans="1:7" x14ac:dyDescent="0.2">
      <c r="A27">
        <f>données0!A27</f>
        <v>-0.40959385762338513</v>
      </c>
      <c r="C27" s="1">
        <f t="shared" si="1"/>
        <v>1.7999999999999996</v>
      </c>
      <c r="D27" t="str">
        <f t="shared" si="2"/>
        <v>[1,6, 1,8]</v>
      </c>
      <c r="E27">
        <f>COUNTIF($A$1:$A$100,CONCATENATE("&lt;",C27))/COUNT($A$1:$A$100)-SUM($E$8:E26)</f>
        <v>2.0000000000000018E-2</v>
      </c>
      <c r="F27" s="2">
        <f>IF(C27&gt;$C$5,IF(C27&lt;$D$5,(C27-$C$5)/($D$5-$C$5),1),0)-SUM($F$8:F26)</f>
        <v>4.7284085363874739E-2</v>
      </c>
      <c r="G27">
        <f t="shared" si="0"/>
        <v>1.5743591282659009E-2</v>
      </c>
    </row>
    <row r="28" spans="1:7" x14ac:dyDescent="0.2">
      <c r="A28">
        <f>données0!A28</f>
        <v>-1.7598654038131569</v>
      </c>
      <c r="C28" s="1">
        <f>C27+0.2</f>
        <v>1.9999999999999996</v>
      </c>
      <c r="D28" t="str">
        <f t="shared" si="2"/>
        <v>[1,8, 2]</v>
      </c>
      <c r="E28">
        <f>COUNTIF($A$1:$A$100,CONCATENATE("&lt;",C28))/COUNT($A$1:$A$100)-SUM($E$8:E27)</f>
        <v>1.0000000000000009E-2</v>
      </c>
      <c r="F28" s="2">
        <f>IF(C28&gt;$C$5,IF(C28&lt;$D$5,(C28-$C$5)/($D$5-$C$5),1),0)-SUM($F$8:F27)</f>
        <v>3.3785417386118621E-2</v>
      </c>
      <c r="G28">
        <f t="shared" si="0"/>
        <v>1.6745274263337089E-2</v>
      </c>
    </row>
    <row r="29" spans="1:7" x14ac:dyDescent="0.2">
      <c r="A29">
        <f>données0!A29</f>
        <v>0.34657906107578867</v>
      </c>
      <c r="C29" s="1"/>
      <c r="D29" t="str">
        <f>CONCATENATE("&gt;",C28)</f>
        <v>&gt;2</v>
      </c>
      <c r="E29">
        <f>1-SUM($E$8:E28)</f>
        <v>0</v>
      </c>
      <c r="F29" s="2">
        <f>1-SUM($F$8:F28)</f>
        <v>0</v>
      </c>
      <c r="G29">
        <f t="shared" si="0"/>
        <v>0</v>
      </c>
    </row>
    <row r="30" spans="1:7" x14ac:dyDescent="0.2">
      <c r="A30">
        <f>données0!A30</f>
        <v>1.3172659524646657</v>
      </c>
    </row>
    <row r="31" spans="1:7" x14ac:dyDescent="0.2">
      <c r="A31">
        <f>données0!A31</f>
        <v>1.0875471497682196</v>
      </c>
      <c r="F31" t="s">
        <v>7</v>
      </c>
      <c r="G31">
        <f>SUM(G8:G29)</f>
        <v>0.41525094540161261</v>
      </c>
    </row>
    <row r="32" spans="1:7" x14ac:dyDescent="0.2">
      <c r="A32">
        <f>données0!A32</f>
        <v>-0.72249163809894512</v>
      </c>
    </row>
    <row r="33" spans="1:1" x14ac:dyDescent="0.2">
      <c r="A33">
        <f>données0!A33</f>
        <v>-1.0941587611246379</v>
      </c>
    </row>
    <row r="34" spans="1:1" x14ac:dyDescent="0.2">
      <c r="A34">
        <f>données0!A34</f>
        <v>-1.0655924496504183</v>
      </c>
    </row>
    <row r="35" spans="1:1" x14ac:dyDescent="0.2">
      <c r="A35">
        <f>données0!A35</f>
        <v>-2.080352209764825</v>
      </c>
    </row>
    <row r="36" spans="1:1" x14ac:dyDescent="0.2">
      <c r="A36">
        <f>données0!A36</f>
        <v>-0.42549582943920072</v>
      </c>
    </row>
    <row r="37" spans="1:1" x14ac:dyDescent="0.2">
      <c r="A37">
        <f>données0!A37</f>
        <v>0.24328072744475382</v>
      </c>
    </row>
    <row r="38" spans="1:1" x14ac:dyDescent="0.2">
      <c r="A38">
        <f>données0!A38</f>
        <v>-0.57136633111801072</v>
      </c>
    </row>
    <row r="39" spans="1:1" x14ac:dyDescent="0.2">
      <c r="A39">
        <f>données0!A39</f>
        <v>1.9429039691732346</v>
      </c>
    </row>
    <row r="40" spans="1:1" x14ac:dyDescent="0.2">
      <c r="A40">
        <f>données0!A40</f>
        <v>0.31237752059551199</v>
      </c>
    </row>
    <row r="41" spans="1:1" x14ac:dyDescent="0.2">
      <c r="A41">
        <f>données0!A41</f>
        <v>-0.52004454820599266</v>
      </c>
    </row>
    <row r="42" spans="1:1" x14ac:dyDescent="0.2">
      <c r="A42">
        <f>données0!A42</f>
        <v>-5.6480867181776237E-2</v>
      </c>
    </row>
    <row r="43" spans="1:1" x14ac:dyDescent="0.2">
      <c r="A43">
        <f>données0!A43</f>
        <v>1.195331471493035</v>
      </c>
    </row>
    <row r="44" spans="1:1" x14ac:dyDescent="0.2">
      <c r="A44">
        <f>données0!A44</f>
        <v>1.1012137455581907</v>
      </c>
    </row>
    <row r="45" spans="1:1" x14ac:dyDescent="0.2">
      <c r="A45">
        <f>données0!A45</f>
        <v>0.2917507188223108</v>
      </c>
    </row>
    <row r="46" spans="1:1" x14ac:dyDescent="0.2">
      <c r="A46">
        <f>données0!A46</f>
        <v>-0.95844176672668013</v>
      </c>
    </row>
    <row r="47" spans="1:1" x14ac:dyDescent="0.2">
      <c r="A47">
        <f>données0!A47</f>
        <v>1.5384971607221576</v>
      </c>
    </row>
    <row r="48" spans="1:1" x14ac:dyDescent="0.2">
      <c r="A48">
        <f>données0!A48</f>
        <v>1.1110000264927082</v>
      </c>
    </row>
    <row r="49" spans="1:1" x14ac:dyDescent="0.2">
      <c r="A49">
        <f>données0!A49</f>
        <v>-0.24316746773096526</v>
      </c>
    </row>
    <row r="50" spans="1:1" x14ac:dyDescent="0.2">
      <c r="A50">
        <f>données0!A50</f>
        <v>1.5716682425133483E-2</v>
      </c>
    </row>
    <row r="51" spans="1:1" x14ac:dyDescent="0.2">
      <c r="A51">
        <f>données0!A51</f>
        <v>1.6369601526570652</v>
      </c>
    </row>
    <row r="52" spans="1:1" x14ac:dyDescent="0.2">
      <c r="A52">
        <f>données0!A52</f>
        <v>0.59787774019903839</v>
      </c>
    </row>
    <row r="53" spans="1:1" x14ac:dyDescent="0.2">
      <c r="A53">
        <f>données0!A53</f>
        <v>6.019024327467664E-2</v>
      </c>
    </row>
    <row r="54" spans="1:1" x14ac:dyDescent="0.2">
      <c r="A54">
        <f>données0!A54</f>
        <v>-0.35235689353646349</v>
      </c>
    </row>
    <row r="55" spans="1:1" x14ac:dyDescent="0.2">
      <c r="A55">
        <f>données0!A55</f>
        <v>-3.5857900279710211E-2</v>
      </c>
    </row>
    <row r="56" spans="1:1" x14ac:dyDescent="0.2">
      <c r="A56">
        <f>données0!A56</f>
        <v>-1.5864091848336046</v>
      </c>
    </row>
    <row r="57" spans="1:1" x14ac:dyDescent="0.2">
      <c r="A57">
        <f>données0!A57</f>
        <v>0.90391907514427128</v>
      </c>
    </row>
    <row r="58" spans="1:1" x14ac:dyDescent="0.2">
      <c r="A58">
        <f>données0!A58</f>
        <v>-0.61966025132897307</v>
      </c>
    </row>
    <row r="59" spans="1:1" x14ac:dyDescent="0.2">
      <c r="A59">
        <f>données0!A59</f>
        <v>-1.0514807239619599</v>
      </c>
    </row>
    <row r="60" spans="1:1" x14ac:dyDescent="0.2">
      <c r="A60">
        <f>données0!A60</f>
        <v>-0.58261762617295476</v>
      </c>
    </row>
    <row r="61" spans="1:1" x14ac:dyDescent="0.2">
      <c r="A61">
        <f>données0!A61</f>
        <v>-1.7107329787234493</v>
      </c>
    </row>
    <row r="62" spans="1:1" x14ac:dyDescent="0.2">
      <c r="A62">
        <f>données0!A62</f>
        <v>-0.17810511394518896</v>
      </c>
    </row>
    <row r="63" spans="1:1" x14ac:dyDescent="0.2">
      <c r="A63">
        <f>données0!A63</f>
        <v>-0.12999915964003456</v>
      </c>
    </row>
    <row r="64" spans="1:1" x14ac:dyDescent="0.2">
      <c r="A64">
        <f>données0!A64</f>
        <v>1.3923450485708806</v>
      </c>
    </row>
    <row r="65" spans="1:1" x14ac:dyDescent="0.2">
      <c r="A65">
        <f>données0!A65</f>
        <v>0.38964933651468464</v>
      </c>
    </row>
    <row r="66" spans="1:1" x14ac:dyDescent="0.2">
      <c r="A66">
        <f>données0!A66</f>
        <v>1.5212786915936214</v>
      </c>
    </row>
    <row r="67" spans="1:1" x14ac:dyDescent="0.2">
      <c r="A67">
        <f>données0!A67</f>
        <v>-0.87336686837308486</v>
      </c>
    </row>
    <row r="68" spans="1:1" x14ac:dyDescent="0.2">
      <c r="A68">
        <f>données0!A68</f>
        <v>0.91890529180077729</v>
      </c>
    </row>
    <row r="69" spans="1:1" x14ac:dyDescent="0.2">
      <c r="A69">
        <f>données0!A69</f>
        <v>0.73023360051534925</v>
      </c>
    </row>
    <row r="70" spans="1:1" x14ac:dyDescent="0.2">
      <c r="A70">
        <f>données0!A70</f>
        <v>0.45978062269100911</v>
      </c>
    </row>
    <row r="71" spans="1:1" x14ac:dyDescent="0.2">
      <c r="A71">
        <f>données0!A71</f>
        <v>-1.7795065815579734</v>
      </c>
    </row>
    <row r="72" spans="1:1" x14ac:dyDescent="0.2">
      <c r="A72">
        <f>données0!A72</f>
        <v>0.8311380540502098</v>
      </c>
    </row>
    <row r="73" spans="1:1" x14ac:dyDescent="0.2">
      <c r="A73">
        <f>données0!A73</f>
        <v>0.42346840362921612</v>
      </c>
    </row>
    <row r="74" spans="1:1" x14ac:dyDescent="0.2">
      <c r="A74">
        <f>données0!A74</f>
        <v>0.85870440040977158</v>
      </c>
    </row>
    <row r="75" spans="1:1" x14ac:dyDescent="0.2">
      <c r="A75">
        <f>données0!A75</f>
        <v>-0.52073834902989347</v>
      </c>
    </row>
    <row r="76" spans="1:1" x14ac:dyDescent="0.2">
      <c r="A76">
        <f>données0!A76</f>
        <v>-1.6589108596785085</v>
      </c>
    </row>
    <row r="77" spans="1:1" x14ac:dyDescent="0.2">
      <c r="A77">
        <f>données0!A77</f>
        <v>-0.16004246754792933</v>
      </c>
    </row>
    <row r="78" spans="1:1" x14ac:dyDescent="0.2">
      <c r="A78">
        <f>données0!A78</f>
        <v>-0.29778785176975842</v>
      </c>
    </row>
    <row r="79" spans="1:1" x14ac:dyDescent="0.2">
      <c r="A79">
        <f>données0!A79</f>
        <v>0.49157829460726837</v>
      </c>
    </row>
    <row r="80" spans="1:1" x14ac:dyDescent="0.2">
      <c r="A80">
        <f>données0!A80</f>
        <v>1.2371518005162367</v>
      </c>
    </row>
    <row r="81" spans="1:1" x14ac:dyDescent="0.2">
      <c r="A81">
        <f>données0!A81</f>
        <v>1.8820658407054875E-3</v>
      </c>
    </row>
    <row r="82" spans="1:1" x14ac:dyDescent="0.2">
      <c r="A82">
        <f>données0!A82</f>
        <v>-8.6049263348502367E-2</v>
      </c>
    </row>
    <row r="83" spans="1:1" x14ac:dyDescent="0.2">
      <c r="A83">
        <f>données0!A83</f>
        <v>-0.48286608127124814</v>
      </c>
    </row>
    <row r="84" spans="1:1" x14ac:dyDescent="0.2">
      <c r="A84">
        <f>données0!A84</f>
        <v>-0.53375610864102541</v>
      </c>
    </row>
    <row r="85" spans="1:1" x14ac:dyDescent="0.2">
      <c r="A85">
        <f>données0!A85</f>
        <v>1.7524072681298415</v>
      </c>
    </row>
    <row r="86" spans="1:1" x14ac:dyDescent="0.2">
      <c r="A86">
        <f>données0!A86</f>
        <v>-4.1103624932580775E-2</v>
      </c>
    </row>
    <row r="87" spans="1:1" x14ac:dyDescent="0.2">
      <c r="A87">
        <f>données0!A87</f>
        <v>0.15565179409775889</v>
      </c>
    </row>
    <row r="88" spans="1:1" x14ac:dyDescent="0.2">
      <c r="A88">
        <f>données0!A88</f>
        <v>0.1377390757396435</v>
      </c>
    </row>
    <row r="89" spans="1:1" x14ac:dyDescent="0.2">
      <c r="A89">
        <f>données0!A89</f>
        <v>-1.2262985471504102</v>
      </c>
    </row>
    <row r="90" spans="1:1" x14ac:dyDescent="0.2">
      <c r="A90">
        <f>données0!A90</f>
        <v>0.2688312340101599</v>
      </c>
    </row>
    <row r="91" spans="1:1" x14ac:dyDescent="0.2">
      <c r="A91">
        <f>données0!A91</f>
        <v>-1.7066976868932906</v>
      </c>
    </row>
    <row r="92" spans="1:1" x14ac:dyDescent="0.2">
      <c r="A92">
        <f>données0!A92</f>
        <v>0.10138472995688366</v>
      </c>
    </row>
    <row r="93" spans="1:1" x14ac:dyDescent="0.2">
      <c r="A93">
        <f>données0!A93</f>
        <v>0.95186317915975149</v>
      </c>
    </row>
    <row r="94" spans="1:1" x14ac:dyDescent="0.2">
      <c r="A94">
        <f>données0!A94</f>
        <v>-6.2934124463499233E-2</v>
      </c>
    </row>
    <row r="95" spans="1:1" x14ac:dyDescent="0.2">
      <c r="A95">
        <f>données0!A95</f>
        <v>0.19450029476553285</v>
      </c>
    </row>
    <row r="96" spans="1:1" x14ac:dyDescent="0.2">
      <c r="A96">
        <f>données0!A96</f>
        <v>0.20560183223443343</v>
      </c>
    </row>
    <row r="97" spans="1:1" x14ac:dyDescent="0.2">
      <c r="A97">
        <f>données0!A97</f>
        <v>-0.25276164223471409</v>
      </c>
    </row>
    <row r="98" spans="1:1" x14ac:dyDescent="0.2">
      <c r="A98">
        <f>données0!A98</f>
        <v>-0.22196990479365036</v>
      </c>
    </row>
    <row r="99" spans="1:1" x14ac:dyDescent="0.2">
      <c r="A99">
        <f>données0!A99</f>
        <v>-1.7377349899480932</v>
      </c>
    </row>
    <row r="100" spans="1:1" x14ac:dyDescent="0.2">
      <c r="A100">
        <f>données0!A100</f>
        <v>-1.3950019719372462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E22F-4B1F-0F40-80BB-14E35364D86C}">
  <dimension ref="A1:G136"/>
  <sheetViews>
    <sheetView topLeftCell="A24" zoomScale="190" zoomScaleNormal="190" workbookViewId="0">
      <selection activeCell="F29" sqref="F29"/>
    </sheetView>
  </sheetViews>
  <sheetFormatPr baseColWidth="10" defaultRowHeight="16" x14ac:dyDescent="0.2"/>
  <sheetData>
    <row r="1" spans="1:7" x14ac:dyDescent="0.2">
      <c r="A1">
        <f ca="1">'hypothèse uniforme'!$C$5+('hypothèse uniforme'!$D$5-'hypothèse uniforme'!$C$5)*RAND()</f>
        <v>-0.36803913008349842</v>
      </c>
    </row>
    <row r="2" spans="1:7" x14ac:dyDescent="0.2">
      <c r="A2">
        <f ca="1">'hypothèse uniforme'!$C$5+('hypothèse uniforme'!$D$5-'hypothèse uniforme'!$C$5)*RAND()</f>
        <v>-4.2278926171041231E-2</v>
      </c>
    </row>
    <row r="3" spans="1:7" x14ac:dyDescent="0.2">
      <c r="A3">
        <f ca="1">'hypothèse uniforme'!$C$5+('hypothèse uniforme'!$D$5-'hypothèse uniforme'!$C$5)*RAND()</f>
        <v>1.7946020399496394</v>
      </c>
      <c r="C3" t="s">
        <v>13</v>
      </c>
    </row>
    <row r="4" spans="1:7" x14ac:dyDescent="0.2">
      <c r="A4">
        <f ca="1">'hypothèse uniforme'!$C$5+('hypothèse uniforme'!$D$5-'hypothèse uniforme'!$C$5)*RAND()</f>
        <v>-0.54126085798936319</v>
      </c>
      <c r="C4" t="s">
        <v>14</v>
      </c>
      <c r="D4" t="s">
        <v>15</v>
      </c>
    </row>
    <row r="5" spans="1:7" x14ac:dyDescent="0.2">
      <c r="A5">
        <f ca="1">'hypothèse uniforme'!$C$5+('hypothèse uniforme'!$D$5-'hypothèse uniforme'!$C$5)*RAND()</f>
        <v>-1.8775973945755347</v>
      </c>
      <c r="C5">
        <f ca="1">MIN(A1:A100)</f>
        <v>-2.2818000645338787</v>
      </c>
      <c r="D5">
        <f ca="1">MAX(A4:A100)</f>
        <v>1.9105585524991229</v>
      </c>
    </row>
    <row r="6" spans="1:7" x14ac:dyDescent="0.2">
      <c r="A6">
        <f ca="1">'hypothèse uniforme'!$C$5+('hypothèse uniforme'!$D$5-'hypothèse uniforme'!$C$5)*RAND()</f>
        <v>-0.52205957715531581</v>
      </c>
    </row>
    <row r="7" spans="1:7" x14ac:dyDescent="0.2">
      <c r="A7">
        <f ca="1">'hypothèse uniforme'!$C$5+('hypothèse uniforme'!$D$5-'hypothèse uniforme'!$C$5)*RAND()</f>
        <v>-0.32427827715334145</v>
      </c>
      <c r="C7" t="s">
        <v>12</v>
      </c>
      <c r="D7" t="s">
        <v>3</v>
      </c>
      <c r="E7" t="s">
        <v>4</v>
      </c>
      <c r="F7" t="s">
        <v>5</v>
      </c>
      <c r="G7" t="s">
        <v>6</v>
      </c>
    </row>
    <row r="8" spans="1:7" x14ac:dyDescent="0.2">
      <c r="A8">
        <f ca="1">'hypothèse uniforme'!$C$5+('hypothèse uniforme'!$D$5-'hypothèse uniforme'!$C$5)*RAND()</f>
        <v>-0.74160157134819094</v>
      </c>
      <c r="C8" s="1">
        <v>-2</v>
      </c>
      <c r="D8" t="str">
        <f>CONCATENATE("&lt;",C8)</f>
        <v>&lt;-2</v>
      </c>
      <c r="E8">
        <f ca="1">COUNTIF($A$1:$A$100,D8)/COUNT($A$1:$A$100)</f>
        <v>0.08</v>
      </c>
      <c r="F8" s="2">
        <f ca="1">IF(C8&gt;$C$5,IF(C8&lt;$D$5,(C8-$C$5)/($D$5-$C$5),1),0)</f>
        <v>6.7217547513459888E-2</v>
      </c>
      <c r="G8">
        <f ca="1">IF(F8&lt;=0,0,(F8-E8)^2/F8)</f>
        <v>2.4307803187543771E-3</v>
      </c>
    </row>
    <row r="9" spans="1:7" x14ac:dyDescent="0.2">
      <c r="A9">
        <f ca="1">'hypothèse uniforme'!$C$5+('hypothèse uniforme'!$D$5-'hypothèse uniforme'!$C$5)*RAND()</f>
        <v>1.8722508492162513</v>
      </c>
      <c r="C9" s="1">
        <f>C8+0.2</f>
        <v>-1.8</v>
      </c>
      <c r="D9" t="str">
        <f>CONCATENATE("[",C8,", ",C9,"]")</f>
        <v>[-2, -1,8]</v>
      </c>
      <c r="E9">
        <f ca="1">COUNTIF($A$1:$A$100,CONCATENATE("&lt;",C9))/COUNT($A$1:$A$100)-SUM($E$8:E8)</f>
        <v>3.9999999999999994E-2</v>
      </c>
      <c r="F9" s="2">
        <f ca="1">IF(C9&gt;$C$5,IF(C9&lt;$D$5,(C9-$C$5)/($D$5-$C$5),1),0)-SUM($F$8:F8)</f>
        <v>4.7705842526788209E-2</v>
      </c>
      <c r="G9">
        <f t="shared" ref="G9:G29" ca="1" si="0">IF(F9&lt;=0,0,(F9-E9)^2/F9)</f>
        <v>1.2447114630522286E-3</v>
      </c>
    </row>
    <row r="10" spans="1:7" x14ac:dyDescent="0.2">
      <c r="A10">
        <f ca="1">'hypothèse uniforme'!$C$5+('hypothèse uniforme'!$D$5-'hypothèse uniforme'!$C$5)*RAND()</f>
        <v>-1.1143545511077053</v>
      </c>
      <c r="C10" s="1">
        <f t="shared" ref="C10:C27" si="1">C9+0.2</f>
        <v>-1.6</v>
      </c>
      <c r="D10" t="str">
        <f>CONCATENATE("[",C9,", ",C10,"]")</f>
        <v>[-1,8, -1,6]</v>
      </c>
      <c r="E10">
        <f ca="1">COUNTIF($A$1:$A$100,CONCATENATE("&lt;",C10))/COUNT($A$1:$A$100)-SUM($E$8:E9)</f>
        <v>1.0000000000000009E-2</v>
      </c>
      <c r="F10" s="2">
        <f ca="1">IF(C10&gt;$C$5,IF(C10&lt;$D$5,(C10-$C$5)/($D$5-$C$5),1),0)-SUM($F$8:F9)</f>
        <v>4.7705842526788222E-2</v>
      </c>
      <c r="G10">
        <f t="shared" ca="1" si="0"/>
        <v>2.9802021835304709E-2</v>
      </c>
    </row>
    <row r="11" spans="1:7" x14ac:dyDescent="0.2">
      <c r="A11">
        <f ca="1">'hypothèse uniforme'!$C$5+('hypothèse uniforme'!$D$5-'hypothèse uniforme'!$C$5)*RAND()</f>
        <v>-1.3495998750995777</v>
      </c>
      <c r="C11" s="1">
        <f t="shared" si="1"/>
        <v>-1.4000000000000001</v>
      </c>
      <c r="D11" t="str">
        <f t="shared" ref="D11:D28" si="2">CONCATENATE("[",C10,", ",C11,"]")</f>
        <v>[-1,6, -1,4]</v>
      </c>
      <c r="E11">
        <f ca="1">COUNTIF($A$1:$A$100,CONCATENATE("&lt;",C11))/COUNT($A$1:$A$100)-SUM($E$8:E10)</f>
        <v>0.03</v>
      </c>
      <c r="F11" s="2">
        <f ca="1">IF(C11&gt;$C$5,IF(C11&lt;$D$5,(C11-$C$5)/($D$5-$C$5),1),0)-SUM($F$8:F10)</f>
        <v>4.7705842526788195E-2</v>
      </c>
      <c r="G11">
        <f t="shared" ca="1" si="0"/>
        <v>6.5714563034367113E-3</v>
      </c>
    </row>
    <row r="12" spans="1:7" x14ac:dyDescent="0.2">
      <c r="A12">
        <f ca="1">'hypothèse uniforme'!$C$5+('hypothèse uniforme'!$D$5-'hypothèse uniforme'!$C$5)*RAND()</f>
        <v>-0.98539852216967128</v>
      </c>
      <c r="C12" s="1">
        <f t="shared" si="1"/>
        <v>-1.2000000000000002</v>
      </c>
      <c r="D12" t="str">
        <f t="shared" si="2"/>
        <v>[-1,4, -1,2]</v>
      </c>
      <c r="E12">
        <f ca="1">COUNTIF($A$1:$A$100,CONCATENATE("&lt;",C12))/COUNT($A$1:$A$100)-SUM($E$8:E11)</f>
        <v>0.06</v>
      </c>
      <c r="F12" s="2">
        <f ca="1">IF(C12&gt;$C$5,IF(C12&lt;$D$5,(C12-$C$5)/($D$5-$C$5),1),0)-SUM($F$8:F11)</f>
        <v>4.7705842526788195E-2</v>
      </c>
      <c r="G12">
        <f t="shared" ca="1" si="0"/>
        <v>3.1682976333822564E-3</v>
      </c>
    </row>
    <row r="13" spans="1:7" x14ac:dyDescent="0.2">
      <c r="A13">
        <f ca="1">'hypothèse uniforme'!$C$5+('hypothèse uniforme'!$D$5-'hypothèse uniforme'!$C$5)*RAND()</f>
        <v>0.8451201873213936</v>
      </c>
      <c r="C13" s="1">
        <f t="shared" si="1"/>
        <v>-1.0000000000000002</v>
      </c>
      <c r="D13" t="str">
        <f t="shared" si="2"/>
        <v>[-1,2, -1]</v>
      </c>
      <c r="E13">
        <f ca="1">COUNTIF($A$1:$A$100,CONCATENATE("&lt;",C13))/COUNT($A$1:$A$100)-SUM($E$8:E12)</f>
        <v>6.0000000000000026E-2</v>
      </c>
      <c r="F13" s="2">
        <f ca="1">IF(C13&gt;$C$5,IF(C13&lt;$D$5,(C13-$C$5)/($D$5-$C$5),1),0)-SUM($F$8:F12)</f>
        <v>4.7705842526788222E-2</v>
      </c>
      <c r="G13">
        <f t="shared" ca="1" si="0"/>
        <v>3.1682976333822542E-3</v>
      </c>
    </row>
    <row r="14" spans="1:7" x14ac:dyDescent="0.2">
      <c r="A14">
        <f ca="1">'hypothèse uniforme'!$C$5+('hypothèse uniforme'!$D$5-'hypothèse uniforme'!$C$5)*RAND()</f>
        <v>-0.84615283101298333</v>
      </c>
      <c r="C14" s="1">
        <f t="shared" si="1"/>
        <v>-0.80000000000000027</v>
      </c>
      <c r="D14" t="str">
        <f t="shared" si="2"/>
        <v>[-1, -0,8]</v>
      </c>
      <c r="E14">
        <f ca="1">COUNTIF($A$1:$A$100,CONCATENATE("&lt;",C14))/COUNT($A$1:$A$100)-SUM($E$8:E13)</f>
        <v>3.999999999999998E-2</v>
      </c>
      <c r="F14" s="2">
        <f ca="1">IF(C14&gt;$C$5,IF(C14&lt;$D$5,(C14-$C$5)/($D$5-$C$5),1),0)-SUM($F$8:F13)</f>
        <v>4.7705842526788222E-2</v>
      </c>
      <c r="G14">
        <f t="shared" ca="1" si="0"/>
        <v>1.2447114630522371E-3</v>
      </c>
    </row>
    <row r="15" spans="1:7" x14ac:dyDescent="0.2">
      <c r="A15">
        <f ca="1">'hypothèse uniforme'!$C$5+('hypothèse uniforme'!$D$5-'hypothèse uniforme'!$C$5)*RAND()</f>
        <v>1.0425029882652566</v>
      </c>
      <c r="C15" s="1">
        <f t="shared" si="1"/>
        <v>-0.60000000000000031</v>
      </c>
      <c r="D15" t="str">
        <f t="shared" si="2"/>
        <v>[-0,8, -0,6]</v>
      </c>
      <c r="E15">
        <f ca="1">COUNTIF($A$1:$A$100,CONCATENATE("&lt;",C15))/COUNT($A$1:$A$100)-SUM($E$8:E14)</f>
        <v>2.9999999999999971E-2</v>
      </c>
      <c r="F15" s="2">
        <f ca="1">IF(C15&gt;$C$5,IF(C15&lt;$D$5,(C15-$C$5)/($D$5-$C$5),1),0)-SUM($F$8:F14)</f>
        <v>4.7705842526788222E-2</v>
      </c>
      <c r="G15">
        <f t="shared" ca="1" si="0"/>
        <v>6.5714563034367478E-3</v>
      </c>
    </row>
    <row r="16" spans="1:7" x14ac:dyDescent="0.2">
      <c r="A16">
        <f ca="1">'hypothèse uniforme'!$C$5+('hypothèse uniforme'!$D$5-'hypothèse uniforme'!$C$5)*RAND()</f>
        <v>-0.98038553450441479</v>
      </c>
      <c r="C16" s="1">
        <f t="shared" si="1"/>
        <v>-0.4000000000000003</v>
      </c>
      <c r="D16" t="str">
        <f t="shared" si="2"/>
        <v>[-0,6, -0,4]</v>
      </c>
      <c r="E16">
        <f ca="1">COUNTIF($A$1:$A$100,CONCATENATE("&lt;",C16))/COUNT($A$1:$A$100)-SUM($E$8:E15)</f>
        <v>8.0000000000000016E-2</v>
      </c>
      <c r="F16" s="2">
        <f ca="1">IF(C16&gt;$C$5,IF(C16&lt;$D$5,(C16-$C$5)/($D$5-$C$5),1),0)-SUM($F$8:F15)</f>
        <v>4.7705842526788167E-2</v>
      </c>
      <c r="G16">
        <f t="shared" ca="1" si="0"/>
        <v>2.1861318271844378E-2</v>
      </c>
    </row>
    <row r="17" spans="1:7" x14ac:dyDescent="0.2">
      <c r="A17">
        <f ca="1">'hypothèse uniforme'!$C$5+('hypothèse uniforme'!$D$5-'hypothèse uniforme'!$C$5)*RAND()</f>
        <v>-2.2000139354144137</v>
      </c>
      <c r="C17" s="1">
        <f t="shared" si="1"/>
        <v>-0.20000000000000029</v>
      </c>
      <c r="D17" t="str">
        <f t="shared" si="2"/>
        <v>[-0,4, -0,2]</v>
      </c>
      <c r="E17">
        <f ca="1">COUNTIF($A$1:$A$100,CONCATENATE("&lt;",C17))/COUNT($A$1:$A$100)-SUM($E$8:E16)</f>
        <v>4.9999999999999989E-2</v>
      </c>
      <c r="F17" s="2">
        <f ca="1">IF(C17&gt;$C$5,IF(C17&lt;$D$5,(C17-$C$5)/($D$5-$C$5),1),0)-SUM($F$8:F16)</f>
        <v>4.7705842526788278E-2</v>
      </c>
      <c r="G17">
        <f t="shared" ca="1" si="0"/>
        <v>1.1032523970072887E-4</v>
      </c>
    </row>
    <row r="18" spans="1:7" x14ac:dyDescent="0.2">
      <c r="A18">
        <f ca="1">'hypothèse uniforme'!$C$5+('hypothèse uniforme'!$D$5-'hypothèse uniforme'!$C$5)*RAND()</f>
        <v>1.0590980957511111</v>
      </c>
      <c r="C18" s="1">
        <f t="shared" si="1"/>
        <v>-2.7755575615628914E-16</v>
      </c>
      <c r="D18" t="str">
        <f t="shared" si="2"/>
        <v>[-0,2, -2,77555756156289E-16]</v>
      </c>
      <c r="E18">
        <f ca="1">COUNTIF($A$1:$A$100,CONCATENATE("&lt;",C18))/COUNT($A$1:$A$100)-SUM($E$8:E17)</f>
        <v>5.0000000000000044E-2</v>
      </c>
      <c r="F18" s="2">
        <f ca="1">IF(C18&gt;$C$5,IF(C18&lt;$D$5,(C18-$C$5)/($D$5-$C$5),1),0)-SUM($F$8:F17)</f>
        <v>4.7705842526788167E-2</v>
      </c>
      <c r="G18">
        <f t="shared" ca="1" si="0"/>
        <v>1.1032523970074515E-4</v>
      </c>
    </row>
    <row r="19" spans="1:7" x14ac:dyDescent="0.2">
      <c r="A19">
        <f ca="1">'hypothèse uniforme'!$C$5+('hypothèse uniforme'!$D$5-'hypothèse uniforme'!$C$5)*RAND()</f>
        <v>0.60950389103521552</v>
      </c>
      <c r="C19" s="1">
        <f t="shared" si="1"/>
        <v>0.19999999999999973</v>
      </c>
      <c r="D19" t="str">
        <f t="shared" si="2"/>
        <v>[-2,77555756156289E-16, 0,2]</v>
      </c>
      <c r="E19">
        <f ca="1">COUNTIF($A$1:$A$100,CONCATENATE("&lt;",C19))/COUNT($A$1:$A$100)-SUM($E$8:E18)</f>
        <v>4.9999999999999933E-2</v>
      </c>
      <c r="F19" s="2">
        <f ca="1">IF(C19&gt;$C$5,IF(C19&lt;$D$5,(C19-$C$5)/($D$5-$C$5),1),0)-SUM($F$8:F18)</f>
        <v>4.7705842526788222E-2</v>
      </c>
      <c r="G19">
        <f t="shared" ca="1" si="0"/>
        <v>1.10325239700729E-4</v>
      </c>
    </row>
    <row r="20" spans="1:7" x14ac:dyDescent="0.2">
      <c r="A20">
        <f ca="1">'hypothèse uniforme'!$C$5+('hypothèse uniforme'!$D$5-'hypothèse uniforme'!$C$5)*RAND()</f>
        <v>-2.1194988824881356</v>
      </c>
      <c r="C20" s="1">
        <f t="shared" si="1"/>
        <v>0.39999999999999974</v>
      </c>
      <c r="D20" t="str">
        <f t="shared" si="2"/>
        <v>[0,2, 0,4]</v>
      </c>
      <c r="E20">
        <f ca="1">COUNTIF($A$1:$A$100,CONCATENATE("&lt;",C20))/COUNT($A$1:$A$100)-SUM($E$8:E19)</f>
        <v>4.0000000000000036E-2</v>
      </c>
      <c r="F20" s="2">
        <f ca="1">IF(C20&gt;$C$5,IF(C20&lt;$D$5,(C20-$C$5)/($D$5-$C$5),1),0)-SUM($F$8:F19)</f>
        <v>4.7705842526788333E-2</v>
      </c>
      <c r="G20">
        <f t="shared" ca="1" si="0"/>
        <v>1.2447114630522523E-3</v>
      </c>
    </row>
    <row r="21" spans="1:7" x14ac:dyDescent="0.2">
      <c r="A21">
        <f ca="1">'hypothèse uniforme'!$C$5+('hypothèse uniforme'!$D$5-'hypothèse uniforme'!$C$5)*RAND()</f>
        <v>-1.1912463839966363</v>
      </c>
      <c r="C21" s="1">
        <f t="shared" si="1"/>
        <v>0.59999999999999976</v>
      </c>
      <c r="D21" t="str">
        <f t="shared" si="2"/>
        <v>[0,4, 0,6]</v>
      </c>
      <c r="E21">
        <f ca="1">COUNTIF($A$1:$A$100,CONCATENATE("&lt;",C21))/COUNT($A$1:$A$100)-SUM($E$8:E20)</f>
        <v>3.0000000000000027E-2</v>
      </c>
      <c r="F21" s="2">
        <f ca="1">IF(C21&gt;$C$5,IF(C21&lt;$D$5,(C21-$C$5)/($D$5-$C$5),1),0)-SUM($F$8:F20)</f>
        <v>4.7705842526788111E-2</v>
      </c>
      <c r="G21">
        <f t="shared" ca="1" si="0"/>
        <v>6.5714563034366402E-3</v>
      </c>
    </row>
    <row r="22" spans="1:7" x14ac:dyDescent="0.2">
      <c r="A22">
        <f ca="1">'hypothèse uniforme'!$C$5+('hypothèse uniforme'!$D$5-'hypothèse uniforme'!$C$5)*RAND()</f>
        <v>1.5922764980452526</v>
      </c>
      <c r="C22" s="1">
        <f t="shared" si="1"/>
        <v>0.79999999999999982</v>
      </c>
      <c r="D22" t="str">
        <f t="shared" si="2"/>
        <v>[0,6, 0,8]</v>
      </c>
      <c r="E22">
        <f ca="1">COUNTIF($A$1:$A$100,CONCATENATE("&lt;",C22))/COUNT($A$1:$A$100)-SUM($E$8:E21)</f>
        <v>4.9999999999999933E-2</v>
      </c>
      <c r="F22" s="2">
        <f ca="1">IF(C22&gt;$C$5,IF(C22&lt;$D$5,(C22-$C$5)/($D$5-$C$5),1),0)-SUM($F$8:F21)</f>
        <v>4.7705842526788333E-2</v>
      </c>
      <c r="G22">
        <f t="shared" ca="1" si="0"/>
        <v>1.1032523970071807E-4</v>
      </c>
    </row>
    <row r="23" spans="1:7" x14ac:dyDescent="0.2">
      <c r="A23">
        <f ca="1">'hypothèse uniforme'!$C$5+('hypothèse uniforme'!$D$5-'hypothèse uniforme'!$C$5)*RAND()</f>
        <v>0.68516578111934656</v>
      </c>
      <c r="C23" s="1">
        <f t="shared" si="1"/>
        <v>0.99999999999999978</v>
      </c>
      <c r="D23" t="str">
        <f t="shared" si="2"/>
        <v>[0,8, 1]</v>
      </c>
      <c r="E23">
        <f ca="1">COUNTIF($A$1:$A$100,CONCATENATE("&lt;",C23))/COUNT($A$1:$A$100)-SUM($E$8:E22)</f>
        <v>6.0000000000000053E-2</v>
      </c>
      <c r="F23" s="2">
        <f ca="1">IF(C23&gt;$C$5,IF(C23&lt;$D$5,(C23-$C$5)/($D$5-$C$5),1),0)-SUM($F$8:F22)</f>
        <v>4.7705842526788111E-2</v>
      </c>
      <c r="G23">
        <f t="shared" ca="1" si="0"/>
        <v>3.1682976333823332E-3</v>
      </c>
    </row>
    <row r="24" spans="1:7" x14ac:dyDescent="0.2">
      <c r="A24">
        <f ca="1">'hypothèse uniforme'!$C$5+('hypothèse uniforme'!$D$5-'hypothèse uniforme'!$C$5)*RAND()</f>
        <v>0.17360547086577993</v>
      </c>
      <c r="C24" s="1">
        <f t="shared" si="1"/>
        <v>1.1999999999999997</v>
      </c>
      <c r="D24" t="str">
        <f t="shared" si="2"/>
        <v>[1, 1,2]</v>
      </c>
      <c r="E24">
        <f ca="1">COUNTIF($A$1:$A$100,CONCATENATE("&lt;",C24))/COUNT($A$1:$A$100)-SUM($E$8:E23)</f>
        <v>5.9999999999999942E-2</v>
      </c>
      <c r="F24" s="2">
        <f ca="1">IF(C24&gt;$C$5,IF(C24&lt;$D$5,(C24-$C$5)/($D$5-$C$5),1),0)-SUM($F$8:F23)</f>
        <v>4.7705842526788222E-2</v>
      </c>
      <c r="G24">
        <f t="shared" ca="1" si="0"/>
        <v>3.1682976333822113E-3</v>
      </c>
    </row>
    <row r="25" spans="1:7" x14ac:dyDescent="0.2">
      <c r="A25">
        <f ca="1">'hypothèse uniforme'!$C$5+('hypothèse uniforme'!$D$5-'hypothèse uniforme'!$C$5)*RAND()</f>
        <v>1.0519546972670155</v>
      </c>
      <c r="C25" s="1">
        <f t="shared" si="1"/>
        <v>1.3999999999999997</v>
      </c>
      <c r="D25" t="str">
        <f t="shared" si="2"/>
        <v>[1,2, 1,4]</v>
      </c>
      <c r="E25">
        <f ca="1">COUNTIF($A$1:$A$100,CONCATENATE("&lt;",C25))/COUNT($A$1:$A$100)-SUM($E$8:E24)</f>
        <v>8.0000000000000071E-2</v>
      </c>
      <c r="F25" s="2">
        <f ca="1">IF(C25&gt;$C$5,IF(C25&lt;$D$5,(C25-$C$5)/($D$5-$C$5),1),0)-SUM($F$8:F24)</f>
        <v>4.7705842526788333E-2</v>
      </c>
      <c r="G25">
        <f t="shared" ca="1" si="0"/>
        <v>2.1861318271844152E-2</v>
      </c>
    </row>
    <row r="26" spans="1:7" x14ac:dyDescent="0.2">
      <c r="A26">
        <f ca="1">'hypothèse uniforme'!$C$5+('hypothèse uniforme'!$D$5-'hypothèse uniforme'!$C$5)*RAND()</f>
        <v>-2.1509796824428173</v>
      </c>
      <c r="C26" s="1">
        <f t="shared" si="1"/>
        <v>1.5999999999999996</v>
      </c>
      <c r="D26" t="str">
        <f t="shared" si="2"/>
        <v>[1,4, 1,6]</v>
      </c>
      <c r="E26">
        <f ca="1">COUNTIF($A$1:$A$100,CONCATENATE("&lt;",C26))/COUNT($A$1:$A$100)-SUM($E$8:E25)</f>
        <v>4.9999999999999933E-2</v>
      </c>
      <c r="F26" s="2">
        <f ca="1">IF(C26&gt;$C$5,IF(C26&lt;$D$5,(C26-$C$5)/($D$5-$C$5),1),0)-SUM($F$8:F25)</f>
        <v>4.7705842526788111E-2</v>
      </c>
      <c r="G26">
        <f t="shared" ca="1" si="0"/>
        <v>1.1032523970073994E-4</v>
      </c>
    </row>
    <row r="27" spans="1:7" x14ac:dyDescent="0.2">
      <c r="A27">
        <f ca="1">'hypothèse uniforme'!$C$5+('hypothèse uniforme'!$D$5-'hypothèse uniforme'!$C$5)*RAND()</f>
        <v>-1.9063317340751516</v>
      </c>
      <c r="C27" s="1">
        <f t="shared" si="1"/>
        <v>1.7999999999999996</v>
      </c>
      <c r="D27" t="str">
        <f t="shared" si="2"/>
        <v>[1,6, 1,8]</v>
      </c>
      <c r="E27">
        <f ca="1">COUNTIF($A$1:$A$100,CONCATENATE("&lt;",C27))/COUNT($A$1:$A$100)-SUM($E$8:E26)</f>
        <v>2.0000000000000018E-2</v>
      </c>
      <c r="F27" s="2">
        <f ca="1">IF(C27&gt;$C$5,IF(C27&lt;$D$5,(C27-$C$5)/($D$5-$C$5),1),0)-SUM($F$8:F26)</f>
        <v>4.7705842526788222E-2</v>
      </c>
      <c r="G27">
        <f t="shared" ca="1" si="0"/>
        <v>1.6090559760854203E-2</v>
      </c>
    </row>
    <row r="28" spans="1:7" x14ac:dyDescent="0.2">
      <c r="A28">
        <f ca="1">'hypothèse uniforme'!$C$5+('hypothèse uniforme'!$D$5-'hypothèse uniforme'!$C$5)*RAND()</f>
        <v>1.2002182595916939</v>
      </c>
      <c r="C28" s="1">
        <f>C27+0.2</f>
        <v>1.9999999999999996</v>
      </c>
      <c r="D28" t="str">
        <f t="shared" si="2"/>
        <v>[1,8, 2]</v>
      </c>
      <c r="E28">
        <f ca="1">COUNTIF($A$1:$A$100,CONCATENATE("&lt;",C28))/COUNT($A$1:$A$100)-SUM($E$8:E27)</f>
        <v>3.0000000000000027E-2</v>
      </c>
      <c r="F28" s="2">
        <f ca="1">IF(C28&gt;$C$5,IF(C28&lt;$D$5,(C28-$C$5)/($D$5-$C$5),1),0)-SUM($F$8:F27)</f>
        <v>2.637144447756401E-2</v>
      </c>
      <c r="G28">
        <f t="shared" ca="1" si="0"/>
        <v>4.9926788009668874E-4</v>
      </c>
    </row>
    <row r="29" spans="1:7" x14ac:dyDescent="0.2">
      <c r="A29">
        <f ca="1">'hypothèse uniforme'!$C$5+('hypothèse uniforme'!$D$5-'hypothèse uniforme'!$C$5)*RAND()</f>
        <v>-0.515730806828268</v>
      </c>
      <c r="C29" s="1"/>
      <c r="D29" t="str">
        <f>CONCATENATE("&gt;",C28)</f>
        <v>&gt;2</v>
      </c>
      <c r="E29">
        <f ca="1">1-SUM($E$8:E28)</f>
        <v>0</v>
      </c>
      <c r="F29" s="2">
        <f ca="1">1-SUM($F$8:F28)</f>
        <v>0</v>
      </c>
      <c r="G29">
        <f t="shared" ca="1" si="0"/>
        <v>0</v>
      </c>
    </row>
    <row r="30" spans="1:7" x14ac:dyDescent="0.2">
      <c r="A30">
        <f ca="1">'hypothèse uniforme'!$C$5+('hypothèse uniforme'!$D$5-'hypothèse uniforme'!$C$5)*RAND()</f>
        <v>-1.3393964966742384</v>
      </c>
    </row>
    <row r="31" spans="1:7" x14ac:dyDescent="0.2">
      <c r="A31">
        <f ca="1">'hypothèse uniforme'!$C$5+('hypothèse uniforme'!$D$5-'hypothèse uniforme'!$C$5)*RAND()</f>
        <v>-2.0108303131353233</v>
      </c>
      <c r="F31" t="s">
        <v>10</v>
      </c>
      <c r="G31">
        <f ca="1">SUM(G8:G29)</f>
        <v>0.12921858637019804</v>
      </c>
    </row>
    <row r="32" spans="1:7" x14ac:dyDescent="0.2">
      <c r="A32">
        <f ca="1">'hypothèse uniforme'!$C$5+('hypothèse uniforme'!$D$5-'hypothèse uniforme'!$C$5)*RAND()</f>
        <v>-1.1566378709107956</v>
      </c>
      <c r="F32" t="s">
        <v>7</v>
      </c>
      <c r="G32">
        <f>'hypothèse uniforme'!G31</f>
        <v>0.41525094540161261</v>
      </c>
    </row>
    <row r="33" spans="1:7" x14ac:dyDescent="0.2">
      <c r="A33">
        <f ca="1">'hypothèse uniforme'!$C$5+('hypothèse uniforme'!$D$5-'hypothèse uniforme'!$C$5)*RAND()</f>
        <v>0.89170166387547845</v>
      </c>
    </row>
    <row r="34" spans="1:7" x14ac:dyDescent="0.2">
      <c r="A34">
        <f ca="1">'hypothèse uniforme'!$C$5+('hypothèse uniforme'!$D$5-'hypothèse uniforme'!$C$5)*RAND()</f>
        <v>1.4395984493295666</v>
      </c>
      <c r="C34" t="s">
        <v>8</v>
      </c>
      <c r="F34" t="s">
        <v>11</v>
      </c>
    </row>
    <row r="35" spans="1:7" x14ac:dyDescent="0.2">
      <c r="A35">
        <f ca="1">'hypothèse uniforme'!$C$5+('hypothèse uniforme'!$D$5-'hypothèse uniforme'!$C$5)*RAND()</f>
        <v>-2.0913468708485854</v>
      </c>
      <c r="C35" t="s">
        <v>9</v>
      </c>
      <c r="D35" t="s">
        <v>10</v>
      </c>
      <c r="F35" t="s">
        <v>16</v>
      </c>
      <c r="G35" s="4">
        <f ca="1">COUNTIF(D36:D136,CONCATENATE("&gt;",G32))/COUNT(D36:D136)</f>
        <v>0</v>
      </c>
    </row>
    <row r="36" spans="1:7" x14ac:dyDescent="0.2">
      <c r="A36">
        <f ca="1">'hypothèse uniforme'!$C$5+('hypothèse uniforme'!$D$5-'hypothèse uniforme'!$C$5)*RAND()</f>
        <v>1.241441167989207</v>
      </c>
      <c r="D36">
        <f ca="1">G31</f>
        <v>0.12921858637019804</v>
      </c>
    </row>
    <row r="37" spans="1:7" x14ac:dyDescent="0.2">
      <c r="A37">
        <f ca="1">'hypothèse uniforme'!$C$5+('hypothèse uniforme'!$D$5-'hypothèse uniforme'!$C$5)*RAND()</f>
        <v>-0.43450690939710945</v>
      </c>
      <c r="C37">
        <v>1</v>
      </c>
      <c r="D37">
        <f t="dataTable" ref="D37:D136" dt2D="0" dtr="0" r1="B36" ca="1"/>
        <v>0.1339242911601865</v>
      </c>
    </row>
    <row r="38" spans="1:7" x14ac:dyDescent="0.2">
      <c r="A38">
        <f ca="1">'hypothèse uniforme'!$C$5+('hypothèse uniforme'!$D$5-'hypothèse uniforme'!$C$5)*RAND()</f>
        <v>-1.2921729334686836</v>
      </c>
      <c r="C38">
        <v>2</v>
      </c>
      <c r="D38">
        <v>0.29913243047018251</v>
      </c>
    </row>
    <row r="39" spans="1:7" x14ac:dyDescent="0.2">
      <c r="A39">
        <f ca="1">'hypothèse uniforme'!$C$5+('hypothèse uniforme'!$D$5-'hypothèse uniforme'!$C$5)*RAND()</f>
        <v>0.56095780570727349</v>
      </c>
      <c r="C39">
        <v>3</v>
      </c>
      <c r="D39">
        <v>0.15389335615870858</v>
      </c>
    </row>
    <row r="40" spans="1:7" x14ac:dyDescent="0.2">
      <c r="A40">
        <f ca="1">'hypothèse uniforme'!$C$5+('hypothèse uniforme'!$D$5-'hypothèse uniforme'!$C$5)*RAND()</f>
        <v>-0.57406721304992026</v>
      </c>
      <c r="C40">
        <v>4</v>
      </c>
      <c r="D40">
        <v>0.27765162338955679</v>
      </c>
    </row>
    <row r="41" spans="1:7" x14ac:dyDescent="0.2">
      <c r="A41">
        <f ca="1">'hypothèse uniforme'!$C$5+('hypothèse uniforme'!$D$5-'hypothèse uniforme'!$C$5)*RAND()</f>
        <v>1.5808618430346173</v>
      </c>
      <c r="C41">
        <v>5</v>
      </c>
      <c r="D41">
        <v>0.20087807528668908</v>
      </c>
    </row>
    <row r="42" spans="1:7" x14ac:dyDescent="0.2">
      <c r="A42">
        <f ca="1">'hypothèse uniforme'!$C$5+('hypothèse uniforme'!$D$5-'hypothèse uniforme'!$C$5)*RAND()</f>
        <v>-1.6826294814342511</v>
      </c>
      <c r="C42">
        <v>6</v>
      </c>
      <c r="D42">
        <v>0.18642122845845754</v>
      </c>
    </row>
    <row r="43" spans="1:7" x14ac:dyDescent="0.2">
      <c r="A43">
        <f ca="1">'hypothèse uniforme'!$C$5+('hypothèse uniforme'!$D$5-'hypothèse uniforme'!$C$5)*RAND()</f>
        <v>-0.7891707667009229</v>
      </c>
      <c r="C43">
        <v>7</v>
      </c>
      <c r="D43">
        <v>0.19543714675813417</v>
      </c>
    </row>
    <row r="44" spans="1:7" x14ac:dyDescent="0.2">
      <c r="A44">
        <f ca="1">'hypothèse uniforme'!$C$5+('hypothèse uniforme'!$D$5-'hypothèse uniforme'!$C$5)*RAND()</f>
        <v>-0.87696248743433713</v>
      </c>
      <c r="C44">
        <v>8</v>
      </c>
      <c r="D44">
        <v>0.18251028681011308</v>
      </c>
    </row>
    <row r="45" spans="1:7" x14ac:dyDescent="0.2">
      <c r="A45">
        <f ca="1">'hypothèse uniforme'!$C$5+('hypothèse uniforme'!$D$5-'hypothèse uniforme'!$C$5)*RAND()</f>
        <v>-6.9892042691681144E-2</v>
      </c>
      <c r="C45">
        <v>9</v>
      </c>
      <c r="D45">
        <v>0.12754750066034951</v>
      </c>
    </row>
    <row r="46" spans="1:7" x14ac:dyDescent="0.2">
      <c r="A46">
        <f ca="1">'hypothèse uniforme'!$C$5+('hypothèse uniforme'!$D$5-'hypothèse uniforme'!$C$5)*RAND()</f>
        <v>-0.22057214787574564</v>
      </c>
      <c r="C46">
        <v>10</v>
      </c>
      <c r="D46">
        <v>0.18304404907664959</v>
      </c>
    </row>
    <row r="47" spans="1:7" x14ac:dyDescent="0.2">
      <c r="A47">
        <f ca="1">'hypothèse uniforme'!$C$5+('hypothèse uniforme'!$D$5-'hypothèse uniforme'!$C$5)*RAND()</f>
        <v>-0.55088759336946369</v>
      </c>
      <c r="C47">
        <v>11</v>
      </c>
      <c r="D47">
        <v>0.19477489574823295</v>
      </c>
    </row>
    <row r="48" spans="1:7" x14ac:dyDescent="0.2">
      <c r="A48">
        <f ca="1">'hypothèse uniforme'!$C$5+('hypothèse uniforme'!$D$5-'hypothèse uniforme'!$C$5)*RAND()</f>
        <v>-0.11066707730574121</v>
      </c>
      <c r="C48">
        <v>12</v>
      </c>
      <c r="D48">
        <v>0.11117257586780116</v>
      </c>
    </row>
    <row r="49" spans="1:4" x14ac:dyDescent="0.2">
      <c r="A49">
        <f ca="1">'hypothèse uniforme'!$C$5+('hypothèse uniforme'!$D$5-'hypothèse uniforme'!$C$5)*RAND()</f>
        <v>0.27890842201272692</v>
      </c>
      <c r="C49">
        <v>13</v>
      </c>
      <c r="D49">
        <v>0.26908953045538764</v>
      </c>
    </row>
    <row r="50" spans="1:4" x14ac:dyDescent="0.2">
      <c r="A50">
        <f ca="1">'hypothèse uniforme'!$C$5+('hypothèse uniforme'!$D$5-'hypothèse uniforme'!$C$5)*RAND()</f>
        <v>-0.16959612907600707</v>
      </c>
      <c r="C50">
        <v>14</v>
      </c>
      <c r="D50">
        <v>0.15462034200333713</v>
      </c>
    </row>
    <row r="51" spans="1:4" x14ac:dyDescent="0.2">
      <c r="A51">
        <f ca="1">'hypothèse uniforme'!$C$5+('hypothèse uniforme'!$D$5-'hypothèse uniforme'!$C$5)*RAND()</f>
        <v>0.17109450819065319</v>
      </c>
      <c r="C51">
        <v>15</v>
      </c>
      <c r="D51">
        <v>0.34291050154880198</v>
      </c>
    </row>
    <row r="52" spans="1:4" x14ac:dyDescent="0.2">
      <c r="A52">
        <f ca="1">'hypothèse uniforme'!$C$5+('hypothèse uniforme'!$D$5-'hypothèse uniforme'!$C$5)*RAND()</f>
        <v>0.43461048336838637</v>
      </c>
      <c r="C52">
        <v>16</v>
      </c>
      <c r="D52">
        <v>0.10567636116704994</v>
      </c>
    </row>
    <row r="53" spans="1:4" x14ac:dyDescent="0.2">
      <c r="A53">
        <f ca="1">'hypothèse uniforme'!$C$5+('hypothèse uniforme'!$D$5-'hypothèse uniforme'!$C$5)*RAND()</f>
        <v>-0.43695017700663241</v>
      </c>
      <c r="C53">
        <v>17</v>
      </c>
      <c r="D53">
        <v>0.17976321361991104</v>
      </c>
    </row>
    <row r="54" spans="1:4" x14ac:dyDescent="0.2">
      <c r="A54">
        <f ca="1">'hypothèse uniforme'!$C$5+('hypothèse uniforme'!$D$5-'hypothèse uniforme'!$C$5)*RAND()</f>
        <v>-1.804772998127834</v>
      </c>
      <c r="C54">
        <v>18</v>
      </c>
      <c r="D54">
        <v>0.34874974003798964</v>
      </c>
    </row>
    <row r="55" spans="1:4" x14ac:dyDescent="0.2">
      <c r="A55">
        <f ca="1">'hypothèse uniforme'!$C$5+('hypothèse uniforme'!$D$5-'hypothèse uniforme'!$C$5)*RAND()</f>
        <v>0.1345314793856458</v>
      </c>
      <c r="C55">
        <v>19</v>
      </c>
      <c r="D55">
        <v>0.1898686546683554</v>
      </c>
    </row>
    <row r="56" spans="1:4" x14ac:dyDescent="0.2">
      <c r="A56">
        <f ca="1">'hypothèse uniforme'!$C$5+('hypothèse uniforme'!$D$5-'hypothèse uniforme'!$C$5)*RAND()</f>
        <v>-0.1900257044879714</v>
      </c>
      <c r="C56">
        <v>20</v>
      </c>
      <c r="D56">
        <v>0.11581932514901853</v>
      </c>
    </row>
    <row r="57" spans="1:4" x14ac:dyDescent="0.2">
      <c r="A57">
        <f ca="1">'hypothèse uniforme'!$C$5+('hypothèse uniforme'!$D$5-'hypothèse uniforme'!$C$5)*RAND()</f>
        <v>1.0827026479181296</v>
      </c>
      <c r="C57">
        <v>21</v>
      </c>
      <c r="D57">
        <v>0.2473064648920924</v>
      </c>
    </row>
    <row r="58" spans="1:4" x14ac:dyDescent="0.2">
      <c r="A58">
        <f ca="1">'hypothèse uniforme'!$C$5+('hypothèse uniforme'!$D$5-'hypothèse uniforme'!$C$5)*RAND()</f>
        <v>1.2580477067533868</v>
      </c>
      <c r="C58">
        <v>22</v>
      </c>
      <c r="D58">
        <v>0.17932495725687841</v>
      </c>
    </row>
    <row r="59" spans="1:4" x14ac:dyDescent="0.2">
      <c r="A59">
        <f ca="1">'hypothèse uniforme'!$C$5+('hypothèse uniforme'!$D$5-'hypothèse uniforme'!$C$5)*RAND()</f>
        <v>-1.0812117186513612</v>
      </c>
      <c r="C59">
        <v>23</v>
      </c>
      <c r="D59">
        <v>0.23705444163705619</v>
      </c>
    </row>
    <row r="60" spans="1:4" x14ac:dyDescent="0.2">
      <c r="A60">
        <f ca="1">'hypothèse uniforme'!$C$5+('hypothèse uniforme'!$D$5-'hypothèse uniforme'!$C$5)*RAND()</f>
        <v>1.9105585524991229</v>
      </c>
      <c r="C60">
        <v>24</v>
      </c>
      <c r="D60">
        <v>0.16217750338440737</v>
      </c>
    </row>
    <row r="61" spans="1:4" x14ac:dyDescent="0.2">
      <c r="A61">
        <f ca="1">'hypothèse uniforme'!$C$5+('hypothèse uniforme'!$D$5-'hypothèse uniforme'!$C$5)*RAND()</f>
        <v>-0.75982074977636183</v>
      </c>
      <c r="C61">
        <v>25</v>
      </c>
      <c r="D61">
        <v>0.23785870750960633</v>
      </c>
    </row>
    <row r="62" spans="1:4" x14ac:dyDescent="0.2">
      <c r="A62">
        <f ca="1">'hypothèse uniforme'!$C$5+('hypothèse uniforme'!$D$5-'hypothèse uniforme'!$C$5)*RAND()</f>
        <v>0.73442713935218551</v>
      </c>
      <c r="C62">
        <v>26</v>
      </c>
      <c r="D62">
        <v>0.24304107705433867</v>
      </c>
    </row>
    <row r="63" spans="1:4" x14ac:dyDescent="0.2">
      <c r="A63">
        <f ca="1">'hypothèse uniforme'!$C$5+('hypothèse uniforme'!$D$5-'hypothèse uniforme'!$C$5)*RAND()</f>
        <v>-1.0848850739113995</v>
      </c>
      <c r="C63">
        <v>27</v>
      </c>
      <c r="D63">
        <v>0.20039227037079144</v>
      </c>
    </row>
    <row r="64" spans="1:4" x14ac:dyDescent="0.2">
      <c r="A64">
        <f ca="1">'hypothèse uniforme'!$C$5+('hypothèse uniforme'!$D$5-'hypothèse uniforme'!$C$5)*RAND()</f>
        <v>1.4396577084905382</v>
      </c>
      <c r="C64">
        <v>28</v>
      </c>
      <c r="D64">
        <v>0.23923989536889148</v>
      </c>
    </row>
    <row r="65" spans="1:4" x14ac:dyDescent="0.2">
      <c r="A65">
        <f ca="1">'hypothèse uniforme'!$C$5+('hypothèse uniforme'!$D$5-'hypothèse uniforme'!$C$5)*RAND()</f>
        <v>-2.2818000645338787</v>
      </c>
      <c r="C65">
        <v>29</v>
      </c>
      <c r="D65">
        <v>0.17694763832745125</v>
      </c>
    </row>
    <row r="66" spans="1:4" x14ac:dyDescent="0.2">
      <c r="A66">
        <f ca="1">'hypothèse uniforme'!$C$5+('hypothèse uniforme'!$D$5-'hypothèse uniforme'!$C$5)*RAND()</f>
        <v>1.3918657675729387</v>
      </c>
      <c r="C66">
        <v>30</v>
      </c>
      <c r="D66">
        <v>0.17672701136690672</v>
      </c>
    </row>
    <row r="67" spans="1:4" x14ac:dyDescent="0.2">
      <c r="A67">
        <f ca="1">'hypothèse uniforme'!$C$5+('hypothèse uniforme'!$D$5-'hypothèse uniforme'!$C$5)*RAND()</f>
        <v>7.4612713902943106E-2</v>
      </c>
      <c r="C67">
        <v>31</v>
      </c>
      <c r="D67">
        <v>0.22122499747663377</v>
      </c>
    </row>
    <row r="68" spans="1:4" x14ac:dyDescent="0.2">
      <c r="A68">
        <f ca="1">'hypothèse uniforme'!$C$5+('hypothèse uniforme'!$D$5-'hypothèse uniforme'!$C$5)*RAND()</f>
        <v>-1.4180434126773358</v>
      </c>
      <c r="C68">
        <v>32</v>
      </c>
      <c r="D68">
        <v>0.21500945669796243</v>
      </c>
    </row>
    <row r="69" spans="1:4" x14ac:dyDescent="0.2">
      <c r="A69">
        <f ca="1">'hypothèse uniforme'!$C$5+('hypothèse uniforme'!$D$5-'hypothèse uniforme'!$C$5)*RAND()</f>
        <v>-1.934371390704559</v>
      </c>
      <c r="C69">
        <v>33</v>
      </c>
      <c r="D69">
        <v>0.15689095341244863</v>
      </c>
    </row>
    <row r="70" spans="1:4" x14ac:dyDescent="0.2">
      <c r="A70">
        <f ca="1">'hypothèse uniforme'!$C$5+('hypothèse uniforme'!$D$5-'hypothèse uniforme'!$C$5)*RAND()</f>
        <v>-0.4329632684007334</v>
      </c>
      <c r="C70">
        <v>34</v>
      </c>
      <c r="D70">
        <v>0.12818708251879421</v>
      </c>
    </row>
    <row r="71" spans="1:4" x14ac:dyDescent="0.2">
      <c r="A71">
        <f ca="1">'hypothèse uniforme'!$C$5+('hypothèse uniforme'!$D$5-'hypothèse uniforme'!$C$5)*RAND()</f>
        <v>0.73298641634084438</v>
      </c>
      <c r="C71">
        <v>35</v>
      </c>
      <c r="D71">
        <v>0.20639142531844057</v>
      </c>
    </row>
    <row r="72" spans="1:4" x14ac:dyDescent="0.2">
      <c r="A72">
        <f ca="1">'hypothèse uniforme'!$C$5+('hypothèse uniforme'!$D$5-'hypothèse uniforme'!$C$5)*RAND()</f>
        <v>1.0232946401893392</v>
      </c>
      <c r="C72">
        <v>36</v>
      </c>
      <c r="D72">
        <v>0.14656805128611722</v>
      </c>
    </row>
    <row r="73" spans="1:4" x14ac:dyDescent="0.2">
      <c r="A73">
        <f ca="1">'hypothèse uniforme'!$C$5+('hypothèse uniforme'!$D$5-'hypothèse uniforme'!$C$5)*RAND()</f>
        <v>-0.26247709457922008</v>
      </c>
      <c r="C73">
        <v>37</v>
      </c>
      <c r="D73">
        <v>0.10868080760327278</v>
      </c>
    </row>
    <row r="74" spans="1:4" x14ac:dyDescent="0.2">
      <c r="A74">
        <f ca="1">'hypothèse uniforme'!$C$5+('hypothèse uniforme'!$D$5-'hypothèse uniforme'!$C$5)*RAND()</f>
        <v>0.85013819240133603</v>
      </c>
      <c r="C74">
        <v>38</v>
      </c>
      <c r="D74">
        <v>0.12911834768511163</v>
      </c>
    </row>
    <row r="75" spans="1:4" x14ac:dyDescent="0.2">
      <c r="A75">
        <f ca="1">'hypothèse uniforme'!$C$5+('hypothèse uniforme'!$D$5-'hypothèse uniforme'!$C$5)*RAND()</f>
        <v>-2.1918159322604067</v>
      </c>
      <c r="C75">
        <v>39</v>
      </c>
      <c r="D75">
        <v>0.17463075552062396</v>
      </c>
    </row>
    <row r="76" spans="1:4" x14ac:dyDescent="0.2">
      <c r="A76">
        <f ca="1">'hypothèse uniforme'!$C$5+('hypothèse uniforme'!$D$5-'hypothèse uniforme'!$C$5)*RAND()</f>
        <v>0.49707072624616933</v>
      </c>
      <c r="C76">
        <v>40</v>
      </c>
      <c r="D76">
        <v>0.19987865488151232</v>
      </c>
    </row>
    <row r="77" spans="1:4" x14ac:dyDescent="0.2">
      <c r="A77">
        <f ca="1">'hypothèse uniforme'!$C$5+('hypothèse uniforme'!$D$5-'hypothèse uniforme'!$C$5)*RAND()</f>
        <v>0.38295696777148347</v>
      </c>
      <c r="C77">
        <v>41</v>
      </c>
      <c r="D77">
        <v>0.1883843058162758</v>
      </c>
    </row>
    <row r="78" spans="1:4" x14ac:dyDescent="0.2">
      <c r="A78">
        <f ca="1">'hypothèse uniforme'!$C$5+('hypothèse uniforme'!$D$5-'hypothèse uniforme'!$C$5)*RAND()</f>
        <v>0.82696949644121309</v>
      </c>
      <c r="C78">
        <v>42</v>
      </c>
      <c r="D78">
        <v>0.19675021337090326</v>
      </c>
    </row>
    <row r="79" spans="1:4" x14ac:dyDescent="0.2">
      <c r="A79">
        <f ca="1">'hypothèse uniforme'!$C$5+('hypothèse uniforme'!$D$5-'hypothèse uniforme'!$C$5)*RAND()</f>
        <v>0.82214018154424506</v>
      </c>
      <c r="C79">
        <v>43</v>
      </c>
      <c r="D79">
        <v>0.18405095511206274</v>
      </c>
    </row>
    <row r="80" spans="1:4" x14ac:dyDescent="0.2">
      <c r="A80">
        <f ca="1">'hypothèse uniforme'!$C$5+('hypothèse uniforme'!$D$5-'hypothèse uniforme'!$C$5)*RAND()</f>
        <v>-1.2083733534339673</v>
      </c>
      <c r="C80">
        <v>44</v>
      </c>
      <c r="D80">
        <v>9.2342183791983584E-2</v>
      </c>
    </row>
    <row r="81" spans="1:4" x14ac:dyDescent="0.2">
      <c r="A81">
        <f ca="1">'hypothèse uniforme'!$C$5+('hypothèse uniforme'!$D$5-'hypothèse uniforme'!$C$5)*RAND()</f>
        <v>-2.0185944659284263</v>
      </c>
      <c r="C81">
        <v>45</v>
      </c>
      <c r="D81">
        <v>0.2718286136867073</v>
      </c>
    </row>
    <row r="82" spans="1:4" x14ac:dyDescent="0.2">
      <c r="A82">
        <f ca="1">'hypothèse uniforme'!$C$5+('hypothèse uniforme'!$D$5-'hypothèse uniforme'!$C$5)*RAND()</f>
        <v>1.8327322829873642</v>
      </c>
      <c r="C82">
        <v>46</v>
      </c>
      <c r="D82">
        <v>0.23333550174616607</v>
      </c>
    </row>
    <row r="83" spans="1:4" x14ac:dyDescent="0.2">
      <c r="A83">
        <f ca="1">'hypothèse uniforme'!$C$5+('hypothèse uniforme'!$D$5-'hypothèse uniforme'!$C$5)*RAND()</f>
        <v>1.772922839646994</v>
      </c>
      <c r="C83">
        <v>47</v>
      </c>
      <c r="D83">
        <v>0.18482696777559815</v>
      </c>
    </row>
    <row r="84" spans="1:4" x14ac:dyDescent="0.2">
      <c r="A84">
        <f ca="1">'hypothèse uniforme'!$C$5+('hypothèse uniforme'!$D$5-'hypothèse uniforme'!$C$5)*RAND()</f>
        <v>-1.2980194110291623</v>
      </c>
      <c r="C84">
        <v>48</v>
      </c>
      <c r="D84">
        <v>0.10721300390475121</v>
      </c>
    </row>
    <row r="85" spans="1:4" x14ac:dyDescent="0.2">
      <c r="A85">
        <f ca="1">'hypothèse uniforme'!$C$5+('hypothèse uniforme'!$D$5-'hypothèse uniforme'!$C$5)*RAND()</f>
        <v>-1.2608699012024309</v>
      </c>
      <c r="C85">
        <v>49</v>
      </c>
      <c r="D85">
        <v>0.22711461494790619</v>
      </c>
    </row>
    <row r="86" spans="1:4" x14ac:dyDescent="0.2">
      <c r="A86">
        <f ca="1">'hypothèse uniforme'!$C$5+('hypothèse uniforme'!$D$5-'hypothèse uniforme'!$C$5)*RAND()</f>
        <v>1.3621847933566134</v>
      </c>
      <c r="C86">
        <v>50</v>
      </c>
      <c r="D86">
        <v>0.33039151160840657</v>
      </c>
    </row>
    <row r="87" spans="1:4" x14ac:dyDescent="0.2">
      <c r="A87">
        <f ca="1">'hypothèse uniforme'!$C$5+('hypothèse uniforme'!$D$5-'hypothèse uniforme'!$C$5)*RAND()</f>
        <v>1.0732162093469277</v>
      </c>
      <c r="C87">
        <v>51</v>
      </c>
      <c r="D87">
        <v>0.18357577853972795</v>
      </c>
    </row>
    <row r="88" spans="1:4" x14ac:dyDescent="0.2">
      <c r="A88">
        <f ca="1">'hypothèse uniforme'!$C$5+('hypothèse uniforme'!$D$5-'hypothèse uniforme'!$C$5)*RAND()</f>
        <v>-1.4177451557142686</v>
      </c>
      <c r="C88">
        <v>52</v>
      </c>
      <c r="D88">
        <v>0.18361407329782164</v>
      </c>
    </row>
    <row r="89" spans="1:4" x14ac:dyDescent="0.2">
      <c r="A89">
        <f ca="1">'hypothèse uniforme'!$C$5+('hypothèse uniforme'!$D$5-'hypothèse uniforme'!$C$5)*RAND()</f>
        <v>0.63319971512534146</v>
      </c>
      <c r="C89">
        <v>53</v>
      </c>
      <c r="D89">
        <v>0.22935801112185186</v>
      </c>
    </row>
    <row r="90" spans="1:4" x14ac:dyDescent="0.2">
      <c r="A90">
        <f ca="1">'hypothèse uniforme'!$C$5+('hypothèse uniforme'!$D$5-'hypothèse uniforme'!$C$5)*RAND()</f>
        <v>1.3190131111901131</v>
      </c>
      <c r="C90">
        <v>54</v>
      </c>
      <c r="D90">
        <v>0.22313280970261656</v>
      </c>
    </row>
    <row r="91" spans="1:4" x14ac:dyDescent="0.2">
      <c r="A91">
        <f ca="1">'hypothèse uniforme'!$C$5+('hypothèse uniforme'!$D$5-'hypothèse uniforme'!$C$5)*RAND()</f>
        <v>1.4873348811213685</v>
      </c>
      <c r="C91">
        <v>55</v>
      </c>
      <c r="D91">
        <v>0.22602516933757383</v>
      </c>
    </row>
    <row r="92" spans="1:4" x14ac:dyDescent="0.2">
      <c r="A92">
        <f ca="1">'hypothèse uniforme'!$C$5+('hypothèse uniforme'!$D$5-'hypothèse uniforme'!$C$5)*RAND()</f>
        <v>-1.0316090593382619</v>
      </c>
      <c r="C92">
        <v>56</v>
      </c>
      <c r="D92">
        <v>0.37939575357762911</v>
      </c>
    </row>
    <row r="93" spans="1:4" x14ac:dyDescent="0.2">
      <c r="A93">
        <f ca="1">'hypothèse uniforme'!$C$5+('hypothèse uniforme'!$D$5-'hypothèse uniforme'!$C$5)*RAND()</f>
        <v>-0.21166698249405824</v>
      </c>
      <c r="C93">
        <v>57</v>
      </c>
      <c r="D93">
        <v>0.21209589872283804</v>
      </c>
    </row>
    <row r="94" spans="1:4" x14ac:dyDescent="0.2">
      <c r="A94">
        <f ca="1">'hypothèse uniforme'!$C$5+('hypothèse uniforme'!$D$5-'hypothèse uniforme'!$C$5)*RAND()</f>
        <v>-1.5241900777704127</v>
      </c>
      <c r="C94">
        <v>58</v>
      </c>
      <c r="D94">
        <v>0.25420826475033231</v>
      </c>
    </row>
    <row r="95" spans="1:4" x14ac:dyDescent="0.2">
      <c r="A95">
        <f ca="1">'hypothèse uniforme'!$C$5+('hypothèse uniforme'!$D$5-'hypothèse uniforme'!$C$5)*RAND()</f>
        <v>0.35493443370798961</v>
      </c>
      <c r="C95">
        <v>59</v>
      </c>
      <c r="D95">
        <v>0.23720739745362007</v>
      </c>
    </row>
    <row r="96" spans="1:4" x14ac:dyDescent="0.2">
      <c r="A96">
        <f ca="1">'hypothèse uniforme'!$C$5+('hypothèse uniforme'!$D$5-'hypothèse uniforme'!$C$5)*RAND()</f>
        <v>1.2005784343605512</v>
      </c>
      <c r="C96">
        <v>60</v>
      </c>
      <c r="D96">
        <v>0.2133389676862141</v>
      </c>
    </row>
    <row r="97" spans="1:4" x14ac:dyDescent="0.2">
      <c r="A97">
        <f ca="1">'hypothèse uniforme'!$C$5+('hypothèse uniforme'!$D$5-'hypothèse uniforme'!$C$5)*RAND()</f>
        <v>1.2928549101533706</v>
      </c>
      <c r="C97">
        <v>61</v>
      </c>
      <c r="D97">
        <v>0.13421986219699128</v>
      </c>
    </row>
    <row r="98" spans="1:4" x14ac:dyDescent="0.2">
      <c r="A98">
        <f ca="1">'hypothèse uniforme'!$C$5+('hypothèse uniforme'!$D$5-'hypothèse uniforme'!$C$5)*RAND()</f>
        <v>0.3123151529148549</v>
      </c>
      <c r="C98">
        <v>62</v>
      </c>
      <c r="D98">
        <v>0.29720238878555916</v>
      </c>
    </row>
    <row r="99" spans="1:4" x14ac:dyDescent="0.2">
      <c r="A99">
        <f ca="1">'hypothèse uniforme'!$C$5+('hypothèse uniforme'!$D$5-'hypothèse uniforme'!$C$5)*RAND()</f>
        <v>0.10887560730328438</v>
      </c>
      <c r="C99">
        <v>63</v>
      </c>
      <c r="D99">
        <v>0.26887421025213937</v>
      </c>
    </row>
    <row r="100" spans="1:4" x14ac:dyDescent="0.2">
      <c r="A100">
        <f ca="1">'hypothèse uniforme'!$C$5+('hypothèse uniforme'!$D$5-'hypothèse uniforme'!$C$5)*RAND()</f>
        <v>0.81125871632610957</v>
      </c>
      <c r="C100">
        <v>64</v>
      </c>
      <c r="D100">
        <v>0.25225592272434472</v>
      </c>
    </row>
    <row r="101" spans="1:4" x14ac:dyDescent="0.2">
      <c r="C101">
        <v>65</v>
      </c>
      <c r="D101">
        <v>0.15355809575391963</v>
      </c>
    </row>
    <row r="102" spans="1:4" x14ac:dyDescent="0.2">
      <c r="C102">
        <v>66</v>
      </c>
      <c r="D102">
        <v>6.1871187720210281E-2</v>
      </c>
    </row>
    <row r="103" spans="1:4" x14ac:dyDescent="0.2">
      <c r="C103">
        <v>67</v>
      </c>
      <c r="D103">
        <v>0.1734519914344152</v>
      </c>
    </row>
    <row r="104" spans="1:4" x14ac:dyDescent="0.2">
      <c r="C104">
        <v>68</v>
      </c>
      <c r="D104">
        <v>0.12028467068220859</v>
      </c>
    </row>
    <row r="105" spans="1:4" x14ac:dyDescent="0.2">
      <c r="C105">
        <v>69</v>
      </c>
      <c r="D105">
        <v>0.17537672062535842</v>
      </c>
    </row>
    <row r="106" spans="1:4" x14ac:dyDescent="0.2">
      <c r="C106">
        <v>70</v>
      </c>
      <c r="D106">
        <v>0.16500991801892143</v>
      </c>
    </row>
    <row r="107" spans="1:4" x14ac:dyDescent="0.2">
      <c r="C107">
        <v>71</v>
      </c>
      <c r="D107">
        <v>0.15828738893522826</v>
      </c>
    </row>
    <row r="108" spans="1:4" x14ac:dyDescent="0.2">
      <c r="C108">
        <v>72</v>
      </c>
      <c r="D108">
        <v>0.28440247092880028</v>
      </c>
    </row>
    <row r="109" spans="1:4" x14ac:dyDescent="0.2">
      <c r="C109">
        <v>73</v>
      </c>
      <c r="D109">
        <v>0.20140055977404844</v>
      </c>
    </row>
    <row r="110" spans="1:4" x14ac:dyDescent="0.2">
      <c r="C110">
        <v>74</v>
      </c>
      <c r="D110">
        <v>0.23551176784498939</v>
      </c>
    </row>
    <row r="111" spans="1:4" x14ac:dyDescent="0.2">
      <c r="C111">
        <v>75</v>
      </c>
      <c r="D111">
        <v>0.17424052719038924</v>
      </c>
    </row>
    <row r="112" spans="1:4" x14ac:dyDescent="0.2">
      <c r="C112">
        <v>76</v>
      </c>
      <c r="D112">
        <v>0.11895744801424486</v>
      </c>
    </row>
    <row r="113" spans="3:4" x14ac:dyDescent="0.2">
      <c r="C113">
        <v>77</v>
      </c>
      <c r="D113">
        <v>0.24803410262081013</v>
      </c>
    </row>
    <row r="114" spans="3:4" x14ac:dyDescent="0.2">
      <c r="C114">
        <v>78</v>
      </c>
      <c r="D114">
        <v>0.19656398978319178</v>
      </c>
    </row>
    <row r="115" spans="3:4" x14ac:dyDescent="0.2">
      <c r="C115">
        <v>79</v>
      </c>
      <c r="D115">
        <v>0.11638967185284302</v>
      </c>
    </row>
    <row r="116" spans="3:4" x14ac:dyDescent="0.2">
      <c r="C116">
        <v>80</v>
      </c>
      <c r="D116">
        <v>0.20585767312705397</v>
      </c>
    </row>
    <row r="117" spans="3:4" x14ac:dyDescent="0.2">
      <c r="C117">
        <v>81</v>
      </c>
      <c r="D117">
        <v>0.26148154613533281</v>
      </c>
    </row>
    <row r="118" spans="3:4" x14ac:dyDescent="0.2">
      <c r="C118">
        <v>82</v>
      </c>
      <c r="D118">
        <v>0.35029050397575001</v>
      </c>
    </row>
    <row r="119" spans="3:4" x14ac:dyDescent="0.2">
      <c r="C119">
        <v>83</v>
      </c>
      <c r="D119">
        <v>0.2075326334054434</v>
      </c>
    </row>
    <row r="120" spans="3:4" x14ac:dyDescent="0.2">
      <c r="C120">
        <v>84</v>
      </c>
      <c r="D120">
        <v>0.14889838931655722</v>
      </c>
    </row>
    <row r="121" spans="3:4" x14ac:dyDescent="0.2">
      <c r="C121">
        <v>85</v>
      </c>
      <c r="D121">
        <v>0.20342745107643767</v>
      </c>
    </row>
    <row r="122" spans="3:4" x14ac:dyDescent="0.2">
      <c r="C122">
        <v>86</v>
      </c>
      <c r="D122">
        <v>0.13602697781660986</v>
      </c>
    </row>
    <row r="123" spans="3:4" x14ac:dyDescent="0.2">
      <c r="C123">
        <v>87</v>
      </c>
      <c r="D123">
        <v>0.28217468860952399</v>
      </c>
    </row>
    <row r="124" spans="3:4" x14ac:dyDescent="0.2">
      <c r="C124">
        <v>88</v>
      </c>
      <c r="D124">
        <v>0.11893306166319356</v>
      </c>
    </row>
    <row r="125" spans="3:4" x14ac:dyDescent="0.2">
      <c r="C125">
        <v>89</v>
      </c>
      <c r="D125">
        <v>0.21362841434545451</v>
      </c>
    </row>
    <row r="126" spans="3:4" x14ac:dyDescent="0.2">
      <c r="C126">
        <v>90</v>
      </c>
      <c r="D126">
        <v>0.25177226021371923</v>
      </c>
    </row>
    <row r="127" spans="3:4" x14ac:dyDescent="0.2">
      <c r="C127">
        <v>91</v>
      </c>
      <c r="D127">
        <v>0.1421982460544913</v>
      </c>
    </row>
    <row r="128" spans="3:4" x14ac:dyDescent="0.2">
      <c r="C128">
        <v>92</v>
      </c>
      <c r="D128">
        <v>0.17290538074157275</v>
      </c>
    </row>
    <row r="129" spans="3:4" x14ac:dyDescent="0.2">
      <c r="C129">
        <v>93</v>
      </c>
      <c r="D129">
        <v>0.2290583679274858</v>
      </c>
    </row>
    <row r="130" spans="3:4" x14ac:dyDescent="0.2">
      <c r="C130">
        <v>94</v>
      </c>
      <c r="D130">
        <v>0.16865366928784661</v>
      </c>
    </row>
    <row r="131" spans="3:4" x14ac:dyDescent="0.2">
      <c r="C131">
        <v>95</v>
      </c>
      <c r="D131">
        <v>0.31159695821753897</v>
      </c>
    </row>
    <row r="132" spans="3:4" x14ac:dyDescent="0.2">
      <c r="C132">
        <v>96</v>
      </c>
      <c r="D132">
        <v>0.13183912467885797</v>
      </c>
    </row>
    <row r="133" spans="3:4" x14ac:dyDescent="0.2">
      <c r="C133">
        <v>97</v>
      </c>
      <c r="D133">
        <v>0.2111179183472352</v>
      </c>
    </row>
    <row r="134" spans="3:4" x14ac:dyDescent="0.2">
      <c r="C134">
        <v>98</v>
      </c>
      <c r="D134">
        <v>0.18892368842245988</v>
      </c>
    </row>
    <row r="135" spans="3:4" x14ac:dyDescent="0.2">
      <c r="C135">
        <v>99</v>
      </c>
      <c r="D135">
        <v>0.31714259276454887</v>
      </c>
    </row>
    <row r="136" spans="3:4" x14ac:dyDescent="0.2">
      <c r="C136">
        <v>100</v>
      </c>
      <c r="D136">
        <v>0.21347720475043214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données0</vt:lpstr>
      <vt:lpstr>hypothèse normale</vt:lpstr>
      <vt:lpstr>hyp.norm. bootstrap</vt:lpstr>
      <vt:lpstr>hypothèse uniforme</vt:lpstr>
      <vt:lpstr>hyp.unif. 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delage</dc:creator>
  <cp:lastModifiedBy>erick delage</cp:lastModifiedBy>
  <dcterms:created xsi:type="dcterms:W3CDTF">2020-07-22T19:20:22Z</dcterms:created>
  <dcterms:modified xsi:type="dcterms:W3CDTF">2020-10-05T13:26:44Z</dcterms:modified>
</cp:coreProperties>
</file>