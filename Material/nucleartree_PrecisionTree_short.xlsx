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3"/>
  <workbookPr/>
  <mc:AlternateContent xmlns:mc="http://schemas.openxmlformats.org/markup-compatibility/2006">
    <mc:Choice Requires="x15">
      <x15ac:absPath xmlns:x15ac="http://schemas.microsoft.com/office/spreadsheetml/2010/11/ac" url="\\morwen\Profiles$\Labos\11131697\Downloads\"/>
    </mc:Choice>
  </mc:AlternateContent>
  <xr:revisionPtr revIDLastSave="0" documentId="13_ncr:1_{F219CEF1-1BD7-45E1-8EB7-E9EA66AA57A2}" xr6:coauthVersionLast="36" xr6:coauthVersionMax="36" xr10:uidLastSave="{00000000-0000-0000-0000-000000000000}"/>
  <bookViews>
    <workbookView xWindow="0" yWindow="0" windowWidth="21600" windowHeight="9045" activeTab="5" xr2:uid="{00000000-000D-0000-FFFF-FFFF00000000}"/>
  </bookViews>
  <sheets>
    <sheet name="cash flows" sheetId="20" r:id="rId1"/>
    <sheet name="CB_DATA_" sheetId="8" state="hidden" r:id="rId2"/>
    <sheet name="ro_HiddenInfo" sheetId="19" state="hidden" r:id="rId3"/>
    <sheet name="Assumptions" sheetId="24" r:id="rId4"/>
    <sheet name="tree" sheetId="22" r:id="rId5"/>
    <sheet name="optimal solution" sheetId="25" r:id="rId6"/>
    <sheet name="treeCalc_2" sheetId="26" state="hidden" r:id="rId7"/>
    <sheet name="treeCalc_1" sheetId="23" state="hidden" r:id="rId8"/>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256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CB_0586a49258974a04a5e3e4ef56caa8a1" localSheetId="1" hidden="1">#N/A</definedName>
    <definedName name="CB_Block_00000000000000000000000000000000" localSheetId="1" hidden="1">"'7.0.0.0"</definedName>
    <definedName name="CB_Block_00000000000000000000000000000001" localSheetId="1" hidden="1">"'633389339899062500"</definedName>
    <definedName name="CB_Block_00000000000000000000000000000003" localSheetId="1" hidden="1">"'7.3.960.0"</definedName>
    <definedName name="CB_BlockExt_00000000000000000000000000000003" localSheetId="1" hidden="1">"'7.3.1"</definedName>
    <definedName name="CBWorkbookPriority" hidden="1">-1474084343</definedName>
    <definedName name="CBx_12678692a5f948458c394d3e4a231c9b" localSheetId="1" hidden="1">"'CB_DATA_'!$A$1"</definedName>
    <definedName name="CBx_aed80c88d725493e9a11647d35d79232" localSheetId="1" hidden="1">"'simulation'!$A$1"</definedName>
    <definedName name="CBx_Sheet_Guid" localSheetId="1" hidden="1">"'12678692-a5f9-4845-8c39-4d3e4a231c9b"</definedName>
    <definedName name="CBx_SheetRef" localSheetId="1" hidden="1">CB_DATA_!$A$14</definedName>
    <definedName name="CBx_StorageType" localSheetId="1" hidden="1">2</definedName>
    <definedName name="Pal_Workbook_GUID" hidden="1">"I8Z52SP3TZ9KWJ27RWK4V8C9"</definedName>
    <definedName name="PalisadeReportWorkbookCreatedBy">"AtRisk"</definedName>
    <definedName name="PTree_PolicySuggestion_IncludeDecisionTable" hidden="1">FALSE</definedName>
    <definedName name="PTree_PolicySuggestion_IncludeOptimalDecisionTree" hidden="1">TRUE</definedName>
    <definedName name="PTree_PolicySuggestion_Model" hidden="1">PTreeObjectReference(PTDecisionTree_1,treeCalc_1!$A$1)</definedName>
    <definedName name="PTree_PolicySuggestion_StartingNode" hidden="1">PTreeObjectReference(NULL,NULL)</definedName>
    <definedName name="PTree_RiskProfile_IncludeCumulativeChart" hidden="1">FALSE</definedName>
    <definedName name="PTree_RiskProfile_IncludeProbabilityChart" hidden="1">TRUE</definedName>
    <definedName name="PTree_RiskProfile_IncludeStatisticalSummary" hidden="1">FALSE</definedName>
    <definedName name="PTree_RiskProfile_Model" hidden="1">PTreeObjectReference(PTDecisionTree_1,treeCalc_1!$A$1)</definedName>
    <definedName name="PTree_RiskProfile_PathsToAnalyze" hidden="1">0</definedName>
    <definedName name="PTree_RiskProfile_StartingNode" hidden="1">PTreeObjectReference(NULL,NULL)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olver_corr" hidden="1">1</definedName>
    <definedName name="solver_ctp1" hidden="1">0</definedName>
    <definedName name="solver_ctp2" hidden="1">0</definedName>
    <definedName name="solver_disp" hidden="1">4</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10000</definedName>
    <definedName name="solver_rgen" hidden="1">1</definedName>
    <definedName name="solver_rsmp" hidden="1">2</definedName>
    <definedName name="solver_seed" hidden="1">0</definedName>
    <definedName name="solver_strm" hidden="1">0</definedName>
    <definedName name="solver_ucens" hidden="1">1E+30</definedName>
    <definedName name="solver_ucut" hidden="1">1E+30</definedName>
    <definedName name="solvero_CRMax" hidden="1">"System.Double:Infinity"</definedName>
    <definedName name="solvero_CRMin" hidden="1">"System.Double:-Infinity"</definedName>
    <definedName name="solvero_OSpPars" hidden="1">"RiskSolver.UI.Charts.OutDlgPars:-1000001;29;28;42;42;0;1;90;80;0;0;0;0;1;"</definedName>
    <definedName name="treeList" hidden="1">"11000000000000000000000000000000000000000000000000000000000000000000000000000000000000000000000000000000000000000000000000000000000000000000000000000000000000000000000000000000000000000000000000000000"</definedName>
  </definedNames>
  <calcPr calcId="191029" concurrentCalc="0"/>
  <extLst>
    <ext xmlns:mx="http://schemas.microsoft.com/office/mac/excel/2008/main" uri="{7523E5D3-25F3-A5E0-1632-64F254C22452}">
      <mx:ArchID Flags="2"/>
    </ext>
  </extLst>
</workbook>
</file>

<file path=xl/calcChain.xml><?xml version="1.0" encoding="utf-8"?>
<calcChain xmlns="http://schemas.openxmlformats.org/spreadsheetml/2006/main">
  <c r="H48" i="26" l="1"/>
  <c r="H15" i="26"/>
  <c r="H118" i="26"/>
  <c r="H85" i="26"/>
  <c r="H13" i="26"/>
  <c r="H83" i="26"/>
  <c r="J11" i="26"/>
  <c r="J12" i="26"/>
  <c r="J13" i="26"/>
  <c r="J14" i="26"/>
  <c r="K11" i="26"/>
  <c r="K13" i="26"/>
  <c r="K15" i="26"/>
  <c r="K17" i="26"/>
  <c r="K18" i="26"/>
  <c r="K19" i="26"/>
  <c r="K20" i="26"/>
  <c r="K21" i="26"/>
  <c r="K22" i="26"/>
  <c r="K23" i="26"/>
  <c r="K24" i="26"/>
  <c r="K25" i="26"/>
  <c r="K26" i="26"/>
  <c r="K27" i="26"/>
  <c r="K28" i="26"/>
  <c r="K29" i="26"/>
  <c r="K30" i="26"/>
  <c r="K31" i="26"/>
  <c r="K32" i="26"/>
  <c r="K33" i="26"/>
  <c r="K34" i="26"/>
  <c r="K35" i="26"/>
  <c r="K36" i="26"/>
  <c r="K37" i="26"/>
  <c r="K38" i="26"/>
  <c r="K39" i="26"/>
  <c r="K40" i="26"/>
  <c r="K41" i="26"/>
  <c r="K42" i="26"/>
  <c r="K43" i="26"/>
  <c r="K44" i="26"/>
  <c r="K45" i="26"/>
  <c r="K46" i="26"/>
  <c r="K48" i="26"/>
  <c r="K50" i="26"/>
  <c r="K51" i="26"/>
  <c r="K52" i="26"/>
  <c r="K53" i="26"/>
  <c r="K54" i="26"/>
  <c r="K55" i="26"/>
  <c r="K56" i="26"/>
  <c r="K57" i="26"/>
  <c r="K58" i="26"/>
  <c r="K59" i="26"/>
  <c r="K60" i="26"/>
  <c r="K61" i="26"/>
  <c r="K62" i="26"/>
  <c r="K63" i="26"/>
  <c r="K64" i="26"/>
  <c r="K65" i="26"/>
  <c r="K66" i="26"/>
  <c r="K67" i="26"/>
  <c r="K68" i="26"/>
  <c r="K69" i="26"/>
  <c r="K70" i="26"/>
  <c r="K71" i="26"/>
  <c r="K72" i="26"/>
  <c r="K73" i="26"/>
  <c r="K74" i="26"/>
  <c r="K75" i="26"/>
  <c r="K76" i="26"/>
  <c r="K77" i="26"/>
  <c r="K78" i="26"/>
  <c r="K79" i="26"/>
  <c r="K83" i="26"/>
  <c r="K85" i="26"/>
  <c r="K87" i="26"/>
  <c r="K88" i="26"/>
  <c r="K89" i="26"/>
  <c r="K90" i="26"/>
  <c r="K91" i="26"/>
  <c r="K92" i="26"/>
  <c r="K93" i="26"/>
  <c r="K94" i="26"/>
  <c r="K95" i="26"/>
  <c r="K96" i="26"/>
  <c r="K97" i="26"/>
  <c r="K98" i="26"/>
  <c r="K99" i="26"/>
  <c r="K100" i="26"/>
  <c r="K101" i="26"/>
  <c r="K102" i="26"/>
  <c r="K103" i="26"/>
  <c r="K104" i="26"/>
  <c r="K105" i="26"/>
  <c r="K106" i="26"/>
  <c r="K107" i="26"/>
  <c r="K108" i="26"/>
  <c r="K109" i="26"/>
  <c r="K110" i="26"/>
  <c r="K111" i="26"/>
  <c r="K112" i="26"/>
  <c r="K113" i="26"/>
  <c r="K114" i="26"/>
  <c r="K115" i="26"/>
  <c r="K116" i="26"/>
  <c r="K118"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8" i="26"/>
  <c r="J150" i="26"/>
  <c r="F2" i="26"/>
  <c r="F2" i="23"/>
  <c r="H11" i="26"/>
  <c r="O118" i="26"/>
  <c r="O114" i="26"/>
  <c r="O111" i="26"/>
  <c r="O108" i="26"/>
  <c r="O107" i="26"/>
  <c r="O104" i="26"/>
  <c r="O101" i="26"/>
  <c r="O98" i="26"/>
  <c r="O97" i="26"/>
  <c r="O94" i="26"/>
  <c r="O91" i="26"/>
  <c r="O88" i="26"/>
  <c r="O87" i="26"/>
  <c r="O86" i="26"/>
  <c r="O85" i="26"/>
  <c r="O84" i="26"/>
  <c r="O83" i="26"/>
  <c r="O77" i="26"/>
  <c r="O74" i="26"/>
  <c r="O71" i="26"/>
  <c r="O70" i="26"/>
  <c r="O67" i="26"/>
  <c r="O64" i="26"/>
  <c r="O61" i="26"/>
  <c r="O60" i="26"/>
  <c r="O57" i="26"/>
  <c r="O54" i="26"/>
  <c r="O51" i="26"/>
  <c r="O50" i="26"/>
  <c r="O49" i="26"/>
  <c r="O48" i="26"/>
  <c r="O44" i="26"/>
  <c r="O41" i="26"/>
  <c r="O38" i="26"/>
  <c r="O37" i="26"/>
  <c r="O34" i="26"/>
  <c r="O31" i="26"/>
  <c r="O28" i="26"/>
  <c r="O27" i="26"/>
  <c r="O24" i="26"/>
  <c r="O21" i="26"/>
  <c r="O18" i="26"/>
  <c r="O17" i="26"/>
  <c r="O16" i="26"/>
  <c r="O15" i="26"/>
  <c r="O14" i="26"/>
  <c r="O13" i="26"/>
  <c r="O12" i="26"/>
  <c r="O11" i="26"/>
  <c r="H114" i="26"/>
  <c r="H111" i="26"/>
  <c r="H108" i="26"/>
  <c r="H107" i="26"/>
  <c r="H104" i="26"/>
  <c r="H101" i="26"/>
  <c r="H98" i="26"/>
  <c r="H97" i="26"/>
  <c r="H94" i="26"/>
  <c r="H91" i="26"/>
  <c r="H88" i="26"/>
  <c r="H87" i="26"/>
  <c r="H86" i="26"/>
  <c r="H77" i="26"/>
  <c r="H74" i="26"/>
  <c r="H71" i="26"/>
  <c r="H70" i="26"/>
  <c r="H67" i="26"/>
  <c r="H64" i="26"/>
  <c r="H61" i="26"/>
  <c r="H60" i="26"/>
  <c r="H57" i="26"/>
  <c r="H54" i="26"/>
  <c r="H51" i="26"/>
  <c r="H50" i="26"/>
  <c r="H49" i="26"/>
  <c r="H44" i="26"/>
  <c r="H41" i="26"/>
  <c r="H38" i="26"/>
  <c r="H37" i="26"/>
  <c r="H34" i="26"/>
  <c r="H31" i="26"/>
  <c r="H28" i="26"/>
  <c r="H27" i="26"/>
  <c r="H24" i="26"/>
  <c r="H21" i="26"/>
  <c r="H18" i="26"/>
  <c r="H17" i="26"/>
  <c r="H16" i="26"/>
  <c r="H12" i="26"/>
  <c r="I2" i="20"/>
  <c r="H28" i="20"/>
  <c r="H29" i="20"/>
  <c r="H33" i="20"/>
  <c r="I29" i="20"/>
  <c r="I28" i="20"/>
  <c r="I33" i="20"/>
  <c r="I35" i="20"/>
  <c r="I36" i="20"/>
  <c r="I37" i="20"/>
  <c r="I38" i="20"/>
  <c r="I32" i="20"/>
  <c r="I39" i="20"/>
  <c r="I40" i="20"/>
  <c r="J2" i="20"/>
  <c r="J29" i="20"/>
  <c r="J28" i="20"/>
  <c r="J33" i="20"/>
  <c r="J35" i="20"/>
  <c r="J36" i="20"/>
  <c r="J37" i="20"/>
  <c r="J38" i="20"/>
  <c r="J32" i="20"/>
  <c r="J39" i="20"/>
  <c r="J40" i="20"/>
  <c r="K2" i="20"/>
  <c r="K30" i="20"/>
  <c r="K29" i="20"/>
  <c r="K28" i="20"/>
  <c r="K33" i="20"/>
  <c r="K35" i="20"/>
  <c r="K36" i="20"/>
  <c r="K37" i="20"/>
  <c r="K38" i="20"/>
  <c r="K32" i="20"/>
  <c r="K39" i="20"/>
  <c r="K40" i="20"/>
  <c r="L2" i="20"/>
  <c r="L30" i="20"/>
  <c r="L29" i="20"/>
  <c r="L28" i="20"/>
  <c r="L33" i="20"/>
  <c r="L35" i="20"/>
  <c r="L36" i="20"/>
  <c r="L37" i="20"/>
  <c r="L38" i="20"/>
  <c r="L32" i="20"/>
  <c r="L39" i="20"/>
  <c r="L40" i="20"/>
  <c r="M2" i="20"/>
  <c r="M30" i="20"/>
  <c r="M29" i="20"/>
  <c r="M28" i="20"/>
  <c r="M33" i="20"/>
  <c r="M35" i="20"/>
  <c r="M36" i="20"/>
  <c r="M37" i="20"/>
  <c r="M38" i="20"/>
  <c r="M32" i="20"/>
  <c r="M39" i="20"/>
  <c r="M40" i="20"/>
  <c r="N2" i="20"/>
  <c r="N30" i="20"/>
  <c r="N29" i="20"/>
  <c r="N28" i="20"/>
  <c r="N33" i="20"/>
  <c r="N35" i="20"/>
  <c r="N36" i="20"/>
  <c r="N37" i="20"/>
  <c r="N38" i="20"/>
  <c r="N16" i="20"/>
  <c r="N32" i="20"/>
  <c r="N39" i="20"/>
  <c r="N40" i="20"/>
  <c r="O2" i="20"/>
  <c r="O31" i="20"/>
  <c r="O30" i="20"/>
  <c r="O29" i="20"/>
  <c r="O28" i="20"/>
  <c r="O33" i="20"/>
  <c r="O35" i="20"/>
  <c r="O36" i="20"/>
  <c r="O37" i="20"/>
  <c r="O38" i="20"/>
  <c r="O16" i="20"/>
  <c r="I18" i="20"/>
  <c r="J18" i="20"/>
  <c r="K18" i="20"/>
  <c r="L18" i="20"/>
  <c r="M18" i="20"/>
  <c r="N18" i="20"/>
  <c r="O18" i="20"/>
  <c r="O34" i="20"/>
  <c r="E19" i="20"/>
  <c r="O32" i="20"/>
  <c r="O39" i="20"/>
  <c r="O40" i="20"/>
  <c r="P2" i="20"/>
  <c r="P31" i="20"/>
  <c r="P30" i="20"/>
  <c r="P29" i="20"/>
  <c r="P28" i="20"/>
  <c r="P33" i="20"/>
  <c r="P35" i="20"/>
  <c r="P36" i="20"/>
  <c r="P37" i="20"/>
  <c r="P38" i="20"/>
  <c r="P16" i="20"/>
  <c r="P18" i="20"/>
  <c r="P34" i="20"/>
  <c r="P32" i="20"/>
  <c r="P39" i="20"/>
  <c r="P40" i="20"/>
  <c r="Q2" i="20"/>
  <c r="Q31" i="20"/>
  <c r="Q30" i="20"/>
  <c r="Q29" i="20"/>
  <c r="Q28" i="20"/>
  <c r="Q33" i="20"/>
  <c r="Q35" i="20"/>
  <c r="Q36" i="20"/>
  <c r="Q37" i="20"/>
  <c r="Q38" i="20"/>
  <c r="Q16" i="20"/>
  <c r="Q18" i="20"/>
  <c r="Q34" i="20"/>
  <c r="Q32" i="20"/>
  <c r="Q39" i="20"/>
  <c r="Q40" i="20"/>
  <c r="R2" i="20"/>
  <c r="R31" i="20"/>
  <c r="R30" i="20"/>
  <c r="R29" i="20"/>
  <c r="R28" i="20"/>
  <c r="R33" i="20"/>
  <c r="R35" i="20"/>
  <c r="R36" i="20"/>
  <c r="R18" i="20"/>
  <c r="R37" i="20"/>
  <c r="R38" i="20"/>
  <c r="R16" i="20"/>
  <c r="R34" i="20"/>
  <c r="R32" i="20"/>
  <c r="R39" i="20"/>
  <c r="R40" i="20"/>
  <c r="S2" i="20"/>
  <c r="S18" i="20"/>
  <c r="S34" i="20"/>
  <c r="S32" i="20"/>
  <c r="S30" i="20"/>
  <c r="S29" i="20"/>
  <c r="S28" i="20"/>
  <c r="S33" i="20"/>
  <c r="S35" i="20"/>
  <c r="S36" i="20"/>
  <c r="S37" i="20"/>
  <c r="S38" i="20"/>
  <c r="S39" i="20"/>
  <c r="S40" i="20"/>
  <c r="T2" i="20"/>
  <c r="T18" i="20"/>
  <c r="T34" i="20"/>
  <c r="T32" i="20"/>
  <c r="T30" i="20"/>
  <c r="T29" i="20"/>
  <c r="T28" i="20"/>
  <c r="T33" i="20"/>
  <c r="T35" i="20"/>
  <c r="T36" i="20"/>
  <c r="T37" i="20"/>
  <c r="T38" i="20"/>
  <c r="T39" i="20"/>
  <c r="T40" i="20"/>
  <c r="U2" i="20"/>
  <c r="U18" i="20"/>
  <c r="U34" i="20"/>
  <c r="U32" i="20"/>
  <c r="U30" i="20"/>
  <c r="U29" i="20"/>
  <c r="U28" i="20"/>
  <c r="U33" i="20"/>
  <c r="U35" i="20"/>
  <c r="U36" i="20"/>
  <c r="U37" i="20"/>
  <c r="U38" i="20"/>
  <c r="U39" i="20"/>
  <c r="U40" i="20"/>
  <c r="V2" i="20"/>
  <c r="V18" i="20"/>
  <c r="V34" i="20"/>
  <c r="V32" i="20"/>
  <c r="V30" i="20"/>
  <c r="V29" i="20"/>
  <c r="V28" i="20"/>
  <c r="V33" i="20"/>
  <c r="V35" i="20"/>
  <c r="V36" i="20"/>
  <c r="V37" i="20"/>
  <c r="V38" i="20"/>
  <c r="V39" i="20"/>
  <c r="V40" i="20"/>
  <c r="W2" i="20"/>
  <c r="W18" i="20"/>
  <c r="W34" i="20"/>
  <c r="W32" i="20"/>
  <c r="W30" i="20"/>
  <c r="W29" i="20"/>
  <c r="W28" i="20"/>
  <c r="W33" i="20"/>
  <c r="W35" i="20"/>
  <c r="W36" i="20"/>
  <c r="W37" i="20"/>
  <c r="W38" i="20"/>
  <c r="W39" i="20"/>
  <c r="W40" i="20"/>
  <c r="X2" i="20"/>
  <c r="X18" i="20"/>
  <c r="X34" i="20"/>
  <c r="X32" i="20"/>
  <c r="X30" i="20"/>
  <c r="X29" i="20"/>
  <c r="X28" i="20"/>
  <c r="X33" i="20"/>
  <c r="X35" i="20"/>
  <c r="X36" i="20"/>
  <c r="X37" i="20"/>
  <c r="X38" i="20"/>
  <c r="X39" i="20"/>
  <c r="X40" i="20"/>
  <c r="Y2" i="20"/>
  <c r="Y18" i="20"/>
  <c r="Y34" i="20"/>
  <c r="Y32" i="20"/>
  <c r="Y30" i="20"/>
  <c r="Y29" i="20"/>
  <c r="Y28" i="20"/>
  <c r="Y33" i="20"/>
  <c r="Y35" i="20"/>
  <c r="Y36" i="20"/>
  <c r="Y37" i="20"/>
  <c r="Y38" i="20"/>
  <c r="Y39" i="20"/>
  <c r="Y40" i="20"/>
  <c r="Z2" i="20"/>
  <c r="Z18" i="20"/>
  <c r="Z34" i="20"/>
  <c r="Z32" i="20"/>
  <c r="Z30" i="20"/>
  <c r="Z29" i="20"/>
  <c r="Z28" i="20"/>
  <c r="Z33" i="20"/>
  <c r="Z35" i="20"/>
  <c r="Z36" i="20"/>
  <c r="Z37" i="20"/>
  <c r="Z38" i="20"/>
  <c r="Z39" i="20"/>
  <c r="Z40" i="20"/>
  <c r="AA2" i="20"/>
  <c r="AA18" i="20"/>
  <c r="AA34" i="20"/>
  <c r="AA32" i="20"/>
  <c r="AA30" i="20"/>
  <c r="AA29" i="20"/>
  <c r="AA28" i="20"/>
  <c r="AA33" i="20"/>
  <c r="AA35" i="20"/>
  <c r="AA36" i="20"/>
  <c r="AA37" i="20"/>
  <c r="AA38" i="20"/>
  <c r="AA39" i="20"/>
  <c r="AA40" i="20"/>
  <c r="AB2" i="20"/>
  <c r="AB18" i="20"/>
  <c r="AB34" i="20"/>
  <c r="AB32" i="20"/>
  <c r="AB30" i="20"/>
  <c r="AB29" i="20"/>
  <c r="AB28" i="20"/>
  <c r="AB33" i="20"/>
  <c r="AB35" i="20"/>
  <c r="AB36" i="20"/>
  <c r="AB37" i="20"/>
  <c r="AB38" i="20"/>
  <c r="AB39" i="20"/>
  <c r="AB40" i="20"/>
  <c r="AC2" i="20"/>
  <c r="AC18" i="20"/>
  <c r="AC34" i="20"/>
  <c r="AC32" i="20"/>
  <c r="AC30" i="20"/>
  <c r="AC29" i="20"/>
  <c r="AC28" i="20"/>
  <c r="AC33" i="20"/>
  <c r="AC35" i="20"/>
  <c r="AC36" i="20"/>
  <c r="AC37" i="20"/>
  <c r="AC38" i="20"/>
  <c r="AC39" i="20"/>
  <c r="AC40" i="20"/>
  <c r="AD2" i="20"/>
  <c r="AD18" i="20"/>
  <c r="AD34" i="20"/>
  <c r="AD32" i="20"/>
  <c r="AD30" i="20"/>
  <c r="AD29" i="20"/>
  <c r="AD28" i="20"/>
  <c r="AD33" i="20"/>
  <c r="AD35" i="20"/>
  <c r="AD36" i="20"/>
  <c r="AD37" i="20"/>
  <c r="AD38" i="20"/>
  <c r="AD39" i="20"/>
  <c r="AD40" i="20"/>
  <c r="AE2" i="20"/>
  <c r="AE18" i="20"/>
  <c r="AE34" i="20"/>
  <c r="AE32" i="20"/>
  <c r="AE30" i="20"/>
  <c r="AE29" i="20"/>
  <c r="AE28" i="20"/>
  <c r="AE33" i="20"/>
  <c r="AE35" i="20"/>
  <c r="AE36" i="20"/>
  <c r="AE37" i="20"/>
  <c r="AE38" i="20"/>
  <c r="AE39" i="20"/>
  <c r="AE40" i="20"/>
  <c r="AF2" i="20"/>
  <c r="AF18" i="20"/>
  <c r="AF34" i="20"/>
  <c r="AF32" i="20"/>
  <c r="AF30" i="20"/>
  <c r="AF29" i="20"/>
  <c r="AF28" i="20"/>
  <c r="AF33" i="20"/>
  <c r="AF35" i="20"/>
  <c r="AF36" i="20"/>
  <c r="AF37" i="20"/>
  <c r="AF38" i="20"/>
  <c r="AF39" i="20"/>
  <c r="AF40" i="20"/>
  <c r="AG2" i="20"/>
  <c r="AG18" i="20"/>
  <c r="AG34" i="20"/>
  <c r="AG32" i="20"/>
  <c r="AG30" i="20"/>
  <c r="AG29" i="20"/>
  <c r="AG28" i="20"/>
  <c r="AG33" i="20"/>
  <c r="AG35" i="20"/>
  <c r="AG36" i="20"/>
  <c r="AG37" i="20"/>
  <c r="AG38" i="20"/>
  <c r="AG39" i="20"/>
  <c r="AG40" i="20"/>
  <c r="AH2" i="20"/>
  <c r="AH18" i="20"/>
  <c r="AH34" i="20"/>
  <c r="AH32" i="20"/>
  <c r="AH30" i="20"/>
  <c r="AH29" i="20"/>
  <c r="AH28" i="20"/>
  <c r="AH33" i="20"/>
  <c r="AH35" i="20"/>
  <c r="AH36" i="20"/>
  <c r="AH37" i="20"/>
  <c r="AH38" i="20"/>
  <c r="AH39" i="20"/>
  <c r="AH40" i="20"/>
  <c r="AI2" i="20"/>
  <c r="AI18" i="20"/>
  <c r="AI34" i="20"/>
  <c r="AI32" i="20"/>
  <c r="AI30" i="20"/>
  <c r="AI29" i="20"/>
  <c r="AI28" i="20"/>
  <c r="AI33" i="20"/>
  <c r="AI35" i="20"/>
  <c r="AI36" i="20"/>
  <c r="AI37" i="20"/>
  <c r="AI38" i="20"/>
  <c r="AI39" i="20"/>
  <c r="AI40" i="20"/>
  <c r="AJ2" i="20"/>
  <c r="AJ18" i="20"/>
  <c r="AJ34" i="20"/>
  <c r="AJ32" i="20"/>
  <c r="AJ30" i="20"/>
  <c r="AJ29" i="20"/>
  <c r="AJ28" i="20"/>
  <c r="AJ33" i="20"/>
  <c r="AJ35" i="20"/>
  <c r="AJ36" i="20"/>
  <c r="AJ37" i="20"/>
  <c r="AJ38" i="20"/>
  <c r="AJ39" i="20"/>
  <c r="AJ40" i="20"/>
  <c r="AK2" i="20"/>
  <c r="AK18" i="20"/>
  <c r="AK34" i="20"/>
  <c r="AK32" i="20"/>
  <c r="AK30" i="20"/>
  <c r="AK29" i="20"/>
  <c r="AK28" i="20"/>
  <c r="AK33" i="20"/>
  <c r="AK35" i="20"/>
  <c r="AK36" i="20"/>
  <c r="AK37" i="20"/>
  <c r="AK38" i="20"/>
  <c r="AK39" i="20"/>
  <c r="AK40" i="20"/>
  <c r="AL2" i="20"/>
  <c r="AL18" i="20"/>
  <c r="AL34" i="20"/>
  <c r="AL32" i="20"/>
  <c r="AL30" i="20"/>
  <c r="AL29" i="20"/>
  <c r="AL28" i="20"/>
  <c r="AL33" i="20"/>
  <c r="AL35" i="20"/>
  <c r="AL36" i="20"/>
  <c r="AL37" i="20"/>
  <c r="AL38" i="20"/>
  <c r="AL39" i="20"/>
  <c r="AL40" i="20"/>
  <c r="AM2" i="20"/>
  <c r="AM18" i="20"/>
  <c r="AM34" i="20"/>
  <c r="AM32" i="20"/>
  <c r="AM30" i="20"/>
  <c r="AM29" i="20"/>
  <c r="AM28" i="20"/>
  <c r="AM33" i="20"/>
  <c r="AM35" i="20"/>
  <c r="AM36" i="20"/>
  <c r="AM37" i="20"/>
  <c r="AM38" i="20"/>
  <c r="AM39" i="20"/>
  <c r="AM40" i="20"/>
  <c r="AN2" i="20"/>
  <c r="AN18" i="20"/>
  <c r="AN34" i="20"/>
  <c r="AN32" i="20"/>
  <c r="AN30" i="20"/>
  <c r="AN29" i="20"/>
  <c r="AN28" i="20"/>
  <c r="AN33" i="20"/>
  <c r="AN35" i="20"/>
  <c r="AN36" i="20"/>
  <c r="AN37" i="20"/>
  <c r="AN38" i="20"/>
  <c r="AN39" i="20"/>
  <c r="AN40" i="20"/>
  <c r="AO2" i="20"/>
  <c r="AO18" i="20"/>
  <c r="AO34" i="20"/>
  <c r="AO32" i="20"/>
  <c r="AO30" i="20"/>
  <c r="AO29" i="20"/>
  <c r="AO28" i="20"/>
  <c r="AO33" i="20"/>
  <c r="AO35" i="20"/>
  <c r="AO36" i="20"/>
  <c r="AO37" i="20"/>
  <c r="AO38" i="20"/>
  <c r="AO39" i="20"/>
  <c r="AO40" i="20"/>
  <c r="AP2" i="20"/>
  <c r="AP18" i="20"/>
  <c r="AP34" i="20"/>
  <c r="AP32" i="20"/>
  <c r="AP30" i="20"/>
  <c r="AP29" i="20"/>
  <c r="AP28" i="20"/>
  <c r="AP33" i="20"/>
  <c r="AP35" i="20"/>
  <c r="AP36" i="20"/>
  <c r="AP37" i="20"/>
  <c r="AP38" i="20"/>
  <c r="AP39" i="20"/>
  <c r="AP40" i="20"/>
  <c r="AQ2" i="20"/>
  <c r="AQ18" i="20"/>
  <c r="AQ34" i="20"/>
  <c r="AQ32" i="20"/>
  <c r="AQ30" i="20"/>
  <c r="AQ29" i="20"/>
  <c r="AQ28" i="20"/>
  <c r="AQ33" i="20"/>
  <c r="AQ35" i="20"/>
  <c r="AQ36" i="20"/>
  <c r="AQ37" i="20"/>
  <c r="AQ38" i="20"/>
  <c r="AQ39" i="20"/>
  <c r="AQ40" i="20"/>
  <c r="AR2" i="20"/>
  <c r="AR18" i="20"/>
  <c r="AR34" i="20"/>
  <c r="AR32" i="20"/>
  <c r="AR30" i="20"/>
  <c r="AR29" i="20"/>
  <c r="AR28" i="20"/>
  <c r="AR33" i="20"/>
  <c r="AR35" i="20"/>
  <c r="AR36" i="20"/>
  <c r="AR37" i="20"/>
  <c r="AR38" i="20"/>
  <c r="AR39" i="20"/>
  <c r="AR40" i="20"/>
  <c r="AS2" i="20"/>
  <c r="AS18" i="20"/>
  <c r="AS34" i="20"/>
  <c r="AS32" i="20"/>
  <c r="AS30" i="20"/>
  <c r="AS29" i="20"/>
  <c r="AS28" i="20"/>
  <c r="AS33" i="20"/>
  <c r="AS35" i="20"/>
  <c r="AS36" i="20"/>
  <c r="AS37" i="20"/>
  <c r="AS38" i="20"/>
  <c r="AS39" i="20"/>
  <c r="AS40" i="20"/>
  <c r="AT2" i="20"/>
  <c r="AT18" i="20"/>
  <c r="AT34" i="20"/>
  <c r="AT32" i="20"/>
  <c r="AT30" i="20"/>
  <c r="AT29" i="20"/>
  <c r="AT28" i="20"/>
  <c r="AT33" i="20"/>
  <c r="AT35" i="20"/>
  <c r="AT36" i="20"/>
  <c r="AT37" i="20"/>
  <c r="AT38" i="20"/>
  <c r="AT39" i="20"/>
  <c r="AT40" i="20"/>
  <c r="AU2" i="20"/>
  <c r="AU18" i="20"/>
  <c r="AU34" i="20"/>
  <c r="AU32" i="20"/>
  <c r="AU30" i="20"/>
  <c r="AU29" i="20"/>
  <c r="AU28" i="20"/>
  <c r="AU33" i="20"/>
  <c r="AU35" i="20"/>
  <c r="AU36" i="20"/>
  <c r="AU37" i="20"/>
  <c r="AU38" i="20"/>
  <c r="AU39" i="20"/>
  <c r="AU40" i="20"/>
  <c r="AV2" i="20"/>
  <c r="AV18" i="20"/>
  <c r="AV34" i="20"/>
  <c r="AV32" i="20"/>
  <c r="AV30" i="20"/>
  <c r="AV29" i="20"/>
  <c r="AV28" i="20"/>
  <c r="AV33" i="20"/>
  <c r="AV35" i="20"/>
  <c r="AV36" i="20"/>
  <c r="AV37" i="20"/>
  <c r="AV38" i="20"/>
  <c r="AV39" i="20"/>
  <c r="AV40" i="20"/>
  <c r="AW2" i="20"/>
  <c r="AW18" i="20"/>
  <c r="AW34" i="20"/>
  <c r="AW32" i="20"/>
  <c r="AW30" i="20"/>
  <c r="AW29" i="20"/>
  <c r="AW28" i="20"/>
  <c r="AW33" i="20"/>
  <c r="AW35" i="20"/>
  <c r="AW36" i="20"/>
  <c r="AW37" i="20"/>
  <c r="AW38" i="20"/>
  <c r="AW39" i="20"/>
  <c r="AW40" i="20"/>
  <c r="AX2" i="20"/>
  <c r="AX18" i="20"/>
  <c r="AX34" i="20"/>
  <c r="AX32" i="20"/>
  <c r="AX30" i="20"/>
  <c r="AX29" i="20"/>
  <c r="AX28" i="20"/>
  <c r="AX33" i="20"/>
  <c r="AX35" i="20"/>
  <c r="AX36" i="20"/>
  <c r="AX37" i="20"/>
  <c r="AX38" i="20"/>
  <c r="AX39" i="20"/>
  <c r="AX40" i="20"/>
  <c r="AY2" i="20"/>
  <c r="AY18" i="20"/>
  <c r="AY34" i="20"/>
  <c r="AY32" i="20"/>
  <c r="AY30" i="20"/>
  <c r="AY29" i="20"/>
  <c r="AY28" i="20"/>
  <c r="AY33" i="20"/>
  <c r="AY35" i="20"/>
  <c r="AY36" i="20"/>
  <c r="AY37" i="20"/>
  <c r="AY38" i="20"/>
  <c r="AY39" i="20"/>
  <c r="AY40" i="20"/>
  <c r="AZ2" i="20"/>
  <c r="AZ18" i="20"/>
  <c r="AZ34" i="20"/>
  <c r="AZ32" i="20"/>
  <c r="AZ30" i="20"/>
  <c r="AZ29" i="20"/>
  <c r="AZ28" i="20"/>
  <c r="AZ33" i="20"/>
  <c r="AZ35" i="20"/>
  <c r="AZ36" i="20"/>
  <c r="AZ37" i="20"/>
  <c r="AZ38" i="20"/>
  <c r="AZ39" i="20"/>
  <c r="AZ40" i="20"/>
  <c r="BA2" i="20"/>
  <c r="BA18" i="20"/>
  <c r="BA34" i="20"/>
  <c r="BA32" i="20"/>
  <c r="BA30" i="20"/>
  <c r="BA29" i="20"/>
  <c r="BA28" i="20"/>
  <c r="BA33" i="20"/>
  <c r="BA35" i="20"/>
  <c r="BA36" i="20"/>
  <c r="BA37" i="20"/>
  <c r="BA38" i="20"/>
  <c r="BA39" i="20"/>
  <c r="BA40" i="20"/>
  <c r="BB2" i="20"/>
  <c r="BB18" i="20"/>
  <c r="BB34" i="20"/>
  <c r="BB32" i="20"/>
  <c r="BB30" i="20"/>
  <c r="BB29" i="20"/>
  <c r="BB28" i="20"/>
  <c r="BB33" i="20"/>
  <c r="BB35" i="20"/>
  <c r="BB36" i="20"/>
  <c r="BB37" i="20"/>
  <c r="BB38" i="20"/>
  <c r="BB39" i="20"/>
  <c r="BB40" i="20"/>
  <c r="BC2" i="20"/>
  <c r="BC18" i="20"/>
  <c r="BC34" i="20"/>
  <c r="BC32" i="20"/>
  <c r="BC30" i="20"/>
  <c r="BC29" i="20"/>
  <c r="BC28" i="20"/>
  <c r="BC33" i="20"/>
  <c r="BC35" i="20"/>
  <c r="BC36" i="20"/>
  <c r="BC37" i="20"/>
  <c r="BC38" i="20"/>
  <c r="BC39" i="20"/>
  <c r="BC40" i="20"/>
  <c r="BD2" i="20"/>
  <c r="BD18" i="20"/>
  <c r="BD34" i="20"/>
  <c r="BD32" i="20"/>
  <c r="BD30" i="20"/>
  <c r="BD29" i="20"/>
  <c r="BD28" i="20"/>
  <c r="BD33" i="20"/>
  <c r="BD35" i="20"/>
  <c r="BD36" i="20"/>
  <c r="BD37" i="20"/>
  <c r="BD38" i="20"/>
  <c r="BD39" i="20"/>
  <c r="BD40" i="20"/>
  <c r="BE2" i="20"/>
  <c r="BE18" i="20"/>
  <c r="BE34" i="20"/>
  <c r="BE32" i="20"/>
  <c r="BE30" i="20"/>
  <c r="BE29" i="20"/>
  <c r="BE28" i="20"/>
  <c r="BE33" i="20"/>
  <c r="BE35" i="20"/>
  <c r="BE36" i="20"/>
  <c r="BE37" i="20"/>
  <c r="BE38" i="20"/>
  <c r="BE39" i="20"/>
  <c r="BE40" i="20"/>
  <c r="BF2" i="20"/>
  <c r="BF18" i="20"/>
  <c r="BF34" i="20"/>
  <c r="BF32" i="20"/>
  <c r="BF30" i="20"/>
  <c r="BF29" i="20"/>
  <c r="BF28" i="20"/>
  <c r="BF33" i="20"/>
  <c r="BF35" i="20"/>
  <c r="BF36" i="20"/>
  <c r="BF37" i="20"/>
  <c r="BF38" i="20"/>
  <c r="BF39" i="20"/>
  <c r="BF40" i="20"/>
  <c r="BG2" i="20"/>
  <c r="BG18" i="20"/>
  <c r="BG34" i="20"/>
  <c r="BG32" i="20"/>
  <c r="BG30" i="20"/>
  <c r="BG29" i="20"/>
  <c r="BG28" i="20"/>
  <c r="BG33" i="20"/>
  <c r="BG35" i="20"/>
  <c r="BG36" i="20"/>
  <c r="BG37" i="20"/>
  <c r="BG38" i="20"/>
  <c r="BG39" i="20"/>
  <c r="BG40" i="20"/>
  <c r="BH2" i="20"/>
  <c r="BH18" i="20"/>
  <c r="BH34" i="20"/>
  <c r="BH32" i="20"/>
  <c r="BH30" i="20"/>
  <c r="BH29" i="20"/>
  <c r="BH28" i="20"/>
  <c r="BH33" i="20"/>
  <c r="BH35" i="20"/>
  <c r="BH36" i="20"/>
  <c r="BH37" i="20"/>
  <c r="BH38" i="20"/>
  <c r="BH39" i="20"/>
  <c r="BH40" i="20"/>
  <c r="BI2" i="20"/>
  <c r="BI18" i="20"/>
  <c r="BI34" i="20"/>
  <c r="BI32" i="20"/>
  <c r="BI30" i="20"/>
  <c r="BI29" i="20"/>
  <c r="BI28" i="20"/>
  <c r="BI33" i="20"/>
  <c r="BI35" i="20"/>
  <c r="BI36" i="20"/>
  <c r="BI37" i="20"/>
  <c r="BI38" i="20"/>
  <c r="BI39" i="20"/>
  <c r="BI40" i="20"/>
  <c r="BJ2" i="20"/>
  <c r="BJ18" i="20"/>
  <c r="BJ34" i="20"/>
  <c r="BJ32" i="20"/>
  <c r="BJ30" i="20"/>
  <c r="BJ29" i="20"/>
  <c r="BJ28" i="20"/>
  <c r="BJ33" i="20"/>
  <c r="BJ35" i="20"/>
  <c r="BJ36" i="20"/>
  <c r="BJ37" i="20"/>
  <c r="BJ38" i="20"/>
  <c r="BJ39" i="20"/>
  <c r="BJ40" i="20"/>
  <c r="BK2" i="20"/>
  <c r="BK18" i="20"/>
  <c r="BK34" i="20"/>
  <c r="BK32" i="20"/>
  <c r="BK30" i="20"/>
  <c r="BK29" i="20"/>
  <c r="BK28" i="20"/>
  <c r="BK33" i="20"/>
  <c r="BK35" i="20"/>
  <c r="BK36" i="20"/>
  <c r="BK37" i="20"/>
  <c r="BK38" i="20"/>
  <c r="BK39" i="20"/>
  <c r="BK40" i="20"/>
  <c r="BL2" i="20"/>
  <c r="BL18" i="20"/>
  <c r="BL34" i="20"/>
  <c r="BL32" i="20"/>
  <c r="BL30" i="20"/>
  <c r="BL29" i="20"/>
  <c r="BL28" i="20"/>
  <c r="BL33" i="20"/>
  <c r="BL35" i="20"/>
  <c r="BL36" i="20"/>
  <c r="BL37" i="20"/>
  <c r="BL38" i="20"/>
  <c r="BL39" i="20"/>
  <c r="BL40" i="20"/>
  <c r="H2" i="20"/>
  <c r="H35" i="20"/>
  <c r="H36" i="20"/>
  <c r="H37" i="20"/>
  <c r="H38" i="20"/>
  <c r="H32" i="20"/>
  <c r="H39" i="20"/>
  <c r="H40" i="20"/>
  <c r="E41" i="20"/>
  <c r="B4" i="26"/>
  <c r="B11" i="26"/>
  <c r="B2" i="26"/>
  <c r="J11" i="23"/>
  <c r="J12" i="23"/>
  <c r="J13" i="23"/>
  <c r="J14" i="23"/>
  <c r="K11" i="23"/>
  <c r="K14" i="23"/>
  <c r="K15" i="23"/>
  <c r="K18" i="23"/>
  <c r="K19"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80"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3"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4" i="23"/>
  <c r="K146" i="23"/>
  <c r="K147" i="23"/>
  <c r="K148" i="23"/>
  <c r="K149" i="23"/>
  <c r="K150" i="23"/>
  <c r="K151" i="23"/>
  <c r="K152"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E290" i="22"/>
  <c r="F291" i="22"/>
  <c r="F290" i="22"/>
  <c r="D288" i="22"/>
  <c r="E289" i="22"/>
  <c r="O154" i="23"/>
  <c r="F284" i="22"/>
  <c r="G285" i="22"/>
  <c r="G284" i="22"/>
  <c r="J281" i="22"/>
  <c r="J280" i="22"/>
  <c r="J277" i="22"/>
  <c r="J276" i="22"/>
  <c r="I279" i="22"/>
  <c r="O150" i="23"/>
  <c r="J275" i="22"/>
  <c r="J274" i="22"/>
  <c r="J271" i="22"/>
  <c r="J270" i="22"/>
  <c r="I273" i="22"/>
  <c r="O139" i="23"/>
  <c r="J267" i="22"/>
  <c r="J266" i="22"/>
  <c r="J263" i="22"/>
  <c r="J262" i="22"/>
  <c r="I265" i="22"/>
  <c r="O136" i="23"/>
  <c r="H269" i="22"/>
  <c r="O135" i="23"/>
  <c r="J261" i="22"/>
  <c r="J260" i="22"/>
  <c r="J257" i="22"/>
  <c r="J256" i="22"/>
  <c r="I259" i="22"/>
  <c r="O132" i="23"/>
  <c r="J255" i="22"/>
  <c r="J254" i="22"/>
  <c r="J251" i="22"/>
  <c r="J250" i="22"/>
  <c r="I253" i="22"/>
  <c r="O129" i="23"/>
  <c r="J247" i="22"/>
  <c r="J246" i="22"/>
  <c r="J243" i="22"/>
  <c r="J242" i="22"/>
  <c r="I245" i="22"/>
  <c r="O126" i="23"/>
  <c r="H249" i="22"/>
  <c r="O125" i="23"/>
  <c r="J239" i="22"/>
  <c r="J238" i="22"/>
  <c r="J235" i="22"/>
  <c r="J234" i="22"/>
  <c r="I237" i="22"/>
  <c r="O122" i="23"/>
  <c r="J233" i="22"/>
  <c r="J232" i="22"/>
  <c r="J229" i="22"/>
  <c r="J228" i="22"/>
  <c r="I231" i="22"/>
  <c r="O119" i="23"/>
  <c r="J225" i="22"/>
  <c r="J224" i="22"/>
  <c r="J221" i="22"/>
  <c r="J220" i="22"/>
  <c r="I223" i="22"/>
  <c r="O116" i="23"/>
  <c r="H227" i="22"/>
  <c r="O115" i="23"/>
  <c r="F240" i="22"/>
  <c r="G241" i="22"/>
  <c r="O114" i="23"/>
  <c r="F283" i="22"/>
  <c r="O113" i="23"/>
  <c r="F216" i="22"/>
  <c r="G217" i="22"/>
  <c r="G216" i="22"/>
  <c r="J213" i="22"/>
  <c r="J212" i="22"/>
  <c r="J209" i="22"/>
  <c r="J208" i="22"/>
  <c r="I211" i="22"/>
  <c r="O109" i="23"/>
  <c r="J207" i="22"/>
  <c r="J206" i="22"/>
  <c r="J203" i="22"/>
  <c r="J202" i="22"/>
  <c r="I205" i="22"/>
  <c r="O106" i="23"/>
  <c r="J199" i="22"/>
  <c r="J198" i="22"/>
  <c r="J195" i="22"/>
  <c r="J194" i="22"/>
  <c r="I197" i="22"/>
  <c r="O103" i="23"/>
  <c r="H201" i="22"/>
  <c r="O102" i="23"/>
  <c r="J193" i="22"/>
  <c r="J192" i="22"/>
  <c r="J189" i="22"/>
  <c r="J188" i="22"/>
  <c r="I191" i="22"/>
  <c r="O99" i="23"/>
  <c r="J187" i="22"/>
  <c r="J186" i="22"/>
  <c r="J183" i="22"/>
  <c r="J182" i="22"/>
  <c r="I185" i="22"/>
  <c r="O96" i="23"/>
  <c r="J179" i="22"/>
  <c r="J178" i="22"/>
  <c r="J175" i="22"/>
  <c r="J174" i="22"/>
  <c r="I177" i="22"/>
  <c r="O93" i="23"/>
  <c r="H181" i="22"/>
  <c r="O92" i="23"/>
  <c r="J171" i="22"/>
  <c r="J170" i="22"/>
  <c r="J167" i="22"/>
  <c r="J166" i="22"/>
  <c r="I169" i="22"/>
  <c r="O89" i="23"/>
  <c r="J165" i="22"/>
  <c r="J164" i="22"/>
  <c r="J161" i="22"/>
  <c r="J160" i="22"/>
  <c r="I163" i="22"/>
  <c r="O86" i="23"/>
  <c r="J157" i="22"/>
  <c r="J156" i="22"/>
  <c r="J153" i="22"/>
  <c r="J152" i="22"/>
  <c r="I155" i="22"/>
  <c r="O83" i="23"/>
  <c r="H159" i="22"/>
  <c r="O82" i="23"/>
  <c r="F172" i="22"/>
  <c r="G173" i="22"/>
  <c r="O81" i="23"/>
  <c r="F215" i="22"/>
  <c r="O80" i="23"/>
  <c r="D218" i="22"/>
  <c r="E219" i="22"/>
  <c r="O78" i="23"/>
  <c r="D287" i="22"/>
  <c r="O15" i="23"/>
  <c r="A155" i="23"/>
  <c r="A154" i="23"/>
  <c r="A153" i="23"/>
  <c r="A152" i="23"/>
  <c r="A151" i="23"/>
  <c r="H150" i="23"/>
  <c r="A150" i="23"/>
  <c r="A141" i="23"/>
  <c r="A140" i="23"/>
  <c r="H139" i="23"/>
  <c r="A139" i="23"/>
  <c r="A138" i="23"/>
  <c r="A137" i="23"/>
  <c r="H136" i="23"/>
  <c r="A136" i="23"/>
  <c r="H135" i="23"/>
  <c r="A135" i="23"/>
  <c r="A134" i="23"/>
  <c r="A133" i="23"/>
  <c r="H132" i="23"/>
  <c r="A132" i="23"/>
  <c r="A131" i="23"/>
  <c r="A130" i="23"/>
  <c r="H129" i="23"/>
  <c r="A129" i="23"/>
  <c r="A128" i="23"/>
  <c r="A127" i="23"/>
  <c r="H126" i="23"/>
  <c r="A126" i="23"/>
  <c r="H125" i="23"/>
  <c r="A125" i="23"/>
  <c r="A124" i="23"/>
  <c r="A123" i="23"/>
  <c r="H122" i="23"/>
  <c r="A122" i="23"/>
  <c r="A121" i="23"/>
  <c r="A120" i="23"/>
  <c r="H119" i="23"/>
  <c r="A119" i="23"/>
  <c r="A118" i="23"/>
  <c r="A117" i="23"/>
  <c r="H116" i="23"/>
  <c r="A116" i="23"/>
  <c r="H115" i="23"/>
  <c r="A115" i="23"/>
  <c r="H114" i="23"/>
  <c r="A114" i="23"/>
  <c r="H113" i="23"/>
  <c r="A113" i="23"/>
  <c r="A112" i="23"/>
  <c r="A111" i="23"/>
  <c r="A110" i="23"/>
  <c r="H109" i="23"/>
  <c r="A109" i="23"/>
  <c r="A108" i="23"/>
  <c r="A107" i="23"/>
  <c r="H106" i="23"/>
  <c r="A106" i="23"/>
  <c r="A105" i="23"/>
  <c r="A104" i="23"/>
  <c r="H103" i="23"/>
  <c r="A103" i="23"/>
  <c r="H102" i="23"/>
  <c r="A102" i="23"/>
  <c r="A101" i="23"/>
  <c r="A100" i="23"/>
  <c r="H99" i="23"/>
  <c r="A99" i="23"/>
  <c r="A98" i="23"/>
  <c r="A97" i="23"/>
  <c r="H96" i="23"/>
  <c r="A96" i="23"/>
  <c r="A95" i="23"/>
  <c r="A94" i="23"/>
  <c r="H93" i="23"/>
  <c r="A93" i="23"/>
  <c r="H92" i="23"/>
  <c r="A92" i="23"/>
  <c r="A91" i="23"/>
  <c r="A90" i="23"/>
  <c r="H89" i="23"/>
  <c r="A89" i="23"/>
  <c r="A88" i="23"/>
  <c r="A87" i="23"/>
  <c r="H86" i="23"/>
  <c r="A86" i="23"/>
  <c r="A85" i="23"/>
  <c r="A84" i="23"/>
  <c r="H83" i="23"/>
  <c r="A83" i="23"/>
  <c r="H82" i="23"/>
  <c r="A82" i="23"/>
  <c r="H81" i="23"/>
  <c r="A81" i="23"/>
  <c r="H80" i="23"/>
  <c r="A80" i="23"/>
  <c r="A78" i="23"/>
  <c r="H15" i="23"/>
  <c r="A15" i="23"/>
  <c r="J139" i="22"/>
  <c r="J138" i="22"/>
  <c r="J135" i="22"/>
  <c r="J134" i="22"/>
  <c r="I137" i="22"/>
  <c r="O147" i="23"/>
  <c r="J133" i="22"/>
  <c r="J132" i="22"/>
  <c r="J129" i="22"/>
  <c r="J128" i="22"/>
  <c r="I131" i="22"/>
  <c r="O74" i="23"/>
  <c r="J125" i="22"/>
  <c r="J124" i="22"/>
  <c r="J121" i="22"/>
  <c r="J120" i="22"/>
  <c r="I123" i="22"/>
  <c r="O71" i="23"/>
  <c r="H127" i="22"/>
  <c r="O70" i="23"/>
  <c r="J119" i="22"/>
  <c r="J118" i="22"/>
  <c r="J115" i="22"/>
  <c r="J114" i="22"/>
  <c r="I117" i="22"/>
  <c r="O67" i="23"/>
  <c r="J113" i="22"/>
  <c r="J112" i="22"/>
  <c r="J109" i="22"/>
  <c r="J108" i="22"/>
  <c r="I111" i="22"/>
  <c r="O64" i="23"/>
  <c r="J105" i="22"/>
  <c r="J104" i="22"/>
  <c r="J101" i="22"/>
  <c r="J100" i="22"/>
  <c r="I103" i="22"/>
  <c r="O61" i="23"/>
  <c r="H107" i="22"/>
  <c r="O60" i="23"/>
  <c r="J97" i="22"/>
  <c r="J96" i="22"/>
  <c r="J93" i="22"/>
  <c r="J92" i="22"/>
  <c r="I95" i="22"/>
  <c r="O57" i="23"/>
  <c r="J91" i="22"/>
  <c r="J90" i="22"/>
  <c r="J87" i="22"/>
  <c r="J86" i="22"/>
  <c r="I89" i="22"/>
  <c r="O54" i="23"/>
  <c r="J83" i="22"/>
  <c r="J82" i="22"/>
  <c r="J79" i="22"/>
  <c r="J78" i="22"/>
  <c r="I81" i="22"/>
  <c r="O51" i="23"/>
  <c r="H85" i="22"/>
  <c r="O50" i="23"/>
  <c r="F98" i="22"/>
  <c r="G99" i="22"/>
  <c r="O49" i="23"/>
  <c r="A149" i="23"/>
  <c r="A148" i="23"/>
  <c r="H147" i="23"/>
  <c r="A147" i="23"/>
  <c r="A76" i="23"/>
  <c r="A75" i="23"/>
  <c r="H74" i="23"/>
  <c r="A74" i="23"/>
  <c r="A73" i="23"/>
  <c r="A72" i="23"/>
  <c r="H71" i="23"/>
  <c r="A71" i="23"/>
  <c r="H70" i="23"/>
  <c r="A70" i="23"/>
  <c r="A69" i="23"/>
  <c r="A68" i="23"/>
  <c r="H67" i="23"/>
  <c r="A67" i="23"/>
  <c r="A66" i="23"/>
  <c r="A65" i="23"/>
  <c r="H64" i="23"/>
  <c r="A64" i="23"/>
  <c r="A63" i="23"/>
  <c r="A62" i="23"/>
  <c r="H61" i="23"/>
  <c r="A61" i="23"/>
  <c r="H60" i="23"/>
  <c r="A60" i="23"/>
  <c r="A59" i="23"/>
  <c r="A58" i="23"/>
  <c r="H57" i="23"/>
  <c r="A57" i="23"/>
  <c r="A56" i="23"/>
  <c r="A55" i="23"/>
  <c r="H54" i="23"/>
  <c r="A54" i="23"/>
  <c r="A53" i="23"/>
  <c r="A52" i="23"/>
  <c r="H51" i="23"/>
  <c r="A51" i="23"/>
  <c r="H50" i="23"/>
  <c r="A50" i="23"/>
  <c r="H49" i="23"/>
  <c r="A49" i="23"/>
  <c r="J71" i="22"/>
  <c r="J70" i="22"/>
  <c r="J67" i="22"/>
  <c r="J66" i="22"/>
  <c r="I69" i="22"/>
  <c r="O47" i="23"/>
  <c r="J65" i="22"/>
  <c r="J64" i="22"/>
  <c r="J61" i="22"/>
  <c r="J60" i="22"/>
  <c r="I63" i="22"/>
  <c r="O43" i="23"/>
  <c r="J57" i="22"/>
  <c r="J56" i="22"/>
  <c r="J53" i="22"/>
  <c r="J52" i="22"/>
  <c r="I55" i="22"/>
  <c r="O38" i="23"/>
  <c r="H59" i="22"/>
  <c r="O146" i="23"/>
  <c r="A142" i="23"/>
  <c r="A48" i="23"/>
  <c r="H47" i="23"/>
  <c r="A47" i="23"/>
  <c r="A45" i="23"/>
  <c r="A44" i="23"/>
  <c r="H43" i="23"/>
  <c r="A43" i="23"/>
  <c r="A40" i="23"/>
  <c r="A39" i="23"/>
  <c r="H38" i="23"/>
  <c r="A38" i="23"/>
  <c r="H146" i="23"/>
  <c r="A146" i="23"/>
  <c r="J51" i="22"/>
  <c r="J50" i="22"/>
  <c r="J47" i="22"/>
  <c r="J46" i="22"/>
  <c r="I49" i="22"/>
  <c r="O34" i="23"/>
  <c r="J45" i="22"/>
  <c r="J44" i="22"/>
  <c r="J41" i="22"/>
  <c r="J40" i="22"/>
  <c r="I43" i="22"/>
  <c r="O29" i="23"/>
  <c r="J37" i="22"/>
  <c r="J36" i="22"/>
  <c r="J33" i="22"/>
  <c r="J32" i="22"/>
  <c r="I35" i="22"/>
  <c r="O25" i="23"/>
  <c r="H39" i="22"/>
  <c r="O144" i="23"/>
  <c r="A36" i="23"/>
  <c r="A35" i="23"/>
  <c r="H34" i="23"/>
  <c r="A34" i="23"/>
  <c r="A31" i="23"/>
  <c r="A30" i="23"/>
  <c r="H29" i="23"/>
  <c r="A29" i="23"/>
  <c r="A27" i="23"/>
  <c r="A26" i="23"/>
  <c r="H25" i="23"/>
  <c r="A25" i="23"/>
  <c r="H144" i="23"/>
  <c r="A144" i="23"/>
  <c r="J29" i="22"/>
  <c r="J28" i="22"/>
  <c r="J25" i="22"/>
  <c r="J24" i="22"/>
  <c r="J23" i="22"/>
  <c r="J22" i="22"/>
  <c r="J19" i="22"/>
  <c r="J18" i="22"/>
  <c r="J15" i="22"/>
  <c r="J14" i="22"/>
  <c r="J11" i="22"/>
  <c r="J10" i="22"/>
  <c r="I27" i="22"/>
  <c r="O41" i="23"/>
  <c r="I21" i="22"/>
  <c r="O32" i="23"/>
  <c r="I13" i="22"/>
  <c r="O23" i="23"/>
  <c r="H17" i="22"/>
  <c r="O22" i="23"/>
  <c r="F30" i="22"/>
  <c r="G31" i="22"/>
  <c r="O20" i="23"/>
  <c r="A46" i="23"/>
  <c r="A42" i="23"/>
  <c r="H41" i="23"/>
  <c r="A41" i="23"/>
  <c r="A37" i="23"/>
  <c r="A33" i="23"/>
  <c r="H32" i="23"/>
  <c r="A32" i="23"/>
  <c r="A28" i="23"/>
  <c r="A24" i="23"/>
  <c r="H23" i="23"/>
  <c r="A23" i="23"/>
  <c r="H22" i="23"/>
  <c r="A22" i="23"/>
  <c r="H20" i="23"/>
  <c r="A20" i="23"/>
  <c r="C28" i="20"/>
  <c r="C32" i="20"/>
  <c r="C31" i="20"/>
  <c r="C30" i="20"/>
  <c r="C29" i="20"/>
  <c r="C18" i="20"/>
  <c r="C11" i="20"/>
  <c r="C10" i="20"/>
  <c r="C8" i="20"/>
  <c r="C7" i="20"/>
  <c r="C5" i="20"/>
  <c r="C4" i="20"/>
  <c r="O143" i="23"/>
  <c r="H143" i="23"/>
  <c r="O19" i="23"/>
  <c r="H19" i="23"/>
  <c r="O18" i="23"/>
  <c r="H18" i="23"/>
  <c r="O17" i="23"/>
  <c r="O16" i="23"/>
  <c r="O14" i="23"/>
  <c r="H14" i="23"/>
  <c r="O13" i="23"/>
  <c r="H13" i="23"/>
  <c r="O12" i="23"/>
  <c r="H12" i="23"/>
  <c r="O11" i="23"/>
  <c r="H11" i="23"/>
  <c r="B11" i="23"/>
  <c r="B2" i="23"/>
  <c r="D30" i="24"/>
  <c r="D31" i="24"/>
  <c r="D28" i="24"/>
  <c r="D21" i="24"/>
  <c r="D23" i="24"/>
  <c r="D18" i="24"/>
  <c r="D14" i="24"/>
  <c r="D32" i="24"/>
  <c r="D10" i="24"/>
  <c r="H16" i="19"/>
  <c r="B1" i="19"/>
  <c r="B11" i="8"/>
  <c r="A11" i="8"/>
  <c r="D61" i="20"/>
  <c r="D55" i="20"/>
  <c r="H49" i="20"/>
  <c r="H31" i="20"/>
  <c r="H30" i="20"/>
  <c r="H18" i="20"/>
  <c r="G15" i="20"/>
  <c r="G14" i="20"/>
  <c r="H9" i="20"/>
  <c r="H6" i="20"/>
  <c r="H3" i="20"/>
  <c r="I1" i="20"/>
  <c r="J1" i="20"/>
  <c r="I3" i="20"/>
  <c r="D34" i="24"/>
  <c r="I9" i="20"/>
  <c r="J9" i="20"/>
  <c r="G16" i="20"/>
  <c r="I31" i="20"/>
  <c r="I30" i="20"/>
  <c r="H34" i="20"/>
  <c r="H50" i="20"/>
  <c r="I6" i="20"/>
  <c r="K1" i="20"/>
  <c r="J3" i="20"/>
  <c r="D33" i="24"/>
  <c r="K3" i="20"/>
  <c r="L1" i="20"/>
  <c r="K9" i="20"/>
  <c r="I49" i="20"/>
  <c r="J6" i="20"/>
  <c r="J31" i="20"/>
  <c r="J30" i="20"/>
  <c r="H51" i="20"/>
  <c r="J34" i="20"/>
  <c r="I50" i="20"/>
  <c r="L9" i="20"/>
  <c r="L3" i="20"/>
  <c r="M1" i="20"/>
  <c r="K6" i="20"/>
  <c r="K31" i="20"/>
  <c r="I34" i="20"/>
  <c r="J49" i="20"/>
  <c r="J50" i="20"/>
  <c r="L6" i="20"/>
  <c r="L34" i="20"/>
  <c r="K49" i="20"/>
  <c r="K50" i="20"/>
  <c r="L31" i="20"/>
  <c r="J51" i="20"/>
  <c r="J53" i="20"/>
  <c r="H58" i="20"/>
  <c r="H53" i="20"/>
  <c r="K34" i="20"/>
  <c r="I51" i="20"/>
  <c r="I53" i="20"/>
  <c r="M9" i="20"/>
  <c r="N1" i="20"/>
  <c r="M3" i="20"/>
  <c r="M6" i="20"/>
  <c r="K51" i="20"/>
  <c r="K53" i="20"/>
  <c r="I54" i="20"/>
  <c r="H59" i="20"/>
  <c r="H57" i="20"/>
  <c r="I58" i="20"/>
  <c r="H54" i="20"/>
  <c r="H42" i="20"/>
  <c r="O1" i="20"/>
  <c r="N9" i="20"/>
  <c r="N6" i="20"/>
  <c r="N3" i="20"/>
  <c r="J54" i="20"/>
  <c r="L49" i="20"/>
  <c r="L50" i="20"/>
  <c r="M31" i="20"/>
  <c r="M34" i="20"/>
  <c r="N34" i="20"/>
  <c r="O3" i="20"/>
  <c r="O6" i="20"/>
  <c r="P1" i="20"/>
  <c r="O9" i="20"/>
  <c r="I42" i="20"/>
  <c r="I44" i="20"/>
  <c r="I59" i="20"/>
  <c r="I60" i="20"/>
  <c r="I57" i="20"/>
  <c r="J58" i="20"/>
  <c r="M49" i="20"/>
  <c r="L51" i="20"/>
  <c r="H60" i="20"/>
  <c r="N31" i="20"/>
  <c r="N49" i="20"/>
  <c r="N50" i="20"/>
  <c r="L53" i="20"/>
  <c r="L54" i="20"/>
  <c r="Q1" i="20"/>
  <c r="P9" i="20"/>
  <c r="P3" i="20"/>
  <c r="P6" i="20"/>
  <c r="K54" i="20"/>
  <c r="J57" i="20"/>
  <c r="K58" i="20"/>
  <c r="J59" i="20"/>
  <c r="J42" i="20"/>
  <c r="J44" i="20"/>
  <c r="M50" i="20"/>
  <c r="M51" i="20"/>
  <c r="M53" i="20"/>
  <c r="J60" i="20"/>
  <c r="O49" i="20"/>
  <c r="O50" i="20"/>
  <c r="K59" i="20"/>
  <c r="K60" i="20"/>
  <c r="K57" i="20"/>
  <c r="L58" i="20"/>
  <c r="N51" i="20"/>
  <c r="N53" i="20"/>
  <c r="K42" i="20"/>
  <c r="K44" i="20"/>
  <c r="Q6" i="20"/>
  <c r="R1" i="20"/>
  <c r="Q9" i="20"/>
  <c r="Q3" i="20"/>
  <c r="P49" i="20"/>
  <c r="N54" i="20"/>
  <c r="S1" i="20"/>
  <c r="R9" i="20"/>
  <c r="R6" i="20"/>
  <c r="R3" i="20"/>
  <c r="M54" i="20"/>
  <c r="L42" i="20"/>
  <c r="L59" i="20"/>
  <c r="L60" i="20"/>
  <c r="L57" i="20"/>
  <c r="M58" i="20"/>
  <c r="O51" i="20"/>
  <c r="O53" i="20"/>
  <c r="M42" i="20"/>
  <c r="P50" i="20"/>
  <c r="S9" i="20"/>
  <c r="S6" i="20"/>
  <c r="T1" i="20"/>
  <c r="S3" i="20"/>
  <c r="M59" i="20"/>
  <c r="M60" i="20"/>
  <c r="M57" i="20"/>
  <c r="N58" i="20"/>
  <c r="L44" i="20"/>
  <c r="O54" i="20"/>
  <c r="P51" i="20"/>
  <c r="P53" i="20"/>
  <c r="Q49" i="20"/>
  <c r="Q50" i="20"/>
  <c r="T3" i="20"/>
  <c r="T9" i="20"/>
  <c r="U1" i="20"/>
  <c r="T6" i="20"/>
  <c r="N42" i="20"/>
  <c r="N44" i="20"/>
  <c r="N59" i="20"/>
  <c r="N60" i="20"/>
  <c r="N57" i="20"/>
  <c r="O58" i="20"/>
  <c r="M44" i="20"/>
  <c r="P54" i="20"/>
  <c r="O59" i="20"/>
  <c r="O60" i="20"/>
  <c r="O57" i="20"/>
  <c r="P58" i="20"/>
  <c r="U3" i="20"/>
  <c r="U9" i="20"/>
  <c r="V1" i="20"/>
  <c r="U6" i="20"/>
  <c r="O42" i="20"/>
  <c r="O44" i="20"/>
  <c r="R49" i="20"/>
  <c r="R50" i="20"/>
  <c r="Q51" i="20"/>
  <c r="Q53" i="20"/>
  <c r="Q54" i="20"/>
  <c r="V6" i="20"/>
  <c r="V3" i="20"/>
  <c r="V9" i="20"/>
  <c r="W1" i="20"/>
  <c r="P59" i="20"/>
  <c r="P60" i="20"/>
  <c r="P57" i="20"/>
  <c r="P42" i="20"/>
  <c r="P44" i="20"/>
  <c r="R51" i="20"/>
  <c r="R53" i="20"/>
  <c r="S31" i="20"/>
  <c r="Q58" i="20"/>
  <c r="Q59" i="20"/>
  <c r="Q60" i="20"/>
  <c r="X1" i="20"/>
  <c r="W3" i="20"/>
  <c r="W9" i="20"/>
  <c r="W6" i="20"/>
  <c r="Q42" i="20"/>
  <c r="S49" i="20"/>
  <c r="S50" i="20"/>
  <c r="R54" i="20"/>
  <c r="Q57" i="20"/>
  <c r="R58" i="20"/>
  <c r="R57" i="20"/>
  <c r="Q44" i="20"/>
  <c r="X9" i="20"/>
  <c r="Y1" i="20"/>
  <c r="X6" i="20"/>
  <c r="X3" i="20"/>
  <c r="T31" i="20"/>
  <c r="R42" i="20"/>
  <c r="R44" i="20"/>
  <c r="R59" i="20"/>
  <c r="R60" i="20"/>
  <c r="Y9" i="20"/>
  <c r="Z1" i="20"/>
  <c r="Y6" i="20"/>
  <c r="Y3" i="20"/>
  <c r="T49" i="20"/>
  <c r="T50" i="20"/>
  <c r="S51" i="20"/>
  <c r="S53" i="20"/>
  <c r="S54" i="20"/>
  <c r="S42" i="20"/>
  <c r="S44" i="20"/>
  <c r="AA1" i="20"/>
  <c r="Z9" i="20"/>
  <c r="Z3" i="20"/>
  <c r="Z6" i="20"/>
  <c r="U31" i="20"/>
  <c r="S58" i="20"/>
  <c r="S57" i="20"/>
  <c r="AB1" i="20"/>
  <c r="AA3" i="20"/>
  <c r="AA9" i="20"/>
  <c r="AA6" i="20"/>
  <c r="T51" i="20"/>
  <c r="T53" i="20"/>
  <c r="V31" i="20"/>
  <c r="U49" i="20"/>
  <c r="U50" i="20"/>
  <c r="T42" i="20"/>
  <c r="T44" i="20"/>
  <c r="S59" i="20"/>
  <c r="S60" i="20"/>
  <c r="AB9" i="20"/>
  <c r="AB3" i="20"/>
  <c r="AC1" i="20"/>
  <c r="AB6" i="20"/>
  <c r="T58" i="20"/>
  <c r="T57" i="20"/>
  <c r="V49" i="20"/>
  <c r="V50" i="20"/>
  <c r="U42" i="20"/>
  <c r="U44" i="20"/>
  <c r="T59" i="20"/>
  <c r="T60" i="20"/>
  <c r="T54" i="20"/>
  <c r="AC6" i="20"/>
  <c r="AC3" i="20"/>
  <c r="AD1" i="20"/>
  <c r="AC9" i="20"/>
  <c r="W31" i="20"/>
  <c r="X31" i="20"/>
  <c r="U51" i="20"/>
  <c r="U53" i="20"/>
  <c r="U54" i="20"/>
  <c r="AD6" i="20"/>
  <c r="AD3" i="20"/>
  <c r="AD9" i="20"/>
  <c r="AE1" i="20"/>
  <c r="V51" i="20"/>
  <c r="V53" i="20"/>
  <c r="W49" i="20"/>
  <c r="W50" i="20"/>
  <c r="X49" i="20"/>
  <c r="U58" i="20"/>
  <c r="U57" i="20"/>
  <c r="AE9" i="20"/>
  <c r="AE6" i="20"/>
  <c r="AF1" i="20"/>
  <c r="AE3" i="20"/>
  <c r="V58" i="20"/>
  <c r="V57" i="20"/>
  <c r="V42" i="20"/>
  <c r="V44" i="20"/>
  <c r="Y49" i="20"/>
  <c r="Y50" i="20"/>
  <c r="X50" i="20"/>
  <c r="U59" i="20"/>
  <c r="U60" i="20"/>
  <c r="AF3" i="20"/>
  <c r="AF9" i="20"/>
  <c r="AG1" i="20"/>
  <c r="AF6" i="20"/>
  <c r="V54" i="20"/>
  <c r="W42" i="20"/>
  <c r="W44" i="20"/>
  <c r="V59" i="20"/>
  <c r="V60" i="20"/>
  <c r="Y31" i="20"/>
  <c r="W51" i="20"/>
  <c r="W53" i="20"/>
  <c r="W54" i="20"/>
  <c r="Z31" i="20"/>
  <c r="AG9" i="20"/>
  <c r="AG3" i="20"/>
  <c r="AH1" i="20"/>
  <c r="AG6" i="20"/>
  <c r="X51" i="20"/>
  <c r="X53" i="20"/>
  <c r="W58" i="20"/>
  <c r="W59" i="20"/>
  <c r="W60" i="20"/>
  <c r="AH6" i="20"/>
  <c r="AH9" i="20"/>
  <c r="AH3" i="20"/>
  <c r="AI1" i="20"/>
  <c r="X42" i="20"/>
  <c r="X44" i="20"/>
  <c r="W57" i="20"/>
  <c r="X58" i="20"/>
  <c r="X57" i="20"/>
  <c r="Z49" i="20"/>
  <c r="Z50" i="20"/>
  <c r="AI6" i="20"/>
  <c r="AI3" i="20"/>
  <c r="AI9" i="20"/>
  <c r="AJ1" i="20"/>
  <c r="Y51" i="20"/>
  <c r="Y53" i="20"/>
  <c r="Y54" i="20"/>
  <c r="X54" i="20"/>
  <c r="Y42" i="20"/>
  <c r="Y44" i="20"/>
  <c r="X59" i="20"/>
  <c r="X60" i="20"/>
  <c r="AA31" i="20"/>
  <c r="AA49" i="20"/>
  <c r="AA50" i="20"/>
  <c r="AK1" i="20"/>
  <c r="AJ3" i="20"/>
  <c r="AJ6" i="20"/>
  <c r="AJ9" i="20"/>
  <c r="Y58" i="20"/>
  <c r="Y59" i="20"/>
  <c r="Y60" i="20"/>
  <c r="Z42" i="20"/>
  <c r="Z44" i="20"/>
  <c r="AB31" i="20"/>
  <c r="AK3" i="20"/>
  <c r="AK9" i="20"/>
  <c r="AK6" i="20"/>
  <c r="AL1" i="20"/>
  <c r="Y57" i="20"/>
  <c r="Z51" i="20"/>
  <c r="Z53" i="20"/>
  <c r="Z54" i="20"/>
  <c r="AL9" i="20"/>
  <c r="AL6" i="20"/>
  <c r="AL3" i="20"/>
  <c r="AM1" i="20"/>
  <c r="AB49" i="20"/>
  <c r="AB50" i="20"/>
  <c r="Z58" i="20"/>
  <c r="Z57" i="20"/>
  <c r="AM3" i="20"/>
  <c r="AM6" i="20"/>
  <c r="AN1" i="20"/>
  <c r="AM9" i="20"/>
  <c r="AA51" i="20"/>
  <c r="AA53" i="20"/>
  <c r="AA54" i="20"/>
  <c r="AC31" i="20"/>
  <c r="Z59" i="20"/>
  <c r="Z60" i="20"/>
  <c r="AA42" i="20"/>
  <c r="AN6" i="20"/>
  <c r="AN9" i="20"/>
  <c r="AN3" i="20"/>
  <c r="AO1" i="20"/>
  <c r="AA58" i="20"/>
  <c r="AA59" i="20"/>
  <c r="AA60" i="20"/>
  <c r="AC49" i="20"/>
  <c r="AC50" i="20"/>
  <c r="AB51" i="20"/>
  <c r="AB53" i="20"/>
  <c r="AB54" i="20"/>
  <c r="AA57" i="20"/>
  <c r="AA44" i="20"/>
  <c r="AB42" i="20"/>
  <c r="AO3" i="20"/>
  <c r="AO9" i="20"/>
  <c r="AP1" i="20"/>
  <c r="AO6" i="20"/>
  <c r="AD31" i="20"/>
  <c r="AB58" i="20"/>
  <c r="AB59" i="20"/>
  <c r="AB60" i="20"/>
  <c r="AB44" i="20"/>
  <c r="AQ1" i="20"/>
  <c r="AP9" i="20"/>
  <c r="AP3" i="20"/>
  <c r="AP6" i="20"/>
  <c r="AE31" i="20"/>
  <c r="AD49" i="20"/>
  <c r="AD50" i="20"/>
  <c r="AC42" i="20"/>
  <c r="AC44" i="20"/>
  <c r="AB57" i="20"/>
  <c r="AE49" i="20"/>
  <c r="AQ3" i="20"/>
  <c r="AQ9" i="20"/>
  <c r="AR1" i="20"/>
  <c r="AQ6" i="20"/>
  <c r="AD42" i="20"/>
  <c r="AD44" i="20"/>
  <c r="AC51" i="20"/>
  <c r="AC53" i="20"/>
  <c r="AC54" i="20"/>
  <c r="AE50" i="20"/>
  <c r="AF31" i="20"/>
  <c r="AR6" i="20"/>
  <c r="AS1" i="20"/>
  <c r="AR9" i="20"/>
  <c r="AR3" i="20"/>
  <c r="AC58" i="20"/>
  <c r="AC59" i="20"/>
  <c r="AC60" i="20"/>
  <c r="AD51" i="20"/>
  <c r="AD53" i="20"/>
  <c r="AD54" i="20"/>
  <c r="AE42" i="20"/>
  <c r="AE44" i="20"/>
  <c r="AF49" i="20"/>
  <c r="AF50" i="20"/>
  <c r="AS6" i="20"/>
  <c r="AT1" i="20"/>
  <c r="AS3" i="20"/>
  <c r="AS9" i="20"/>
  <c r="AC57" i="20"/>
  <c r="AD58" i="20"/>
  <c r="AD59" i="20"/>
  <c r="AD60" i="20"/>
  <c r="AG31" i="20"/>
  <c r="AH31" i="20"/>
  <c r="AE51" i="20"/>
  <c r="AE53" i="20"/>
  <c r="AE54" i="20"/>
  <c r="AT9" i="20"/>
  <c r="AU1" i="20"/>
  <c r="AT3" i="20"/>
  <c r="AT6" i="20"/>
  <c r="AD57" i="20"/>
  <c r="AE58" i="20"/>
  <c r="AI31" i="20"/>
  <c r="AG49" i="20"/>
  <c r="AG50" i="20"/>
  <c r="AF42" i="20"/>
  <c r="AF44" i="20"/>
  <c r="AU9" i="20"/>
  <c r="AU6" i="20"/>
  <c r="AV1" i="20"/>
  <c r="AU3" i="20"/>
  <c r="AG42" i="20"/>
  <c r="AG44" i="20"/>
  <c r="AI49" i="20"/>
  <c r="AH49" i="20"/>
  <c r="AF51" i="20"/>
  <c r="AF53" i="20"/>
  <c r="AF54" i="20"/>
  <c r="AE57" i="20"/>
  <c r="AE59" i="20"/>
  <c r="AE60" i="20"/>
  <c r="AV3" i="20"/>
  <c r="AV6" i="20"/>
  <c r="AW1" i="20"/>
  <c r="AV9" i="20"/>
  <c r="AG51" i="20"/>
  <c r="AG53" i="20"/>
  <c r="AG54" i="20"/>
  <c r="AI50" i="20"/>
  <c r="AH50" i="20"/>
  <c r="AF58" i="20"/>
  <c r="AF59" i="20"/>
  <c r="AF60" i="20"/>
  <c r="AW9" i="20"/>
  <c r="AX1" i="20"/>
  <c r="AW6" i="20"/>
  <c r="AW3" i="20"/>
  <c r="AI51" i="20"/>
  <c r="AJ31" i="20"/>
  <c r="AH51" i="20"/>
  <c r="AH53" i="20"/>
  <c r="AH54" i="20"/>
  <c r="AF57" i="20"/>
  <c r="AG58" i="20"/>
  <c r="AG59" i="20"/>
  <c r="AG60" i="20"/>
  <c r="AH42" i="20"/>
  <c r="AH44" i="20"/>
  <c r="AX6" i="20"/>
  <c r="AX3" i="20"/>
  <c r="AX9" i="20"/>
  <c r="AY1" i="20"/>
  <c r="AI42" i="20"/>
  <c r="AI44" i="20"/>
  <c r="AJ49" i="20"/>
  <c r="AJ50" i="20"/>
  <c r="AG57" i="20"/>
  <c r="AH58" i="20"/>
  <c r="AH59" i="20"/>
  <c r="AH60" i="20"/>
  <c r="AI53" i="20"/>
  <c r="AI54" i="20"/>
  <c r="AY3" i="20"/>
  <c r="AY9" i="20"/>
  <c r="AZ1" i="20"/>
  <c r="AY6" i="20"/>
  <c r="AJ51" i="20"/>
  <c r="AJ53" i="20"/>
  <c r="AK31" i="20"/>
  <c r="AL31" i="20"/>
  <c r="AH57" i="20"/>
  <c r="AI58" i="20"/>
  <c r="AI59" i="20"/>
  <c r="AI60" i="20"/>
  <c r="BA1" i="20"/>
  <c r="AZ9" i="20"/>
  <c r="AZ3" i="20"/>
  <c r="AZ6" i="20"/>
  <c r="AJ54" i="20"/>
  <c r="AK49" i="20"/>
  <c r="AK50" i="20"/>
  <c r="AL49" i="20"/>
  <c r="AI57" i="20"/>
  <c r="AJ58" i="20"/>
  <c r="AJ59" i="20"/>
  <c r="BA9" i="20"/>
  <c r="BB1" i="20"/>
  <c r="BA6" i="20"/>
  <c r="BA3" i="20"/>
  <c r="AJ42" i="20"/>
  <c r="AJ44" i="20"/>
  <c r="AL50" i="20"/>
  <c r="AJ60" i="20"/>
  <c r="AJ57" i="20"/>
  <c r="BB6" i="20"/>
  <c r="BB9" i="20"/>
  <c r="BB3" i="20"/>
  <c r="BC1" i="20"/>
  <c r="AM31" i="20"/>
  <c r="AK42" i="20"/>
  <c r="AK44" i="20"/>
  <c r="AK51" i="20"/>
  <c r="AK53" i="20"/>
  <c r="AK54" i="20"/>
  <c r="BC6" i="20"/>
  <c r="BC3" i="20"/>
  <c r="BD1" i="20"/>
  <c r="BC9" i="20"/>
  <c r="AL42" i="20"/>
  <c r="AL44" i="20"/>
  <c r="AM49" i="20"/>
  <c r="AM50" i="20"/>
  <c r="AL51" i="20"/>
  <c r="AL53" i="20"/>
  <c r="AL54" i="20"/>
  <c r="AK58" i="20"/>
  <c r="AK59" i="20"/>
  <c r="AK60" i="20"/>
  <c r="BE1" i="20"/>
  <c r="BD9" i="20"/>
  <c r="BD3" i="20"/>
  <c r="BD6" i="20"/>
  <c r="AN31" i="20"/>
  <c r="AM42" i="20"/>
  <c r="AM44" i="20"/>
  <c r="AK57" i="20"/>
  <c r="AL58" i="20"/>
  <c r="BE9" i="20"/>
  <c r="BF1" i="20"/>
  <c r="BE6" i="20"/>
  <c r="BE3" i="20"/>
  <c r="AN49" i="20"/>
  <c r="AN50" i="20"/>
  <c r="AO49" i="20"/>
  <c r="AM51" i="20"/>
  <c r="AM53" i="20"/>
  <c r="AM54" i="20"/>
  <c r="AL59" i="20"/>
  <c r="AL60" i="20"/>
  <c r="AL57" i="20"/>
  <c r="BF6" i="20"/>
  <c r="BF9" i="20"/>
  <c r="BG1" i="20"/>
  <c r="BF3" i="20"/>
  <c r="AO50" i="20"/>
  <c r="AM58" i="20"/>
  <c r="AM59" i="20"/>
  <c r="AM60" i="20"/>
  <c r="AO31" i="20"/>
  <c r="AM57" i="20"/>
  <c r="BG3" i="20"/>
  <c r="BG9" i="20"/>
  <c r="BG6" i="20"/>
  <c r="BH1" i="20"/>
  <c r="AN51" i="20"/>
  <c r="AP49" i="20"/>
  <c r="AP50" i="20"/>
  <c r="AP31" i="20"/>
  <c r="AN42" i="20"/>
  <c r="AN44" i="20"/>
  <c r="BH9" i="20"/>
  <c r="BH3" i="20"/>
  <c r="BH6" i="20"/>
  <c r="BI1" i="20"/>
  <c r="AO42" i="20"/>
  <c r="AO44" i="20"/>
  <c r="AN53" i="20"/>
  <c r="AN54" i="20"/>
  <c r="AN58" i="20"/>
  <c r="BI9" i="20"/>
  <c r="BJ1" i="20"/>
  <c r="BI6" i="20"/>
  <c r="BI3" i="20"/>
  <c r="AQ31" i="20"/>
  <c r="AO51" i="20"/>
  <c r="AO53" i="20"/>
  <c r="AO54" i="20"/>
  <c r="AP42" i="20"/>
  <c r="AP44" i="20"/>
  <c r="AN59" i="20"/>
  <c r="AN60" i="20"/>
  <c r="AN57" i="20"/>
  <c r="BJ6" i="20"/>
  <c r="BJ9" i="20"/>
  <c r="BJ3" i="20"/>
  <c r="BK1" i="20"/>
  <c r="AQ49" i="20"/>
  <c r="AQ50" i="20"/>
  <c r="AR31" i="20"/>
  <c r="AO58" i="20"/>
  <c r="AO59" i="20"/>
  <c r="AO60" i="20"/>
  <c r="AP51" i="20"/>
  <c r="AP53" i="20"/>
  <c r="AP54" i="20"/>
  <c r="BK6" i="20"/>
  <c r="BL1" i="20"/>
  <c r="BK3" i="20"/>
  <c r="BK9" i="20"/>
  <c r="AO57" i="20"/>
  <c r="AP58" i="20"/>
  <c r="AP59" i="20"/>
  <c r="AP60" i="20"/>
  <c r="G18" i="20"/>
  <c r="BL3" i="20"/>
  <c r="G3" i="20"/>
  <c r="BL9" i="20"/>
  <c r="G9" i="20"/>
  <c r="BL6" i="20"/>
  <c r="AQ42" i="20"/>
  <c r="AQ44" i="20"/>
  <c r="AS31" i="20"/>
  <c r="AR49" i="20"/>
  <c r="AR50" i="20"/>
  <c r="AP57" i="20"/>
  <c r="G6" i="20"/>
  <c r="AS49" i="20"/>
  <c r="AS50" i="20"/>
  <c r="AQ51" i="20"/>
  <c r="AQ53" i="20"/>
  <c r="AQ54" i="20"/>
  <c r="AQ58" i="20"/>
  <c r="AQ59" i="20"/>
  <c r="AQ60" i="20"/>
  <c r="G2" i="20"/>
  <c r="AR42" i="20"/>
  <c r="AR44" i="20"/>
  <c r="AQ57" i="20"/>
  <c r="AT31" i="20"/>
  <c r="G34" i="20"/>
  <c r="AR51" i="20"/>
  <c r="AR53" i="20"/>
  <c r="AR54" i="20"/>
  <c r="AT49" i="20"/>
  <c r="AT50" i="20"/>
  <c r="AU49" i="20"/>
  <c r="AU31" i="20"/>
  <c r="AS42" i="20"/>
  <c r="AS44" i="20"/>
  <c r="AS51" i="20"/>
  <c r="AS53" i="20"/>
  <c r="AR58" i="20"/>
  <c r="AU50" i="20"/>
  <c r="AT42" i="20"/>
  <c r="AT44" i="20"/>
  <c r="AS54" i="20"/>
  <c r="AR59" i="20"/>
  <c r="AR60" i="20"/>
  <c r="AR57" i="20"/>
  <c r="AS58" i="20"/>
  <c r="AS57" i="20"/>
  <c r="AT51" i="20"/>
  <c r="AT53" i="20"/>
  <c r="AT54" i="20"/>
  <c r="AV31" i="20"/>
  <c r="AS59" i="20"/>
  <c r="AS60" i="20"/>
  <c r="AT58" i="20"/>
  <c r="AT59" i="20"/>
  <c r="AT60" i="20"/>
  <c r="AU51" i="20"/>
  <c r="AU53" i="20"/>
  <c r="AV49" i="20"/>
  <c r="AV50" i="20"/>
  <c r="AW31" i="20"/>
  <c r="AW49" i="20"/>
  <c r="AT57" i="20"/>
  <c r="AU58" i="20"/>
  <c r="AU59" i="20"/>
  <c r="AU42" i="20"/>
  <c r="AU44" i="20"/>
  <c r="AW50" i="20"/>
  <c r="AV51" i="20"/>
  <c r="AV53" i="20"/>
  <c r="AX31" i="20"/>
  <c r="AU57" i="20"/>
  <c r="AV58" i="20"/>
  <c r="AV57" i="20"/>
  <c r="AV42" i="20"/>
  <c r="AV44" i="20"/>
  <c r="AU54" i="20"/>
  <c r="AU60" i="20"/>
  <c r="AV54" i="20"/>
  <c r="AV59" i="20"/>
  <c r="AV60" i="20"/>
  <c r="AW42" i="20"/>
  <c r="AW44" i="20"/>
  <c r="AX49" i="20"/>
  <c r="AW51" i="20"/>
  <c r="AW53" i="20"/>
  <c r="AW54" i="20"/>
  <c r="AY31" i="20"/>
  <c r="AX50" i="20"/>
  <c r="AZ31" i="20"/>
  <c r="AW58" i="20"/>
  <c r="AW57" i="20"/>
  <c r="AY49" i="20"/>
  <c r="AY50" i="20"/>
  <c r="AW59" i="20"/>
  <c r="AW60" i="20"/>
  <c r="AX51" i="20"/>
  <c r="AX42" i="20"/>
  <c r="AX44" i="20"/>
  <c r="AY51" i="20"/>
  <c r="AZ49" i="20"/>
  <c r="AZ50" i="20"/>
  <c r="AY42" i="20"/>
  <c r="AY44" i="20"/>
  <c r="AX53" i="20"/>
  <c r="AX54" i="20"/>
  <c r="AX58" i="20"/>
  <c r="BA31" i="20"/>
  <c r="AX57" i="20"/>
  <c r="AY58" i="20"/>
  <c r="AX59" i="20"/>
  <c r="AX60" i="20"/>
  <c r="AY53" i="20"/>
  <c r="AY54" i="20"/>
  <c r="BB31" i="20"/>
  <c r="BA49" i="20"/>
  <c r="BA50" i="20"/>
  <c r="AZ42" i="20"/>
  <c r="AZ44" i="20"/>
  <c r="AY59" i="20"/>
  <c r="AY60" i="20"/>
  <c r="AY57" i="20"/>
  <c r="BB49" i="20"/>
  <c r="BB50" i="20"/>
  <c r="BA42" i="20"/>
  <c r="BA44" i="20"/>
  <c r="AZ51" i="20"/>
  <c r="AZ53" i="20"/>
  <c r="AZ54" i="20"/>
  <c r="BC31" i="20"/>
  <c r="BC49" i="20"/>
  <c r="BA51" i="20"/>
  <c r="BA53" i="20"/>
  <c r="BA54" i="20"/>
  <c r="AZ58" i="20"/>
  <c r="AZ59" i="20"/>
  <c r="AZ60" i="20"/>
  <c r="BB42" i="20"/>
  <c r="BB44" i="20"/>
  <c r="AZ57" i="20"/>
  <c r="BA58" i="20"/>
  <c r="BA57" i="20"/>
  <c r="BC50" i="20"/>
  <c r="BB51" i="20"/>
  <c r="BB53" i="20"/>
  <c r="BB54" i="20"/>
  <c r="BD31" i="20"/>
  <c r="BE31" i="20"/>
  <c r="BA59" i="20"/>
  <c r="BA60" i="20"/>
  <c r="BC51" i="20"/>
  <c r="BC53" i="20"/>
  <c r="BB58" i="20"/>
  <c r="BB59" i="20"/>
  <c r="BB60" i="20"/>
  <c r="BD49" i="20"/>
  <c r="BD50" i="20"/>
  <c r="BE49" i="20"/>
  <c r="BC54" i="20"/>
  <c r="BB57" i="20"/>
  <c r="BC58" i="20"/>
  <c r="BC59" i="20"/>
  <c r="BE50" i="20"/>
  <c r="BD51" i="20"/>
  <c r="BD53" i="20"/>
  <c r="BC60" i="20"/>
  <c r="BC42" i="20"/>
  <c r="BC44" i="20"/>
  <c r="BC57" i="20"/>
  <c r="BD58" i="20"/>
  <c r="BD59" i="20"/>
  <c r="BF49" i="20"/>
  <c r="BF50" i="20"/>
  <c r="BF31" i="20"/>
  <c r="BD42" i="20"/>
  <c r="BD44" i="20"/>
  <c r="BD57" i="20"/>
  <c r="BD54" i="20"/>
  <c r="BD60" i="20"/>
  <c r="BE42" i="20"/>
  <c r="BE44" i="20"/>
  <c r="BE51" i="20"/>
  <c r="BE53" i="20"/>
  <c r="BE54" i="20"/>
  <c r="BG31" i="20"/>
  <c r="BF51" i="20"/>
  <c r="BE58" i="20"/>
  <c r="BE59" i="20"/>
  <c r="BE60" i="20"/>
  <c r="BG49" i="20"/>
  <c r="BG50" i="20"/>
  <c r="BF42" i="20"/>
  <c r="BE57" i="20"/>
  <c r="BF58" i="20"/>
  <c r="BF53" i="20"/>
  <c r="BF54" i="20"/>
  <c r="BH31" i="20"/>
  <c r="BG42" i="20"/>
  <c r="BF57" i="20"/>
  <c r="BF59" i="20"/>
  <c r="BF60" i="20"/>
  <c r="BH49" i="20"/>
  <c r="BF44" i="20"/>
  <c r="BG51" i="20"/>
  <c r="BG53" i="20"/>
  <c r="BG54" i="20"/>
  <c r="BH50" i="20"/>
  <c r="BG44" i="20"/>
  <c r="BI31" i="20"/>
  <c r="BG58" i="20"/>
  <c r="BH51" i="20"/>
  <c r="BH53" i="20"/>
  <c r="BJ31" i="20"/>
  <c r="BI49" i="20"/>
  <c r="BI50" i="20"/>
  <c r="BH42" i="20"/>
  <c r="BH44" i="20"/>
  <c r="BG57" i="20"/>
  <c r="BH58" i="20"/>
  <c r="BG59" i="20"/>
  <c r="BG60" i="20"/>
  <c r="BI51" i="20"/>
  <c r="BJ49" i="20"/>
  <c r="BJ50" i="20"/>
  <c r="BK31" i="20"/>
  <c r="BH54" i="20"/>
  <c r="BI42" i="20"/>
  <c r="BI44" i="20"/>
  <c r="BH59" i="20"/>
  <c r="BH60" i="20"/>
  <c r="BH57" i="20"/>
  <c r="BI58" i="20"/>
  <c r="BI53" i="20"/>
  <c r="G39" i="20"/>
  <c r="BJ42" i="20"/>
  <c r="BJ44" i="20"/>
  <c r="BK49" i="20"/>
  <c r="BK50" i="20"/>
  <c r="G50" i="20"/>
  <c r="BI54" i="20"/>
  <c r="BI57" i="20"/>
  <c r="BI59" i="20"/>
  <c r="BI60" i="20"/>
  <c r="BL49" i="20"/>
  <c r="BL31" i="20"/>
  <c r="BJ51" i="20"/>
  <c r="BJ53" i="20"/>
  <c r="BJ54" i="20"/>
  <c r="BL50" i="20"/>
  <c r="BK42" i="20"/>
  <c r="BK44" i="20"/>
  <c r="BJ58" i="20"/>
  <c r="G36" i="20"/>
  <c r="G37" i="20"/>
  <c r="G35" i="20"/>
  <c r="BL42" i="20"/>
  <c r="BL44" i="20"/>
  <c r="BK51" i="20"/>
  <c r="BK53" i="20"/>
  <c r="BK54" i="20"/>
  <c r="G54" i="20"/>
  <c r="BL51" i="20"/>
  <c r="BL53" i="20"/>
  <c r="BL54" i="20"/>
  <c r="BJ59" i="20"/>
  <c r="BJ60" i="20"/>
  <c r="BJ57" i="20"/>
  <c r="E44" i="20"/>
  <c r="G38" i="20"/>
  <c r="G40" i="20"/>
  <c r="B4" i="23"/>
  <c r="E45" i="20"/>
  <c r="E43" i="20"/>
  <c r="G53" i="20"/>
  <c r="BK58" i="20"/>
  <c r="BK57" i="20"/>
  <c r="BL58" i="20"/>
  <c r="BL57" i="20"/>
  <c r="G51" i="20"/>
  <c r="E55" i="20"/>
  <c r="BL59" i="20"/>
  <c r="BL60" i="20"/>
  <c r="BK59" i="20"/>
  <c r="G59" i="20"/>
  <c r="BK60" i="20"/>
  <c r="G60" i="20"/>
  <c r="E61" i="20"/>
  <c r="E77" i="22"/>
  <c r="A16" i="23"/>
  <c r="E147" i="22"/>
  <c r="A17" i="23"/>
  <c r="C151" i="22"/>
  <c r="A12" i="23"/>
  <c r="F141" i="22"/>
  <c r="A19" i="23"/>
  <c r="F73" i="22"/>
  <c r="A18" i="23"/>
  <c r="G143" i="22"/>
  <c r="A77" i="23"/>
  <c r="F149" i="22"/>
  <c r="A79" i="23"/>
  <c r="G75" i="22"/>
  <c r="A21" i="23"/>
  <c r="B293" i="22"/>
  <c r="A11" i="23"/>
  <c r="D145" i="22"/>
  <c r="A14" i="23"/>
  <c r="C295" i="22"/>
  <c r="A13" i="23"/>
  <c r="D297" i="22"/>
  <c r="A143" i="23"/>
  <c r="E299" i="22"/>
  <c r="A145" i="23"/>
  <c r="C296" i="22"/>
  <c r="F74" i="22"/>
  <c r="D146" i="22"/>
  <c r="G74" i="22"/>
  <c r="D298" i="22"/>
  <c r="G142" i="22"/>
  <c r="B150" i="22"/>
  <c r="D76" i="22"/>
  <c r="E148" i="22"/>
  <c r="E298" i="22"/>
  <c r="B294" i="22"/>
  <c r="F142" i="22"/>
  <c r="F148" i="22"/>
  <c r="B213" i="25"/>
  <c r="A11" i="26"/>
  <c r="C139" i="25"/>
  <c r="A12" i="26"/>
  <c r="D137" i="25"/>
  <c r="A13" i="26"/>
  <c r="E71" i="25"/>
  <c r="A14" i="26"/>
  <c r="F69" i="25"/>
  <c r="A15" i="26"/>
  <c r="G27" i="25"/>
  <c r="A16" i="26"/>
  <c r="H13" i="25"/>
  <c r="A17" i="26"/>
  <c r="I9" i="25"/>
  <c r="A18" i="26"/>
  <c r="J7" i="25"/>
  <c r="A19" i="26"/>
  <c r="J11" i="25"/>
  <c r="A20" i="26"/>
  <c r="I17" i="25"/>
  <c r="A21" i="26"/>
  <c r="J15" i="25"/>
  <c r="A22" i="26"/>
  <c r="J19" i="25"/>
  <c r="A23" i="26"/>
  <c r="I23" i="25"/>
  <c r="A24" i="26"/>
  <c r="J21" i="25"/>
  <c r="A25" i="26"/>
  <c r="J25" i="25"/>
  <c r="A26" i="26"/>
  <c r="H35" i="25"/>
  <c r="A27" i="26"/>
  <c r="I31" i="25"/>
  <c r="A28" i="26"/>
  <c r="J29" i="25"/>
  <c r="A29" i="26"/>
  <c r="J33" i="25"/>
  <c r="A30" i="26"/>
  <c r="I39" i="25"/>
  <c r="A31" i="26"/>
  <c r="J37" i="25"/>
  <c r="A32" i="26"/>
  <c r="J41" i="25"/>
  <c r="A33" i="26"/>
  <c r="I45" i="25"/>
  <c r="A34" i="26"/>
  <c r="J43" i="25"/>
  <c r="A35" i="26"/>
  <c r="J47" i="25"/>
  <c r="A36" i="26"/>
  <c r="H55" i="25"/>
  <c r="A37" i="26"/>
  <c r="I51" i="25"/>
  <c r="A38" i="26"/>
  <c r="J49" i="25"/>
  <c r="A39" i="26"/>
  <c r="J53" i="25"/>
  <c r="A40" i="26"/>
  <c r="I59" i="25"/>
  <c r="A41" i="26"/>
  <c r="J57" i="25"/>
  <c r="A42" i="26"/>
  <c r="J61" i="25"/>
  <c r="A43" i="26"/>
  <c r="I65" i="25"/>
  <c r="A44" i="26"/>
  <c r="J63" i="25"/>
  <c r="A45" i="26"/>
  <c r="J67" i="25"/>
  <c r="A46" i="26"/>
  <c r="F135" i="25"/>
  <c r="A48" i="26"/>
  <c r="G93" i="25"/>
  <c r="A49" i="26"/>
  <c r="H79" i="25"/>
  <c r="A50" i="26"/>
  <c r="I75" i="25"/>
  <c r="A51" i="26"/>
  <c r="J73" i="25"/>
  <c r="A52" i="26"/>
  <c r="J77" i="25"/>
  <c r="A53" i="26"/>
  <c r="I83" i="25"/>
  <c r="A54" i="26"/>
  <c r="J81" i="25"/>
  <c r="A55" i="26"/>
  <c r="J85" i="25"/>
  <c r="A56" i="26"/>
  <c r="I89" i="25"/>
  <c r="A57" i="26"/>
  <c r="J87" i="25"/>
  <c r="A58" i="26"/>
  <c r="J91" i="25"/>
  <c r="A59" i="26"/>
  <c r="H101" i="25"/>
  <c r="A60" i="26"/>
  <c r="I97" i="25"/>
  <c r="A61" i="26"/>
  <c r="J95" i="25"/>
  <c r="A62" i="26"/>
  <c r="J99" i="25"/>
  <c r="A63" i="26"/>
  <c r="I105" i="25"/>
  <c r="A64" i="26"/>
  <c r="J103" i="25"/>
  <c r="A65" i="26"/>
  <c r="J107" i="25"/>
  <c r="A66" i="26"/>
  <c r="I111" i="25"/>
  <c r="A67" i="26"/>
  <c r="J109" i="25"/>
  <c r="A68" i="26"/>
  <c r="J113" i="25"/>
  <c r="A69" i="26"/>
  <c r="H121" i="25"/>
  <c r="A70" i="26"/>
  <c r="I117" i="25"/>
  <c r="A71" i="26"/>
  <c r="J115" i="25"/>
  <c r="A72" i="26"/>
  <c r="J119" i="25"/>
  <c r="A73" i="26"/>
  <c r="I125" i="25"/>
  <c r="A74" i="26"/>
  <c r="J123" i="25"/>
  <c r="A75" i="26"/>
  <c r="J127" i="25"/>
  <c r="A76" i="26"/>
  <c r="I131" i="25"/>
  <c r="A77" i="26"/>
  <c r="J129" i="25"/>
  <c r="A78" i="26"/>
  <c r="J133" i="25"/>
  <c r="A79" i="26"/>
  <c r="D211" i="25"/>
  <c r="A83" i="26"/>
  <c r="E205" i="25"/>
  <c r="A84" i="26"/>
  <c r="F203" i="25"/>
  <c r="A85" i="26"/>
  <c r="G161" i="25"/>
  <c r="A86" i="26"/>
  <c r="H147" i="25"/>
  <c r="A87" i="26"/>
  <c r="I143" i="25"/>
  <c r="A88" i="26"/>
  <c r="J141" i="25"/>
  <c r="A89" i="26"/>
  <c r="J145" i="25"/>
  <c r="A90" i="26"/>
  <c r="I151" i="25"/>
  <c r="A91" i="26"/>
  <c r="J149" i="25"/>
  <c r="A92" i="26"/>
  <c r="J153" i="25"/>
  <c r="A93" i="26"/>
  <c r="I157" i="25"/>
  <c r="A94" i="26"/>
  <c r="J155" i="25"/>
  <c r="A95" i="26"/>
  <c r="J159" i="25"/>
  <c r="A96" i="26"/>
  <c r="H169" i="25"/>
  <c r="A97" i="26"/>
  <c r="I165" i="25"/>
  <c r="A98" i="26"/>
  <c r="J163" i="25"/>
  <c r="A99" i="26"/>
  <c r="J167" i="25"/>
  <c r="A100" i="26"/>
  <c r="I173" i="25"/>
  <c r="A101" i="26"/>
  <c r="J171" i="25"/>
  <c r="A102" i="26"/>
  <c r="J175" i="25"/>
  <c r="A103" i="26"/>
  <c r="I179" i="25"/>
  <c r="A104" i="26"/>
  <c r="J177" i="25"/>
  <c r="A105" i="26"/>
  <c r="J181" i="25"/>
  <c r="A106" i="26"/>
  <c r="H189" i="25"/>
  <c r="A107" i="26"/>
  <c r="I185" i="25"/>
  <c r="A108" i="26"/>
  <c r="J183" i="25"/>
  <c r="A109" i="26"/>
  <c r="J187" i="25"/>
  <c r="A110" i="26"/>
  <c r="I193" i="25"/>
  <c r="A111" i="26"/>
  <c r="J191" i="25"/>
  <c r="A112" i="26"/>
  <c r="J195" i="25"/>
  <c r="A113" i="26"/>
  <c r="I199" i="25"/>
  <c r="A114" i="26"/>
  <c r="J197" i="25"/>
  <c r="A115" i="26"/>
  <c r="J201" i="25"/>
  <c r="A116" i="26"/>
  <c r="F207" i="25"/>
  <c r="A118" i="26"/>
  <c r="G209" i="25"/>
  <c r="A150" i="26"/>
  <c r="B138" i="25"/>
  <c r="D70" i="25"/>
  <c r="F26" i="25"/>
  <c r="J6" i="25"/>
  <c r="J10" i="25"/>
  <c r="J14" i="25"/>
  <c r="J18" i="25"/>
  <c r="J20" i="25"/>
  <c r="J24" i="25"/>
  <c r="J28" i="25"/>
  <c r="J32" i="25"/>
  <c r="J36" i="25"/>
  <c r="J40" i="25"/>
  <c r="J42" i="25"/>
  <c r="J46" i="25"/>
  <c r="J48" i="25"/>
  <c r="J52" i="25"/>
  <c r="J56" i="25"/>
  <c r="J60" i="25"/>
  <c r="J62" i="25"/>
  <c r="J66" i="25"/>
  <c r="F92" i="25"/>
  <c r="J72" i="25"/>
  <c r="J76" i="25"/>
  <c r="J80" i="25"/>
  <c r="J84" i="25"/>
  <c r="J86" i="25"/>
  <c r="J90" i="25"/>
  <c r="J94" i="25"/>
  <c r="J98" i="25"/>
  <c r="J102" i="25"/>
  <c r="J106" i="25"/>
  <c r="J108" i="25"/>
  <c r="J112" i="25"/>
  <c r="J114" i="25"/>
  <c r="J118" i="25"/>
  <c r="J122" i="25"/>
  <c r="J126" i="25"/>
  <c r="J128" i="25"/>
  <c r="J132" i="25"/>
  <c r="D204" i="25"/>
  <c r="F160" i="25"/>
  <c r="J140" i="25"/>
  <c r="J144" i="25"/>
  <c r="J148" i="25"/>
  <c r="J152" i="25"/>
  <c r="J154" i="25"/>
  <c r="J158" i="25"/>
  <c r="J162" i="25"/>
  <c r="J166" i="25"/>
  <c r="J170" i="25"/>
  <c r="J174" i="25"/>
  <c r="J176" i="25"/>
  <c r="J180" i="25"/>
  <c r="J182" i="25"/>
  <c r="J186" i="25"/>
  <c r="J190" i="25"/>
  <c r="J194" i="25"/>
  <c r="J196" i="25"/>
  <c r="J200" i="25"/>
  <c r="G208" i="25"/>
  <c r="F208"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C23" authorId="0" shapeId="0" xr:uid="{00000000-0006-0000-0000-000001000000}">
      <text>
        <r>
          <rPr>
            <b/>
            <sz val="8"/>
            <color indexed="81"/>
            <rFont val="Tahoma"/>
            <family val="2"/>
          </rPr>
          <t>Need to define the different steps of decisions.</t>
        </r>
      </text>
    </comment>
    <comment ref="H28" authorId="0" shapeId="0" xr:uid="{00000000-0006-0000-0000-000002000000}">
      <text>
        <r>
          <rPr>
            <b/>
            <sz val="8"/>
            <color indexed="81"/>
            <rFont val="Tahoma"/>
            <family val="2"/>
          </rPr>
          <t>Make the cash flow take state of decisions into account.</t>
        </r>
      </text>
    </comment>
  </commentList>
</comments>
</file>

<file path=xl/sharedStrings.xml><?xml version="1.0" encoding="utf-8"?>
<sst xmlns="http://schemas.openxmlformats.org/spreadsheetml/2006/main" count="1539" uniqueCount="388">
  <si>
    <t>Capacity factor</t>
  </si>
  <si>
    <t>Rated capacity (MW)</t>
  </si>
  <si>
    <t>Fixed operating cost (M$)</t>
  </si>
  <si>
    <t>Variable operating cost ($/MWhr)</t>
  </si>
  <si>
    <t>Cash flows</t>
  </si>
  <si>
    <t>Net present value</t>
  </si>
  <si>
    <t>year</t>
  </si>
  <si>
    <t>rate</t>
  </si>
  <si>
    <t>value</t>
  </si>
  <si>
    <t>Tax rate</t>
  </si>
  <si>
    <t>Depreciation</t>
  </si>
  <si>
    <t>total</t>
  </si>
  <si>
    <t>Tax1</t>
  </si>
  <si>
    <t>Losses carried forward</t>
  </si>
  <si>
    <t>Net profit</t>
  </si>
  <si>
    <t>Tax2</t>
  </si>
  <si>
    <t>Electricity price scenario</t>
  </si>
  <si>
    <t>Electricity price 1 ($/MWhr)</t>
  </si>
  <si>
    <t>Electricity price 2 ($/MWhr)</t>
  </si>
  <si>
    <t>Electricity price 3 ($/MWhr)</t>
  </si>
  <si>
    <t>Plant efficiency</t>
  </si>
  <si>
    <t>Construction costs</t>
  </si>
  <si>
    <t>Mean</t>
  </si>
  <si>
    <t>Std. Dev.</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</si>
  <si>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</si>
  <si>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</si>
  <si>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</si>
  <si>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</si>
  <si>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</si>
  <si>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</si>
  <si>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</si>
  <si>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</si>
  <si>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</si>
  <si>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</si>
  <si>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</si>
  <si>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</si>
  <si>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12678692-a5f9-4845-8c39-4d3e4a231c9b</t>
  </si>
  <si>
    <t>CB_Block_0</t>
  </si>
  <si>
    <t>㜸〱敤㕣摦㙦ㅣ㐷ㅤ扦㍤晢捥户戶㉦㜶㘳㈷㙤晡㈳㜵㝦搲攲攸㥡㥦㙤愳㉡愴晥㔱㈷愶㑥敤收㥣㔴愸㉡挷晡㙥搶摥㘶㝦戸扢㝢㑥摣ち㕡愰㐸ㄵ㤴〷挴ぢ㔴〸㠴㠴㉡㜸㐱㉡て愸攵挷㈳㙦ㄴ㈱㈱昱㠲㤰捡ぢ㉦㔰ㄴ㠹㍦愰㝣㍥㌳扢㜷㝢㜷扥戵㜳㙤挱㐱ㅥ挷攳搹㤹敦捣捥捣昷攷㝣扦戳挹㘸㤹㑣收㈳㈴晥㘵敡㘷攱捥昲㘶㄰ち愷㌴攳搹戶愸㠶㤶攷〶愵㈹摦㌷㌶ㄷ慣㈰散〳㐰扥㘲愱㍤挸㔵〲敢㘵㔱愸㙣〸㍦〰㔰㉥㤳㈹ㄴ昴㉣摡㌹〸㝦㐷攳〷㥤扤㠶晢㤱㕤㥣㤹㕥㕣㜹ㄱ愳㤶㐳捦ㄷ㐷㈶㉥慢扥㘷ㅥ㉢㥤㈸㥤㝥昴㘸改攸㤱㠹㤹扡ㅤ搶㝤㜱挶ㄵ昵搰㌷散㈳ㄳ㑢昵ㄵ摢慡㍥㉤㌶㤷扤㉢挲㍤㈳㔶㡥㥥㔸㌱㑥㍥㝥散攴愹㔳收改搳㡦て攳挵㤹㠵㤹改㈵㕦㤸挱㈷㌲㘲㡥搳㍤㌹㉢慡ㄶ搷㈵㠴㙦戹慢愵㤹㘹晣㑢捣ㅤ㑦㡦㤵捡㙢㐲㠴㝣戱昰㠵㕢ㄵ㠱㡥㡥㐳捥㔴㄰搴㥤㜵㙥㥣敥捣㘱㤹㔵㈳〸㜳捥㡣戰㙤摤㠹㐷㉤㌸㡢搸㌷摢搸ㅣ㜶捡挲つ慣搰摡戰挲捤扣戳㡣㠱㙡㐵攷㔲㈰㉥ㅡ敥慡㜸挶㜰㐴捥㌹㔷户㙡晤㉡㘵晡㍥ㄳて㤱㥣㤸㕣㝣㘹㉡㜰㘶搶っ㕦捥㈸攰戶愴挰捥昹搵㔶搸晢扡㡦换愹换㌷㜰捣〷扡挳愱攵戲攱㌷㈰㈷扢㐳㐶㡢㙦㥤挱㈳摤攱ㄳ㝢搴摡攷攱敥㝤攴㔶戶㐲㙢㐳ㄱ㙤换ㅤ挵㘲昴㍣戳〱㘶〵㘶㐴愰㍥挸㙣㠸搹㌰㌲慤晦摦攰㤰㘴㐷㌶㘵㉢㐶戶戲㤲慤㔴戳㤵㕡戶㈲戲ㄵ㌳㕢㔹捤㔶搶戲ㄵ㉢㕢㜹㌱㕢戹〲㤸㌸ㄵ〶〶戲㔱晡㑢昱㜷摦攸晦搳㠷戳㙦扥㝢换㠷挱昷摥㍦㍣扣て㐰捦㐶㤳㥡昵㡤慢㈰戵㈶つㅦ㉦㠱㈳㜶挲ㄳ㘰〹昳㤴昹㤸㜹散㔸敤搴㔱攳㠴㤱攳戲㔲㤰摦㐲㈸愳㠰ㅤ㌶㥦戳摣㥡㜷㔵攲敥捥㘹㈳㄰捤㡤㥢㡣摡愶扤扡㕢ぢ敥搸扡戱ㅣㅡ愱戸扤扤慤㌹㐸㐷户㌲搸㑡〴昲㝤㠷摢扢㕤㌶散扡㤸扡㘶愹收扢摡㥡㥤㈵摦㕢改摥㍡攷㡢㤷ㅡ慤ㅤ㌳㥡㠲㐰摢㤰㘳㜷慣㔲㌵愹㜹㑤捣慣㜹㠱㜰攵昴㈶㥤㈵慢㝡㐵昸㘵㐱㜱㈸㙡㜲愹〷搸ㄴ㜱晤攴愲㡢㠵㠲㕢㙢昷㈶㙢捤愷慥㠵㘰㘶㔱挳㝣搷㠵ㅦ㙥㉥ㅢ㉢戶㌸搸〲愲摥㠹㠶㐳㉤搵㜳㕥戵ㅥ捣㜸㙥攸㝢㜶㙢换㔴㙤挳㠰愴愹㕤昰㙡愲扦㍦㈳㠵〲㠴㙤㕦㥦愶㘵㍥摢㥤ㄷ㈴㈲ㄲ㈸㈶㈳摦搶㑡㜶愵㡢㔸ㅤ㔶㘱ぢ搲㘴昶晥㙤〶攳㝣愵㡣㐹攱挰挴㥡愸㍢昸搲㠷戶ㄹ戶㠱戹㑦ㄷ㌸㥢ㅤ㡢㔶晦搴㠶㜰挳昳㠶㕢戳㠵㥦慡昹㌴捥㐸ㅦ㐱㤶扢づ㠱搰㜵昷愸收戴㙢摡㘶敥慡㔵ぢ搷昲㙢挲㕡㕤ぢ㔱〷敤㔸㈸㜰㙢㍢㤲㝥ぢ慡昴晤捣挶㤰つづ㘶昲攳〴捡て㈲㘵㜲㤴㑥㈹扣摣㈲挸搹慦㠵㤷㠷捤㌹换づ㠵ㄲ捡㈳㈶㌰愲戴㥡㐴㕦㤱㈴敡ㅢ㔵愵㌰挶捤ㄹ㔰愹㘱戹攱㘶㤳㙦㍢戸㐴ㄱ搱㥥㉣搸㜵戲㠰愲愰㔵ㅥ愴昰ㅡ㠸愶㑤ㅡ愴〳㈷㠸㠸㙣㤰愲搹㌱㜲㉢㤱ㄱ㍥㐵㐶〰㍥㐹㠴㠴㍥摡㕤㐶㤰搸㍢㠹㤴㥤扡昲攳㥥㌴摢捡㡥㔷搲散〰㌶㑥㍦挸散㔶㘶户㌱㍢㠴㑣晢㍢㈴ㅣ愵ㅣ捡慤㐹扦〳捦晡㥤捣敥㐲〶昹愴㔳收㐴愲㡡㌶搴㑥散㐸挲ㄵ㘱㈷㑢愳㔸㠹㈲㕡挶つ㍢戳攸㐸㐴㐷㔶攷敥搰戵晤㔲挷㍥搸㥤㌶㤳换㈱㐵愶㠰㈶搷扡つ㘸㜲㈳〸摡愳摥扡ㅢ㕤昵〹㘶昷㈰㔳㡡㠵挶敥捥慣㜹㥡㤳㌷㠵㐹愴っ愱ㅥ㤵㝢㐴挴㌴晦㔳〴㕣挷搱㘵捦㝥愶㈹㌸㘹摥昴昶昳㤱敥扣ㅤ㈱扤㑤㘷敥改ㅣ晡㠹㙥搰㠲扥ㄷ散愵晤戵慢㝥戹ㅦ捤晡〳捣ㅥ㐴搶愶㕦㜸昲扥㔱㉦㠱㌴㠹㥤〴收昶搳攳㈲㉤摣攵捤㜵㈱戵捦戰戹㙣昸慢㈲㠴昷㘲㝥ㄶ㜶戰攷晢挲挶㠱戶㈶㉢㜸㜶戹戵戵㌲㤸昳㍤㠷昵㝢昶㜱㜰㔳㈸㠶晥晥㙣㕦愶捤㍥㑥戱㌳ㄳ晥愶〴攵㔰晦㥥攸㉥㈴ㄲ㥤㕡挹㡢晤搲捦㤶㝢㤲愴〷㐹昲㄰戶㔵㝦ㄸㄹ愴㠴昶攷慥ㄲ㘵㤲㘰㐷㈴㔸慢戵㑡敦㕥捡挹愴捤㝦搸㈱㐷㠶㤴戳㜶ㅡ扥㠳愰攸㤴㉤愷㈱㉣㠶㥣㈵攱㔷攱㔷戰㙣㌱愸㕣戲ㄴ㌵㝢戲攲㈶㤱ㄵ㝤㝤ㅤ㘷改ㄴ摦㥡愴㤳㌶㈹㤱捡敤愹㡤㈹攷昰㈶㔱搱〵㐹愱㤲攲ㄶ㙡㐸㈰㔲ㅥ㘱昷㐴㑣て㈲愶㠴㡤搳ㅦ㘱㜶㤴搹㌱㘴戹㍦㐰搲散㜴攳ㄹ〶ㅢ搸愰㍢扢㔲挹ㄴ㠸〶改ㅥ㝣扦慢戰㍡挹搷㥣㘲昶㈸戲㌶昳㠷捥挷ㄴ㐲㤴㈸㑦㄰㈲慤㈵摤扣㙣㠹慢愴㠱㝤㈶㠲㑡㌳昵㈰昴ㅣ㐶㤵㡡收慣昷㡣ㄷ捥㕡挱㍡愲㔰㘳㘶㔴㜸㙥㑤戸愰㉥ㅦ戶㑦㕢㥤户扥㉥㙡扡㔹昶敡㄰㙤昳戳扢攱㔰㡥昵挱㤶㤴攷昲慣㠶搴摢搹ㄸ㐳㘸昲㐴っ㕦㉢㍤戱㍢昲㝣昳搰㌷搲摣搱㘵㉢戴挵㤰愹㤸㡥攵㠲㠹㕤㐴搴愰㌶㘰㉥慦昹㐲捣ㄶ捤㜳扥㔵戳㉤㔷㄰ㄹ戰㌱ㄹ愸㕢㄰慢㠸㄰㉣㜹㡣晦㜹㙥搱㕣昶つ㌷㔸㌷ㄸ㑣摣摣摦昲㈴㐳㈲㌹㜳摡㜲〳扣㐶㘲㤱攵ㄱ戳扣收㕤㐵愴戶敥戸攷㡣昵㘰㔷㘰㠵㐴慦㤲㐴㡤㤶搵戲㔹慤㤰㉤昴㡡ㅦㅥ挸㌳㤹攳昸敤㘷㈶㜱㤵挹搱㕦㥥愲扤㘹搷㐷昱ㄹ摡改㥣搳㌰㈲㐷㡤捡扥㔴㈹㑣㑥搵ㅦ㘷㥦搳挸捥㥦扢㌴摦㡣捡㝤㡣㔸㜵㡥晥晤ㄴ〹㉦㠹愲ㄱ〲愱㜷㙥㥦㈲ㄴ搶㤱㙥挰㝦挰㌷㥦摡㠹㙦搰㤴㌰愴扤㝤捤攲ㅣ㘲㐸挳收㠲戱㈲㙣㐴愲ㅤ㈳摣愷ㅥ㘸挴㍡㠶ㅤ㐴㙤㌳㥥攳ㄸ㈴㉣ㄲ㘵戹㙡㤰㝥愷敡愱㜷挱㜲㜵ㄳ㤹愴扥愸捡戸㠶㉡攳㥡慣ㅡ㌶㉦㌲㈸㈸换ㅣ换㕢㌵㝣㉢㕣㜳慣㙡㠱てっ摣敤ち㡡〴㡢㔳敥挶㈹㤶ㄸㄳ㙤戶晣㈵ㄸ㙣㐱〹挸㉥㐱㡡㜲敢㠸㝣搰㙤㔶换攳㐷敢搱慤〴昱㈲㝤愴晡ㄳㄸ㉤㈷敦㐴㐰攰挸㜴㍤扥㜹㜱晤㔵搴㈸慦ㅣ戱㥥㐲㈲昰〷㈶㐴㍣㥤摢㜹昳㤲㙢㠵挰ㅥ㌱㌶㘷㠵戳〱㔰㡥っ㐵㜹戸扤㕤㘲㌵搱㘹戲愱ㄳ敥敥㙣㙡㔱ㄲ㠷㍢摢㤳㕡攳晥㉤㥡㤵㍥㐹愸㤱敤㠰愴㕥搹㘲㡥扢㐹搱㘸㔲㙤挷扡㐶㑢㜳㥡㌶昷㥤㌲攴㘳愸㈵㐹㌳ㄹ晤㡣㈴ㄴ㠴㜸㐹ㅤ搰㔰昴搶愷㤳㐷㈲㔶㐳ぢ㘰㤰㕡㑡搵ㄵ愳㘰攰㍣㉥㥣搴挴㘰昴〴晥摥ㄷㄵㄷ敢㘱㑢㡢㜱㙤㉣㙡㤹戲敤㐵ㄷ㌶㐲搵昰㙢扢㠴愵戱㌶愵㕦㈴㜷昶慡晢搵昶㈶ㄸ㌱㘲㐳〶㐴㔲扣挰㘰㐳㌰㔷㈲㤶㑡摢慣挸慤㙥㔴ㄷ昸㜴㐱ㄸ慥挴㐰㌹慣捤㡡つ㘹㠴㌵敤昸㌱搹愱㜱㔶㤴㜲㔴㌷愷㔶〲㈸昴㤰㜲㍣㉡㐹〶搷捤㡢㜴㑡攱晡〲挴㙥㔴㕡慡㠶〸敡㌶〶攰戹㘰昷㘰〷㍢愲㠲㈶戴捤㈸㐱昳㈹㠴摢扡〸昲㑥㡦ㄸ㠵㈰㌵㘵晡搷㔹敤慤敦㌳晤散㙣㈶㉥㐴㑣挴㐰㔷㡡敤〰攴㈶㘳㤲攴愲戱㌸㔴慥㈴㥢ㄴ㕡挳㜱ㅤつ㡣㈲つ㍥㍦挴晤ㅤ㐶戱㐶挸㌶㌶㙥户㠵ㄶ戴愹扤戹捦㥣㜷慢㜶扤㈶愴㉡㡥㘵戵搴挸扢〲㕦昲攲㥦攲愶㤴㝤㠹㌶㘵ㅥ〷㈹㉥㤹㐸敡摤敡搶㍦㠷敥㔲挸㘱っ㈵摢ㄸ㝡㑣㜱捡挹㔰㔸挷つ〵㕡㠷晢㥢㔷ㄷ攴戵㌹㠸戴㡥㉡捡戲〵摣挴㙢挴㡦㈵户㈵挰ㄶ扣〵㡦ㄶ㝢愲敡扣愵慡㜶〵㡥戰㑥㈵昰昲㜹ㄸ㈳㍤㜲〷〷挹㕣㡦攲扡搷㕦㤵㡦㤹敢㘷㈳攳㐳㘳㜴㤷㘷愰っ㜶ㄵ㡣㐴㜳㍢摢戴戹㌵挶㝤㘹㜷敢㑦㈲搳ㄸ〰愶㐱ぢ㐸㘵攰㑣愳扣扤㠱挳㔰㘴㑡㙣㌴ㄹ㐶㘵㠴㜲っ敥㝡㈰つ摣挴㘳昴戲〷㈵ㄴ㡥换㉢㘱昱慤挴㐹〷〷㈰捦㍦搸㔶戹㘴㠴戸昸攲ㅥ㙡慢㥥慡搵㘸敥挲㍢户㉢戰㡡㑢ㅢ捡ㅣㅤ㙦扢㡥㈵搷㐴晢敥扥戶㠶攸㥡攰昱搹搲㜹㈳慣慥㤵挳㑤㜵㘵慢㔷㤲挸晤ㄶ摥㠸㉤摦㑥㥢戹摦攵ㄵ搴つ敥晤攰ㄵ搷扢敡捡㜹攵〲摥昷愳ㄵ慢てっ㜰㤲㠳㤹㡦昰㈳㔳㌶㤳晢つ㐶摣挹戴㌹㐰搳㍤挲㜱㘴㔲搲㘰〲攵ㄴ㍡㠱敤摥戸㉦㐰㍡ㄹ㙦愳ㄳ㈹〸昶〸挵㕤晤挴〸㐵晢㌵搰㑡㘲㔱〷㜲散昹摢㘰㝤敤㔷愸㈱挲昱ㅣ㠹㤱摣㍤㈸愵愰㑥ち昲攸㜲〷慦㠲晣晦㘰㈹收收㉤搹改扦挰捣摡㝢敤㈸㍡㑣ㄴ扤摢㠹㈲㠶㘱㙦㈸攰捤搹敦ㅤ㌵㍦昵㑢扤晦挳愳收攷㠱㘱㈶㘹㡤㈱愴挶㔰㝣挳ㄸ挸㜶ㄸ〳て愰㔹ㅡ〳㑦戳て愳昵捡ㄸ㠸扣ㅤㄷ㔰戱扤㌱挰ㄸ㕥㡡挹㤷〸愹㈶ㅣㄸ㍣㙢ㅤ㜴攸〹㍢㡦换戵㈲㐰摣ㅥ敡㈹㤸㠱敦改搶捥敡㈵挳㌷㥣㐳戲晥㥣㉦愰戶晣㘵摣搶㤶㕤搸攳昶㉤㕢㘴愷㉤扣ㄲ戱㌷㝤捦㜳戲戳㍢敡挰㤴㑡捡㑤慦ㄵ戴晣挷昰㠹㘸㍣㈱㘴㕥ㄹ晦昹戹扦扤晣晡㔹摥㑡㡢㘸㌵挷㌰㜰㉦愱㜹㕡づ〸摥㈶㉥㠴ㅣ攰挷㌷ㄷ昰ㄱ㤲戵㙥㡢㘹挳㤷昶㑥愰㍢㜱㔱ㄱ㕥㠲㌰ㄵ昱敤〶㘳ㄲ昷ㅢ㤴㌱㔹㙡㜳㙣捡㡦㤷愴㌳戰㤴㤸戸昴摥挵攱㐱慤慢捡敡搱慥捣晤〲㑡攷〶㈷搲㙡て昲㝣挹愴㘹敦戴㙢戵㔳搴㙡搲㑣搴㈶〱ㄱ㑢㈹挴ㄹ㐸㈱挹㈳ぢ〳晦㔲㑡㉤愱㤰㉢㈱㑢㠹愰戵㠷㜲㜹昲摦ㄳ〲愲㜱戹慦挷て㔵戰㡢挰㘲散㜵敦昵散㑡慢㌳㔶㑤っ挹捡搳挷戳㈸挸㘳ち㉢ㄸ愳㤵戵ㄷ㔱㠸㔳敥ㄸ㑡㍢㜶㍣昱㈵㐵㐷〵搸ㄴ㘳攷ㅣ㝡搵〶㥤愷摣㍡㙥㜸㐰捦攴愵挲㜰昷戳ㅡ㐷㑦ㄹ㡢㔳愰㠳慡㡡昹㠸㉡㌶㍡つ㐵㑤搰㔹敥㈱㥣㍦ㄱ攴攳搷㐰㙣㥦㙣づ㝤愰扤㠵㍡捥ㅤ挰〲昹ぢ晢敢㜰ち㘳攳慤攴ㄸ㐸搸ㅤ㐱ㄵ搴ㄵ昰㌲扡㐸㝢㕥搳㥢㐵扥㑢搳ㄸ㡢㡥㌹慢慦㔳晦㌳㑡㉤㌹㙢㤹搰っ㔷户攸晦换愸搸㔶晦㙢㡣戱㐹㤴㍤ㄷㄵ昸㤰㘳愴㘴摢攰っ㜷〴㍥㙣㠴㘹攴ㄱ㔸㤷㐵㠶戶㔵愹㡣㡦㔳㔵戳㤴攰昰㜰昵户㕦㠱㘸昴愵㙤㍢搴㔵〰㌲ち㤴晢㈹㐴㔰搷晥㥣㜴攷㌹㌶晦〵㔴㡦㕦戰慡扥ㄷ㜸㘶㌸㔱㐶㜰㜷㠲摦㤷㤹戰㜹愶戴户摢㠵摡㝤搸㠹攱攷搱㘷㘱ㄱ〲晢ㄹㄱ㝥㌲㌱㐷㐶㄰㜶ㄶ戱攰㤷㐶愳㠹㌰ㄲ㜵㐳㜰㡢昹㙣摤戰昱㜱敡㈲㝣㥡㈱慢㜶㠵慡㔳㥥攵昶㝢ㄸ摣㌸摣挴㝡ㅡ㝥ㅦ㘱㤷㄰〴㤳㑢㜸晥〵敥㙡晢ㅥ戴挲㐶㙢ぢ〸搹㥢㙦㙤㌰昷ㄳ㘰㜴㘷㙦㘹㈵ㄸ扥㤳摦ㅣ㉢扦〷晤愲㍢㜷挲㜲愴㌱㔰㜸昴愹㌶㥤㕤㤳㌶㕣㘴㍢㠸㙦扦㠰慥摡㤳捣昰慢㝦㌱㉡昰㐱愳㈷敦〹ㄶ㝥㡣㈵㤱昴㔱捥攴扦㠴慣㍢㍤晦〸㘰㉤摥〱搲戳挶㐳〵㈹㜰㔰晢㈱摡戹㐳㡤㤵㙡昲攰㠰㌶扤㡡㉣㑥ㅡてづ昲摤㍦〰㜰攳摤〲戵摤摦晤搶㤶敦愶捡㤷㙢㕢㡤〷挷摦搱㔸㘵攸㙢㜸搲㉤㘶㉦㌲扢挲挶㔸㜳㡣㔰ㄸ㔲挲攴㔵攸攰扤戳㈸㈳晤㌱晡晢挱搹昷㝦捦昴捦戳㥡ㄴ㝦㘸搲㙤〹愱㌲㡤攲㑦慥攲扢挹㔵戸愸敤扥㡡敦㙣戵㡡㔱㑡㐶㕥㌷搱搷㤱ㄵ㐷㌴㠹㌶㍥扦㠴㉣㑥愳㐴㥦㠴昲㔱㈸㡥㡣㜲㑢昹㕣ㅣㅤ攵敡㔵㌱挷㈵愷㝣愰㈳敤ㅦ㕥㘸愴㔷㈶慦摣慡㜹愵昵ち㑥攴㑦摤ㄵ摣ㅦ㜹挲扢㡡散㝣㡦戱㝡敤摢㌱ち捥㥦㡦扦㝥捡㐶搱㈳㤰㠰戲㌸㐹㌲摣㐸敤捤ㄸ昸㥤㕦㌶㥤㥦㘸㐰〲㥤㈸㘰㤲㤶〴晥㔶っ㝣ㅣ㕦㔶㐹㤸っ敦〲㌰㝤㄰〳㤳〴㈵昰㌷㘳攰㝦ㅣ㍦搴〰㡥㈹㑥㡤㍣㑡㜲㡢搰扡㡥㘲㡡㔹㉢つ晤挴〷搷㍣㍦攷㑣慡捡㈱㔳㔵㔳㑣捡㜸戰㉤㤵攵㌰㙥㜸昸昸攴㜹〱搷㤵㜰慦〳ㄲ㔵晤捦〷昳戸挶㌴㙢㠴〶扥㘸摥㐰〴搹搷攵ㄳ㍢攷捤㐵ㅦㄵ〳收㝣㠰攳㔳㙤㔷㔱ぢ㌴㝦扦摡敡㙤㍣敤㈹㔶㘲㜳㍦攲挸㔷㤶ㄷ㐳㝡搳ㄴ㌲㕡搲慦扤ㄱ㈳㌹昳㕡㤳㝣昴㑤㈰〷捥ㄷ攴㉣っ慡挸捡㌸ㅦ㐶挹昰ち攳ㅡ戹㥣㔸捦扦㠲㙣㈴晥㕦㈶㈶㌶愴㈳㈴慢扤ㅥて㥤愴ㅦ晤换散昰ㄵ㘴㝤昰挰㙡ㄱ昵戵扣㈲挷户敦㜸ㅢ㌸挹ㅥ㜵捦㙢攸慡㜱㍥㝣愱晥㔵㍥扤挶㡣㑦㕦㐳ㄶ㈷㑤㌶攱㐹晦㝡㕣㠵扦愳〴㔱㍢㌱捡㝡㔵ㅣ晡て㠸㙦搳㐵</t>
  </si>
  <si>
    <t>Decisioneering:7.0.0.0</t>
  </si>
  <si>
    <t>CB_Block_7.0.0.0:1</t>
  </si>
  <si>
    <t>㜸〱捤㔸〹㜰ㅢ搵ㄹ搶捡㕡㔹㉢㑢㡥ㄲ〲㙤㐲づ㘱㑣㠱㌸ㄵ捥㘱ㅣ〳㈱戶攴㌳搸㠹㠹散〴〶㌲㘲㉤㍤搹㑢戴㕡戳扢㜲散っ㈹㘷〲㈹愱㤰㑣〲つ㌴っ愱㠴搰っ㈴ㅣ㙤㠶愶搰㑥㍢敤戴搳搲㈹㌳㔰愰㥤㜶愰㌴㌳㥣ㅤ㘸戹愶敤㜴搲晦㝢扢㤲扣㡡ㄴ搲㤰捥攴搹晡㜷摦晢晦昷扤敢扦昶戹〴㤷换㜵㤴ち㥥㈸ㅥ扣捣㡡㑦ㄸ㈶㔳㈳㌱㉤㤳㘱㐹㔳搱戲㐶愴㑤搷攵㠹㕥挵㌰慢㐸挰㥢㔰㠸㙦㠸〹㐳搹挰㝣㠹㌱愶ㅢ㈴㈴扡㕣㍥㥦攴㈶㍥㐰昰ぢ攵㉢ㄲ㝡〵㍣㐴㔶挵愲㉢㠷慥㈷搴戸愹改㙣㝥㜸戵搵㜷㘹㜳㘴㔱愴攵攲挶㐸攳晣㜰㉣㤷㌱㜳㍡㕢㥡㘵㌹㔳㤷㌳昳挳晤戹愱㡣㤲扣㠲㑤っ㘸敢㔸㜶㈹ㅢ㙡㕣㌴㈴㉦㕥戲㘰㜱㔳㔳扡愵㘵㐹㠰〶㜶慤㠸㐵扢㔹㘶㤴搰㑥つ愶㤷㌰㝢㘳搱㝥㥤愵㑦つ愲㠸㉤㘸㘸㘷㐹〵㝢挵㤸慥㘴㠷㈳戱㈸晤㑦摡て慡㌵㐷㔶挶〷㜴㤶㑤㘱㔵㤲扡㌲㌹戴㕡捥攴㤸㔷攵㔳昱愹慢㘵㝤㠵慣戲愰㍡㘸戰㔵㜲㜶㤸愱㈶慡㕤㌹㈵攵愱搳慢扡戰摣㄰昶搶㐴㔶挶愲戱ㄱ㔹㌷㌹㈴〶㈸㉢捤㐷㡡昰㐹㜰㘹㕥挷㠶〸㌵戶㘶昰搱㌰扦㙡㄰ㅦㄱ慦㐴㈴挸晢㠴㜹愷昰〲挱昳ㄹ㘹搶攴㉥㌵㈴攳㑥挸敥挴㤰㍢㤱㜴㈷㔲敥〴㜳㈷搲敥挴戰㍢㌱攲㑥㈸敥挴昵敥挴㍡㤲挹ㄷ㕦㜵戵摢㉥摢ㅦ摤㉣摥㝦㤵㘷昹摥扦ㅥ昹㜰昵慦ㅦ摦ㄳ〰㔶㉦慤㈷戲㠲㤹愷攴挸㐵慣愵散㝥㤴摤扤〰㐹㡢慡戵昹敤捣㐸㑡㌸㤹㥥㙣㡡㡤㝢改㡤㑥㉣愰挶戴慣挹挶捤㜶搹㤴慢搵㝥㤹づ搵㤴㐸愸㠱昷戲摥搰㌳挸摢昲扤晤㜶㡤㄰㐲晣㜵ㄲ㑡つ㙦戰㤰〴㌲戰㉡㡦㐵㝤摥㜲㈶摢㉤ㅢ㈳愶㍣㤴㘱昵㈵㉡㠱㕤㈳扤ㅡ㌴㤵㡣ㄱ㈱挸㉥㕤换㡤㘲㍦㑦ㄵづ㔷㕤㈸㠴㌷㐸㠴㍢ㄸ㍣挹㈱戴㑡戵昴昰㑢㘰㑡㘰挲昹搰㠳㑡㥥ㄷ㤸㐶㤵㉢㙤㐵㙢搷攵昵㘴㈸挵〳㕥ㄸ㈱ㅦ㜱㈲㕥㠲㥣㐴扡㈹摤㥣㕥戰㈰搵搴㈸㉦㤲㐵㘸㘹搹攳㉤慢敥搳㐹㍡愰慥㔱戲㈹㙤㍤ㄷ愸㔱戹㜲㐷攵㙣捡〸慡㜱㠵ㅦ㜷㍢㍣㘲㡤摡捦昴㈴ㅤ慥㤲㘱㝥㤵㉢晦挰挴㈸㥢ㄵ㤵つ㔶戴㥦㠶戴〵ㄶ搵㜲㠴㜰㜶㜹㘶摣㤴㑤㌶戳㤴㔷〴㌹愶㕢㥣晣〸㌳昸〴攷㤴㜶攳㕡搸㌶慥㔸散搹㈵㙣昲㈷摡㔰㘵㙥愷捥㙥㈸㜰㡦㤹㔱ㅢ㐵㠵㌱〶晥㌱慢戴㔸搶扣挸ㄳ㘸〶换昲改㌵愸晤㑡㜲ㅤ搳攳っ㌱㠵愵昸㔲捦〴㡢㤱㘱㈴㤹搱戰㌲㑢ぢ㈵㠷㤶慡㥢摣㥡敥ㄸ㌷挹ㅢ戲ㄴ捤㤷摣扢㌹㌱〰㤵㍥换㈱㘲㡤㐹㡣ㄹ㡥收㑥㉤㤹㌳㘰㍥扡㤶㜱㜲摡㔲㘳㌲㡤㤹敡搳㔲捣㔳㔵攵昱㜸㕣昴㈳㑡づ戴㡡㙣㙡㕥㠹挵㜰㍦つ㙣挳㜲㡢㤳昴〲㝥戱㥣昵ㄵ〲收㜱㤹ㄷ㔴ㅥ愸愸㔴搸㉡っ㜳㝥㘵攱㠲搶㐱昳㈰晢㔵愷〱㐵㔶搱愶搳收㘶ㄸ慣换㕤敡ㄱ㈶慤慦愸㙣㠰㌹㡥挱㑣摡㙡㔸〱愴㡦戳ㅡづ㕢㔰愸晦慦戰摢㝤㠶扤晡㡥㌱㌲换㙥㌲搹っ搳㡦㝢づ〲㘶㈴㥤〱〲换㤷捥〴㌹㡢㠸昸㉥㌹愸ㄳ摤㜸攴㍣搵㘳㜰晥㠹〴㌹㔳慡㈱攵ㄱ摦㈱㠸㡡攷〱〹㘱㕣㤸㄰搷㉢㈹㜳挴㍢挲㤴攱ㄱ㤳摡㈸㤷昲昹㜰㔸ㅢ改㜷㠸㝥㌷㔳㌲戵㠹㐶㄰愴ㄹ㔴㤳㘶㠲㥣㑤挴敦户㍣愹搷㉦捤戶慡ㅥ昸搸㜲换㉤㐴〴㠴㍡㝦慦㈶愷㍡攵㈴攵㘱搵㜶ㄶ收㡢㘹敡㈸挵㈹㍤〴挹ㄸㄹ〷ㄹ摤㤸㤲㘲扡てつ㜱捡昶㍣㤴㠶ㄹ㕥敥㕡っち㐰㔵㉥㔱慣昱㤵ㅢ慢㈷㡦㔵㙦㥦挵攴㙣戲攷ㄸ晣て慥㕣戲っ搹愲摦㡦㐰㈴捤〱㤹㑢㐴挴㤹晣て收㠸摥㌳戹戲㑤戲搱㠶昴㙡㠵慤㠷㘹捣㍤㤶㐵㜹㔴㉣㘷㤸ㅡ㡦捡㜳㡥攵户㙢㉢㌴戳㕤㌱㐶㌳昲㐴㝤ㄹ戶挵㔹㌳挲戲㘴愷㍡㜹戶㉦ㄲ搲㐶㐷㔹慡捣ㅣ攳㕡㡥挲㐸㑦晢改攰ㄴ㘹ㄷ㐹搳戸㉦㜴ぢ㔴㑥捥愰晣〰昱愳戸〴㤸ㄵ散㐳ちㄳ㠱搲㈳㠱ㄲ㘰㘷扣昵ㅣ㝡㠱〸㝥㈲っ敦㌸扥挴改ㄹ㌱㐸㔰戵㡥搰搲㑢㔱㠵挷昴慢ㅤ搹㥣㤵㡡㜹搵昸㠸戶㍥㍢つ捤つづ㔱扦搵〴㍡挵㝡㉤㜴慡戱㔹攸㌹挳㔲㘶㐴ㅥ昰ㅢ㡡搰㘷㤶㜲昸㐸搵戴㐰晣㈸〳㥡㔳搹㘹㘳〰㌸〹㥦㜰㘲㔲㈴㐷搲㔲ㅤㄱ㉣㥡㍣㐱昱㤵搷㐵㜸㠶ㄳ昲敤㈱ㄲ㥣㤲㉥愸晥㠰㘲㘶㔸㑤㥡㙢㌷㝦昷愵㘹㜲ㄴ慥㔳搵改㠱ㄱ㥤戱昶㘰扡㑢㔷㔲ㄹ㈵换㘰㐶搳㉤搱㕥㌶㑣愱戹㕦㌳ㄴ㝣㈴〶搳〳扡㥣㌵攰㐰戲挹㠹㘹㡥ㅡ㍦ㄸ㌱ㅤ㔵戲〶つ挳捤つ敦㔳搲搸㉥昲っ㌹㌵摢㈵㡦ㅡ愷㠵敡㐳ㅦ慤挲昵㕦㜰ぢ㙥户攰㜳晢㑥搲〸㕣㍣搹㈵㕦改㜶㉤㈴㔸㌷〸戹㌹戲〹ㄱ㍥晣挴㈳㉣收ㄵ攰㥦㠱㜶挶㔴㔵捥敦ㄶ昲づ慥㉢昵攸㜳ㅥ㤱敥慥挱㥥㘲ㄶ晤㈵扥戶㐵挴㥣攳ㄸ㈷搷愱㐲愰㠷㝤搷㕡捡㠲㌶攸㡥挴捦ㅣ戵㔲〵昴愷戹っ㜴戱戶昸摡㐹〹㕣㈰摤㉢て戱㑣愷愶慢戲㔹㙢㔵㘰㔷慡㥣㌱㙣ㅥ搹愱㉡㐳戹昰㝤ㅢ㑦捡ㄹ收㑢户攵㑣慤㑦挹㑡㘹㈲㕣〳敤㈶㜹㥣㥡攴㜱摥ㄴ㐸慦㐲㐶㙥㜹づ挲搲㠶㘵㕤㌱㐷㔴㈵改㐳〵㔹昳㘹愱㤵㘴敥摣愱搰㠶愲攴㕤㜳戸挴扤㔸ㅦ㜵㜴搸ㄱ㡡㝦搸㍡ㅣ㍥改慥㕢昰搲㥦㜰㤲㤹㤱㑢㄰昸搷㥡㜴㍥愱㠹㠸搳ㄴㄳ㠸㔲昹㈸㝦㜷昴搱㑤搴㘲昹㝡攴㈱㘰㑢ㄷ搸㉦愸㠴㄰搳搱搵㝢㈱㤱愹戱㘸挲扡昸攸㐹攱搳挹㥣昰捥愳收㕡㙡㥥㤴㔸㠶㤰〲愰㡦搴〰㠲㑦戸㔰㤸〸㜶㐲晡㍡㐸〴攴㈲㤰㐶㈲愱㜳㠸㠴㔱㕢〰〲㔳㤳ㄶ㠱㉣〶㘹〲戹ㄸ愴ㄹ㘴〹㐸ぢ挸㈵㈰㤷㠲㕣〶戲ㄴ攴㜲㤰㘵㈰慤㈰㙤㈰㔱㤰ㄸ㐸㍢㤱㘰㘰㑡ㅤ㍤㌰ㄷ敦〳扢㔰㝥〸㜹㉡㉦搹捦㌷㤷晤昶㐵㤴て㤶〹昵搴㡣㕤㤰㍡㈰㘰ㄷㄱ摢昹㠵㈷㠸〱晣㘹㥣㘵摣㥣挸㤰晤攰ㄵㄷて搶ㅢ戲㌲㡢㑤㝥㔴搳改づ挸㔳㥡㙣ㄶ晡㈲㥦慣㤹㕥昲㘹挰扢㠱〳㔵ㄱて㤷㐹㔶ぢ晤戱㠲㘲㠲㡢㍥㈸摥㉥㈲搳晢㤴愴慥ㄹ㕡摡っ挷㈹ち㠴昱〵㤸㜶戹ㅡ摢挴攷〸戱散㤸㔸㤸㈷㡢敢慢㌱攴捣晥㜵㔹ち戵㝣㌶愲㐱愱㤱昱晤慡慥挶㌰㍣摥搱搳㜵㉥敤㘲〸㙡㠵〸㈶昵㄰〹㑥〹㉣愷㐷㕦㉣摡慥愹戲㤲㍤㌵㕥づ晡㔶昶戶捥ㅡ愴㜰㙤㤷搷㕥㤱攴〳戸慤愳㕢〲㝥㈵攷攳ㄵ昲㜷㐱㜵㡤愶慦ㅢ搲戴㜵㌸戳㕡㕥㌳㐶ㄸ㌳㜱㠹㔶愳㕡㐶㠰㜷㌲愹慡㉡挷㜵㤹㝤㔰㘰㘲㠹摥㉢㠸〴摢㌲㤹㜰ㅥ搱昰昶愲挹㜱慤攷敤愳愶愹搹㕣㌲挳㘴扡㤷㔵㜳㤹挸㜸挶ㄸㄷ㥥愱㘳挰㠵摣昶捤挳搳晥戹户愳㝢㙢㑢摦攵换捦㥤昵愰昰㜴㥥㔱㜲挵㈶挲挰捥㉤昱㉦㤳扥ㄴぢ昷㈱㌰㑢㉦摤㜶㤱昶搹㜷㕦㍥扡敥㌲㑤愶㘷㑦〷搷㐹㙡挶扤㘵㔹ㅤ㠴㜲㜹㑦搲㉢ち㑦搱捥㐱扢晤摤摤昹㕢㉣户慢攰ち㉣㕦〸〷㠵㡤ㄴづ收㠵㥦㍥攴㍡㑡つ㔴攰搹㔰挸㕦㔸挲㜰㘴㕣昸㐰㕥㜸攱搱㡦㑡㠴摦捣ぢ挳攱㜱攱㈷昳挲敦㉦㥣㔱㄰捥㝢ㅥㅢㄹ晥㤰晢搰㈰扤㜸〷㠹㔴㜵敡㐹敥搴㠵敦㔱㝦㘸挶㥤㠱搷て㥣昷摡攵㍤て㑣㑤㙤㙣㝡㙤晢㐲攱㜱㥢昱搲捦扡晦㉤晤昹捤慥㠳㜳㌷㍣户㙢㜱攸ㄵ㘱愱〳敤㙡〷摡摥㑡㘸㡦摡㡣慤攷㌷扥晢㠳㐳㤷戵敤晢㙣摥搱㙦㍥慢つぢ昰搰挵戹慤㜵愰敤愹㠴昶戰捤愸捦昶昹㥦㝡㝢㕡挷晥㑦㥦昸㕡摤慢㠹㐱〱慥扥㠸㈶㍢搰㜶㔷㐲晢㡥捤㤸慤ㅤ㙣摥搸晣㘴昴攰敦㍥晥㐶㙡㐵㙣扦㠰㤸㔱㐴㘳づ戴㕤㤵搰扥㙤㌳㘲㕢㜷㍣昸搶㝢㉤㉢ㅥ㝣㘹㐷攴㕦收㡣ぢ〵〴㥦㈲㥡攲㐰摢㔹〹㙤㠷捤昸昱搵慦扣㜲㥢敦晥摥挳㑦㡡㝦㌰㝡㘶ㅣㄱ㄰挵㡡㘸慡〳㙤㕢㈵戴㝢㙤挶晢㥦晡㉥㜸㙡攰㜰摦愱㌵㉦ㅦ昶捡つ敦〸〸㠷㐵戴ㅢㅣ㘸㜷㔷㐲摢㙡㌳㌶㙣㑦昶摤晢昷㕦㜴敥敢晣攵㥥㥢㥡㕦扣㔶㐰㕣㉤愲攵ㅣ㘸㕢㉡愱摤㘹㌳攲㑢㉦摥㝤愵愷㉥晡扣敦扥て㕥ㅥ㤸㕢㉢㈰㐰ㄷ搱㈶ㅣ㘸㥢㉡愱摤㙥㌳㌶㝦㜲晢攷慦捥扣慤攳戱戱挵㍤㡦㍣昰愷㡣㠰㐸㕦㐴摢攸㐰扢愵ㄲ摡捤㌶攳挰㌳㍦昹敥㍢㐷愲换㥦㕤晢搳㙤慡戶㘵㡢㠰㤴愱㠸㜶㡢〳㙤㘳㈵戴ㅢ㙤挶搴㐷愶搵㝤㝦昶捥摥ㄷ捣㠷晦昲摡㍤㉦て〸挸㍤㡡㘸㥢ㅣ㘸ㄳ㤵搰挶㙤挶㠶㘵扢㉦摤摦㌴戵㜵晦㝤㥢攷㑥晦捤摦收〹㐸㘲㡡㘸㕢ㅣ㘸戹㑡㘸愶捤攸㡤㝣扣㜲摦㠷て戵㝥敢摤晡㙢づ扥㍦扣㔶㐰㔶㔳㐴扢摢㠱㜶㐳㈵戴㔱㥢㌱㜸摥挰㡦づ㠷摥攸㍥㜰挷㡥换㘶摤愸〸㐲慢〳㙤㥢〳㑤慤㠴㤶戱ㄹ㍢昷摥晡㡦攷慦晦㔵敢摥㝢㕥㜴扢ㅥ敡晣扤搰收㐰摢改㐰㔳㉡愱㡤搸㡣摤敦㐵慦扢晢㍦晢扡昷㡣扤昰昳敤㌳攷摦㈵㈰搱㉢慥㜴㤷〳㡤㔵㐲㑢搹㡣㙤挶㐳㜵㥦敦㝤愳攷慥搰㤱晢扦㜲㤵㝡㤱㠰㡣戱㠸戶摢㠱㈶㔷㐲扢捥㘶㍣敡晡攳ぢ晤昲愱摥㝢挲㌳㔷慤㝦㘲晡㈷㐲扢〳㙤㡦〳㙤㙤㈵戴㙢㙤挶扤㙦㙤扥搵搳㜲昶昲㕢づ㜶摥搱昷昶ㄹ慦㠷㍡愸㍦㔲愹㘰㐸㐴㌲㜵㘹攵㜰㍦㈹㉤㙦㈸扤㤳敦愰㍢昶〹㐴戳㉡扡ㅥㄴ昹户㤴挷㝤挹挹㘱攵㙦戰昱晤㉡㕥㐳昳晥ㄲ㌸〲㘱ㄴ昳㔵㈰捥愵㥦昴ㄸ愰㐱㑡㔳〲攴搲㥤㔸㐷挹㙤㙣㑤つ昲㠴挱㕤㠷㕢㕤㡢搷戶搵晣ㄷ㔴㡣ㅢ㝦</t>
  </si>
  <si>
    <t>aed80c88-d725-493e-9a11-647d35d79232</t>
  </si>
  <si>
    <t>㜸〱敤㕣搹㙦㈴㐷ㄹ㥦ㅥ㝢挶搳㘳㝢敤慣扤㥢㙣㑥攷㑥昰㙡戲㘷㤲㔵戴㙣㝣挴㙢ㄳ㙦散散㜸㌷㐲㔱㌴㙡捦㔴摢㥤敤挳㜴昷㜸搷〹㈲㈰愱㍣㈰づ〹昱〲㠸㐳〸㐵㈰㈴愴昰㠰〸挷㝦㐰㄰㑦扣㈱㠵ㄷ㜸〰愱ㄵ晣〱攱昷慢敡㥥改㤹昱戴扤㤳〴㘶㤱换敢㜲㜵搵㔷搵㔵昵㥤昵㝤搵㥢搱㌲㤹捣㠷㐸晣换㌴挸挲扤攵㥤㈰ㄴ㑥㘹捥戳㙤㔱つ㉤捦つ㑡㌳扥㙦散㉣㕢㐱㌸〰㠰㝣挵㐲㝢㤰慢〴搶ㅢ愲㔰搹ㄶ㝥〰愰㕣㈶㔳㈸攸㔹戴㜳㄰晥㡥挷て㍡㝢㡤っ㈲扢㍣㌷扢戲晥㍡㐶㉤㠷㥥㉦㡥㑦㕤㔵㝤捦㍦㔳㍡㕤㍡昷昴㠹搲㠹攳㔳㜳㜵㍢慣晢攲扣㉢敡愱㙦搸挷愷㔶敢敢戶㔵㝤㔱散慣㜹搷㠴㝢㕥慣㥦㌸扤㙥㥣㜹昶攴㤹戳㘷捤㜳攷㥥ㅤ挱㡢㌳换㜳戳慢扥㌰㠳㡦㘵挴ㅣ愷㝢㘶㕥㔴㉤慥㑢〸摦㜲㌷㑡㜳戳昸㤷㤸㍢㥥㥥㈹㤵㌷㠵〸昹㘲攱ぢ户㉡〲ㅤㅤ㠷㥤㤹㈰愸㍢㕢摣㌸摤㔹挰㌲慢㐶㄰收㥣㌹㘱摢扡ㄳ㡦㕡㜰㔶戰㙦戶戱㌳攲㤴㠵ㅢ㔸愱戵㙤㠵㍢㜹㘷つ〳搵㐶㥤㉢㠱戸㙣戸ㅢ攲㈵挳ㄱ㌹攷㘲摤慡つ慡㤴ㄹ㜸㍣ㅥ㈲㌹㌱戹昸搲㑣攰捣㙤ㅡ扥㥣㔱挰㙤㐹㠱㕤昰慢慤戰て㜷ㅦ㤷㔳㤷㙦攰㤸㡦㜶㠷㐳换㔵挳㙦㐰㑥㜷㠷㡣ㄶ摦㍡㠳愷扡挳㈷昶愸戵捦㤳摤晢挸慤㙣㠵搶㠶㈳摡㤶㍢㡡挵攸㜹㘶㐳捣ち捣㠸㐰扤挸㙣㤸搹〸㌲㙤昰摦攰㤰㘴㐷㌶㘵㉢㐶戶戲㥥慤㔴戳㤵㕡戶㈲戲ㄵ㌳㕢搹挸㔶㌶戳ㄵ㉢㕢㜹㍤㕢戹〶㤸㌸ㄵ㠶㠶戲㔱㝡攸㕦戵㥦扤昳敡昸攲昷㥤愷ㅥ㝦晢挴摦扥㌴㜲〸㐰㉦㐷㤳㥡昷㡤敢㈰戵㈶つ㥦㉡㠱㈳昶挳ㄳ㘰〹昳慣昹㡣㜹昲㘴敤散〹攳戴㤱攳戲㔲㤰摦㐲㈸攳㠰ㅤ㌱㕦戱摣㥡㜷㕤攲敥摥㔹㈳㄰捤㡤㥢㡥摡㘶扤扡㕢ぢ敥搹扤戱ㅣㅡ愱戸扢扤慤㌹㐸㐷户㌲搸㑡〴昲㝤昷户㜷扢㙡搸㜵㌱㜳挳㔲捤昷戵㌵㍢慢扥户摥扤㜵挱ㄷ㥦㙢戴㜶捣㘸〶〲㙤㕢㡥摤戱㑡搵愴收㌵㌵户改〵挲㤵搳㥢㜶㔶慤敡㌵攱㤷〵挵愱愸挹愵ㅥ㘱㔳挴昵搳㉢㉥ㄶち㙥慤㍤㤴慣㌵㕦戸ㄱ㠲㤹㐵つ昳摤ㄲ㝥戸戳㘶慣摢攲㘸ぢ㠸㝡㈷ㅡ㡥戵㔴㉦㜸搵㝡㌰攷戹愱敦搹慤㉤㌳戵㙤〳㤲愶㜶挹慢㠹挱挱㡣ㄴち㄰戶〳〳㥡㤶昹㔴㜷㕥㤰㠸㐸愰㤸㡣㝣㔷㉢搹㤵㉥㘳㜵㔸㠵㉤㐸㤳搹㐷昶ㄸ㡣昳㤵㌲㈶㠵〳ㄳ㙢愲敥攰㑢㥦搸㘳搸〶收㍥㔹攰㙣㜶㈲㕡晤ぢ摢挲つㄷつ户㘶ぢ㍦㔵昳㘹㥣㤱㍥㠶㉣㜷ㄳ〲愱敢敥㔱捤㘹㌷戴㥤摣㜵慢ㄶ㙥收㌷㠵戵戱ㄹ愲づ摡戱㔰攰搶㜶㈴晤づ㔴改㠷㤹㑤㈰㉢ㄶ㌳昹㐹〲攵㡢㐸㤹ㅣ愵㔳ち㉦户〸㜲昶㙢攱攵ㄱ㜳挱戲㐳愱㠴昲㤸〹㡣㈸慤㈶搱㌷㑡ㄲ昵㡤慡㔲ㄸ㤳收ㅣ愸搴戰摣㜰愷挹户ㅤ㕣愲㠸攸㐰ㄶ昴㥤㉣愰㈸㘸㤵〷㈹扣〶愲㘹㤳〶改挰〹㈲㈲ㅢ愴㘸㜶㡣摣㑡㘴㠴㑦㤱ㄱ㠰㑦ㄲ㈱愱㑦㜴㤷ㄱ㈴昶㑥㈲㘵愷慥晣㜸㈰捤㜶戳攳㤵㌴㍢㠲㡤搳㡦㌲扢㤳搹㕤捣㡥㈱搳晥ち〹㐷㈹㠷㜲㙢搲敦挱戳㝥㉦戳晢㤰㐱㍥改㤴㌹㤱愸愲つ戵ㅦ㍢㤲㜰愳戰㤳愵㔱慣㐴ㄱ㉤攳㠶㥤㌹敡㐸㐴㐷㔶㘷㝦攸摡㐱愹㘳ㅦ敢㑥㥢挹攵㤰㈲㔳㐰㤳㙢摤〳㌴戹ㄱ〴敤㔱㙦㍤㠰慥晡ㄴ戳〷㤱㈹挵㐲㘳㜷㝦搶㍣捤挹摢挲㈴㔲㠶㔰㡦捡㍤㈲㘲㥡晦㈹〲慥攳攸㜲㘰㍦搳ㄴ㥣㌶㙦㝢晢昹㜸㜷摥㡥㤰摥愶㌳て㜴づ晤㐴户㘸㐱㍦〴昶搲晥摣㔵扦㍣㠲㘶晤㔱㘶㡦㈱㙢搳㉦㍣㜹摦慡㤷㐰㥡挴㑥〲㜳㠷改㜱㤱ㄶ敥摡捥㤶㤰摡㘷挴㕣㌳晣つㄱ挲㝢戱㌴て㍢搸昳㝤㘱攳㐰㕢㤳ㄵ㍣扢摣搹㕡ㄹ㉣昸㥥挳晡〳晢㌸戸㉤ㄴ挳攰㘰㜶㈰搳㘶ㅦ愷搸㤹〹㝦㔳㠲㜲愸㝦㑦㜷ㄷㄲ㠹㑥慤攴挵㝥改㘷换〳㐹搲㠳㈴㜹〲摢慡㍦㠹っ㔲㐲晢㔳㔷㠹㌲㑤戰攳ㄲ慣搵㕡愵㜷㉦攵㘴搲收㍦散㤰㈳挳捡㔹㍢ぢ摦㐱㌰敡㤴㉤愷㈱㉣㠶㥤㔵攱㔷攱㔷戰㙣㔱㔴㉥㔹㡡㥡〳㔹㜱㥢挸㡡㠱㠱㡥戳㜴㡡㙦㑤搲㐹㥢㤴㐸攵昶搴挶㤴㜳㜸㤳愸攸㠲愴㔰㐹㜱ぢ㌵㈴㄰㈹㡦戰〷㈲愶〷ㄱ㔳挲挶改㑦㌱㍢挱散㈴戲摣ㅦ㈰㘹昶扢昱っ㠳つ㙤搳㥤㕤愹㘴ち㐴㠳㜴て扥摦㔵㔸㥤攱㙢捥㌲㝢ㅡ㔹㥢昹㐳攷㘳ち㈱㑡㤴㈷〸㤱搶㤲㙥㕥戵挴㜵搲挰㈱ㄳ㐱愵戹㝡㄰㝡づ愳㑡愳收扣昷㤲ㄷ捥㕢挱ㄶ愲㔰ㄳ㘶㔴㜸㘵㔳戸愰㉥ㅦ戶㑦㕢㥤户戵㈵㙡扡㔹昶敡㄰㙤㑢昳晤㜰㈸挷晡㘰㑢捡㜳㜹㔶㐳敡敤㙣㡣㈱㌴㜹㈲㠶慦㤵㥥搸㝤㜹扥㜹攸ㅢ㙢敥攸㥡ㄵ摡㘲搸㔴㑣挷㜲挱挴㉥㈲㙡㔰ㅢ㌲搷㌶㝤㈱收㐷捤㡢扥㔵戳㉤㔷㄰ㄹ戰㌱ㄹ愸㕢ㄶㅢ㠸㄰慣㝡㡣晦㜹敥愸戹收ㅢ㙥戰㘵㌰㤸戸㜳戸攵㐹㠶㐴㜲收慣攵〶㜸㡤挴㈲换㘳㘶㜹搳扢㡥㐸㙤摤㜱㉦ㅡ㕢㐱㕦㘰㠵㐴慦㤲㐴㡤㤶搵戲㔹慤㤰㉤昴㡡ㅦㅥ挸㌳㤹㔳昸ㅤ㘴㈶㜱㤵挹搱㕦㥥愲扤㘹搷㐷昱ㄹ摡改㥣搳〸㈲㐷㡤捡㠱㔴㈹㑣㑥搵㥦㘵㥦㜳挸ㄶ㉦㕥㔹㙡㐶攵㍥㐲慣㍡㐷晦㝥㡡㠴㤷㐴搱〸㠱搰㍢㜷㐸ㄱち敢㐸㌷攰㍦攰㥢㑦敤挴㔷㌴㈵っ㘹敦㔰戳戸㠰ㄸ搲㠸戹㙣慣ぢㅢ㤱㘸挷〸て愹〷ㅡ戱㡥㘱〷㔱摢㥣攷㌸〶〹㡢㐴㔹慥ㅡ愴摦㤹㝡攸㕤戲㕣摤㐴㈶愹㉦慡㌲㙥愰捡戸㈱慢㐶捣换っち捡㌲挷昲㌶っ摦ち㌷ㅤ慢㕡攰〳〳㜷㝤㐱㤱㘰㜱捡摤㌸挵ㄲ㘳慡捤㤶扦〲㠳㉤㈸〱搹㈵㐸㔱㙥ㅤ㤱て扡捤㙡㜹晣㘸㍤扡㤵㈰㕥愴㡦㔴㝦づ愳攵攴㥤〸〸ㅣ㤹㙥挶㌷㉦㙥扥㠵ㅡ攵㤵㈳搶㔳㐸〴晥挰㠴㠸愷㜳㍢㙦㕥㜱慤㄰搸㈳挶ㄶ慣㜰㍥〰捡㤱愱㈸て户㜷㑢慣㈶㍡㑤㌷㜴挲〳㥤㑤㉤㑡攲晥捥昶愴搶㜸㘴㤷㘶愵㑦ㄲ㙡㘴㉦㈰愹㔷㜶㤹㘳㍦㈹ㅡ㑤慡敤㔸搷㘸㘹㑥搳收扥㔳㠶㝣〴戵㈴㘹㈶愳㥦㤷㠴㠲㄰㉦愹〳ㅡ㡡摥晡㜴昲㐸挴㙡㘸〱ㄴ愹愵㔴摤㘸ㄴっ㕣挲㠵㤳㥡㈸㐶㑦攰敦㐳㔱㜱愵ㅥ戶戴ㄸ㌷㈶愲㤶ㄹ摢㕥㜱㘱㈳㔴つ扦搶㈷㉣㡤戵㈹晤㈲戹戳㔷摤慦戶㌷挱㠸ㄱㅢ㌲㈰㤲攲〵〶ㅢ㠲戹ㄲ戱㔴摡㘶愳摣敡㐶㜵㠱㑦㤷㠴攱㑡っ㤴挳摡扣搸㤶㐶㔸搳㡥㥦㤰ㅤㅡ㘷㐵㈹㐷㜵㜳㘶㍤㠰㐲て㈹挷愳㤲㘴㜰摤扣㑣愷ㄴ慥㉦㐰散㐶愵搵㙡㠸愰㙥㘳〰㥥ぢ晡〷㍢搸ㄱㄵ㌴愱㙤㐶〹㥡㑦㈱摣搶㐵㤰㜷㝡挴㈸〴愹㈹搳㍦㉦㘸摦昹㌶搳㑦㉦㘴攲㐲挴㐴っ㜴愵搸づ㐰㙥㌲㈶㐹㉥㥡㠸㐳攵㑡戲㐹愱㌵ㄲ搷搱挰ㄸ愵挱攷㠷戸扦挳㈸搶ㄸ搹挶挶敤戶搰㠲㌶戵㜷づ㤹㑢㙥搵慥搷㠴㔴挵戱慣㤶ㅡ戹㉦昰㈵㉦晥㈹㙥㑡搹㤷㘸㔳㤶㜰㤰攲㤲㠹愴摥慤㙥晤搳攸㉥㠵ㅣ挶㔰戲㡤愱挷ㄴ愷㥣っ㠵㜵摣㔰愰㜵㜸戸㜹㜵㐱㕥㥢㠳㐸敢愸愲㉣㕢挶㑤扣㐶晣㔸㜲㕢〲㙣搹㕢昶㘸戱㈷慡ㄶ㉤㔵搵ㄷ㌸挲㍡㤵挰换攷㘱㡣昴挸ㅤㅣ㈴㜳㌳㡡敢摥㝣㑢㍥㘶㙥㕥㠸㡣て㡤搱㕤㥥㠱㌲搸㔵㌰ㄲ捤敤㙣搳收搶ㄸ昷愵摤慤㍦㡦㑣㘳〰㤸〶㉤㈰㤵㠱㌳㡢昲摥〶づ㐳㤱㈹戱搱㘴ㄸ㤵ㄱ捡〹戸敢㠱㌴㜰ㄳ㡦搱㙢ㅥ㤴㔰㌸㈹慦㠴挵户ㄲ愷ㅤㅣ㠰㍣晦㘸㕢攵慡ㄱ攲攲㡢㝢慣慤㝡愶㔶愳戹ぢ敦㕣㕦㘰ㄵ㤷㌶㤴㌹㍡搹㜶ㅤ㑢慥㠹昶摤挳㙤つ搱㌵挱㔳昳愵㐵㈳慣㙥㤶挳ㅤ㜵㘵慢㔷㤲挸晤づ摥㠸㕤摦㑥㥢㜹搰攵ㄵ搴㙤敥㝤昱㥡敢㕤㜷攵扣㜲〱敦晢搱㡡搵㠷㠶㌸挹㘲收㐳晣挸㤴捤攴㝥㡢ㄱ昷㌳㙤づ搰㜴㡦㜰ㅣ㤹㤴㌴㤸㐲㌹㠵㑥㘰扢㌷敥ぢ㤰㑥㈶摢攸㐴ち㠲〳㐲㜱㌷㍥㌶㐲搱㝥〳戴㤲㔸搴㠱ㅣ㝢晥づ㔸㕦晢㌵㙡㠸㜰㍣㐷㘲㈴昷㈰㑡㈹愸㤳㠲㍣扡摣挱慢㈰晦㍦㔸㡡戹㜹㔷㜶晡㉦㌰戳昶㕥㍢㡡敥㈷㡡㝥搵㠹㈲㠶㘱㙦㈹攰捤搹ㅦㅣ㌵㍦昱㑢扤晦挳愳收㘷㠰㘱㈶㘹㡤㈱愴挶㔰㝣挳ㄸ挸㜶ㄸ〳㡦愲㔹ㅡ〳㉦戲て愳昵捡ㄸ㠸扣ㅤ㤷㔰戱户㌱挰ㄸ㕥㡡挹㤷〸愹㈶ㅣㄸ㍣㙢ㅤ㜵攸〹㕢挴攵㕡ㄱ㈰㙥て昵ㄴ捣挱昷㜴㘷㘷昵慡攱ㅢ捥㌱㔹㝦搱ㄷ㔰㕢晥ㅡ㙥㙢换㉥散㜱昷慥㉤戲搳㉥㕥㠹搸㥢㝥攰㌹搹摦ㅤ㜵㘰㑡㈵攵愶搷ち㕡晥㈳昸㐴㌴㥥㄰㌲㙦㑥晥晣攲㕦摥昸昲〵摥㑡㡢㘸㌵挷㌰㜰㉦愱㜹㕡づ〸摥㈶㉥㠴ㅣ攱挷㌷㤷昰ㄱ㤲戵㘵㡢㔹挳㤷昶㑥愰㍢㜱㔱ㄱ㕥㠲㌰ㄵ昱昵㠳㌱㠹晢つ捡㤸㉣戵㌹㌶攵挷㑢搲ㄹ㔸㑡㑣㕣㝡敦攲昰愰搶㔵㘵昵㘸㔷收㝥〱愵㜳㡢ㄳ㘹戵〷㜹扥㘴搲戴㜷摢戵摡㔹㙡㌵㘹㈶㙡搳㠰㠸愵ㄴ攲っ愴㤰攴㤱㠵㠱㝦㈹愵㔶㔱挸㤵㤰愵㐴搰摡㐳戹㍣昹ㅦ〸〱搱戸摣搷攳㠷㉡搸㐵㘰㌱昶扡昷㝡㜶愵搵ㄹ慢㈶㠶㘴攵改攳㘵ㄴ攴㌱㠵ㄵ㡣搱捡摡换㈸挴㈹㜷ㄲ愵㝤㍢㥥昸㤲㔱㐷〵搸ㄴ㘳攷ㅣ㝡搵㡡捥ぢ㙥ㅤ㌷㍣愰㘷昲㔲㘱戸㠷㔹㡤愳愷㡣挵㈹搰愲慡㘲㍥愶㡡㡤㑥挳㔱ㄳ㜴㤶㝢っ攷㑦〴昹昸㌵㄰摢愷㥢㐳ㅦ㘹㙦愱㡥㜳㠷戰㐰晥挲晥扡㍦㠵戱昱㔶㜲っ㈴散扥愰ち敡ち㜸ㄹ㕤愴㍤慦改捤㈲摦愵㘹㡣㐵挷㥣㌵搰愹晦ㄹ愵㤶㥣戵㐶㘸㠶慢㕢昴晦㔵㔴散愹晦㌵挶搸㈴捡㕥㠹ち㝣挸㌱㔲戲㘷㜰㠶㍢〲ㅦ㌶挲㌴昲〸慣换㈲㐳摢慡㔴挶挷愹慡㔹㑡㜰㜸戸〶摢慦㐰㌴晡搲戶ㅤ敥㉡〰ㄹ〵捡晤〴㈲愸㙢㝦㑥扡昳ㅣ㥢晦㉣慡㈷㉦㔹㔵摦ぢ㍣㌳㥣㉡㈳戸㍢挵敦换㑣搸㍣㌳摡㍢敤㐲敤㘱散挴挸慢攸戳扣〲㠱晤㤲〸㍦㥥㤸㈳㈳〸晢㡢㔸昰㑢愳昱㐴ㄸ㠹扡㈱戸挳㝣戹㙥搸昸㌸㜵〵㍥捤㤰㔵㝤愱敡㤴㘷戹晤ㅥ〶㌷づ㌷戱㕥㠴摦㐷搸㈵〴挱攴ㄲ㕥㝤㡤扢摡扥〷慤戰搱摡〲㐲昶收㕢㉢收㝥っ㡣敥敦㉤慤〴挳㜷昲㥢㘳攵昷愰㕦㜴晦㑥㔸㡥㌴〱ち㡦㍥搵愶戳㙢摡㠶㡢㙣敦昸㜶㔱㝢ㅥ㝤搹㕦㝦㉤㉡昰㐱愳ㄷ敦㌹ㄶ㝥㠴攵㤰散㔱挶㌷摦挸扡搳昲て㜷愳㘵㡤〷ち㔲㕦㔱晢〱摡戹㍢㡤㔵㙡昲搰㠰㌶㝤ㅤ㔹㥣㌴ㅥㅡ攴扢扦〷攰挶扢㙢愸敤晥敥敦〲戴挵㉢㐱㍥搲愸敥攵摡挰㙣㡤㌴ㅥ慢ぢ㝤〳㜵晡㈶㌳㡢搹敢挸挶㘳慤㌱㐶㐱㐸改㤲㔷㘱㠳昷㉥愰㡣昴挷攸敦〷ㄷ摥晦㍤搳㍦㉥㘸㔲昴愱㐹扦㈶㈱㔴愶㔱昴挹㔵㝣㉢戹ち〷戵摤㔷昱捤摤㔶㌱㑥愹挸慢㈶扡㠷㙣㜴㙣㥣㠸㤲捦㕢敡㤹㥢挷攷搱昱㜱慥㔳ㄵ㜳㕣㕣捡㘷㌸搲捡攱戵㐵晡㕥昲捡㜹㥡㔷扡慤攰㐴㕥搳扥攰昱挸摦摤㔵㌰攷㝢㡣挸㙢摦㠸㌷㝢㜱㌱晥挶㈹ㅢ挵㠸㠰㙣㘵㔷㤲㌸戸㤱摡搷㘳攰㜷㝦搹㜴㜱愲〱〹ㄴ愱㠰㐹㐴ㄲ昸㙢㌱昰㈹㝣㍦㈵㘱㌲㔹昵㈷昳㐱っ㑣㘲㤳挰㕦㡤㠱晦㝥敡㔸〳㌸愶㉤㌵昲㌸〹㉢㐲㉢㘹㈰挵㜸㤵收㝣攲戳㙡㥥㤲㜳㈶ㄵ攲戰愹慡㈹っ㘵搴搷㤶㉡㜱〴昷㌸㝣㝣搸扣㡣㑢㐹戸扤〱戹愹晥㝦㠳㈵㕣㔶㥡㌷㐲〳摦㉤㙦㈳㑥散敢昲㠹㥤昳收㡡㡦㡡㈱㜳㈹挰㈱愹搶㔷搴〲晤㍥愸戶㝡て㝦㝡㡡㉤搸摣㡦㌸扥㤵攵昵㡦摥昴㠱㡣㠹っ㙡㕦㠹㤱㥣昹㘲㤳㝣昴敢㐰づ㕣㉣挸㔹㈸慡昸挹㈴ㅦ㌴戲㌶㔱㥤摦㐱㌶ㄶ晦〷ㄲ㔳摢搲挷㤱搵摥㡥挷㑢ㄲ㡤晥㈶㍢㝣ㅥ搹〰㥣慢㕡㐴㜲㉤攳收昸捡㝤慦㥤㌳敢㑤慤攸㕦㐰㔷㡤昳㤱㙢搴攴㈳㥥昴户㤰挵㘹㥣て㡡慣㠷晦〳慣㈴捤㝡</t>
  </si>
  <si>
    <t>CB_Block_7.0.0.0:2</t>
  </si>
  <si>
    <t>㜸〱捤㕡㙢㜰㘴㐷㜵扥㍤㥡㝢㌵㍤㥡㤱㘶㜷㙤㠳ㅤ㘳ぢ扦㜸㘸㈳昶攱㡤敤戸㡣㤱㐶慢㕤ㄵ㕡㙢㉤㘹搷㄰㤷ㄹ慥㘶晡㑡㜷昷㍥挴扤㜷戴ㄲ㈹捡㔵㠴ち㈱ㄴ㘵散愲ち㜰〲搸ㄴ挴戱㈹ㅥ〹〴〷㈷㠰挳戳㈰㔰㤵晣㠲㝦晣㈱㝦ㄲ㉡攵攴㑦㝥愵捣昷昵扤昳搴㐸㉢㡢愵㑡㍤㌵㘷㑥㥦㍥摤户晢㥣搳愷㑦㥦㍢㠶㌰っ攳㔵ㄴ晥戲攴㠹摣扣戴ㄵ㈷捡㥦慣㠶㥥愷敡㠹ㅢ〶昱攴㔴ㄴ搹㕢昳㙥㥣っ㠱挱慡戹㘸㡦捤㕡散扥㕦ㄵ㙡ㅢ㉡㡡挱㘴ㅡ㐶愱㈰㜳㘸㙦㝤㉢㉤㐴戲㤷捣〳㤴挰㘵㉣㔶愷ㄷ㔶㉥㘱攸愵㈴㡣搴搱昱㡢改〰て摣㌳㜹㜲昲扥㍦㍡㌶㜹散攸㜸戵改㈵捤㐸㍤㄰愸㘶ㄲ搹摥搱昱昳捤ㄵ捦慤扦㔳㙤㉤㠷㤷㔵昰㠰㕡㌹㜶㜲挵扥晢摥攳㜷㥦㍡攵摣㜷摦扤㈵ぢ攳捥㔷愷捦㐷捡㠹慦捤㠸挳ㅣ㜱愱㍡㍤昹㤰㑡慥捤㠸〵㡣㜸慥㍡㍤ㄳ晡戶ㅢ㕣㤳㈱㑤ち昶攴㡣慡扢搴㠰㔲㤱ㅢ慣㑥㘲捡㍤〲㐶敤㥥挹㔹㐸扡㙥挷㐹㔵㜹摥愲㜲戸戸㤲㑦㘹愹㐸〵㜵ㄵ㡦晡愷㌷敢捡换㥡攳㠲㝦搱㡥ㅥ戲㝤㤵㈷㌲收愷晡㥡㙢愸㈰㜱㤳慤戲㝦㈱㔶㡢㜶戰慡挸㘲晡㘷㥡㙥㈳㥦ㄷ昹扣㌱昴愶㐱㤳搱㕡㤹㥣㡤敡搵㌵㍢㑡㜴㡤晡㍡㍥㠸户换㌲昴挴㝢愶㐵敢ㄹ敦敢㐵ㄵ㉤戹晥㍢㔵ㄴ㈸㡦て攱摡㈶晡㤸戴㑣㔲挱户㠵搳㕡つ搵㈲㐶㌲愳攷㔲昸ㄴ㈹〹㡡〰搶〸㐰晥挴戱ㄳ挷㘵㠹戴㌲㠰挸晦㉦㜶㑤㜷ㅦ㌲攵㙡㜶慥戶㤲慢搵㜳戵㐶慥愶㜲㌵㈷㔷㕢捤搵搶㜲㌵㌷㔷扢㤴慢㕤〶㑦慢ㄴ㠶㠷㜳㔹昹捣㝦㑥扦昷㘳晦晦摣搹㘷㌷扥晤㠳愷㙥㍡晡㔱挱㡤愲㜷捣ㄸ㄰㔹〱戰づ〱㜰づ㈷攴㘱搲㡥〰〸昱ㅢ捣㠱昳㜸㌲晥散㙤晦昷挵㕦捤㝤戴昲敢㑦扥敥㕤晥摢㑡搷愳昹攱㙣㐱㌳㤱㝤〵㔶搱㌱户ㄳ㤳搸㘱㝢搹㘳搸㘲捥㈹攷ㅥ攷昸昱挶愹㘳昶㐹摢愴㐸昶慡摦敢挰㕢㜲ㅥ㜱㠳㐶㜸㐵㉢扣攴捣扡㕥愲㈲㕤ㄹ㜳昰㤳ㅡ慤慥㤷㥤搳㥢搸攷昵搴㌶慥㜳慡㉡㑡戰㐷㤲慤㡥挱摣㍣㙤挷慡㔳㥤挸挶㥥づ㥢㐱㈳晥㠳挱㡤㑢㠹㥤愸㥢晡摢㍡㠳㙣敢戶㠴ㅤ愴㘲㍤愵㕢晡扢㕤戴扤愶㥡摡㜴搳收㌷昴㌵㘳㉦㠵㉢㍢户捥㐶敡㝤敤搶㙤㌳㥡㠲㤷摤搰㘳㙦㕢㘵摡㤴捥㙢扣扡ㄶ挶㉡搰搳㥢昰捦扢昵换㉡㕡㔲昴搱慡愱㤷㝡㍤㥢戲つ㍤戱㄰㘰愱搸愲㡤摢扡愹ㄴ戴ちㅡ慡㠱昹慥㐳捡㕢换昶㡡愷㙥攸㘱㐹㥦㠹㠶ㅢ㝢挸戳㘱扤ㄹ㔷挳㈰㠹㐲慦户㘵慡戱㘱挳㠹㌴捥㠵つ㤵搷挵㐸愱㌰㠶㠶㠴㌰摥㍣㘸㌷㜲散㤸晢戵换㐸攸ㄵ㜶㘷敥㌲㈲㌲て摣攷敤㤱㠱㜴ㄹㄹ昹摦戲敢㑣扡㡤㤰摣挷㜶攵ㅥ㘰愴散昴晡摥㡤㌷戹〸晤㐰て㥥攲慥捣摤戱昳㤰ㅤ扢扣捡㑣扢戴挲㈳㤹摣扢〸㑤て摢戶扤摦㉦㜳㉥㜷㈴㕢晤改つㅣㄵ㘷敤愰攱愹㘸搷㠰㐲㜰㐶昲〶㠲搷ㄱ扣㥥攰㐶㠲㥢〰捣晦㠰㝦摢㔱愲㜴㤴㘲㔳㙣㤹㔷摣㐶戲㘶慤㈹㜷㜵㉤〱つ㠱㐸愱㐰㜱〷昸挶昸摥㠵㐸攴㈳㡣㙤攴捤〴㙦㈰戸〵愰㔸㌴慣㕢昱㙢攴㡡㜲ㅣ㍦搶ㅢ〱挶㕡㘷攵㜸㙡㤹㐵挳攴㌹昰摡㑦㉢㠶㍦㔲ㅦ㡥㠸㕢㘲搳挷戸昱搰搰㈰㘹㥣戵攳戵㠴ㅢ㜱搷㐶㝤㉥摤挶㐱㙦〷㈸摤〱㌰㝦㔶㜹搸挶搷㈶攴㌱㜹扥㕤昵㜸攵〱㜴㠳扦戴ㄵ搴搷愲㌰㐰〴㌸㘳㈷昶㔴ㅤ㌱㐴㉣㙣换㥦て慢捤挴昲捦扡昸㈹昹㡢㙡㕤搹㐹ㄵ㑥㍡㈹晢昳㠸㍦戴ㄷ㥤㙢㙣㥡㝥ㅡ㍡捣愸戸㉥ㄹ㘳捣挱㈹㙤㕡挰攰㘵㑢㍥摤㡣摡㑣㌸昴戰㝦摥㐶㡣㤲㐸㌰㑤攸㕥㈹挶㥥㘵㑤㙢昵㉥㘶㌵㡣㔰搱㘸搷㈸㈳㥡㤰㡥㘴搰㙥㜰㝥攲㤴捤㘷戰㝦晦㕣㐸㕣㉦㥥捣㠴㍢㌹ㄳ㈲晡㔴㍡〶愶搰㉤ぢ收㘵敤慡慡晥㙤捥㈰㘵愱扥㤲づ㡢愹㥣㠹挲收㍡〳㤵㙢㌵づ挷㌲攴㥤〰㥦晢㥦ㄷ敥扦昳㌳㕦㝤㌵晢㝤ㅣㅢ㐸ㄷ敢㉥㌴敡㌸挶㝡ㄳ㤹㐹攴㉦㡢㝣㌳㐰㔱㤲㐳戲㜱㝢㥢挹戰㘷愰户摤㈱慡愲戱㤶㝣慣㜹㌹㔲㍡㑣㉣攸捡搶扡㉡晢㡦㠴搱攵㤵㌰扣㑣ㄳㄸ搵戵㜸㑤愹㠴戱搷㐸ㄶ㙡ㄲㄷ㐲っつ昵〴㔹㕤㐱ㅡ愳㌶敢㈸㐰㜹捡昳挶㕢㈳挶搶ㅦ㠲㌴㠴㔳挵㥡〴㜲㈸㘸搶㍤㘵攳㝥攲㌷扤挹㑤㉦摥ㄴ晦㡥戵㌱㘸晡㡢搲㉦扦㜲攷㉦摥㍥昷昴愱挶〷㑥晤攲愹ㄳ攲摦戲㠶㙤攱㤸㡥挲㌰㤸㍣㑥㜰㠲攰㈴挱摤〴愷〰挴㑦搱㤵㡥敡㐳愸晣㈵扥ㅤ㜷㜳て㜹敥㈵戸て〰敥㐶搲摤挰摢摣㑦ㅡ扤㑤搱㄰㡣昰攸㘱攴〳〴㙦〷㄰摣㘴摣㡤㠶㝣㄰㘰㐷㤵扥〳㡤㘹㔸戸㑤㙢搳㘸㉡㑡㌲㙣搷愸㙥ㄳっ㈲愹㔵㐹㈹㑡捡㑤㔲㘶攲挵㑣㄰摢㈴昴捤慣愱㍦摥㌴改扤晢㜷㤰㡥戸摢㈷㜱搷ㄹ㍦ち㘶换戹㄰戸㐹㍣攲㑣㌵㤳㜰搶㑤㘶攲愴攴〰〰搵㕤㙥搲㠷㔶㔷愷〹攷愲慢慥㉣挳㝡㙥摤摥㠴换㐸戵ㄹ㈷愱㜶づ户㙣㙦㥦〹ㅦち㤳ㄹ㌷㕥昷散慤㍢〶㌴愷㉤㡦慣愹〰㔱㔴㠴㘰敡㙡㑣攱晡扡㙡っ㤸攳㔲搸㡣敡㙡㙥收㈰挴㘱㈲昵㜲〶戶㄰㝣㥣戸㜳攷戸愳㑢敥㍣㡢㜳搸㜶㘲㥦挷戸㍥㑢攵㍣㐶㌱昰㑣搸㍢㡡㘱昲㕣摦摤㍣扡愲㍡㕥愴㡡づ㔴㥡搲捡搹戵㘱㉥㠸摤㠶㉡㘶戵㜳㙥㌰㥡愱ぢ捤愴愷挵摥㍣㤲戵挰㉦㉣〴㔰㝢摤㡥ㅡ〷㐱㈳㤴ち㝣㤳㔶㠷戰昰搹㥦㤰搳㘱っ攳㤵㔶搶收㤵挷戵愰つ㤳愱搳㐰ㄷ摤摥㠶㐰扡〲㘲㍡戶㌲㐵摤㈶ㄷ㔸㍢愷散㐰㙢㘰㈹㘹捣愸㡤㔱捤愱㘰搸戸晢㝢敡㐸㙦㔵㥦搷搲㤹㕡㠹㐳慦㤹愸搱㌶愶㌷戸㜴ㄶ㤵㘷昳㜲㔳㙡㘳攷敢〹慥㝦敤昱㜸㜱㌹㌸摡㠱㐴昲㤹㠶㠴搶㤱戵㡢攱昶㉥㠲㝢㘷㥦ㅡ㐵㈴攲攸昲摦て㡡愷㍦捤昲晣㠳㐶ぢ挹㌶ㄱ㐳攲扤摦㕥戸㡢㡥戴㉥搵愹㘷搳㑥慢搴愲昱攲㔰㜶戴扦㐳㜶㠰㘹㥦㌱㙥ㅢて戹戸挴慤摢㥥户㌵敡捣〵㜵慦搹㔰昳昶㡡昲㕡扥㍡㡣晣〳愲㉦㥤慢㑣㜵戵㡢㕣戲㉢摤ㅣㄲ㤶慤扢搲扥摤㥢㈱捦㐱慣晡〴挷ㄸ愹㙦攳㈵攵㌵㕦ㄳ㜹搸ㅦ敥㈴㌹㜴㈶つ㉥㙤ㅢ㠹扥㡣㐱㜳晢愶愹㜷㕢ㄷ摢㝣㌸ㅦ㈲ぢ搰攸㈲㥤㜵㔳搲㠱搹㔳㕡㐵㤶㘵敤昷㔰㠱慣㔰㕥挹㘲㔵㌸扢戴㡥戸㈸搵〰㙦㜴晤攱㜶㔷昰愱捦㝢敤〰ㄹ㘶㡤搱㝢愵挱挲戲㥢㜸㙡挴搱敤ㅡ㉦㜰㍢㔰㥡挳捥昲ㅡ㠲搶㤹戲㜳㈶㜲ㅢ㥥ㅢ㈸〶ㅥ挸㑡㌱㝢㌹慦㔶㤱㍦㌹ㅦ挶㉥㌳攳㘵㘷㌹戲㠳㜸㥤㌷㤴晡搶攱㥥㥡㔶㤶改㑣扢〱㌶㑦晡㑣攲㘳捥搲㕡㜸〵挹昵愶ㅦ㥣戱搷攳〳愱㈸㜸愰慣愴㍢㉡㈷㜲㌹㔱挸ㄵ昶㝢㐶㔹ぢㄸ㑥㕦㌶ㄸ〹ㄸっ㥡㜳〴㤹捥㜸〱摦㘵搳㔲㕤㔹ㅡ㡢㥢㤶㤳敢㐹㔶て扣㐳户㕦㔱搰ㄱ换昳散昳㌰挰搹㌳ㄷ收㍡挹捦摦攱ㄵ㠳挹㠴挱㉥愷㠱戶㡥㜶㥥㠵搹㠷搱搴㘲㐸愳〱㐹慤㜸搶晡慤戰攸㘸ㅥㅡ㈴づ㔰戲ㄳ㥤挵ㅤ戸㠴晤て敦㡢捣〱摣敥㘸㕡㘱㈴攷摢㕥㥣戵㔵㐳摦户㘹㘱戴捥㈵戸㙥㔵搰㘱㌵ㅣ㡡㜴〰戴ㄹ㘶㈴㝢ㄳ㈴㝢㔳㤳㜰㈲㌳㜷慡㜱㡥ㄵ慥摡㤱㥢慣昹㙥扤挰ち昳㥢〷挲㌴㘱㐰晡扥づ㠱戲㘸晢㐴㡣摡㥦愷㐸慦搶㔰昶㈴慥つㄴㅤ㤵て〳捥改㘳㕣散㌳㌱〵攳搵晥㕥㉥㘱㌴㤳〹ㅤ㜸㝥㐰㤴慥昸ぢㄴ敤㡢挴㌸攸㙣㤶换ㄹ挲㑡㥥㈹㥢㕤戳〵扣扣ㄷ攷㐳扢㌱㡢ㄴ㜸ㄸつ㘷㉦挴ち㔰㉤㍤㑢㔴㘱㝥愸㡡攴㉡㤲戶ㅢ〸㠳愳〲〹㑢挸扤攴㤹㔹戲㔲ㅤ㔲㌶㠶㘹㡥ㄴ〶㍤㙢慥㌵搶ㅤ搹ㅤ扡晢敤摥摣戶昱㝦昳昰扤㜰戰㕣ㄶ㈳〹㜹㠱攰㈲㠰㘰收㠹敢改㘳㜸㠴っ敦〲㌰㤹㠲攸摦㈵㍢㘶㔳昸㤶挳昴㤹攵㈹昸㕣づ㈲づぢ戹ㅦ㘴㡢㈰ㄲ㙢愴挰㙣㡢㝣㌷挰捦㝦昶㌳㕥㡥つ挱㐴㐵敢昹㌴㡢㙣㠲㝦〲㔴㍥㑡〶㕥搲㜵㌶昱㔶㈰㠶㝣㡣戰㜳ㄷㄱ㜴㐲扣㡦戴㑡㤷ㄶ㌳ㅤ昲㙥捦㐸㥡㡡扣㕡㔴㈶㤸〳㘰㘴㘶挸昷㄰昰㤹慤搰㐰㌰㌵挰昰㈰㉤㍢ㅥ㘰㠲㌹〲ㅥ㘲㠶昵㕥〰㝤㥤搷て敦㜳㥡㠲㘹〴㍡㑥㘹〳〸收ㄳ攸㤱摡ㄶ㕡〷㝥㜵ぢ㘵摥㐱㕢㘸㈳㐳㔸ㄱ㤴㙤㑢慡㐰㕢㔲㔵㐰愵〳㈰㤸㤴ㄸ挰戰㑡㠶㌵㌲搰㕡愸㝡改〲戴戵㌵㡤㑡慢㕢㤷戶㉥㤱昱㌲㠰挹慢攲摥慥愶摣㈳㤵慥㝣〱㍤㙡㝣挸㜹戸㘹㝢㜸㈳戹㠰攰㌵㈱改㈰戸慣㝣㝡㠵攸㝦㔵搶晢愲ㄲ户㙥扤㠴㐷ㅦ攳捡晡㘵搰换㥢慤㉤㈶攷晥慥ㄸ㐵昳ㄳ㐸摥散敤㈹戴㠸攱つ收㘱㙢㌵愳挰㘷㜲㥢愶挱ㄶ〳攰㕤づ敥扥㘸㥢㈳ㅤ改㌸ㅡㅥ㈹ㄳㅥ晦㐴㌰挸㐳昵㥥摦㍥扡ちㅥ攲摡㔸㤹挷㈷愲晤〵㕤昱㔵扤扦戶㌶㠷攷挰㔲戲攵攱散㈵捡㝣㘳㡡搱搹㈰㤹〰ㅡ愶ㄷ㐶戸㑢攴晢摦㌲戴晢昲㈸ㅦ戹慥敦慤㡥敥挶ㄶㅥ㌳收㤳㄰敥㡥晤㝢攵挹㍥㉣搶㍡挰㜵攷摣㝡ㄴ挶愱㤳㡣㉦㈱㡣ㅣ攷㝢㍥散户㘳㔳收ㄳㄸ㜱攰㌳戹戰㝣挰搷敥㕡㐵挵换㐱㜸㈵搰戳㌱㘳扥敥搴昲ㅡㅥ收㘳㜸捤搰攵㜶〸慦挲㈳㠹㈱戰㡣〰捡㘳㤵ぢ扡〹㌴晡㜵㤶ち㥤㌸㑢㠵㡥㥣㘵㡣慥㤷愳㌰愴扡愶愵㐲㠷㑤㙤㕡㌱挰愱敡㜴慤昷ㅦ〶㔶〲㜲〹㘴㝤戴㉤攲㑤愱搵〴㘵ㄴ㤴慥攰戰㐲㡦捦㔱攴〶〱㘷慡摦摢ぢ㝡㝤扡㤶愲昸㌰攴㐸搳㙦㥢戰愰愳搶昷戸昷〳ㄱ㌶〱扥昲㑦㌳㠴㡣愲づ㐰㌳ㄳㅦ㐲㔷㉡ㄷ戸㈱愹㌱㉡㐷㝣㄰ㄴ㉡愸㔷挰昴愸㕡挰㡦〳㠱㠰改㍤㔹㉡昴愰㉣㤵搵昴搷愸搰㘵戲㡣搱㕢晥㝥〴㝣〹㈳㙢搱㔰挰㤲攲㤴㤴㘰㠵㙥㔷搳晦㡣㈴㍤㕦收㠱㠴摥㜰㈴晤㌹〰ぢ愵㔲攱挶搳㍣ㅦ〶㔲ㅥ㌳㘹㍢昷敦㥣㑡散搲捤〴㝣㐱捦㡢收搳㜸㜱扣㤵㐳晦㈱挴㉣愶搶㙢㍥昷挷晢ㅢ㡢㥥㤳㌶挹慦戹〹㑤晣づ攳㜰㥤ㅤ㜷挷ㄱ㜹㡡换㡦〰〸㥡㔵㤹戵扥ㄴ㜹㡣㐷づ㝣㠹㄰㘵つ摢㕥㈲㘸㘳攳㐸㑦〰戰㘸昱搲攸戴㜸㍦づ愴㍣㈶㘸㌹ㄴ戱〸㌱づ搷愵愷昲ㄴ㈹㔴搷愰愹㕣摡㘹㉡㙥搶搰㥦慤慦㔰挱㝣㘸戹㘲㔲慢㙦摤㔹〵改㤵愲昳㥦〸ㅡ㡡改搰㡢㡥㌸改㕦ㄲ愸〸㥤㤴昵戴ぢ㉡攱㜶ㄱ攱㕦〹昳戸㌳攳㑥㠱扦攵㘴摢ㅡ㜷㘹㐶㜹慤昸㔵敡㥡搶愲戳㄰㈱愰ㅤ㜶收㘲摣捣ㅢ〵扣散㑢昰㉦㤱攰㈰㥣攳㌸ㄴ昲㌴㔸㤸㉣㤳戶戹㠱晥㤸㡥戶㍦摥敤㑡㍦㜴攴搱㑡㍦攵㜸㈹搹摦㈹㙥㝤ちて敢扣㥥搶〷㐰㥣ㄳ慢搰戴㜶㐷晦㜵攲挶㔷㌹㕤㕣㝣っ昹㌴㝥慣扦〲攰摢㌰愱搷㠱㡣扣晣㙢㔰搲㉢つ㙤换㌰㘹攷晤ぢ攳改㌸换ㅥ㝤㉦搶㐷㐶戸摡ぢ㥦㝥改ㅤ挶摤㡦㑤㔵㘸捡愹㈱〹摡㉦㡤㐹㜲㠶㌹㘱て㥣搱㌳㘸戳㥥〵攸㥤搱攷㐱改㥡㤱愰戹㜳㔶慤攷㤸㕣挹㥥㐵捣㝤戵捦㤸攳ぢ攸㉡㈸ㅦ㡥㈱扦㤸㈱慣㠸㘷〰㌸つ昹㌷慣㜱挶㥡攷戹っ搱㍣扡㍢㜹晥ㄶ愰㔵㉡ㅣ㠶㐲㤲捦〳㘰㡢敢〱㔸㝦〱愰㔵㉡ㅣ㐸㜳㝤〹〸捥づづ㤱㠹㤶晤戴㑦㔸㠶㔰改ㄳ㌴摦㤷挹挰㈱㌲㉥昶搳㕣㡢摤㕣㕦〵㔵㤰㔵捦晤㙢慣㤱愴㙢㝦挷㥡㈶〱㤱㝦捦㕡敢慢㥢㐸晤㝡㡢㠲摦ち㔹昴戳扦〱〴㜳㘴愳慥晦㠳慥㥢㈴敦㤲㠸敢散㠴〲ㄸ愵捦挴㍦昷㐴搱㍦ㅤ㌴搳昷晥㤶捦搴㔸㜰㈸ぢ㈳㈷摡㍣㠷摢㤴㌶敦㘸㥢愴晢摣㤸摥㙦昹ㅦち戲㑣㜴〶扤扥扦㐵昳攷ㄱ㐵㘱ㅡ挶㙤㍢㝢扦搶〴㜹㈴ㄴ挴㥥ㄹぢ改㍦㕡扥挹㐵攲㉢㘴〷㘳㔵㔰㕡ㄴ㤵㝣㤱㠰愴㉥㡣㔵㤳ㅤ昶昰㌸慡㙢㥦㤶晥㡦㝣づ㥦慦攷昶㉤搶㌴〹㠸㝣〹㠰〱〲扦㐲㌷㤱晡㑦㕤搴ち㔹戴收晦㤹㑤摦㈶昸づ㐰戹㕣㈱㥢㙥昹㉥㠹㉦ㄳ晣ぢ㐰戹㙣㤲昵昶㥤㠵慤攳〱㑡㝣〴㝣昸ㄷ〹戳㕥㘵㍦捤㥡敡㌶晣㝦㠶捤摢慤攵㌰挹ㄳ㍤慣挵㤴㐴㌸㤶愲㙤戳ㄹ挹㥡㘸㘷慦搵㘶挴㌰㑣㠶㕦捣昰㤶㥤㤷挲㈷愴㌶戳㌷慥搴㘰慣敦㘱搸愱昹愵㜹昹㝤㈰㡣〹㘱ㄸㅤ㔴搷〵㐵㑤㐱㕡㍦〰ㄸ扡〰收ㅦ〲挹㤸㍢㈸㘸㌰㌴慡㐴㌳晦〸㠸戵㍣戵㜸收昴戲晣㌱昰㡣扦㠳㠲〶㝥慡㑣㉢㤴㌳㤱㍦〱挸ㄸ㍢㈸㘸㘰㝣ㄹ㔰㌳㜲ㄶ昲㕦〱㌲挶づちㅡㄸ愹㝡捤挸ㄹ挸㥦〳㘴㡣ㅤㄴ㌴㐳㡣㜱㥤㌴㘷㡡㑤㤷㌱㉥愶㤷挲改昶㔲㌸慦㕥ち㈷搰㑢攱㤳㝡㈸㈳扦〵〲愲㉦㜹</t>
  </si>
  <si>
    <t>㜸〱敤㝤㜷㝣㔵㐵ㅡ昶㥤㤰㕣㌲㠱㤰慢搸戰〶〱ぢ戸ㄸ㤲㐰㠸㡡㤴㔰㤵愲㠰㕤挴㥢攴〶㈲㈹㤸㐲㕢㝢ㄷ㜵㉤敢摡㔶搴戵㡢㈸慥㕤搷〲㔲㙣㔸㜶㜵敤㝤㉤㙢㕤搷扥敡㉥摦昳扣㌳攷㥥㌹昷㥣㥢愰㥦晣㍥晦昸づ摣㌷昳扥昳㑣㌹捦㍢㌳攷㥣㌹㌳昷挶㔴㉣ㄶ㕢㡦㠳㝦㜹攴㌲戰敤戴㠵慤㙤愹挶㠱㔵捤つつ愹㥡戶晡收愶搶㠱㈳㕢㕡㤲ぢ㈷搶户戶㜵〱㈰㍥戳ㅥ昱慤㜹㌳㕢敢ㄷ愵昲㘷捥㑢戵戴〲㤴ㄷ㡢攵攷敢ㅣ挴昷戲㥦㠴愷㘸愶搲戹ㄴ㐰挵㜴㥣愲㉢㐵㍥㠵愶㈸愰攸㐶搱㥤愲㤰愲〷㐵ㄱ㐵㠲㘲ㄳ㡡㑤㈹㝡㔲㙣㐶戱㌹挵ㄶㄴ㕢㔲㙣㐵挱昲昵搶ㄴ摢㐰㜴摦ㄶ㘲㙡搵愸㈹搵㐷攱㙣愶戵㌵户愴㜶㉢㍥搰搴㜹㔸挵挰戲㠱㤵㐳㑡〶㤶散㔶㕣搵摥搰搶摥㤲ㅡ搶㤴㙡㙦㙢㐹㌶散㔶扣㕦㝢㜵㐳㝤捤扥愹㠵搳㥢攷愴㥡㠶愵慡㑢捡慡㤳攵㐳〷㤵てㅥ㕣㔷㔹㌹戴晢㜶挸㜷㘲搵愸晤㕡㔲㜵慤扦㑣㡥摢㌳挷㈹㔵愳〶㑥㑥戵晤㌲㌹敥㠰ㅣ㈷㔵㡤ㅡ摤摣㤸慣㙦晡㐵戲捣愳㉦换㐶愷㙡敡改昴㔴慡愵扥㘹搶㐰㔴㌹㐰㌰戴㡡㠱㘳挱㜴㑤戲戵慤㉡搵搰㌰㌵㔵㐷㝦㜷㙦㈴㕢愹㤶㔴㔳㑤慡戵㐷攳㤸〵㌵愹〶ㅢ摤㥡摦㜸㘰戲㘵㜲戲㌱㤵换㐰㔱愳昱搷㠴摡㔴㔳㕢㝤摢挲挲挶〳㕡㔳㔳㤳㑤戳㔲㠴攴㌵㡥㙢慦慦捤捤㔵戹戹戱㉥㍢㐷㔵㐶扣㌲㜰㙣㑢㑤搵散㘴㑢㥢㘸昴搷愰㈸慣搳㌲愴攲㠱㙡戱昵ㄴ㘷愴愲㡢愶搵㌷敥㥢㙡㘹㑡㌵戰㄰㍡㙥㐰〶㐸㌸㌱挴愷挹昱捥㠶㙥㔱摤㙣㍦攳愹戰ㄴ㕤㑣搱ㅢ㈲扥㈳㐴㤷愶戹昳㜴ㅦ㥡晡㐲愸摣㔷搱㑦摤㈴散㉢㌹㌳㤳㌹㌳慢㜳㘶搶攴捣慣捤㤹㤹捡㤹㔹㤷㌳㜳㔶捥捣搹㌹㌳敢㜳㘶ㅥ㤵㌳㜳づ㌰摥㤱摦戵㙢㡥㍤㡥扡㜸㔴晢つ㑢摥㥦戴㝣㑣昹㤱昷ㅤ戳敤〵㜹散㥡㠳愳敡㥦㐹捤挸搶搶昶挶戹ㅣㄳ慣摢愴〳㌷㡥㙥㙤摢㉦搹搲搸晡换晡ㄷ摥敤捣挱㈳㕢ㅢ㌷扥㠳㔱挸㉦攲攰昸㑥愰㜹慢〳㥡敡敢㥡㕢ㅡ昷㥣㔴摦㌴慣慣愴㘴捦㐹挹〵挳〶㤵㤴㤴攸㥤ㄱ慢㜷㠱㠸敦ち㤱㍢㙣㘴㘹㠹敥㑦摢〰〸愵㥥㠷晦搹〶昶㜸敤昱㡡㌳晦晥昱㍥㔷㌷㉣㍤㘳换㠶敢㕦㔵ㅣ㔲㘵㠰晤つ挱〳㈱攲扢㐳攴㤶㤶っ㉡搳㈵戴つ㠲㔰敡㘹㥢挱戴㘱㐳㤶散㥦扢攳愸〷昲㉦晡攴戹改㍢昴㔰ㅣ㡥㈵㠳㌲㠲换㈱攲㠳㈱㤸㐱愵ㅥ㐲㕢〵㠴㔲㡦搹っづ攸㌷晤㉦昷㈷摥ㅣ㝦敢改ㄷ敥戵敤㌱昵㑡戱㙢㑢〶㤵〴敦〱ㄱ摦ㄳ㠲ㄹっ搲㝢搱㌶っ㐲愹㐷㙣〶ㅦ㝦㥤扦换㙤搳敦㥦㜴昷㐱捦摤ㅦ㑦づ昸愷㘲㉢㤲っ㠶ㄳ㍣〲㈲㍥ㄲ㠲ㄹ㤴敢㔱戴㔵㐱㈸昵㠰捤攰戴慦㑥昹昶㠵慤㑦ㅥ㜳晤扣昲〹㔷㕦昶㕡㠳攲㈵㐴㌲ㄸ㐳昰㔸㠸昸㌸〸㘴㔰㔲愱挷搳㌶〱㐲愹扢㙤〶㝤㥢㈶ㄵ摣昶挱愶㘳㤶㝥扤㙣愷ㅤ㕦㤸㜹㠰攲攵㐷㌲搸㤷攰㠹㄰昱㐹㄰挸〰㕥㤸㑣摢ㄴ〸愵㙥戳ㄹ晣攱扡㤳扥㜸攰愸挷㐶㕣㜷敥扡㥣搸ㄵ㘳晦慥扡㈱㕡㌲搸㥦攰愹㄰昱㘹㄰㍣㠵挱㝡㍡㙤〷㐰㈸戵搴㘶㜰敢敤て㕦昳捦㜷㐷敤㜳挷㡣㤵攷㌷㌶㥦㜹愶攲㘵㑦㌲㌸㠸攰㠳㈱攲㠷㐰戰〶攵晡㔰摡づ㠳㔰敡㕡㥢挱㜹敦㥣㜶㔲㙥攵㌶晢㥣戸㝣散改㤳㍥攸昹㤲攲㈵㔳㌲㤸㐱昰ㄱ㄰昱㤹㄰捣愰㑣ㅦ㐹㕢ㄲ㐲愹㉢㙣〶搷挶㕥㜹㜰扦攴摤ㄳ捦㉤摥㝡敡晣㘵㥢㝤愵㜸戹㤵っ㙡〸慥㠵㠸愷㈰㜸ち㐳㜵ㅤ㙤戳㈰㤴扡挴㘶㌰㜱攰㤷㔳㙥昸搷ㄵ㈳㝥昷㘱摦挳㤶㝦㍣㙢㠶攲愵㕡㌲愸㈷昸㈸㠸昸ㅣ〸㘴㔰㔲愹ㅢ㘸㙢㠴㔰敡〲㥢㐱搵搹ㄷ晥昱㥤㡦㉡㈷晦昱搹ぢ〷㝥摦搶㙢㔷挵换㍣挷愲㜸㌳挴㙥搳㕢敡㌱攰户㌷㈴㕢愴戳攰㉡㕤扥攷挴晡㌹愹㠶晡㔴㙢摢㌰愸㐳愴昳㌰㌰㐴捦㐵ち㝤㌴搳戶㐰愰昷愰捥慤戴戵㐱㈸㜵㤶㉤昲戸晢㉥敤㌷昹晤㕥㘳㉦㝦晥摣挲㠷㈷慦摢㑥昱愶㐲敡㍣㡦攰昹㄰昱〵㌴つㅢ㌷㐸㉦愴㘹ㄱ㠴㔲愷摡昴捦㍥㌲晥〷晤晡㕢攳㤶敦戰攸摥㑢换ㄳ捦㉢摥㡦㐸晡㘳〸㍥ㄶ㈲㝥ㅣ〴㐹ㅢ愲㡦愷敤〴〸愵㡥户ㄹ㙣㜲昵愶㍢摥戹摤ㅦ㈶㍥搸㜶搵摢㉦㥥晢摣㜴挵㝢ㄹ㌹攷㤳㄰㠸㔷戵户戶㌵㌷敡㤳ㄱ搶愷搰㜰㉡㐴ㄷ㡣〵晡㌴㥡㑥㠷㔰㙡㠱捤慢晣收捡ㅢ慥㔹户攳㤴㑢㕦㕥晤户㌱㐳晢散愵㜸㑢㈴㤵㌹㤳攰挵㄰昱戳㈰㔸㤹ち㝤㌶㙤攷㐰㈸搵㘲㌳㔸㌴㝣挹㥥㑢〷㙦㌲㘲改㐵愷敤戰搹㤳㥦昶㔷扣㥤㤲捡㥣㡢㐰扦っ〷っ㉡㜳攸ㅦ㌴搸㡣㕣㐳昴㜹捣昷㝣㠸昸〵㑣つ收㉢昴敦㘹扢㄰㐲愹㌹戶慣搳搶ㅥ㝣攲戵换ㅡ㐶㉦晦㐷摥慤戹㌹敢㙦㔵扣㙢㤳捡㕥㐴昰挵㄰昱㑢㈰㔸搹㔲㝤㈹㙤㤷㐱㈸㤵昲㉡㝢㐱捤愴昳晥扤㘶散つ㘳ㅦ晤搳昱ㄵ敢づ㔷㕢㈲㕡㌲戸㥣攰㈵㄰昱㉢㈰搸摣㠶攸㉢㘹扢ち㐲愹㤹㌶㠳戳㜷㉥昹昰慥扢昷ㅡ㜹挳㌷晤搷㉦扥愳㜹㤶攲摤愲㘴㜰㌵挱搷㐰挴慦㠵㘰〶㐳昵㜵戴㕤て愱搴㈱㌶㠳敤㥡㤷㔷ㅣ㕢㜱换愸攵捦㝣㜹㕣敤攴慡愵慡ㄷ搱昸挴㙦㠴搸㘶㌲㠶昵㘴挳㥥㤳㔲挹愶㘱㠳〶づ摥㜳㕡㕢敤攸搴㍣㌶搴挱晡㈶〰昴㔲㐲㙦㠶㈰㐹愵㝡ㄹ㙤户㐰㈸㌵搵㤶昰攲慢ぢ㘷て㝤戸捦攸㙢㉦敤昹㘵晤敢户㉤㔶㕢ㄳ㡤㑦㝣㌹挴慥ㄹづ㈹ㄹ㌸搴昱㐸挹挰㑡摢ㅦ㉡㑢昵㙤㠰敢㍦㌳攱敤㄰㉣慦㕣摦㐱摢㥤㄰㑡敤㙢换晢㘰扦挵㤷㝦㜶晤㘳㘳㑥戸戱㝥昰㠷㝢晦㘵㠹攲ㅤ戳㔰㜲㌷挱昷㐰挴敦㠵愰㔳㑡昴㝤戴摤て愱搴ㄸ㥢挱㐳㠷㍣晦晣挹昹ㄷ㑦扣晦㤶扣㤷㕢㈷昴㝡户晢〳㠸摥摦摥搹㡣㙥㐹捥挷敤愱㝦摦㔹㍡㄰㘴㙣挸捤㌶敥戵敢〶搷㔵搴つㅡ㔴㍢戸㈴㔹㤶捣㉢㐶戶ㅢ㝡愳挷㕥搰扤敥愰晡愶摡收昹㜲攷搷扤㙥㙣㝤㐳㕢慡㐵㤴愲㍡晣㌱㜷慦愲ㄷ搶㡤㔹㠰ㅢ晥ㅡ㜳㤳戸㔹㕤㔵慡愵つ㌷换㙤ぢ晤ㅢ㡢㙤㐷㈵㕢㔳扥㍡挰收㍤慡戹扤愹戶㜵㥢攸挸㘹㙤挹戶搴搶㤹㜱㝥㈶愱㘴搳㜰㉢㥤㙡㤵㉡㙤㥦㤹散挰㘴㐳㝢㙡攴㠲㝡ㄳ扤㕤㐶㌴㙥慡㥢慢戳挷㡥㙤㐹ㅤ㥤㡥つ搵㘸㈴㥥昰收㐹摥愱戳㌴㔱愶㕥挵㔵戳㥢㕢㔳㑤㔲扤〱㡤晢搵搷捣㐹戵㑣㑢昱昹㌰㔵㉢愷扡㌹愳散㥤晤㠰㈹㑤㌸㔱摣慢搷敥攸㕡㐹㜴慡愹㌶㔵㡢晡捥〵换ぢ愷㈷慢ㅢ㔲㕢〴㈰愶㑣㐴昴ち㤸挷㌶搷戴户㔶㌵㌷戵戵㌴㌷〴㘳㐶搶捥㑢攲㘹愲㜶㔲㜳㙤㉡㔷㡥㤸㤱㉡搶愵㡢㔲戱㕤愲㙥㙢㤹㜷㉢㙦摣㥤㐶戲ㅤ㕡㑤挷㘰愷ㄱㄱㅣ㜹挳㥦捥ㄹ〱愷㤱ㄱ扦㙢㠷㌵㜱ㅢ㈱搱㈵ㅤ愲㈳ㅡ㈹ㄳ㙤ㄵ散㜸〳愷挲㍦昰㐳㐳㡡扤㌲愷㙦昶㉣晤㜶搹㐹㑤ㅤ慦㜰㍡㠰攸づ㐸㤳㙣搳㙤㙦攳㠲㜳㜲㝡摡戳ㅦ㌳て捦㡣攳㤳㑤戵つ愹㤶づ㈷㌳ㄴ㙢愴ㅦ愴㜸㠸攲㘱㡡ㄵㄴ㉢㈱昲昶挶ㄸ㤷㤵㔱づ捡㙡㠱㕡㤸㌷扦扥戶㙤㜶㝣㜶慡㝥搶散㌶搸㌰〹㤲㥦㑦扡换昱挹挳㘷愷㥣㔸散㑣㠵㠰㕥㐵戱㥡㘲つ㐴㐱㐱㉣扥ㄶ㝦㘳昱〲晤㈸晦㍣〶搱㜵㕣慡㈹㠵搹㠷〲㤵搷ㅢ敡㑦㝦㕣㐵㘱戸换攲㈳㈵㈶㉥㕡昳ㅡ昱㄰摥摡愵㑢ㄴぢ攳㤳慤戳摢搸〱㍢㡥㘴㝥㡦㔳㍣〱搱晤㐹㠸㠹攳㔳つ攸扥扦捣㥣㐷㕥ㅦ攴搸改昳㌵㙦戲戶㘸㥣戶戰愹㘶㜶㑢㜳ㄳ㘶㥤㐶㈷摢㤲㈳㙢㌰㠹搰慡㤲昱挶㠹捤㔵敤㙤昱挶昱昵昸搳扤㜱㙡㙡㙥㉡搹㔶㠵挱戹慤戰㜱㈲㈶㈰㘴昴㥣㔰扢㈰慦搱捣ㅤ㡣㑥戵搶㘸㑥㌲㑣挰㘰戴㈰㡥㄰㐶搷敥㡤ㅣ㕥㔲ぢ摡㤸㜵搷㐶㍣捥愲ㄱ㘹㠰〶㐸㉡ㄳ㘲捡㐲戱㜹愹ぢ慣㠶ㅣㄲㄲ㜴㜲改㈶〶㤳㤳㕣挴㜱摤挴搵㌵搷捡捣㝥㜳㐰㕢㝤㐳敢㐰㑢敥挰搱捤㤸㝥㑡挹扣ㅢ㐹㡦挷搱慣攲ㅤ扡㉡戳㝢㜳㤶㘲㑡㑤戵挹ㄶ㔵ㄹ搷搲摣㍥㜷㝢攴昵㑢攵挳扣㘲㝡ㅤ挴㤵晦㕥扡㘷扦㈵换搷摢扦挷愳攳挸ㄱ㝦ち㤱㥣挸㠸㍦㑤㉣㙤晣换㐳㍦〳㔱愰〹搰㡣っ挷攵昵㠵㌹㜲㤰捤㌲慢挲摥搶扤ㄱ愷㍣扤㈵㈵搳㐴昹愲㉣㥣㥢㉡㙣㍣愸戹㘵㑥㜵㜳昳ㅣ戶㠰ㅥ愲戵捥㑥愵摡搸㔱扡搹愹㈶㠶㤵㔲㕤扡〴㘶㔹㥣㐹㥡ㅤ㤰㝦晣㌹㠸挲㤱つつ挵㕥㡥慤昱攷㘱敡㠲㡢㐹晣敦〸㙣搲搴㕥搳㤰㑡㘲㑡戴戱扤㘱攰㠲㠶搶〵慡㍦捥㡤㑦敥㘷㜴㝦改搶㝥㉦敥㍤攱戲㑤㙡㡦ㅤ晣攲〵愵㙡㔷ㅢㄱ㥡㡦搹ㄹㄹ㜵㜰户ㄳ㤸昵攰㌳㔳攰㙥㈷㜴ㅤ㌷ㄷ戹晦㝦户昲慢扢㕢〹摥愹昴敦攴昲㥣㜱慦㤲昵捡昴晦慦昵㔱㉦㉥捣戵晥㈵㜴ㄶ戵㌳扡ㅤ慦敤〸〷て晤ち㜴晤㉡挵㙢㄰戸㐲㙢㕥愱㜱㠱㝥挳愸㙡ㄷ晣攵㠵㔹扦㐹昱ㄶ㐴㕥㝦㠸㡥㉦㘰攸慥㐵〰攵㜲㥡戴戰㜱㜴慡㉥㠹㔷つ㜲搱㔱挹晦㤷搷愴㕣扣敦㜱㉥㐸ㅤ㥦〴敡捥昱㍥㥥㜹ㄷㅢ㥣ぢ挷っ㝤㉤㙥㘱愶㘳捣㙤晤㈵㉦㌵扦攴㈵㑢扦㡤昳昰㡥扣敤搱㄰㌶晣㥣㐰㔷慣敢㍣摥㉦捣㥣ㄹ换攷ㄹ搲愲㜷愵〸㕤挵摥㠳戵愰愳㌸㌵〰〸㕥攵㌴慦㉡昱㡦㈰扡愰戱㘸㕥㐷搴㘶昶攲㄰扡㙡昴戴ㄱ愱㠹攰摦㈰㔹㌱㍥晡㌳㡡㝦㔱㝣㑥昱㙦㡡㉦㈰㔴㈱㤲戲攵㌷㐱㘹挵挷扦㌷晤㡡㤸慦㈹扥㠱昰㕡㝥㑥㠱晥づ㙡晣㍦㄰㐵摥晢㥣㘲㌳㄰ㄵ挴搴㐰㤸㝢攳愳扦愷昸〱㐲㤵㐰昰㤶㉥愶㝦㠴挸㝡㕦昰㕦㐴㜲㑥愱㉣捣ㅡ扢㘵㠱㈶㈰㑢㥣ㅡ㠴戸㌴㙢㥡㔷㕦挳搸昷晦换㜲㥤晤㡦㡤〸捤㝣㤷㈱㙤㌱搳攷挳㡤㕡㔳ㄴ㔰㜴愳攸づ愱扥㐴㔲㌲㌶ち愸㌱昸昸㡣昵㈰愶㠸㈲〱攱㌰戶㈹㙤㘴っっ昱㈱愰㌷㍥㝡㌳ㅡ㌷㠷㔰㐳愰ㅡ㠶戶㠰㥡㤵愱㉤ㄱ㐹㠶㉡挳㉣昴㐲㔴㠱㈶㈰㑢㥣慡㐰ㄹ㔱っ扤㤵㡤愱㌷㙤㐴㘸㙡扦ㄲ㌹ㄵ攳愳㜷㘴㜱㝤㈸晡㔲昴愳搸〹㐲扤㥣㤵愱㕤㠸搹㤵愲㍦㠴挳搰㙥戴㔹㠶昶㐰收扤㔹挰㐰ㅡ㜷㠷㔰㝢㐱㌵っ㤵㐰捤捡搰㈰㐴㤲愱㐱㘱ㄶ捡㄰㔵愰〹挸ㄲ愷㠶愱㡣㈸㠶搶㘶㘳㘸㡤㡤〸扤扢ㄸ㡥㥣㡡昱搱㝢戱戸㘱ㄴ㝢㔳っ愷ㄸ〱愱ㅥ戶っ㥤〲搴㘲㝣晣㌶㌴㡡㤸㉡㡡搱㄰づ㐳㘳㘹戳っ㡤㐰㤲摥昸攸昱㌴㑥㠰㔰㙣㡤㠶愱㝤愰㘶㘵㘸㕦㐴㤲愱昲㌰ぢ㤳㄰㔵愰〹挸ㄲ愷慡㔰㐶ㄴ㐳换戲㌱㜴戳㡤〸扤㥣㘱扦㈹挶㐷ㅦ挸攲づ愲㌸㤸攲㄰㡡㐳㈱搴㜵㤶愱换㠰晡ㄳ㍥㍥㐳㠷ㄳ㌳㠳攲〸〸㠷愱㈳㘹戳っ㡤㐵㤲摥㉣愰㥡挶ㅡ〸挵㜷㍥㠶愱㕡愸㔹ㄹ㑡㈱ㄲっ攱㈵㔱㘸昴㥥㠵愸〲㑤㐰㤶㌸㌵〱㘵㐴㌱㜴㐱㌶㠶捥户ㄱ愱户㑦晢㈲愷㘲㝣昴㕣ㄶ㜷㌴㐵ぢ㐵㉢㐵ㅢ㠴㍡换㌲㜴㌰㔰㠷攳攳㌳㌴㡦㤸昹ㄴぢ㈰ㅣ㠶ㄶ搱㘶ㄹ㥡㠸㈴扤㔹挰㌱㌴ㅥぢ愱㈶㐳㌵っㅤ〷㌵㉢㐳挷㈳ㄲっ攱㉤㔸㠸愱ㄳㄱ㔵愰〹挸ㄲ愷愶愰㡣㈸㠶ㄶ㘴㘳㘸扥㡤〸扤㕥摢ㅦ㌹ㄵ攳愳ㄷ戳戸戳㈸捥愶㌸㠷攲㜷㄰敡㘸换㔰戸つ㥤㐷捣昹ㄴㄷ㐰㌸っ㕤㐸㥢㘵㘸㉡㌲敦捤〲㉥愲昱㘲〸㌵ㅤ慡㘱攸ㄲ愸㔹ㄹ扡ㄴ㤱散㘵㠳挳㉣晣ㄱ㔱〵㥡㠰㉣㜱敡〰㤴ㄱ挵搰ㄱ搹ㄸ㥡㘱㈳㐲敦てて㐲㑥挵昸攸㙢㔹摣㜵ㄴ搷㔳摣㐰㜱㈳㠴㍡挸㌲戴〵㔰㝣㜷攲户愱愵挴摣㑣戱っ挲㘱攸㔶愸昱攵㄰ㄱ㔷㝦㌶挵摥㉣昰㌶挴敢㍦㐳愸㐳愱ㅡ挶㙥㠷㥡㤵戱㍢㄰挹㌶ㄵ㌱㉥摤㠵愸〲㑤㐰㤸㌱㠹㔳㝣ぢㅡ挵搸攸㙣㡣㔵搹㠸搰ぢ搳ㄹ挸愹ㄸㅦ晤㄰㡢㝢㤸㘲〵挵㑡㡡㐷㈰搴㌰换㔸戸㑤慤㈶㘶つ挵㕡〸㠷戱挷㘸㈳㘳戸晡ㅦ㠱捣㝢戳㠰㈷㘸㝣ㄲ㐲ㅤ〹搵㌰戴づ㙡㔶㠶㥥㐲㈴ㄹ㡡戸㍦㝡〶㔱㤸㌷㠱っ㌳㈴㜱㉡㠹㌲愲ㄸ敡㥦㡤愱㕤㙤㐴攸㡤㜰つ㜲㉡挶㐷扦挴攲㕥愶㜸㠵攲㔵㡡搷㈰㔴ㅦ换搰㙥㐰昱㜶搰㙦㔳㙦㄰昳㈶挵㕢㄰づ㐳敦搰㘶㝢㕤㉤㤲昴㘶〱敦搲昸ㅥ㠴慡㠳㙡ㄸ㝡ㅦ㙡㔶㠶㍥㐰㈴㝢摤搰㌰ぢㅦ㈲慡㐰ㄳ㤰㈵㑥昱㍤㜶ㄴ㐳㠹㙣っㄵ搹㠸搰㉢敦㝡攴㔴㡣㡦晥㠲挵㝤㐹昱ㄵ挵搷ㄴ摦㐰㈸㙤ㄹち昷扡敦㠸昹て挵昷㄰づ㐳㍦㑡〴㜲㐵ㅢ㍡ち㝦㝡戳㠰晦搱戸ㅥ㐲㌵㐰㌵っ挵㌰摤㥢㤵㈱㠵㐸㌰㠴㔷敦愱㤱扢ぢ愲ち㌴〱㔹攲㔴㈳捡㠸㘲攸㥢晦㘶戹挷晥摡㐶㠴摥改捦㐵㑥㥣捦搲摤㔱㥣晡ㄲ戰扤㜱㍦つ㐳昰搰㍤㔸㥢㈲ち慥ㅢ昴搸挰戳昷愶㐶㔵㐷㈳㠱㌰搱㤳愰捤㈰ㄴ㥦㘱昸晣慤㌷㠷收ㅤ敡㈳㤴戱㍤捡〰㔷戸㡥㔲㠴〸攸挵㍣㍢㡡㔳㙤㐸攷ㄳ挰㐷㌳昳㤰昱㔶㌶〲摥戴ㄱ愱ㄵ〶昳㤰戶㤸改㜷㘴扤晢㔰昴愵攸㐷挱晥愲㕥戶愴㌴〱ㄵ㝣㉣摢㠵㤸㕤㈹晡㐳㜸愴攰戱㙣㌷摡㙣㈷㥡㡦㘴㐲捣㐰ㅡ㜷㠷㔰ぢ㘱㌲㑤愴〴㙡搶㈶㌲〸㤱戲搲㈱㐴㔰ㄹ㘲㜰〷つㄹ㈶㑦攲搴㈲ㄴ攱ㄳ攴㍦㠵慤捤㐶搰ㅡㅢㄱ㕡㐲㜱っ㜲㉡挶㐷敦挵攲㠶㔱散㑤㌱㥣㘲〴㠴㝡搸ㄲㄴ敥㐳愳㠸愹愲ㄸつ攱㄰㌴㤶㌶㑢搰戱挸㕣〸ㅡ㑦攳〴〸㜵㍣㑣㠶愰㝤愰㘶㈵㘸㕦㐴㜲㤴ㄹㄲ㘶㘱ㄲ愲㜰〷つ㤹㈵㑥㥤㠰㌲愲ㄸ㕡㤶㡤愱㥢㙤㐴㘸㡤挸挹挸㐹晡搰㠱㈸㑥摤㘴搹㠰㌱㜸攸㠳㔹㥢㐳㈸づ㠵昰搸㐰ㅦ㍡摣愸敡ㄴ㈴㄰㈶㘶㄰㜴〴㠴㍡つ㈶改㐳㌳愱㜹㠷扡ち㘵愴晢搰愹㌰㠷㑦戲㠶㜹敡づ攲搴改㐸攷ㄳ攰昷愱㡢戲ㄱ昰〷ㅢㄱ㕡搸㜲㈶㜲㉡㘶㉤ㅡ㔸敦㐶㡡㈶㡡㘶㡡戹㄰敡㕣㑢㑡戸㠹戴㄰搳㑡搱〶攱㤱㠲㍥㌴㡦㌶摢㐴ㄶ㈳㜳㈱㘶〱㡤ぢ㈱搴搹㌰㤹㈶戲〸㙡搶㈶昲㕢㐴戲㠹㐴㍣㐲ㅣ㡢愸〲㑤㐰㤸㍤㠹㔳攷愰っ㥦㈱扦ㄳㅤ㤳㡤愱摦摡㠸搰捡㥤昳㤰㤳㌴㤱搳㔰㥣㕡㘸搹㠰㌱㜸攸㌳㔸㥢㌳㈹ㄶ㐳㜸㙣愰㠹㥣㙤㔴㜵㍥ㄲ〸ㄳ攷㄰昴㍢〸昵㝢㤸愴㠹㥣ぢ捤㍢搴㕣㤴㤱㙥㈲ㄷ挰ㅣ㍥挹摦㌳㑦摤㐱㥣扡㄰改㝣〲晣㈶㔲㤷㡤㠰㤴㡤〸㉤㈷扡〸㌹ㄵ戳ㄶ㤷戳摥㑢㈸慥愰戸㤲攲㉡〸㌵搳㤲ㄲ㝥㠶扡㥡㤸㙢㈸慥㠵昰㐸㐱ㄳ戹㥥㌶摢㐴㉥㐶收㐲捣㡤㌴摥〴愱㉥㠵挹㌴㤱愵㔰戳㌶㤱㥢ㄱ挹㈶㔲ㅡ㘶攸ㄶ㐴ㄵ㘸〲戲挴㈹摥㝢晡っ昹㑤㘴㘲㌶㠶昶戵ㄱ㡢㌲搷㑢㕤㡥㥣㡡昱搱㜷戳戸㝢㈸敥愵戸㡦攲㝥〸㌵挶㌲㜴ち㔰散ㄱ扣㍡㥤愹㤸攴〱㘲ㅥ愴㜸〸挲㘱㘸〵㙤㤶愱㈵㐰ち㐳㡦搰戸ち㐲㕤〹㤳㘱㘸㌵搴慣っ慤㐱㈴敦㔵㈲挶搹㐷ㄱ㔵愰〹〸㌳㈴㜱敡㉡㤴ㄱ挵㔰㘹㌶㠶〶搹㠸搰㠲戰慢㤱㔳㌱㍥晡㔹ㄶ昷㔷㡡扦㔱㍣㐷昱㍣㠴ㅡ㘰ㄹちて㌳㉦㄰昳㈲挵㑢㄰づ㐳慦搰㘶ㄹ扡〶㤹ぢ㐳慦搱昸㍡㠴扡づ㈶挳搰ㅢ㔰戳㌲昴㈶㈲挹㔰挴晤敥摢㠸㉡搰〴㠴ㄹ㤲㌸㜵㍤捡㠸㘲㘸慢㙣っ㙤㘹㈳㐲㉢摥㙥㐲㑥㌲捣㝣㠴攲搴收㤶つㄸ㠳㠷晥㠴戵昹㤴攲㌳〸㡦つっ㌳㥦ㅢ㔵㉤㐵〲㘱攲摦〴㝤〱愱㤶挱㈴挳捣㤷搰扣㐳㜵㐷ㄹ改㘱收㘶㤸挳㈷昹㉤昳搴ㅤ挴愹㕢㤰捥㈷挰ㅦ㘶㜲戲ㄱ愰㙣㐴㘸㐱摥㙤挸㐹〸攰㌲㌹戵晥挷㙣户戳㌹㠸搶㕤㈸㜲㈱ㅣ〲攲㐶㔵㝦㐶㐶㐲㐰㔷㠲昲㈱搴ㅤ㌰〹〱戲㘱〶ちて昵つ捡㐸ㄳ㜰㍢㉣㘱〲ち㤹愷敥㈰㑥摤㠹㜴㔱〴㝣㠲捣㈳摦㑤㝦㙣㈳㐲㉢〴敦㐶㑥挵慣挵ㄶ慣昷㤶ㄴ㕢㔱昴愲搸ㅡ㐲扤㘷㐹〹㍦ㄳ㙥㑢捣㜶ㄴ摢㐳㜸愴㘰㥣㉤愶捤昶㤱㝢㤰戹㄰戳㈳㡤㝤㈰搴㝤㌰昵挱〷㜷捥㔰戳昶㤱㝥㠸攴㌸ㅢ㌱㔷戵㌳愲ち㌴〱㘱昶㈴㑥摤㡦散㝤㠶晣㜱昶㙦搹ㄸ晡慢㡤挸㕣〲㤹昷㈰㜲捡㕣摣㈱扢㐱搲㡢挳㥣㔷戹㍤〰㡥搷㘱㔳㐰㕢㙢户扡㤱敤㙤捤㘳敢摢昰慥慤㝢ㅤ〴㠲㤲㘴㙢㔹㐷攵㈴ㅡ㔰㜷㘰㝤㙡㍥摦戲敤㄰㡥挲㐶ㄹ戳㡡㤸㙢ㅤ戶て挷㡦㙥㥥摣摣㌶扡扥㜵㙥㐳㜲㘱摦㠸㘸ㄳ㜳搰散㔴ㄳㄶ昶戵㘰㝤㕦㘷愰收戹㜳㔳戵ㄱ㜵㥣搶摣摥㔲㤳㥡㌰晡搷戰㌴㔰㤹〵㌸㌱㉣敦㔰㉡愶晡㘵㝦搷敥昰扥ㅤ㝣㤳㠳㈵㈱敡攷慤㉣㡢㤷愰戹攵㌷搶㌷㌴㜰てㅤ戶㘱㐰㡤愱㜰㌴㝣㕤捡昶㔸㄰换㝢愸搳戶攲慣㍡散〶㜰㐱ㅤ晣㙢㙣㠵㜶㔹敢㠴愶搶晡摡㔴㠱搵戰慦愴㠷つ㑥㘹㙦ぢ挴㈴ㄷ昴戴㌱㔸挰㌲愵〹㙤愰㈶搹㔲晢㙢㜰て㑥っ㠷昱㡤㡡攳摦捦㘳摣㘴ㄳ㡢㝤㉥捦晥搰㍥㍦ㅥ㉣㤳攷㠷愱㐴慥㈵㑡昷㐹〴㥣〵㥢㝣㘱㕦㐸慡搳收㝣㙡㕣摢㉤ㅥ㌰㙢扢㝢〸㈲㠵㔶㡥㑤㙡つ愹㥥㐱㔵㕥昱敢扡㤱搵慤捤つ敤㙤愹ㅥ改㤰昴㜶㕤㌷㌵搵㤰攴攲摢敥改搰㝥㌵㙤㔸㥥㥣捥㡦ぢ㙢㝦㍤摥〱㈳戹搶㐳㑡㝣ㄴ敦㘰㤰ぢ㥥〴㍢搲捦昴愸㡡挵敡攴昸㙣戸扡散㔲ㅥ㌷つ㡦㜹〱晡ㄶ捥㕤㠱散㌳摦攱〷〷㕣㜷㜵㉤㝢㔱㑦㙦搱户ㄹ收㘴〴敢敥搹戸戰戵戰㑥〶㍦慣㕥攷㐶户㈲㜶㥢〶㙣ㅡ㙤慢慦㐹㌶㌴㉣散㔱㌷愱愹愶愱扤㌶㌵㌱㔹㥤㙡昰〶㙥㉥晦晦㜵昸㉢ㄷ慣搹摥搴〱㉦㤶㤴〹搸捣敢慤攵晤搹㘳㕤㑣㤷㘱㐴㤳攵㌲挸挳戸㘵㈵㉡昱㤳㤷㌱ㄷ㈰搱愶晥㈲㝣搹昲㠹㈱㉤㘴攲㔸挶挵㥤改㤵搰搲摢ㅣ搸挴收㠹捤㔸愵㕥敢㤸挶搷ㅢ搳慦愶㑦㐹㜷㡡挷攳㍦昷ち㌳晣愸搷㉢㥢收㥣戸㘲摢㍤扦晣昶挶㘱㘷㡦昰㝡ち慦㉤散ㄸ慢㐰㘶收戲㔰愷㘳挸挵㕦〶挰〴㠰㐵ㅣ扤捣㥤挳昴晡戶㠶㔴户㍡㠹㤷㜰㍥扢〳搹散㕡㌷㝤㌶㔶㔷㡥㉥慣ㅢ搷㔲㕦摢㔰摦㤴攲㕤〸㜶㑤㜰㥢敤挴搴㉣慣敦摦慦戹戵㥥㍢㐴ぢ敢愶户㈴㥢㕡攷㜲㈵㙤捤挲㑤〳㥡㌸㉢慦㙥㔴㝤ㄳ㍡㡦㈹㤳攱愲扡㘹戳㥢攷㘳攳㜹㝢㘳搳戸攴摣搶㕦㠵愳搸㤷捣㘱㐶扦ㅣ㤵㤳愳昲㜳昲㝦敥㌵㑡搶扣昲㐶㈰㔶㡡㙣㜳㈸慣扢㔶㈳搴㐱㝦愵愷散づぢ昶㔷搶㉢戰攱㌶㜲㤹㜷㝡攷㍥挷㘰㍤〴㥤戴㝢〵挴昸㜱〷㑣昰昷攵晣㕦㙣㠳捦㕢㠳㝣㍢戸㄰㐸挳㐸㙦〱搸ㅣ攰ㅥ愶戱搰挶戶愳挵攷搴㌲ㅢ㘰㐱㥤㘰搸ㄶ㜱敤㈴㥣挱戱㔸愶摤ㅤ㕤ㅦ〳㉦㔶㈴㘱挴敤㘱ㄴ摥搱㘱晢㔵慢㡤慢㙡㙥㙣㑣戲㜱戱㘱㑥挳愸㥤捡㤷摢㙢㡣㈵扡づ㐲㕡愰㌵㈵ㄷ挰㤴㕣㈰㈶㕣㡣戹慤㐷挲捣慢㜹㔶戲愵扥㙤㜶㘳㝤㑤㍥ㄵ㙥扤昹㔵戴㑡㌴愰㕣㤰改ㅤ搲㌴㜱慦㥡戹㠸捦慣晥㠶戳〷攲昱㠱搴搱昹㘸扢㌹㜲〵㔷㍦㜳捦〴ㅡ慦收捤慤慥㠴挸攳搳㍡〶㝤㔳ㄵ攷搶ぢㄶㄹ㠶搴愳〴攰愳昷〰㥣〱㝥㜲ㅦ㠷攸㜰㐱㝢㔷〰ち㈶㌶㈷㙢挷㘲㜷㔶㜳㑢㔷晢愵つ昹㜰㉤〷㤵㤶〴户㌰㔴㘱摦て昶ㄳ捤挳ㅤ㜰㑢㍥つ搳戰㍤㈰㤷㥢ㅦ攲挶㠷扣㄰挶昲昲扡攵㐷㤵㌵挱换慢慦㕤攷敤㝥改挵㠴㔰晥㥦散㍦㜴㌸㉡㠵搳攲㑤㠴摥㤳ㄴ散挵㜳㝡〲㉡捦㈷〳㌰㡣㠰扤㈱昲搶㈱㌲戳㤷㘴㕤昰㡦〴戱扣㐶㙥㐴挸㙦攴改攰㘶㈳㡥敤〹搸搰〰㑡攲摤昲㥦㐴扣ㅥづ搴㔳敢搶つ㐳㌸愶㥥㠱昰捡㘷戳戰ㄵㅣ挱昲㐷戲晣㤷㘰晣〹ぢ㡣攵昴搲て㤹㜲㥢敢㍦㔳ㄶ搶戹㡦㤰㍤敢散戳愴昳挴㤸㘱㤳摢㉢昴昳㕦搱昳㈰攸〰㙤㕥慦昹戹搷㕦㘹昶㙣攳㜸㔱晢ち㌲㕣挵㕣攳愳㐰昸㘶㜶㥢㝦㌱挸㘹㙢愹慦㙥攷ㄵ㤱戱㌲攸攷晡㠳扥攲㜲㘳づ晣扡ち挹搴㙢〸㜱㐴㐵捥㜲㌳愵挷搰㝢㥤昶戰㌷㤸〲ㅦ㍤㤶㤹㔸㐵扤㠹㠰搷㉡㘸戴慤㘲ㅣ㌰㝡㍣㠱㙦㐵〳㈶㄰戰て㐴摥摢〰㘴づ㈹挱ㄵ扦㜸㕣搶〰攵㜲戲㈱㤷晢㘳昲戱搵㐴㌶搶攴㐹晦敢收㙣㠸㠹㥢扤㌰昹㐸㠳㔰㘳㙢㝣ㅡ〶攷㔴㙤㠱㘹㕡㙣敦ㅣ㐵㜲㜲㜲㌱㐲挵㌳昷㍦㠴㡡㘵ㄶ搳㔲戲㉡㔹㜱㈵㙥㝣㕦搴戸ㅢ愷㔰㤰晦捣搱㔸戱戴ㄶ㔶扣〷㕥㡦㍦㜲攰戹㝢ㄲ㌰戱〲昵ㅥ愴挷㡣搳㕦㈶昳挴愷㐰愸捦〰㜸㄰ㅦ挹㈳愶昷㘷㌲昳攸㉥捥收攲㕡㍥扡㝢㠷㌳敡搹㌱敦㜳㐴昱愱㤳摥昰㙥换戲㍤挰愸㝦〳户㠲㘰㍤㤵㌵㘰扤扤扢㘸昵〵㤴㤵㡣㤳攳㜳㝢㌲㜸戰㌵晡㜰扡㤵敤敦㉢攸慢㘸㤳戵戳㔲㙥挶晤㠵攲晡㕥㘹㙡〷昰ㄴ扦㠱㘶㥡㥡㤹ㄳ搳〷挱摡㜹㔳晢づ挹㜰㑥㔸挳挷㑣慣愲扥㐷挰㈳ㄴ㐱慦愹ㅤ〲㡣㍥㤴㐰慥づ㡥〰ㅣ㐶挰攱〴晣〸〰㐷㐹㍤〳㕡㝡㘰攳改㝡挹ㅣ㐷ㅤ挱㘴㌳㤹㉣ㅦ㔵㜰ㅣ㤵㠴捤㜵㤴㐶㜴挷㡥㉡〰攲㘱㈴摡㈰㐷㜵〳㜸〵挱扡㥡㌵〸㌸慡㍢攲㔶㌲㑥㡥散㡥攲挲攱㔵挴挸ㄲ㕥㈹㌷搳㔱㐵㠰㠸愳㔲㍣挵〴戴㠰愳㘶挱摡戹愳㌶㐵㌲晣㡦改搹捣〴〱昹㙣〶改ㄱ捡㑡搸㌱愱ㅥㄸ㝤ㄴ㠱㕣愴ㅣ〱㤸㐳㐰〳〱㕢〰㈰㡥㙡㠴㤶㜶㔴㉦㈷㤹攳愸㈶㈶㙢㘶戲ㅤ〱㜰ㅣ㜵㌴㙣愸ㄱ㈷挳愴昹㜲㘹㜱挷㡥敡ぢ挴〶㍢慡ㅦ挰㉢㜸㝥扡㠵㌵〸㌸㙡㈷挴慤㘴㥣ㅣ搹ㅤ戵ぢ㜰慢㠸㤱㤵挴慣㙤收ㅤ扢摡ㄵ㌶㜱㔴㍢㑦戱㍦戴㠰愳收挳摡戹愳㜶㐳㌲晣挷〲㑥㘶㠲㠰㝣戸ㅥ㍡挲てぢ㠱搱㡢〸摣㍤ㅡ昰㕢〲㡥㈱愰〴〰㜱搴戱搰搲㡥㉡㜳㤲㌹㡥㍡㡥挹㡥㘷戲扤〰㜰ㅣ㜵㈲㙣愸㔱摡㔱㕣攱摣戱愳昶〶㘲㠳ㅤ㌵ㅣ攰ㄵ㈸㈱愶㑦㘲つ〲㡥ㅡ㠱戸㤵㡣㤳㈳扢愳㐶〱户㡡ㄸ㔹搰捣摡㠶ㅣ挵㐵搶攲愸㔳㜹㡡愳愱〵ㅣ㜵㍡慣㥤㍢㙡㉣㤲攱㝦㑣㥦挱㑣㄰㤰捦㜸挸〸㐷㥤〹㡣㕥㑣攰㠴㘸挰㔹〴㥣㑤挰㍥〰㠸愳捥㠱㤶㜶ㄴ㤷㘸㝢昹㍡㡥晡ㅤ㤳㥤换㘴〷〲攰㌸敡㝣搸㔰愳戴愳戸搰扡㘳㐷ㅤっ挴〶㍢敡㄰㠰㔷愰〴慣愲㘵つ〲㡥攲㈲敥㤵㡣㤳㈳扢愳づ〷㙥ㄵ㌱戲慥㥡戵つ㌹㡡㙢扤挵㔱㝦攰㈹ㅥ〱㉤攰愸㡢㘱敤摣㔱㐷㈲ㄹ晥挷昴㈵捣〴〱昹㔴㐳㝡㠴戲ㄲ㜶攸扢ㄴㄸ㝤ㄹ㠱㕣㌹ㅥ〱昸㈳〱㤷ㄳ㔰ぢ㠰㌸㙡〹戴戴愳戸㔲摣㑢收㌸敡ち㈶扢㤲挹收〲攰㌸敡㑦戰愱㐶㘹㐷㜱扤㜷挷㡥㙡〱㘲㠳ㅤ搵ち昰ち㥥㥦扥㥡㌵〸㌸㡡㤳〶㉢ㄹ㈷㐷㜶㐷捤〳㙥ㄵ㌱戲扣㥢戵つ㌹㡡㑢捥挵㔱搷昱ㄴㄷ㐰ぢ㌸敡〶㔸㍢㜷ㄴ搷愸攳㍦ㄶ㈸㌳ㄳ〴攴㜳っ愴㐷㈸㉢㘱ㅤ㜵ㄳ㌰㝡㈹㠱㕣挰ㅥ〱戸㤹㠰㘵〴ㅣ〷㠰㌸敡ㄶ㘸㘹㐷㥤攸㈴㜳ㅣ㜵㉢㤳㉤㘷戲挵〰㌸㡥晡㌳㙣愸㔱摡㔱㕣㜶摥戱愳捥〶㘲㠳ㅤ挵戵敢㉢㜸㝥晡㜶搶㈰攰㈸㉥㘹㕦挹㌸㌹戲㍢敡㍣攰㔶ㄱ㈳慢捣㔹摢㤰愳戸昲㕤ㅣ㜵ㄷ㑦昱〲㘸〱㐷摤〳㙢攷㡥扡㄰挹昰ㅦ㉢㐶㤸〹〲昲戹〸㌲挲て昷〱愳敦㈷㤰敢攸㈳〰㝦㈱攰〱〲㉥〱㐰ㅣ昵㈰戴戴愳戸㙥摥㑢收㌸敡㈱㈶㝢㤸挹慥〵挰㜱搴㑡搸㔰愳戴愳戸晡扤㘳㐷㕤て挴〶㍢㡡㑢攸㔷愰〴慣ち㘷つ〲㡥扡ㄱ㜱㉢ㄹ㈷㐷㜶㐷㉤〵㙥ㄵ㌱戲戸㥤戵つ㌹㡡ぢ昰挵㔱㙢㜸㡡换愰〵ㅣ昵㈸慣㥤㍢㡡㉢昶昱㍦愶ㅦ㘳㈶〸挸攷㌶㐸㡦㔰㔶挲昶愸挷㠱搱㑦㄰挸攵晢ㄱ㠰㈷〹㔸㐷挰敤〰㠸愳㥥㠲㤶㜶ㄴ㤷攴㝢挹ㅣ㐷㍤捤㘴捦㌰搹㐳〰㌸㡥晡㉢㙣愸㔱摡㔱て㈳扡㘳㐷慤〰㘲㠳ㅤ戵ㄲ攰ㄵ㍣㍦晤㌷搶㈰攰愸㐷㄰户㤲㜱㜲㘴㜷搴㙡攰㔶ㄱ㈳㙢散㔹摢㤰愳戸敥㕦ㅣ昵㜷㥥攲㕡㘸〱㐷扤〸㙢攷㡥㝡っ挹昰ㅦ换㠵㤸〹〲昲㜹〲搲㈳㤴㤵戰㡥㝡ㄹㄸ晤ち㠱摣㐵㄰〱㜸㤵㠰搷〸㔸〷㠰㌸敡㜵㘸㘹㐷㜱㘷㠰㤷捣㜱搴ㅢ㑣昶㈶㤳扤〴㠰攳愸户㘱㐳㡤搲㡥攲摡晦㡥ㅤ挵㡤〱ㅢ散㈸㙥㈰㔸挱昳搳敦戰〶〱㐷扤㠶戸㤵㡣㤳㈳扢愳摥〰㙥ㄵ㌱戲搴㥦戵つ㌹敡㑤搸挴㔱敦昱ㄴ摦㠲ㄶ㜰搴〷戰㜶敥愸㜷㤰っ晦㘳晡㥦捣〴〱昹扣ぢ改ㄱ捡㑡㔸㐷㝤〸㡣晥㠸㐰㙥㘶㠸〰㝣㑣挰㈷〴扣て㠰㌸敡㔳㘸㘹㐷㝤攸㈴㜳ㅣ昵ㄹ㤳晤㡢挹扥〰挰㜱搴扦㘱㐳㡤搲㡥攲ㄶ㠴㡥ㅤ昵ㄵ㄰ㅢ散㈸敥㘳㔸挱昳搳㕦戰〶〱㐷㝤㠳戸㤵㡣㤳㈳扢愳扥〳㙥ㄵ㌱戲攳㠰戵つ㌹㡡扢㈰挴㔱㕦昳ㄴ戹ㅤ㈲攰愸㙦㘱敤摣㔱㍦㈲ㄹ晥挷昴㜷捣〴〱昹晣て㌲挲て晦〱㐶㝦㑦㈰搷ち㐴〰㝥㈰攰㐷挹〹搳㙦攲愸晦㐲㑢㍢慡ぢ慣㕥㌲挷㔱晦㘳戲昵㑣搶ㅤ〰㑥扢扡㤳㠴㍤㘰㕢㐵㕢㥣敢㔱戶昴扦捦慤昳㜹㐲㙥㡤㄰㡡㌸敦慦ㄲ搰っ㐵㜶㥥戰ぢ慣㥤㔳挴扤ㄴ㘴㐵攳㡢㜳㝤㡡㝡挲敡㥤ち㘳㙤㕢收搷挲敡㌸㠱摣㙣ㄱ〱攸㑡㐰㍥〱摣㝦昱㌶㑦㡢摦昲㥣㥥㠳慢挲敥ㅣ戶㤸㡣㌹戸㙥挰㘰づ㡥㝢㌰扣㑣挵㘲㈶搵扢㈳慣ぢ㈱ㄴ昷㑢㌸㉤扤㠸㈰愷愵昷㐱㜴挷㉤㥤摢㉣㌶戸愵昷〳㜸〵㑡挰晥ㄳ搶㈰搰搲戹づ㜶㈵攳攴挸摥搲戹㕤挳戸㜷㔳攴挱攵㥡㠳㔹攵㔰㜳攷㡥㡥搵挸㑢昷〴㑣昵㠷ㄶ㘸敥㥢挳摡戹㉦㜷㐳㌲㝡㑢㙦挱㑣㄰㤰捦㐰㔸㍤㔶ㄱ昴㝣戹㈵㌰㝡㉢〲戹㍦㈴〲搰㡢㠰慤〹㈸〱㐰㥡晢㌶搰搲捤扤捣㐹〶扢㤷敦戶㑣戶ㅤ㤳敤〵㠰攳慤ㅤ〸㜲扣㌵っ搱ㅤ㝢㙢㙦㈰㌶搸㕢挳〱㕥㠱ㄲ昰慤挹慣㐱挰㕢摣㌲戲㤲㜱㜲㘴昷ㄶ昷㡥㠸户㘴ㄷ〷㙢ㅢ㜲㔴ㄵ㈰慢㤱㡤敥挳㔳攴ㄶ㤳㠰愳晡挱摡戹愳挶㈲ㄹ㝤愳㜷㘲㈶〸挸㠷㝢㔱㍣㍦戰愲戶搳敤っ㡣摥㠵㐰敥㔳㠹〰散㑡㐰㝦〲昶〱㐰ㅣ㌵〰㕡摡㔱㤳㥣㘴㜹㝥扥扢㌱搹㙦㤸㡣㝢㐸㌲挷㈵㙥ㅣ㌱つ㜷㈰㈰㍤捤㠴㝣攷㘳ㄲ户㥡慣㐶ㄹ㝡㜷㘶捣㍤㈷㠱㌱㘹㄰慣㥤搳㜳㌸㤲〹㍤愵㠰㈳㉣ㅦ㌵〳㈱敦散ㄹ㙢改㈹〳㐶㤷戳戴㈳愲〱㠳〹ㄸ〲㤱㌷ㄳ㠰晦ㄷ敦㉥扡晣挴㜷ㄷ㔱敦㈵搳㙦敤户挷愹挷㉢㜰㍡㠵摥㡢㡤㜹晣昶㤱愸㘱戵ㄲ㈸扣㘲㠵㔴㌵づ㌷戴㕡昲昶㐴㔸敦㐵㐰〳〰㑥㘷摤㥢㈰愷戳㌶㈲扡攳捥摡〴挴〶㜷㔶敥搲㔹㠱ㄲ昰搲㤲㌵〸㜴搶戹㠸㕢挹㌸㌹戲㜷㔶敥攲㌱㥤㤵晢㘹㔸摢㔰㘷㙤㐵挴㙡㐴改㔱㍣㐵㙥昶〹㜴搶搱戰㜶摥ㅡ戹㈹㐸㕡攳ㄸ㘶㘲ち挲昴〶慣㕥㙢㘴改㤶搰戱挰攸㜱〴㜲挷㔰〴㘰㍣〱ㄳ〸攰ㅥ㈲改慣晢㐰㑢㜷搶㘳㥤㘴戰㝢昹敥换㘴ㄳ㤹散㌴〰㌲㍢㉢户昰㤸捥㍡〹㤰㥦㜴ㄳ挱㡤㍦慢㔱㡥㥥捣捣ㄷ㐳ぢ㜴搸晤㘰敤㥣愲戳㤱㑣㈸摡㥦㤹㈰㌷昹㥣〳慢挷〰つ㤶愲愹挰攸㘹〴晥㉥ㅡ㌰㥤㠰〳〸攰敥愲户㤱㌲㝥㈰戴昴㑤挴㘸散慣㘲㡢挹戸㠹㌸ㄸㄸ摣㐴晣摥挹㔴㉣收㈶攲㄰㠴昵愱㄰敡㜲〰㥣㤶㝥㌸㐱㑥㑢㕦㠲攸㡥㕢晡ㄵ㐰㙣㜰㑢扦ㄲ攰ㄵ㈸〱㙦戱㔸㠳㐰㑢扦ち㜱㉢ㄹ㈷㐷昶㤶捥捤㐸愶愵㜳㕢㄰㙢ㅢ㙡改搷㈰㘲㌵愲昴㤱㍣㐵敥㔹ち戴昴㙡㔸㍢㜷攳昵㐸㐶㐷改ㅡ㘶㘲ち㡡㈹㙥㙥昲摣〸㥢攷挶㕡㘰㜴㡡㐰㙥㝣㡡〰搴ㄱ㌰㡢㠰愵〰㐸㑢㥦つ㉤摤搲㙦㜱㤲挱敥攵㕢捦㘴㐷㌱ㄹ㌷㈵㌹㡥㙡㈰挸㜱ㄴ户㉢㜵散㈸敥㘵摡㘰㐷㜱捦搳ち㤴㠰捤㠴慣㐱挰㔱摣ち戵㈱㡥㝡〰㌸攳愸㌵〸戱戶㈱㐷㍤㠸㠸搵㉣㘵㉥㑦昱㈱㘸〱㐷戵挰摡戹愳㔶㈰㤹㌸慡㤵㤹㤸㠲㘲㡡㝢慣㈲晣搰〶㡣㙥㈷㜰㔵㌴㘰ㅥ〱昳〹攰㡥㉣㜱搴〲㘸㘹㐷㜱㑦㤵㤷㉦散㥥愳ㄶ㌲搹㈲㈶㝢ㄶ〰挷㔱挷㄰攴㌸㡡扢愶㍡㜶ㄴ户㔴㙤戰愳㥥〳㜸〵㑡挰户㤶戰〶〱㐷㜱㐷搶㠶㌸㡡㕢戳㡣愳戸㐹㡡戵つ㌹㡡ㅢ户㔶戳㤴ㄳ㜸㡡摣挱ㄵ㜰搴㐹戰㜶敥㈸敥昴ㄲ㐷㥤捣㑣㑣㐱㔸搲〱慢㐷㈸㑢户〳攳㈹挰攸㔳〹㝣㍤ㅡ㜰ㅡ〱愷ㄳ昰〶〰攲愸㌳愰愵ㅤ挵慤㕤㕥扥戰㝢昹㥥挹㘴㡢㤹散㈳〰㌲慦ㅤ㥦挰㘶慥ㅤ㘷〱搲搳㝣㘵㜹攷㌷㝡㥦㈲搹㙡㤴愱捦㘶挶㥦㐱ぢ㕣㌷㝥〷㙢攷昴㝣㡥㘴㐲捦戹捣〴戹挹㠷晢扦扣搳愰挱搲㜳ㅥ㌰晡㝣〲戹㌷㉣〲㜰〱〱扦㈷攰㑢〰摥㐶捡昸㠵搰㥣敢㐶㘹搴㜵攳㈲㘰㜰摤攰㤶㌱㉦㔳戱㤸敢挶挵〸敢㑢㈰昰敤搱㘱昲㜲㘰㌳攴㕤ち挸㑦扡昰㘲つ㥡㈱昰㌲㘶捥㉤㘱〱〲㉦㠷戵㜳〲攳㐸㐶㡡昴ㄲ愹愱㔱㔴㔷㔸扤㔳㜱〸扣〲ㄸ㝤㈵㠱昹搱㠰慢〸昸ㄳ〱ㅡ〰㈱昰㙡㘸づ㠱攵㔱〴㕥ぢっ〸㉣㜴㌲ㄵ㡢㈱昰㍡㠴昵昵㄰㡡摢挳㥣㘱攲㐶㠲㥣㘱㘲㑢㐴㜷㍣㑣㙣〵挴〶てㄳ扤〰㕥㠱ㄲ戰㌱㤷㌵〸っㄳ㕢㈳㙥㈵攳攴挸㝥攱摤ㄶ戸㔵挴挸㍥㌱搶㌶㌴㑣㙣〷挸㙡㈲㤶昱ㄴ户㠷ㄶㄸ㈶㙥㠵戵㜳㌷㜲戳ㅢㅤ愵㤷㌳ㄳ〴攴戳㈳慣㥥ㅢ㘱昳晡挱㙤挰攸㍦ㄳ搸㈷ㅡ㜰㍢〱㜷㄰挰扤㜱㌲㑣摣〹㉤㍤㑣散散㈴㠳摤换昷㉥㈶扢ㅢ㈲㙦㄰〰ㅢ戶ㅦ㡡ぢ㌲ㄳ捥㈶㌵昹㥡挷㑤敡昶㙦㑦㌶攰㈷㥡愶㘰㤳㐴ㅢ㑤扦㠶昵戱戹㘶慢㑡愷㡢挸攴ㄴづ㥢戱㍤捥㉣㤳㠳攰㠲㌳㝢㙥昲慤㤶㍦㙦㉢㑢㐱摥㠴ㅦ搶慦摦戰㔲搸㈲㠲摦㌳〹㈷挱㜵㕣攸㔵㡡愰㌴㥦㝢攱㍤慦昹攴㜱晢㐵〷㙢挷㌳昶㝡㌰㔹㑦㝦慤㉢㔷㌵て㘸挰㑡挵つ㔸㐲㝥ㅦ㑢攵㍡㜲愹挳晤戶づ㜱㘴㤸㔷〹㙢收ㄳ㜷㘸〱㌲ㄲ㘰ㄳㅢ㤷㈲㑦㙢㕢搸㠰攵摦っ㜲昵愰〹㜱扤慢㠹㐶昵㥡㕢㜲戱㜱㉦昳㥢㙥搳㘹ㅦ㐰㔶摤㌶换昸捥㝢㐹挶㤸ち搴㈶㙦っ㈸捦㥡㥥㘷攰戳捣㌴㍣攲て愰㡡㥢㑤慡慦㘹㘹㙥㙤慥㙢㉢㥥㠶㑤っ挵晣ㄵ㠴㍡㙣㘷ㄹ㤹㔷㠵ㅣ㈳换攴㠹攵㌶攱㐴昲攴ㄱ扤㘰㑥㔳昳晣㈶愹㑤㕥㉢㝦っ㐲昸敡摡㤵挵㜰㤳㡢ㅣ㝤挰㘲㘲て㔴㤴ㅢ㌰昴㐳挸愲戰㈸戱㈷㜴ㅥ㠹扤扣挰㌰㉦戰户つㄴつ㐷㠰戹㤰昷㕦昴㐸㜰捤㌰㑢㠹㍦㡣摡㙣㔲㌵㙡㘶昰㠷搸攲㉢㘰敥づ戳慣敥㥣㡡摦㔱㠸慦㠴愵〷㉣捥晥㠴挴㐸㥢㡢㝥〴㤱扡㌷昲搳挵㄰㑡ㄶ戹㔲㕢〳㍢ㄹ㘱㔱㙡っ㈴ㅢ㡦摡〳攴搲㘵㌰挶攲㡦〲㤲搵て㙡㈸㘰昴㐵㤰换戱挸㐵戸㝣ㅣ㠹挱攵㌸收捡捣㥥㠰摥慦㙡㔴搵搴㤹搵搵愵㜵戵㤵愵愵攵㐳㠶っ㉡慦㑥㈶慢〷㈵慢换捡昱攳㝥㜵昸挹㤱㤲摡愱㠹昱㌶㡤㝥ㄲ㘹ㄲㄳ㍣㙤ㅤ戵㝤㍣㡤㜱㜹㤳愰㜵㍡挴搸㜵慡挰挷㔴㌵搶㤸搴慡㔴㙥搷慥愱㉤愸挱攱〶㑢㔸㘵㘸攲挰ㄴ㡦㔳收㤵攲㘴㍢ㅥ㍤扣㐴㍣㘱扦㕤㌳㌱㉤晡ㄹ㔴㐱㍦ぢ㔱㤰㤸㡣㡡攳㍦摥愶搳㐶㤷㙡㝡㌱㌱挵戳㍦㑦ㄳ扦敤㔸㝥㤶㑣敤て㍢慦ㄳ〵㙡㔷搴㠲攳ㄸ㔳㥢昱㘸㉡㠲戲昹敢㈵愴㔱〷㐰㤳搲㕥愶〶㄰㠱敡㈰㐸㜱昰㑥㐸㥡㜶昰慢㠰㘴㜷㜰㕦㐰挳づ㍥ㄸ㌹㠹㠳㕦㐷㘲㌸昸㄰收㡦㈳㜱愸ㄷ㌸捣ぢㅣ㙥〳㐵㌳㄰搸㌸㥤攵〸攴捣㔲㌲㜹㥣改搹摦㐶㉤攵㌷搹㌴扦㥤㔷㈵㘱㌷㍣㙥ㅢ攲戱ㅡ㜱挲攳㝢㘴㉥〵㑤㜸㝣㥦ㅡ搲㐲㡦愹㔹㤰挲㘳㉦㠷㐷㑤ㅥ㌹㌶愹㉤㈳㈹㥢㡤㐴㐲搹㐷挰㠱戲㝡㘶㠵㈳㜱㤴ㄷ㤸攳〵ㅡ㙣愰愸ㄱ㠱㡤㐳㔹ㄳ㜲㘶㈹㤹㤴㌵㝢昶捦㔰㑢昹ㄵ㍡㕤〶㤸㍡ㅡ㜶㐳㔹㔱㠸戲ㄶ挴〹㘵㕦㤰愴㜶㘸㐲搹㤷搴㤰ㄶ㝡㑣捤㠷ㄴ捡扡㐷㔲㔶㄰㐹搹〲㈴ㄲ捡扥㌵㤴㉤㘴㔶㌸ㄲ㡢扣挰㙦扤挰㌱㌶㔰㜴㉣〲ㅢ㠷戲攳㤰㌳㑢挹愴散㜸捦晥〳㈹摢㠳㠸㑡〸㜵㈲散㠶戲㥣㄰㘵㈷㈱㑥㈸㕢㑦㤲㑥㠵㈶㤴昱愷㑡搲㤴㥤づ慢㔰戶晥㝢扦户晡慤散扦戰㠶㍢收ㄹ㐸㈴㤴攵㈲㉢戴戲㌳愱昳㐸㉣昶〲㘷㜹㠱戳㙤愰攸ㅣ〴㌶づ㘵扦㐳捥㉣㈵㤳戲㜳㍤㝢㍥㙡愹㐷㄰㌱ㅣ㐲㥤て扢愱散㙢㥣㕤㜰㠰扢〰㜱㐲㔹㜷㤲昴〷㘸㐲㔹愱㑢搹挵戰ち㘵㕦㐴㔲昶㜹㈴㘵㤷㈰㤱㔰戶㠹愱散㔲攸㍣ㄲ㤷㜹㠱㍦㝡㠱换㙤愰㘸〹〲ㅢ㠷戲㉢㤰㌳㑢挹愴散㑡捦扥㌹㈹ㅢ㑢挴ㄸ〸昵㈷搸つ㘵晦っ㔱㜶㌵攲㠴戲㕥㈴改㍡㘸㐲搹搶搴㤰ㄶ㝡㑣摤〰㈹㤴扤ㄷ㐹搹㍦㈲㈹扢ㄱ㠹㠴戲敤㤱ㄵ㕡搹㑤捣ち㐷㘲愹ㄷ戸搹ぢ㉣戳㠱愲㕢㄰搸㌸㤴摤㡡㥣㔹㑡㈶㘵换㍤晢㡥愸愵晣㥡愴摥ㄷ㌰昵㘷搸つ㘵慦㠶㈸扢ㅤ㜱㐲搹㑥㈴改㉥㘸㐲搹捥㉥㘵昷挰㉡㤴扤ㄴ㐹搹ぢ㤱㤴摤㡢㐴㐲搹〰㐳搹㝤搰㜹㈴敥昷〲㝦昱〲て搸㐰搱㠳〸㙣ㅣ捡ㅥ㐲捥㉣㈵㤳戲㠷㍤晢敥愴㙣㉡ㄱ晢㐳愸㤵戰ㅢ捡㥥づ㔱昶〸攲㠴戲㌲㤲戴〶㥡㔰㔶敥㔲昶㈸慣㐲搹㤳づ㘵昱㈱㠰㘴扦昳㜸㍣㤲挷挷㤰㤳昰㌸ㄴ㠹搱昴ㅥ㠷捥㈳昱㠴ㄷ㜸搲ぢ慣戳㠱愲愷㄰搸㌸㍣㍥㡤㥣㔹㑡㈶㡦捦㜸昶扤㔰㑢昹ㄹ㔱㝤㄰㘰敡慦戰ㅢㅥ㔷㠶㜸晣ㅢ攲㠴挷ㄱ㘴敥敦搰㠴挷㤱搴㤰ㄶ㝡㑣扤〸㈹㍣㍥攴昰愸挹愳摣㜹㍣㄰㐹搹㑢㐸㈴㤴㡤〱づ㤴扤捣慣㜰㈴㕥昱〲慦㝡㠱搷㙣愰攸㜵〴㌶づ㘵㙦㈰㘷㤶㤲㐹搹㥢㥥㝤〲㙡㈹㍦㥣慡㘷〰愶摥㠶摤㔰㜶㘷㠸戲㜷㄰㈷㤴㑤㈲㐹敦㐱ㄳ捡㈶㔳㐳㕡攸㌱昵〱愴㔰昶㘷㤷戲昴捤摡昲㐸捡晥㠹㐴㐲搹㔴㐳搹㠷捣ち㐷攲㈳㉦昰戱ㄷ昸挴〶㡡㍥㐵㘰攳㔰昶ㄹ㜲㘶㈹㤹㤴晤换戳ㅦ㐸捡㙡㠹愸㠱㔰晦㠶摤㔰㜶㐳㠸戲㉦㄰㈷㤴ㅤ㑡㤲扥㠶㈶㤴ㅤ收㔲昶㉤慣㐲搹戵㤱㤴㕤ㅤ㐹搹㜷㐸㈴㤴捤㌴㤴晤〷㍡㡦挴昷㕥攰〷㉦昰愳つㄴ晤ㄷ㠱㡤㐳搹晦㤰㌳㑢挹愴㙣扤㘷慦㈱㘵㐷ㄱ㔱て愱ㄴ敦挳愸搵戹㐴㜰㌹㤷㄰㜱愹㑢〴㥦㠸愵扢㕤ㅣ㐹㐴㉥愲㠵㠸愳っㄱ㜹㌶敢昸ㅣ攸收攱户㌶㔹㔶㕤㔶㤱ㅣ㍣戴㈲㔵㕥㕥㔱㕥㤹ㅣ㔲㥢㑡㔶㈴敢㉡㔳攵㜸晥慤慥㑥挴㙤ㅡ摤㠰㌴㠹慥㥥搶㐸㉤摦搳ㄸ愷扡㐱㥢㠴㤳㔲攷愳㌲㝣㌸挵㤴㍡㕥㜴㈱㑡ㅦつ㔱㤰攸づ㐰ㄴㄳ㕣摣㈵昶㜶挱㑡㉡〸㔵〴扢㘹㍣㘷㈰挷攰㍤㔸〲㜱搲㜸ㄶ戲攸㥥搰㠴戳㐵搴㤰㤶搹愹捤㘱ㄵ捥㑥㜵㌹㑢昷户㤳㈳㌹摢〲㠹㠴戳攳㤰ㄵ㠶愸㉤㙤搶昱攳愱ㅢ捥㤲㐳㌱㍤㔰㔹㕢㔱㕡㌶戸扣ㅣ㍦㐷㍡戴慣扡戴扡㜲㘸㐹㑤㘵捤㤰搲敡㐱ㄵ㠹慤扣敡㥣㠰㌴㠹㕥㥥㜶㈲戵慤㍤㡤㜱㐵摢㐰摢㌸捤㙥㕢攴ㅣ㐵昶㜶㥥晤㌴㤴㉦扦㙦慣攷㤱慣ㅤ㘰㌷㘴捦て㤱㕤㡣㌸㈱㝢㌱搲㈸㔹晡㠴㈴晡㉣㙡ㅥ搹晤㠰ㄱ戲摢㈲挹㙥㠹㈴㝢㈷㈴ㄲ戲捦㐵㔶㈰㝢㘷攸㍣ㄲ扢㜸㠱㕤扤㐰㝦ㅢ㈸ㅡ㠰挰挶愱㙣㌷攴ㅣ㐵ㄹ㔷㐹㠹晤昷愴散㔸搴㑦ㅦ〳愱㜶㠷㕤㕡摤㐵㤶〸㉡㡡㡢㥣㠴㠸㝡㤷㠸㜴㑦㥤ㄵ㐹㐴㈹ㄲ〹ㄱ㤷戱㠸㍦㤲㡤ㅥ㠹㌲㥢㝦晣㜲攸戶扢㤶㔵づ慥㈹ㅦ㔲㕡㔶㍡㈴㔵㕥㕡㍢戸戲扣愲㝡㐸㜹捤攰戲㈱㐳〷搷っ㉡ㅤ㥡㈸昷敡戴〴㘹ㄲ㠳㍤敤ち㙡㐳㍣㡤㜱慡ㄲ㥡㜴搷㈳㔱㈳㜶㔷㈹晦㑦㠸搲㔷㐳ㄴ愸㍤㍣昸㌵㔰㜹晥晣㈴昶㠴㌵㡡愴扤㍣晢つ捣攱ㄴ㐰昵挹愴㠳㑢㠹㑣扢㍡㄰攵〴㍢昱㜰挴㐹扢扡ㄹ㘹搴㈸㘸㐲攷㌲㙡戶㍣㌵ㅡ㔶愱㜳㥡㑢㘷扡ㄳ敦ㅦ㐹攷ㄸ㈴㤲搳戹つ㔹愱㕤㡤㠵捥㈳㌱捥ぢ㡣昷〲ㄳ㙣愰㘸ㅦ〴㌶㑥扢摡ㄷ㌹㐷㔱㌶搱戳摦㐹捡ㄶ愳㝥晡㑣〸㈵㙢㜱愸摤攳ㄲ戱ㅦ搰㐲挴㜸㤷㠸㜴扢ㅡㅢ㐹〴㔷攴〸ㄱ㝦㌱㐴㑣㠵㑥㙡攳て㐰户愳搹攰㤲㡡搴搰㡡愱攵㤸昹㉣ㅦ㍡愴㈴㔹㕡㔶㕢㌱戸㘴㘸㌵㝥㐵㍤㔹㌶㘴㐸㘲㥡㑤愳ㅦ㐴㥡挴㜴㑦㝢㠸摡〱㥥挶㌸㜵㌰㌴㘹㔲㈳㔰㤹昴ㄵ㘰㈵愲昴㈳㄰〵㠹㐳〰㠸㘲攲㔰捦扥㤶㔸㝥攳戰晣㡡戸㍡ㅣ㜶搳㜸㉡㤰㘳戰昱捣㐰㥣㌴㥥㈷㔸昴㤱搰愴昱㍣㐹つㄹ戰ㄸ㔵つ慢㜰㔶敥㜲㤶㙥㍣愵㤱㥣㜱昹㡢㜰昶っ戲㐲攳愹㠵捥㈳㤱昲〲㜵㕥㘰㤶つㄴ捤㐶㘰攳㌴㥥㝡攴ㅣ㐵搹㔱㥥晤㌹㔲挶敦㈲搶ㄷ㐱愸〶搸つ㘵晤㐳㤴㜱㘹㡢㔰昶㈲㐹㥡ぢ㑤㈸㝢挹愵慣〵㔶愱㙣攷㐸捡晡㐵㔲搶㡡㐴㐲搹㙢㠶戲㌶攸㍣ㄲ敤㕥㘰㥥ㄷ攰㑡ㄳㅥ㐵ぢ㄰搸㌸㤴㉤㐴捥㔱㤴㉤昲散㙦㤱戲㈵愸㠴扥ㅣ㐲ㅤ〳扢愱㙣扢㄰㘵挷㈲㑥㈸㝢㤷㈴㥤〰㑤㈸㝢捦愵散㈴㔸㠵戲慤㈳㈹摢㉡㤲㌲㉥〹ㄱ捡㍥㌴㤴㥤〲㥤㐷攲㔴㉦㜰㥡ㄷ㌸摤〶㡡捥㐰㘰攳㔰㜶㈶㜲㡥愲㙣戱㘷晦㤴㤴㕤㠳晡改慢㈱搴搹戰ぢㄱ㥦扢㐴㜰搹㠷㄰㔱攴ㄲ㤱ㅥ愲ち㈳㠹㌸ㄷ㠹㠴㠸慦っㄱ攷搹慣攳㕦㐳户㔷扤摡扡敡㘴㐵㑤敤愰摡戲㡡昲挱㘵㤵挹摡攴㤰敡搲㤲戲㥡戲㔴㐵挹愰㘴㐹㐲搶㠵戰㜲摦㈰㑤攲〲慦㜲摦㔲晢扤愷㌱㑥㕤〴㑤㠶愸慥愸っ㠷㈸㌹敢敦ㄱ愵㝦㠰㈸㐸㜰挵㐷ㄴㄳ㤷㜸昶昵挴㉥㘵㘱㌷㤱㠹换扣散㜳昰敡㉤㍤昰㕣づ慢㌰昱摦晦㌸㌳愶㘹㈶㝥㠰㌵㍣㘳扡〴㠹㠴㠹㌸戲挲挰挳ㄵㅢ捣㌱摥ㄵ扡㘱愲㙥㔰㐹㜲㌰敥㍤换敢㜸扢㕥㔲㕤㔹㌹愸慣㜲㘸㙡㐸㑤㔹㐹㕤㙤慡扣㈴㜱愵㔷㥤㝣愴㐹㕣攵㘹㥡摡㥦㍣㡤㜱敡㕡㘸挲挴搷愸㑣㝡戰敥㡥㈸㕤〸㔱㤰戸づ㠰㈸㈶慥昷散㥢㄰换慦㉤搶户㤱㠹ㅢ㘱㌷摤攸ㄳ攴ㄸㅣ慣㙦㐲㥣㜴愳捤㔹昴㌲㘸搲㝡戶愰㠶戴㉣㐶㜱戱㠴㜰昶愱换㔹㝡戰晥㈰㤲戳攵㐸㈴㥣㙤㡤慣挰搹㙤搰㜹㈴戸㐴㐲〲户㝢㠱㍢㙣愰攸㑥〴㌶㑥㌷扡ぢ㌹㐷㔱㜶户㘷摦㥥㤴昱ぢ㡤㌵扦㌶㌹㜱㉦散㔲晢摥㔲㝢㜵ㅦ㜴㈱㘶㐷攸㍣愸㈴敥昷㔰㝤〴㤵挷搷挲㝢㘶晦挲㕡攷戵敢〰扣收挷㌷昰愵㙡昱㡤㔸昸㠹敥戶㠵㘳㥡摡㕡戸㌴㌹搶〵摦㠸㘵扥㤰㈷㌷㘷㡦㥦㤷ㄷ摦㐷㙥㠷慣昸挹㝢つ摥昹扦挸㠷攷改扦愱㘴㡥㍢攰愳晢攱㠴ㄵ摦ㄸ昷愵昶ㅣ㠵晦㐵捣㉦愲挸㔷戱ち㌸昴㠳㤸㉦搸㠸捣㥦㔱㑥慣昱㠸ㅣ㘰攸㝥ㅣ㍡挹㔴捦㈳〵捦㐰ち晤つ㈲昳昸㍡㌷昲扢㉡捤摢敦㘹昸晥戱搴挰慡㔱ㄵ〳挷㉣愸㐹㌵㔴攱㍢㐱昱敡ㅢ〹㘳㥢㌷㑥㘸㐵㄰扦㠷㍥扤㜹愴㝣㕢㈵搷㌲㙣攲扤ㅤㅦ攰晤ㄶ㝢㍦摦攲㝤㈱慣㤷㙣㑡㑢㍡ㅤ㝥㕣ㅣ慢晢ㄱ㌱㠰扦摣扥戹慦㌹摦愲戴㡤㙦挵㌷晦挲换愹㕡㉦挷㔶㑥㈷攴㜴㔱㤱摦昴㘵㝦㌵ㅢ㍦㌰敡㘵㌰愶愹扤㤱ㄴ㙣ㄳ昱攵㘷愳敡摢㘴ㄳ挲戶㠸㔷晡〹搰ㄳ摦ㅤ攷ㅢㅦ搶㜷㘴摦搲㤲扣㘷挱摥㑦㈸㈵攸㙦㤶挹〳㍦㌰㠳㉣搵㍡㘴捥晣㘸㉡㝡〶ち㐶摣捣㠵つ㥦て㘷㉣㡥ㄱ㈲㘳昹昶㙦㘲㐴搱戳㕥㡡ㄹ慡昷〵㈳昳摥㍡㍥昳晢挱㈵挵㡡ㄶ㤳㘲挴戹㈳搴昳㐸搱ㄷ㔶搳挲㍥㘲攸敦㄰敡㐹㔴㈲戲㠵㍤㘱㈳㐲㍦戹晡ㄲ㜲㤲づ㕣挱戶挰㍣昰㐹扣っ慢㜴昳愱戰ㄶㄶ愹搷愱㑢扢㝢ㄴ昹愴摢摤ㅥ㍣昷户ㄱ搵ㄷ㘹㌲ㅢ晢㈳搹慡戲搲㐶㠴㝥换昴㍤攴㈴㔵ㄹ攱㔶攵㝤㔸愵㉡㈳㑤㔵㍥㠲㉥㔵㜹挸慤㑡ㄵ慢挲昷慥㝤㈳慡㜲㕦戶慡摣㙢㈳㐲㍦ㅡ晡〵㜲㤲慡㑣㜰慢昲㈵慣㔲㤵㝤㑣㔵昸㙡㔵慡㜲㤷㕢㤵㠹慣捡て㠸敡ㅢ㔱㤵摢戲㔵㘵戹㡤〸晤㍡愷扣攵㘴㑥㔳摤慡戰㠵㐹㔵愶㤹慡昰㤵愵㔴㘵㤹㕢㤵〳㔸ㄵ扥㈷㡣慡捡つ搹慡㜲扤㡤〸晤っ愶扣㍤㘴㔵づ㜳慢挲户㠸㔲㤵挳㑤㔵昸㉡㔰慡㜲㡤㕢㤵㈳㔸ㄵ扥㝦㡢慡捡ㄵ搹慡戲挴㐶㠴㝥㙦㔲摥捡戱㉡戵㙥㔵戶昶慡㤲㌲㔵攱㉢㌶愹捡㘵㙥㔵㘶戱㉡㝣慦ㄵ㔵㤵㍦㘴慢捡㠵㌶㈲昴挳㡥昲戶㡢㔵㘹㜴慢挲户㕥挲㑡㤳愹捡〰慦㉡攷扢㔵㤹换慡昰㝤㔱㔴㔵捥捥㔶㤵戳㙣㐴攸ㄷㄴ攵㉤ㄲ慢㌲捦慤ち摦㈶㐹㔵收㥢慡昰敤㡦戰㜲㠶㕢㤵㠵慣ち㕦戹㐴㔵攵攴㙣㔵㌹挹㐶㠴㝥㥡㜰〴㜲㤲ㅥ㜴扣㕢ㄵ扥㤰㤱慡㥣㘰慡挲户㉡㔲㤵攳摤慡㥣挴慡昰㔵㐶㔴㔵ㄶ㘵慢捡㐲ㅢㄱ晡つ㐰㜹挱㐱㔶捥㜰慢挲ㄷㅤ㔲㤵㌳㑤㔵昸戶㐲慡㌲捦慤捡㔹慣ち㕦ㄱ㐴㔵攵攸㙣㔵㤹㙢㈳㐲㍦戶㜷㈸㜲ㄲ㔶捥㜷慢挲ㄷ〸㔲㤵ぢ㑣㔵昸ㄶ㐰慡搲攸㔶攵㐲㔶㠵㔳敦㔱㔵㤹㥤慤㉡戳㙣㐴收慦摡㈵㌸㔹㉦㠵㕥㘶ち攵㡣扢ㄴ㥡㜲ぢ扤㥣㠵㜲戲㥣户ㄷ㑡捦㐱㈸㝥〵㙣㜲ㄵㅤ㌴㔴㈵〱昶慥㝣〵晡㉡愲㌹搱敥㤹㡡㌸㤹づ愳㝣昰挷㍢戲㕦っつ㘲戳ㄱ㐵㥣㠱㤷㤴搹㉥㡡扦摤散搶㜱㙦㉦扡㜶昸扤摢㥦晡昱晥昷摥㍡㝣㘲挵㤹㈳㡦㝣敦戶攱㡡㤳昲㍥㐷晥挵昱昰㙣ㅣㅤ㘶㈳㐲㍦㝣㈷㔳昵愸㤱扥㥥㌵挱㐱摦㈵ㄶ㈱㝦㘱敥〶㔸㜱㜱攴扣扢㌰㜷戰换摣㑤㠸㔴㈷㈰捡㌰挷挹昸昸捤戰攵つ敢㍢慥敦愰扣改挰㜶㜴晢㌱戶愵挶扤挹㘱挱晥敤愶㝦晢㜱ぢ㑢攱㌴㍤昳㤳ㅡ㜲㤶摣㍦㝢晦收㜳㡡㍤挹搰捤攷㘴ㅢㄱ晡㔵㍢㤹㍢㐷㥥晡づㄴ㈲㜹㐳㈴捥㐲晥㜲昶㜷挲㡡戳攷㐴戸㥣晤扥挸㈷㝤㙢㜰㌷敢挵搹攷愸慡㡣捤㔶㤵㌱㌶㈲昳攷攳ㄲ㥣慦㤶㐲ㅦ㌰㠵㕥收ㄵ㕡㘵ぢ㤵㘷㤸㠷㔸㈸愷愲愵㍥㈳摤晡慣㘰ㄴ㘷㤱㡤㌷㌸㍦ㅤ㝦〴㌶㜸〳㜷㠳㙡ㄸ戰㕥㥢㉤搰慢〹收〴戴㘷㉡攲㈴㌳㡢㐰㠴㝢昸捤戸㠸㌳搰㠲挸搶㕣ㄳ摥愴戴㕥㠳㕣昴㕡㡡㐷㔹㄰愷㥦㝤㤶晣收㍡搸㤲ㄱ㜲㔸戹㡤〸晤挶摣捤挸㐹㐶㤷愷㙣㍤愵戹㜲㜲㕡戸㝢ㅡ㔶㌸㡣㌳捣㐲搰㈰㤷愰㘷㔹ㄵ㑥敢晡㔵昱摢捥㙥搹慡㌲挰㐶㘴晥㤸㕢㠲ㄳ挱㔲攸ぢ愶㔰捥收㑡愱扢扡㠵扥挴㐲㌹ㄱ㙢扣挲㈹摥昸㉢戰㤹搱愵㐲昵〳搸昳㐱㠱㝥㡤㘸㑥攲㝡愶㈲㑥搴挲㤸摤㉤挶㔹晥慤戶搱㌱扡㜰㜶㔷㔲㘶㜳㤷㐱昶ㅦ㘱晥づ戴㝦㑢㐶㈸㑥昸晡ㅣ昹敥㉡捥挶搱づ㌶㈲昴㝢㙦㌲つ㡣晣昵㍢慣〹づ㜱搷㤳挸㕦㤸晢〷慣㜰ㄷ攷㜴㠵戹㙤㕤收摥㐳愴攲㐴慡㕦ㄵ摦㕤㕢㘶慢捡ㄶ㌶㈲昴挳㙡㌲扤㡡ㅡ攸㡦摤慡㜰㥡㔵慡昲㠹愹ち攷㑡愵㉡㍤摤慡㝣挶慡扣㤵愵㉡㍤戲㔵愵搰㐶㠴㝥挱㑣愶㉤㔹㤵慦摣慡㜰晡㔲慡昲戵愹ち攷㈰愵㉡〵㙥㔵扥㘵㔵㌸昱ㄷ挵㑡㕥戶慡攴摡㠸捣㥦ち㑢㜰慡㔰ち晤慦㈹㤴昳㝤㔲㘸㡥㕢攸㝡ㄶ捡愹㍡搳㠸㌹〹ㄸ㔷晣㥡㙢づ㉤㠳㑡搵晦扥㜳ㅢ㜱ㄷ挴㈸㑥昳愵ㅢ昱昷㔰昰㝦挳ㅢ㜱ㄱ攷晤㈴㐵挷㡤昷扢攱摥慦㡣㈸㑥〱晡㥣昸㡤昶㍦愸㕢攴昳攲㜷㌶㈲昳搷挳ㄲ㌹㌸㕢攱㐴攳㐴搰㍣㌹昳㈷㥣㝣㠳ㄴ改攱扦ㅢ捦㤲㤳㜶㠶ㄳ㑥〷挶ぢ搳㥣㤴慢㉦〲㥣ㄴㄱ捤〹扦㌴㈷㥣搴挳晦つ攷〴㔸ㅣ攸搸㠵㕥捡㙣摣ㄸ㑥㍥ㅣ㡥敤㐵㌸㍥ㄹ㝥昴戰㠲ㄷ慦㤹晢改㜰挵挹挱㈸㡥㍥捤挶搱㈷㌶㈲昴〳㘳㌲㘵㠸敡攸捤㜱㘲㍣愴㘳㜳敡㔰㤸摢〲㔶㌰挷昹㍦㘱敥㐳㤷戹慤挸〵㈷摤晣慡昸ㅤ晢摤㙣㔵昹㠷㡤挸晣㈵㉦挵㘹㍡㈹攴ㅤ㕢挸㈶愸㑥㝥㑥㤷挴㡥戶㌶㠵㠹㍣㑥搲㐵摥㡡挸て㙢っ㌴扦㍦㠰摤㈳愹㔶㌱昰㠷㠵昲敡㌸㐷搴慤㡥㥢㑡㔲昲㈳〸昲攳㑤つ戲㔹愴㍢㝥㡡愰㘵㑥慡㘵㈲㝥㕢〳㍦㐰㌰慤扥搱㙥挰挰㙦㙥昰㉢戲扤㉦扢搷愲㜱㔲㉥㕥㌷愵〵摦㝥摦戵㙥㐲㉢㝥挱愳㌶扦㜱扦㘴㕢㕢慡愵改搷戰てぢ摢㜷㜲㌹晦㠸换㍢㝦㜸㉢㈷㜲攷っ户挴㘴㝥㌹扥昳㌳㈵㍥ㅦ摥捦搴攴昰ㄷっ㝥摥㉥慣昸づ㘸㈲晥慦搹捦攳㝣㕢㙢㡥㝡ぢづ㤶ㄹ晡㡦㑢㝢挹㥤㈰扦㠶㐴昷〶㔶㘶㈰㤵㥣〳扥㘴㑢昷愱㘹㉤㉡㉣㈲㤶挷㈹换捣㤳攲ㅥ㈶㝥改㑢㉣㙦㝥㝤㙤摢散昸散㔴晤慣搹㙤搸慢搴㡤㘷㝡挰愵昷㡦㠸㤵捦ㄸ愹㌸㉢挹搶ㄳ敦㠷㍣搳㕦ㄸ㕦敢㝣㘱㝣慥㝡挵慢㔷散㠴㤸㕦慦㥤㔹〹㡥㐳搲㌷㈰昰捤收㝥㥤搴㙦㤰㈹敢攵ㅤ戹㥣㘶敢㘸㤲㡦户㕥㕤ㅢ㘷㈶㕢㕡㤲ぢ昳ㅢ㘷㌶愴㥡㘶戵捤捥㥦㌹て戳㥡昸摡㝡ㄴ㤶㥦㥦慦晢攳㉦㑦㡡㥦〴攷扢搸ㅤぢㄳ㡡㤳㕣㍣つ㑤㘶㜳搴昳㕥㡤〳㑣晥㠶㌵㘶㔷昴㤹摣㥤愶戵㌰ㄹ㈶ㄵ攷挳㔸㙢㡦㥦挴〸㈸戶っ捥㕥㌹㘵㍣ㅤ㔹㐶㔹戸㡣挱ㄹ㘵㔴㘵㤶挱ㄹ㉡㕢〶愷愵㥣㌲ㅥ㡢㉣愳㌲㕣挶㥥ㄹ㘵㜰〶㉢㜰ㅥ㥣㝡戲㘵㜰扥挹㈹攳㤱挸㌲㠶㠷换ㄸ㤹㔱〶愷愶〲㘵㜰㑥挹㤶挱㠹㈴愷㡣〷㈲换ㄸㄳ㉥㘳㕣㐶ㄹ㥣㜳ち㤴挱挹㈲㕢㐶㉡㔸挶摤㤱㘵散ㅢ㉥㘳㔲㐶ㄹ㥣㑣ち㤴搱攸㤷挱愹ㅦ攷㍣㙥㡢㉣㘳晦㜰ㄹ搳㌲捡攰㉣㔱愰っ㑥敦搸昳攰㥣㡥㔳挶搲挸㌲づち㤷㜱㐸㐶ㄹ㥣晥〹㤴挱㜹ㅢ㕢挶〹挱㌲慥㡤㉣㘳㐶戸㡣㤹ㄹ㘵㥣㤴㔹〶㈷㘴㙣ㄹ㥣㠵㜱捥攳㡡挸㌲㙡挲㘵愴㌲捡攰㠴㑤攰㍣㌸搳㘲换攰昴㡡㔳挶㈵㤱㘵搴㠷换㤸㤳㔱〶㘷㘲摣㌲ㄴ愷㔰㤸㜱扣ㄱ㐸㜷㔷㝤㜰㈸扣挰㉢㌰㌰ㄴ㌶㌳昷散㐳㈱㘷㘰㔸㤸㜷愸慢愰㜰㌸搴㉤㐸㤸ㅥ捥㌸㐳㘱㑦㤳搳ㄲ捥㘹㥥敤㤵ㅡㄸ捥摡㔹㙡㜰㌸㥢㑦搳㕡㝦㌸攳っ㐶攰㌴㙦㠱㐱㑡㕥攸㤶捣搹〱㕢㌲愷〴㥣㤲㑦㡤㉣昹㤸㜰挹挷㘵㤴捣搹㠳㐰挹㝣散ㄷ㠲㑦〰搲晢㜲慦㈰戹挷㝢㠵〵挸㍤㠹㌹㘷㈵㌷㡦㌳〶ㄵㄹ㉦ㄳ㠳摢ㄸ捤ㄷ㠹挹㔴捣〰ㄳ戶扢㈱昹㈵搵捥㤴㡣户㐷㔱慤戰㜵㑦晢㡢戳〹挲摡愹愸㡢攷慦扣㌵戰㘶摥㌱㘴㉤ㄹ㔸戴㉤愹㠴㙥ㅣ㘳㝦摢㈹慦ㄱ㌷㔲搵昹搴ㄹ挸㙢㥣搶㤶㥡摢慤搱㔴㤲㜷㔵㔲㠳㕣晣㌸㕢㍣㕥晥ㄳ捦㌱扤㜳㤳愷㘵づ㙦慥攳扢昵㘵㜲㍣㌷摣搸扦戳ㄷ昵敦搶攷㉤㠲ぢ㝥㔶㐹㔹愸攴ㅣ〹㜹戲挷〸昳搷㉢昰慤㔰〵搴㐲㔴㠰㤵㘰㝥㡡㤳㉢㝥敡晣㜴㙡昳〰昰㜸㌸昵〲㈷㜵攲㈹愴戶慤㥡昳㈶㑥慢㥥〷㔸昸㐶敢㉣㌶戴㘰㝦㍡㠷愶戵愸㡡扤㍤攰ㄴ㑢愰㔵㜳㙥㐴㕡昵戹㐰㘶ㅦ㌶收㝡〵〶㕡昶昹捣㍤㙢换㔶㥣㕡㘱㘱摥愱㌸㝢㈲捤昰㐲㈴昴㥡㘱攲ㅤ㔸敤㘹晥〳㐱攷㌴㡦昲㑡つっㅢㄷ戳搴攰㘹㕥㑡搳㕡晦㌴摦㐳㍥敥㘹㈶㌸愷㘰换攰㐴㠲㔳㐶㙤㘴ㄹ㑢挲㘵㕣㤹㔱〶攷ㅣ〲㘵㜰戲挰㤶挱ㄹ〲愷㡣㈳㈲换戸㈶㕣挶㜵ㄹ㘵㜰㌲挱㉤㐳㜱ㄶ㠰ㄹ挷㙦〰搲晢攲㤹攰㈰㜴戰㔷㔸挰㔵㌷㌱攷散慥攲〴〲ぢ昲づ挵㌹〲㜱搵㌲〴㍣㔷㈹㍥㜰㑢昱户㈰㤰扤戵㑣㡤慣挲㜲愴改愰ち㝣㕥て㔴愱〸〶愹挲敤〸㜸㔵㐸昰㜹搶戲捣㠷㔸㠷攵㠹㕥愹㠱搶㜲ㄷ㐰ㄹ慤攵ㅥ㥡搶晡慤㠵捦扢㉥换㜹㝣㘲挹ㅣㄸ戳㍥㑡戱愳晦摣㙦㠱㐰㌹㡡捦㐲捣㐳摦㙦〳㌲㜲昰攱㐴ㅥ㥣晥㠲㐰ㄱ㥦ㅡ㘸捥攷㌳㠶晡㡤ㄷ昷〰捤扢摢㌸晤愰つ㐸㝡摥挶㑢晡㠷㘸攵ㅤ扣㤴昱戰㡢攱㙤戸㘰㔶搰捡㍢㜰挱慣㜴㌱扣㡤ㄶ捣㈳戴㡥昴㌰慢㕣っ㙦㠳〵戳㥡㔶摥〱㑢㍥㙢㕣っ㙦㘳〵戳㤶搶㐹ㅥ收㔱ㄷ挳摢㔰挱㍣㐶㉢敦㐰㈵㥦挷㕤っ㙦㈳〵昳〴慤扣㠳ㄴ捣㤳㉥㠶户㠱㠲㔹㐷㉢敦〰〵昳㤴㡢愹昱㌰㑦搳㥡昲㌰捦戸ㄸ摥㠶㐹㍥捦搲㍡挷挳晣搵挵㌴㝢㤸扦㈱㔰挴摢㈱㤶㘵晣挴晢ㅢ㐹晦ㅣ捤扣戵㤱㝡㍣㙦〳㔴㡡㜸ㅢ攳愷攰㝤㠹愴昸㍢捤扣㈵㤱ㄴ㉦搸〰ㄵ挵摢〹挱扣㠸㐰搱愹㌶捡㤴㜸㤶ㄷ昷ㄲ捤攷搸㌸晤戲つ㐸㝡づ摡㤲晥ㄵ〴㡡㌸ㄲ晢攵㕦散挵扤㑡昳愵㌶㑥扦㘶〳㤲㥥㐳愳愴㝦㥤㔶㡥㡡㌴敢㌷㕣捣㌵ㅥ收㑤㕡慦昳㌰㙦戹ㄸ㡥㐸㤲捦摢〸ㄴ㜱㤸昱敢戱摣㡢㝢㠷㜱散晦㝥ㅣ㍢戴愴晢〷捤昷搸㌸晤慥つ㐸ㅤ敦昳慣敦㈱㈰捦攵愸㘲㠲ㅤ㡣㐳㠷㝥ㅦ〱捣㝥戱㙢㐹摤㍦㐰挰㍢㤴㜴㉡愲晥改㔸ㄳ散㕣㤲昶㐳〴㤰㔶扡ㄵ㔱ㅦ戹愸㠷㍤搴挷〶㈵ㅤ㡢愸㑦㕣搴㑡て昵愹㐱㐹搷㈲敡㌳ㄷ挵㉥㈶㈵晥换愰愴㜳ㄱ昵戹㡢㕡攳愱晥㙤㔰搲扤㠸晡挲㐵戱㥢㐹㕥㕦ㅡ㤴㜴㌰愲扥㜲㔱散㘸㠲晡摡愰愴㡢ㄱ昵㡤㡢㘲㔷ㄳ搴户〶㈵㥤㡣愸敦㕣ㄴ㍢㥢愰晥㘳㔰搲捤㠸晡摥㐵戱扢〹敡〷㠳㤲㡥㐶搴㡦㉥㡡ㅤ㑥㔰晦㌵㈸㜶㌵昱摢晦ㅣ㤴㤲㑥挶戴敢ㅤ㙢㠲㥤㑤搲挶昲挵㙦搲戱㠸㔲搰扤㈳挱づ㈶愸ㅣ㠳㘲搷㤲ㄲ扡㌸㈸㈵㥤㡡㘹㜳ㅤ㙢㠲㥤㑢搲收㤹戴散㔶㤲㌶敥愰㤴㜴㈸愶敤敡㔸ㄳ散㔸㤲㌶摦愴㤵㉥㐵㤴㜶㔱散㕡㠲㉡㌰㈸改㔴㐴㜵㜳㔱散㕣㠲敡㙥㔰散㔶㔲㡦㐲〷愵搸愱挴摡挳戵㑡㔷㘲㡥㐵㡥㌵挱㉥㈵㌹㈶㈴挷〴㍢㤳攸㥢㐰搷㥢㔲昴㘴㑣愱㘲㠷㤲㈹摥㑦扥㌵㌳昰〲摢ㅣ㤱〹昶㉤㙡㠵㠹〴㍢㤴〹㉡昶㈲㐹昰㤱㥢㘰㑢㈶㘰㠷戲㈸昶㈲㐱晤搳㐵昵㈲㡡ㅤ捡愲搸㡢〴昵扥㡢摡㠶㈸㜶㈸㡢㘲㉦ㄲ搴扢㉥㙡㍢愲搸愱㉣㡡扤㐸㔰敦戸愸ㅤ㠸㘲㠷戲㈸昶㈲㐱扤攵愲㝡ㄳ挵づ㘵㔱散㐵㠲㝡挳㐵昵㈱㡡ㅤ捡愲搸㡢〴昵㥡㡢敡㐷ㄴ㍢㤴㐵戱ㄷ〹敡ㄵㄷ戵㌳㔱散㔰ㄶ挵㕥㈴愸㤷㕣搴慥㐴戱㐳㔹ㄴ㝢㤱愰㕥㜰㔱〳㠸㘲㠷㌲愸〴㝢㤱㑤挰慥㈳〹㥥㜷ㄳ晣㠶〹搸㡢㉣㡡㕤㐷㔰㝦㜳㔱扢ㄳ挰㕥㘴戳㘵搷戱〹搸㕦㈴挱戳㙥㠲㐱〴戰敢搸〴散㉦㌶〱㍢㠹㈴㜸摡㑤㔰㐶〰晢㡢㐵戱㤳〸㙡㥤㡢ㅡ㑣〰晢㡢㐵戱㤳〸敡〹ㄷ㔵㐱〰晢㡢㉤㥣㥤挴〶搹㌳㙣㕡㜶〷㐹晢㤸㥢戶ㄲ搶㍣昶㡣づ㝥㉢摣㥦㠴〷づ慢戵昰㝢攰㙤㥣㡥㉦挰ㄳ㜴扢㜹戸㡥㌷昲搷扢㥢㌶戱摦㌵㌶㈰㡤搹㌴㙤㐹㘳㝢愴㑤㤲愶㤷昹ㅤ摥㘴㜵㐳㡡㤰〱㝥愶㥢㘷挶〸㍥ㄷ㕦戵㠵㙡挴㜶捣㜸㌲㜷㙥㜵扤ち㜲㜱㜱扥摡㘰㘰扥㘲〲扤〷捦ㄲ㠷昲㐳愲㉡㡥ㅤ㌲㠸散㠹〰㠷㈳愵搳㈱㔱ㄵ〷ㄶ㐱散㠵〰㙦晥㤵㑥㠷㐴㔵ㅣ㕤攴㍥㘰ㄸ昳攰搰㈱摡摥搴㌸㐴㠸㌶㥣ㅡ㠷〲搱㐶㔰㘳㤷ㄷ㙤㈴㌵㜶㙤搱㐶㔱㘳ㄷㄶ慤㡡ㅡ扢慡㘸愳愹戱㑢㡡㌶㠶ㅡ扢㥥㘸㘳愹戱㡢㠹㌶㡥ㅡ扢㤲㘸攳愹戱㥦㠸㌶㠱ㅡ晢㠳㘸晢㔰㘳㘳ㄷ㙤㕦㙡㙣挹愲㑤愴挶ㄶ㉢摡㈴㙡㙣㤹愲㑤愶挶戶㈶摡ㄴ〴昲㐸昳〶戸㠶挴晥捣〷㤵晤㔸㈸㍤挴愲昴晥搴攸つ搱愶㔲ㄳㅦ㈰㝦㍤つㅡて㌶㉣㈵扥㐰㐰㑦㈷㠶ㄶ㝥挴㈷戴ㅥ攰㕡挵㌷戴ㅥ攸㕡挵㐷戴ㅥ攴㕡挵㔷戴ㅥ散㕡挵㘷戴ㅥ攲㕡挵㜷戴ㅥ敡㕡挵㠷戴ㅥ收㕡挵㤷戴ㅥ敥㕡挵愷戴捥㜰慤攲㕢㕡㡦㜰慤攲㘳㕡㘷扡㔶昱㌵慤㐷扡㔶昱㌹慤㐹搷㉡扥愷戵摡戵㑡ㅢ愰戵挶戵㑡㕢愰戵搶戵戲㑤㤰㘸㥤㜲慤攲㐲㕡敢㘰昵づ㈵慥愴㜵㤶㙢ㄵ㤷搲㍡摢戱㈶攸㕡㍢ㄸ搲㥦っ敡㝡〴戰㠱㠴㥥ㄴ晤㈸愳搳㠷愲捦㌱㍡扤㈷㝡㠳搱改㌷搱ㅢ㡤㑥㡦㠹摥㘴㜴晡㑡昴㘶愳搳㑢愲捦㌵㍡晤㈳晡搱㐶愷㘷㐴㙦㌱㍡㝤㈲㝡慢搱改つ搱摢㡣㑥㍦㠸摥㙥㜴㝡㐰昴㜹㐶㈷昷愲捦㌷㍡㔹ㄷ㝤㠱搱挹户攸ぢ㡤㑥愶㐵㕦㘴㜴㜲㑣ㅤ㌷㍤㈴搶〶挹愶〹㉡昲戶〹㍥晡户ㄴ㐰㉡㈷㐴㔵㤱㐹㐱ㅣ㤳㐶昸㈱㐱㤰㕢㐱ㅣ㥢㐶昸㈱㐱㤰㙤㐱ㅣ㤷㐶昸㈱㐱㤰㝦㐱ㅣ㥦㐶昸㈱㐱搰㈳㠲㌸㈱㡤昰㐳㠲愰㡦〴㜱㘲ㅡ攱㠷〴㐱慦〹攲愴㌴挲て〹攲㘸て㜱㜲ㅡ攱㠷〴㐱捦㑡ㅥ愷愴ㄱ㝥㐸㄰昴戵㈰㑥㑤㈳晣㤰㈰攸㝤㐱㥣㤶㐶昸㈱㐱戰㍤〸攲昴㌴挲て〹㠲㉤㐴㄰㘷愴ㄱ㝥㐸㄰㙣㌳㠲㌸㌳㡤昰㐳㠲㘰㉢ㄲ挴攲㌴挲て〹㠲敤㑡㄰㘷愵ㄱ㝥㐸㄰㙣㘹㠲㌸㍢㡤昰㐳㠲㘰搳摡㠳㤱攷㐰㈸㌶ㅥ搱㝥㐷㡤つ㐵戴㜳愹戱㔱㠸㜶ㅥ㌵㌶〰搱捥愷㐶㘷㡢㜶〱㌵㍡㔶戴摦㔳愳ㄳ㐵扢㤰ㅡㅤ㈶摡ㅦ愸搱㌹愲㕤㐴㡤㡥㄰敤㘲㙡㈴㕤戴㑢愸㤱㘰搱㉥愵㐶㌲㐵扢㡣ㅡ㠹ㄳ敤㡦搴㐸㤲㘸㤷㔳㈳㈱愲㉤愱挶㤳ㄷ敤ち㙡㜲捡㘰㐱㕦〹㡤ㄳ〰㌲㜱㈶愷㑥敢㔵慥㔵㈸愰昵㑦慥㔵愸愰昵㙡搷㉡㤴搰㝡㡤㙢ㄵ㙡㘸扤搶戵ち㐵戴㕥攷㕡㠵㉡㕡慦㜷慤㐲ㄹ慤㌷戸㔶愱㡥搶ㅢ㕤慢㔰㐸敢㑤慥㔵愸愴㜵愹㙢ㄵ㑡㘹扤搹戵㕥〶㐵慥㄰换㕣慢㔰㑣散㉤慥㔵愸愶昵㔶搷㉡㤴搳扡摣戵ち昵戴摥收㔸ㄳ㜴㠱っ㡥㝦㐶㐰摦㑥㜱〷㐴㘱㘱㠲㙥㤰㤸㍢㘹扣㡢攲㙥ㄳ㐳㔷㐸捣㍤㌴摥㑢㜱㥦㠹愱㍢㈴收㝥ㅡ晦㐲昱㠰㠹愱㑢㈴收㐱ㅡㅦ愲㜸搸挴搰㉤ㄲ戳㠲挶㤵ㄴ㡦㤸ㄸ扡㐶㘲㔶搱戸㥡㘲㡤㠹愱㝢㈴㘶㉤㡤㡦㔲㍣㘶㘲攸㈲㠹㜹㥣挶㈷㈸㥥㌴㌱㜴㤳挴慣愳昱㈹㡡愷㑤っ㕤㈵㌱捦搰昸㉣挵㕦㑤っ摤㈵㌱㝦愳昱㌹㡡攷㑤っ㕤㈶㌱㝦愷昱〵㡡ㄷ㑤っ摤㈶㌱㉦搱昸㌲挵㉢㈶㠶慥㤳㤸㔷㘹㝣㡤攲㜵ㄳ㐳昷㐹捣ㅢ㌴扥㐹昱㤶㠹愱ぢ㈵收㙤ㅡ摦愱昸㠷㠹愱ㅢ㈵收㕤ㅡ摦愳㜸㕦㘲昲攸捡㍥搹ㅦㅢ攴㌵㈱㥦ㅤ扡愱㌵挴ㅢ㈷㈶慢㔳つ㠵昶戵愰挴戵昲㔵㘱㌲攲戹㘷㔳㥡〷〴愰〵挶㐴㔹㘴㠲改〷愰㙥㌶㡡㑦㑣㍦昵改㐷㜵挵㍤㉡㍦愸攱昶搹㑦㠵㈵㤸愷㥦つ㐳㤹㐷㥦昸〷㈰愸换挴㘹ㄳ昵㍦ㄱ㈸㘰㈱捡〹㡡慥搸ㄵ㐸㘴晣㐳㠲て〰昸㈳ㅦ散〷つ㤸㕤㐶挰ㅦ㌳挵昴㤱㔳挷㡤㤹慥㍦昱昱㝥搰攰搹愵㠸搷慣㠹晥捣〷晡㐱〳㘴户ㄳ㈰㙢愱㍦昷㠱㝥搰〰搹㌵〵挸ㅡ攸㉦㝣愰ㅦ㌴㐰昶㔹扦攸慦㝣愰ㅦ㌴㐰昶㙢扦攸㙦㝣愰ㅦ㌴㐰昶㝤扦攸敦㝣愰ㅦ㌴㐰づち㝥搱摦晢㐰㍦㘸㠰ㅣ㌸晣愲㝦昴㠱㝥搰〰㌹戸昸㐵晦捦〷晡㐱〳攴愸攳ㄷ捤㥢㍡敢㜶㍦㘸㠰ㅣ㤹晣愲㜳㝣愰ㅦ㌴㐰㡥㕥㝥搱戹㍥搰てㅡ㈰㠷㌵扦攸戸て昴㠳〶挸愱捦㉦㍡摦〷晡㐱〳攴昰攸ㄷ㕤攰〳晤愰〱㜲摣昴㡢敥敥〳晤愰〱㜲㙣昵㡢敥攱〳晤愰〱㜲晣昵㡢㑥昸㐰㍦㘸㠰ㅣ㤸〹㡣㙦〲㡣昴戵㑤㝤戰ㅦ㌴㘰づ攰〲敥㐹㌰晢摡㘶㍥搸てㅡ㌰〷㝡〱㙦づ㡣搷搷戶昰昱㝥搰攰㜹㈱㤰㉡戳㈶㝡㉢ㅦ攸〷つ㤰ㄷぢ〱戲ㄶ㝡㙢ㅦ攸〷つ㤰ㄷㄴ〱戲〶㝡㕢ㅦ攸〷つ㤰㔷ㅡ〱㑡㌷摦摥〷晡㐱〳攴搵㐸㠰搲捤㡢㝤愰ㅦ㌴㐰㕥戱〴㈸摤㝣㐷ㅦ攸〷つ㤰㤷㌲扦攸扥㍥搰てㅡ㈰㉦㜷㝥搱㍢昹㐰㍦㘸㠰㝦昵㠰㔲昴㉥㍥搰てㅡ㈰慦㤵㝥搱晤㝤愰ㅦ㌴㐰㕥㑦晤愲㜷昳㠱㝥搰〰㜹捤ㄵ愰ㄴ㍤搰〷晡㐱〳攴挵搸㉦扡挴〷晡㐱〳攴〵摢㉦扡搴〷晡㐱〳攴㐵摤㉦扡摣〷晡㐱〳攴搵摥㉦㝡㠸て昴㠳〶挸㍢〲扦攸愱㍥搰てㅡ㈰敦ㅡ晣愲昷昰㠱㝥搰〰㜹㍢攱ㄷ扤㤷て昴㠳〶挸㕢づ扦攸扤㝤愰ㅦ㌴㐰摥㤶昸㐵㡦昰㠱㝥搰〰㜹扦攲ㄷ㍤捡〷晡㐱〳攴㍤㡤㕦昴㘸ㅦ攸〷つ㤰昷㍤㝥搱㘳㝤愰ㅦ㌴㐰摥㄰昹㐵㡦昷㠱㝥搰〰㜹搳攴ㄷ扤㡦て昴㠳〶挸ㅢ㉢扦攸㠹㍥搰てㅡ㈰敦戸晣愲㈷晢㐰㍦㘸㠰扣㉢昳㡢摥捦〷晡㐱〳攴㥤㥢㕦昴㔴ㅦ攸〷〵㔸挴㍢ㄶ㍥ㅤ愴㤷㠳ㄴ昱㕥㈴㘸攱摤㐶搰挲摢㡡愰㠵昷て㐱ぢ㙦ㄴ㠲ㄶ摥ㄱ〴㉤扣昴〷㉤扣挶〷㉤扣㤸〷㉤扣㙡〷㉤扣㍣〷㉤㌱㥣㜲搰㤲ㄳ戲攴㠶㉣昱㤰㈵㍦㘴㈹〸㔹扡㠷㉣㍤㐲㤶㐴挸戲㘹挸挲㉢㔳戰捥扣昶〴㉤扣挸〴㉤扣㥡〴㉤扣㙣〴㉤扣㍥〴㉤扣㄰〴㉤ㅣ昱㠳ㄶづ敤㐱ぢ挷昰愰㠵㠳㜵搰挲㔱㌹㘸攱昰ㅢ戴㜰㥣つ㕡㌸愰〶㉤ㅣ㌹㠳ㄶづ㤱㐱ぢ挷挲愰㠵㠳㕥搰挲搱㉤㘸攱㌰ㄶ戴㜰扣ち㕡㌸㌰〵㉤ㅣ㠱㠲ㄶづ㌵㐱ぢ挷㤴愰㠵㠳㐷搰挲㔱㈲㘸攱㜰㄰戴戰摦〷㉤散攰㐱ぢ㝢㜲挰搲敤晦〰愹敦慡㘰</t>
  </si>
  <si>
    <t>Cash flows (M$)</t>
  </si>
  <si>
    <t>Parameters</t>
  </si>
  <si>
    <t>Permit (M$)</t>
  </si>
  <si>
    <t>Perform feasibility</t>
  </si>
  <si>
    <t>Apply for permit</t>
  </si>
  <si>
    <t>Start construction</t>
  </si>
  <si>
    <t>Start producing</t>
  </si>
  <si>
    <t>Abandon project</t>
  </si>
  <si>
    <t>Project phase (1=initial, 2=eval, 3=license, 4=construct, 5=run, 6=abandonned)</t>
  </si>
  <si>
    <t>Taxes</t>
  </si>
  <si>
    <t>Investment eligible for depreciation</t>
  </si>
  <si>
    <t>Profit (with depreciation)</t>
  </si>
  <si>
    <t>Project investments (M$)</t>
  </si>
  <si>
    <t>Operation cash flows (M$)</t>
  </si>
  <si>
    <t>Operation expenses (M$)</t>
  </si>
  <si>
    <t>Revenue (M$)</t>
  </si>
  <si>
    <t>Margin ($/MWhr)</t>
  </si>
  <si>
    <t>Net present value (M$)</t>
  </si>
  <si>
    <t>Construction cost (M$)</t>
  </si>
  <si>
    <t>$/W</t>
  </si>
  <si>
    <t>Abandonment cost (M$)</t>
  </si>
  <si>
    <t>Feasibility study (M$)</t>
  </si>
  <si>
    <t>Production (TWhr)</t>
  </si>
  <si>
    <t>UNUSED</t>
  </si>
  <si>
    <t>Method + #Operators</t>
  </si>
  <si>
    <t>Mutation Rate</t>
  </si>
  <si>
    <t>Crossover Rate</t>
  </si>
  <si>
    <t>Description</t>
  </si>
  <si>
    <t># Time Blocks/All Groups Must Be Present</t>
  </si>
  <si>
    <t>Constraint Range</t>
  </si>
  <si>
    <t>#Ranges</t>
  </si>
  <si>
    <t>Adj. Range</t>
  </si>
  <si>
    <t>Min Val or Range</t>
  </si>
  <si>
    <t>Max Val Or Range</t>
  </si>
  <si>
    <t>Flags</t>
  </si>
  <si>
    <t>HARD CONSTRAINT DEV</t>
  </si>
  <si>
    <t>Type (Hard/Soft)</t>
  </si>
  <si>
    <t>Entry Mode</t>
  </si>
  <si>
    <t>Formula</t>
  </si>
  <si>
    <t>Left Val Or Range</t>
  </si>
  <si>
    <t>Left Operator</t>
  </si>
  <si>
    <t>Constrained Cells</t>
  </si>
  <si>
    <t>Right Operator</t>
  </si>
  <si>
    <t>Right Val Or Range</t>
  </si>
  <si>
    <t>Penalty Function</t>
  </si>
  <si>
    <t>RO Eval Time (Iter/Sim)</t>
  </si>
  <si>
    <t>RO Statistic to Constrain</t>
  </si>
  <si>
    <t>RO Statistic Parameter</t>
  </si>
  <si>
    <t>Formula Conversion Cell (not used in v5)</t>
  </si>
  <si>
    <t>Number Formatting Cell (introduced in v5)</t>
  </si>
  <si>
    <t>Out. Stats</t>
  </si>
  <si>
    <t>Min</t>
  </si>
  <si>
    <t>Max</t>
  </si>
  <si>
    <t>RISKOpt Tag</t>
  </si>
  <si>
    <t># Chromosomes</t>
  </si>
  <si>
    <t># Constraints</t>
  </si>
  <si>
    <t>Compatibility with Old Versions (4 trips pre-v5 versions)</t>
  </si>
  <si>
    <t>Creation Version</t>
  </si>
  <si>
    <t>Required Version</t>
  </si>
  <si>
    <t>Recommended Version</t>
  </si>
  <si>
    <t>Last Modified by Version</t>
  </si>
  <si>
    <t>Constraint Solver, number of Latin Hypercube stratifications, for reproducing results with Actual Convergence</t>
  </si>
  <si>
    <t>Constraint Solver, total of adjustable cell values, to only pass number of stratifications if model hasn't changed</t>
  </si>
  <si>
    <t>Goal (Cell, Statistic, Parameter), E1: RO Formula to Optimize</t>
  </si>
  <si>
    <t>Goal (Type, Target Value)</t>
  </si>
  <si>
    <t>Population Size</t>
  </si>
  <si>
    <t>Seed (Is Auto, Value)</t>
  </si>
  <si>
    <t>Same Seed Each Simulation</t>
  </si>
  <si>
    <t>Sampling Type</t>
  </si>
  <si>
    <t>Stop on Errors (before v5: Pause on Errors)</t>
  </si>
  <si>
    <t>Trial Count Stopping (enabled, trial count)</t>
  </si>
  <si>
    <t>Formula Stopping (enabled, formula)</t>
  </si>
  <si>
    <t>Timespan Stopping (enabled, trial count)</t>
  </si>
  <si>
    <t>Progress Stopping (enabled, trial count, max % change, change is percent)</t>
  </si>
  <si>
    <t>Sim. Stopping Mode, Tolerance</t>
  </si>
  <si>
    <t>#Iterations (Sim Stopping)</t>
  </si>
  <si>
    <t>Keep Trial-by-Trial Log (if cell has anything other than False consider True, since Evolver 4 didn't have this setting)</t>
  </si>
  <si>
    <t>Minimize Excel on Startup</t>
  </si>
  <si>
    <t>Show Excel Recalcs (replaces "Update Display" used before v5)</t>
  </si>
  <si>
    <t>Ev4/RO1: Graph Progress</t>
  </si>
  <si>
    <t>Ev4/RO1: Update Display (replaced by Show Excel Recalcs in v5)</t>
  </si>
  <si>
    <t>MACROS</t>
  </si>
  <si>
    <t>Start (enabled, macro)</t>
  </si>
  <si>
    <t>Before Recalc (enabled, macro)</t>
  </si>
  <si>
    <t>After Recalc (enabled, macro)</t>
  </si>
  <si>
    <t>After Storage (enabled, macro)</t>
  </si>
  <si>
    <t>Finish (enabled, macro)</t>
  </si>
  <si>
    <t>Macro Before Simulation (enabled, macro)</t>
  </si>
  <si>
    <t>Macro After Simulation (enabled, macro)</t>
  </si>
  <si>
    <t>5.7.1</t>
  </si>
  <si>
    <t>1.0.0</t>
  </si>
  <si>
    <t>DEFAULT PARENT SELECTION</t>
  </si>
  <si>
    <t>DEFAULT MUTATION</t>
  </si>
  <si>
    <t>DEFAULT CROSSOVER</t>
  </si>
  <si>
    <t>DEFAULT BACKTRACK</t>
  </si>
  <si>
    <t/>
  </si>
  <si>
    <t>ARITHMETIC CROSSOVER</t>
  </si>
  <si>
    <t>HEURISTIC CROSSOVER</t>
  </si>
  <si>
    <t>CAUCHY MUTATION</t>
  </si>
  <si>
    <t>BOUNDARY MUTATION</t>
  </si>
  <si>
    <t>NON-UNIFORM MUTATION</t>
  </si>
  <si>
    <t>LINEAR</t>
  </si>
  <si>
    <t>LOCAL SEARCH</t>
  </si>
  <si>
    <t>RECIPE_x0001_11</t>
  </si>
  <si>
    <t>False,False,False</t>
  </si>
  <si>
    <t>Cumulative (real) cash flows (M$)</t>
  </si>
  <si>
    <t>Maximum exposure (M$)</t>
  </si>
  <si>
    <t>Payback time</t>
  </si>
  <si>
    <t>Internal rate of return</t>
  </si>
  <si>
    <t>Name</t>
  </si>
  <si>
    <t>SheetRef</t>
  </si>
  <si>
    <t>GenInfo</t>
  </si>
  <si>
    <t>Def. Link</t>
  </si>
  <si>
    <t>EXT REFS</t>
  </si>
  <si>
    <t>Def. Form</t>
  </si>
  <si>
    <t>Calc Macro</t>
  </si>
  <si>
    <t>Highest#</t>
  </si>
  <si>
    <t>Ptree1 Compatibility</t>
  </si>
  <si>
    <t>Eval. Function</t>
  </si>
  <si>
    <t>Last Modified By Version</t>
  </si>
  <si>
    <t>Output Label</t>
  </si>
  <si>
    <t>Output Value NF</t>
  </si>
  <si>
    <t>Output Prob NF</t>
  </si>
  <si>
    <t>Input Value NF</t>
  </si>
  <si>
    <t>Input Prob NF</t>
  </si>
  <si>
    <t>R-Value Ref.</t>
  </si>
  <si>
    <t>Anchor Cell</t>
  </si>
  <si>
    <t>Branch Name</t>
  </si>
  <si>
    <t>bformtype</t>
  </si>
  <si>
    <t>valformula</t>
  </si>
  <si>
    <t>pbformula</t>
  </si>
  <si>
    <t>distribution</t>
  </si>
  <si>
    <t>cumPayoffFunction</t>
  </si>
  <si>
    <t>link</t>
  </si>
  <si>
    <t>ENDNODEFORMULA</t>
  </si>
  <si>
    <t>VAL</t>
  </si>
  <si>
    <t>PB</t>
  </si>
  <si>
    <t>IntRefs</t>
  </si>
  <si>
    <t>RefRefs</t>
  </si>
  <si>
    <t>NodeNames</t>
  </si>
  <si>
    <t>Collapsed</t>
  </si>
  <si>
    <t>5.0.0</t>
  </si>
  <si>
    <t>&lt;NF&gt;</t>
  </si>
  <si>
    <t>Automatic</t>
  </si>
  <si>
    <t>DEFAULT</t>
  </si>
  <si>
    <t>0</t>
  </si>
  <si>
    <t>Nuclear Plant</t>
  </si>
  <si>
    <t>-1,1,1,0,0,Exponential, 0,0,-1,0,-1,-1,.0001</t>
  </si>
  <si>
    <t>Feasibility study</t>
  </si>
  <si>
    <t>2,0,0,2,2,3,0,0,0</t>
  </si>
  <si>
    <t>Yes</t>
  </si>
  <si>
    <t>No</t>
  </si>
  <si>
    <t>Decisions</t>
  </si>
  <si>
    <t>Perform feasibility study</t>
  </si>
  <si>
    <t>1,0,0,2,4,5,1,0,0</t>
  </si>
  <si>
    <t>High</t>
  </si>
  <si>
    <t>Low</t>
  </si>
  <si>
    <t>2,0,0,2,6,7,2,0,0</t>
  </si>
  <si>
    <t>Environmental legislation</t>
  </si>
  <si>
    <t>1,0,0,2,8,9,4,0,0</t>
  </si>
  <si>
    <t>Passes</t>
  </si>
  <si>
    <t>Fails</t>
  </si>
  <si>
    <t>4,0,0,0,8,0,0</t>
  </si>
  <si>
    <t>2,0,0,2,10,11,6,0,0</t>
  </si>
  <si>
    <t>Medium</t>
  </si>
  <si>
    <t>Variable cost increase</t>
  </si>
  <si>
    <t>Electricity prices</t>
  </si>
  <si>
    <t>4,0,0,0,15,0,0</t>
  </si>
  <si>
    <t>4,0,0,0,31,0,0</t>
  </si>
  <si>
    <t>2,0,0,2,39,67,6,0,0</t>
  </si>
  <si>
    <t>4,0,0,0,41,0,0</t>
  </si>
  <si>
    <t>4,0,0,0,54,0,0</t>
  </si>
  <si>
    <t>4,0,0,0,9,0,0</t>
  </si>
  <si>
    <t>Probabilities</t>
  </si>
  <si>
    <t>high</t>
  </si>
  <si>
    <t>low</t>
  </si>
  <si>
    <t>medium</t>
  </si>
  <si>
    <t>passes</t>
  </si>
  <si>
    <t>fails</t>
  </si>
  <si>
    <t>Demand</t>
  </si>
  <si>
    <t>without law</t>
  </si>
  <si>
    <t>with law</t>
  </si>
  <si>
    <t>Construction cost</t>
  </si>
  <si>
    <t>4,0,0,0,7,0,0</t>
  </si>
  <si>
    <t>2,0,0,1,69,4,0,0</t>
  </si>
  <si>
    <t>4,0,0,0,73,0,0</t>
  </si>
  <si>
    <t>4,0,0,0,86,0,0</t>
  </si>
  <si>
    <t>4,0,0,0,70,0,0</t>
  </si>
  <si>
    <t>4,0,0,0,103,0,0</t>
  </si>
  <si>
    <t>4,0,0,0,112,0,0</t>
  </si>
  <si>
    <t>4,0,0,0,116,0,0</t>
  </si>
  <si>
    <t>4,0,0,0,133,0,0</t>
  </si>
  <si>
    <t>2,0,0,1,133,1,0,0</t>
  </si>
  <si>
    <t>2,0,0,1,135,3,0,0</t>
  </si>
  <si>
    <t>B3A3D23</t>
  </si>
  <si>
    <t>4,0,0,0,144,0,0</t>
  </si>
  <si>
    <t>1,0,0,3,12,134,136,8,0,0</t>
  </si>
  <si>
    <t>1,0,0,3,13,22,31,10,0,0</t>
  </si>
  <si>
    <t>1,0,0,2,14,18,12,0,0</t>
  </si>
  <si>
    <t>1,0,0,2,23,27,12,0,0</t>
  </si>
  <si>
    <t>1,0,0,2,32,36,12,0,0</t>
  </si>
  <si>
    <t>4,0,0,0,13,0,0</t>
  </si>
  <si>
    <t>4,0,0,0,22,0,0</t>
  </si>
  <si>
    <t>1,0,0,3,15,19,24,10,0,0</t>
  </si>
  <si>
    <t>1,0,0,2,16,17,134,0,0</t>
  </si>
  <si>
    <t>1,0,0,2,20,21,134,0,0</t>
  </si>
  <si>
    <t>4,0,0,0,19,0,0</t>
  </si>
  <si>
    <t>1,0,0,2,25,26,134,0,0</t>
  </si>
  <si>
    <t>4,0,0,0,24,0,0</t>
  </si>
  <si>
    <t>1,0,0,3,28,33,37,10,0,0</t>
  </si>
  <si>
    <t>1,0,0,2,29,30,136,0,0</t>
  </si>
  <si>
    <t>4,0,0,0,28,0,0</t>
  </si>
  <si>
    <t>1,0,0,2,34,35,136,0,0</t>
  </si>
  <si>
    <t>4,0,0,0,33,0,0</t>
  </si>
  <si>
    <t>1,0,0,2,38,132,136,0,0</t>
  </si>
  <si>
    <t>4,0,0,0,37,0,0</t>
  </si>
  <si>
    <t>1,0,0,3,40,50,60,9,0,0</t>
  </si>
  <si>
    <t>1,0,0,3,41,44,47,39,0,0</t>
  </si>
  <si>
    <t>1,0,0,2,42,43,40,0,0</t>
  </si>
  <si>
    <t>1,0,0,2,45,46,40,0,0</t>
  </si>
  <si>
    <t>4,0,0,0,44,0,0</t>
  </si>
  <si>
    <t>1,0,0,2,48,49,40,0,0</t>
  </si>
  <si>
    <t>4,0,0,0,47,0,0</t>
  </si>
  <si>
    <t>1,0,0,3,51,54,57,39,0,0</t>
  </si>
  <si>
    <t>1,0,0,2,52,53,50,0,0</t>
  </si>
  <si>
    <t>4,0,0,0,51,0,0</t>
  </si>
  <si>
    <t>1,0,0,2,55,56,50,0,0</t>
  </si>
  <si>
    <t>1,0,0,2,58,59,50,0,0</t>
  </si>
  <si>
    <t>4,0,0,0,57,0,0</t>
  </si>
  <si>
    <t>1,0,0,3,61,64,137,39,0,0</t>
  </si>
  <si>
    <t>1,0,0,2,62,63,60,0,0</t>
  </si>
  <si>
    <t>4,0,0,0,61,0,0</t>
  </si>
  <si>
    <t>1,0,0,2,65,66,60,0,0</t>
  </si>
  <si>
    <t>4,0,0,0,64,0,0</t>
  </si>
  <si>
    <t>1,0,0,2,138,139,60,0,0</t>
  </si>
  <si>
    <t>4,0,0,0,137,0,0</t>
  </si>
  <si>
    <t>2,0,0,2,68,144,2,0,0</t>
  </si>
  <si>
    <t>1,0,0,2,70,103,5,0,0</t>
  </si>
  <si>
    <t>2,0,0,2,71,102,68,0,0</t>
  </si>
  <si>
    <t>1,0,0,3,72,82,92,70,0,0</t>
  </si>
  <si>
    <t>1,0,0,3,73,76,79,71,0,0</t>
  </si>
  <si>
    <t>1,0,0,2,74,75,72,0,0</t>
  </si>
  <si>
    <t>1,0,0,2,77,78,72,0,0</t>
  </si>
  <si>
    <t>4,0,0,0,76,0,0</t>
  </si>
  <si>
    <t>1,0,0,2,80,81,72,0,0</t>
  </si>
  <si>
    <t>4,0,0,0,79,0,0</t>
  </si>
  <si>
    <t>1,0,0,3,83,86,89,71,0,0</t>
  </si>
  <si>
    <t>1,0,0,2,84,85,82,0,0</t>
  </si>
  <si>
    <t>4,0,0,0,83,0,0</t>
  </si>
  <si>
    <t>1,0,0,2,87,88,82,0,0</t>
  </si>
  <si>
    <t>1,0,0,2,90,91,82,0,0</t>
  </si>
  <si>
    <t>4,0,0,0,89,0,0</t>
  </si>
  <si>
    <t>1,0,0,3,93,96,99,71,0,0</t>
  </si>
  <si>
    <t>1,0,0,2,94,95,92,0,0</t>
  </si>
  <si>
    <t>4,0,0,0,93,0,0</t>
  </si>
  <si>
    <t>1,0,0,2,97,98,92,0,0</t>
  </si>
  <si>
    <t>4,0,0,0,96,0,0</t>
  </si>
  <si>
    <t>1,0,0,2,100,101,92,0,0</t>
  </si>
  <si>
    <t>4,0,0,0,99,0,0</t>
  </si>
  <si>
    <t>2,0,0,2,104,143,68,0,0</t>
  </si>
  <si>
    <t>1,0,0,3,105,115,125,103,0,0</t>
  </si>
  <si>
    <t>1,0,0,3,106,109,112,104,0,0</t>
  </si>
  <si>
    <t>1,0,0,2,107,108,105,0,0</t>
  </si>
  <si>
    <t>4,0,0,0,106,0,0</t>
  </si>
  <si>
    <t>1,0,0,2,110,111,105,0,0</t>
  </si>
  <si>
    <t>4,0,0,0,109,0,0</t>
  </si>
  <si>
    <t>1,0,0,2,113,114,105,0,0</t>
  </si>
  <si>
    <t>1,0,0,3,116,119,122,104,0,0</t>
  </si>
  <si>
    <t>1,0,0,2,117,118,115,0,0</t>
  </si>
  <si>
    <t>1,0,0,2,120,121,115,0,0</t>
  </si>
  <si>
    <t>4,0,0,0,119,0,0</t>
  </si>
  <si>
    <t>1,0,0,2,123,124,115,0,0</t>
  </si>
  <si>
    <t>4,0,0,0,122,0,0</t>
  </si>
  <si>
    <t>1,0,0,3,126,129,140,104,0,0</t>
  </si>
  <si>
    <t>1,0,0,2,127,128,125,0,0</t>
  </si>
  <si>
    <t>4,0,0,0,126,0,0</t>
  </si>
  <si>
    <t>1,0,0,2,130,131,125,0,0</t>
  </si>
  <si>
    <t>4,0,0,0,129,0,0</t>
  </si>
  <si>
    <t>1,0,0,2,141,142,125,0,0</t>
  </si>
  <si>
    <t>4,0,0,0,140,0,0</t>
  </si>
  <si>
    <t>2,0,0,1,145,5,0,0</t>
  </si>
  <si>
    <t>8.2.1</t>
  </si>
  <si>
    <t>D0EED49</t>
  </si>
  <si>
    <t>Model GUID</t>
  </si>
  <si>
    <t>Nuclear tree solution</t>
  </si>
  <si>
    <t>-1,2,1,0,0,Exponential, 0,0,-1,0,-1,-1,.0001</t>
  </si>
  <si>
    <t>1,0,0,2,3,73,1,0,0</t>
  </si>
  <si>
    <t>1,0,0,2,5,38,3,0,0</t>
  </si>
  <si>
    <t>1,0,0,3,7,17,27,5,0,0</t>
  </si>
  <si>
    <t>1,0,0,3,8,11,14,6,0,0</t>
  </si>
  <si>
    <t>1,0,0,2,9,10,7,0,0</t>
  </si>
  <si>
    <t>1,0,0,2,12,13,7,0,0</t>
  </si>
  <si>
    <t>4,0,0,0,11,0,0</t>
  </si>
  <si>
    <t>1,0,0,2,15,16,7,0,0</t>
  </si>
  <si>
    <t>4,0,0,0,14,0,0</t>
  </si>
  <si>
    <t>1,0,0,3,18,21,24,6,0,0</t>
  </si>
  <si>
    <t>1,0,0,2,19,20,17,0,0</t>
  </si>
  <si>
    <t>4,0,0,0,18,0,0</t>
  </si>
  <si>
    <t>1,0,0,2,22,23,17,0,0</t>
  </si>
  <si>
    <t>4,0,0,0,21,0,0</t>
  </si>
  <si>
    <t>1,0,0,2,25,26,17,0,0</t>
  </si>
  <si>
    <t>1,0,0,3,28,31,34,6,0,0</t>
  </si>
  <si>
    <t>1,0,0,2,29,30,27,0,0</t>
  </si>
  <si>
    <t>1,0,0,2,32,33,27,0,0</t>
  </si>
  <si>
    <t>1,0,0,2,35,36,27,0,0</t>
  </si>
  <si>
    <t>4,0,0,0,34,0,0</t>
  </si>
  <si>
    <t>1,0,0,3,40,50,60,38,0,0</t>
  </si>
  <si>
    <t>1,0,0,3,61,64,67,39,0,0</t>
  </si>
  <si>
    <t>1,0,0,2,68,69,60,0,0</t>
  </si>
  <si>
    <t>4,0,0,0,67,0,0</t>
  </si>
  <si>
    <t>1,0,0,2,75,108,73,0,0</t>
  </si>
  <si>
    <t>1,0,0,3,77,87,97,75,0,0</t>
  </si>
  <si>
    <t>1,0,0,3,78,81,84,76,0,0</t>
  </si>
  <si>
    <t>1,0,0,2,79,80,77,0,0</t>
  </si>
  <si>
    <t>4,0,0,0,78,0,0</t>
  </si>
  <si>
    <t>1,0,0,2,82,83,77,0,0</t>
  </si>
  <si>
    <t>4,0,0,0,81,0,0</t>
  </si>
  <si>
    <t>1,0,0,2,85,86,77,0,0</t>
  </si>
  <si>
    <t>4,0,0,0,84,0,0</t>
  </si>
  <si>
    <t>1,0,0,3,88,91,94,76,0,0</t>
  </si>
  <si>
    <t>1,0,0,2,89,90,87,0,0</t>
  </si>
  <si>
    <t>4,0,0,0,88,0,0</t>
  </si>
  <si>
    <t>1,0,0,2,92,93,87,0,0</t>
  </si>
  <si>
    <t>4,0,0,0,91,0,0</t>
  </si>
  <si>
    <t>1,0,0,2,95,96,87,0,0</t>
  </si>
  <si>
    <t>4,0,0,0,94,0,0</t>
  </si>
  <si>
    <t>1,0,0,3,98,101,104,76,0,0</t>
  </si>
  <si>
    <t>1,0,0,2,99,100,97,0,0</t>
  </si>
  <si>
    <t>4,0,0,0,98,0,0</t>
  </si>
  <si>
    <t>1,0,0,2,102,103,97,0,0</t>
  </si>
  <si>
    <t>4,0,0,0,101,0,0</t>
  </si>
  <si>
    <t>1,0,0,2,105,106,97,0,0</t>
  </si>
  <si>
    <t>4,0,0,0,104,0,0</t>
  </si>
  <si>
    <t>4,0,0,0,108,0,0</t>
  </si>
  <si>
    <t>2,0,0,1,2,0,0,0</t>
  </si>
  <si>
    <t>2,0,0,1,74,2,0,0</t>
  </si>
  <si>
    <t>2,0,0,1,4,2,0,0</t>
  </si>
  <si>
    <t>2,0,0,1,76,74,0,0</t>
  </si>
  <si>
    <t>2,0,0,1,140,74,0,0</t>
  </si>
  <si>
    <t>2,0,0,1,6,4,0,0</t>
  </si>
  <si>
    <t>2,0,0,1,39,4,0,0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</si>
</sst>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0\ &quot;$&quot;_-;[Red]#,##0.00\ &quot;$&quot;\-"/>
    <numFmt numFmtId="166" formatCode="0.0%"/>
    <numFmt numFmtId="167" formatCode="0.00_ ;[Red]\-0.00\ "/>
    <numFmt numFmtId="168" formatCode="[&gt;0.00001]0.0###%;[=0]0.0%;0.00E+00"/>
  </numFmts>
  <fonts count="15" x14ac:knownFonts="1">
    <font>
      <sz val="10"/>
      <name val="Arial"/>
    </font>
    <font>
      <sz val="11"/>
      <color theme="1"/>
      <name val="Calibri"/>
      <family val="2"/>
      <scheme val="minor"/>
    </font>
    <font>
      <sz val="11"/>
      <color theme="1"/>
      <name val="Calibri"/>
      <family val="2"/>
      <scheme val="minor"/>
    </font>
    <font>
      <sz val="8"/>
      <name val="Arial"/>
      <family val="2"/>
    </font>
    <font>
      <sz val="10"/>
      <name val="MS Sans Serif"/>
      <family val="2"/>
    </font>
    <font>
      <b/>
      <sz val="10"/>
      <name val="Arial"/>
      <family val="2"/>
    </font>
    <font>
      <sz val="10"/>
      <name val="Arial"/>
      <family val="2"/>
    </font>
    <font>
      <b/>
      <sz val="8"/>
      <color rgb="FF000080"/>
      <name val="Arial"/>
      <family val="2"/>
    </font>
    <font>
      <b/>
      <sz val="8"/>
      <color rgb="FF008000"/>
      <name val="Arial"/>
      <family val="2"/>
    </font>
    <font>
      <sz val="8"/>
      <color rgb="FF008000"/>
      <name val="Arial"/>
      <family val="2"/>
    </font>
    <font>
      <b/>
      <sz val="8"/>
      <color rgb="FF800000"/>
      <name val="Arial"/>
      <family val="2"/>
    </font>
    <font>
      <sz val="8"/>
      <color rgb="FF800000"/>
      <name val="Arial"/>
      <family val="2"/>
    </font>
    <font>
      <u/>
      <sz val="10"/>
      <name val="Arial"/>
      <family val="2"/>
    </font>
    <font>
      <b/>
      <sz val="8"/>
      <color indexed="81"/>
      <name val="Tahoma"/>
      <family val="2"/>
    </font>
    <font>
      <sz val="10"/>
      <color rgb="FFFF0000"/>
      <name val="Arial"/>
      <family val="2"/>
    </font>
  </fonts>
  <fills count="7">
    <fill>
      <patternFill patternType="none"/>
    </fill>
    <fill>
      <patternFill patternType="gray125"/>
    </fill>
    <fill>
      <patternFill patternType="solid">
        <fgColor rgb="FF00FF0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00FF"/>
        <bgColor indexed="64"/>
      </patternFill>
    </fill>
    <fill>
      <patternFill patternType="solid">
        <fgColor theme="3" tint="0.39997558519241921"/>
        <bgColor indexed="64"/>
      </patternFill>
    </fill>
  </fills>
  <borders count="2">
    <border>
      <left/>
      <right/>
      <top/>
      <bottom/>
      <diagonal/>
    </border>
    <border>
      <left/>
      <right/>
      <top style="thick">
        <color auto="1"/>
      </top>
      <bottom/>
      <diagonal/>
    </border>
  </borders>
  <cellStyleXfs count="6">
    <xf numFmtId="0" fontId="0" fillId="0" borderId="0"/>
    <xf numFmtId="0" fontId="4" fillId="0" borderId="0"/>
    <xf numFmtId="0" fontId="6" fillId="0" borderId="0"/>
    <xf numFmtId="0" fontId="2" fillId="0" borderId="0"/>
    <xf numFmtId="164" fontId="2" fillId="0" borderId="0" applyFont="0" applyFill="0" applyBorder="0" applyAlignment="0" applyProtection="0"/>
    <xf numFmtId="0" fontId="1" fillId="0" borderId="0"/>
  </cellStyleXfs>
  <cellXfs count="42">
    <xf numFmtId="0" fontId="0" fillId="0" borderId="0" xfId="0"/>
    <xf numFmtId="0" fontId="0" fillId="0" borderId="0" xfId="0" applyAlignment="1">
      <alignment horizontal="left"/>
    </xf>
    <xf numFmtId="0" fontId="5" fillId="0" borderId="0" xfId="0" applyFont="1"/>
    <xf numFmtId="0" fontId="0" fillId="0" borderId="0" xfId="0" quotePrefix="1"/>
    <xf numFmtId="0" fontId="6" fillId="0" borderId="0" xfId="2"/>
    <xf numFmtId="166" fontId="6" fillId="0" borderId="0" xfId="2" applyNumberFormat="1"/>
    <xf numFmtId="9" fontId="6" fillId="0" borderId="0" xfId="2" applyNumberFormat="1"/>
    <xf numFmtId="0" fontId="6" fillId="0" borderId="0" xfId="2" applyNumberFormat="1"/>
    <xf numFmtId="2" fontId="6" fillId="0" borderId="0" xfId="2" applyNumberFormat="1"/>
    <xf numFmtId="167" fontId="6" fillId="0" borderId="0" xfId="2" applyNumberFormat="1"/>
    <xf numFmtId="165" fontId="6" fillId="0" borderId="0" xfId="2" applyNumberFormat="1"/>
    <xf numFmtId="0" fontId="6" fillId="0" borderId="0" xfId="2" applyAlignment="1">
      <alignment horizontal="left"/>
    </xf>
    <xf numFmtId="1" fontId="6" fillId="0" borderId="0" xfId="2" applyNumberFormat="1"/>
    <xf numFmtId="0" fontId="6" fillId="0" borderId="0" xfId="0" applyFont="1"/>
    <xf numFmtId="0" fontId="6" fillId="0" borderId="0" xfId="2" applyFont="1"/>
    <xf numFmtId="0" fontId="6" fillId="4" borderId="0" xfId="2" applyFill="1"/>
    <xf numFmtId="9" fontId="6" fillId="4" borderId="0" xfId="2" applyNumberFormat="1" applyFill="1"/>
    <xf numFmtId="167" fontId="6" fillId="3" borderId="0" xfId="2" applyNumberFormat="1" applyFill="1"/>
    <xf numFmtId="0" fontId="6" fillId="4" borderId="0" xfId="2" applyNumberFormat="1" applyFill="1"/>
    <xf numFmtId="0" fontId="0" fillId="0" borderId="1" xfId="0" applyBorder="1" applyAlignment="1">
      <alignment horizontal="left"/>
    </xf>
    <xf numFmtId="0" fontId="0" fillId="5" borderId="0" xfId="0" applyFill="1" applyAlignment="1">
      <alignment horizontal="left"/>
    </xf>
    <xf numFmtId="0" fontId="0" fillId="2" borderId="0" xfId="0" applyFill="1" applyAlignment="1">
      <alignment horizontal="left"/>
    </xf>
    <xf numFmtId="0" fontId="0" fillId="3" borderId="0" xfId="0" applyFill="1" applyAlignment="1">
      <alignment horizontal="left"/>
    </xf>
    <xf numFmtId="0" fontId="0" fillId="5" borderId="0" xfId="0" quotePrefix="1" applyFill="1" applyAlignment="1">
      <alignment horizontal="left"/>
    </xf>
    <xf numFmtId="0" fontId="0" fillId="0" borderId="0" xfId="0" quotePrefix="1" applyAlignment="1">
      <alignment horizontal="left"/>
    </xf>
    <xf numFmtId="0" fontId="0" fillId="5" borderId="0" xfId="0" applyNumberFormat="1" applyFill="1" applyAlignment="1">
      <alignment horizontal="left"/>
    </xf>
    <xf numFmtId="10" fontId="6" fillId="0" borderId="0" xfId="2" applyNumberFormat="1"/>
    <xf numFmtId="0" fontId="0" fillId="0" borderId="0" xfId="0" applyNumberFormat="1" applyAlignment="1">
      <alignment horizontal="left"/>
    </xf>
    <xf numFmtId="0" fontId="7" fillId="0" borderId="0" xfId="0" applyFont="1" applyAlignment="1">
      <alignment horizontal="center"/>
    </xf>
    <xf numFmtId="168" fontId="7" fillId="0" borderId="0" xfId="0" applyNumberFormat="1" applyFont="1" applyAlignment="1">
      <alignment horizontal="center"/>
    </xf>
    <xf numFmtId="0" fontId="3" fillId="0" borderId="0" xfId="0" applyFont="1" applyAlignment="1">
      <alignment horizontal="right"/>
    </xf>
    <xf numFmtId="0" fontId="9" fillId="0" borderId="0" xfId="0" applyNumberFormat="1" applyFont="1" applyAlignment="1">
      <alignment horizontal="center"/>
    </xf>
    <xf numFmtId="0" fontId="8" fillId="0" borderId="0" xfId="0" applyFont="1" applyAlignment="1">
      <alignment horizontal="center"/>
    </xf>
    <xf numFmtId="0" fontId="8" fillId="0" borderId="0" xfId="0" applyFont="1" applyAlignment="1">
      <alignment horizontal="right"/>
    </xf>
    <xf numFmtId="0" fontId="6" fillId="6" borderId="0" xfId="2" applyFill="1"/>
    <xf numFmtId="0" fontId="11" fillId="0" borderId="0" xfId="0" applyNumberFormat="1" applyFont="1" applyAlignment="1">
      <alignment horizontal="center"/>
    </xf>
    <xf numFmtId="0" fontId="10" fillId="0" borderId="0" xfId="0" applyFont="1" applyAlignment="1">
      <alignment horizontal="center"/>
    </xf>
    <xf numFmtId="9" fontId="0" fillId="0" borderId="0" xfId="0" applyNumberFormat="1" applyAlignment="1">
      <alignment horizontal="left"/>
    </xf>
    <xf numFmtId="168" fontId="3" fillId="0" borderId="0" xfId="0" applyNumberFormat="1" applyFont="1" applyAlignment="1">
      <alignment horizontal="right"/>
    </xf>
    <xf numFmtId="0" fontId="12" fillId="0" borderId="0" xfId="0" applyFont="1"/>
    <xf numFmtId="0" fontId="14" fillId="0" borderId="0" xfId="2" applyFont="1"/>
    <xf numFmtId="0" fontId="6" fillId="0" borderId="0" xfId="2" applyFill="1"/>
  </cellXfs>
  <cellStyles count="6">
    <cellStyle name="Comma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Normal 5"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503054989816694E-2"/>
          <c:y val="9.9617230967249504E-2"/>
          <c:w val="0.88798370672097804"/>
          <c:h val="0.58620908992265996"/>
        </c:manualLayout>
      </c:layout>
      <c:lineChart>
        <c:grouping val="standard"/>
        <c:varyColors val="0"/>
        <c:ser>
          <c:idx val="2"/>
          <c:order val="0"/>
          <c:tx>
            <c:v>low</c:v>
          </c:tx>
          <c:spPr>
            <a:ln w="12700">
              <a:solidFill>
                <a:srgbClr val="FF0000"/>
              </a:solidFill>
              <a:prstDash val="solid"/>
            </a:ln>
          </c:spPr>
          <c:marker>
            <c:symbol val="none"/>
          </c:marker>
          <c:cat>
            <c:numRef>
              <c:f>'cash flows'!$H$1:$BL$1</c:f>
              <c:numCache>
                <c:formatCode>General</c:formatCode>
                <c:ptCount val="57"/>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pt idx="53">
                  <c:v>2071</c:v>
                </c:pt>
                <c:pt idx="54">
                  <c:v>2072</c:v>
                </c:pt>
                <c:pt idx="55">
                  <c:v>2073</c:v>
                </c:pt>
                <c:pt idx="56">
                  <c:v>2074</c:v>
                </c:pt>
              </c:numCache>
            </c:numRef>
          </c:cat>
          <c:val>
            <c:numRef>
              <c:f>'cash flows'!$H$3:$BL$3</c:f>
              <c:numCache>
                <c:formatCode>General</c:formatCode>
                <c:ptCount val="57"/>
                <c:pt idx="0">
                  <c:v>34</c:v>
                </c:pt>
                <c:pt idx="1">
                  <c:v>34</c:v>
                </c:pt>
                <c:pt idx="2">
                  <c:v>34</c:v>
                </c:pt>
                <c:pt idx="3">
                  <c:v>34</c:v>
                </c:pt>
                <c:pt idx="4">
                  <c:v>34</c:v>
                </c:pt>
                <c:pt idx="5">
                  <c:v>34</c:v>
                </c:pt>
                <c:pt idx="6">
                  <c:v>34</c:v>
                </c:pt>
                <c:pt idx="7">
                  <c:v>34</c:v>
                </c:pt>
                <c:pt idx="8">
                  <c:v>34</c:v>
                </c:pt>
                <c:pt idx="9">
                  <c:v>34</c:v>
                </c:pt>
                <c:pt idx="10">
                  <c:v>34</c:v>
                </c:pt>
                <c:pt idx="11">
                  <c:v>34</c:v>
                </c:pt>
                <c:pt idx="12">
                  <c:v>34</c:v>
                </c:pt>
                <c:pt idx="13">
                  <c:v>34</c:v>
                </c:pt>
                <c:pt idx="14">
                  <c:v>34</c:v>
                </c:pt>
                <c:pt idx="15">
                  <c:v>34</c:v>
                </c:pt>
                <c:pt idx="16">
                  <c:v>34</c:v>
                </c:pt>
                <c:pt idx="17">
                  <c:v>34</c:v>
                </c:pt>
                <c:pt idx="18">
                  <c:v>34</c:v>
                </c:pt>
                <c:pt idx="19">
                  <c:v>34</c:v>
                </c:pt>
                <c:pt idx="20">
                  <c:v>34</c:v>
                </c:pt>
                <c:pt idx="21">
                  <c:v>34</c:v>
                </c:pt>
                <c:pt idx="22">
                  <c:v>34</c:v>
                </c:pt>
                <c:pt idx="23">
                  <c:v>34</c:v>
                </c:pt>
                <c:pt idx="24">
                  <c:v>34</c:v>
                </c:pt>
                <c:pt idx="25">
                  <c:v>34</c:v>
                </c:pt>
                <c:pt idx="26">
                  <c:v>34</c:v>
                </c:pt>
                <c:pt idx="27">
                  <c:v>34</c:v>
                </c:pt>
                <c:pt idx="28">
                  <c:v>34</c:v>
                </c:pt>
                <c:pt idx="29">
                  <c:v>34</c:v>
                </c:pt>
                <c:pt idx="30">
                  <c:v>34</c:v>
                </c:pt>
                <c:pt idx="31">
                  <c:v>34</c:v>
                </c:pt>
                <c:pt idx="32">
                  <c:v>34</c:v>
                </c:pt>
                <c:pt idx="33">
                  <c:v>34</c:v>
                </c:pt>
                <c:pt idx="34">
                  <c:v>34</c:v>
                </c:pt>
                <c:pt idx="35">
                  <c:v>34</c:v>
                </c:pt>
                <c:pt idx="36">
                  <c:v>34</c:v>
                </c:pt>
                <c:pt idx="37">
                  <c:v>34</c:v>
                </c:pt>
                <c:pt idx="38">
                  <c:v>34</c:v>
                </c:pt>
                <c:pt idx="39">
                  <c:v>34</c:v>
                </c:pt>
                <c:pt idx="40">
                  <c:v>34</c:v>
                </c:pt>
                <c:pt idx="41">
                  <c:v>34</c:v>
                </c:pt>
                <c:pt idx="42">
                  <c:v>34</c:v>
                </c:pt>
                <c:pt idx="43">
                  <c:v>34</c:v>
                </c:pt>
                <c:pt idx="44">
                  <c:v>34</c:v>
                </c:pt>
                <c:pt idx="45">
                  <c:v>34</c:v>
                </c:pt>
                <c:pt idx="46">
                  <c:v>34</c:v>
                </c:pt>
                <c:pt idx="47">
                  <c:v>34</c:v>
                </c:pt>
                <c:pt idx="48">
                  <c:v>34</c:v>
                </c:pt>
                <c:pt idx="49">
                  <c:v>34</c:v>
                </c:pt>
                <c:pt idx="50">
                  <c:v>34</c:v>
                </c:pt>
                <c:pt idx="51">
                  <c:v>34</c:v>
                </c:pt>
                <c:pt idx="52">
                  <c:v>34</c:v>
                </c:pt>
                <c:pt idx="53">
                  <c:v>34</c:v>
                </c:pt>
                <c:pt idx="54">
                  <c:v>34</c:v>
                </c:pt>
                <c:pt idx="55">
                  <c:v>34</c:v>
                </c:pt>
                <c:pt idx="56">
                  <c:v>34</c:v>
                </c:pt>
              </c:numCache>
            </c:numRef>
          </c:val>
          <c:smooth val="0"/>
          <c:extLst>
            <c:ext xmlns:c16="http://schemas.microsoft.com/office/drawing/2014/chart" uri="{C3380CC4-5D6E-409C-BE32-E72D297353CC}">
              <c16:uniqueId val="{00000000-5636-4C41-95F2-A1ABFBBCCEFF}"/>
            </c:ext>
          </c:extLst>
        </c:ser>
        <c:ser>
          <c:idx val="5"/>
          <c:order val="1"/>
          <c:tx>
            <c:v>probable</c:v>
          </c:tx>
          <c:spPr>
            <a:ln w="12700">
              <a:solidFill>
                <a:srgbClr val="800000"/>
              </a:solidFill>
              <a:prstDash val="solid"/>
            </a:ln>
          </c:spPr>
          <c:marker>
            <c:symbol val="none"/>
          </c:marker>
          <c:cat>
            <c:numRef>
              <c:f>'cash flows'!$H$1:$BL$1</c:f>
              <c:numCache>
                <c:formatCode>General</c:formatCode>
                <c:ptCount val="57"/>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pt idx="53">
                  <c:v>2071</c:v>
                </c:pt>
                <c:pt idx="54">
                  <c:v>2072</c:v>
                </c:pt>
                <c:pt idx="55">
                  <c:v>2073</c:v>
                </c:pt>
                <c:pt idx="56">
                  <c:v>2074</c:v>
                </c:pt>
              </c:numCache>
            </c:numRef>
          </c:cat>
          <c:val>
            <c:numRef>
              <c:f>'cash flows'!$H$6:$BL$6</c:f>
              <c:numCache>
                <c:formatCode>General</c:formatCode>
                <c:ptCount val="57"/>
                <c:pt idx="0">
                  <c:v>34</c:v>
                </c:pt>
                <c:pt idx="1">
                  <c:v>34.067999999999998</c:v>
                </c:pt>
                <c:pt idx="2">
                  <c:v>34.136136</c:v>
                </c:pt>
                <c:pt idx="3">
                  <c:v>34.204408272000002</c:v>
                </c:pt>
                <c:pt idx="4">
                  <c:v>34.272817088544002</c:v>
                </c:pt>
                <c:pt idx="5">
                  <c:v>34.341362722721094</c:v>
                </c:pt>
                <c:pt idx="6">
                  <c:v>34.410045448166535</c:v>
                </c:pt>
                <c:pt idx="7">
                  <c:v>34.478865539062866</c:v>
                </c:pt>
                <c:pt idx="8">
                  <c:v>34.547823270140995</c:v>
                </c:pt>
                <c:pt idx="9">
                  <c:v>34.616918916681279</c:v>
                </c:pt>
                <c:pt idx="10">
                  <c:v>34.686152754514644</c:v>
                </c:pt>
                <c:pt idx="11">
                  <c:v>34.755525060023672</c:v>
                </c:pt>
                <c:pt idx="12">
                  <c:v>34.825036110143721</c:v>
                </c:pt>
                <c:pt idx="13">
                  <c:v>34.894686182364005</c:v>
                </c:pt>
                <c:pt idx="14">
                  <c:v>34.964475554728736</c:v>
                </c:pt>
                <c:pt idx="15">
                  <c:v>35.034404505838197</c:v>
                </c:pt>
                <c:pt idx="16">
                  <c:v>35.104473314849876</c:v>
                </c:pt>
                <c:pt idx="17">
                  <c:v>35.174682261479575</c:v>
                </c:pt>
                <c:pt idx="18">
                  <c:v>35.245031626002536</c:v>
                </c:pt>
                <c:pt idx="19">
                  <c:v>35.315521689254538</c:v>
                </c:pt>
                <c:pt idx="20">
                  <c:v>35.38615273263305</c:v>
                </c:pt>
                <c:pt idx="21">
                  <c:v>35.456925038098319</c:v>
                </c:pt>
                <c:pt idx="22">
                  <c:v>35.527838888174514</c:v>
                </c:pt>
                <c:pt idx="23">
                  <c:v>35.598894565950864</c:v>
                </c:pt>
                <c:pt idx="24">
                  <c:v>35.670092355082765</c:v>
                </c:pt>
                <c:pt idx="25">
                  <c:v>36.347824109829332</c:v>
                </c:pt>
                <c:pt idx="26">
                  <c:v>37.038432767916085</c:v>
                </c:pt>
                <c:pt idx="27">
                  <c:v>37.742162990506486</c:v>
                </c:pt>
                <c:pt idx="28">
                  <c:v>38.459264087326105</c:v>
                </c:pt>
                <c:pt idx="29">
                  <c:v>39.189990104985299</c:v>
                </c:pt>
                <c:pt idx="30">
                  <c:v>39.934599916980012</c:v>
                </c:pt>
                <c:pt idx="31">
                  <c:v>40.693357315402629</c:v>
                </c:pt>
                <c:pt idx="32">
                  <c:v>41.466531104395273</c:v>
                </c:pt>
                <c:pt idx="33">
                  <c:v>42.254395195378777</c:v>
                </c:pt>
                <c:pt idx="34">
                  <c:v>43.057228704090967</c:v>
                </c:pt>
                <c:pt idx="35">
                  <c:v>43.315572076315512</c:v>
                </c:pt>
                <c:pt idx="36">
                  <c:v>43.575465508773405</c:v>
                </c:pt>
                <c:pt idx="37">
                  <c:v>43.836918301826046</c:v>
                </c:pt>
                <c:pt idx="38">
                  <c:v>44.099939811637</c:v>
                </c:pt>
                <c:pt idx="39">
                  <c:v>44.364539450506825</c:v>
                </c:pt>
                <c:pt idx="40">
                  <c:v>44.630726687209865</c:v>
                </c:pt>
                <c:pt idx="41">
                  <c:v>44.898511047333123</c:v>
                </c:pt>
                <c:pt idx="42">
                  <c:v>45.167902113617124</c:v>
                </c:pt>
                <c:pt idx="43">
                  <c:v>45.438909526298829</c:v>
                </c:pt>
                <c:pt idx="44">
                  <c:v>45.711542983456624</c:v>
                </c:pt>
                <c:pt idx="45">
                  <c:v>45.985812241357365</c:v>
                </c:pt>
                <c:pt idx="46">
                  <c:v>46.26172711480551</c:v>
                </c:pt>
                <c:pt idx="47">
                  <c:v>46.539297477494344</c:v>
                </c:pt>
                <c:pt idx="48">
                  <c:v>46.81853326235931</c:v>
                </c:pt>
                <c:pt idx="49">
                  <c:v>47.099444461933466</c:v>
                </c:pt>
                <c:pt idx="50">
                  <c:v>47.382041128705069</c:v>
                </c:pt>
                <c:pt idx="51">
                  <c:v>47.666333375477301</c:v>
                </c:pt>
                <c:pt idx="52">
                  <c:v>47.952331375730168</c:v>
                </c:pt>
                <c:pt idx="53">
                  <c:v>48.240045363984549</c:v>
                </c:pt>
                <c:pt idx="54">
                  <c:v>48.529485636168459</c:v>
                </c:pt>
                <c:pt idx="55">
                  <c:v>48.820662549985471</c:v>
                </c:pt>
                <c:pt idx="56">
                  <c:v>49.113586525285385</c:v>
                </c:pt>
              </c:numCache>
            </c:numRef>
          </c:val>
          <c:smooth val="0"/>
          <c:extLst>
            <c:ext xmlns:c16="http://schemas.microsoft.com/office/drawing/2014/chart" uri="{C3380CC4-5D6E-409C-BE32-E72D297353CC}">
              <c16:uniqueId val="{00000001-5636-4C41-95F2-A1ABFBBCCEFF}"/>
            </c:ext>
          </c:extLst>
        </c:ser>
        <c:ser>
          <c:idx val="8"/>
          <c:order val="2"/>
          <c:tx>
            <c:v>high</c:v>
          </c:tx>
          <c:spPr>
            <a:ln w="12700">
              <a:solidFill>
                <a:srgbClr val="00CCFF"/>
              </a:solidFill>
              <a:prstDash val="solid"/>
            </a:ln>
          </c:spPr>
          <c:marker>
            <c:symbol val="none"/>
          </c:marker>
          <c:cat>
            <c:numRef>
              <c:f>'cash flows'!$H$1:$BL$1</c:f>
              <c:numCache>
                <c:formatCode>General</c:formatCode>
                <c:ptCount val="57"/>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pt idx="53">
                  <c:v>2071</c:v>
                </c:pt>
                <c:pt idx="54">
                  <c:v>2072</c:v>
                </c:pt>
                <c:pt idx="55">
                  <c:v>2073</c:v>
                </c:pt>
                <c:pt idx="56">
                  <c:v>2074</c:v>
                </c:pt>
              </c:numCache>
            </c:numRef>
          </c:cat>
          <c:val>
            <c:numRef>
              <c:f>'cash flows'!$H$9:$BL$9</c:f>
              <c:numCache>
                <c:formatCode>General</c:formatCode>
                <c:ptCount val="57"/>
                <c:pt idx="0">
                  <c:v>34</c:v>
                </c:pt>
                <c:pt idx="1">
                  <c:v>34</c:v>
                </c:pt>
                <c:pt idx="2">
                  <c:v>34</c:v>
                </c:pt>
                <c:pt idx="3">
                  <c:v>34</c:v>
                </c:pt>
                <c:pt idx="4">
                  <c:v>34</c:v>
                </c:pt>
                <c:pt idx="5">
                  <c:v>34.51</c:v>
                </c:pt>
                <c:pt idx="6">
                  <c:v>35.027649999999994</c:v>
                </c:pt>
                <c:pt idx="7">
                  <c:v>35.55306474999999</c:v>
                </c:pt>
                <c:pt idx="8">
                  <c:v>36.086360721249989</c:v>
                </c:pt>
                <c:pt idx="9">
                  <c:v>36.627656132068736</c:v>
                </c:pt>
                <c:pt idx="10">
                  <c:v>37.177070974049762</c:v>
                </c:pt>
                <c:pt idx="11">
                  <c:v>37.734727038660502</c:v>
                </c:pt>
                <c:pt idx="12">
                  <c:v>38.300747944240406</c:v>
                </c:pt>
                <c:pt idx="13">
                  <c:v>38.87525916340401</c:v>
                </c:pt>
                <c:pt idx="14">
                  <c:v>39.458388050855064</c:v>
                </c:pt>
                <c:pt idx="15">
                  <c:v>40.050263871617886</c:v>
                </c:pt>
                <c:pt idx="16">
                  <c:v>40.651017829692151</c:v>
                </c:pt>
                <c:pt idx="17">
                  <c:v>41.260783097137526</c:v>
                </c:pt>
                <c:pt idx="18">
                  <c:v>41.879694843594585</c:v>
                </c:pt>
                <c:pt idx="19">
                  <c:v>42.507890266248502</c:v>
                </c:pt>
                <c:pt idx="20">
                  <c:v>43.145508620242225</c:v>
                </c:pt>
                <c:pt idx="21">
                  <c:v>43.792691249545854</c:v>
                </c:pt>
                <c:pt idx="22">
                  <c:v>44.449581618289038</c:v>
                </c:pt>
                <c:pt idx="23">
                  <c:v>45.116325342563371</c:v>
                </c:pt>
                <c:pt idx="24">
                  <c:v>45.793070222701814</c:v>
                </c:pt>
                <c:pt idx="25">
                  <c:v>46.47996627604234</c:v>
                </c:pt>
                <c:pt idx="26">
                  <c:v>47.177165770182974</c:v>
                </c:pt>
                <c:pt idx="27">
                  <c:v>47.884823256735714</c:v>
                </c:pt>
                <c:pt idx="28">
                  <c:v>48.603095605586745</c:v>
                </c:pt>
                <c:pt idx="29">
                  <c:v>49.332142039670543</c:v>
                </c:pt>
                <c:pt idx="30">
                  <c:v>50.072124170265596</c:v>
                </c:pt>
                <c:pt idx="31">
                  <c:v>50.823206032819577</c:v>
                </c:pt>
                <c:pt idx="32">
                  <c:v>51.585554123311866</c:v>
                </c:pt>
                <c:pt idx="33">
                  <c:v>52.359337435161535</c:v>
                </c:pt>
                <c:pt idx="34">
                  <c:v>53.144727496688951</c:v>
                </c:pt>
                <c:pt idx="35">
                  <c:v>53.941898409139277</c:v>
                </c:pt>
                <c:pt idx="36">
                  <c:v>54.75102688527636</c:v>
                </c:pt>
                <c:pt idx="37">
                  <c:v>55.572292288555502</c:v>
                </c:pt>
                <c:pt idx="38">
                  <c:v>56.405876672883828</c:v>
                </c:pt>
                <c:pt idx="39">
                  <c:v>57.251964822977079</c:v>
                </c:pt>
                <c:pt idx="40">
                  <c:v>58.11074429532173</c:v>
                </c:pt>
                <c:pt idx="41">
                  <c:v>58.982405459751547</c:v>
                </c:pt>
                <c:pt idx="42">
                  <c:v>59.867141541647811</c:v>
                </c:pt>
                <c:pt idx="43">
                  <c:v>60.765148664772525</c:v>
                </c:pt>
                <c:pt idx="44">
                  <c:v>61.676625894744106</c:v>
                </c:pt>
                <c:pt idx="45">
                  <c:v>62.60177528316526</c:v>
                </c:pt>
                <c:pt idx="46">
                  <c:v>63.540801912412732</c:v>
                </c:pt>
                <c:pt idx="47">
                  <c:v>64.49391394109891</c:v>
                </c:pt>
                <c:pt idx="48">
                  <c:v>65.461322650215394</c:v>
                </c:pt>
                <c:pt idx="49">
                  <c:v>66.443242489968611</c:v>
                </c:pt>
                <c:pt idx="50">
                  <c:v>67.439891127318134</c:v>
                </c:pt>
                <c:pt idx="51">
                  <c:v>68.4514894942279</c:v>
                </c:pt>
                <c:pt idx="52">
                  <c:v>69.478261836641309</c:v>
                </c:pt>
                <c:pt idx="53">
                  <c:v>70.520435764190921</c:v>
                </c:pt>
                <c:pt idx="54">
                  <c:v>71.578242300653784</c:v>
                </c:pt>
                <c:pt idx="55">
                  <c:v>72.651915935163586</c:v>
                </c:pt>
                <c:pt idx="56">
                  <c:v>73.741694674191038</c:v>
                </c:pt>
              </c:numCache>
            </c:numRef>
          </c:val>
          <c:smooth val="0"/>
          <c:extLst>
            <c:ext xmlns:c16="http://schemas.microsoft.com/office/drawing/2014/chart" uri="{C3380CC4-5D6E-409C-BE32-E72D297353CC}">
              <c16:uniqueId val="{00000002-5636-4C41-95F2-A1ABFBBCCEFF}"/>
            </c:ext>
          </c:extLst>
        </c:ser>
        <c:dLbls>
          <c:showLegendKey val="0"/>
          <c:showVal val="0"/>
          <c:showCatName val="0"/>
          <c:showSerName val="0"/>
          <c:showPercent val="0"/>
          <c:showBubbleSize val="0"/>
        </c:dLbls>
        <c:smooth val="0"/>
        <c:axId val="416751720"/>
        <c:axId val="416754072"/>
      </c:lineChart>
      <c:catAx>
        <c:axId val="416751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fr-FR"/>
          </a:p>
        </c:txPr>
        <c:crossAx val="416754072"/>
        <c:crosses val="autoZero"/>
        <c:auto val="1"/>
        <c:lblAlgn val="ctr"/>
        <c:lblOffset val="100"/>
        <c:tickLblSkip val="3"/>
        <c:tickMarkSkip val="1"/>
        <c:noMultiLvlLbl val="0"/>
      </c:catAx>
      <c:valAx>
        <c:axId val="416754072"/>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416751720"/>
        <c:crosses val="autoZero"/>
        <c:crossBetween val="between"/>
      </c:valAx>
      <c:spPr>
        <a:noFill/>
        <a:ln w="12700">
          <a:solidFill>
            <a:srgbClr val="808080"/>
          </a:solidFill>
          <a:prstDash val="solid"/>
        </a:ln>
      </c:spPr>
    </c:plotArea>
    <c:legend>
      <c:legendPos val="b"/>
      <c:layout>
        <c:manualLayout>
          <c:xMode val="edge"/>
          <c:yMode val="edge"/>
          <c:x val="0.32790224032586601"/>
          <c:y val="0.88122935086413001"/>
          <c:w val="0.39918533604888001"/>
          <c:h val="9.1954367046691896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11205</xdr:colOff>
      <xdr:row>0</xdr:row>
      <xdr:rowOff>0</xdr:rowOff>
    </xdr:from>
    <xdr:to>
      <xdr:col>31</xdr:col>
      <xdr:colOff>115980</xdr:colOff>
      <xdr:row>15</xdr:row>
      <xdr:rowOff>132790</xdr:rowOff>
    </xdr:to>
    <xdr:graphicFrame macro="">
      <xdr:nvGraphicFramePr>
        <xdr:cNvPr id="2" name="Chart 25">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228410</xdr:colOff>
      <xdr:row>289</xdr:row>
      <xdr:rowOff>156846</xdr:rowOff>
    </xdr:from>
    <xdr:to>
      <xdr:col>5</xdr:col>
      <xdr:colOff>127</xdr:colOff>
      <xdr:row>289</xdr:row>
      <xdr:rowOff>156846</xdr:rowOff>
    </xdr:to>
    <xdr:cxnSp macro="_xll.PtreeEvent_ObjectClick">
      <xdr:nvCxnSpPr>
        <xdr:cNvPr id="1287" name="PTObj_DBranchHLine_1_145">
          <a:extLst>
            <a:ext uri="{FF2B5EF4-FFF2-40B4-BE49-F238E27FC236}">
              <a16:creationId xmlns:a16="http://schemas.microsoft.com/office/drawing/2014/main" id="{00000000-0008-0000-0400-000007050000}"/>
            </a:ext>
          </a:extLst>
        </xdr:cNvPr>
        <xdr:cNvCxnSpPr/>
      </xdr:nvCxnSpPr>
      <xdr:spPr>
        <a:xfrm>
          <a:off x="5981510" y="469531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287</xdr:row>
      <xdr:rowOff>151767</xdr:rowOff>
    </xdr:from>
    <xdr:to>
      <xdr:col>4</xdr:col>
      <xdr:colOff>228410</xdr:colOff>
      <xdr:row>289</xdr:row>
      <xdr:rowOff>156846</xdr:rowOff>
    </xdr:to>
    <xdr:cxnSp macro="_xll.PtreeEvent_ObjectClick">
      <xdr:nvCxnSpPr>
        <xdr:cNvPr id="1286" name="PTObj_DBranchDLine_1_145">
          <a:extLst>
            <a:ext uri="{FF2B5EF4-FFF2-40B4-BE49-F238E27FC236}">
              <a16:creationId xmlns:a16="http://schemas.microsoft.com/office/drawing/2014/main" id="{00000000-0008-0000-0400-000006050000}"/>
            </a:ext>
          </a:extLst>
        </xdr:cNvPr>
        <xdr:cNvCxnSpPr/>
      </xdr:nvCxnSpPr>
      <xdr:spPr>
        <a:xfrm>
          <a:off x="5829110" y="466242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228410</xdr:colOff>
      <xdr:row>287</xdr:row>
      <xdr:rowOff>156846</xdr:rowOff>
    </xdr:from>
    <xdr:to>
      <xdr:col>4</xdr:col>
      <xdr:colOff>127</xdr:colOff>
      <xdr:row>287</xdr:row>
      <xdr:rowOff>156846</xdr:rowOff>
    </xdr:to>
    <xdr:cxnSp macro="_xll.PtreeEvent_ObjectClick">
      <xdr:nvCxnSpPr>
        <xdr:cNvPr id="1283" name="PTObj_DBranchHLine_1_144">
          <a:extLst>
            <a:ext uri="{FF2B5EF4-FFF2-40B4-BE49-F238E27FC236}">
              <a16:creationId xmlns:a16="http://schemas.microsoft.com/office/drawing/2014/main" id="{00000000-0008-0000-0400-000003050000}"/>
            </a:ext>
          </a:extLst>
        </xdr:cNvPr>
        <xdr:cNvCxnSpPr/>
      </xdr:nvCxnSpPr>
      <xdr:spPr>
        <a:xfrm>
          <a:off x="4486085" y="4662932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76010</xdr:colOff>
      <xdr:row>285</xdr:row>
      <xdr:rowOff>151767</xdr:rowOff>
    </xdr:from>
    <xdr:to>
      <xdr:col>3</xdr:col>
      <xdr:colOff>228410</xdr:colOff>
      <xdr:row>287</xdr:row>
      <xdr:rowOff>156846</xdr:rowOff>
    </xdr:to>
    <xdr:cxnSp macro="_xll.PtreeEvent_ObjectClick">
      <xdr:nvCxnSpPr>
        <xdr:cNvPr id="1282" name="PTObj_DBranchDLine_1_144">
          <a:extLst>
            <a:ext uri="{FF2B5EF4-FFF2-40B4-BE49-F238E27FC236}">
              <a16:creationId xmlns:a16="http://schemas.microsoft.com/office/drawing/2014/main" id="{00000000-0008-0000-0400-000002050000}"/>
            </a:ext>
          </a:extLst>
        </xdr:cNvPr>
        <xdr:cNvCxnSpPr/>
      </xdr:nvCxnSpPr>
      <xdr:spPr>
        <a:xfrm>
          <a:off x="4333685" y="463003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283</xdr:row>
      <xdr:rowOff>156846</xdr:rowOff>
    </xdr:from>
    <xdr:to>
      <xdr:col>6</xdr:col>
      <xdr:colOff>127</xdr:colOff>
      <xdr:row>283</xdr:row>
      <xdr:rowOff>156846</xdr:rowOff>
    </xdr:to>
    <xdr:cxnSp macro="_xll.PtreeEvent_ObjectClick">
      <xdr:nvCxnSpPr>
        <xdr:cNvPr id="1279" name="PTObj_DBranchHLine_1_143">
          <a:extLst>
            <a:ext uri="{FF2B5EF4-FFF2-40B4-BE49-F238E27FC236}">
              <a16:creationId xmlns:a16="http://schemas.microsoft.com/office/drawing/2014/main" id="{00000000-0008-0000-0400-0000FF040000}"/>
            </a:ext>
          </a:extLst>
        </xdr:cNvPr>
        <xdr:cNvCxnSpPr/>
      </xdr:nvCxnSpPr>
      <xdr:spPr>
        <a:xfrm>
          <a:off x="7476934" y="459816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281</xdr:row>
      <xdr:rowOff>151767</xdr:rowOff>
    </xdr:from>
    <xdr:to>
      <xdr:col>5</xdr:col>
      <xdr:colOff>228409</xdr:colOff>
      <xdr:row>283</xdr:row>
      <xdr:rowOff>156846</xdr:rowOff>
    </xdr:to>
    <xdr:cxnSp macro="_xll.PtreeEvent_ObjectClick">
      <xdr:nvCxnSpPr>
        <xdr:cNvPr id="1278" name="PTObj_DBranchDLine_1_143">
          <a:extLst>
            <a:ext uri="{FF2B5EF4-FFF2-40B4-BE49-F238E27FC236}">
              <a16:creationId xmlns:a16="http://schemas.microsoft.com/office/drawing/2014/main" id="{00000000-0008-0000-0400-0000FE040000}"/>
            </a:ext>
          </a:extLst>
        </xdr:cNvPr>
        <xdr:cNvCxnSpPr/>
      </xdr:nvCxnSpPr>
      <xdr:spPr>
        <a:xfrm>
          <a:off x="7324534" y="456526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279</xdr:row>
      <xdr:rowOff>156846</xdr:rowOff>
    </xdr:from>
    <xdr:to>
      <xdr:col>9</xdr:col>
      <xdr:colOff>127</xdr:colOff>
      <xdr:row>279</xdr:row>
      <xdr:rowOff>156846</xdr:rowOff>
    </xdr:to>
    <xdr:cxnSp macro="_xll.PtreeEvent_ObjectClick">
      <xdr:nvCxnSpPr>
        <xdr:cNvPr id="1275" name="PTObj_DBranchHLine_1_142">
          <a:extLst>
            <a:ext uri="{FF2B5EF4-FFF2-40B4-BE49-F238E27FC236}">
              <a16:creationId xmlns:a16="http://schemas.microsoft.com/office/drawing/2014/main" id="{00000000-0008-0000-0400-0000FB040000}"/>
            </a:ext>
          </a:extLst>
        </xdr:cNvPr>
        <xdr:cNvCxnSpPr/>
      </xdr:nvCxnSpPr>
      <xdr:spPr>
        <a:xfrm>
          <a:off x="11963209" y="453339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277</xdr:row>
      <xdr:rowOff>151767</xdr:rowOff>
    </xdr:from>
    <xdr:to>
      <xdr:col>8</xdr:col>
      <xdr:colOff>228409</xdr:colOff>
      <xdr:row>279</xdr:row>
      <xdr:rowOff>156846</xdr:rowOff>
    </xdr:to>
    <xdr:cxnSp macro="_xll.PtreeEvent_ObjectClick">
      <xdr:nvCxnSpPr>
        <xdr:cNvPr id="1274" name="PTObj_DBranchDLine_1_142">
          <a:extLst>
            <a:ext uri="{FF2B5EF4-FFF2-40B4-BE49-F238E27FC236}">
              <a16:creationId xmlns:a16="http://schemas.microsoft.com/office/drawing/2014/main" id="{00000000-0008-0000-0400-0000FA040000}"/>
            </a:ext>
          </a:extLst>
        </xdr:cNvPr>
        <xdr:cNvCxnSpPr/>
      </xdr:nvCxnSpPr>
      <xdr:spPr>
        <a:xfrm>
          <a:off x="11810809" y="450049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275</xdr:row>
      <xdr:rowOff>156846</xdr:rowOff>
    </xdr:from>
    <xdr:to>
      <xdr:col>9</xdr:col>
      <xdr:colOff>127</xdr:colOff>
      <xdr:row>275</xdr:row>
      <xdr:rowOff>156846</xdr:rowOff>
    </xdr:to>
    <xdr:cxnSp macro="_xll.PtreeEvent_ObjectClick">
      <xdr:nvCxnSpPr>
        <xdr:cNvPr id="1271" name="PTObj_DBranchHLine_1_141">
          <a:extLst>
            <a:ext uri="{FF2B5EF4-FFF2-40B4-BE49-F238E27FC236}">
              <a16:creationId xmlns:a16="http://schemas.microsoft.com/office/drawing/2014/main" id="{00000000-0008-0000-0400-0000F7040000}"/>
            </a:ext>
          </a:extLst>
        </xdr:cNvPr>
        <xdr:cNvCxnSpPr/>
      </xdr:nvCxnSpPr>
      <xdr:spPr>
        <a:xfrm>
          <a:off x="11963209" y="446862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275</xdr:row>
      <xdr:rowOff>156846</xdr:rowOff>
    </xdr:from>
    <xdr:to>
      <xdr:col>8</xdr:col>
      <xdr:colOff>228409</xdr:colOff>
      <xdr:row>277</xdr:row>
      <xdr:rowOff>151767</xdr:rowOff>
    </xdr:to>
    <xdr:cxnSp macro="_xll.PtreeEvent_ObjectClick">
      <xdr:nvCxnSpPr>
        <xdr:cNvPr id="1270" name="PTObj_DBranchDLine_1_141">
          <a:extLst>
            <a:ext uri="{FF2B5EF4-FFF2-40B4-BE49-F238E27FC236}">
              <a16:creationId xmlns:a16="http://schemas.microsoft.com/office/drawing/2014/main" id="{00000000-0008-0000-0400-0000F6040000}"/>
            </a:ext>
          </a:extLst>
        </xdr:cNvPr>
        <xdr:cNvCxnSpPr/>
      </xdr:nvCxnSpPr>
      <xdr:spPr>
        <a:xfrm flipV="1">
          <a:off x="11810809" y="4468622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277</xdr:row>
      <xdr:rowOff>156846</xdr:rowOff>
    </xdr:from>
    <xdr:to>
      <xdr:col>8</xdr:col>
      <xdr:colOff>127</xdr:colOff>
      <xdr:row>277</xdr:row>
      <xdr:rowOff>156846</xdr:rowOff>
    </xdr:to>
    <xdr:cxnSp macro="_xll.PtreeEvent_ObjectClick">
      <xdr:nvCxnSpPr>
        <xdr:cNvPr id="1267" name="PTObj_DBranchHLine_1_140">
          <a:extLst>
            <a:ext uri="{FF2B5EF4-FFF2-40B4-BE49-F238E27FC236}">
              <a16:creationId xmlns:a16="http://schemas.microsoft.com/office/drawing/2014/main" id="{00000000-0008-0000-0400-0000F3040000}"/>
            </a:ext>
          </a:extLst>
        </xdr:cNvPr>
        <xdr:cNvCxnSpPr/>
      </xdr:nvCxnSpPr>
      <xdr:spPr>
        <a:xfrm>
          <a:off x="10467784" y="450100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267</xdr:row>
      <xdr:rowOff>151767</xdr:rowOff>
    </xdr:from>
    <xdr:to>
      <xdr:col>7</xdr:col>
      <xdr:colOff>228409</xdr:colOff>
      <xdr:row>277</xdr:row>
      <xdr:rowOff>156846</xdr:rowOff>
    </xdr:to>
    <xdr:cxnSp macro="_xll.PtreeEvent_ObjectClick">
      <xdr:nvCxnSpPr>
        <xdr:cNvPr id="1266" name="PTObj_DBranchDLine_1_140">
          <a:extLst>
            <a:ext uri="{FF2B5EF4-FFF2-40B4-BE49-F238E27FC236}">
              <a16:creationId xmlns:a16="http://schemas.microsoft.com/office/drawing/2014/main" id="{00000000-0008-0000-0400-0000F2040000}"/>
            </a:ext>
          </a:extLst>
        </xdr:cNvPr>
        <xdr:cNvCxnSpPr/>
      </xdr:nvCxnSpPr>
      <xdr:spPr>
        <a:xfrm>
          <a:off x="10315384" y="43385742"/>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273</xdr:row>
      <xdr:rowOff>156846</xdr:rowOff>
    </xdr:from>
    <xdr:to>
      <xdr:col>9</xdr:col>
      <xdr:colOff>127</xdr:colOff>
      <xdr:row>273</xdr:row>
      <xdr:rowOff>156846</xdr:rowOff>
    </xdr:to>
    <xdr:cxnSp macro="_xll.PtreeEvent_ObjectClick">
      <xdr:nvCxnSpPr>
        <xdr:cNvPr id="1263" name="PTObj_DBranchHLine_1_131">
          <a:extLst>
            <a:ext uri="{FF2B5EF4-FFF2-40B4-BE49-F238E27FC236}">
              <a16:creationId xmlns:a16="http://schemas.microsoft.com/office/drawing/2014/main" id="{00000000-0008-0000-0400-0000EF040000}"/>
            </a:ext>
          </a:extLst>
        </xdr:cNvPr>
        <xdr:cNvCxnSpPr/>
      </xdr:nvCxnSpPr>
      <xdr:spPr>
        <a:xfrm>
          <a:off x="11963209" y="443623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271</xdr:row>
      <xdr:rowOff>151767</xdr:rowOff>
    </xdr:from>
    <xdr:to>
      <xdr:col>8</xdr:col>
      <xdr:colOff>228409</xdr:colOff>
      <xdr:row>273</xdr:row>
      <xdr:rowOff>156846</xdr:rowOff>
    </xdr:to>
    <xdr:cxnSp macro="_xll.PtreeEvent_ObjectClick">
      <xdr:nvCxnSpPr>
        <xdr:cNvPr id="1262" name="PTObj_DBranchDLine_1_131">
          <a:extLst>
            <a:ext uri="{FF2B5EF4-FFF2-40B4-BE49-F238E27FC236}">
              <a16:creationId xmlns:a16="http://schemas.microsoft.com/office/drawing/2014/main" id="{00000000-0008-0000-0400-0000EE040000}"/>
            </a:ext>
          </a:extLst>
        </xdr:cNvPr>
        <xdr:cNvCxnSpPr/>
      </xdr:nvCxnSpPr>
      <xdr:spPr>
        <a:xfrm>
          <a:off x="11810809" y="440334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269</xdr:row>
      <xdr:rowOff>156846</xdr:rowOff>
    </xdr:from>
    <xdr:to>
      <xdr:col>9</xdr:col>
      <xdr:colOff>127</xdr:colOff>
      <xdr:row>269</xdr:row>
      <xdr:rowOff>156846</xdr:rowOff>
    </xdr:to>
    <xdr:cxnSp macro="_xll.PtreeEvent_ObjectClick">
      <xdr:nvCxnSpPr>
        <xdr:cNvPr id="1259" name="PTObj_DBranchHLine_1_130">
          <a:extLst>
            <a:ext uri="{FF2B5EF4-FFF2-40B4-BE49-F238E27FC236}">
              <a16:creationId xmlns:a16="http://schemas.microsoft.com/office/drawing/2014/main" id="{00000000-0008-0000-0400-0000EB040000}"/>
            </a:ext>
          </a:extLst>
        </xdr:cNvPr>
        <xdr:cNvCxnSpPr/>
      </xdr:nvCxnSpPr>
      <xdr:spPr>
        <a:xfrm>
          <a:off x="11963209" y="437146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269</xdr:row>
      <xdr:rowOff>156846</xdr:rowOff>
    </xdr:from>
    <xdr:to>
      <xdr:col>8</xdr:col>
      <xdr:colOff>228409</xdr:colOff>
      <xdr:row>271</xdr:row>
      <xdr:rowOff>151767</xdr:rowOff>
    </xdr:to>
    <xdr:cxnSp macro="_xll.PtreeEvent_ObjectClick">
      <xdr:nvCxnSpPr>
        <xdr:cNvPr id="1258" name="PTObj_DBranchDLine_1_130">
          <a:extLst>
            <a:ext uri="{FF2B5EF4-FFF2-40B4-BE49-F238E27FC236}">
              <a16:creationId xmlns:a16="http://schemas.microsoft.com/office/drawing/2014/main" id="{00000000-0008-0000-0400-0000EA040000}"/>
            </a:ext>
          </a:extLst>
        </xdr:cNvPr>
        <xdr:cNvCxnSpPr/>
      </xdr:nvCxnSpPr>
      <xdr:spPr>
        <a:xfrm flipV="1">
          <a:off x="11810809" y="437146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271</xdr:row>
      <xdr:rowOff>156846</xdr:rowOff>
    </xdr:from>
    <xdr:to>
      <xdr:col>8</xdr:col>
      <xdr:colOff>127</xdr:colOff>
      <xdr:row>271</xdr:row>
      <xdr:rowOff>156846</xdr:rowOff>
    </xdr:to>
    <xdr:cxnSp macro="_xll.PtreeEvent_ObjectClick">
      <xdr:nvCxnSpPr>
        <xdr:cNvPr id="1255" name="PTObj_DBranchHLine_1_129">
          <a:extLst>
            <a:ext uri="{FF2B5EF4-FFF2-40B4-BE49-F238E27FC236}">
              <a16:creationId xmlns:a16="http://schemas.microsoft.com/office/drawing/2014/main" id="{00000000-0008-0000-0400-0000E7040000}"/>
            </a:ext>
          </a:extLst>
        </xdr:cNvPr>
        <xdr:cNvCxnSpPr/>
      </xdr:nvCxnSpPr>
      <xdr:spPr>
        <a:xfrm>
          <a:off x="10467784" y="440385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267</xdr:row>
      <xdr:rowOff>151767</xdr:rowOff>
    </xdr:from>
    <xdr:to>
      <xdr:col>7</xdr:col>
      <xdr:colOff>228409</xdr:colOff>
      <xdr:row>271</xdr:row>
      <xdr:rowOff>156846</xdr:rowOff>
    </xdr:to>
    <xdr:cxnSp macro="_xll.PtreeEvent_ObjectClick">
      <xdr:nvCxnSpPr>
        <xdr:cNvPr id="1254" name="PTObj_DBranchDLine_1_129">
          <a:extLst>
            <a:ext uri="{FF2B5EF4-FFF2-40B4-BE49-F238E27FC236}">
              <a16:creationId xmlns:a16="http://schemas.microsoft.com/office/drawing/2014/main" id="{00000000-0008-0000-0400-0000E6040000}"/>
            </a:ext>
          </a:extLst>
        </xdr:cNvPr>
        <xdr:cNvCxnSpPr/>
      </xdr:nvCxnSpPr>
      <xdr:spPr>
        <a:xfrm>
          <a:off x="10315384" y="43385742"/>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265</xdr:row>
      <xdr:rowOff>156846</xdr:rowOff>
    </xdr:from>
    <xdr:to>
      <xdr:col>9</xdr:col>
      <xdr:colOff>127</xdr:colOff>
      <xdr:row>265</xdr:row>
      <xdr:rowOff>156846</xdr:rowOff>
    </xdr:to>
    <xdr:cxnSp macro="_xll.PtreeEvent_ObjectClick">
      <xdr:nvCxnSpPr>
        <xdr:cNvPr id="1251" name="PTObj_DBranchHLine_1_128">
          <a:extLst>
            <a:ext uri="{FF2B5EF4-FFF2-40B4-BE49-F238E27FC236}">
              <a16:creationId xmlns:a16="http://schemas.microsoft.com/office/drawing/2014/main" id="{00000000-0008-0000-0400-0000E3040000}"/>
            </a:ext>
          </a:extLst>
        </xdr:cNvPr>
        <xdr:cNvCxnSpPr/>
      </xdr:nvCxnSpPr>
      <xdr:spPr>
        <a:xfrm>
          <a:off x="11963209" y="430669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263</xdr:row>
      <xdr:rowOff>151767</xdr:rowOff>
    </xdr:from>
    <xdr:to>
      <xdr:col>8</xdr:col>
      <xdr:colOff>228409</xdr:colOff>
      <xdr:row>265</xdr:row>
      <xdr:rowOff>156846</xdr:rowOff>
    </xdr:to>
    <xdr:cxnSp macro="_xll.PtreeEvent_ObjectClick">
      <xdr:nvCxnSpPr>
        <xdr:cNvPr id="1250" name="PTObj_DBranchDLine_1_128">
          <a:extLst>
            <a:ext uri="{FF2B5EF4-FFF2-40B4-BE49-F238E27FC236}">
              <a16:creationId xmlns:a16="http://schemas.microsoft.com/office/drawing/2014/main" id="{00000000-0008-0000-0400-0000E2040000}"/>
            </a:ext>
          </a:extLst>
        </xdr:cNvPr>
        <xdr:cNvCxnSpPr/>
      </xdr:nvCxnSpPr>
      <xdr:spPr>
        <a:xfrm>
          <a:off x="11810809" y="427380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261</xdr:row>
      <xdr:rowOff>156846</xdr:rowOff>
    </xdr:from>
    <xdr:to>
      <xdr:col>9</xdr:col>
      <xdr:colOff>127</xdr:colOff>
      <xdr:row>261</xdr:row>
      <xdr:rowOff>156846</xdr:rowOff>
    </xdr:to>
    <xdr:cxnSp macro="_xll.PtreeEvent_ObjectClick">
      <xdr:nvCxnSpPr>
        <xdr:cNvPr id="1247" name="PTObj_DBranchHLine_1_127">
          <a:extLst>
            <a:ext uri="{FF2B5EF4-FFF2-40B4-BE49-F238E27FC236}">
              <a16:creationId xmlns:a16="http://schemas.microsoft.com/office/drawing/2014/main" id="{00000000-0008-0000-0400-0000DF040000}"/>
            </a:ext>
          </a:extLst>
        </xdr:cNvPr>
        <xdr:cNvCxnSpPr/>
      </xdr:nvCxnSpPr>
      <xdr:spPr>
        <a:xfrm>
          <a:off x="11963209" y="424192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261</xdr:row>
      <xdr:rowOff>156846</xdr:rowOff>
    </xdr:from>
    <xdr:to>
      <xdr:col>8</xdr:col>
      <xdr:colOff>228409</xdr:colOff>
      <xdr:row>263</xdr:row>
      <xdr:rowOff>151767</xdr:rowOff>
    </xdr:to>
    <xdr:cxnSp macro="_xll.PtreeEvent_ObjectClick">
      <xdr:nvCxnSpPr>
        <xdr:cNvPr id="1246" name="PTObj_DBranchDLine_1_127">
          <a:extLst>
            <a:ext uri="{FF2B5EF4-FFF2-40B4-BE49-F238E27FC236}">
              <a16:creationId xmlns:a16="http://schemas.microsoft.com/office/drawing/2014/main" id="{00000000-0008-0000-0400-0000DE040000}"/>
            </a:ext>
          </a:extLst>
        </xdr:cNvPr>
        <xdr:cNvCxnSpPr/>
      </xdr:nvCxnSpPr>
      <xdr:spPr>
        <a:xfrm flipV="1">
          <a:off x="11810809" y="424192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263</xdr:row>
      <xdr:rowOff>156846</xdr:rowOff>
    </xdr:from>
    <xdr:to>
      <xdr:col>8</xdr:col>
      <xdr:colOff>127</xdr:colOff>
      <xdr:row>263</xdr:row>
      <xdr:rowOff>156846</xdr:rowOff>
    </xdr:to>
    <xdr:cxnSp macro="_xll.PtreeEvent_ObjectClick">
      <xdr:nvCxnSpPr>
        <xdr:cNvPr id="1243" name="PTObj_DBranchHLine_1_126">
          <a:extLst>
            <a:ext uri="{FF2B5EF4-FFF2-40B4-BE49-F238E27FC236}">
              <a16:creationId xmlns:a16="http://schemas.microsoft.com/office/drawing/2014/main" id="{00000000-0008-0000-0400-0000DB040000}"/>
            </a:ext>
          </a:extLst>
        </xdr:cNvPr>
        <xdr:cNvCxnSpPr/>
      </xdr:nvCxnSpPr>
      <xdr:spPr>
        <a:xfrm>
          <a:off x="10467784" y="427431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263</xdr:row>
      <xdr:rowOff>156846</xdr:rowOff>
    </xdr:from>
    <xdr:to>
      <xdr:col>7</xdr:col>
      <xdr:colOff>228409</xdr:colOff>
      <xdr:row>267</xdr:row>
      <xdr:rowOff>151767</xdr:rowOff>
    </xdr:to>
    <xdr:cxnSp macro="_xll.PtreeEvent_ObjectClick">
      <xdr:nvCxnSpPr>
        <xdr:cNvPr id="1242" name="PTObj_DBranchDLine_1_126">
          <a:extLst>
            <a:ext uri="{FF2B5EF4-FFF2-40B4-BE49-F238E27FC236}">
              <a16:creationId xmlns:a16="http://schemas.microsoft.com/office/drawing/2014/main" id="{00000000-0008-0000-0400-0000DA040000}"/>
            </a:ext>
          </a:extLst>
        </xdr:cNvPr>
        <xdr:cNvCxnSpPr/>
      </xdr:nvCxnSpPr>
      <xdr:spPr>
        <a:xfrm flipV="1">
          <a:off x="10315384" y="42743121"/>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267</xdr:row>
      <xdr:rowOff>156846</xdr:rowOff>
    </xdr:from>
    <xdr:to>
      <xdr:col>7</xdr:col>
      <xdr:colOff>127</xdr:colOff>
      <xdr:row>267</xdr:row>
      <xdr:rowOff>156846</xdr:rowOff>
    </xdr:to>
    <xdr:cxnSp macro="_xll.PtreeEvent_ObjectClick">
      <xdr:nvCxnSpPr>
        <xdr:cNvPr id="1239" name="PTObj_DBranchHLine_1_125">
          <a:extLst>
            <a:ext uri="{FF2B5EF4-FFF2-40B4-BE49-F238E27FC236}">
              <a16:creationId xmlns:a16="http://schemas.microsoft.com/office/drawing/2014/main" id="{00000000-0008-0000-0400-0000D7040000}"/>
            </a:ext>
          </a:extLst>
        </xdr:cNvPr>
        <xdr:cNvCxnSpPr/>
      </xdr:nvCxnSpPr>
      <xdr:spPr>
        <a:xfrm>
          <a:off x="8972359" y="433908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239</xdr:row>
      <xdr:rowOff>151767</xdr:rowOff>
    </xdr:from>
    <xdr:to>
      <xdr:col>6</xdr:col>
      <xdr:colOff>228409</xdr:colOff>
      <xdr:row>267</xdr:row>
      <xdr:rowOff>156846</xdr:rowOff>
    </xdr:to>
    <xdr:cxnSp macro="_xll.PtreeEvent_ObjectClick">
      <xdr:nvCxnSpPr>
        <xdr:cNvPr id="1238" name="PTObj_DBranchDLine_1_125">
          <a:extLst>
            <a:ext uri="{FF2B5EF4-FFF2-40B4-BE49-F238E27FC236}">
              <a16:creationId xmlns:a16="http://schemas.microsoft.com/office/drawing/2014/main" id="{00000000-0008-0000-0400-0000D6040000}"/>
            </a:ext>
          </a:extLst>
        </xdr:cNvPr>
        <xdr:cNvCxnSpPr/>
      </xdr:nvCxnSpPr>
      <xdr:spPr>
        <a:xfrm>
          <a:off x="8819959" y="38851842"/>
          <a:ext cx="152400" cy="45389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259</xdr:row>
      <xdr:rowOff>156846</xdr:rowOff>
    </xdr:from>
    <xdr:to>
      <xdr:col>9</xdr:col>
      <xdr:colOff>127</xdr:colOff>
      <xdr:row>259</xdr:row>
      <xdr:rowOff>156846</xdr:rowOff>
    </xdr:to>
    <xdr:cxnSp macro="_xll.PtreeEvent_ObjectClick">
      <xdr:nvCxnSpPr>
        <xdr:cNvPr id="1235" name="PTObj_DBranchHLine_1_124">
          <a:extLst>
            <a:ext uri="{FF2B5EF4-FFF2-40B4-BE49-F238E27FC236}">
              <a16:creationId xmlns:a16="http://schemas.microsoft.com/office/drawing/2014/main" id="{00000000-0008-0000-0400-0000D3040000}"/>
            </a:ext>
          </a:extLst>
        </xdr:cNvPr>
        <xdr:cNvCxnSpPr/>
      </xdr:nvCxnSpPr>
      <xdr:spPr>
        <a:xfrm>
          <a:off x="11963209" y="420954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257</xdr:row>
      <xdr:rowOff>151767</xdr:rowOff>
    </xdr:from>
    <xdr:to>
      <xdr:col>8</xdr:col>
      <xdr:colOff>228409</xdr:colOff>
      <xdr:row>259</xdr:row>
      <xdr:rowOff>156846</xdr:rowOff>
    </xdr:to>
    <xdr:cxnSp macro="_xll.PtreeEvent_ObjectClick">
      <xdr:nvCxnSpPr>
        <xdr:cNvPr id="1234" name="PTObj_DBranchDLine_1_124">
          <a:extLst>
            <a:ext uri="{FF2B5EF4-FFF2-40B4-BE49-F238E27FC236}">
              <a16:creationId xmlns:a16="http://schemas.microsoft.com/office/drawing/2014/main" id="{00000000-0008-0000-0400-0000D2040000}"/>
            </a:ext>
          </a:extLst>
        </xdr:cNvPr>
        <xdr:cNvCxnSpPr/>
      </xdr:nvCxnSpPr>
      <xdr:spPr>
        <a:xfrm>
          <a:off x="11810809" y="417664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255</xdr:row>
      <xdr:rowOff>156846</xdr:rowOff>
    </xdr:from>
    <xdr:to>
      <xdr:col>9</xdr:col>
      <xdr:colOff>127</xdr:colOff>
      <xdr:row>255</xdr:row>
      <xdr:rowOff>156846</xdr:rowOff>
    </xdr:to>
    <xdr:cxnSp macro="_xll.PtreeEvent_ObjectClick">
      <xdr:nvCxnSpPr>
        <xdr:cNvPr id="1231" name="PTObj_DBranchHLine_1_123">
          <a:extLst>
            <a:ext uri="{FF2B5EF4-FFF2-40B4-BE49-F238E27FC236}">
              <a16:creationId xmlns:a16="http://schemas.microsoft.com/office/drawing/2014/main" id="{00000000-0008-0000-0400-0000CF040000}"/>
            </a:ext>
          </a:extLst>
        </xdr:cNvPr>
        <xdr:cNvCxnSpPr/>
      </xdr:nvCxnSpPr>
      <xdr:spPr>
        <a:xfrm>
          <a:off x="11963209" y="414477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255</xdr:row>
      <xdr:rowOff>156846</xdr:rowOff>
    </xdr:from>
    <xdr:to>
      <xdr:col>8</xdr:col>
      <xdr:colOff>228409</xdr:colOff>
      <xdr:row>257</xdr:row>
      <xdr:rowOff>151767</xdr:rowOff>
    </xdr:to>
    <xdr:cxnSp macro="_xll.PtreeEvent_ObjectClick">
      <xdr:nvCxnSpPr>
        <xdr:cNvPr id="1230" name="PTObj_DBranchDLine_1_123">
          <a:extLst>
            <a:ext uri="{FF2B5EF4-FFF2-40B4-BE49-F238E27FC236}">
              <a16:creationId xmlns:a16="http://schemas.microsoft.com/office/drawing/2014/main" id="{00000000-0008-0000-0400-0000CE040000}"/>
            </a:ext>
          </a:extLst>
        </xdr:cNvPr>
        <xdr:cNvCxnSpPr/>
      </xdr:nvCxnSpPr>
      <xdr:spPr>
        <a:xfrm flipV="1">
          <a:off x="11810809" y="4144772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257</xdr:row>
      <xdr:rowOff>156846</xdr:rowOff>
    </xdr:from>
    <xdr:to>
      <xdr:col>8</xdr:col>
      <xdr:colOff>127</xdr:colOff>
      <xdr:row>257</xdr:row>
      <xdr:rowOff>156846</xdr:rowOff>
    </xdr:to>
    <xdr:cxnSp macro="_xll.PtreeEvent_ObjectClick">
      <xdr:nvCxnSpPr>
        <xdr:cNvPr id="1227" name="PTObj_DBranchHLine_1_122">
          <a:extLst>
            <a:ext uri="{FF2B5EF4-FFF2-40B4-BE49-F238E27FC236}">
              <a16:creationId xmlns:a16="http://schemas.microsoft.com/office/drawing/2014/main" id="{00000000-0008-0000-0400-0000CB040000}"/>
            </a:ext>
          </a:extLst>
        </xdr:cNvPr>
        <xdr:cNvCxnSpPr/>
      </xdr:nvCxnSpPr>
      <xdr:spPr>
        <a:xfrm>
          <a:off x="10467784" y="417715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247</xdr:row>
      <xdr:rowOff>151767</xdr:rowOff>
    </xdr:from>
    <xdr:to>
      <xdr:col>7</xdr:col>
      <xdr:colOff>228409</xdr:colOff>
      <xdr:row>257</xdr:row>
      <xdr:rowOff>156846</xdr:rowOff>
    </xdr:to>
    <xdr:cxnSp macro="_xll.PtreeEvent_ObjectClick">
      <xdr:nvCxnSpPr>
        <xdr:cNvPr id="1226" name="PTObj_DBranchDLine_1_122">
          <a:extLst>
            <a:ext uri="{FF2B5EF4-FFF2-40B4-BE49-F238E27FC236}">
              <a16:creationId xmlns:a16="http://schemas.microsoft.com/office/drawing/2014/main" id="{00000000-0008-0000-0400-0000CA040000}"/>
            </a:ext>
          </a:extLst>
        </xdr:cNvPr>
        <xdr:cNvCxnSpPr/>
      </xdr:nvCxnSpPr>
      <xdr:spPr>
        <a:xfrm>
          <a:off x="10315384" y="40147242"/>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253</xdr:row>
      <xdr:rowOff>156846</xdr:rowOff>
    </xdr:from>
    <xdr:to>
      <xdr:col>9</xdr:col>
      <xdr:colOff>127</xdr:colOff>
      <xdr:row>253</xdr:row>
      <xdr:rowOff>156846</xdr:rowOff>
    </xdr:to>
    <xdr:cxnSp macro="_xll.PtreeEvent_ObjectClick">
      <xdr:nvCxnSpPr>
        <xdr:cNvPr id="1223" name="PTObj_DBranchHLine_1_121">
          <a:extLst>
            <a:ext uri="{FF2B5EF4-FFF2-40B4-BE49-F238E27FC236}">
              <a16:creationId xmlns:a16="http://schemas.microsoft.com/office/drawing/2014/main" id="{00000000-0008-0000-0400-0000C7040000}"/>
            </a:ext>
          </a:extLst>
        </xdr:cNvPr>
        <xdr:cNvCxnSpPr/>
      </xdr:nvCxnSpPr>
      <xdr:spPr>
        <a:xfrm>
          <a:off x="11963209" y="411238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251</xdr:row>
      <xdr:rowOff>151767</xdr:rowOff>
    </xdr:from>
    <xdr:to>
      <xdr:col>8</xdr:col>
      <xdr:colOff>228409</xdr:colOff>
      <xdr:row>253</xdr:row>
      <xdr:rowOff>156846</xdr:rowOff>
    </xdr:to>
    <xdr:cxnSp macro="_xll.PtreeEvent_ObjectClick">
      <xdr:nvCxnSpPr>
        <xdr:cNvPr id="1222" name="PTObj_DBranchDLine_1_121">
          <a:extLst>
            <a:ext uri="{FF2B5EF4-FFF2-40B4-BE49-F238E27FC236}">
              <a16:creationId xmlns:a16="http://schemas.microsoft.com/office/drawing/2014/main" id="{00000000-0008-0000-0400-0000C6040000}"/>
            </a:ext>
          </a:extLst>
        </xdr:cNvPr>
        <xdr:cNvCxnSpPr/>
      </xdr:nvCxnSpPr>
      <xdr:spPr>
        <a:xfrm>
          <a:off x="11810809" y="407949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249</xdr:row>
      <xdr:rowOff>156846</xdr:rowOff>
    </xdr:from>
    <xdr:to>
      <xdr:col>9</xdr:col>
      <xdr:colOff>127</xdr:colOff>
      <xdr:row>249</xdr:row>
      <xdr:rowOff>156846</xdr:rowOff>
    </xdr:to>
    <xdr:cxnSp macro="_xll.PtreeEvent_ObjectClick">
      <xdr:nvCxnSpPr>
        <xdr:cNvPr id="1219" name="PTObj_DBranchHLine_1_120">
          <a:extLst>
            <a:ext uri="{FF2B5EF4-FFF2-40B4-BE49-F238E27FC236}">
              <a16:creationId xmlns:a16="http://schemas.microsoft.com/office/drawing/2014/main" id="{00000000-0008-0000-0400-0000C3040000}"/>
            </a:ext>
          </a:extLst>
        </xdr:cNvPr>
        <xdr:cNvCxnSpPr/>
      </xdr:nvCxnSpPr>
      <xdr:spPr>
        <a:xfrm>
          <a:off x="11963209" y="404761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249</xdr:row>
      <xdr:rowOff>156846</xdr:rowOff>
    </xdr:from>
    <xdr:to>
      <xdr:col>8</xdr:col>
      <xdr:colOff>228409</xdr:colOff>
      <xdr:row>251</xdr:row>
      <xdr:rowOff>151767</xdr:rowOff>
    </xdr:to>
    <xdr:cxnSp macro="_xll.PtreeEvent_ObjectClick">
      <xdr:nvCxnSpPr>
        <xdr:cNvPr id="1218" name="PTObj_DBranchDLine_1_120">
          <a:extLst>
            <a:ext uri="{FF2B5EF4-FFF2-40B4-BE49-F238E27FC236}">
              <a16:creationId xmlns:a16="http://schemas.microsoft.com/office/drawing/2014/main" id="{00000000-0008-0000-0400-0000C2040000}"/>
            </a:ext>
          </a:extLst>
        </xdr:cNvPr>
        <xdr:cNvCxnSpPr/>
      </xdr:nvCxnSpPr>
      <xdr:spPr>
        <a:xfrm flipV="1">
          <a:off x="11810809" y="404761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251</xdr:row>
      <xdr:rowOff>156846</xdr:rowOff>
    </xdr:from>
    <xdr:to>
      <xdr:col>8</xdr:col>
      <xdr:colOff>127</xdr:colOff>
      <xdr:row>251</xdr:row>
      <xdr:rowOff>156846</xdr:rowOff>
    </xdr:to>
    <xdr:cxnSp macro="_xll.PtreeEvent_ObjectClick">
      <xdr:nvCxnSpPr>
        <xdr:cNvPr id="1215" name="PTObj_DBranchHLine_1_119">
          <a:extLst>
            <a:ext uri="{FF2B5EF4-FFF2-40B4-BE49-F238E27FC236}">
              <a16:creationId xmlns:a16="http://schemas.microsoft.com/office/drawing/2014/main" id="{00000000-0008-0000-0400-0000BF040000}"/>
            </a:ext>
          </a:extLst>
        </xdr:cNvPr>
        <xdr:cNvCxnSpPr/>
      </xdr:nvCxnSpPr>
      <xdr:spPr>
        <a:xfrm>
          <a:off x="10467784" y="408000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247</xdr:row>
      <xdr:rowOff>151767</xdr:rowOff>
    </xdr:from>
    <xdr:to>
      <xdr:col>7</xdr:col>
      <xdr:colOff>228409</xdr:colOff>
      <xdr:row>251</xdr:row>
      <xdr:rowOff>156846</xdr:rowOff>
    </xdr:to>
    <xdr:cxnSp macro="_xll.PtreeEvent_ObjectClick">
      <xdr:nvCxnSpPr>
        <xdr:cNvPr id="1214" name="PTObj_DBranchDLine_1_119">
          <a:extLst>
            <a:ext uri="{FF2B5EF4-FFF2-40B4-BE49-F238E27FC236}">
              <a16:creationId xmlns:a16="http://schemas.microsoft.com/office/drawing/2014/main" id="{00000000-0008-0000-0400-0000BE040000}"/>
            </a:ext>
          </a:extLst>
        </xdr:cNvPr>
        <xdr:cNvCxnSpPr/>
      </xdr:nvCxnSpPr>
      <xdr:spPr>
        <a:xfrm>
          <a:off x="10315384" y="40147242"/>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245</xdr:row>
      <xdr:rowOff>156846</xdr:rowOff>
    </xdr:from>
    <xdr:to>
      <xdr:col>9</xdr:col>
      <xdr:colOff>127</xdr:colOff>
      <xdr:row>245</xdr:row>
      <xdr:rowOff>156846</xdr:rowOff>
    </xdr:to>
    <xdr:cxnSp macro="_xll.PtreeEvent_ObjectClick">
      <xdr:nvCxnSpPr>
        <xdr:cNvPr id="1211" name="PTObj_DBranchHLine_1_118">
          <a:extLst>
            <a:ext uri="{FF2B5EF4-FFF2-40B4-BE49-F238E27FC236}">
              <a16:creationId xmlns:a16="http://schemas.microsoft.com/office/drawing/2014/main" id="{00000000-0008-0000-0400-0000BB040000}"/>
            </a:ext>
          </a:extLst>
        </xdr:cNvPr>
        <xdr:cNvCxnSpPr/>
      </xdr:nvCxnSpPr>
      <xdr:spPr>
        <a:xfrm>
          <a:off x="11963209" y="398284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243</xdr:row>
      <xdr:rowOff>151767</xdr:rowOff>
    </xdr:from>
    <xdr:to>
      <xdr:col>8</xdr:col>
      <xdr:colOff>228409</xdr:colOff>
      <xdr:row>245</xdr:row>
      <xdr:rowOff>156846</xdr:rowOff>
    </xdr:to>
    <xdr:cxnSp macro="_xll.PtreeEvent_ObjectClick">
      <xdr:nvCxnSpPr>
        <xdr:cNvPr id="1210" name="PTObj_DBranchDLine_1_118">
          <a:extLst>
            <a:ext uri="{FF2B5EF4-FFF2-40B4-BE49-F238E27FC236}">
              <a16:creationId xmlns:a16="http://schemas.microsoft.com/office/drawing/2014/main" id="{00000000-0008-0000-0400-0000BA040000}"/>
            </a:ext>
          </a:extLst>
        </xdr:cNvPr>
        <xdr:cNvCxnSpPr/>
      </xdr:nvCxnSpPr>
      <xdr:spPr>
        <a:xfrm>
          <a:off x="11810809" y="394995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241</xdr:row>
      <xdr:rowOff>156846</xdr:rowOff>
    </xdr:from>
    <xdr:to>
      <xdr:col>9</xdr:col>
      <xdr:colOff>127</xdr:colOff>
      <xdr:row>241</xdr:row>
      <xdr:rowOff>156846</xdr:rowOff>
    </xdr:to>
    <xdr:cxnSp macro="_xll.PtreeEvent_ObjectClick">
      <xdr:nvCxnSpPr>
        <xdr:cNvPr id="1207" name="PTObj_DBranchHLine_1_117">
          <a:extLst>
            <a:ext uri="{FF2B5EF4-FFF2-40B4-BE49-F238E27FC236}">
              <a16:creationId xmlns:a16="http://schemas.microsoft.com/office/drawing/2014/main" id="{00000000-0008-0000-0400-0000B7040000}"/>
            </a:ext>
          </a:extLst>
        </xdr:cNvPr>
        <xdr:cNvCxnSpPr/>
      </xdr:nvCxnSpPr>
      <xdr:spPr>
        <a:xfrm>
          <a:off x="11963209" y="391807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241</xdr:row>
      <xdr:rowOff>156846</xdr:rowOff>
    </xdr:from>
    <xdr:to>
      <xdr:col>8</xdr:col>
      <xdr:colOff>228409</xdr:colOff>
      <xdr:row>243</xdr:row>
      <xdr:rowOff>151767</xdr:rowOff>
    </xdr:to>
    <xdr:cxnSp macro="_xll.PtreeEvent_ObjectClick">
      <xdr:nvCxnSpPr>
        <xdr:cNvPr id="1206" name="PTObj_DBranchDLine_1_117">
          <a:extLst>
            <a:ext uri="{FF2B5EF4-FFF2-40B4-BE49-F238E27FC236}">
              <a16:creationId xmlns:a16="http://schemas.microsoft.com/office/drawing/2014/main" id="{00000000-0008-0000-0400-0000B6040000}"/>
            </a:ext>
          </a:extLst>
        </xdr:cNvPr>
        <xdr:cNvCxnSpPr/>
      </xdr:nvCxnSpPr>
      <xdr:spPr>
        <a:xfrm flipV="1">
          <a:off x="11810809" y="391807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243</xdr:row>
      <xdr:rowOff>156846</xdr:rowOff>
    </xdr:from>
    <xdr:to>
      <xdr:col>8</xdr:col>
      <xdr:colOff>127</xdr:colOff>
      <xdr:row>243</xdr:row>
      <xdr:rowOff>156846</xdr:rowOff>
    </xdr:to>
    <xdr:cxnSp macro="_xll.PtreeEvent_ObjectClick">
      <xdr:nvCxnSpPr>
        <xdr:cNvPr id="1203" name="PTObj_DBranchHLine_1_116">
          <a:extLst>
            <a:ext uri="{FF2B5EF4-FFF2-40B4-BE49-F238E27FC236}">
              <a16:creationId xmlns:a16="http://schemas.microsoft.com/office/drawing/2014/main" id="{00000000-0008-0000-0400-0000B3040000}"/>
            </a:ext>
          </a:extLst>
        </xdr:cNvPr>
        <xdr:cNvCxnSpPr/>
      </xdr:nvCxnSpPr>
      <xdr:spPr>
        <a:xfrm>
          <a:off x="10467784" y="395046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243</xdr:row>
      <xdr:rowOff>156846</xdr:rowOff>
    </xdr:from>
    <xdr:to>
      <xdr:col>7</xdr:col>
      <xdr:colOff>228409</xdr:colOff>
      <xdr:row>247</xdr:row>
      <xdr:rowOff>151767</xdr:rowOff>
    </xdr:to>
    <xdr:cxnSp macro="_xll.PtreeEvent_ObjectClick">
      <xdr:nvCxnSpPr>
        <xdr:cNvPr id="1202" name="PTObj_DBranchDLine_1_116">
          <a:extLst>
            <a:ext uri="{FF2B5EF4-FFF2-40B4-BE49-F238E27FC236}">
              <a16:creationId xmlns:a16="http://schemas.microsoft.com/office/drawing/2014/main" id="{00000000-0008-0000-0400-0000B2040000}"/>
            </a:ext>
          </a:extLst>
        </xdr:cNvPr>
        <xdr:cNvCxnSpPr/>
      </xdr:nvCxnSpPr>
      <xdr:spPr>
        <a:xfrm flipV="1">
          <a:off x="10315384" y="39504621"/>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247</xdr:row>
      <xdr:rowOff>156846</xdr:rowOff>
    </xdr:from>
    <xdr:to>
      <xdr:col>7</xdr:col>
      <xdr:colOff>127</xdr:colOff>
      <xdr:row>247</xdr:row>
      <xdr:rowOff>156846</xdr:rowOff>
    </xdr:to>
    <xdr:cxnSp macro="_xll.PtreeEvent_ObjectClick">
      <xdr:nvCxnSpPr>
        <xdr:cNvPr id="1199" name="PTObj_DBranchHLine_1_115">
          <a:extLst>
            <a:ext uri="{FF2B5EF4-FFF2-40B4-BE49-F238E27FC236}">
              <a16:creationId xmlns:a16="http://schemas.microsoft.com/office/drawing/2014/main" id="{00000000-0008-0000-0400-0000AF040000}"/>
            </a:ext>
          </a:extLst>
        </xdr:cNvPr>
        <xdr:cNvCxnSpPr/>
      </xdr:nvCxnSpPr>
      <xdr:spPr>
        <a:xfrm>
          <a:off x="8972359" y="401523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239</xdr:row>
      <xdr:rowOff>151767</xdr:rowOff>
    </xdr:from>
    <xdr:to>
      <xdr:col>6</xdr:col>
      <xdr:colOff>228409</xdr:colOff>
      <xdr:row>247</xdr:row>
      <xdr:rowOff>156846</xdr:rowOff>
    </xdr:to>
    <xdr:cxnSp macro="_xll.PtreeEvent_ObjectClick">
      <xdr:nvCxnSpPr>
        <xdr:cNvPr id="1198" name="PTObj_DBranchDLine_1_115">
          <a:extLst>
            <a:ext uri="{FF2B5EF4-FFF2-40B4-BE49-F238E27FC236}">
              <a16:creationId xmlns:a16="http://schemas.microsoft.com/office/drawing/2014/main" id="{00000000-0008-0000-0400-0000AE040000}"/>
            </a:ext>
          </a:extLst>
        </xdr:cNvPr>
        <xdr:cNvCxnSpPr/>
      </xdr:nvCxnSpPr>
      <xdr:spPr>
        <a:xfrm>
          <a:off x="8819959" y="38851842"/>
          <a:ext cx="152400" cy="13004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237</xdr:row>
      <xdr:rowOff>156846</xdr:rowOff>
    </xdr:from>
    <xdr:to>
      <xdr:col>9</xdr:col>
      <xdr:colOff>127</xdr:colOff>
      <xdr:row>237</xdr:row>
      <xdr:rowOff>156846</xdr:rowOff>
    </xdr:to>
    <xdr:cxnSp macro="_xll.PtreeEvent_ObjectClick">
      <xdr:nvCxnSpPr>
        <xdr:cNvPr id="1195" name="PTObj_DBranchHLine_1_114">
          <a:extLst>
            <a:ext uri="{FF2B5EF4-FFF2-40B4-BE49-F238E27FC236}">
              <a16:creationId xmlns:a16="http://schemas.microsoft.com/office/drawing/2014/main" id="{00000000-0008-0000-0400-0000AB040000}"/>
            </a:ext>
          </a:extLst>
        </xdr:cNvPr>
        <xdr:cNvCxnSpPr/>
      </xdr:nvCxnSpPr>
      <xdr:spPr>
        <a:xfrm>
          <a:off x="11963209" y="385330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235</xdr:row>
      <xdr:rowOff>151767</xdr:rowOff>
    </xdr:from>
    <xdr:to>
      <xdr:col>8</xdr:col>
      <xdr:colOff>228409</xdr:colOff>
      <xdr:row>237</xdr:row>
      <xdr:rowOff>156846</xdr:rowOff>
    </xdr:to>
    <xdr:cxnSp macro="_xll.PtreeEvent_ObjectClick">
      <xdr:nvCxnSpPr>
        <xdr:cNvPr id="1194" name="PTObj_DBranchDLine_1_114">
          <a:extLst>
            <a:ext uri="{FF2B5EF4-FFF2-40B4-BE49-F238E27FC236}">
              <a16:creationId xmlns:a16="http://schemas.microsoft.com/office/drawing/2014/main" id="{00000000-0008-0000-0400-0000AA040000}"/>
            </a:ext>
          </a:extLst>
        </xdr:cNvPr>
        <xdr:cNvCxnSpPr/>
      </xdr:nvCxnSpPr>
      <xdr:spPr>
        <a:xfrm>
          <a:off x="11810809" y="382041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233</xdr:row>
      <xdr:rowOff>156846</xdr:rowOff>
    </xdr:from>
    <xdr:to>
      <xdr:col>9</xdr:col>
      <xdr:colOff>127</xdr:colOff>
      <xdr:row>233</xdr:row>
      <xdr:rowOff>156846</xdr:rowOff>
    </xdr:to>
    <xdr:cxnSp macro="_xll.PtreeEvent_ObjectClick">
      <xdr:nvCxnSpPr>
        <xdr:cNvPr id="1191" name="PTObj_DBranchHLine_1_113">
          <a:extLst>
            <a:ext uri="{FF2B5EF4-FFF2-40B4-BE49-F238E27FC236}">
              <a16:creationId xmlns:a16="http://schemas.microsoft.com/office/drawing/2014/main" id="{00000000-0008-0000-0400-0000A7040000}"/>
            </a:ext>
          </a:extLst>
        </xdr:cNvPr>
        <xdr:cNvCxnSpPr/>
      </xdr:nvCxnSpPr>
      <xdr:spPr>
        <a:xfrm>
          <a:off x="11963209" y="378853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233</xdr:row>
      <xdr:rowOff>156846</xdr:rowOff>
    </xdr:from>
    <xdr:to>
      <xdr:col>8</xdr:col>
      <xdr:colOff>228409</xdr:colOff>
      <xdr:row>235</xdr:row>
      <xdr:rowOff>151767</xdr:rowOff>
    </xdr:to>
    <xdr:cxnSp macro="_xll.PtreeEvent_ObjectClick">
      <xdr:nvCxnSpPr>
        <xdr:cNvPr id="1190" name="PTObj_DBranchDLine_1_113">
          <a:extLst>
            <a:ext uri="{FF2B5EF4-FFF2-40B4-BE49-F238E27FC236}">
              <a16:creationId xmlns:a16="http://schemas.microsoft.com/office/drawing/2014/main" id="{00000000-0008-0000-0400-0000A6040000}"/>
            </a:ext>
          </a:extLst>
        </xdr:cNvPr>
        <xdr:cNvCxnSpPr/>
      </xdr:nvCxnSpPr>
      <xdr:spPr>
        <a:xfrm flipV="1">
          <a:off x="11810809" y="378853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235</xdr:row>
      <xdr:rowOff>156846</xdr:rowOff>
    </xdr:from>
    <xdr:to>
      <xdr:col>8</xdr:col>
      <xdr:colOff>127</xdr:colOff>
      <xdr:row>235</xdr:row>
      <xdr:rowOff>156846</xdr:rowOff>
    </xdr:to>
    <xdr:cxnSp macro="_xll.PtreeEvent_ObjectClick">
      <xdr:nvCxnSpPr>
        <xdr:cNvPr id="1187" name="PTObj_DBranchHLine_1_112">
          <a:extLst>
            <a:ext uri="{FF2B5EF4-FFF2-40B4-BE49-F238E27FC236}">
              <a16:creationId xmlns:a16="http://schemas.microsoft.com/office/drawing/2014/main" id="{00000000-0008-0000-0400-0000A3040000}"/>
            </a:ext>
          </a:extLst>
        </xdr:cNvPr>
        <xdr:cNvCxnSpPr/>
      </xdr:nvCxnSpPr>
      <xdr:spPr>
        <a:xfrm>
          <a:off x="10467784" y="382092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225</xdr:row>
      <xdr:rowOff>151767</xdr:rowOff>
    </xdr:from>
    <xdr:to>
      <xdr:col>7</xdr:col>
      <xdr:colOff>228409</xdr:colOff>
      <xdr:row>235</xdr:row>
      <xdr:rowOff>156846</xdr:rowOff>
    </xdr:to>
    <xdr:cxnSp macro="_xll.PtreeEvent_ObjectClick">
      <xdr:nvCxnSpPr>
        <xdr:cNvPr id="1186" name="PTObj_DBranchDLine_1_112">
          <a:extLst>
            <a:ext uri="{FF2B5EF4-FFF2-40B4-BE49-F238E27FC236}">
              <a16:creationId xmlns:a16="http://schemas.microsoft.com/office/drawing/2014/main" id="{00000000-0008-0000-0400-0000A2040000}"/>
            </a:ext>
          </a:extLst>
        </xdr:cNvPr>
        <xdr:cNvCxnSpPr/>
      </xdr:nvCxnSpPr>
      <xdr:spPr>
        <a:xfrm>
          <a:off x="10315384" y="36584892"/>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231</xdr:row>
      <xdr:rowOff>156846</xdr:rowOff>
    </xdr:from>
    <xdr:to>
      <xdr:col>9</xdr:col>
      <xdr:colOff>127</xdr:colOff>
      <xdr:row>231</xdr:row>
      <xdr:rowOff>156846</xdr:rowOff>
    </xdr:to>
    <xdr:cxnSp macro="_xll.PtreeEvent_ObjectClick">
      <xdr:nvCxnSpPr>
        <xdr:cNvPr id="1183" name="PTObj_DBranchHLine_1_111">
          <a:extLst>
            <a:ext uri="{FF2B5EF4-FFF2-40B4-BE49-F238E27FC236}">
              <a16:creationId xmlns:a16="http://schemas.microsoft.com/office/drawing/2014/main" id="{00000000-0008-0000-0400-00009F040000}"/>
            </a:ext>
          </a:extLst>
        </xdr:cNvPr>
        <xdr:cNvCxnSpPr/>
      </xdr:nvCxnSpPr>
      <xdr:spPr>
        <a:xfrm>
          <a:off x="11963209" y="375615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229</xdr:row>
      <xdr:rowOff>151767</xdr:rowOff>
    </xdr:from>
    <xdr:to>
      <xdr:col>8</xdr:col>
      <xdr:colOff>228409</xdr:colOff>
      <xdr:row>231</xdr:row>
      <xdr:rowOff>156846</xdr:rowOff>
    </xdr:to>
    <xdr:cxnSp macro="_xll.PtreeEvent_ObjectClick">
      <xdr:nvCxnSpPr>
        <xdr:cNvPr id="1182" name="PTObj_DBranchDLine_1_111">
          <a:extLst>
            <a:ext uri="{FF2B5EF4-FFF2-40B4-BE49-F238E27FC236}">
              <a16:creationId xmlns:a16="http://schemas.microsoft.com/office/drawing/2014/main" id="{00000000-0008-0000-0400-00009E040000}"/>
            </a:ext>
          </a:extLst>
        </xdr:cNvPr>
        <xdr:cNvCxnSpPr/>
      </xdr:nvCxnSpPr>
      <xdr:spPr>
        <a:xfrm>
          <a:off x="11810809" y="372325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227</xdr:row>
      <xdr:rowOff>156846</xdr:rowOff>
    </xdr:from>
    <xdr:to>
      <xdr:col>9</xdr:col>
      <xdr:colOff>127</xdr:colOff>
      <xdr:row>227</xdr:row>
      <xdr:rowOff>156846</xdr:rowOff>
    </xdr:to>
    <xdr:cxnSp macro="_xll.PtreeEvent_ObjectClick">
      <xdr:nvCxnSpPr>
        <xdr:cNvPr id="1179" name="PTObj_DBranchHLine_1_110">
          <a:extLst>
            <a:ext uri="{FF2B5EF4-FFF2-40B4-BE49-F238E27FC236}">
              <a16:creationId xmlns:a16="http://schemas.microsoft.com/office/drawing/2014/main" id="{00000000-0008-0000-0400-00009B040000}"/>
            </a:ext>
          </a:extLst>
        </xdr:cNvPr>
        <xdr:cNvCxnSpPr/>
      </xdr:nvCxnSpPr>
      <xdr:spPr>
        <a:xfrm>
          <a:off x="11963209" y="369138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227</xdr:row>
      <xdr:rowOff>156846</xdr:rowOff>
    </xdr:from>
    <xdr:to>
      <xdr:col>8</xdr:col>
      <xdr:colOff>228409</xdr:colOff>
      <xdr:row>229</xdr:row>
      <xdr:rowOff>151767</xdr:rowOff>
    </xdr:to>
    <xdr:cxnSp macro="_xll.PtreeEvent_ObjectClick">
      <xdr:nvCxnSpPr>
        <xdr:cNvPr id="1178" name="PTObj_DBranchDLine_1_110">
          <a:extLst>
            <a:ext uri="{FF2B5EF4-FFF2-40B4-BE49-F238E27FC236}">
              <a16:creationId xmlns:a16="http://schemas.microsoft.com/office/drawing/2014/main" id="{00000000-0008-0000-0400-00009A040000}"/>
            </a:ext>
          </a:extLst>
        </xdr:cNvPr>
        <xdr:cNvCxnSpPr/>
      </xdr:nvCxnSpPr>
      <xdr:spPr>
        <a:xfrm flipV="1">
          <a:off x="11810809" y="3691382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229</xdr:row>
      <xdr:rowOff>156846</xdr:rowOff>
    </xdr:from>
    <xdr:to>
      <xdr:col>8</xdr:col>
      <xdr:colOff>127</xdr:colOff>
      <xdr:row>229</xdr:row>
      <xdr:rowOff>156846</xdr:rowOff>
    </xdr:to>
    <xdr:cxnSp macro="_xll.PtreeEvent_ObjectClick">
      <xdr:nvCxnSpPr>
        <xdr:cNvPr id="1175" name="PTObj_DBranchHLine_1_109">
          <a:extLst>
            <a:ext uri="{FF2B5EF4-FFF2-40B4-BE49-F238E27FC236}">
              <a16:creationId xmlns:a16="http://schemas.microsoft.com/office/drawing/2014/main" id="{00000000-0008-0000-0400-000097040000}"/>
            </a:ext>
          </a:extLst>
        </xdr:cNvPr>
        <xdr:cNvCxnSpPr/>
      </xdr:nvCxnSpPr>
      <xdr:spPr>
        <a:xfrm>
          <a:off x="10467784" y="372376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225</xdr:row>
      <xdr:rowOff>151767</xdr:rowOff>
    </xdr:from>
    <xdr:to>
      <xdr:col>7</xdr:col>
      <xdr:colOff>228409</xdr:colOff>
      <xdr:row>229</xdr:row>
      <xdr:rowOff>156846</xdr:rowOff>
    </xdr:to>
    <xdr:cxnSp macro="_xll.PtreeEvent_ObjectClick">
      <xdr:nvCxnSpPr>
        <xdr:cNvPr id="1174" name="PTObj_DBranchDLine_1_109">
          <a:extLst>
            <a:ext uri="{FF2B5EF4-FFF2-40B4-BE49-F238E27FC236}">
              <a16:creationId xmlns:a16="http://schemas.microsoft.com/office/drawing/2014/main" id="{00000000-0008-0000-0400-000096040000}"/>
            </a:ext>
          </a:extLst>
        </xdr:cNvPr>
        <xdr:cNvCxnSpPr/>
      </xdr:nvCxnSpPr>
      <xdr:spPr>
        <a:xfrm>
          <a:off x="10315384" y="36584892"/>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223</xdr:row>
      <xdr:rowOff>156846</xdr:rowOff>
    </xdr:from>
    <xdr:to>
      <xdr:col>9</xdr:col>
      <xdr:colOff>127</xdr:colOff>
      <xdr:row>223</xdr:row>
      <xdr:rowOff>156846</xdr:rowOff>
    </xdr:to>
    <xdr:cxnSp macro="_xll.PtreeEvent_ObjectClick">
      <xdr:nvCxnSpPr>
        <xdr:cNvPr id="1171" name="PTObj_DBranchHLine_1_108">
          <a:extLst>
            <a:ext uri="{FF2B5EF4-FFF2-40B4-BE49-F238E27FC236}">
              <a16:creationId xmlns:a16="http://schemas.microsoft.com/office/drawing/2014/main" id="{00000000-0008-0000-0400-000093040000}"/>
            </a:ext>
          </a:extLst>
        </xdr:cNvPr>
        <xdr:cNvCxnSpPr/>
      </xdr:nvCxnSpPr>
      <xdr:spPr>
        <a:xfrm>
          <a:off x="11963209" y="362661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221</xdr:row>
      <xdr:rowOff>151767</xdr:rowOff>
    </xdr:from>
    <xdr:to>
      <xdr:col>8</xdr:col>
      <xdr:colOff>228409</xdr:colOff>
      <xdr:row>223</xdr:row>
      <xdr:rowOff>156846</xdr:rowOff>
    </xdr:to>
    <xdr:cxnSp macro="_xll.PtreeEvent_ObjectClick">
      <xdr:nvCxnSpPr>
        <xdr:cNvPr id="1170" name="PTObj_DBranchDLine_1_108">
          <a:extLst>
            <a:ext uri="{FF2B5EF4-FFF2-40B4-BE49-F238E27FC236}">
              <a16:creationId xmlns:a16="http://schemas.microsoft.com/office/drawing/2014/main" id="{00000000-0008-0000-0400-000092040000}"/>
            </a:ext>
          </a:extLst>
        </xdr:cNvPr>
        <xdr:cNvCxnSpPr/>
      </xdr:nvCxnSpPr>
      <xdr:spPr>
        <a:xfrm>
          <a:off x="11810809" y="359371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219</xdr:row>
      <xdr:rowOff>156846</xdr:rowOff>
    </xdr:from>
    <xdr:to>
      <xdr:col>9</xdr:col>
      <xdr:colOff>127</xdr:colOff>
      <xdr:row>219</xdr:row>
      <xdr:rowOff>156846</xdr:rowOff>
    </xdr:to>
    <xdr:cxnSp macro="_xll.PtreeEvent_ObjectClick">
      <xdr:nvCxnSpPr>
        <xdr:cNvPr id="1167" name="PTObj_DBranchHLine_1_107">
          <a:extLst>
            <a:ext uri="{FF2B5EF4-FFF2-40B4-BE49-F238E27FC236}">
              <a16:creationId xmlns:a16="http://schemas.microsoft.com/office/drawing/2014/main" id="{00000000-0008-0000-0400-00008F040000}"/>
            </a:ext>
          </a:extLst>
        </xdr:cNvPr>
        <xdr:cNvCxnSpPr/>
      </xdr:nvCxnSpPr>
      <xdr:spPr>
        <a:xfrm>
          <a:off x="11963209" y="356184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219</xdr:row>
      <xdr:rowOff>156846</xdr:rowOff>
    </xdr:from>
    <xdr:to>
      <xdr:col>8</xdr:col>
      <xdr:colOff>228409</xdr:colOff>
      <xdr:row>221</xdr:row>
      <xdr:rowOff>151767</xdr:rowOff>
    </xdr:to>
    <xdr:cxnSp macro="_xll.PtreeEvent_ObjectClick">
      <xdr:nvCxnSpPr>
        <xdr:cNvPr id="1166" name="PTObj_DBranchDLine_1_107">
          <a:extLst>
            <a:ext uri="{FF2B5EF4-FFF2-40B4-BE49-F238E27FC236}">
              <a16:creationId xmlns:a16="http://schemas.microsoft.com/office/drawing/2014/main" id="{00000000-0008-0000-0400-00008E040000}"/>
            </a:ext>
          </a:extLst>
        </xdr:cNvPr>
        <xdr:cNvCxnSpPr/>
      </xdr:nvCxnSpPr>
      <xdr:spPr>
        <a:xfrm flipV="1">
          <a:off x="11810809" y="3561842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221</xdr:row>
      <xdr:rowOff>156846</xdr:rowOff>
    </xdr:from>
    <xdr:to>
      <xdr:col>8</xdr:col>
      <xdr:colOff>127</xdr:colOff>
      <xdr:row>221</xdr:row>
      <xdr:rowOff>156846</xdr:rowOff>
    </xdr:to>
    <xdr:cxnSp macro="_xll.PtreeEvent_ObjectClick">
      <xdr:nvCxnSpPr>
        <xdr:cNvPr id="1163" name="PTObj_DBranchHLine_1_106">
          <a:extLst>
            <a:ext uri="{FF2B5EF4-FFF2-40B4-BE49-F238E27FC236}">
              <a16:creationId xmlns:a16="http://schemas.microsoft.com/office/drawing/2014/main" id="{00000000-0008-0000-0400-00008B040000}"/>
            </a:ext>
          </a:extLst>
        </xdr:cNvPr>
        <xdr:cNvCxnSpPr/>
      </xdr:nvCxnSpPr>
      <xdr:spPr>
        <a:xfrm>
          <a:off x="10467784" y="359422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221</xdr:row>
      <xdr:rowOff>156846</xdr:rowOff>
    </xdr:from>
    <xdr:to>
      <xdr:col>7</xdr:col>
      <xdr:colOff>228409</xdr:colOff>
      <xdr:row>225</xdr:row>
      <xdr:rowOff>151767</xdr:rowOff>
    </xdr:to>
    <xdr:cxnSp macro="_xll.PtreeEvent_ObjectClick">
      <xdr:nvCxnSpPr>
        <xdr:cNvPr id="1162" name="PTObj_DBranchDLine_1_106">
          <a:extLst>
            <a:ext uri="{FF2B5EF4-FFF2-40B4-BE49-F238E27FC236}">
              <a16:creationId xmlns:a16="http://schemas.microsoft.com/office/drawing/2014/main" id="{00000000-0008-0000-0400-00008A040000}"/>
            </a:ext>
          </a:extLst>
        </xdr:cNvPr>
        <xdr:cNvCxnSpPr/>
      </xdr:nvCxnSpPr>
      <xdr:spPr>
        <a:xfrm flipV="1">
          <a:off x="10315384" y="35942271"/>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225</xdr:row>
      <xdr:rowOff>156846</xdr:rowOff>
    </xdr:from>
    <xdr:to>
      <xdr:col>7</xdr:col>
      <xdr:colOff>127</xdr:colOff>
      <xdr:row>225</xdr:row>
      <xdr:rowOff>156846</xdr:rowOff>
    </xdr:to>
    <xdr:cxnSp macro="_xll.PtreeEvent_ObjectClick">
      <xdr:nvCxnSpPr>
        <xdr:cNvPr id="1159" name="PTObj_DBranchHLine_1_105">
          <a:extLst>
            <a:ext uri="{FF2B5EF4-FFF2-40B4-BE49-F238E27FC236}">
              <a16:creationId xmlns:a16="http://schemas.microsoft.com/office/drawing/2014/main" id="{00000000-0008-0000-0400-000087040000}"/>
            </a:ext>
          </a:extLst>
        </xdr:cNvPr>
        <xdr:cNvCxnSpPr/>
      </xdr:nvCxnSpPr>
      <xdr:spPr>
        <a:xfrm>
          <a:off x="8972359" y="365899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225</xdr:row>
      <xdr:rowOff>156846</xdr:rowOff>
    </xdr:from>
    <xdr:to>
      <xdr:col>6</xdr:col>
      <xdr:colOff>228409</xdr:colOff>
      <xdr:row>239</xdr:row>
      <xdr:rowOff>151767</xdr:rowOff>
    </xdr:to>
    <xdr:cxnSp macro="_xll.PtreeEvent_ObjectClick">
      <xdr:nvCxnSpPr>
        <xdr:cNvPr id="1158" name="PTObj_DBranchDLine_1_105">
          <a:extLst>
            <a:ext uri="{FF2B5EF4-FFF2-40B4-BE49-F238E27FC236}">
              <a16:creationId xmlns:a16="http://schemas.microsoft.com/office/drawing/2014/main" id="{00000000-0008-0000-0400-000086040000}"/>
            </a:ext>
          </a:extLst>
        </xdr:cNvPr>
        <xdr:cNvCxnSpPr/>
      </xdr:nvCxnSpPr>
      <xdr:spPr>
        <a:xfrm flipV="1">
          <a:off x="8819959" y="36589971"/>
          <a:ext cx="152400" cy="22618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239</xdr:row>
      <xdr:rowOff>156846</xdr:rowOff>
    </xdr:from>
    <xdr:to>
      <xdr:col>6</xdr:col>
      <xdr:colOff>127</xdr:colOff>
      <xdr:row>239</xdr:row>
      <xdr:rowOff>156846</xdr:rowOff>
    </xdr:to>
    <xdr:cxnSp macro="_xll.PtreeEvent_ObjectClick">
      <xdr:nvCxnSpPr>
        <xdr:cNvPr id="1155" name="PTObj_DBranchHLine_1_104">
          <a:extLst>
            <a:ext uri="{FF2B5EF4-FFF2-40B4-BE49-F238E27FC236}">
              <a16:creationId xmlns:a16="http://schemas.microsoft.com/office/drawing/2014/main" id="{00000000-0008-0000-0400-000083040000}"/>
            </a:ext>
          </a:extLst>
        </xdr:cNvPr>
        <xdr:cNvCxnSpPr/>
      </xdr:nvCxnSpPr>
      <xdr:spPr>
        <a:xfrm>
          <a:off x="7476934" y="388569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239</xdr:row>
      <xdr:rowOff>156846</xdr:rowOff>
    </xdr:from>
    <xdr:to>
      <xdr:col>5</xdr:col>
      <xdr:colOff>228409</xdr:colOff>
      <xdr:row>281</xdr:row>
      <xdr:rowOff>151767</xdr:rowOff>
    </xdr:to>
    <xdr:cxnSp macro="_xll.PtreeEvent_ObjectClick">
      <xdr:nvCxnSpPr>
        <xdr:cNvPr id="1154" name="PTObj_DBranchDLine_1_104">
          <a:extLst>
            <a:ext uri="{FF2B5EF4-FFF2-40B4-BE49-F238E27FC236}">
              <a16:creationId xmlns:a16="http://schemas.microsoft.com/office/drawing/2014/main" id="{00000000-0008-0000-0400-000082040000}"/>
            </a:ext>
          </a:extLst>
        </xdr:cNvPr>
        <xdr:cNvCxnSpPr/>
      </xdr:nvCxnSpPr>
      <xdr:spPr>
        <a:xfrm flipV="1">
          <a:off x="7324534" y="38856921"/>
          <a:ext cx="152400" cy="6795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228410</xdr:colOff>
      <xdr:row>281</xdr:row>
      <xdr:rowOff>156846</xdr:rowOff>
    </xdr:from>
    <xdr:to>
      <xdr:col>5</xdr:col>
      <xdr:colOff>127</xdr:colOff>
      <xdr:row>281</xdr:row>
      <xdr:rowOff>156846</xdr:rowOff>
    </xdr:to>
    <xdr:cxnSp macro="_xll.PtreeEvent_ObjectClick">
      <xdr:nvCxnSpPr>
        <xdr:cNvPr id="1151" name="PTObj_DBranchHLine_1_103">
          <a:extLst>
            <a:ext uri="{FF2B5EF4-FFF2-40B4-BE49-F238E27FC236}">
              <a16:creationId xmlns:a16="http://schemas.microsoft.com/office/drawing/2014/main" id="{00000000-0008-0000-0400-00007F040000}"/>
            </a:ext>
          </a:extLst>
        </xdr:cNvPr>
        <xdr:cNvCxnSpPr/>
      </xdr:nvCxnSpPr>
      <xdr:spPr>
        <a:xfrm>
          <a:off x="5981510" y="456577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217</xdr:row>
      <xdr:rowOff>151767</xdr:rowOff>
    </xdr:from>
    <xdr:to>
      <xdr:col>4</xdr:col>
      <xdr:colOff>228410</xdr:colOff>
      <xdr:row>281</xdr:row>
      <xdr:rowOff>156846</xdr:rowOff>
    </xdr:to>
    <xdr:cxnSp macro="_xll.PtreeEvent_ObjectClick">
      <xdr:nvCxnSpPr>
        <xdr:cNvPr id="1150" name="PTObj_DBranchDLine_1_103">
          <a:extLst>
            <a:ext uri="{FF2B5EF4-FFF2-40B4-BE49-F238E27FC236}">
              <a16:creationId xmlns:a16="http://schemas.microsoft.com/office/drawing/2014/main" id="{00000000-0008-0000-0400-00007E040000}"/>
            </a:ext>
          </a:extLst>
        </xdr:cNvPr>
        <xdr:cNvCxnSpPr/>
      </xdr:nvCxnSpPr>
      <xdr:spPr>
        <a:xfrm>
          <a:off x="5829110" y="35289492"/>
          <a:ext cx="152400" cy="103682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215</xdr:row>
      <xdr:rowOff>156846</xdr:rowOff>
    </xdr:from>
    <xdr:to>
      <xdr:col>6</xdr:col>
      <xdr:colOff>127</xdr:colOff>
      <xdr:row>215</xdr:row>
      <xdr:rowOff>156846</xdr:rowOff>
    </xdr:to>
    <xdr:cxnSp macro="_xll.PtreeEvent_ObjectClick">
      <xdr:nvCxnSpPr>
        <xdr:cNvPr id="1147" name="PTObj_DBranchHLine_1_102">
          <a:extLst>
            <a:ext uri="{FF2B5EF4-FFF2-40B4-BE49-F238E27FC236}">
              <a16:creationId xmlns:a16="http://schemas.microsoft.com/office/drawing/2014/main" id="{00000000-0008-0000-0400-00007B040000}"/>
            </a:ext>
          </a:extLst>
        </xdr:cNvPr>
        <xdr:cNvCxnSpPr/>
      </xdr:nvCxnSpPr>
      <xdr:spPr>
        <a:xfrm>
          <a:off x="7476934" y="349707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213</xdr:row>
      <xdr:rowOff>151767</xdr:rowOff>
    </xdr:from>
    <xdr:to>
      <xdr:col>5</xdr:col>
      <xdr:colOff>228409</xdr:colOff>
      <xdr:row>215</xdr:row>
      <xdr:rowOff>156846</xdr:rowOff>
    </xdr:to>
    <xdr:cxnSp macro="_xll.PtreeEvent_ObjectClick">
      <xdr:nvCxnSpPr>
        <xdr:cNvPr id="1146" name="PTObj_DBranchDLine_1_102">
          <a:extLst>
            <a:ext uri="{FF2B5EF4-FFF2-40B4-BE49-F238E27FC236}">
              <a16:creationId xmlns:a16="http://schemas.microsoft.com/office/drawing/2014/main" id="{00000000-0008-0000-0400-00007A040000}"/>
            </a:ext>
          </a:extLst>
        </xdr:cNvPr>
        <xdr:cNvCxnSpPr/>
      </xdr:nvCxnSpPr>
      <xdr:spPr>
        <a:xfrm>
          <a:off x="7324534" y="346417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211</xdr:row>
      <xdr:rowOff>156846</xdr:rowOff>
    </xdr:from>
    <xdr:to>
      <xdr:col>9</xdr:col>
      <xdr:colOff>127</xdr:colOff>
      <xdr:row>211</xdr:row>
      <xdr:rowOff>156846</xdr:rowOff>
    </xdr:to>
    <xdr:cxnSp macro="_xll.PtreeEvent_ObjectClick">
      <xdr:nvCxnSpPr>
        <xdr:cNvPr id="1143" name="PTObj_DBranchHLine_1_101">
          <a:extLst>
            <a:ext uri="{FF2B5EF4-FFF2-40B4-BE49-F238E27FC236}">
              <a16:creationId xmlns:a16="http://schemas.microsoft.com/office/drawing/2014/main" id="{00000000-0008-0000-0400-000077040000}"/>
            </a:ext>
          </a:extLst>
        </xdr:cNvPr>
        <xdr:cNvCxnSpPr/>
      </xdr:nvCxnSpPr>
      <xdr:spPr>
        <a:xfrm>
          <a:off x="11963209" y="343230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209</xdr:row>
      <xdr:rowOff>151767</xdr:rowOff>
    </xdr:from>
    <xdr:to>
      <xdr:col>8</xdr:col>
      <xdr:colOff>228409</xdr:colOff>
      <xdr:row>211</xdr:row>
      <xdr:rowOff>156846</xdr:rowOff>
    </xdr:to>
    <xdr:cxnSp macro="_xll.PtreeEvent_ObjectClick">
      <xdr:nvCxnSpPr>
        <xdr:cNvPr id="1142" name="PTObj_DBranchDLine_1_101">
          <a:extLst>
            <a:ext uri="{FF2B5EF4-FFF2-40B4-BE49-F238E27FC236}">
              <a16:creationId xmlns:a16="http://schemas.microsoft.com/office/drawing/2014/main" id="{00000000-0008-0000-0400-000076040000}"/>
            </a:ext>
          </a:extLst>
        </xdr:cNvPr>
        <xdr:cNvCxnSpPr/>
      </xdr:nvCxnSpPr>
      <xdr:spPr>
        <a:xfrm>
          <a:off x="11810809" y="339940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207</xdr:row>
      <xdr:rowOff>156846</xdr:rowOff>
    </xdr:from>
    <xdr:to>
      <xdr:col>9</xdr:col>
      <xdr:colOff>127</xdr:colOff>
      <xdr:row>207</xdr:row>
      <xdr:rowOff>156846</xdr:rowOff>
    </xdr:to>
    <xdr:cxnSp macro="_xll.PtreeEvent_ObjectClick">
      <xdr:nvCxnSpPr>
        <xdr:cNvPr id="1139" name="PTObj_DBranchHLine_1_100">
          <a:extLst>
            <a:ext uri="{FF2B5EF4-FFF2-40B4-BE49-F238E27FC236}">
              <a16:creationId xmlns:a16="http://schemas.microsoft.com/office/drawing/2014/main" id="{00000000-0008-0000-0400-000073040000}"/>
            </a:ext>
          </a:extLst>
        </xdr:cNvPr>
        <xdr:cNvCxnSpPr/>
      </xdr:nvCxnSpPr>
      <xdr:spPr>
        <a:xfrm>
          <a:off x="11963209" y="336753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207</xdr:row>
      <xdr:rowOff>156846</xdr:rowOff>
    </xdr:from>
    <xdr:to>
      <xdr:col>8</xdr:col>
      <xdr:colOff>228409</xdr:colOff>
      <xdr:row>209</xdr:row>
      <xdr:rowOff>151767</xdr:rowOff>
    </xdr:to>
    <xdr:cxnSp macro="_xll.PtreeEvent_ObjectClick">
      <xdr:nvCxnSpPr>
        <xdr:cNvPr id="1138" name="PTObj_DBranchDLine_1_100">
          <a:extLst>
            <a:ext uri="{FF2B5EF4-FFF2-40B4-BE49-F238E27FC236}">
              <a16:creationId xmlns:a16="http://schemas.microsoft.com/office/drawing/2014/main" id="{00000000-0008-0000-0400-000072040000}"/>
            </a:ext>
          </a:extLst>
        </xdr:cNvPr>
        <xdr:cNvCxnSpPr/>
      </xdr:nvCxnSpPr>
      <xdr:spPr>
        <a:xfrm flipV="1">
          <a:off x="11810809" y="3367532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209</xdr:row>
      <xdr:rowOff>156846</xdr:rowOff>
    </xdr:from>
    <xdr:to>
      <xdr:col>8</xdr:col>
      <xdr:colOff>127</xdr:colOff>
      <xdr:row>209</xdr:row>
      <xdr:rowOff>156846</xdr:rowOff>
    </xdr:to>
    <xdr:cxnSp macro="_xll.PtreeEvent_ObjectClick">
      <xdr:nvCxnSpPr>
        <xdr:cNvPr id="1135" name="PTObj_DBranchHLine_1_99">
          <a:extLst>
            <a:ext uri="{FF2B5EF4-FFF2-40B4-BE49-F238E27FC236}">
              <a16:creationId xmlns:a16="http://schemas.microsoft.com/office/drawing/2014/main" id="{00000000-0008-0000-0400-00006F040000}"/>
            </a:ext>
          </a:extLst>
        </xdr:cNvPr>
        <xdr:cNvCxnSpPr/>
      </xdr:nvCxnSpPr>
      <xdr:spPr>
        <a:xfrm>
          <a:off x="10467784" y="339991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199</xdr:row>
      <xdr:rowOff>151767</xdr:rowOff>
    </xdr:from>
    <xdr:to>
      <xdr:col>7</xdr:col>
      <xdr:colOff>228409</xdr:colOff>
      <xdr:row>209</xdr:row>
      <xdr:rowOff>156846</xdr:rowOff>
    </xdr:to>
    <xdr:cxnSp macro="_xll.PtreeEvent_ObjectClick">
      <xdr:nvCxnSpPr>
        <xdr:cNvPr id="1134" name="PTObj_DBranchDLine_1_99">
          <a:extLst>
            <a:ext uri="{FF2B5EF4-FFF2-40B4-BE49-F238E27FC236}">
              <a16:creationId xmlns:a16="http://schemas.microsoft.com/office/drawing/2014/main" id="{00000000-0008-0000-0400-00006E040000}"/>
            </a:ext>
          </a:extLst>
        </xdr:cNvPr>
        <xdr:cNvCxnSpPr/>
      </xdr:nvCxnSpPr>
      <xdr:spPr>
        <a:xfrm>
          <a:off x="10315384" y="32374842"/>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205</xdr:row>
      <xdr:rowOff>156846</xdr:rowOff>
    </xdr:from>
    <xdr:to>
      <xdr:col>9</xdr:col>
      <xdr:colOff>127</xdr:colOff>
      <xdr:row>205</xdr:row>
      <xdr:rowOff>156846</xdr:rowOff>
    </xdr:to>
    <xdr:cxnSp macro="_xll.PtreeEvent_ObjectClick">
      <xdr:nvCxnSpPr>
        <xdr:cNvPr id="1131" name="PTObj_DBranchHLine_1_98">
          <a:extLst>
            <a:ext uri="{FF2B5EF4-FFF2-40B4-BE49-F238E27FC236}">
              <a16:creationId xmlns:a16="http://schemas.microsoft.com/office/drawing/2014/main" id="{00000000-0008-0000-0400-00006B040000}"/>
            </a:ext>
          </a:extLst>
        </xdr:cNvPr>
        <xdr:cNvCxnSpPr/>
      </xdr:nvCxnSpPr>
      <xdr:spPr>
        <a:xfrm>
          <a:off x="11963209" y="333514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203</xdr:row>
      <xdr:rowOff>151767</xdr:rowOff>
    </xdr:from>
    <xdr:to>
      <xdr:col>8</xdr:col>
      <xdr:colOff>228409</xdr:colOff>
      <xdr:row>205</xdr:row>
      <xdr:rowOff>156846</xdr:rowOff>
    </xdr:to>
    <xdr:cxnSp macro="_xll.PtreeEvent_ObjectClick">
      <xdr:nvCxnSpPr>
        <xdr:cNvPr id="1130" name="PTObj_DBranchDLine_1_98">
          <a:extLst>
            <a:ext uri="{FF2B5EF4-FFF2-40B4-BE49-F238E27FC236}">
              <a16:creationId xmlns:a16="http://schemas.microsoft.com/office/drawing/2014/main" id="{00000000-0008-0000-0400-00006A040000}"/>
            </a:ext>
          </a:extLst>
        </xdr:cNvPr>
        <xdr:cNvCxnSpPr/>
      </xdr:nvCxnSpPr>
      <xdr:spPr>
        <a:xfrm>
          <a:off x="11810809" y="330225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201</xdr:row>
      <xdr:rowOff>156846</xdr:rowOff>
    </xdr:from>
    <xdr:to>
      <xdr:col>9</xdr:col>
      <xdr:colOff>127</xdr:colOff>
      <xdr:row>201</xdr:row>
      <xdr:rowOff>156846</xdr:rowOff>
    </xdr:to>
    <xdr:cxnSp macro="_xll.PtreeEvent_ObjectClick">
      <xdr:nvCxnSpPr>
        <xdr:cNvPr id="1127" name="PTObj_DBranchHLine_1_97">
          <a:extLst>
            <a:ext uri="{FF2B5EF4-FFF2-40B4-BE49-F238E27FC236}">
              <a16:creationId xmlns:a16="http://schemas.microsoft.com/office/drawing/2014/main" id="{00000000-0008-0000-0400-000067040000}"/>
            </a:ext>
          </a:extLst>
        </xdr:cNvPr>
        <xdr:cNvCxnSpPr/>
      </xdr:nvCxnSpPr>
      <xdr:spPr>
        <a:xfrm>
          <a:off x="11963209" y="327037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201</xdr:row>
      <xdr:rowOff>156846</xdr:rowOff>
    </xdr:from>
    <xdr:to>
      <xdr:col>8</xdr:col>
      <xdr:colOff>228409</xdr:colOff>
      <xdr:row>203</xdr:row>
      <xdr:rowOff>151767</xdr:rowOff>
    </xdr:to>
    <xdr:cxnSp macro="_xll.PtreeEvent_ObjectClick">
      <xdr:nvCxnSpPr>
        <xdr:cNvPr id="1126" name="PTObj_DBranchDLine_1_97">
          <a:extLst>
            <a:ext uri="{FF2B5EF4-FFF2-40B4-BE49-F238E27FC236}">
              <a16:creationId xmlns:a16="http://schemas.microsoft.com/office/drawing/2014/main" id="{00000000-0008-0000-0400-000066040000}"/>
            </a:ext>
          </a:extLst>
        </xdr:cNvPr>
        <xdr:cNvCxnSpPr/>
      </xdr:nvCxnSpPr>
      <xdr:spPr>
        <a:xfrm flipV="1">
          <a:off x="11810809" y="327037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203</xdr:row>
      <xdr:rowOff>156846</xdr:rowOff>
    </xdr:from>
    <xdr:to>
      <xdr:col>8</xdr:col>
      <xdr:colOff>127</xdr:colOff>
      <xdr:row>203</xdr:row>
      <xdr:rowOff>156846</xdr:rowOff>
    </xdr:to>
    <xdr:cxnSp macro="_xll.PtreeEvent_ObjectClick">
      <xdr:nvCxnSpPr>
        <xdr:cNvPr id="1123" name="PTObj_DBranchHLine_1_96">
          <a:extLst>
            <a:ext uri="{FF2B5EF4-FFF2-40B4-BE49-F238E27FC236}">
              <a16:creationId xmlns:a16="http://schemas.microsoft.com/office/drawing/2014/main" id="{00000000-0008-0000-0400-000063040000}"/>
            </a:ext>
          </a:extLst>
        </xdr:cNvPr>
        <xdr:cNvCxnSpPr/>
      </xdr:nvCxnSpPr>
      <xdr:spPr>
        <a:xfrm>
          <a:off x="10467784" y="330276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199</xdr:row>
      <xdr:rowOff>151767</xdr:rowOff>
    </xdr:from>
    <xdr:to>
      <xdr:col>7</xdr:col>
      <xdr:colOff>228409</xdr:colOff>
      <xdr:row>203</xdr:row>
      <xdr:rowOff>156846</xdr:rowOff>
    </xdr:to>
    <xdr:cxnSp macro="_xll.PtreeEvent_ObjectClick">
      <xdr:nvCxnSpPr>
        <xdr:cNvPr id="1122" name="PTObj_DBranchDLine_1_96">
          <a:extLst>
            <a:ext uri="{FF2B5EF4-FFF2-40B4-BE49-F238E27FC236}">
              <a16:creationId xmlns:a16="http://schemas.microsoft.com/office/drawing/2014/main" id="{00000000-0008-0000-0400-000062040000}"/>
            </a:ext>
          </a:extLst>
        </xdr:cNvPr>
        <xdr:cNvCxnSpPr/>
      </xdr:nvCxnSpPr>
      <xdr:spPr>
        <a:xfrm>
          <a:off x="10315384" y="32374842"/>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197</xdr:row>
      <xdr:rowOff>156846</xdr:rowOff>
    </xdr:from>
    <xdr:to>
      <xdr:col>9</xdr:col>
      <xdr:colOff>127</xdr:colOff>
      <xdr:row>197</xdr:row>
      <xdr:rowOff>156846</xdr:rowOff>
    </xdr:to>
    <xdr:cxnSp macro="_xll.PtreeEvent_ObjectClick">
      <xdr:nvCxnSpPr>
        <xdr:cNvPr id="1119" name="PTObj_DBranchHLine_1_95">
          <a:extLst>
            <a:ext uri="{FF2B5EF4-FFF2-40B4-BE49-F238E27FC236}">
              <a16:creationId xmlns:a16="http://schemas.microsoft.com/office/drawing/2014/main" id="{00000000-0008-0000-0400-00005F040000}"/>
            </a:ext>
          </a:extLst>
        </xdr:cNvPr>
        <xdr:cNvCxnSpPr/>
      </xdr:nvCxnSpPr>
      <xdr:spPr>
        <a:xfrm>
          <a:off x="11963209" y="320560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195</xdr:row>
      <xdr:rowOff>151767</xdr:rowOff>
    </xdr:from>
    <xdr:to>
      <xdr:col>8</xdr:col>
      <xdr:colOff>228409</xdr:colOff>
      <xdr:row>197</xdr:row>
      <xdr:rowOff>156846</xdr:rowOff>
    </xdr:to>
    <xdr:cxnSp macro="_xll.PtreeEvent_ObjectClick">
      <xdr:nvCxnSpPr>
        <xdr:cNvPr id="1118" name="PTObj_DBranchDLine_1_95">
          <a:extLst>
            <a:ext uri="{FF2B5EF4-FFF2-40B4-BE49-F238E27FC236}">
              <a16:creationId xmlns:a16="http://schemas.microsoft.com/office/drawing/2014/main" id="{00000000-0008-0000-0400-00005E040000}"/>
            </a:ext>
          </a:extLst>
        </xdr:cNvPr>
        <xdr:cNvCxnSpPr/>
      </xdr:nvCxnSpPr>
      <xdr:spPr>
        <a:xfrm>
          <a:off x="11810809" y="317271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193</xdr:row>
      <xdr:rowOff>156846</xdr:rowOff>
    </xdr:from>
    <xdr:to>
      <xdr:col>9</xdr:col>
      <xdr:colOff>127</xdr:colOff>
      <xdr:row>193</xdr:row>
      <xdr:rowOff>156846</xdr:rowOff>
    </xdr:to>
    <xdr:cxnSp macro="_xll.PtreeEvent_ObjectClick">
      <xdr:nvCxnSpPr>
        <xdr:cNvPr id="1115" name="PTObj_DBranchHLine_1_94">
          <a:extLst>
            <a:ext uri="{FF2B5EF4-FFF2-40B4-BE49-F238E27FC236}">
              <a16:creationId xmlns:a16="http://schemas.microsoft.com/office/drawing/2014/main" id="{00000000-0008-0000-0400-00005B040000}"/>
            </a:ext>
          </a:extLst>
        </xdr:cNvPr>
        <xdr:cNvCxnSpPr/>
      </xdr:nvCxnSpPr>
      <xdr:spPr>
        <a:xfrm>
          <a:off x="11963209" y="314083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193</xdr:row>
      <xdr:rowOff>156846</xdr:rowOff>
    </xdr:from>
    <xdr:to>
      <xdr:col>8</xdr:col>
      <xdr:colOff>228409</xdr:colOff>
      <xdr:row>195</xdr:row>
      <xdr:rowOff>151767</xdr:rowOff>
    </xdr:to>
    <xdr:cxnSp macro="_xll.PtreeEvent_ObjectClick">
      <xdr:nvCxnSpPr>
        <xdr:cNvPr id="1114" name="PTObj_DBranchDLine_1_94">
          <a:extLst>
            <a:ext uri="{FF2B5EF4-FFF2-40B4-BE49-F238E27FC236}">
              <a16:creationId xmlns:a16="http://schemas.microsoft.com/office/drawing/2014/main" id="{00000000-0008-0000-0400-00005A040000}"/>
            </a:ext>
          </a:extLst>
        </xdr:cNvPr>
        <xdr:cNvCxnSpPr/>
      </xdr:nvCxnSpPr>
      <xdr:spPr>
        <a:xfrm flipV="1">
          <a:off x="11810809" y="314083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195</xdr:row>
      <xdr:rowOff>156846</xdr:rowOff>
    </xdr:from>
    <xdr:to>
      <xdr:col>8</xdr:col>
      <xdr:colOff>127</xdr:colOff>
      <xdr:row>195</xdr:row>
      <xdr:rowOff>156846</xdr:rowOff>
    </xdr:to>
    <xdr:cxnSp macro="_xll.PtreeEvent_ObjectClick">
      <xdr:nvCxnSpPr>
        <xdr:cNvPr id="1111" name="PTObj_DBranchHLine_1_93">
          <a:extLst>
            <a:ext uri="{FF2B5EF4-FFF2-40B4-BE49-F238E27FC236}">
              <a16:creationId xmlns:a16="http://schemas.microsoft.com/office/drawing/2014/main" id="{00000000-0008-0000-0400-000057040000}"/>
            </a:ext>
          </a:extLst>
        </xdr:cNvPr>
        <xdr:cNvCxnSpPr/>
      </xdr:nvCxnSpPr>
      <xdr:spPr>
        <a:xfrm>
          <a:off x="10467784" y="317322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195</xdr:row>
      <xdr:rowOff>156846</xdr:rowOff>
    </xdr:from>
    <xdr:to>
      <xdr:col>7</xdr:col>
      <xdr:colOff>228409</xdr:colOff>
      <xdr:row>199</xdr:row>
      <xdr:rowOff>151767</xdr:rowOff>
    </xdr:to>
    <xdr:cxnSp macro="_xll.PtreeEvent_ObjectClick">
      <xdr:nvCxnSpPr>
        <xdr:cNvPr id="1110" name="PTObj_DBranchDLine_1_93">
          <a:extLst>
            <a:ext uri="{FF2B5EF4-FFF2-40B4-BE49-F238E27FC236}">
              <a16:creationId xmlns:a16="http://schemas.microsoft.com/office/drawing/2014/main" id="{00000000-0008-0000-0400-000056040000}"/>
            </a:ext>
          </a:extLst>
        </xdr:cNvPr>
        <xdr:cNvCxnSpPr/>
      </xdr:nvCxnSpPr>
      <xdr:spPr>
        <a:xfrm flipV="1">
          <a:off x="10315384" y="31732221"/>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199</xdr:row>
      <xdr:rowOff>156846</xdr:rowOff>
    </xdr:from>
    <xdr:to>
      <xdr:col>7</xdr:col>
      <xdr:colOff>127</xdr:colOff>
      <xdr:row>199</xdr:row>
      <xdr:rowOff>156846</xdr:rowOff>
    </xdr:to>
    <xdr:cxnSp macro="_xll.PtreeEvent_ObjectClick">
      <xdr:nvCxnSpPr>
        <xdr:cNvPr id="1107" name="PTObj_DBranchHLine_1_92">
          <a:extLst>
            <a:ext uri="{FF2B5EF4-FFF2-40B4-BE49-F238E27FC236}">
              <a16:creationId xmlns:a16="http://schemas.microsoft.com/office/drawing/2014/main" id="{00000000-0008-0000-0400-000053040000}"/>
            </a:ext>
          </a:extLst>
        </xdr:cNvPr>
        <xdr:cNvCxnSpPr/>
      </xdr:nvCxnSpPr>
      <xdr:spPr>
        <a:xfrm>
          <a:off x="8972359" y="323799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171</xdr:row>
      <xdr:rowOff>151767</xdr:rowOff>
    </xdr:from>
    <xdr:to>
      <xdr:col>6</xdr:col>
      <xdr:colOff>228409</xdr:colOff>
      <xdr:row>199</xdr:row>
      <xdr:rowOff>156846</xdr:rowOff>
    </xdr:to>
    <xdr:cxnSp macro="_xll.PtreeEvent_ObjectClick">
      <xdr:nvCxnSpPr>
        <xdr:cNvPr id="1106" name="PTObj_DBranchDLine_1_92">
          <a:extLst>
            <a:ext uri="{FF2B5EF4-FFF2-40B4-BE49-F238E27FC236}">
              <a16:creationId xmlns:a16="http://schemas.microsoft.com/office/drawing/2014/main" id="{00000000-0008-0000-0400-000052040000}"/>
            </a:ext>
          </a:extLst>
        </xdr:cNvPr>
        <xdr:cNvCxnSpPr/>
      </xdr:nvCxnSpPr>
      <xdr:spPr>
        <a:xfrm>
          <a:off x="8819959" y="27840942"/>
          <a:ext cx="152400" cy="45389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191</xdr:row>
      <xdr:rowOff>156846</xdr:rowOff>
    </xdr:from>
    <xdr:to>
      <xdr:col>9</xdr:col>
      <xdr:colOff>127</xdr:colOff>
      <xdr:row>191</xdr:row>
      <xdr:rowOff>156846</xdr:rowOff>
    </xdr:to>
    <xdr:cxnSp macro="_xll.PtreeEvent_ObjectClick">
      <xdr:nvCxnSpPr>
        <xdr:cNvPr id="1103" name="PTObj_DBranchHLine_1_91">
          <a:extLst>
            <a:ext uri="{FF2B5EF4-FFF2-40B4-BE49-F238E27FC236}">
              <a16:creationId xmlns:a16="http://schemas.microsoft.com/office/drawing/2014/main" id="{00000000-0008-0000-0400-00004F040000}"/>
            </a:ext>
          </a:extLst>
        </xdr:cNvPr>
        <xdr:cNvCxnSpPr/>
      </xdr:nvCxnSpPr>
      <xdr:spPr>
        <a:xfrm>
          <a:off x="11963209" y="310845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189</xdr:row>
      <xdr:rowOff>151767</xdr:rowOff>
    </xdr:from>
    <xdr:to>
      <xdr:col>8</xdr:col>
      <xdr:colOff>228409</xdr:colOff>
      <xdr:row>191</xdr:row>
      <xdr:rowOff>156846</xdr:rowOff>
    </xdr:to>
    <xdr:cxnSp macro="_xll.PtreeEvent_ObjectClick">
      <xdr:nvCxnSpPr>
        <xdr:cNvPr id="1102" name="PTObj_DBranchDLine_1_91">
          <a:extLst>
            <a:ext uri="{FF2B5EF4-FFF2-40B4-BE49-F238E27FC236}">
              <a16:creationId xmlns:a16="http://schemas.microsoft.com/office/drawing/2014/main" id="{00000000-0008-0000-0400-00004E040000}"/>
            </a:ext>
          </a:extLst>
        </xdr:cNvPr>
        <xdr:cNvCxnSpPr/>
      </xdr:nvCxnSpPr>
      <xdr:spPr>
        <a:xfrm>
          <a:off x="11810809" y="307555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187</xdr:row>
      <xdr:rowOff>156846</xdr:rowOff>
    </xdr:from>
    <xdr:to>
      <xdr:col>9</xdr:col>
      <xdr:colOff>127</xdr:colOff>
      <xdr:row>187</xdr:row>
      <xdr:rowOff>156846</xdr:rowOff>
    </xdr:to>
    <xdr:cxnSp macro="_xll.PtreeEvent_ObjectClick">
      <xdr:nvCxnSpPr>
        <xdr:cNvPr id="1099" name="PTObj_DBranchHLine_1_90">
          <a:extLst>
            <a:ext uri="{FF2B5EF4-FFF2-40B4-BE49-F238E27FC236}">
              <a16:creationId xmlns:a16="http://schemas.microsoft.com/office/drawing/2014/main" id="{00000000-0008-0000-0400-00004B040000}"/>
            </a:ext>
          </a:extLst>
        </xdr:cNvPr>
        <xdr:cNvCxnSpPr/>
      </xdr:nvCxnSpPr>
      <xdr:spPr>
        <a:xfrm>
          <a:off x="11963209" y="304368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187</xdr:row>
      <xdr:rowOff>156846</xdr:rowOff>
    </xdr:from>
    <xdr:to>
      <xdr:col>8</xdr:col>
      <xdr:colOff>228409</xdr:colOff>
      <xdr:row>189</xdr:row>
      <xdr:rowOff>151767</xdr:rowOff>
    </xdr:to>
    <xdr:cxnSp macro="_xll.PtreeEvent_ObjectClick">
      <xdr:nvCxnSpPr>
        <xdr:cNvPr id="1098" name="PTObj_DBranchDLine_1_90">
          <a:extLst>
            <a:ext uri="{FF2B5EF4-FFF2-40B4-BE49-F238E27FC236}">
              <a16:creationId xmlns:a16="http://schemas.microsoft.com/office/drawing/2014/main" id="{00000000-0008-0000-0400-00004A040000}"/>
            </a:ext>
          </a:extLst>
        </xdr:cNvPr>
        <xdr:cNvCxnSpPr/>
      </xdr:nvCxnSpPr>
      <xdr:spPr>
        <a:xfrm flipV="1">
          <a:off x="11810809" y="3043682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189</xdr:row>
      <xdr:rowOff>156846</xdr:rowOff>
    </xdr:from>
    <xdr:to>
      <xdr:col>8</xdr:col>
      <xdr:colOff>127</xdr:colOff>
      <xdr:row>189</xdr:row>
      <xdr:rowOff>156846</xdr:rowOff>
    </xdr:to>
    <xdr:cxnSp macro="_xll.PtreeEvent_ObjectClick">
      <xdr:nvCxnSpPr>
        <xdr:cNvPr id="1095" name="PTObj_DBranchHLine_1_89">
          <a:extLst>
            <a:ext uri="{FF2B5EF4-FFF2-40B4-BE49-F238E27FC236}">
              <a16:creationId xmlns:a16="http://schemas.microsoft.com/office/drawing/2014/main" id="{00000000-0008-0000-0400-000047040000}"/>
            </a:ext>
          </a:extLst>
        </xdr:cNvPr>
        <xdr:cNvCxnSpPr/>
      </xdr:nvCxnSpPr>
      <xdr:spPr>
        <a:xfrm>
          <a:off x="10467784" y="307606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179</xdr:row>
      <xdr:rowOff>151767</xdr:rowOff>
    </xdr:from>
    <xdr:to>
      <xdr:col>7</xdr:col>
      <xdr:colOff>228409</xdr:colOff>
      <xdr:row>189</xdr:row>
      <xdr:rowOff>156846</xdr:rowOff>
    </xdr:to>
    <xdr:cxnSp macro="_xll.PtreeEvent_ObjectClick">
      <xdr:nvCxnSpPr>
        <xdr:cNvPr id="1094" name="PTObj_DBranchDLine_1_89">
          <a:extLst>
            <a:ext uri="{FF2B5EF4-FFF2-40B4-BE49-F238E27FC236}">
              <a16:creationId xmlns:a16="http://schemas.microsoft.com/office/drawing/2014/main" id="{00000000-0008-0000-0400-000046040000}"/>
            </a:ext>
          </a:extLst>
        </xdr:cNvPr>
        <xdr:cNvCxnSpPr/>
      </xdr:nvCxnSpPr>
      <xdr:spPr>
        <a:xfrm>
          <a:off x="10315384" y="29136342"/>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185</xdr:row>
      <xdr:rowOff>156846</xdr:rowOff>
    </xdr:from>
    <xdr:to>
      <xdr:col>9</xdr:col>
      <xdr:colOff>127</xdr:colOff>
      <xdr:row>185</xdr:row>
      <xdr:rowOff>156846</xdr:rowOff>
    </xdr:to>
    <xdr:cxnSp macro="_xll.PtreeEvent_ObjectClick">
      <xdr:nvCxnSpPr>
        <xdr:cNvPr id="1091" name="PTObj_DBranchHLine_1_88">
          <a:extLst>
            <a:ext uri="{FF2B5EF4-FFF2-40B4-BE49-F238E27FC236}">
              <a16:creationId xmlns:a16="http://schemas.microsoft.com/office/drawing/2014/main" id="{00000000-0008-0000-0400-000043040000}"/>
            </a:ext>
          </a:extLst>
        </xdr:cNvPr>
        <xdr:cNvCxnSpPr/>
      </xdr:nvCxnSpPr>
      <xdr:spPr>
        <a:xfrm>
          <a:off x="11963209" y="301129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183</xdr:row>
      <xdr:rowOff>151767</xdr:rowOff>
    </xdr:from>
    <xdr:to>
      <xdr:col>8</xdr:col>
      <xdr:colOff>228409</xdr:colOff>
      <xdr:row>185</xdr:row>
      <xdr:rowOff>156846</xdr:rowOff>
    </xdr:to>
    <xdr:cxnSp macro="_xll.PtreeEvent_ObjectClick">
      <xdr:nvCxnSpPr>
        <xdr:cNvPr id="1090" name="PTObj_DBranchDLine_1_88">
          <a:extLst>
            <a:ext uri="{FF2B5EF4-FFF2-40B4-BE49-F238E27FC236}">
              <a16:creationId xmlns:a16="http://schemas.microsoft.com/office/drawing/2014/main" id="{00000000-0008-0000-0400-000042040000}"/>
            </a:ext>
          </a:extLst>
        </xdr:cNvPr>
        <xdr:cNvCxnSpPr/>
      </xdr:nvCxnSpPr>
      <xdr:spPr>
        <a:xfrm>
          <a:off x="11810809" y="297840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181</xdr:row>
      <xdr:rowOff>156846</xdr:rowOff>
    </xdr:from>
    <xdr:to>
      <xdr:col>9</xdr:col>
      <xdr:colOff>127</xdr:colOff>
      <xdr:row>181</xdr:row>
      <xdr:rowOff>156846</xdr:rowOff>
    </xdr:to>
    <xdr:cxnSp macro="_xll.PtreeEvent_ObjectClick">
      <xdr:nvCxnSpPr>
        <xdr:cNvPr id="1087" name="PTObj_DBranchHLine_1_87">
          <a:extLst>
            <a:ext uri="{FF2B5EF4-FFF2-40B4-BE49-F238E27FC236}">
              <a16:creationId xmlns:a16="http://schemas.microsoft.com/office/drawing/2014/main" id="{00000000-0008-0000-0400-00003F040000}"/>
            </a:ext>
          </a:extLst>
        </xdr:cNvPr>
        <xdr:cNvCxnSpPr/>
      </xdr:nvCxnSpPr>
      <xdr:spPr>
        <a:xfrm>
          <a:off x="11963209" y="294652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181</xdr:row>
      <xdr:rowOff>156846</xdr:rowOff>
    </xdr:from>
    <xdr:to>
      <xdr:col>8</xdr:col>
      <xdr:colOff>228409</xdr:colOff>
      <xdr:row>183</xdr:row>
      <xdr:rowOff>151767</xdr:rowOff>
    </xdr:to>
    <xdr:cxnSp macro="_xll.PtreeEvent_ObjectClick">
      <xdr:nvCxnSpPr>
        <xdr:cNvPr id="1086" name="PTObj_DBranchDLine_1_87">
          <a:extLst>
            <a:ext uri="{FF2B5EF4-FFF2-40B4-BE49-F238E27FC236}">
              <a16:creationId xmlns:a16="http://schemas.microsoft.com/office/drawing/2014/main" id="{00000000-0008-0000-0400-00003E040000}"/>
            </a:ext>
          </a:extLst>
        </xdr:cNvPr>
        <xdr:cNvCxnSpPr/>
      </xdr:nvCxnSpPr>
      <xdr:spPr>
        <a:xfrm flipV="1">
          <a:off x="11810809" y="294652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183</xdr:row>
      <xdr:rowOff>156846</xdr:rowOff>
    </xdr:from>
    <xdr:to>
      <xdr:col>8</xdr:col>
      <xdr:colOff>127</xdr:colOff>
      <xdr:row>183</xdr:row>
      <xdr:rowOff>156846</xdr:rowOff>
    </xdr:to>
    <xdr:cxnSp macro="_xll.PtreeEvent_ObjectClick">
      <xdr:nvCxnSpPr>
        <xdr:cNvPr id="1083" name="PTObj_DBranchHLine_1_86">
          <a:extLst>
            <a:ext uri="{FF2B5EF4-FFF2-40B4-BE49-F238E27FC236}">
              <a16:creationId xmlns:a16="http://schemas.microsoft.com/office/drawing/2014/main" id="{00000000-0008-0000-0400-00003B040000}"/>
            </a:ext>
          </a:extLst>
        </xdr:cNvPr>
        <xdr:cNvCxnSpPr/>
      </xdr:nvCxnSpPr>
      <xdr:spPr>
        <a:xfrm>
          <a:off x="10467784" y="297891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179</xdr:row>
      <xdr:rowOff>151767</xdr:rowOff>
    </xdr:from>
    <xdr:to>
      <xdr:col>7</xdr:col>
      <xdr:colOff>228409</xdr:colOff>
      <xdr:row>183</xdr:row>
      <xdr:rowOff>156846</xdr:rowOff>
    </xdr:to>
    <xdr:cxnSp macro="_xll.PtreeEvent_ObjectClick">
      <xdr:nvCxnSpPr>
        <xdr:cNvPr id="1082" name="PTObj_DBranchDLine_1_86">
          <a:extLst>
            <a:ext uri="{FF2B5EF4-FFF2-40B4-BE49-F238E27FC236}">
              <a16:creationId xmlns:a16="http://schemas.microsoft.com/office/drawing/2014/main" id="{00000000-0008-0000-0400-00003A040000}"/>
            </a:ext>
          </a:extLst>
        </xdr:cNvPr>
        <xdr:cNvCxnSpPr/>
      </xdr:nvCxnSpPr>
      <xdr:spPr>
        <a:xfrm>
          <a:off x="10315384" y="29136342"/>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177</xdr:row>
      <xdr:rowOff>156846</xdr:rowOff>
    </xdr:from>
    <xdr:to>
      <xdr:col>9</xdr:col>
      <xdr:colOff>127</xdr:colOff>
      <xdr:row>177</xdr:row>
      <xdr:rowOff>156846</xdr:rowOff>
    </xdr:to>
    <xdr:cxnSp macro="_xll.PtreeEvent_ObjectClick">
      <xdr:nvCxnSpPr>
        <xdr:cNvPr id="1079" name="PTObj_DBranchHLine_1_85">
          <a:extLst>
            <a:ext uri="{FF2B5EF4-FFF2-40B4-BE49-F238E27FC236}">
              <a16:creationId xmlns:a16="http://schemas.microsoft.com/office/drawing/2014/main" id="{00000000-0008-0000-0400-000037040000}"/>
            </a:ext>
          </a:extLst>
        </xdr:cNvPr>
        <xdr:cNvCxnSpPr/>
      </xdr:nvCxnSpPr>
      <xdr:spPr>
        <a:xfrm>
          <a:off x="11963209" y="288175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175</xdr:row>
      <xdr:rowOff>151767</xdr:rowOff>
    </xdr:from>
    <xdr:to>
      <xdr:col>8</xdr:col>
      <xdr:colOff>228409</xdr:colOff>
      <xdr:row>177</xdr:row>
      <xdr:rowOff>156846</xdr:rowOff>
    </xdr:to>
    <xdr:cxnSp macro="_xll.PtreeEvent_ObjectClick">
      <xdr:nvCxnSpPr>
        <xdr:cNvPr id="1078" name="PTObj_DBranchDLine_1_85">
          <a:extLst>
            <a:ext uri="{FF2B5EF4-FFF2-40B4-BE49-F238E27FC236}">
              <a16:creationId xmlns:a16="http://schemas.microsoft.com/office/drawing/2014/main" id="{00000000-0008-0000-0400-000036040000}"/>
            </a:ext>
          </a:extLst>
        </xdr:cNvPr>
        <xdr:cNvCxnSpPr/>
      </xdr:nvCxnSpPr>
      <xdr:spPr>
        <a:xfrm>
          <a:off x="11810809" y="284886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173</xdr:row>
      <xdr:rowOff>156846</xdr:rowOff>
    </xdr:from>
    <xdr:to>
      <xdr:col>9</xdr:col>
      <xdr:colOff>127</xdr:colOff>
      <xdr:row>173</xdr:row>
      <xdr:rowOff>156846</xdr:rowOff>
    </xdr:to>
    <xdr:cxnSp macro="_xll.PtreeEvent_ObjectClick">
      <xdr:nvCxnSpPr>
        <xdr:cNvPr id="1075" name="PTObj_DBranchHLine_1_84">
          <a:extLst>
            <a:ext uri="{FF2B5EF4-FFF2-40B4-BE49-F238E27FC236}">
              <a16:creationId xmlns:a16="http://schemas.microsoft.com/office/drawing/2014/main" id="{00000000-0008-0000-0400-000033040000}"/>
            </a:ext>
          </a:extLst>
        </xdr:cNvPr>
        <xdr:cNvCxnSpPr/>
      </xdr:nvCxnSpPr>
      <xdr:spPr>
        <a:xfrm>
          <a:off x="11963209" y="281698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173</xdr:row>
      <xdr:rowOff>156846</xdr:rowOff>
    </xdr:from>
    <xdr:to>
      <xdr:col>8</xdr:col>
      <xdr:colOff>228409</xdr:colOff>
      <xdr:row>175</xdr:row>
      <xdr:rowOff>151767</xdr:rowOff>
    </xdr:to>
    <xdr:cxnSp macro="_xll.PtreeEvent_ObjectClick">
      <xdr:nvCxnSpPr>
        <xdr:cNvPr id="1074" name="PTObj_DBranchDLine_1_84">
          <a:extLst>
            <a:ext uri="{FF2B5EF4-FFF2-40B4-BE49-F238E27FC236}">
              <a16:creationId xmlns:a16="http://schemas.microsoft.com/office/drawing/2014/main" id="{00000000-0008-0000-0400-000032040000}"/>
            </a:ext>
          </a:extLst>
        </xdr:cNvPr>
        <xdr:cNvCxnSpPr/>
      </xdr:nvCxnSpPr>
      <xdr:spPr>
        <a:xfrm flipV="1">
          <a:off x="11810809" y="281698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175</xdr:row>
      <xdr:rowOff>156846</xdr:rowOff>
    </xdr:from>
    <xdr:to>
      <xdr:col>8</xdr:col>
      <xdr:colOff>127</xdr:colOff>
      <xdr:row>175</xdr:row>
      <xdr:rowOff>156846</xdr:rowOff>
    </xdr:to>
    <xdr:cxnSp macro="_xll.PtreeEvent_ObjectClick">
      <xdr:nvCxnSpPr>
        <xdr:cNvPr id="1071" name="PTObj_DBranchHLine_1_83">
          <a:extLst>
            <a:ext uri="{FF2B5EF4-FFF2-40B4-BE49-F238E27FC236}">
              <a16:creationId xmlns:a16="http://schemas.microsoft.com/office/drawing/2014/main" id="{00000000-0008-0000-0400-00002F040000}"/>
            </a:ext>
          </a:extLst>
        </xdr:cNvPr>
        <xdr:cNvCxnSpPr/>
      </xdr:nvCxnSpPr>
      <xdr:spPr>
        <a:xfrm>
          <a:off x="10467784" y="284937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175</xdr:row>
      <xdr:rowOff>156846</xdr:rowOff>
    </xdr:from>
    <xdr:to>
      <xdr:col>7</xdr:col>
      <xdr:colOff>228409</xdr:colOff>
      <xdr:row>179</xdr:row>
      <xdr:rowOff>151767</xdr:rowOff>
    </xdr:to>
    <xdr:cxnSp macro="_xll.PtreeEvent_ObjectClick">
      <xdr:nvCxnSpPr>
        <xdr:cNvPr id="1070" name="PTObj_DBranchDLine_1_83">
          <a:extLst>
            <a:ext uri="{FF2B5EF4-FFF2-40B4-BE49-F238E27FC236}">
              <a16:creationId xmlns:a16="http://schemas.microsoft.com/office/drawing/2014/main" id="{00000000-0008-0000-0400-00002E040000}"/>
            </a:ext>
          </a:extLst>
        </xdr:cNvPr>
        <xdr:cNvCxnSpPr/>
      </xdr:nvCxnSpPr>
      <xdr:spPr>
        <a:xfrm flipV="1">
          <a:off x="10315384" y="28493721"/>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179</xdr:row>
      <xdr:rowOff>156846</xdr:rowOff>
    </xdr:from>
    <xdr:to>
      <xdr:col>7</xdr:col>
      <xdr:colOff>127</xdr:colOff>
      <xdr:row>179</xdr:row>
      <xdr:rowOff>156846</xdr:rowOff>
    </xdr:to>
    <xdr:cxnSp macro="_xll.PtreeEvent_ObjectClick">
      <xdr:nvCxnSpPr>
        <xdr:cNvPr id="1067" name="PTObj_DBranchHLine_1_82">
          <a:extLst>
            <a:ext uri="{FF2B5EF4-FFF2-40B4-BE49-F238E27FC236}">
              <a16:creationId xmlns:a16="http://schemas.microsoft.com/office/drawing/2014/main" id="{00000000-0008-0000-0400-00002B040000}"/>
            </a:ext>
          </a:extLst>
        </xdr:cNvPr>
        <xdr:cNvCxnSpPr/>
      </xdr:nvCxnSpPr>
      <xdr:spPr>
        <a:xfrm>
          <a:off x="8972359" y="291414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171</xdr:row>
      <xdr:rowOff>151767</xdr:rowOff>
    </xdr:from>
    <xdr:to>
      <xdr:col>6</xdr:col>
      <xdr:colOff>228409</xdr:colOff>
      <xdr:row>179</xdr:row>
      <xdr:rowOff>156846</xdr:rowOff>
    </xdr:to>
    <xdr:cxnSp macro="_xll.PtreeEvent_ObjectClick">
      <xdr:nvCxnSpPr>
        <xdr:cNvPr id="1066" name="PTObj_DBranchDLine_1_82">
          <a:extLst>
            <a:ext uri="{FF2B5EF4-FFF2-40B4-BE49-F238E27FC236}">
              <a16:creationId xmlns:a16="http://schemas.microsoft.com/office/drawing/2014/main" id="{00000000-0008-0000-0400-00002A040000}"/>
            </a:ext>
          </a:extLst>
        </xdr:cNvPr>
        <xdr:cNvCxnSpPr/>
      </xdr:nvCxnSpPr>
      <xdr:spPr>
        <a:xfrm>
          <a:off x="8819959" y="27840942"/>
          <a:ext cx="152400" cy="13004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169</xdr:row>
      <xdr:rowOff>156846</xdr:rowOff>
    </xdr:from>
    <xdr:to>
      <xdr:col>9</xdr:col>
      <xdr:colOff>127</xdr:colOff>
      <xdr:row>169</xdr:row>
      <xdr:rowOff>156846</xdr:rowOff>
    </xdr:to>
    <xdr:cxnSp macro="_xll.PtreeEvent_ObjectClick">
      <xdr:nvCxnSpPr>
        <xdr:cNvPr id="1063" name="PTObj_DBranchHLine_1_81">
          <a:extLst>
            <a:ext uri="{FF2B5EF4-FFF2-40B4-BE49-F238E27FC236}">
              <a16:creationId xmlns:a16="http://schemas.microsoft.com/office/drawing/2014/main" id="{00000000-0008-0000-0400-000027040000}"/>
            </a:ext>
          </a:extLst>
        </xdr:cNvPr>
        <xdr:cNvCxnSpPr/>
      </xdr:nvCxnSpPr>
      <xdr:spPr>
        <a:xfrm>
          <a:off x="11963209" y="275221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167</xdr:row>
      <xdr:rowOff>151767</xdr:rowOff>
    </xdr:from>
    <xdr:to>
      <xdr:col>8</xdr:col>
      <xdr:colOff>228409</xdr:colOff>
      <xdr:row>169</xdr:row>
      <xdr:rowOff>156846</xdr:rowOff>
    </xdr:to>
    <xdr:cxnSp macro="_xll.PtreeEvent_ObjectClick">
      <xdr:nvCxnSpPr>
        <xdr:cNvPr id="1062" name="PTObj_DBranchDLine_1_81">
          <a:extLst>
            <a:ext uri="{FF2B5EF4-FFF2-40B4-BE49-F238E27FC236}">
              <a16:creationId xmlns:a16="http://schemas.microsoft.com/office/drawing/2014/main" id="{00000000-0008-0000-0400-000026040000}"/>
            </a:ext>
          </a:extLst>
        </xdr:cNvPr>
        <xdr:cNvCxnSpPr/>
      </xdr:nvCxnSpPr>
      <xdr:spPr>
        <a:xfrm>
          <a:off x="11810809" y="271932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165</xdr:row>
      <xdr:rowOff>156846</xdr:rowOff>
    </xdr:from>
    <xdr:to>
      <xdr:col>9</xdr:col>
      <xdr:colOff>127</xdr:colOff>
      <xdr:row>165</xdr:row>
      <xdr:rowOff>156846</xdr:rowOff>
    </xdr:to>
    <xdr:cxnSp macro="_xll.PtreeEvent_ObjectClick">
      <xdr:nvCxnSpPr>
        <xdr:cNvPr id="1059" name="PTObj_DBranchHLine_1_80">
          <a:extLst>
            <a:ext uri="{FF2B5EF4-FFF2-40B4-BE49-F238E27FC236}">
              <a16:creationId xmlns:a16="http://schemas.microsoft.com/office/drawing/2014/main" id="{00000000-0008-0000-0400-000023040000}"/>
            </a:ext>
          </a:extLst>
        </xdr:cNvPr>
        <xdr:cNvCxnSpPr/>
      </xdr:nvCxnSpPr>
      <xdr:spPr>
        <a:xfrm>
          <a:off x="11963209" y="268744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165</xdr:row>
      <xdr:rowOff>156846</xdr:rowOff>
    </xdr:from>
    <xdr:to>
      <xdr:col>8</xdr:col>
      <xdr:colOff>228409</xdr:colOff>
      <xdr:row>167</xdr:row>
      <xdr:rowOff>151767</xdr:rowOff>
    </xdr:to>
    <xdr:cxnSp macro="_xll.PtreeEvent_ObjectClick">
      <xdr:nvCxnSpPr>
        <xdr:cNvPr id="1058" name="PTObj_DBranchDLine_1_80">
          <a:extLst>
            <a:ext uri="{FF2B5EF4-FFF2-40B4-BE49-F238E27FC236}">
              <a16:creationId xmlns:a16="http://schemas.microsoft.com/office/drawing/2014/main" id="{00000000-0008-0000-0400-000022040000}"/>
            </a:ext>
          </a:extLst>
        </xdr:cNvPr>
        <xdr:cNvCxnSpPr/>
      </xdr:nvCxnSpPr>
      <xdr:spPr>
        <a:xfrm flipV="1">
          <a:off x="11810809" y="268744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167</xdr:row>
      <xdr:rowOff>156846</xdr:rowOff>
    </xdr:from>
    <xdr:to>
      <xdr:col>8</xdr:col>
      <xdr:colOff>127</xdr:colOff>
      <xdr:row>167</xdr:row>
      <xdr:rowOff>156846</xdr:rowOff>
    </xdr:to>
    <xdr:cxnSp macro="_xll.PtreeEvent_ObjectClick">
      <xdr:nvCxnSpPr>
        <xdr:cNvPr id="1055" name="PTObj_DBranchHLine_1_79">
          <a:extLst>
            <a:ext uri="{FF2B5EF4-FFF2-40B4-BE49-F238E27FC236}">
              <a16:creationId xmlns:a16="http://schemas.microsoft.com/office/drawing/2014/main" id="{00000000-0008-0000-0400-00001F040000}"/>
            </a:ext>
          </a:extLst>
        </xdr:cNvPr>
        <xdr:cNvCxnSpPr/>
      </xdr:nvCxnSpPr>
      <xdr:spPr>
        <a:xfrm>
          <a:off x="10467784" y="271983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157</xdr:row>
      <xdr:rowOff>151766</xdr:rowOff>
    </xdr:from>
    <xdr:to>
      <xdr:col>7</xdr:col>
      <xdr:colOff>228409</xdr:colOff>
      <xdr:row>167</xdr:row>
      <xdr:rowOff>156846</xdr:rowOff>
    </xdr:to>
    <xdr:cxnSp macro="_xll.PtreeEvent_ObjectClick">
      <xdr:nvCxnSpPr>
        <xdr:cNvPr id="1054" name="PTObj_DBranchDLine_1_79">
          <a:extLst>
            <a:ext uri="{FF2B5EF4-FFF2-40B4-BE49-F238E27FC236}">
              <a16:creationId xmlns:a16="http://schemas.microsoft.com/office/drawing/2014/main" id="{00000000-0008-0000-0400-00001E040000}"/>
            </a:ext>
          </a:extLst>
        </xdr:cNvPr>
        <xdr:cNvCxnSpPr/>
      </xdr:nvCxnSpPr>
      <xdr:spPr>
        <a:xfrm>
          <a:off x="10315384" y="25573991"/>
          <a:ext cx="152400" cy="162433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163</xdr:row>
      <xdr:rowOff>156846</xdr:rowOff>
    </xdr:from>
    <xdr:to>
      <xdr:col>9</xdr:col>
      <xdr:colOff>127</xdr:colOff>
      <xdr:row>163</xdr:row>
      <xdr:rowOff>156846</xdr:rowOff>
    </xdr:to>
    <xdr:cxnSp macro="_xll.PtreeEvent_ObjectClick">
      <xdr:nvCxnSpPr>
        <xdr:cNvPr id="1051" name="PTObj_DBranchHLine_1_78">
          <a:extLst>
            <a:ext uri="{FF2B5EF4-FFF2-40B4-BE49-F238E27FC236}">
              <a16:creationId xmlns:a16="http://schemas.microsoft.com/office/drawing/2014/main" id="{00000000-0008-0000-0400-00001B040000}"/>
            </a:ext>
          </a:extLst>
        </xdr:cNvPr>
        <xdr:cNvCxnSpPr/>
      </xdr:nvCxnSpPr>
      <xdr:spPr>
        <a:xfrm>
          <a:off x="11963209" y="265506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161</xdr:row>
      <xdr:rowOff>151767</xdr:rowOff>
    </xdr:from>
    <xdr:to>
      <xdr:col>8</xdr:col>
      <xdr:colOff>228409</xdr:colOff>
      <xdr:row>163</xdr:row>
      <xdr:rowOff>156846</xdr:rowOff>
    </xdr:to>
    <xdr:cxnSp macro="_xll.PtreeEvent_ObjectClick">
      <xdr:nvCxnSpPr>
        <xdr:cNvPr id="1050" name="PTObj_DBranchDLine_1_78">
          <a:extLst>
            <a:ext uri="{FF2B5EF4-FFF2-40B4-BE49-F238E27FC236}">
              <a16:creationId xmlns:a16="http://schemas.microsoft.com/office/drawing/2014/main" id="{00000000-0008-0000-0400-00001A040000}"/>
            </a:ext>
          </a:extLst>
        </xdr:cNvPr>
        <xdr:cNvCxnSpPr/>
      </xdr:nvCxnSpPr>
      <xdr:spPr>
        <a:xfrm>
          <a:off x="11810809" y="262216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159</xdr:row>
      <xdr:rowOff>156845</xdr:rowOff>
    </xdr:from>
    <xdr:to>
      <xdr:col>9</xdr:col>
      <xdr:colOff>127</xdr:colOff>
      <xdr:row>159</xdr:row>
      <xdr:rowOff>156845</xdr:rowOff>
    </xdr:to>
    <xdr:cxnSp macro="_xll.PtreeEvent_ObjectClick">
      <xdr:nvCxnSpPr>
        <xdr:cNvPr id="1047" name="PTObj_DBranchHLine_1_77">
          <a:extLst>
            <a:ext uri="{FF2B5EF4-FFF2-40B4-BE49-F238E27FC236}">
              <a16:creationId xmlns:a16="http://schemas.microsoft.com/office/drawing/2014/main" id="{00000000-0008-0000-0400-000017040000}"/>
            </a:ext>
          </a:extLst>
        </xdr:cNvPr>
        <xdr:cNvCxnSpPr/>
      </xdr:nvCxnSpPr>
      <xdr:spPr>
        <a:xfrm>
          <a:off x="11963209" y="259029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159</xdr:row>
      <xdr:rowOff>156845</xdr:rowOff>
    </xdr:from>
    <xdr:to>
      <xdr:col>8</xdr:col>
      <xdr:colOff>228409</xdr:colOff>
      <xdr:row>161</xdr:row>
      <xdr:rowOff>151767</xdr:rowOff>
    </xdr:to>
    <xdr:cxnSp macro="_xll.PtreeEvent_ObjectClick">
      <xdr:nvCxnSpPr>
        <xdr:cNvPr id="1046" name="PTObj_DBranchDLine_1_77">
          <a:extLst>
            <a:ext uri="{FF2B5EF4-FFF2-40B4-BE49-F238E27FC236}">
              <a16:creationId xmlns:a16="http://schemas.microsoft.com/office/drawing/2014/main" id="{00000000-0008-0000-0400-000016040000}"/>
            </a:ext>
          </a:extLst>
        </xdr:cNvPr>
        <xdr:cNvCxnSpPr/>
      </xdr:nvCxnSpPr>
      <xdr:spPr>
        <a:xfrm flipV="1">
          <a:off x="11810809" y="25902920"/>
          <a:ext cx="152400" cy="318772"/>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161</xdr:row>
      <xdr:rowOff>156846</xdr:rowOff>
    </xdr:from>
    <xdr:to>
      <xdr:col>8</xdr:col>
      <xdr:colOff>127</xdr:colOff>
      <xdr:row>161</xdr:row>
      <xdr:rowOff>156846</xdr:rowOff>
    </xdr:to>
    <xdr:cxnSp macro="_xll.PtreeEvent_ObjectClick">
      <xdr:nvCxnSpPr>
        <xdr:cNvPr id="1043" name="PTObj_DBranchHLine_1_76">
          <a:extLst>
            <a:ext uri="{FF2B5EF4-FFF2-40B4-BE49-F238E27FC236}">
              <a16:creationId xmlns:a16="http://schemas.microsoft.com/office/drawing/2014/main" id="{00000000-0008-0000-0400-000013040000}"/>
            </a:ext>
          </a:extLst>
        </xdr:cNvPr>
        <xdr:cNvCxnSpPr/>
      </xdr:nvCxnSpPr>
      <xdr:spPr>
        <a:xfrm>
          <a:off x="10467784" y="262267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157</xdr:row>
      <xdr:rowOff>151766</xdr:rowOff>
    </xdr:from>
    <xdr:to>
      <xdr:col>7</xdr:col>
      <xdr:colOff>228409</xdr:colOff>
      <xdr:row>161</xdr:row>
      <xdr:rowOff>156846</xdr:rowOff>
    </xdr:to>
    <xdr:cxnSp macro="_xll.PtreeEvent_ObjectClick">
      <xdr:nvCxnSpPr>
        <xdr:cNvPr id="1042" name="PTObj_DBranchDLine_1_76">
          <a:extLst>
            <a:ext uri="{FF2B5EF4-FFF2-40B4-BE49-F238E27FC236}">
              <a16:creationId xmlns:a16="http://schemas.microsoft.com/office/drawing/2014/main" id="{00000000-0008-0000-0400-000012040000}"/>
            </a:ext>
          </a:extLst>
        </xdr:cNvPr>
        <xdr:cNvCxnSpPr/>
      </xdr:nvCxnSpPr>
      <xdr:spPr>
        <a:xfrm>
          <a:off x="10315384" y="25573991"/>
          <a:ext cx="152400" cy="6527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155</xdr:row>
      <xdr:rowOff>156845</xdr:rowOff>
    </xdr:from>
    <xdr:to>
      <xdr:col>9</xdr:col>
      <xdr:colOff>127</xdr:colOff>
      <xdr:row>155</xdr:row>
      <xdr:rowOff>156845</xdr:rowOff>
    </xdr:to>
    <xdr:cxnSp macro="_xll.PtreeEvent_ObjectClick">
      <xdr:nvCxnSpPr>
        <xdr:cNvPr id="1039" name="PTObj_DBranchHLine_1_75">
          <a:extLst>
            <a:ext uri="{FF2B5EF4-FFF2-40B4-BE49-F238E27FC236}">
              <a16:creationId xmlns:a16="http://schemas.microsoft.com/office/drawing/2014/main" id="{00000000-0008-0000-0400-00000F040000}"/>
            </a:ext>
          </a:extLst>
        </xdr:cNvPr>
        <xdr:cNvCxnSpPr/>
      </xdr:nvCxnSpPr>
      <xdr:spPr>
        <a:xfrm>
          <a:off x="11963209" y="252552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153</xdr:row>
      <xdr:rowOff>151766</xdr:rowOff>
    </xdr:from>
    <xdr:to>
      <xdr:col>8</xdr:col>
      <xdr:colOff>228409</xdr:colOff>
      <xdr:row>155</xdr:row>
      <xdr:rowOff>156845</xdr:rowOff>
    </xdr:to>
    <xdr:cxnSp macro="_xll.PtreeEvent_ObjectClick">
      <xdr:nvCxnSpPr>
        <xdr:cNvPr id="1038" name="PTObj_DBranchDLine_1_75">
          <a:extLst>
            <a:ext uri="{FF2B5EF4-FFF2-40B4-BE49-F238E27FC236}">
              <a16:creationId xmlns:a16="http://schemas.microsoft.com/office/drawing/2014/main" id="{00000000-0008-0000-0400-00000E040000}"/>
            </a:ext>
          </a:extLst>
        </xdr:cNvPr>
        <xdr:cNvCxnSpPr/>
      </xdr:nvCxnSpPr>
      <xdr:spPr>
        <a:xfrm>
          <a:off x="11810809" y="249262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151</xdr:row>
      <xdr:rowOff>156845</xdr:rowOff>
    </xdr:from>
    <xdr:to>
      <xdr:col>9</xdr:col>
      <xdr:colOff>127</xdr:colOff>
      <xdr:row>151</xdr:row>
      <xdr:rowOff>156845</xdr:rowOff>
    </xdr:to>
    <xdr:cxnSp macro="_xll.PtreeEvent_ObjectClick">
      <xdr:nvCxnSpPr>
        <xdr:cNvPr id="1035" name="PTObj_DBranchHLine_1_74">
          <a:extLst>
            <a:ext uri="{FF2B5EF4-FFF2-40B4-BE49-F238E27FC236}">
              <a16:creationId xmlns:a16="http://schemas.microsoft.com/office/drawing/2014/main" id="{00000000-0008-0000-0400-00000B040000}"/>
            </a:ext>
          </a:extLst>
        </xdr:cNvPr>
        <xdr:cNvCxnSpPr/>
      </xdr:nvCxnSpPr>
      <xdr:spPr>
        <a:xfrm>
          <a:off x="11963209" y="246075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151</xdr:row>
      <xdr:rowOff>156845</xdr:rowOff>
    </xdr:from>
    <xdr:to>
      <xdr:col>8</xdr:col>
      <xdr:colOff>228409</xdr:colOff>
      <xdr:row>153</xdr:row>
      <xdr:rowOff>151766</xdr:rowOff>
    </xdr:to>
    <xdr:cxnSp macro="_xll.PtreeEvent_ObjectClick">
      <xdr:nvCxnSpPr>
        <xdr:cNvPr id="1034" name="PTObj_DBranchDLine_1_74">
          <a:extLst>
            <a:ext uri="{FF2B5EF4-FFF2-40B4-BE49-F238E27FC236}">
              <a16:creationId xmlns:a16="http://schemas.microsoft.com/office/drawing/2014/main" id="{00000000-0008-0000-0400-00000A040000}"/>
            </a:ext>
          </a:extLst>
        </xdr:cNvPr>
        <xdr:cNvCxnSpPr/>
      </xdr:nvCxnSpPr>
      <xdr:spPr>
        <a:xfrm flipV="1">
          <a:off x="11810809" y="246075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153</xdr:row>
      <xdr:rowOff>156845</xdr:rowOff>
    </xdr:from>
    <xdr:to>
      <xdr:col>8</xdr:col>
      <xdr:colOff>127</xdr:colOff>
      <xdr:row>153</xdr:row>
      <xdr:rowOff>156845</xdr:rowOff>
    </xdr:to>
    <xdr:cxnSp macro="_xll.PtreeEvent_ObjectClick">
      <xdr:nvCxnSpPr>
        <xdr:cNvPr id="1031" name="PTObj_DBranchHLine_1_73">
          <a:extLst>
            <a:ext uri="{FF2B5EF4-FFF2-40B4-BE49-F238E27FC236}">
              <a16:creationId xmlns:a16="http://schemas.microsoft.com/office/drawing/2014/main" id="{00000000-0008-0000-0400-000007040000}"/>
            </a:ext>
          </a:extLst>
        </xdr:cNvPr>
        <xdr:cNvCxnSpPr/>
      </xdr:nvCxnSpPr>
      <xdr:spPr>
        <a:xfrm>
          <a:off x="10467784" y="249313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153</xdr:row>
      <xdr:rowOff>156845</xdr:rowOff>
    </xdr:from>
    <xdr:to>
      <xdr:col>7</xdr:col>
      <xdr:colOff>228409</xdr:colOff>
      <xdr:row>157</xdr:row>
      <xdr:rowOff>151766</xdr:rowOff>
    </xdr:to>
    <xdr:cxnSp macro="_xll.PtreeEvent_ObjectClick">
      <xdr:nvCxnSpPr>
        <xdr:cNvPr id="1030" name="PTObj_DBranchDLine_1_73">
          <a:extLst>
            <a:ext uri="{FF2B5EF4-FFF2-40B4-BE49-F238E27FC236}">
              <a16:creationId xmlns:a16="http://schemas.microsoft.com/office/drawing/2014/main" id="{00000000-0008-0000-0400-000006040000}"/>
            </a:ext>
          </a:extLst>
        </xdr:cNvPr>
        <xdr:cNvCxnSpPr/>
      </xdr:nvCxnSpPr>
      <xdr:spPr>
        <a:xfrm flipV="1">
          <a:off x="10315384" y="24931370"/>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157</xdr:row>
      <xdr:rowOff>156845</xdr:rowOff>
    </xdr:from>
    <xdr:to>
      <xdr:col>7</xdr:col>
      <xdr:colOff>127</xdr:colOff>
      <xdr:row>157</xdr:row>
      <xdr:rowOff>156845</xdr:rowOff>
    </xdr:to>
    <xdr:cxnSp macro="_xll.PtreeEvent_ObjectClick">
      <xdr:nvCxnSpPr>
        <xdr:cNvPr id="1027" name="PTObj_DBranchHLine_1_72">
          <a:extLst>
            <a:ext uri="{FF2B5EF4-FFF2-40B4-BE49-F238E27FC236}">
              <a16:creationId xmlns:a16="http://schemas.microsoft.com/office/drawing/2014/main" id="{00000000-0008-0000-0400-000003040000}"/>
            </a:ext>
          </a:extLst>
        </xdr:cNvPr>
        <xdr:cNvCxnSpPr/>
      </xdr:nvCxnSpPr>
      <xdr:spPr>
        <a:xfrm>
          <a:off x="8972359" y="255790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157</xdr:row>
      <xdr:rowOff>156845</xdr:rowOff>
    </xdr:from>
    <xdr:to>
      <xdr:col>6</xdr:col>
      <xdr:colOff>228409</xdr:colOff>
      <xdr:row>171</xdr:row>
      <xdr:rowOff>151767</xdr:rowOff>
    </xdr:to>
    <xdr:cxnSp macro="_xll.PtreeEvent_ObjectClick">
      <xdr:nvCxnSpPr>
        <xdr:cNvPr id="1026" name="PTObj_DBranchDLine_1_72">
          <a:extLst>
            <a:ext uri="{FF2B5EF4-FFF2-40B4-BE49-F238E27FC236}">
              <a16:creationId xmlns:a16="http://schemas.microsoft.com/office/drawing/2014/main" id="{00000000-0008-0000-0400-000002040000}"/>
            </a:ext>
          </a:extLst>
        </xdr:cNvPr>
        <xdr:cNvCxnSpPr/>
      </xdr:nvCxnSpPr>
      <xdr:spPr>
        <a:xfrm flipV="1">
          <a:off x="8819959" y="25579070"/>
          <a:ext cx="152400" cy="2261872"/>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171</xdr:row>
      <xdr:rowOff>156846</xdr:rowOff>
    </xdr:from>
    <xdr:to>
      <xdr:col>6</xdr:col>
      <xdr:colOff>127</xdr:colOff>
      <xdr:row>171</xdr:row>
      <xdr:rowOff>156846</xdr:rowOff>
    </xdr:to>
    <xdr:cxnSp macro="_xll.PtreeEvent_ObjectClick">
      <xdr:nvCxnSpPr>
        <xdr:cNvPr id="1023" name="PTObj_DBranchHLine_1_71">
          <a:extLst>
            <a:ext uri="{FF2B5EF4-FFF2-40B4-BE49-F238E27FC236}">
              <a16:creationId xmlns:a16="http://schemas.microsoft.com/office/drawing/2014/main" id="{00000000-0008-0000-0400-0000FF030000}"/>
            </a:ext>
          </a:extLst>
        </xdr:cNvPr>
        <xdr:cNvCxnSpPr/>
      </xdr:nvCxnSpPr>
      <xdr:spPr>
        <a:xfrm>
          <a:off x="7476934" y="278460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171</xdr:row>
      <xdr:rowOff>156846</xdr:rowOff>
    </xdr:from>
    <xdr:to>
      <xdr:col>5</xdr:col>
      <xdr:colOff>228409</xdr:colOff>
      <xdr:row>213</xdr:row>
      <xdr:rowOff>151767</xdr:rowOff>
    </xdr:to>
    <xdr:cxnSp macro="_xll.PtreeEvent_ObjectClick">
      <xdr:nvCxnSpPr>
        <xdr:cNvPr id="1022" name="PTObj_DBranchDLine_1_71">
          <a:extLst>
            <a:ext uri="{FF2B5EF4-FFF2-40B4-BE49-F238E27FC236}">
              <a16:creationId xmlns:a16="http://schemas.microsoft.com/office/drawing/2014/main" id="{00000000-0008-0000-0400-0000FE030000}"/>
            </a:ext>
          </a:extLst>
        </xdr:cNvPr>
        <xdr:cNvCxnSpPr/>
      </xdr:nvCxnSpPr>
      <xdr:spPr>
        <a:xfrm flipV="1">
          <a:off x="7324534" y="27846021"/>
          <a:ext cx="152400" cy="6795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228410</xdr:colOff>
      <xdr:row>213</xdr:row>
      <xdr:rowOff>156846</xdr:rowOff>
    </xdr:from>
    <xdr:to>
      <xdr:col>5</xdr:col>
      <xdr:colOff>127</xdr:colOff>
      <xdr:row>213</xdr:row>
      <xdr:rowOff>156846</xdr:rowOff>
    </xdr:to>
    <xdr:cxnSp macro="_xll.PtreeEvent_ObjectClick">
      <xdr:nvCxnSpPr>
        <xdr:cNvPr id="1019" name="PTObj_DBranchHLine_1_70">
          <a:extLst>
            <a:ext uri="{FF2B5EF4-FFF2-40B4-BE49-F238E27FC236}">
              <a16:creationId xmlns:a16="http://schemas.microsoft.com/office/drawing/2014/main" id="{00000000-0008-0000-0400-0000FB030000}"/>
            </a:ext>
          </a:extLst>
        </xdr:cNvPr>
        <xdr:cNvCxnSpPr/>
      </xdr:nvCxnSpPr>
      <xdr:spPr>
        <a:xfrm>
          <a:off x="5981510" y="346468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213</xdr:row>
      <xdr:rowOff>156846</xdr:rowOff>
    </xdr:from>
    <xdr:to>
      <xdr:col>4</xdr:col>
      <xdr:colOff>228410</xdr:colOff>
      <xdr:row>217</xdr:row>
      <xdr:rowOff>151767</xdr:rowOff>
    </xdr:to>
    <xdr:cxnSp macro="_xll.PtreeEvent_ObjectClick">
      <xdr:nvCxnSpPr>
        <xdr:cNvPr id="1018" name="PTObj_DBranchDLine_1_70">
          <a:extLst>
            <a:ext uri="{FF2B5EF4-FFF2-40B4-BE49-F238E27FC236}">
              <a16:creationId xmlns:a16="http://schemas.microsoft.com/office/drawing/2014/main" id="{00000000-0008-0000-0400-0000FA030000}"/>
            </a:ext>
          </a:extLst>
        </xdr:cNvPr>
        <xdr:cNvCxnSpPr/>
      </xdr:nvCxnSpPr>
      <xdr:spPr>
        <a:xfrm flipV="1">
          <a:off x="5829110" y="34646871"/>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228410</xdr:colOff>
      <xdr:row>217</xdr:row>
      <xdr:rowOff>156846</xdr:rowOff>
    </xdr:from>
    <xdr:to>
      <xdr:col>4</xdr:col>
      <xdr:colOff>127</xdr:colOff>
      <xdr:row>217</xdr:row>
      <xdr:rowOff>156846</xdr:rowOff>
    </xdr:to>
    <xdr:cxnSp macro="_xll.PtreeEvent_ObjectClick">
      <xdr:nvCxnSpPr>
        <xdr:cNvPr id="1015" name="PTObj_DBranchHLine_1_68">
          <a:extLst>
            <a:ext uri="{FF2B5EF4-FFF2-40B4-BE49-F238E27FC236}">
              <a16:creationId xmlns:a16="http://schemas.microsoft.com/office/drawing/2014/main" id="{00000000-0008-0000-0400-0000F7030000}"/>
            </a:ext>
          </a:extLst>
        </xdr:cNvPr>
        <xdr:cNvCxnSpPr/>
      </xdr:nvCxnSpPr>
      <xdr:spPr>
        <a:xfrm>
          <a:off x="4486085" y="352945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76010</xdr:colOff>
      <xdr:row>217</xdr:row>
      <xdr:rowOff>156846</xdr:rowOff>
    </xdr:from>
    <xdr:to>
      <xdr:col>3</xdr:col>
      <xdr:colOff>228410</xdr:colOff>
      <xdr:row>285</xdr:row>
      <xdr:rowOff>151767</xdr:rowOff>
    </xdr:to>
    <xdr:cxnSp macro="_xll.PtreeEvent_ObjectClick">
      <xdr:nvCxnSpPr>
        <xdr:cNvPr id="1014" name="PTObj_DBranchDLine_1_68">
          <a:extLst>
            <a:ext uri="{FF2B5EF4-FFF2-40B4-BE49-F238E27FC236}">
              <a16:creationId xmlns:a16="http://schemas.microsoft.com/office/drawing/2014/main" id="{00000000-0008-0000-0400-0000F6030000}"/>
            </a:ext>
          </a:extLst>
        </xdr:cNvPr>
        <xdr:cNvCxnSpPr/>
      </xdr:nvCxnSpPr>
      <xdr:spPr>
        <a:xfrm flipV="1">
          <a:off x="4333685" y="35294571"/>
          <a:ext cx="152400" cy="110058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228410</xdr:colOff>
      <xdr:row>285</xdr:row>
      <xdr:rowOff>156846</xdr:rowOff>
    </xdr:from>
    <xdr:to>
      <xdr:col>3</xdr:col>
      <xdr:colOff>127</xdr:colOff>
      <xdr:row>285</xdr:row>
      <xdr:rowOff>156846</xdr:rowOff>
    </xdr:to>
    <xdr:cxnSp macro="_xll.PtreeEvent_ObjectClick">
      <xdr:nvCxnSpPr>
        <xdr:cNvPr id="1011" name="PTObj_DBranchHLine_1_5">
          <a:extLst>
            <a:ext uri="{FF2B5EF4-FFF2-40B4-BE49-F238E27FC236}">
              <a16:creationId xmlns:a16="http://schemas.microsoft.com/office/drawing/2014/main" id="{00000000-0008-0000-0400-0000F3030000}"/>
            </a:ext>
          </a:extLst>
        </xdr:cNvPr>
        <xdr:cNvCxnSpPr/>
      </xdr:nvCxnSpPr>
      <xdr:spPr>
        <a:xfrm>
          <a:off x="2990660" y="463054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76010</xdr:colOff>
      <xdr:row>149</xdr:row>
      <xdr:rowOff>151767</xdr:rowOff>
    </xdr:from>
    <xdr:to>
      <xdr:col>2</xdr:col>
      <xdr:colOff>228410</xdr:colOff>
      <xdr:row>285</xdr:row>
      <xdr:rowOff>156846</xdr:rowOff>
    </xdr:to>
    <xdr:cxnSp macro="_xll.PtreeEvent_ObjectClick">
      <xdr:nvCxnSpPr>
        <xdr:cNvPr id="1010" name="PTObj_DBranchDLine_1_5">
          <a:extLst>
            <a:ext uri="{FF2B5EF4-FFF2-40B4-BE49-F238E27FC236}">
              <a16:creationId xmlns:a16="http://schemas.microsoft.com/office/drawing/2014/main" id="{00000000-0008-0000-0400-0000F2030000}"/>
            </a:ext>
          </a:extLst>
        </xdr:cNvPr>
        <xdr:cNvCxnSpPr/>
      </xdr:nvCxnSpPr>
      <xdr:spPr>
        <a:xfrm>
          <a:off x="2838260" y="24278592"/>
          <a:ext cx="152400" cy="220268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137</xdr:row>
      <xdr:rowOff>156845</xdr:rowOff>
    </xdr:from>
    <xdr:to>
      <xdr:col>9</xdr:col>
      <xdr:colOff>127</xdr:colOff>
      <xdr:row>137</xdr:row>
      <xdr:rowOff>156845</xdr:rowOff>
    </xdr:to>
    <xdr:cxnSp macro="_xll.PtreeEvent_ObjectClick">
      <xdr:nvCxnSpPr>
        <xdr:cNvPr id="1007" name="PTObj_DBranchHLine_1_139">
          <a:extLst>
            <a:ext uri="{FF2B5EF4-FFF2-40B4-BE49-F238E27FC236}">
              <a16:creationId xmlns:a16="http://schemas.microsoft.com/office/drawing/2014/main" id="{00000000-0008-0000-0400-0000EF030000}"/>
            </a:ext>
          </a:extLst>
        </xdr:cNvPr>
        <xdr:cNvCxnSpPr/>
      </xdr:nvCxnSpPr>
      <xdr:spPr>
        <a:xfrm>
          <a:off x="11963209" y="223405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135</xdr:row>
      <xdr:rowOff>151763</xdr:rowOff>
    </xdr:from>
    <xdr:to>
      <xdr:col>8</xdr:col>
      <xdr:colOff>228409</xdr:colOff>
      <xdr:row>137</xdr:row>
      <xdr:rowOff>156845</xdr:rowOff>
    </xdr:to>
    <xdr:cxnSp macro="_xll.PtreeEvent_ObjectClick">
      <xdr:nvCxnSpPr>
        <xdr:cNvPr id="1006" name="PTObj_DBranchDLine_1_139">
          <a:extLst>
            <a:ext uri="{FF2B5EF4-FFF2-40B4-BE49-F238E27FC236}">
              <a16:creationId xmlns:a16="http://schemas.microsoft.com/office/drawing/2014/main" id="{00000000-0008-0000-0400-0000EE030000}"/>
            </a:ext>
          </a:extLst>
        </xdr:cNvPr>
        <xdr:cNvCxnSpPr/>
      </xdr:nvCxnSpPr>
      <xdr:spPr>
        <a:xfrm>
          <a:off x="11810809" y="22011638"/>
          <a:ext cx="152400" cy="328932"/>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133</xdr:row>
      <xdr:rowOff>156845</xdr:rowOff>
    </xdr:from>
    <xdr:to>
      <xdr:col>9</xdr:col>
      <xdr:colOff>127</xdr:colOff>
      <xdr:row>133</xdr:row>
      <xdr:rowOff>156845</xdr:rowOff>
    </xdr:to>
    <xdr:cxnSp macro="_xll.PtreeEvent_ObjectClick">
      <xdr:nvCxnSpPr>
        <xdr:cNvPr id="1003" name="PTObj_DBranchHLine_1_138">
          <a:extLst>
            <a:ext uri="{FF2B5EF4-FFF2-40B4-BE49-F238E27FC236}">
              <a16:creationId xmlns:a16="http://schemas.microsoft.com/office/drawing/2014/main" id="{00000000-0008-0000-0400-0000EB030000}"/>
            </a:ext>
          </a:extLst>
        </xdr:cNvPr>
        <xdr:cNvCxnSpPr/>
      </xdr:nvCxnSpPr>
      <xdr:spPr>
        <a:xfrm>
          <a:off x="11963209" y="216928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133</xdr:row>
      <xdr:rowOff>156845</xdr:rowOff>
    </xdr:from>
    <xdr:to>
      <xdr:col>8</xdr:col>
      <xdr:colOff>228409</xdr:colOff>
      <xdr:row>135</xdr:row>
      <xdr:rowOff>151763</xdr:rowOff>
    </xdr:to>
    <xdr:cxnSp macro="_xll.PtreeEvent_ObjectClick">
      <xdr:nvCxnSpPr>
        <xdr:cNvPr id="1002" name="PTObj_DBranchDLine_1_138">
          <a:extLst>
            <a:ext uri="{FF2B5EF4-FFF2-40B4-BE49-F238E27FC236}">
              <a16:creationId xmlns:a16="http://schemas.microsoft.com/office/drawing/2014/main" id="{00000000-0008-0000-0400-0000EA030000}"/>
            </a:ext>
          </a:extLst>
        </xdr:cNvPr>
        <xdr:cNvCxnSpPr/>
      </xdr:nvCxnSpPr>
      <xdr:spPr>
        <a:xfrm flipV="1">
          <a:off x="11810809" y="21692870"/>
          <a:ext cx="152400" cy="318768"/>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135</xdr:row>
      <xdr:rowOff>156845</xdr:rowOff>
    </xdr:from>
    <xdr:to>
      <xdr:col>8</xdr:col>
      <xdr:colOff>127</xdr:colOff>
      <xdr:row>135</xdr:row>
      <xdr:rowOff>156845</xdr:rowOff>
    </xdr:to>
    <xdr:cxnSp macro="_xll.PtreeEvent_ObjectClick">
      <xdr:nvCxnSpPr>
        <xdr:cNvPr id="999" name="PTObj_DBranchHLine_1_137">
          <a:extLst>
            <a:ext uri="{FF2B5EF4-FFF2-40B4-BE49-F238E27FC236}">
              <a16:creationId xmlns:a16="http://schemas.microsoft.com/office/drawing/2014/main" id="{00000000-0008-0000-0400-0000E7030000}"/>
            </a:ext>
          </a:extLst>
        </xdr:cNvPr>
        <xdr:cNvCxnSpPr/>
      </xdr:nvCxnSpPr>
      <xdr:spPr>
        <a:xfrm>
          <a:off x="10467784" y="220167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125</xdr:row>
      <xdr:rowOff>151766</xdr:rowOff>
    </xdr:from>
    <xdr:to>
      <xdr:col>7</xdr:col>
      <xdr:colOff>228409</xdr:colOff>
      <xdr:row>135</xdr:row>
      <xdr:rowOff>156845</xdr:rowOff>
    </xdr:to>
    <xdr:cxnSp macro="_xll.PtreeEvent_ObjectClick">
      <xdr:nvCxnSpPr>
        <xdr:cNvPr id="998" name="PTObj_DBranchDLine_1_137">
          <a:extLst>
            <a:ext uri="{FF2B5EF4-FFF2-40B4-BE49-F238E27FC236}">
              <a16:creationId xmlns:a16="http://schemas.microsoft.com/office/drawing/2014/main" id="{00000000-0008-0000-0400-0000E6030000}"/>
            </a:ext>
          </a:extLst>
        </xdr:cNvPr>
        <xdr:cNvCxnSpPr/>
      </xdr:nvCxnSpPr>
      <xdr:spPr>
        <a:xfrm>
          <a:off x="10315384" y="20392391"/>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131</xdr:row>
      <xdr:rowOff>156845</xdr:rowOff>
    </xdr:from>
    <xdr:to>
      <xdr:col>9</xdr:col>
      <xdr:colOff>127</xdr:colOff>
      <xdr:row>131</xdr:row>
      <xdr:rowOff>156845</xdr:rowOff>
    </xdr:to>
    <xdr:cxnSp macro="_xll.PtreeEvent_ObjectClick">
      <xdr:nvCxnSpPr>
        <xdr:cNvPr id="995" name="PTObj_DBranchHLine_1_66">
          <a:extLst>
            <a:ext uri="{FF2B5EF4-FFF2-40B4-BE49-F238E27FC236}">
              <a16:creationId xmlns:a16="http://schemas.microsoft.com/office/drawing/2014/main" id="{00000000-0008-0000-0400-0000E3030000}"/>
            </a:ext>
          </a:extLst>
        </xdr:cNvPr>
        <xdr:cNvCxnSpPr/>
      </xdr:nvCxnSpPr>
      <xdr:spPr>
        <a:xfrm>
          <a:off x="11963209" y="213690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129</xdr:row>
      <xdr:rowOff>151766</xdr:rowOff>
    </xdr:from>
    <xdr:to>
      <xdr:col>8</xdr:col>
      <xdr:colOff>228409</xdr:colOff>
      <xdr:row>131</xdr:row>
      <xdr:rowOff>156845</xdr:rowOff>
    </xdr:to>
    <xdr:cxnSp macro="_xll.PtreeEvent_ObjectClick">
      <xdr:nvCxnSpPr>
        <xdr:cNvPr id="994" name="PTObj_DBranchDLine_1_66">
          <a:extLst>
            <a:ext uri="{FF2B5EF4-FFF2-40B4-BE49-F238E27FC236}">
              <a16:creationId xmlns:a16="http://schemas.microsoft.com/office/drawing/2014/main" id="{00000000-0008-0000-0400-0000E2030000}"/>
            </a:ext>
          </a:extLst>
        </xdr:cNvPr>
        <xdr:cNvCxnSpPr/>
      </xdr:nvCxnSpPr>
      <xdr:spPr>
        <a:xfrm>
          <a:off x="11810809" y="210400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127</xdr:row>
      <xdr:rowOff>156845</xdr:rowOff>
    </xdr:from>
    <xdr:to>
      <xdr:col>9</xdr:col>
      <xdr:colOff>127</xdr:colOff>
      <xdr:row>127</xdr:row>
      <xdr:rowOff>156845</xdr:rowOff>
    </xdr:to>
    <xdr:cxnSp macro="_xll.PtreeEvent_ObjectClick">
      <xdr:nvCxnSpPr>
        <xdr:cNvPr id="991" name="PTObj_DBranchHLine_1_65">
          <a:extLst>
            <a:ext uri="{FF2B5EF4-FFF2-40B4-BE49-F238E27FC236}">
              <a16:creationId xmlns:a16="http://schemas.microsoft.com/office/drawing/2014/main" id="{00000000-0008-0000-0400-0000DF030000}"/>
            </a:ext>
          </a:extLst>
        </xdr:cNvPr>
        <xdr:cNvCxnSpPr/>
      </xdr:nvCxnSpPr>
      <xdr:spPr>
        <a:xfrm>
          <a:off x="11963209" y="207213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127</xdr:row>
      <xdr:rowOff>156845</xdr:rowOff>
    </xdr:from>
    <xdr:to>
      <xdr:col>8</xdr:col>
      <xdr:colOff>228409</xdr:colOff>
      <xdr:row>129</xdr:row>
      <xdr:rowOff>151766</xdr:rowOff>
    </xdr:to>
    <xdr:cxnSp macro="_xll.PtreeEvent_ObjectClick">
      <xdr:nvCxnSpPr>
        <xdr:cNvPr id="990" name="PTObj_DBranchDLine_1_65">
          <a:extLst>
            <a:ext uri="{FF2B5EF4-FFF2-40B4-BE49-F238E27FC236}">
              <a16:creationId xmlns:a16="http://schemas.microsoft.com/office/drawing/2014/main" id="{00000000-0008-0000-0400-0000DE030000}"/>
            </a:ext>
          </a:extLst>
        </xdr:cNvPr>
        <xdr:cNvCxnSpPr/>
      </xdr:nvCxnSpPr>
      <xdr:spPr>
        <a:xfrm flipV="1">
          <a:off x="11810809" y="207213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129</xdr:row>
      <xdr:rowOff>156845</xdr:rowOff>
    </xdr:from>
    <xdr:to>
      <xdr:col>8</xdr:col>
      <xdr:colOff>127</xdr:colOff>
      <xdr:row>129</xdr:row>
      <xdr:rowOff>156845</xdr:rowOff>
    </xdr:to>
    <xdr:cxnSp macro="_xll.PtreeEvent_ObjectClick">
      <xdr:nvCxnSpPr>
        <xdr:cNvPr id="987" name="PTObj_DBranchHLine_1_64">
          <a:extLst>
            <a:ext uri="{FF2B5EF4-FFF2-40B4-BE49-F238E27FC236}">
              <a16:creationId xmlns:a16="http://schemas.microsoft.com/office/drawing/2014/main" id="{00000000-0008-0000-0400-0000DB030000}"/>
            </a:ext>
          </a:extLst>
        </xdr:cNvPr>
        <xdr:cNvCxnSpPr/>
      </xdr:nvCxnSpPr>
      <xdr:spPr>
        <a:xfrm>
          <a:off x="10467784" y="210451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125</xdr:row>
      <xdr:rowOff>151766</xdr:rowOff>
    </xdr:from>
    <xdr:to>
      <xdr:col>7</xdr:col>
      <xdr:colOff>228409</xdr:colOff>
      <xdr:row>129</xdr:row>
      <xdr:rowOff>156845</xdr:rowOff>
    </xdr:to>
    <xdr:cxnSp macro="_xll.PtreeEvent_ObjectClick">
      <xdr:nvCxnSpPr>
        <xdr:cNvPr id="986" name="PTObj_DBranchDLine_1_64">
          <a:extLst>
            <a:ext uri="{FF2B5EF4-FFF2-40B4-BE49-F238E27FC236}">
              <a16:creationId xmlns:a16="http://schemas.microsoft.com/office/drawing/2014/main" id="{00000000-0008-0000-0400-0000DA030000}"/>
            </a:ext>
          </a:extLst>
        </xdr:cNvPr>
        <xdr:cNvCxnSpPr/>
      </xdr:nvCxnSpPr>
      <xdr:spPr>
        <a:xfrm>
          <a:off x="10315384" y="20392391"/>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123</xdr:row>
      <xdr:rowOff>156845</xdr:rowOff>
    </xdr:from>
    <xdr:to>
      <xdr:col>9</xdr:col>
      <xdr:colOff>127</xdr:colOff>
      <xdr:row>123</xdr:row>
      <xdr:rowOff>156845</xdr:rowOff>
    </xdr:to>
    <xdr:cxnSp macro="_xll.PtreeEvent_ObjectClick">
      <xdr:nvCxnSpPr>
        <xdr:cNvPr id="983" name="PTObj_DBranchHLine_1_63">
          <a:extLst>
            <a:ext uri="{FF2B5EF4-FFF2-40B4-BE49-F238E27FC236}">
              <a16:creationId xmlns:a16="http://schemas.microsoft.com/office/drawing/2014/main" id="{00000000-0008-0000-0400-0000D7030000}"/>
            </a:ext>
          </a:extLst>
        </xdr:cNvPr>
        <xdr:cNvCxnSpPr/>
      </xdr:nvCxnSpPr>
      <xdr:spPr>
        <a:xfrm>
          <a:off x="11963209" y="200736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121</xdr:row>
      <xdr:rowOff>151766</xdr:rowOff>
    </xdr:from>
    <xdr:to>
      <xdr:col>8</xdr:col>
      <xdr:colOff>228409</xdr:colOff>
      <xdr:row>123</xdr:row>
      <xdr:rowOff>156845</xdr:rowOff>
    </xdr:to>
    <xdr:cxnSp macro="_xll.PtreeEvent_ObjectClick">
      <xdr:nvCxnSpPr>
        <xdr:cNvPr id="982" name="PTObj_DBranchDLine_1_63">
          <a:extLst>
            <a:ext uri="{FF2B5EF4-FFF2-40B4-BE49-F238E27FC236}">
              <a16:creationId xmlns:a16="http://schemas.microsoft.com/office/drawing/2014/main" id="{00000000-0008-0000-0400-0000D6030000}"/>
            </a:ext>
          </a:extLst>
        </xdr:cNvPr>
        <xdr:cNvCxnSpPr/>
      </xdr:nvCxnSpPr>
      <xdr:spPr>
        <a:xfrm>
          <a:off x="11810809" y="197446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119</xdr:row>
      <xdr:rowOff>156845</xdr:rowOff>
    </xdr:from>
    <xdr:to>
      <xdr:col>9</xdr:col>
      <xdr:colOff>127</xdr:colOff>
      <xdr:row>119</xdr:row>
      <xdr:rowOff>156845</xdr:rowOff>
    </xdr:to>
    <xdr:cxnSp macro="_xll.PtreeEvent_ObjectClick">
      <xdr:nvCxnSpPr>
        <xdr:cNvPr id="979" name="PTObj_DBranchHLine_1_62">
          <a:extLst>
            <a:ext uri="{FF2B5EF4-FFF2-40B4-BE49-F238E27FC236}">
              <a16:creationId xmlns:a16="http://schemas.microsoft.com/office/drawing/2014/main" id="{00000000-0008-0000-0400-0000D3030000}"/>
            </a:ext>
          </a:extLst>
        </xdr:cNvPr>
        <xdr:cNvCxnSpPr/>
      </xdr:nvCxnSpPr>
      <xdr:spPr>
        <a:xfrm>
          <a:off x="11963209" y="194259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119</xdr:row>
      <xdr:rowOff>156845</xdr:rowOff>
    </xdr:from>
    <xdr:to>
      <xdr:col>8</xdr:col>
      <xdr:colOff>228409</xdr:colOff>
      <xdr:row>121</xdr:row>
      <xdr:rowOff>151766</xdr:rowOff>
    </xdr:to>
    <xdr:cxnSp macro="_xll.PtreeEvent_ObjectClick">
      <xdr:nvCxnSpPr>
        <xdr:cNvPr id="978" name="PTObj_DBranchDLine_1_62">
          <a:extLst>
            <a:ext uri="{FF2B5EF4-FFF2-40B4-BE49-F238E27FC236}">
              <a16:creationId xmlns:a16="http://schemas.microsoft.com/office/drawing/2014/main" id="{00000000-0008-0000-0400-0000D2030000}"/>
            </a:ext>
          </a:extLst>
        </xdr:cNvPr>
        <xdr:cNvCxnSpPr/>
      </xdr:nvCxnSpPr>
      <xdr:spPr>
        <a:xfrm flipV="1">
          <a:off x="11810809" y="194259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121</xdr:row>
      <xdr:rowOff>156845</xdr:rowOff>
    </xdr:from>
    <xdr:to>
      <xdr:col>8</xdr:col>
      <xdr:colOff>127</xdr:colOff>
      <xdr:row>121</xdr:row>
      <xdr:rowOff>156845</xdr:rowOff>
    </xdr:to>
    <xdr:cxnSp macro="_xll.PtreeEvent_ObjectClick">
      <xdr:nvCxnSpPr>
        <xdr:cNvPr id="975" name="PTObj_DBranchHLine_1_61">
          <a:extLst>
            <a:ext uri="{FF2B5EF4-FFF2-40B4-BE49-F238E27FC236}">
              <a16:creationId xmlns:a16="http://schemas.microsoft.com/office/drawing/2014/main" id="{00000000-0008-0000-0400-0000CF030000}"/>
            </a:ext>
          </a:extLst>
        </xdr:cNvPr>
        <xdr:cNvCxnSpPr/>
      </xdr:nvCxnSpPr>
      <xdr:spPr>
        <a:xfrm>
          <a:off x="10467784" y="197497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121</xdr:row>
      <xdr:rowOff>156845</xdr:rowOff>
    </xdr:from>
    <xdr:to>
      <xdr:col>7</xdr:col>
      <xdr:colOff>228409</xdr:colOff>
      <xdr:row>125</xdr:row>
      <xdr:rowOff>151766</xdr:rowOff>
    </xdr:to>
    <xdr:cxnSp macro="_xll.PtreeEvent_ObjectClick">
      <xdr:nvCxnSpPr>
        <xdr:cNvPr id="974" name="PTObj_DBranchDLine_1_61">
          <a:extLst>
            <a:ext uri="{FF2B5EF4-FFF2-40B4-BE49-F238E27FC236}">
              <a16:creationId xmlns:a16="http://schemas.microsoft.com/office/drawing/2014/main" id="{00000000-0008-0000-0400-0000CE030000}"/>
            </a:ext>
          </a:extLst>
        </xdr:cNvPr>
        <xdr:cNvCxnSpPr/>
      </xdr:nvCxnSpPr>
      <xdr:spPr>
        <a:xfrm flipV="1">
          <a:off x="10315384" y="19749770"/>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125</xdr:row>
      <xdr:rowOff>156845</xdr:rowOff>
    </xdr:from>
    <xdr:to>
      <xdr:col>7</xdr:col>
      <xdr:colOff>127</xdr:colOff>
      <xdr:row>125</xdr:row>
      <xdr:rowOff>156845</xdr:rowOff>
    </xdr:to>
    <xdr:cxnSp macro="_xll.PtreeEvent_ObjectClick">
      <xdr:nvCxnSpPr>
        <xdr:cNvPr id="971" name="PTObj_DBranchHLine_1_60">
          <a:extLst>
            <a:ext uri="{FF2B5EF4-FFF2-40B4-BE49-F238E27FC236}">
              <a16:creationId xmlns:a16="http://schemas.microsoft.com/office/drawing/2014/main" id="{00000000-0008-0000-0400-0000CB030000}"/>
            </a:ext>
          </a:extLst>
        </xdr:cNvPr>
        <xdr:cNvCxnSpPr/>
      </xdr:nvCxnSpPr>
      <xdr:spPr>
        <a:xfrm>
          <a:off x="8972359" y="203974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97</xdr:row>
      <xdr:rowOff>151764</xdr:rowOff>
    </xdr:from>
    <xdr:to>
      <xdr:col>6</xdr:col>
      <xdr:colOff>228409</xdr:colOff>
      <xdr:row>125</xdr:row>
      <xdr:rowOff>156845</xdr:rowOff>
    </xdr:to>
    <xdr:cxnSp macro="_xll.PtreeEvent_ObjectClick">
      <xdr:nvCxnSpPr>
        <xdr:cNvPr id="970" name="PTObj_DBranchDLine_1_60">
          <a:extLst>
            <a:ext uri="{FF2B5EF4-FFF2-40B4-BE49-F238E27FC236}">
              <a16:creationId xmlns:a16="http://schemas.microsoft.com/office/drawing/2014/main" id="{00000000-0008-0000-0400-0000CA030000}"/>
            </a:ext>
          </a:extLst>
        </xdr:cNvPr>
        <xdr:cNvCxnSpPr/>
      </xdr:nvCxnSpPr>
      <xdr:spPr>
        <a:xfrm>
          <a:off x="8819959" y="15858489"/>
          <a:ext cx="152400" cy="45389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117</xdr:row>
      <xdr:rowOff>156845</xdr:rowOff>
    </xdr:from>
    <xdr:to>
      <xdr:col>9</xdr:col>
      <xdr:colOff>127</xdr:colOff>
      <xdr:row>117</xdr:row>
      <xdr:rowOff>156845</xdr:rowOff>
    </xdr:to>
    <xdr:cxnSp macro="_xll.PtreeEvent_ObjectClick">
      <xdr:nvCxnSpPr>
        <xdr:cNvPr id="967" name="PTObj_DBranchHLine_1_59">
          <a:extLst>
            <a:ext uri="{FF2B5EF4-FFF2-40B4-BE49-F238E27FC236}">
              <a16:creationId xmlns:a16="http://schemas.microsoft.com/office/drawing/2014/main" id="{00000000-0008-0000-0400-0000C7030000}"/>
            </a:ext>
          </a:extLst>
        </xdr:cNvPr>
        <xdr:cNvCxnSpPr/>
      </xdr:nvCxnSpPr>
      <xdr:spPr>
        <a:xfrm>
          <a:off x="11963209" y="191020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115</xdr:row>
      <xdr:rowOff>151763</xdr:rowOff>
    </xdr:from>
    <xdr:to>
      <xdr:col>8</xdr:col>
      <xdr:colOff>228409</xdr:colOff>
      <xdr:row>117</xdr:row>
      <xdr:rowOff>156845</xdr:rowOff>
    </xdr:to>
    <xdr:cxnSp macro="_xll.PtreeEvent_ObjectClick">
      <xdr:nvCxnSpPr>
        <xdr:cNvPr id="966" name="PTObj_DBranchDLine_1_59">
          <a:extLst>
            <a:ext uri="{FF2B5EF4-FFF2-40B4-BE49-F238E27FC236}">
              <a16:creationId xmlns:a16="http://schemas.microsoft.com/office/drawing/2014/main" id="{00000000-0008-0000-0400-0000C6030000}"/>
            </a:ext>
          </a:extLst>
        </xdr:cNvPr>
        <xdr:cNvCxnSpPr/>
      </xdr:nvCxnSpPr>
      <xdr:spPr>
        <a:xfrm>
          <a:off x="11810809" y="18773138"/>
          <a:ext cx="152400" cy="328932"/>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113</xdr:row>
      <xdr:rowOff>156845</xdr:rowOff>
    </xdr:from>
    <xdr:to>
      <xdr:col>9</xdr:col>
      <xdr:colOff>127</xdr:colOff>
      <xdr:row>113</xdr:row>
      <xdr:rowOff>156845</xdr:rowOff>
    </xdr:to>
    <xdr:cxnSp macro="_xll.PtreeEvent_ObjectClick">
      <xdr:nvCxnSpPr>
        <xdr:cNvPr id="963" name="PTObj_DBranchHLine_1_58">
          <a:extLst>
            <a:ext uri="{FF2B5EF4-FFF2-40B4-BE49-F238E27FC236}">
              <a16:creationId xmlns:a16="http://schemas.microsoft.com/office/drawing/2014/main" id="{00000000-0008-0000-0400-0000C3030000}"/>
            </a:ext>
          </a:extLst>
        </xdr:cNvPr>
        <xdr:cNvCxnSpPr/>
      </xdr:nvCxnSpPr>
      <xdr:spPr>
        <a:xfrm>
          <a:off x="11963209" y="184543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113</xdr:row>
      <xdr:rowOff>156845</xdr:rowOff>
    </xdr:from>
    <xdr:to>
      <xdr:col>8</xdr:col>
      <xdr:colOff>228409</xdr:colOff>
      <xdr:row>115</xdr:row>
      <xdr:rowOff>151763</xdr:rowOff>
    </xdr:to>
    <xdr:cxnSp macro="_xll.PtreeEvent_ObjectClick">
      <xdr:nvCxnSpPr>
        <xdr:cNvPr id="962" name="PTObj_DBranchDLine_1_58">
          <a:extLst>
            <a:ext uri="{FF2B5EF4-FFF2-40B4-BE49-F238E27FC236}">
              <a16:creationId xmlns:a16="http://schemas.microsoft.com/office/drawing/2014/main" id="{00000000-0008-0000-0400-0000C2030000}"/>
            </a:ext>
          </a:extLst>
        </xdr:cNvPr>
        <xdr:cNvCxnSpPr/>
      </xdr:nvCxnSpPr>
      <xdr:spPr>
        <a:xfrm flipV="1">
          <a:off x="11810809" y="18454370"/>
          <a:ext cx="152400" cy="318768"/>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115</xdr:row>
      <xdr:rowOff>156845</xdr:rowOff>
    </xdr:from>
    <xdr:to>
      <xdr:col>8</xdr:col>
      <xdr:colOff>127</xdr:colOff>
      <xdr:row>115</xdr:row>
      <xdr:rowOff>156845</xdr:rowOff>
    </xdr:to>
    <xdr:cxnSp macro="_xll.PtreeEvent_ObjectClick">
      <xdr:nvCxnSpPr>
        <xdr:cNvPr id="959" name="PTObj_DBranchHLine_1_57">
          <a:extLst>
            <a:ext uri="{FF2B5EF4-FFF2-40B4-BE49-F238E27FC236}">
              <a16:creationId xmlns:a16="http://schemas.microsoft.com/office/drawing/2014/main" id="{00000000-0008-0000-0400-0000BF030000}"/>
            </a:ext>
          </a:extLst>
        </xdr:cNvPr>
        <xdr:cNvCxnSpPr/>
      </xdr:nvCxnSpPr>
      <xdr:spPr>
        <a:xfrm>
          <a:off x="10467784" y="187782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105</xdr:row>
      <xdr:rowOff>151766</xdr:rowOff>
    </xdr:from>
    <xdr:to>
      <xdr:col>7</xdr:col>
      <xdr:colOff>228409</xdr:colOff>
      <xdr:row>115</xdr:row>
      <xdr:rowOff>156845</xdr:rowOff>
    </xdr:to>
    <xdr:cxnSp macro="_xll.PtreeEvent_ObjectClick">
      <xdr:nvCxnSpPr>
        <xdr:cNvPr id="958" name="PTObj_DBranchDLine_1_57">
          <a:extLst>
            <a:ext uri="{FF2B5EF4-FFF2-40B4-BE49-F238E27FC236}">
              <a16:creationId xmlns:a16="http://schemas.microsoft.com/office/drawing/2014/main" id="{00000000-0008-0000-0400-0000BE030000}"/>
            </a:ext>
          </a:extLst>
        </xdr:cNvPr>
        <xdr:cNvCxnSpPr/>
      </xdr:nvCxnSpPr>
      <xdr:spPr>
        <a:xfrm>
          <a:off x="10315384" y="17153891"/>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111</xdr:row>
      <xdr:rowOff>156845</xdr:rowOff>
    </xdr:from>
    <xdr:to>
      <xdr:col>9</xdr:col>
      <xdr:colOff>127</xdr:colOff>
      <xdr:row>111</xdr:row>
      <xdr:rowOff>156845</xdr:rowOff>
    </xdr:to>
    <xdr:cxnSp macro="_xll.PtreeEvent_ObjectClick">
      <xdr:nvCxnSpPr>
        <xdr:cNvPr id="955" name="PTObj_DBranchHLine_1_56">
          <a:extLst>
            <a:ext uri="{FF2B5EF4-FFF2-40B4-BE49-F238E27FC236}">
              <a16:creationId xmlns:a16="http://schemas.microsoft.com/office/drawing/2014/main" id="{00000000-0008-0000-0400-0000BB030000}"/>
            </a:ext>
          </a:extLst>
        </xdr:cNvPr>
        <xdr:cNvCxnSpPr/>
      </xdr:nvCxnSpPr>
      <xdr:spPr>
        <a:xfrm>
          <a:off x="11963209" y="181305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109</xdr:row>
      <xdr:rowOff>151766</xdr:rowOff>
    </xdr:from>
    <xdr:to>
      <xdr:col>8</xdr:col>
      <xdr:colOff>228409</xdr:colOff>
      <xdr:row>111</xdr:row>
      <xdr:rowOff>156845</xdr:rowOff>
    </xdr:to>
    <xdr:cxnSp macro="_xll.PtreeEvent_ObjectClick">
      <xdr:nvCxnSpPr>
        <xdr:cNvPr id="954" name="PTObj_DBranchDLine_1_56">
          <a:extLst>
            <a:ext uri="{FF2B5EF4-FFF2-40B4-BE49-F238E27FC236}">
              <a16:creationId xmlns:a16="http://schemas.microsoft.com/office/drawing/2014/main" id="{00000000-0008-0000-0400-0000BA030000}"/>
            </a:ext>
          </a:extLst>
        </xdr:cNvPr>
        <xdr:cNvCxnSpPr/>
      </xdr:nvCxnSpPr>
      <xdr:spPr>
        <a:xfrm>
          <a:off x="11810809" y="178015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107</xdr:row>
      <xdr:rowOff>156845</xdr:rowOff>
    </xdr:from>
    <xdr:to>
      <xdr:col>9</xdr:col>
      <xdr:colOff>127</xdr:colOff>
      <xdr:row>107</xdr:row>
      <xdr:rowOff>156845</xdr:rowOff>
    </xdr:to>
    <xdr:cxnSp macro="_xll.PtreeEvent_ObjectClick">
      <xdr:nvCxnSpPr>
        <xdr:cNvPr id="951" name="PTObj_DBranchHLine_1_55">
          <a:extLst>
            <a:ext uri="{FF2B5EF4-FFF2-40B4-BE49-F238E27FC236}">
              <a16:creationId xmlns:a16="http://schemas.microsoft.com/office/drawing/2014/main" id="{00000000-0008-0000-0400-0000B7030000}"/>
            </a:ext>
          </a:extLst>
        </xdr:cNvPr>
        <xdr:cNvCxnSpPr/>
      </xdr:nvCxnSpPr>
      <xdr:spPr>
        <a:xfrm>
          <a:off x="11963209" y="174828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107</xdr:row>
      <xdr:rowOff>156845</xdr:rowOff>
    </xdr:from>
    <xdr:to>
      <xdr:col>8</xdr:col>
      <xdr:colOff>228409</xdr:colOff>
      <xdr:row>109</xdr:row>
      <xdr:rowOff>151766</xdr:rowOff>
    </xdr:to>
    <xdr:cxnSp macro="_xll.PtreeEvent_ObjectClick">
      <xdr:nvCxnSpPr>
        <xdr:cNvPr id="950" name="PTObj_DBranchDLine_1_55">
          <a:extLst>
            <a:ext uri="{FF2B5EF4-FFF2-40B4-BE49-F238E27FC236}">
              <a16:creationId xmlns:a16="http://schemas.microsoft.com/office/drawing/2014/main" id="{00000000-0008-0000-0400-0000B6030000}"/>
            </a:ext>
          </a:extLst>
        </xdr:cNvPr>
        <xdr:cNvCxnSpPr/>
      </xdr:nvCxnSpPr>
      <xdr:spPr>
        <a:xfrm flipV="1">
          <a:off x="11810809" y="174828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109</xdr:row>
      <xdr:rowOff>156845</xdr:rowOff>
    </xdr:from>
    <xdr:to>
      <xdr:col>8</xdr:col>
      <xdr:colOff>127</xdr:colOff>
      <xdr:row>109</xdr:row>
      <xdr:rowOff>156845</xdr:rowOff>
    </xdr:to>
    <xdr:cxnSp macro="_xll.PtreeEvent_ObjectClick">
      <xdr:nvCxnSpPr>
        <xdr:cNvPr id="947" name="PTObj_DBranchHLine_1_54">
          <a:extLst>
            <a:ext uri="{FF2B5EF4-FFF2-40B4-BE49-F238E27FC236}">
              <a16:creationId xmlns:a16="http://schemas.microsoft.com/office/drawing/2014/main" id="{00000000-0008-0000-0400-0000B3030000}"/>
            </a:ext>
          </a:extLst>
        </xdr:cNvPr>
        <xdr:cNvCxnSpPr/>
      </xdr:nvCxnSpPr>
      <xdr:spPr>
        <a:xfrm>
          <a:off x="10467784" y="178066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105</xdr:row>
      <xdr:rowOff>151766</xdr:rowOff>
    </xdr:from>
    <xdr:to>
      <xdr:col>7</xdr:col>
      <xdr:colOff>228409</xdr:colOff>
      <xdr:row>109</xdr:row>
      <xdr:rowOff>156845</xdr:rowOff>
    </xdr:to>
    <xdr:cxnSp macro="_xll.PtreeEvent_ObjectClick">
      <xdr:nvCxnSpPr>
        <xdr:cNvPr id="946" name="PTObj_DBranchDLine_1_54">
          <a:extLst>
            <a:ext uri="{FF2B5EF4-FFF2-40B4-BE49-F238E27FC236}">
              <a16:creationId xmlns:a16="http://schemas.microsoft.com/office/drawing/2014/main" id="{00000000-0008-0000-0400-0000B2030000}"/>
            </a:ext>
          </a:extLst>
        </xdr:cNvPr>
        <xdr:cNvCxnSpPr/>
      </xdr:nvCxnSpPr>
      <xdr:spPr>
        <a:xfrm>
          <a:off x="10315384" y="17153891"/>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103</xdr:row>
      <xdr:rowOff>156845</xdr:rowOff>
    </xdr:from>
    <xdr:to>
      <xdr:col>9</xdr:col>
      <xdr:colOff>127</xdr:colOff>
      <xdr:row>103</xdr:row>
      <xdr:rowOff>156845</xdr:rowOff>
    </xdr:to>
    <xdr:cxnSp macro="_xll.PtreeEvent_ObjectClick">
      <xdr:nvCxnSpPr>
        <xdr:cNvPr id="943" name="PTObj_DBranchHLine_1_53">
          <a:extLst>
            <a:ext uri="{FF2B5EF4-FFF2-40B4-BE49-F238E27FC236}">
              <a16:creationId xmlns:a16="http://schemas.microsoft.com/office/drawing/2014/main" id="{00000000-0008-0000-0400-0000AF030000}"/>
            </a:ext>
          </a:extLst>
        </xdr:cNvPr>
        <xdr:cNvCxnSpPr/>
      </xdr:nvCxnSpPr>
      <xdr:spPr>
        <a:xfrm>
          <a:off x="11963209" y="168351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101</xdr:row>
      <xdr:rowOff>151764</xdr:rowOff>
    </xdr:from>
    <xdr:to>
      <xdr:col>8</xdr:col>
      <xdr:colOff>228409</xdr:colOff>
      <xdr:row>103</xdr:row>
      <xdr:rowOff>156845</xdr:rowOff>
    </xdr:to>
    <xdr:cxnSp macro="_xll.PtreeEvent_ObjectClick">
      <xdr:nvCxnSpPr>
        <xdr:cNvPr id="942" name="PTObj_DBranchDLine_1_53">
          <a:extLst>
            <a:ext uri="{FF2B5EF4-FFF2-40B4-BE49-F238E27FC236}">
              <a16:creationId xmlns:a16="http://schemas.microsoft.com/office/drawing/2014/main" id="{00000000-0008-0000-0400-0000AE030000}"/>
            </a:ext>
          </a:extLst>
        </xdr:cNvPr>
        <xdr:cNvCxnSpPr/>
      </xdr:nvCxnSpPr>
      <xdr:spPr>
        <a:xfrm>
          <a:off x="11810809" y="1650618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99</xdr:row>
      <xdr:rowOff>156845</xdr:rowOff>
    </xdr:from>
    <xdr:to>
      <xdr:col>9</xdr:col>
      <xdr:colOff>127</xdr:colOff>
      <xdr:row>99</xdr:row>
      <xdr:rowOff>156845</xdr:rowOff>
    </xdr:to>
    <xdr:cxnSp macro="_xll.PtreeEvent_ObjectClick">
      <xdr:nvCxnSpPr>
        <xdr:cNvPr id="939" name="PTObj_DBranchHLine_1_52">
          <a:extLst>
            <a:ext uri="{FF2B5EF4-FFF2-40B4-BE49-F238E27FC236}">
              <a16:creationId xmlns:a16="http://schemas.microsoft.com/office/drawing/2014/main" id="{00000000-0008-0000-0400-0000AB030000}"/>
            </a:ext>
          </a:extLst>
        </xdr:cNvPr>
        <xdr:cNvCxnSpPr/>
      </xdr:nvCxnSpPr>
      <xdr:spPr>
        <a:xfrm>
          <a:off x="11963209" y="161874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99</xdr:row>
      <xdr:rowOff>156845</xdr:rowOff>
    </xdr:from>
    <xdr:to>
      <xdr:col>8</xdr:col>
      <xdr:colOff>228409</xdr:colOff>
      <xdr:row>101</xdr:row>
      <xdr:rowOff>151764</xdr:rowOff>
    </xdr:to>
    <xdr:cxnSp macro="_xll.PtreeEvent_ObjectClick">
      <xdr:nvCxnSpPr>
        <xdr:cNvPr id="938" name="PTObj_DBranchDLine_1_52">
          <a:extLst>
            <a:ext uri="{FF2B5EF4-FFF2-40B4-BE49-F238E27FC236}">
              <a16:creationId xmlns:a16="http://schemas.microsoft.com/office/drawing/2014/main" id="{00000000-0008-0000-0400-0000AA030000}"/>
            </a:ext>
          </a:extLst>
        </xdr:cNvPr>
        <xdr:cNvCxnSpPr/>
      </xdr:nvCxnSpPr>
      <xdr:spPr>
        <a:xfrm flipV="1">
          <a:off x="11810809" y="1618742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101</xdr:row>
      <xdr:rowOff>156845</xdr:rowOff>
    </xdr:from>
    <xdr:to>
      <xdr:col>8</xdr:col>
      <xdr:colOff>127</xdr:colOff>
      <xdr:row>101</xdr:row>
      <xdr:rowOff>156845</xdr:rowOff>
    </xdr:to>
    <xdr:cxnSp macro="_xll.PtreeEvent_ObjectClick">
      <xdr:nvCxnSpPr>
        <xdr:cNvPr id="935" name="PTObj_DBranchHLine_1_51">
          <a:extLst>
            <a:ext uri="{FF2B5EF4-FFF2-40B4-BE49-F238E27FC236}">
              <a16:creationId xmlns:a16="http://schemas.microsoft.com/office/drawing/2014/main" id="{00000000-0008-0000-0400-0000A7030000}"/>
            </a:ext>
          </a:extLst>
        </xdr:cNvPr>
        <xdr:cNvCxnSpPr/>
      </xdr:nvCxnSpPr>
      <xdr:spPr>
        <a:xfrm>
          <a:off x="10467784" y="165112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101</xdr:row>
      <xdr:rowOff>156845</xdr:rowOff>
    </xdr:from>
    <xdr:to>
      <xdr:col>7</xdr:col>
      <xdr:colOff>228409</xdr:colOff>
      <xdr:row>105</xdr:row>
      <xdr:rowOff>151766</xdr:rowOff>
    </xdr:to>
    <xdr:cxnSp macro="_xll.PtreeEvent_ObjectClick">
      <xdr:nvCxnSpPr>
        <xdr:cNvPr id="934" name="PTObj_DBranchDLine_1_51">
          <a:extLst>
            <a:ext uri="{FF2B5EF4-FFF2-40B4-BE49-F238E27FC236}">
              <a16:creationId xmlns:a16="http://schemas.microsoft.com/office/drawing/2014/main" id="{00000000-0008-0000-0400-0000A6030000}"/>
            </a:ext>
          </a:extLst>
        </xdr:cNvPr>
        <xdr:cNvCxnSpPr/>
      </xdr:nvCxnSpPr>
      <xdr:spPr>
        <a:xfrm flipV="1">
          <a:off x="10315384" y="16511270"/>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105</xdr:row>
      <xdr:rowOff>156845</xdr:rowOff>
    </xdr:from>
    <xdr:to>
      <xdr:col>7</xdr:col>
      <xdr:colOff>127</xdr:colOff>
      <xdr:row>105</xdr:row>
      <xdr:rowOff>156845</xdr:rowOff>
    </xdr:to>
    <xdr:cxnSp macro="_xll.PtreeEvent_ObjectClick">
      <xdr:nvCxnSpPr>
        <xdr:cNvPr id="931" name="PTObj_DBranchHLine_1_50">
          <a:extLst>
            <a:ext uri="{FF2B5EF4-FFF2-40B4-BE49-F238E27FC236}">
              <a16:creationId xmlns:a16="http://schemas.microsoft.com/office/drawing/2014/main" id="{00000000-0008-0000-0400-0000A3030000}"/>
            </a:ext>
          </a:extLst>
        </xdr:cNvPr>
        <xdr:cNvCxnSpPr/>
      </xdr:nvCxnSpPr>
      <xdr:spPr>
        <a:xfrm>
          <a:off x="8972359" y="171589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97</xdr:row>
      <xdr:rowOff>151764</xdr:rowOff>
    </xdr:from>
    <xdr:to>
      <xdr:col>6</xdr:col>
      <xdr:colOff>228409</xdr:colOff>
      <xdr:row>105</xdr:row>
      <xdr:rowOff>156845</xdr:rowOff>
    </xdr:to>
    <xdr:cxnSp macro="_xll.PtreeEvent_ObjectClick">
      <xdr:nvCxnSpPr>
        <xdr:cNvPr id="930" name="PTObj_DBranchDLine_1_50">
          <a:extLst>
            <a:ext uri="{FF2B5EF4-FFF2-40B4-BE49-F238E27FC236}">
              <a16:creationId xmlns:a16="http://schemas.microsoft.com/office/drawing/2014/main" id="{00000000-0008-0000-0400-0000A2030000}"/>
            </a:ext>
          </a:extLst>
        </xdr:cNvPr>
        <xdr:cNvCxnSpPr/>
      </xdr:nvCxnSpPr>
      <xdr:spPr>
        <a:xfrm>
          <a:off x="8819959" y="15858489"/>
          <a:ext cx="152400" cy="13004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95</xdr:row>
      <xdr:rowOff>156845</xdr:rowOff>
    </xdr:from>
    <xdr:to>
      <xdr:col>9</xdr:col>
      <xdr:colOff>127</xdr:colOff>
      <xdr:row>95</xdr:row>
      <xdr:rowOff>156845</xdr:rowOff>
    </xdr:to>
    <xdr:cxnSp macro="_xll.PtreeEvent_ObjectClick">
      <xdr:nvCxnSpPr>
        <xdr:cNvPr id="927" name="PTObj_DBranchHLine_1_49">
          <a:extLst>
            <a:ext uri="{FF2B5EF4-FFF2-40B4-BE49-F238E27FC236}">
              <a16:creationId xmlns:a16="http://schemas.microsoft.com/office/drawing/2014/main" id="{00000000-0008-0000-0400-00009F030000}"/>
            </a:ext>
          </a:extLst>
        </xdr:cNvPr>
        <xdr:cNvCxnSpPr/>
      </xdr:nvCxnSpPr>
      <xdr:spPr>
        <a:xfrm>
          <a:off x="11963209" y="155397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93</xdr:row>
      <xdr:rowOff>151764</xdr:rowOff>
    </xdr:from>
    <xdr:to>
      <xdr:col>8</xdr:col>
      <xdr:colOff>228409</xdr:colOff>
      <xdr:row>95</xdr:row>
      <xdr:rowOff>156845</xdr:rowOff>
    </xdr:to>
    <xdr:cxnSp macro="_xll.PtreeEvent_ObjectClick">
      <xdr:nvCxnSpPr>
        <xdr:cNvPr id="926" name="PTObj_DBranchDLine_1_49">
          <a:extLst>
            <a:ext uri="{FF2B5EF4-FFF2-40B4-BE49-F238E27FC236}">
              <a16:creationId xmlns:a16="http://schemas.microsoft.com/office/drawing/2014/main" id="{00000000-0008-0000-0400-00009E030000}"/>
            </a:ext>
          </a:extLst>
        </xdr:cNvPr>
        <xdr:cNvCxnSpPr/>
      </xdr:nvCxnSpPr>
      <xdr:spPr>
        <a:xfrm>
          <a:off x="11810809" y="1521078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91</xdr:row>
      <xdr:rowOff>156845</xdr:rowOff>
    </xdr:from>
    <xdr:to>
      <xdr:col>9</xdr:col>
      <xdr:colOff>127</xdr:colOff>
      <xdr:row>91</xdr:row>
      <xdr:rowOff>156845</xdr:rowOff>
    </xdr:to>
    <xdr:cxnSp macro="_xll.PtreeEvent_ObjectClick">
      <xdr:nvCxnSpPr>
        <xdr:cNvPr id="923" name="PTObj_DBranchHLine_1_48">
          <a:extLst>
            <a:ext uri="{FF2B5EF4-FFF2-40B4-BE49-F238E27FC236}">
              <a16:creationId xmlns:a16="http://schemas.microsoft.com/office/drawing/2014/main" id="{00000000-0008-0000-0400-00009B030000}"/>
            </a:ext>
          </a:extLst>
        </xdr:cNvPr>
        <xdr:cNvCxnSpPr/>
      </xdr:nvCxnSpPr>
      <xdr:spPr>
        <a:xfrm>
          <a:off x="11963209" y="148920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91</xdr:row>
      <xdr:rowOff>156845</xdr:rowOff>
    </xdr:from>
    <xdr:to>
      <xdr:col>8</xdr:col>
      <xdr:colOff>228409</xdr:colOff>
      <xdr:row>93</xdr:row>
      <xdr:rowOff>151764</xdr:rowOff>
    </xdr:to>
    <xdr:cxnSp macro="_xll.PtreeEvent_ObjectClick">
      <xdr:nvCxnSpPr>
        <xdr:cNvPr id="922" name="PTObj_DBranchDLine_1_48">
          <a:extLst>
            <a:ext uri="{FF2B5EF4-FFF2-40B4-BE49-F238E27FC236}">
              <a16:creationId xmlns:a16="http://schemas.microsoft.com/office/drawing/2014/main" id="{00000000-0008-0000-0400-00009A030000}"/>
            </a:ext>
          </a:extLst>
        </xdr:cNvPr>
        <xdr:cNvCxnSpPr/>
      </xdr:nvCxnSpPr>
      <xdr:spPr>
        <a:xfrm flipV="1">
          <a:off x="11810809" y="1489202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93</xdr:row>
      <xdr:rowOff>156845</xdr:rowOff>
    </xdr:from>
    <xdr:to>
      <xdr:col>8</xdr:col>
      <xdr:colOff>127</xdr:colOff>
      <xdr:row>93</xdr:row>
      <xdr:rowOff>156845</xdr:rowOff>
    </xdr:to>
    <xdr:cxnSp macro="_xll.PtreeEvent_ObjectClick">
      <xdr:nvCxnSpPr>
        <xdr:cNvPr id="919" name="PTObj_DBranchHLine_1_47">
          <a:extLst>
            <a:ext uri="{FF2B5EF4-FFF2-40B4-BE49-F238E27FC236}">
              <a16:creationId xmlns:a16="http://schemas.microsoft.com/office/drawing/2014/main" id="{00000000-0008-0000-0400-000097030000}"/>
            </a:ext>
          </a:extLst>
        </xdr:cNvPr>
        <xdr:cNvCxnSpPr/>
      </xdr:nvCxnSpPr>
      <xdr:spPr>
        <a:xfrm>
          <a:off x="10467784" y="152158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83</xdr:row>
      <xdr:rowOff>151764</xdr:rowOff>
    </xdr:from>
    <xdr:to>
      <xdr:col>7</xdr:col>
      <xdr:colOff>228409</xdr:colOff>
      <xdr:row>93</xdr:row>
      <xdr:rowOff>156845</xdr:rowOff>
    </xdr:to>
    <xdr:cxnSp macro="_xll.PtreeEvent_ObjectClick">
      <xdr:nvCxnSpPr>
        <xdr:cNvPr id="918" name="PTObj_DBranchDLine_1_47">
          <a:extLst>
            <a:ext uri="{FF2B5EF4-FFF2-40B4-BE49-F238E27FC236}">
              <a16:creationId xmlns:a16="http://schemas.microsoft.com/office/drawing/2014/main" id="{00000000-0008-0000-0400-000096030000}"/>
            </a:ext>
          </a:extLst>
        </xdr:cNvPr>
        <xdr:cNvCxnSpPr/>
      </xdr:nvCxnSpPr>
      <xdr:spPr>
        <a:xfrm>
          <a:off x="10315384" y="13591539"/>
          <a:ext cx="152400" cy="16243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89</xdr:row>
      <xdr:rowOff>156845</xdr:rowOff>
    </xdr:from>
    <xdr:to>
      <xdr:col>9</xdr:col>
      <xdr:colOff>127</xdr:colOff>
      <xdr:row>89</xdr:row>
      <xdr:rowOff>156845</xdr:rowOff>
    </xdr:to>
    <xdr:cxnSp macro="_xll.PtreeEvent_ObjectClick">
      <xdr:nvCxnSpPr>
        <xdr:cNvPr id="915" name="PTObj_DBranchHLine_1_46">
          <a:extLst>
            <a:ext uri="{FF2B5EF4-FFF2-40B4-BE49-F238E27FC236}">
              <a16:creationId xmlns:a16="http://schemas.microsoft.com/office/drawing/2014/main" id="{00000000-0008-0000-0400-000093030000}"/>
            </a:ext>
          </a:extLst>
        </xdr:cNvPr>
        <xdr:cNvCxnSpPr/>
      </xdr:nvCxnSpPr>
      <xdr:spPr>
        <a:xfrm>
          <a:off x="11963209" y="145681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87</xdr:row>
      <xdr:rowOff>151764</xdr:rowOff>
    </xdr:from>
    <xdr:to>
      <xdr:col>8</xdr:col>
      <xdr:colOff>228409</xdr:colOff>
      <xdr:row>89</xdr:row>
      <xdr:rowOff>156845</xdr:rowOff>
    </xdr:to>
    <xdr:cxnSp macro="_xll.PtreeEvent_ObjectClick">
      <xdr:nvCxnSpPr>
        <xdr:cNvPr id="914" name="PTObj_DBranchDLine_1_46">
          <a:extLst>
            <a:ext uri="{FF2B5EF4-FFF2-40B4-BE49-F238E27FC236}">
              <a16:creationId xmlns:a16="http://schemas.microsoft.com/office/drawing/2014/main" id="{00000000-0008-0000-0400-000092030000}"/>
            </a:ext>
          </a:extLst>
        </xdr:cNvPr>
        <xdr:cNvCxnSpPr/>
      </xdr:nvCxnSpPr>
      <xdr:spPr>
        <a:xfrm>
          <a:off x="11810809" y="142392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85</xdr:row>
      <xdr:rowOff>156845</xdr:rowOff>
    </xdr:from>
    <xdr:to>
      <xdr:col>9</xdr:col>
      <xdr:colOff>127</xdr:colOff>
      <xdr:row>85</xdr:row>
      <xdr:rowOff>156845</xdr:rowOff>
    </xdr:to>
    <xdr:cxnSp macro="_xll.PtreeEvent_ObjectClick">
      <xdr:nvCxnSpPr>
        <xdr:cNvPr id="911" name="PTObj_DBranchHLine_1_45">
          <a:extLst>
            <a:ext uri="{FF2B5EF4-FFF2-40B4-BE49-F238E27FC236}">
              <a16:creationId xmlns:a16="http://schemas.microsoft.com/office/drawing/2014/main" id="{00000000-0008-0000-0400-00008F030000}"/>
            </a:ext>
          </a:extLst>
        </xdr:cNvPr>
        <xdr:cNvCxnSpPr/>
      </xdr:nvCxnSpPr>
      <xdr:spPr>
        <a:xfrm>
          <a:off x="11963209" y="139204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85</xdr:row>
      <xdr:rowOff>156845</xdr:rowOff>
    </xdr:from>
    <xdr:to>
      <xdr:col>8</xdr:col>
      <xdr:colOff>228409</xdr:colOff>
      <xdr:row>87</xdr:row>
      <xdr:rowOff>151764</xdr:rowOff>
    </xdr:to>
    <xdr:cxnSp macro="_xll.PtreeEvent_ObjectClick">
      <xdr:nvCxnSpPr>
        <xdr:cNvPr id="910" name="PTObj_DBranchDLine_1_45">
          <a:extLst>
            <a:ext uri="{FF2B5EF4-FFF2-40B4-BE49-F238E27FC236}">
              <a16:creationId xmlns:a16="http://schemas.microsoft.com/office/drawing/2014/main" id="{00000000-0008-0000-0400-00008E030000}"/>
            </a:ext>
          </a:extLst>
        </xdr:cNvPr>
        <xdr:cNvCxnSpPr/>
      </xdr:nvCxnSpPr>
      <xdr:spPr>
        <a:xfrm flipV="1">
          <a:off x="11810809" y="1392047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87</xdr:row>
      <xdr:rowOff>156845</xdr:rowOff>
    </xdr:from>
    <xdr:to>
      <xdr:col>8</xdr:col>
      <xdr:colOff>127</xdr:colOff>
      <xdr:row>87</xdr:row>
      <xdr:rowOff>156845</xdr:rowOff>
    </xdr:to>
    <xdr:cxnSp macro="_xll.PtreeEvent_ObjectClick">
      <xdr:nvCxnSpPr>
        <xdr:cNvPr id="907" name="PTObj_DBranchHLine_1_44">
          <a:extLst>
            <a:ext uri="{FF2B5EF4-FFF2-40B4-BE49-F238E27FC236}">
              <a16:creationId xmlns:a16="http://schemas.microsoft.com/office/drawing/2014/main" id="{00000000-0008-0000-0400-00008B030000}"/>
            </a:ext>
          </a:extLst>
        </xdr:cNvPr>
        <xdr:cNvCxnSpPr/>
      </xdr:nvCxnSpPr>
      <xdr:spPr>
        <a:xfrm>
          <a:off x="10467784" y="142443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83</xdr:row>
      <xdr:rowOff>151764</xdr:rowOff>
    </xdr:from>
    <xdr:to>
      <xdr:col>7</xdr:col>
      <xdr:colOff>228409</xdr:colOff>
      <xdr:row>87</xdr:row>
      <xdr:rowOff>156845</xdr:rowOff>
    </xdr:to>
    <xdr:cxnSp macro="_xll.PtreeEvent_ObjectClick">
      <xdr:nvCxnSpPr>
        <xdr:cNvPr id="906" name="PTObj_DBranchDLine_1_44">
          <a:extLst>
            <a:ext uri="{FF2B5EF4-FFF2-40B4-BE49-F238E27FC236}">
              <a16:creationId xmlns:a16="http://schemas.microsoft.com/office/drawing/2014/main" id="{00000000-0008-0000-0400-00008A030000}"/>
            </a:ext>
          </a:extLst>
        </xdr:cNvPr>
        <xdr:cNvCxnSpPr/>
      </xdr:nvCxnSpPr>
      <xdr:spPr>
        <a:xfrm>
          <a:off x="10315384" y="13591539"/>
          <a:ext cx="152400" cy="6527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81</xdr:row>
      <xdr:rowOff>156845</xdr:rowOff>
    </xdr:from>
    <xdr:to>
      <xdr:col>9</xdr:col>
      <xdr:colOff>127</xdr:colOff>
      <xdr:row>81</xdr:row>
      <xdr:rowOff>156845</xdr:rowOff>
    </xdr:to>
    <xdr:cxnSp macro="_xll.PtreeEvent_ObjectClick">
      <xdr:nvCxnSpPr>
        <xdr:cNvPr id="903" name="PTObj_DBranchHLine_1_43">
          <a:extLst>
            <a:ext uri="{FF2B5EF4-FFF2-40B4-BE49-F238E27FC236}">
              <a16:creationId xmlns:a16="http://schemas.microsoft.com/office/drawing/2014/main" id="{00000000-0008-0000-0400-000087030000}"/>
            </a:ext>
          </a:extLst>
        </xdr:cNvPr>
        <xdr:cNvCxnSpPr/>
      </xdr:nvCxnSpPr>
      <xdr:spPr>
        <a:xfrm>
          <a:off x="11963209" y="132727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79</xdr:row>
      <xdr:rowOff>151764</xdr:rowOff>
    </xdr:from>
    <xdr:to>
      <xdr:col>8</xdr:col>
      <xdr:colOff>228409</xdr:colOff>
      <xdr:row>81</xdr:row>
      <xdr:rowOff>156845</xdr:rowOff>
    </xdr:to>
    <xdr:cxnSp macro="_xll.PtreeEvent_ObjectClick">
      <xdr:nvCxnSpPr>
        <xdr:cNvPr id="902" name="PTObj_DBranchDLine_1_43">
          <a:extLst>
            <a:ext uri="{FF2B5EF4-FFF2-40B4-BE49-F238E27FC236}">
              <a16:creationId xmlns:a16="http://schemas.microsoft.com/office/drawing/2014/main" id="{00000000-0008-0000-0400-000086030000}"/>
            </a:ext>
          </a:extLst>
        </xdr:cNvPr>
        <xdr:cNvCxnSpPr/>
      </xdr:nvCxnSpPr>
      <xdr:spPr>
        <a:xfrm>
          <a:off x="11810809" y="129438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77</xdr:row>
      <xdr:rowOff>156845</xdr:rowOff>
    </xdr:from>
    <xdr:to>
      <xdr:col>9</xdr:col>
      <xdr:colOff>127</xdr:colOff>
      <xdr:row>77</xdr:row>
      <xdr:rowOff>156845</xdr:rowOff>
    </xdr:to>
    <xdr:cxnSp macro="_xll.PtreeEvent_ObjectClick">
      <xdr:nvCxnSpPr>
        <xdr:cNvPr id="899" name="PTObj_DBranchHLine_1_42">
          <a:extLst>
            <a:ext uri="{FF2B5EF4-FFF2-40B4-BE49-F238E27FC236}">
              <a16:creationId xmlns:a16="http://schemas.microsoft.com/office/drawing/2014/main" id="{00000000-0008-0000-0400-000083030000}"/>
            </a:ext>
          </a:extLst>
        </xdr:cNvPr>
        <xdr:cNvCxnSpPr/>
      </xdr:nvCxnSpPr>
      <xdr:spPr>
        <a:xfrm>
          <a:off x="11963209" y="126250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77</xdr:row>
      <xdr:rowOff>156845</xdr:rowOff>
    </xdr:from>
    <xdr:to>
      <xdr:col>8</xdr:col>
      <xdr:colOff>228409</xdr:colOff>
      <xdr:row>79</xdr:row>
      <xdr:rowOff>151764</xdr:rowOff>
    </xdr:to>
    <xdr:cxnSp macro="_xll.PtreeEvent_ObjectClick">
      <xdr:nvCxnSpPr>
        <xdr:cNvPr id="898" name="PTObj_DBranchDLine_1_42">
          <a:extLst>
            <a:ext uri="{FF2B5EF4-FFF2-40B4-BE49-F238E27FC236}">
              <a16:creationId xmlns:a16="http://schemas.microsoft.com/office/drawing/2014/main" id="{00000000-0008-0000-0400-000082030000}"/>
            </a:ext>
          </a:extLst>
        </xdr:cNvPr>
        <xdr:cNvCxnSpPr/>
      </xdr:nvCxnSpPr>
      <xdr:spPr>
        <a:xfrm flipV="1">
          <a:off x="11810809" y="1262507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79</xdr:row>
      <xdr:rowOff>156845</xdr:rowOff>
    </xdr:from>
    <xdr:to>
      <xdr:col>8</xdr:col>
      <xdr:colOff>127</xdr:colOff>
      <xdr:row>79</xdr:row>
      <xdr:rowOff>156845</xdr:rowOff>
    </xdr:to>
    <xdr:cxnSp macro="_xll.PtreeEvent_ObjectClick">
      <xdr:nvCxnSpPr>
        <xdr:cNvPr id="895" name="PTObj_DBranchHLine_1_41">
          <a:extLst>
            <a:ext uri="{FF2B5EF4-FFF2-40B4-BE49-F238E27FC236}">
              <a16:creationId xmlns:a16="http://schemas.microsoft.com/office/drawing/2014/main" id="{00000000-0008-0000-0400-00007F030000}"/>
            </a:ext>
          </a:extLst>
        </xdr:cNvPr>
        <xdr:cNvCxnSpPr/>
      </xdr:nvCxnSpPr>
      <xdr:spPr>
        <a:xfrm>
          <a:off x="10467784" y="129489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79</xdr:row>
      <xdr:rowOff>156845</xdr:rowOff>
    </xdr:from>
    <xdr:to>
      <xdr:col>7</xdr:col>
      <xdr:colOff>228409</xdr:colOff>
      <xdr:row>83</xdr:row>
      <xdr:rowOff>151764</xdr:rowOff>
    </xdr:to>
    <xdr:cxnSp macro="_xll.PtreeEvent_ObjectClick">
      <xdr:nvCxnSpPr>
        <xdr:cNvPr id="894" name="PTObj_DBranchDLine_1_41">
          <a:extLst>
            <a:ext uri="{FF2B5EF4-FFF2-40B4-BE49-F238E27FC236}">
              <a16:creationId xmlns:a16="http://schemas.microsoft.com/office/drawing/2014/main" id="{00000000-0008-0000-0400-00007E030000}"/>
            </a:ext>
          </a:extLst>
        </xdr:cNvPr>
        <xdr:cNvCxnSpPr/>
      </xdr:nvCxnSpPr>
      <xdr:spPr>
        <a:xfrm flipV="1">
          <a:off x="10315384" y="12948920"/>
          <a:ext cx="152400" cy="6426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83</xdr:row>
      <xdr:rowOff>156845</xdr:rowOff>
    </xdr:from>
    <xdr:to>
      <xdr:col>7</xdr:col>
      <xdr:colOff>127</xdr:colOff>
      <xdr:row>83</xdr:row>
      <xdr:rowOff>156845</xdr:rowOff>
    </xdr:to>
    <xdr:cxnSp macro="_xll.PtreeEvent_ObjectClick">
      <xdr:nvCxnSpPr>
        <xdr:cNvPr id="891" name="PTObj_DBranchHLine_1_40">
          <a:extLst>
            <a:ext uri="{FF2B5EF4-FFF2-40B4-BE49-F238E27FC236}">
              <a16:creationId xmlns:a16="http://schemas.microsoft.com/office/drawing/2014/main" id="{00000000-0008-0000-0400-00007B030000}"/>
            </a:ext>
          </a:extLst>
        </xdr:cNvPr>
        <xdr:cNvCxnSpPr/>
      </xdr:nvCxnSpPr>
      <xdr:spPr>
        <a:xfrm>
          <a:off x="8972359" y="135966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83</xdr:row>
      <xdr:rowOff>156845</xdr:rowOff>
    </xdr:from>
    <xdr:to>
      <xdr:col>6</xdr:col>
      <xdr:colOff>228409</xdr:colOff>
      <xdr:row>97</xdr:row>
      <xdr:rowOff>151764</xdr:rowOff>
    </xdr:to>
    <xdr:cxnSp macro="_xll.PtreeEvent_ObjectClick">
      <xdr:nvCxnSpPr>
        <xdr:cNvPr id="890" name="PTObj_DBranchDLine_1_40">
          <a:extLst>
            <a:ext uri="{FF2B5EF4-FFF2-40B4-BE49-F238E27FC236}">
              <a16:creationId xmlns:a16="http://schemas.microsoft.com/office/drawing/2014/main" id="{00000000-0008-0000-0400-00007A030000}"/>
            </a:ext>
          </a:extLst>
        </xdr:cNvPr>
        <xdr:cNvCxnSpPr/>
      </xdr:nvCxnSpPr>
      <xdr:spPr>
        <a:xfrm flipV="1">
          <a:off x="8819959" y="13596620"/>
          <a:ext cx="152400" cy="22618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97</xdr:row>
      <xdr:rowOff>156845</xdr:rowOff>
    </xdr:from>
    <xdr:to>
      <xdr:col>6</xdr:col>
      <xdr:colOff>127</xdr:colOff>
      <xdr:row>97</xdr:row>
      <xdr:rowOff>156845</xdr:rowOff>
    </xdr:to>
    <xdr:cxnSp macro="_xll.PtreeEvent_ObjectClick">
      <xdr:nvCxnSpPr>
        <xdr:cNvPr id="887" name="PTObj_DBranchHLine_1_39">
          <a:extLst>
            <a:ext uri="{FF2B5EF4-FFF2-40B4-BE49-F238E27FC236}">
              <a16:creationId xmlns:a16="http://schemas.microsoft.com/office/drawing/2014/main" id="{00000000-0008-0000-0400-000077030000}"/>
            </a:ext>
          </a:extLst>
        </xdr:cNvPr>
        <xdr:cNvCxnSpPr/>
      </xdr:nvCxnSpPr>
      <xdr:spPr>
        <a:xfrm>
          <a:off x="7476934" y="158635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97</xdr:row>
      <xdr:rowOff>156845</xdr:rowOff>
    </xdr:from>
    <xdr:to>
      <xdr:col>5</xdr:col>
      <xdr:colOff>228409</xdr:colOff>
      <xdr:row>139</xdr:row>
      <xdr:rowOff>151763</xdr:rowOff>
    </xdr:to>
    <xdr:cxnSp macro="_xll.PtreeEvent_ObjectClick">
      <xdr:nvCxnSpPr>
        <xdr:cNvPr id="886" name="PTObj_DBranchDLine_1_39">
          <a:extLst>
            <a:ext uri="{FF2B5EF4-FFF2-40B4-BE49-F238E27FC236}">
              <a16:creationId xmlns:a16="http://schemas.microsoft.com/office/drawing/2014/main" id="{00000000-0008-0000-0400-000076030000}"/>
            </a:ext>
          </a:extLst>
        </xdr:cNvPr>
        <xdr:cNvCxnSpPr/>
      </xdr:nvCxnSpPr>
      <xdr:spPr>
        <a:xfrm flipV="1">
          <a:off x="7324534" y="15863570"/>
          <a:ext cx="152400" cy="6795768"/>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69</xdr:row>
      <xdr:rowOff>156845</xdr:rowOff>
    </xdr:from>
    <xdr:to>
      <xdr:col>9</xdr:col>
      <xdr:colOff>127</xdr:colOff>
      <xdr:row>69</xdr:row>
      <xdr:rowOff>156845</xdr:rowOff>
    </xdr:to>
    <xdr:cxnSp macro="_xll.PtreeEvent_ObjectClick">
      <xdr:nvCxnSpPr>
        <xdr:cNvPr id="883" name="PTObj_DBranchHLine_1_132">
          <a:extLst>
            <a:ext uri="{FF2B5EF4-FFF2-40B4-BE49-F238E27FC236}">
              <a16:creationId xmlns:a16="http://schemas.microsoft.com/office/drawing/2014/main" id="{00000000-0008-0000-0400-000073030000}"/>
            </a:ext>
          </a:extLst>
        </xdr:cNvPr>
        <xdr:cNvCxnSpPr/>
      </xdr:nvCxnSpPr>
      <xdr:spPr>
        <a:xfrm>
          <a:off x="11963209" y="113296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67</xdr:row>
      <xdr:rowOff>151764</xdr:rowOff>
    </xdr:from>
    <xdr:to>
      <xdr:col>8</xdr:col>
      <xdr:colOff>228409</xdr:colOff>
      <xdr:row>69</xdr:row>
      <xdr:rowOff>156845</xdr:rowOff>
    </xdr:to>
    <xdr:cxnSp macro="_xll.PtreeEvent_ObjectClick">
      <xdr:nvCxnSpPr>
        <xdr:cNvPr id="882" name="PTObj_DBranchDLine_1_132">
          <a:extLst>
            <a:ext uri="{FF2B5EF4-FFF2-40B4-BE49-F238E27FC236}">
              <a16:creationId xmlns:a16="http://schemas.microsoft.com/office/drawing/2014/main" id="{00000000-0008-0000-0400-000072030000}"/>
            </a:ext>
          </a:extLst>
        </xdr:cNvPr>
        <xdr:cNvCxnSpPr/>
      </xdr:nvCxnSpPr>
      <xdr:spPr>
        <a:xfrm>
          <a:off x="11810809" y="110007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65</xdr:row>
      <xdr:rowOff>156845</xdr:rowOff>
    </xdr:from>
    <xdr:to>
      <xdr:col>9</xdr:col>
      <xdr:colOff>127</xdr:colOff>
      <xdr:row>65</xdr:row>
      <xdr:rowOff>156845</xdr:rowOff>
    </xdr:to>
    <xdr:cxnSp macro="_xll.PtreeEvent_ObjectClick">
      <xdr:nvCxnSpPr>
        <xdr:cNvPr id="879" name="PTObj_DBranchHLine_1_38">
          <a:extLst>
            <a:ext uri="{FF2B5EF4-FFF2-40B4-BE49-F238E27FC236}">
              <a16:creationId xmlns:a16="http://schemas.microsoft.com/office/drawing/2014/main" id="{00000000-0008-0000-0400-00006F030000}"/>
            </a:ext>
          </a:extLst>
        </xdr:cNvPr>
        <xdr:cNvCxnSpPr/>
      </xdr:nvCxnSpPr>
      <xdr:spPr>
        <a:xfrm>
          <a:off x="11963209" y="106819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65</xdr:row>
      <xdr:rowOff>156845</xdr:rowOff>
    </xdr:from>
    <xdr:to>
      <xdr:col>8</xdr:col>
      <xdr:colOff>228409</xdr:colOff>
      <xdr:row>67</xdr:row>
      <xdr:rowOff>151764</xdr:rowOff>
    </xdr:to>
    <xdr:cxnSp macro="_xll.PtreeEvent_ObjectClick">
      <xdr:nvCxnSpPr>
        <xdr:cNvPr id="878" name="PTObj_DBranchDLine_1_38">
          <a:extLst>
            <a:ext uri="{FF2B5EF4-FFF2-40B4-BE49-F238E27FC236}">
              <a16:creationId xmlns:a16="http://schemas.microsoft.com/office/drawing/2014/main" id="{00000000-0008-0000-0400-00006E030000}"/>
            </a:ext>
          </a:extLst>
        </xdr:cNvPr>
        <xdr:cNvCxnSpPr/>
      </xdr:nvCxnSpPr>
      <xdr:spPr>
        <a:xfrm flipV="1">
          <a:off x="11810809" y="1068197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67</xdr:row>
      <xdr:rowOff>156845</xdr:rowOff>
    </xdr:from>
    <xdr:to>
      <xdr:col>8</xdr:col>
      <xdr:colOff>127</xdr:colOff>
      <xdr:row>67</xdr:row>
      <xdr:rowOff>156845</xdr:rowOff>
    </xdr:to>
    <xdr:cxnSp macro="_xll.PtreeEvent_ObjectClick">
      <xdr:nvCxnSpPr>
        <xdr:cNvPr id="875" name="PTObj_DBranchHLine_1_37">
          <a:extLst>
            <a:ext uri="{FF2B5EF4-FFF2-40B4-BE49-F238E27FC236}">
              <a16:creationId xmlns:a16="http://schemas.microsoft.com/office/drawing/2014/main" id="{00000000-0008-0000-0400-00006B030000}"/>
            </a:ext>
          </a:extLst>
        </xdr:cNvPr>
        <xdr:cNvCxnSpPr/>
      </xdr:nvCxnSpPr>
      <xdr:spPr>
        <a:xfrm>
          <a:off x="10467784" y="110058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57</xdr:row>
      <xdr:rowOff>151764</xdr:rowOff>
    </xdr:from>
    <xdr:to>
      <xdr:col>7</xdr:col>
      <xdr:colOff>228409</xdr:colOff>
      <xdr:row>67</xdr:row>
      <xdr:rowOff>156845</xdr:rowOff>
    </xdr:to>
    <xdr:cxnSp macro="_xll.PtreeEvent_ObjectClick">
      <xdr:nvCxnSpPr>
        <xdr:cNvPr id="874" name="PTObj_DBranchDLine_1_37">
          <a:extLst>
            <a:ext uri="{FF2B5EF4-FFF2-40B4-BE49-F238E27FC236}">
              <a16:creationId xmlns:a16="http://schemas.microsoft.com/office/drawing/2014/main" id="{00000000-0008-0000-0400-00006A030000}"/>
            </a:ext>
          </a:extLst>
        </xdr:cNvPr>
        <xdr:cNvCxnSpPr/>
      </xdr:nvCxnSpPr>
      <xdr:spPr>
        <a:xfrm>
          <a:off x="10315384" y="9381489"/>
          <a:ext cx="152400" cy="16243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63</xdr:row>
      <xdr:rowOff>156845</xdr:rowOff>
    </xdr:from>
    <xdr:to>
      <xdr:col>9</xdr:col>
      <xdr:colOff>127</xdr:colOff>
      <xdr:row>63</xdr:row>
      <xdr:rowOff>156845</xdr:rowOff>
    </xdr:to>
    <xdr:cxnSp macro="_xll.PtreeEvent_ObjectClick">
      <xdr:nvCxnSpPr>
        <xdr:cNvPr id="871" name="PTObj_DBranchHLine_1_35">
          <a:extLst>
            <a:ext uri="{FF2B5EF4-FFF2-40B4-BE49-F238E27FC236}">
              <a16:creationId xmlns:a16="http://schemas.microsoft.com/office/drawing/2014/main" id="{00000000-0008-0000-0400-000067030000}"/>
            </a:ext>
          </a:extLst>
        </xdr:cNvPr>
        <xdr:cNvCxnSpPr/>
      </xdr:nvCxnSpPr>
      <xdr:spPr>
        <a:xfrm>
          <a:off x="11963209" y="103581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61</xdr:row>
      <xdr:rowOff>151764</xdr:rowOff>
    </xdr:from>
    <xdr:to>
      <xdr:col>8</xdr:col>
      <xdr:colOff>228409</xdr:colOff>
      <xdr:row>63</xdr:row>
      <xdr:rowOff>156845</xdr:rowOff>
    </xdr:to>
    <xdr:cxnSp macro="_xll.PtreeEvent_ObjectClick">
      <xdr:nvCxnSpPr>
        <xdr:cNvPr id="870" name="PTObj_DBranchDLine_1_35">
          <a:extLst>
            <a:ext uri="{FF2B5EF4-FFF2-40B4-BE49-F238E27FC236}">
              <a16:creationId xmlns:a16="http://schemas.microsoft.com/office/drawing/2014/main" id="{00000000-0008-0000-0400-000066030000}"/>
            </a:ext>
          </a:extLst>
        </xdr:cNvPr>
        <xdr:cNvCxnSpPr/>
      </xdr:nvCxnSpPr>
      <xdr:spPr>
        <a:xfrm>
          <a:off x="11810809" y="1002918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59</xdr:row>
      <xdr:rowOff>156845</xdr:rowOff>
    </xdr:from>
    <xdr:to>
      <xdr:col>9</xdr:col>
      <xdr:colOff>127</xdr:colOff>
      <xdr:row>59</xdr:row>
      <xdr:rowOff>156845</xdr:rowOff>
    </xdr:to>
    <xdr:cxnSp macro="_xll.PtreeEvent_ObjectClick">
      <xdr:nvCxnSpPr>
        <xdr:cNvPr id="867" name="PTObj_DBranchHLine_1_34">
          <a:extLst>
            <a:ext uri="{FF2B5EF4-FFF2-40B4-BE49-F238E27FC236}">
              <a16:creationId xmlns:a16="http://schemas.microsoft.com/office/drawing/2014/main" id="{00000000-0008-0000-0400-000063030000}"/>
            </a:ext>
          </a:extLst>
        </xdr:cNvPr>
        <xdr:cNvCxnSpPr/>
      </xdr:nvCxnSpPr>
      <xdr:spPr>
        <a:xfrm>
          <a:off x="11963209" y="97104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59</xdr:row>
      <xdr:rowOff>156845</xdr:rowOff>
    </xdr:from>
    <xdr:to>
      <xdr:col>8</xdr:col>
      <xdr:colOff>228409</xdr:colOff>
      <xdr:row>61</xdr:row>
      <xdr:rowOff>151764</xdr:rowOff>
    </xdr:to>
    <xdr:cxnSp macro="_xll.PtreeEvent_ObjectClick">
      <xdr:nvCxnSpPr>
        <xdr:cNvPr id="866" name="PTObj_DBranchDLine_1_34">
          <a:extLst>
            <a:ext uri="{FF2B5EF4-FFF2-40B4-BE49-F238E27FC236}">
              <a16:creationId xmlns:a16="http://schemas.microsoft.com/office/drawing/2014/main" id="{00000000-0008-0000-0400-000062030000}"/>
            </a:ext>
          </a:extLst>
        </xdr:cNvPr>
        <xdr:cNvCxnSpPr/>
      </xdr:nvCxnSpPr>
      <xdr:spPr>
        <a:xfrm flipV="1">
          <a:off x="11810809" y="971042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61</xdr:row>
      <xdr:rowOff>156845</xdr:rowOff>
    </xdr:from>
    <xdr:to>
      <xdr:col>8</xdr:col>
      <xdr:colOff>127</xdr:colOff>
      <xdr:row>61</xdr:row>
      <xdr:rowOff>156845</xdr:rowOff>
    </xdr:to>
    <xdr:cxnSp macro="_xll.PtreeEvent_ObjectClick">
      <xdr:nvCxnSpPr>
        <xdr:cNvPr id="863" name="PTObj_DBranchHLine_1_33">
          <a:extLst>
            <a:ext uri="{FF2B5EF4-FFF2-40B4-BE49-F238E27FC236}">
              <a16:creationId xmlns:a16="http://schemas.microsoft.com/office/drawing/2014/main" id="{00000000-0008-0000-0400-00005F030000}"/>
            </a:ext>
          </a:extLst>
        </xdr:cNvPr>
        <xdr:cNvCxnSpPr/>
      </xdr:nvCxnSpPr>
      <xdr:spPr>
        <a:xfrm>
          <a:off x="10467784" y="100342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57</xdr:row>
      <xdr:rowOff>151764</xdr:rowOff>
    </xdr:from>
    <xdr:to>
      <xdr:col>7</xdr:col>
      <xdr:colOff>228409</xdr:colOff>
      <xdr:row>61</xdr:row>
      <xdr:rowOff>156845</xdr:rowOff>
    </xdr:to>
    <xdr:cxnSp macro="_xll.PtreeEvent_ObjectClick">
      <xdr:nvCxnSpPr>
        <xdr:cNvPr id="862" name="PTObj_DBranchDLine_1_33">
          <a:extLst>
            <a:ext uri="{FF2B5EF4-FFF2-40B4-BE49-F238E27FC236}">
              <a16:creationId xmlns:a16="http://schemas.microsoft.com/office/drawing/2014/main" id="{00000000-0008-0000-0400-00005E030000}"/>
            </a:ext>
          </a:extLst>
        </xdr:cNvPr>
        <xdr:cNvCxnSpPr/>
      </xdr:nvCxnSpPr>
      <xdr:spPr>
        <a:xfrm>
          <a:off x="10315384" y="9381489"/>
          <a:ext cx="152400" cy="6527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55</xdr:row>
      <xdr:rowOff>156845</xdr:rowOff>
    </xdr:from>
    <xdr:to>
      <xdr:col>9</xdr:col>
      <xdr:colOff>127</xdr:colOff>
      <xdr:row>55</xdr:row>
      <xdr:rowOff>156845</xdr:rowOff>
    </xdr:to>
    <xdr:cxnSp macro="_xll.PtreeEvent_ObjectClick">
      <xdr:nvCxnSpPr>
        <xdr:cNvPr id="859" name="PTObj_DBranchHLine_1_30">
          <a:extLst>
            <a:ext uri="{FF2B5EF4-FFF2-40B4-BE49-F238E27FC236}">
              <a16:creationId xmlns:a16="http://schemas.microsoft.com/office/drawing/2014/main" id="{00000000-0008-0000-0400-00005B030000}"/>
            </a:ext>
          </a:extLst>
        </xdr:cNvPr>
        <xdr:cNvCxnSpPr/>
      </xdr:nvCxnSpPr>
      <xdr:spPr>
        <a:xfrm>
          <a:off x="11963209" y="90627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53</xdr:row>
      <xdr:rowOff>151764</xdr:rowOff>
    </xdr:from>
    <xdr:to>
      <xdr:col>8</xdr:col>
      <xdr:colOff>228409</xdr:colOff>
      <xdr:row>55</xdr:row>
      <xdr:rowOff>156845</xdr:rowOff>
    </xdr:to>
    <xdr:cxnSp macro="_xll.PtreeEvent_ObjectClick">
      <xdr:nvCxnSpPr>
        <xdr:cNvPr id="858" name="PTObj_DBranchDLine_1_30">
          <a:extLst>
            <a:ext uri="{FF2B5EF4-FFF2-40B4-BE49-F238E27FC236}">
              <a16:creationId xmlns:a16="http://schemas.microsoft.com/office/drawing/2014/main" id="{00000000-0008-0000-0400-00005A030000}"/>
            </a:ext>
          </a:extLst>
        </xdr:cNvPr>
        <xdr:cNvCxnSpPr/>
      </xdr:nvCxnSpPr>
      <xdr:spPr>
        <a:xfrm>
          <a:off x="11810809" y="873378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51</xdr:row>
      <xdr:rowOff>156845</xdr:rowOff>
    </xdr:from>
    <xdr:to>
      <xdr:col>9</xdr:col>
      <xdr:colOff>127</xdr:colOff>
      <xdr:row>51</xdr:row>
      <xdr:rowOff>156845</xdr:rowOff>
    </xdr:to>
    <xdr:cxnSp macro="_xll.PtreeEvent_ObjectClick">
      <xdr:nvCxnSpPr>
        <xdr:cNvPr id="855" name="PTObj_DBranchHLine_1_29">
          <a:extLst>
            <a:ext uri="{FF2B5EF4-FFF2-40B4-BE49-F238E27FC236}">
              <a16:creationId xmlns:a16="http://schemas.microsoft.com/office/drawing/2014/main" id="{00000000-0008-0000-0400-000057030000}"/>
            </a:ext>
          </a:extLst>
        </xdr:cNvPr>
        <xdr:cNvCxnSpPr/>
      </xdr:nvCxnSpPr>
      <xdr:spPr>
        <a:xfrm>
          <a:off x="11963209" y="84150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51</xdr:row>
      <xdr:rowOff>156845</xdr:rowOff>
    </xdr:from>
    <xdr:to>
      <xdr:col>8</xdr:col>
      <xdr:colOff>228409</xdr:colOff>
      <xdr:row>53</xdr:row>
      <xdr:rowOff>151764</xdr:rowOff>
    </xdr:to>
    <xdr:cxnSp macro="_xll.PtreeEvent_ObjectClick">
      <xdr:nvCxnSpPr>
        <xdr:cNvPr id="854" name="PTObj_DBranchDLine_1_29">
          <a:extLst>
            <a:ext uri="{FF2B5EF4-FFF2-40B4-BE49-F238E27FC236}">
              <a16:creationId xmlns:a16="http://schemas.microsoft.com/office/drawing/2014/main" id="{00000000-0008-0000-0400-000056030000}"/>
            </a:ext>
          </a:extLst>
        </xdr:cNvPr>
        <xdr:cNvCxnSpPr/>
      </xdr:nvCxnSpPr>
      <xdr:spPr>
        <a:xfrm flipV="1">
          <a:off x="11810809" y="841502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53</xdr:row>
      <xdr:rowOff>156845</xdr:rowOff>
    </xdr:from>
    <xdr:to>
      <xdr:col>8</xdr:col>
      <xdr:colOff>127</xdr:colOff>
      <xdr:row>53</xdr:row>
      <xdr:rowOff>156845</xdr:rowOff>
    </xdr:to>
    <xdr:cxnSp macro="_xll.PtreeEvent_ObjectClick">
      <xdr:nvCxnSpPr>
        <xdr:cNvPr id="851" name="PTObj_DBranchHLine_1_28">
          <a:extLst>
            <a:ext uri="{FF2B5EF4-FFF2-40B4-BE49-F238E27FC236}">
              <a16:creationId xmlns:a16="http://schemas.microsoft.com/office/drawing/2014/main" id="{00000000-0008-0000-0400-000053030000}"/>
            </a:ext>
          </a:extLst>
        </xdr:cNvPr>
        <xdr:cNvCxnSpPr/>
      </xdr:nvCxnSpPr>
      <xdr:spPr>
        <a:xfrm>
          <a:off x="10467784" y="87388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53</xdr:row>
      <xdr:rowOff>156845</xdr:rowOff>
    </xdr:from>
    <xdr:to>
      <xdr:col>7</xdr:col>
      <xdr:colOff>228409</xdr:colOff>
      <xdr:row>57</xdr:row>
      <xdr:rowOff>151764</xdr:rowOff>
    </xdr:to>
    <xdr:cxnSp macro="_xll.PtreeEvent_ObjectClick">
      <xdr:nvCxnSpPr>
        <xdr:cNvPr id="850" name="PTObj_DBranchDLine_1_28">
          <a:extLst>
            <a:ext uri="{FF2B5EF4-FFF2-40B4-BE49-F238E27FC236}">
              <a16:creationId xmlns:a16="http://schemas.microsoft.com/office/drawing/2014/main" id="{00000000-0008-0000-0400-000052030000}"/>
            </a:ext>
          </a:extLst>
        </xdr:cNvPr>
        <xdr:cNvCxnSpPr/>
      </xdr:nvCxnSpPr>
      <xdr:spPr>
        <a:xfrm flipV="1">
          <a:off x="10315384" y="8738870"/>
          <a:ext cx="152400" cy="6426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57</xdr:row>
      <xdr:rowOff>156845</xdr:rowOff>
    </xdr:from>
    <xdr:to>
      <xdr:col>7</xdr:col>
      <xdr:colOff>127</xdr:colOff>
      <xdr:row>57</xdr:row>
      <xdr:rowOff>156845</xdr:rowOff>
    </xdr:to>
    <xdr:cxnSp macro="_xll.PtreeEvent_ObjectClick">
      <xdr:nvCxnSpPr>
        <xdr:cNvPr id="847" name="PTObj_DBranchHLine_1_136">
          <a:extLst>
            <a:ext uri="{FF2B5EF4-FFF2-40B4-BE49-F238E27FC236}">
              <a16:creationId xmlns:a16="http://schemas.microsoft.com/office/drawing/2014/main" id="{00000000-0008-0000-0400-00004F030000}"/>
            </a:ext>
          </a:extLst>
        </xdr:cNvPr>
        <xdr:cNvCxnSpPr/>
      </xdr:nvCxnSpPr>
      <xdr:spPr>
        <a:xfrm>
          <a:off x="8972359" y="93865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29</xdr:row>
      <xdr:rowOff>151765</xdr:rowOff>
    </xdr:from>
    <xdr:to>
      <xdr:col>6</xdr:col>
      <xdr:colOff>228409</xdr:colOff>
      <xdr:row>57</xdr:row>
      <xdr:rowOff>156845</xdr:rowOff>
    </xdr:to>
    <xdr:cxnSp macro="_xll.PtreeEvent_ObjectClick">
      <xdr:nvCxnSpPr>
        <xdr:cNvPr id="846" name="PTObj_DBranchDLine_1_136">
          <a:extLst>
            <a:ext uri="{FF2B5EF4-FFF2-40B4-BE49-F238E27FC236}">
              <a16:creationId xmlns:a16="http://schemas.microsoft.com/office/drawing/2014/main" id="{00000000-0008-0000-0400-00004E030000}"/>
            </a:ext>
          </a:extLst>
        </xdr:cNvPr>
        <xdr:cNvCxnSpPr/>
      </xdr:nvCxnSpPr>
      <xdr:spPr>
        <a:xfrm>
          <a:off x="8819959" y="4847590"/>
          <a:ext cx="152400" cy="45389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49</xdr:row>
      <xdr:rowOff>156845</xdr:rowOff>
    </xdr:from>
    <xdr:to>
      <xdr:col>9</xdr:col>
      <xdr:colOff>127</xdr:colOff>
      <xdr:row>49</xdr:row>
      <xdr:rowOff>156845</xdr:rowOff>
    </xdr:to>
    <xdr:cxnSp macro="_xll.PtreeEvent_ObjectClick">
      <xdr:nvCxnSpPr>
        <xdr:cNvPr id="839" name="PTObj_DBranchHLine_1_26">
          <a:extLst>
            <a:ext uri="{FF2B5EF4-FFF2-40B4-BE49-F238E27FC236}">
              <a16:creationId xmlns:a16="http://schemas.microsoft.com/office/drawing/2014/main" id="{00000000-0008-0000-0400-000047030000}"/>
            </a:ext>
          </a:extLst>
        </xdr:cNvPr>
        <xdr:cNvCxnSpPr/>
      </xdr:nvCxnSpPr>
      <xdr:spPr>
        <a:xfrm>
          <a:off x="11963209" y="80911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47</xdr:row>
      <xdr:rowOff>151764</xdr:rowOff>
    </xdr:from>
    <xdr:to>
      <xdr:col>8</xdr:col>
      <xdr:colOff>228409</xdr:colOff>
      <xdr:row>49</xdr:row>
      <xdr:rowOff>156845</xdr:rowOff>
    </xdr:to>
    <xdr:cxnSp macro="_xll.PtreeEvent_ObjectClick">
      <xdr:nvCxnSpPr>
        <xdr:cNvPr id="838" name="PTObj_DBranchDLine_1_26">
          <a:extLst>
            <a:ext uri="{FF2B5EF4-FFF2-40B4-BE49-F238E27FC236}">
              <a16:creationId xmlns:a16="http://schemas.microsoft.com/office/drawing/2014/main" id="{00000000-0008-0000-0400-000046030000}"/>
            </a:ext>
          </a:extLst>
        </xdr:cNvPr>
        <xdr:cNvCxnSpPr/>
      </xdr:nvCxnSpPr>
      <xdr:spPr>
        <a:xfrm>
          <a:off x="11810809" y="77622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45</xdr:row>
      <xdr:rowOff>156845</xdr:rowOff>
    </xdr:from>
    <xdr:to>
      <xdr:col>9</xdr:col>
      <xdr:colOff>127</xdr:colOff>
      <xdr:row>45</xdr:row>
      <xdr:rowOff>156845</xdr:rowOff>
    </xdr:to>
    <xdr:cxnSp macro="_xll.PtreeEvent_ObjectClick">
      <xdr:nvCxnSpPr>
        <xdr:cNvPr id="835" name="PTObj_DBranchHLine_1_25">
          <a:extLst>
            <a:ext uri="{FF2B5EF4-FFF2-40B4-BE49-F238E27FC236}">
              <a16:creationId xmlns:a16="http://schemas.microsoft.com/office/drawing/2014/main" id="{00000000-0008-0000-0400-000043030000}"/>
            </a:ext>
          </a:extLst>
        </xdr:cNvPr>
        <xdr:cNvCxnSpPr/>
      </xdr:nvCxnSpPr>
      <xdr:spPr>
        <a:xfrm>
          <a:off x="11963209" y="74434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45</xdr:row>
      <xdr:rowOff>156845</xdr:rowOff>
    </xdr:from>
    <xdr:to>
      <xdr:col>8</xdr:col>
      <xdr:colOff>228409</xdr:colOff>
      <xdr:row>47</xdr:row>
      <xdr:rowOff>151764</xdr:rowOff>
    </xdr:to>
    <xdr:cxnSp macro="_xll.PtreeEvent_ObjectClick">
      <xdr:nvCxnSpPr>
        <xdr:cNvPr id="834" name="PTObj_DBranchDLine_1_25">
          <a:extLst>
            <a:ext uri="{FF2B5EF4-FFF2-40B4-BE49-F238E27FC236}">
              <a16:creationId xmlns:a16="http://schemas.microsoft.com/office/drawing/2014/main" id="{00000000-0008-0000-0400-000042030000}"/>
            </a:ext>
          </a:extLst>
        </xdr:cNvPr>
        <xdr:cNvCxnSpPr/>
      </xdr:nvCxnSpPr>
      <xdr:spPr>
        <a:xfrm flipV="1">
          <a:off x="11810809" y="744347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47</xdr:row>
      <xdr:rowOff>156845</xdr:rowOff>
    </xdr:from>
    <xdr:to>
      <xdr:col>8</xdr:col>
      <xdr:colOff>127</xdr:colOff>
      <xdr:row>47</xdr:row>
      <xdr:rowOff>156845</xdr:rowOff>
    </xdr:to>
    <xdr:cxnSp macro="_xll.PtreeEvent_ObjectClick">
      <xdr:nvCxnSpPr>
        <xdr:cNvPr id="831" name="PTObj_DBranchHLine_1_24">
          <a:extLst>
            <a:ext uri="{FF2B5EF4-FFF2-40B4-BE49-F238E27FC236}">
              <a16:creationId xmlns:a16="http://schemas.microsoft.com/office/drawing/2014/main" id="{00000000-0008-0000-0400-00003F030000}"/>
            </a:ext>
          </a:extLst>
        </xdr:cNvPr>
        <xdr:cNvCxnSpPr/>
      </xdr:nvCxnSpPr>
      <xdr:spPr>
        <a:xfrm>
          <a:off x="10467784" y="77673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37</xdr:row>
      <xdr:rowOff>151766</xdr:rowOff>
    </xdr:from>
    <xdr:to>
      <xdr:col>7</xdr:col>
      <xdr:colOff>228409</xdr:colOff>
      <xdr:row>47</xdr:row>
      <xdr:rowOff>156845</xdr:rowOff>
    </xdr:to>
    <xdr:cxnSp macro="_xll.PtreeEvent_ObjectClick">
      <xdr:nvCxnSpPr>
        <xdr:cNvPr id="830" name="PTObj_DBranchDLine_1_24">
          <a:extLst>
            <a:ext uri="{FF2B5EF4-FFF2-40B4-BE49-F238E27FC236}">
              <a16:creationId xmlns:a16="http://schemas.microsoft.com/office/drawing/2014/main" id="{00000000-0008-0000-0400-00003E030000}"/>
            </a:ext>
          </a:extLst>
        </xdr:cNvPr>
        <xdr:cNvCxnSpPr/>
      </xdr:nvCxnSpPr>
      <xdr:spPr>
        <a:xfrm>
          <a:off x="10315384" y="6142991"/>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43</xdr:row>
      <xdr:rowOff>156845</xdr:rowOff>
    </xdr:from>
    <xdr:to>
      <xdr:col>9</xdr:col>
      <xdr:colOff>127</xdr:colOff>
      <xdr:row>43</xdr:row>
      <xdr:rowOff>156845</xdr:rowOff>
    </xdr:to>
    <xdr:cxnSp macro="_xll.PtreeEvent_ObjectClick">
      <xdr:nvCxnSpPr>
        <xdr:cNvPr id="827" name="PTObj_DBranchHLine_1_21">
          <a:extLst>
            <a:ext uri="{FF2B5EF4-FFF2-40B4-BE49-F238E27FC236}">
              <a16:creationId xmlns:a16="http://schemas.microsoft.com/office/drawing/2014/main" id="{00000000-0008-0000-0400-00003B030000}"/>
            </a:ext>
          </a:extLst>
        </xdr:cNvPr>
        <xdr:cNvCxnSpPr/>
      </xdr:nvCxnSpPr>
      <xdr:spPr>
        <a:xfrm>
          <a:off x="11963209" y="71196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41</xdr:row>
      <xdr:rowOff>151764</xdr:rowOff>
    </xdr:from>
    <xdr:to>
      <xdr:col>8</xdr:col>
      <xdr:colOff>228409</xdr:colOff>
      <xdr:row>43</xdr:row>
      <xdr:rowOff>156845</xdr:rowOff>
    </xdr:to>
    <xdr:cxnSp macro="_xll.PtreeEvent_ObjectClick">
      <xdr:nvCxnSpPr>
        <xdr:cNvPr id="826" name="PTObj_DBranchDLine_1_21">
          <a:extLst>
            <a:ext uri="{FF2B5EF4-FFF2-40B4-BE49-F238E27FC236}">
              <a16:creationId xmlns:a16="http://schemas.microsoft.com/office/drawing/2014/main" id="{00000000-0008-0000-0400-00003A030000}"/>
            </a:ext>
          </a:extLst>
        </xdr:cNvPr>
        <xdr:cNvCxnSpPr/>
      </xdr:nvCxnSpPr>
      <xdr:spPr>
        <a:xfrm>
          <a:off x="11810809" y="679068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39</xdr:row>
      <xdr:rowOff>156845</xdr:rowOff>
    </xdr:from>
    <xdr:to>
      <xdr:col>9</xdr:col>
      <xdr:colOff>127</xdr:colOff>
      <xdr:row>39</xdr:row>
      <xdr:rowOff>156845</xdr:rowOff>
    </xdr:to>
    <xdr:cxnSp macro="_xll.PtreeEvent_ObjectClick">
      <xdr:nvCxnSpPr>
        <xdr:cNvPr id="823" name="PTObj_DBranchHLine_1_20">
          <a:extLst>
            <a:ext uri="{FF2B5EF4-FFF2-40B4-BE49-F238E27FC236}">
              <a16:creationId xmlns:a16="http://schemas.microsoft.com/office/drawing/2014/main" id="{00000000-0008-0000-0400-000037030000}"/>
            </a:ext>
          </a:extLst>
        </xdr:cNvPr>
        <xdr:cNvCxnSpPr/>
      </xdr:nvCxnSpPr>
      <xdr:spPr>
        <a:xfrm>
          <a:off x="11963209" y="64719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39</xdr:row>
      <xdr:rowOff>156845</xdr:rowOff>
    </xdr:from>
    <xdr:to>
      <xdr:col>8</xdr:col>
      <xdr:colOff>228409</xdr:colOff>
      <xdr:row>41</xdr:row>
      <xdr:rowOff>151764</xdr:rowOff>
    </xdr:to>
    <xdr:cxnSp macro="_xll.PtreeEvent_ObjectClick">
      <xdr:nvCxnSpPr>
        <xdr:cNvPr id="822" name="PTObj_DBranchDLine_1_20">
          <a:extLst>
            <a:ext uri="{FF2B5EF4-FFF2-40B4-BE49-F238E27FC236}">
              <a16:creationId xmlns:a16="http://schemas.microsoft.com/office/drawing/2014/main" id="{00000000-0008-0000-0400-000036030000}"/>
            </a:ext>
          </a:extLst>
        </xdr:cNvPr>
        <xdr:cNvCxnSpPr/>
      </xdr:nvCxnSpPr>
      <xdr:spPr>
        <a:xfrm flipV="1">
          <a:off x="11810809" y="647192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41</xdr:row>
      <xdr:rowOff>156845</xdr:rowOff>
    </xdr:from>
    <xdr:to>
      <xdr:col>8</xdr:col>
      <xdr:colOff>127</xdr:colOff>
      <xdr:row>41</xdr:row>
      <xdr:rowOff>156845</xdr:rowOff>
    </xdr:to>
    <xdr:cxnSp macro="_xll.PtreeEvent_ObjectClick">
      <xdr:nvCxnSpPr>
        <xdr:cNvPr id="819" name="PTObj_DBranchHLine_1_19">
          <a:extLst>
            <a:ext uri="{FF2B5EF4-FFF2-40B4-BE49-F238E27FC236}">
              <a16:creationId xmlns:a16="http://schemas.microsoft.com/office/drawing/2014/main" id="{00000000-0008-0000-0400-000033030000}"/>
            </a:ext>
          </a:extLst>
        </xdr:cNvPr>
        <xdr:cNvCxnSpPr/>
      </xdr:nvCxnSpPr>
      <xdr:spPr>
        <a:xfrm>
          <a:off x="10467784" y="67957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37</xdr:row>
      <xdr:rowOff>151766</xdr:rowOff>
    </xdr:from>
    <xdr:to>
      <xdr:col>7</xdr:col>
      <xdr:colOff>228409</xdr:colOff>
      <xdr:row>41</xdr:row>
      <xdr:rowOff>156845</xdr:rowOff>
    </xdr:to>
    <xdr:cxnSp macro="_xll.PtreeEvent_ObjectClick">
      <xdr:nvCxnSpPr>
        <xdr:cNvPr id="818" name="PTObj_DBranchDLine_1_19">
          <a:extLst>
            <a:ext uri="{FF2B5EF4-FFF2-40B4-BE49-F238E27FC236}">
              <a16:creationId xmlns:a16="http://schemas.microsoft.com/office/drawing/2014/main" id="{00000000-0008-0000-0400-000032030000}"/>
            </a:ext>
          </a:extLst>
        </xdr:cNvPr>
        <xdr:cNvCxnSpPr/>
      </xdr:nvCxnSpPr>
      <xdr:spPr>
        <a:xfrm>
          <a:off x="10315384" y="6142991"/>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35</xdr:row>
      <xdr:rowOff>156845</xdr:rowOff>
    </xdr:from>
    <xdr:to>
      <xdr:col>9</xdr:col>
      <xdr:colOff>127</xdr:colOff>
      <xdr:row>35</xdr:row>
      <xdr:rowOff>156845</xdr:rowOff>
    </xdr:to>
    <xdr:cxnSp macro="_xll.PtreeEvent_ObjectClick">
      <xdr:nvCxnSpPr>
        <xdr:cNvPr id="815" name="PTObj_DBranchHLine_1_17">
          <a:extLst>
            <a:ext uri="{FF2B5EF4-FFF2-40B4-BE49-F238E27FC236}">
              <a16:creationId xmlns:a16="http://schemas.microsoft.com/office/drawing/2014/main" id="{00000000-0008-0000-0400-00002F030000}"/>
            </a:ext>
          </a:extLst>
        </xdr:cNvPr>
        <xdr:cNvCxnSpPr/>
      </xdr:nvCxnSpPr>
      <xdr:spPr>
        <a:xfrm>
          <a:off x="11963209" y="58242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33</xdr:row>
      <xdr:rowOff>151766</xdr:rowOff>
    </xdr:from>
    <xdr:to>
      <xdr:col>8</xdr:col>
      <xdr:colOff>228409</xdr:colOff>
      <xdr:row>35</xdr:row>
      <xdr:rowOff>156845</xdr:rowOff>
    </xdr:to>
    <xdr:cxnSp macro="_xll.PtreeEvent_ObjectClick">
      <xdr:nvCxnSpPr>
        <xdr:cNvPr id="814" name="PTObj_DBranchDLine_1_17">
          <a:extLst>
            <a:ext uri="{FF2B5EF4-FFF2-40B4-BE49-F238E27FC236}">
              <a16:creationId xmlns:a16="http://schemas.microsoft.com/office/drawing/2014/main" id="{00000000-0008-0000-0400-00002E030000}"/>
            </a:ext>
          </a:extLst>
        </xdr:cNvPr>
        <xdr:cNvCxnSpPr/>
      </xdr:nvCxnSpPr>
      <xdr:spPr>
        <a:xfrm>
          <a:off x="11810809" y="54952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31</xdr:row>
      <xdr:rowOff>156845</xdr:rowOff>
    </xdr:from>
    <xdr:to>
      <xdr:col>9</xdr:col>
      <xdr:colOff>127</xdr:colOff>
      <xdr:row>31</xdr:row>
      <xdr:rowOff>156845</xdr:rowOff>
    </xdr:to>
    <xdr:cxnSp macro="_xll.PtreeEvent_ObjectClick">
      <xdr:nvCxnSpPr>
        <xdr:cNvPr id="811" name="PTObj_DBranchHLine_1_16">
          <a:extLst>
            <a:ext uri="{FF2B5EF4-FFF2-40B4-BE49-F238E27FC236}">
              <a16:creationId xmlns:a16="http://schemas.microsoft.com/office/drawing/2014/main" id="{00000000-0008-0000-0400-00002B030000}"/>
            </a:ext>
          </a:extLst>
        </xdr:cNvPr>
        <xdr:cNvCxnSpPr/>
      </xdr:nvCxnSpPr>
      <xdr:spPr>
        <a:xfrm>
          <a:off x="11963209" y="51765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31</xdr:row>
      <xdr:rowOff>156845</xdr:rowOff>
    </xdr:from>
    <xdr:to>
      <xdr:col>8</xdr:col>
      <xdr:colOff>228409</xdr:colOff>
      <xdr:row>33</xdr:row>
      <xdr:rowOff>151766</xdr:rowOff>
    </xdr:to>
    <xdr:cxnSp macro="_xll.PtreeEvent_ObjectClick">
      <xdr:nvCxnSpPr>
        <xdr:cNvPr id="810" name="PTObj_DBranchDLine_1_16">
          <a:extLst>
            <a:ext uri="{FF2B5EF4-FFF2-40B4-BE49-F238E27FC236}">
              <a16:creationId xmlns:a16="http://schemas.microsoft.com/office/drawing/2014/main" id="{00000000-0008-0000-0400-00002A030000}"/>
            </a:ext>
          </a:extLst>
        </xdr:cNvPr>
        <xdr:cNvCxnSpPr/>
      </xdr:nvCxnSpPr>
      <xdr:spPr>
        <a:xfrm flipV="1">
          <a:off x="11810809" y="51765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33</xdr:row>
      <xdr:rowOff>156845</xdr:rowOff>
    </xdr:from>
    <xdr:to>
      <xdr:col>8</xdr:col>
      <xdr:colOff>127</xdr:colOff>
      <xdr:row>33</xdr:row>
      <xdr:rowOff>156845</xdr:rowOff>
    </xdr:to>
    <xdr:cxnSp macro="_xll.PtreeEvent_ObjectClick">
      <xdr:nvCxnSpPr>
        <xdr:cNvPr id="807" name="PTObj_DBranchHLine_1_15">
          <a:extLst>
            <a:ext uri="{FF2B5EF4-FFF2-40B4-BE49-F238E27FC236}">
              <a16:creationId xmlns:a16="http://schemas.microsoft.com/office/drawing/2014/main" id="{00000000-0008-0000-0400-000027030000}"/>
            </a:ext>
          </a:extLst>
        </xdr:cNvPr>
        <xdr:cNvCxnSpPr/>
      </xdr:nvCxnSpPr>
      <xdr:spPr>
        <a:xfrm>
          <a:off x="10467784" y="55003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33</xdr:row>
      <xdr:rowOff>156845</xdr:rowOff>
    </xdr:from>
    <xdr:to>
      <xdr:col>7</xdr:col>
      <xdr:colOff>228409</xdr:colOff>
      <xdr:row>37</xdr:row>
      <xdr:rowOff>151766</xdr:rowOff>
    </xdr:to>
    <xdr:cxnSp macro="_xll.PtreeEvent_ObjectClick">
      <xdr:nvCxnSpPr>
        <xdr:cNvPr id="806" name="PTObj_DBranchDLine_1_15">
          <a:extLst>
            <a:ext uri="{FF2B5EF4-FFF2-40B4-BE49-F238E27FC236}">
              <a16:creationId xmlns:a16="http://schemas.microsoft.com/office/drawing/2014/main" id="{00000000-0008-0000-0400-000026030000}"/>
            </a:ext>
          </a:extLst>
        </xdr:cNvPr>
        <xdr:cNvCxnSpPr/>
      </xdr:nvCxnSpPr>
      <xdr:spPr>
        <a:xfrm flipV="1">
          <a:off x="10315384" y="5500370"/>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37</xdr:row>
      <xdr:rowOff>156845</xdr:rowOff>
    </xdr:from>
    <xdr:to>
      <xdr:col>7</xdr:col>
      <xdr:colOff>127</xdr:colOff>
      <xdr:row>37</xdr:row>
      <xdr:rowOff>156845</xdr:rowOff>
    </xdr:to>
    <xdr:cxnSp macro="_xll.PtreeEvent_ObjectClick">
      <xdr:nvCxnSpPr>
        <xdr:cNvPr id="803" name="PTObj_DBranchHLine_1_134">
          <a:extLst>
            <a:ext uri="{FF2B5EF4-FFF2-40B4-BE49-F238E27FC236}">
              <a16:creationId xmlns:a16="http://schemas.microsoft.com/office/drawing/2014/main" id="{00000000-0008-0000-0400-000023030000}"/>
            </a:ext>
          </a:extLst>
        </xdr:cNvPr>
        <xdr:cNvCxnSpPr/>
      </xdr:nvCxnSpPr>
      <xdr:spPr>
        <a:xfrm>
          <a:off x="8972359" y="61480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29</xdr:row>
      <xdr:rowOff>151765</xdr:rowOff>
    </xdr:from>
    <xdr:to>
      <xdr:col>6</xdr:col>
      <xdr:colOff>228409</xdr:colOff>
      <xdr:row>37</xdr:row>
      <xdr:rowOff>156845</xdr:rowOff>
    </xdr:to>
    <xdr:cxnSp macro="_xll.PtreeEvent_ObjectClick">
      <xdr:nvCxnSpPr>
        <xdr:cNvPr id="802" name="PTObj_DBranchDLine_1_134">
          <a:extLst>
            <a:ext uri="{FF2B5EF4-FFF2-40B4-BE49-F238E27FC236}">
              <a16:creationId xmlns:a16="http://schemas.microsoft.com/office/drawing/2014/main" id="{00000000-0008-0000-0400-000022030000}"/>
            </a:ext>
          </a:extLst>
        </xdr:cNvPr>
        <xdr:cNvCxnSpPr/>
      </xdr:nvCxnSpPr>
      <xdr:spPr>
        <a:xfrm>
          <a:off x="8819959" y="4847590"/>
          <a:ext cx="152400" cy="13004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27</xdr:row>
      <xdr:rowOff>156845</xdr:rowOff>
    </xdr:from>
    <xdr:to>
      <xdr:col>9</xdr:col>
      <xdr:colOff>127</xdr:colOff>
      <xdr:row>27</xdr:row>
      <xdr:rowOff>156845</xdr:rowOff>
    </xdr:to>
    <xdr:cxnSp macro="_xll.PtreeEvent_ObjectClick">
      <xdr:nvCxnSpPr>
        <xdr:cNvPr id="795" name="PTObj_DBranchHLine_1_36">
          <a:extLst>
            <a:ext uri="{FF2B5EF4-FFF2-40B4-BE49-F238E27FC236}">
              <a16:creationId xmlns:a16="http://schemas.microsoft.com/office/drawing/2014/main" id="{00000000-0008-0000-0400-00001B030000}"/>
            </a:ext>
          </a:extLst>
        </xdr:cNvPr>
        <xdr:cNvCxnSpPr/>
      </xdr:nvCxnSpPr>
      <xdr:spPr>
        <a:xfrm>
          <a:off x="11963209" y="45288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25</xdr:row>
      <xdr:rowOff>151765</xdr:rowOff>
    </xdr:from>
    <xdr:to>
      <xdr:col>8</xdr:col>
      <xdr:colOff>228409</xdr:colOff>
      <xdr:row>27</xdr:row>
      <xdr:rowOff>156845</xdr:rowOff>
    </xdr:to>
    <xdr:cxnSp macro="_xll.PtreeEvent_ObjectClick">
      <xdr:nvCxnSpPr>
        <xdr:cNvPr id="794" name="PTObj_DBranchDLine_1_36">
          <a:extLst>
            <a:ext uri="{FF2B5EF4-FFF2-40B4-BE49-F238E27FC236}">
              <a16:creationId xmlns:a16="http://schemas.microsoft.com/office/drawing/2014/main" id="{00000000-0008-0000-0400-00001A030000}"/>
            </a:ext>
          </a:extLst>
        </xdr:cNvPr>
        <xdr:cNvCxnSpPr/>
      </xdr:nvCxnSpPr>
      <xdr:spPr>
        <a:xfrm>
          <a:off x="11810809" y="4199890"/>
          <a:ext cx="152400" cy="32893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23</xdr:row>
      <xdr:rowOff>156845</xdr:rowOff>
    </xdr:from>
    <xdr:to>
      <xdr:col>9</xdr:col>
      <xdr:colOff>127</xdr:colOff>
      <xdr:row>23</xdr:row>
      <xdr:rowOff>156845</xdr:rowOff>
    </xdr:to>
    <xdr:cxnSp macro="_xll.PtreeEvent_ObjectClick">
      <xdr:nvCxnSpPr>
        <xdr:cNvPr id="791" name="PTObj_DBranchHLine_1_32">
          <a:extLst>
            <a:ext uri="{FF2B5EF4-FFF2-40B4-BE49-F238E27FC236}">
              <a16:creationId xmlns:a16="http://schemas.microsoft.com/office/drawing/2014/main" id="{00000000-0008-0000-0400-000017030000}"/>
            </a:ext>
          </a:extLst>
        </xdr:cNvPr>
        <xdr:cNvCxnSpPr/>
      </xdr:nvCxnSpPr>
      <xdr:spPr>
        <a:xfrm>
          <a:off x="11963209" y="38811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23</xdr:row>
      <xdr:rowOff>156845</xdr:rowOff>
    </xdr:from>
    <xdr:to>
      <xdr:col>8</xdr:col>
      <xdr:colOff>228409</xdr:colOff>
      <xdr:row>25</xdr:row>
      <xdr:rowOff>151765</xdr:rowOff>
    </xdr:to>
    <xdr:cxnSp macro="_xll.PtreeEvent_ObjectClick">
      <xdr:nvCxnSpPr>
        <xdr:cNvPr id="790" name="PTObj_DBranchDLine_1_32">
          <a:extLst>
            <a:ext uri="{FF2B5EF4-FFF2-40B4-BE49-F238E27FC236}">
              <a16:creationId xmlns:a16="http://schemas.microsoft.com/office/drawing/2014/main" id="{00000000-0008-0000-0400-000016030000}"/>
            </a:ext>
          </a:extLst>
        </xdr:cNvPr>
        <xdr:cNvCxnSpPr/>
      </xdr:nvCxnSpPr>
      <xdr:spPr>
        <a:xfrm flipV="1">
          <a:off x="11810809" y="3881120"/>
          <a:ext cx="152400" cy="31877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21</xdr:row>
      <xdr:rowOff>156845</xdr:rowOff>
    </xdr:from>
    <xdr:to>
      <xdr:col>9</xdr:col>
      <xdr:colOff>127</xdr:colOff>
      <xdr:row>21</xdr:row>
      <xdr:rowOff>156845</xdr:rowOff>
    </xdr:to>
    <xdr:cxnSp macro="_xll.PtreeEvent_ObjectClick">
      <xdr:nvCxnSpPr>
        <xdr:cNvPr id="787" name="PTObj_DBranchHLine_1_27">
          <a:extLst>
            <a:ext uri="{FF2B5EF4-FFF2-40B4-BE49-F238E27FC236}">
              <a16:creationId xmlns:a16="http://schemas.microsoft.com/office/drawing/2014/main" id="{00000000-0008-0000-0400-000013030000}"/>
            </a:ext>
          </a:extLst>
        </xdr:cNvPr>
        <xdr:cNvCxnSpPr/>
      </xdr:nvCxnSpPr>
      <xdr:spPr>
        <a:xfrm>
          <a:off x="11963209" y="35572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19</xdr:row>
      <xdr:rowOff>151766</xdr:rowOff>
    </xdr:from>
    <xdr:to>
      <xdr:col>8</xdr:col>
      <xdr:colOff>228409</xdr:colOff>
      <xdr:row>21</xdr:row>
      <xdr:rowOff>156845</xdr:rowOff>
    </xdr:to>
    <xdr:cxnSp macro="_xll.PtreeEvent_ObjectClick">
      <xdr:nvCxnSpPr>
        <xdr:cNvPr id="786" name="PTObj_DBranchDLine_1_27">
          <a:extLst>
            <a:ext uri="{FF2B5EF4-FFF2-40B4-BE49-F238E27FC236}">
              <a16:creationId xmlns:a16="http://schemas.microsoft.com/office/drawing/2014/main" id="{00000000-0008-0000-0400-000012030000}"/>
            </a:ext>
          </a:extLst>
        </xdr:cNvPr>
        <xdr:cNvCxnSpPr/>
      </xdr:nvCxnSpPr>
      <xdr:spPr>
        <a:xfrm>
          <a:off x="11810809" y="322834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17</xdr:row>
      <xdr:rowOff>156845</xdr:rowOff>
    </xdr:from>
    <xdr:to>
      <xdr:col>9</xdr:col>
      <xdr:colOff>127</xdr:colOff>
      <xdr:row>17</xdr:row>
      <xdr:rowOff>156845</xdr:rowOff>
    </xdr:to>
    <xdr:cxnSp macro="_xll.PtreeEvent_ObjectClick">
      <xdr:nvCxnSpPr>
        <xdr:cNvPr id="783" name="PTObj_DBranchHLine_1_23">
          <a:extLst>
            <a:ext uri="{FF2B5EF4-FFF2-40B4-BE49-F238E27FC236}">
              <a16:creationId xmlns:a16="http://schemas.microsoft.com/office/drawing/2014/main" id="{00000000-0008-0000-0400-00000F030000}"/>
            </a:ext>
          </a:extLst>
        </xdr:cNvPr>
        <xdr:cNvCxnSpPr/>
      </xdr:nvCxnSpPr>
      <xdr:spPr>
        <a:xfrm>
          <a:off x="11963209" y="29095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17</xdr:row>
      <xdr:rowOff>156845</xdr:rowOff>
    </xdr:from>
    <xdr:to>
      <xdr:col>8</xdr:col>
      <xdr:colOff>228409</xdr:colOff>
      <xdr:row>19</xdr:row>
      <xdr:rowOff>151766</xdr:rowOff>
    </xdr:to>
    <xdr:cxnSp macro="_xll.PtreeEvent_ObjectClick">
      <xdr:nvCxnSpPr>
        <xdr:cNvPr id="782" name="PTObj_DBranchDLine_1_23">
          <a:extLst>
            <a:ext uri="{FF2B5EF4-FFF2-40B4-BE49-F238E27FC236}">
              <a16:creationId xmlns:a16="http://schemas.microsoft.com/office/drawing/2014/main" id="{00000000-0008-0000-0400-00000E030000}"/>
            </a:ext>
          </a:extLst>
        </xdr:cNvPr>
        <xdr:cNvCxnSpPr/>
      </xdr:nvCxnSpPr>
      <xdr:spPr>
        <a:xfrm flipV="1">
          <a:off x="11810809" y="290957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13</xdr:row>
      <xdr:rowOff>156845</xdr:rowOff>
    </xdr:from>
    <xdr:to>
      <xdr:col>9</xdr:col>
      <xdr:colOff>127</xdr:colOff>
      <xdr:row>13</xdr:row>
      <xdr:rowOff>156845</xdr:rowOff>
    </xdr:to>
    <xdr:cxnSp macro="_xll.PtreeEvent_ObjectClick">
      <xdr:nvCxnSpPr>
        <xdr:cNvPr id="779" name="PTObj_DBranchHLine_1_18">
          <a:extLst>
            <a:ext uri="{FF2B5EF4-FFF2-40B4-BE49-F238E27FC236}">
              <a16:creationId xmlns:a16="http://schemas.microsoft.com/office/drawing/2014/main" id="{00000000-0008-0000-0400-00000B030000}"/>
            </a:ext>
          </a:extLst>
        </xdr:cNvPr>
        <xdr:cNvCxnSpPr/>
      </xdr:nvCxnSpPr>
      <xdr:spPr>
        <a:xfrm>
          <a:off x="11963209" y="22618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11</xdr:row>
      <xdr:rowOff>151766</xdr:rowOff>
    </xdr:from>
    <xdr:to>
      <xdr:col>8</xdr:col>
      <xdr:colOff>228409</xdr:colOff>
      <xdr:row>13</xdr:row>
      <xdr:rowOff>156845</xdr:rowOff>
    </xdr:to>
    <xdr:cxnSp macro="_xll.PtreeEvent_ObjectClick">
      <xdr:nvCxnSpPr>
        <xdr:cNvPr id="778" name="PTObj_DBranchDLine_1_18">
          <a:extLst>
            <a:ext uri="{FF2B5EF4-FFF2-40B4-BE49-F238E27FC236}">
              <a16:creationId xmlns:a16="http://schemas.microsoft.com/office/drawing/2014/main" id="{00000000-0008-0000-0400-00000A030000}"/>
            </a:ext>
          </a:extLst>
        </xdr:cNvPr>
        <xdr:cNvCxnSpPr/>
      </xdr:nvCxnSpPr>
      <xdr:spPr>
        <a:xfrm>
          <a:off x="11810809" y="193294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9</xdr:row>
      <xdr:rowOff>156845</xdr:rowOff>
    </xdr:from>
    <xdr:to>
      <xdr:col>9</xdr:col>
      <xdr:colOff>127</xdr:colOff>
      <xdr:row>9</xdr:row>
      <xdr:rowOff>156845</xdr:rowOff>
    </xdr:to>
    <xdr:cxnSp macro="_xll.PtreeEvent_ObjectClick">
      <xdr:nvCxnSpPr>
        <xdr:cNvPr id="775" name="PTObj_DBranchHLine_1_14">
          <a:extLst>
            <a:ext uri="{FF2B5EF4-FFF2-40B4-BE49-F238E27FC236}">
              <a16:creationId xmlns:a16="http://schemas.microsoft.com/office/drawing/2014/main" id="{00000000-0008-0000-0400-000007030000}"/>
            </a:ext>
          </a:extLst>
        </xdr:cNvPr>
        <xdr:cNvCxnSpPr/>
      </xdr:nvCxnSpPr>
      <xdr:spPr>
        <a:xfrm>
          <a:off x="11963209" y="16141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9</xdr:row>
      <xdr:rowOff>156845</xdr:rowOff>
    </xdr:from>
    <xdr:to>
      <xdr:col>8</xdr:col>
      <xdr:colOff>228409</xdr:colOff>
      <xdr:row>11</xdr:row>
      <xdr:rowOff>151766</xdr:rowOff>
    </xdr:to>
    <xdr:cxnSp macro="_xll.PtreeEvent_ObjectClick">
      <xdr:nvCxnSpPr>
        <xdr:cNvPr id="774" name="PTObj_DBranchDLine_1_14">
          <a:extLst>
            <a:ext uri="{FF2B5EF4-FFF2-40B4-BE49-F238E27FC236}">
              <a16:creationId xmlns:a16="http://schemas.microsoft.com/office/drawing/2014/main" id="{00000000-0008-0000-0400-000006030000}"/>
            </a:ext>
          </a:extLst>
        </xdr:cNvPr>
        <xdr:cNvCxnSpPr/>
      </xdr:nvCxnSpPr>
      <xdr:spPr>
        <a:xfrm flipV="1">
          <a:off x="11810809" y="161417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25</xdr:row>
      <xdr:rowOff>156845</xdr:rowOff>
    </xdr:from>
    <xdr:to>
      <xdr:col>8</xdr:col>
      <xdr:colOff>127</xdr:colOff>
      <xdr:row>25</xdr:row>
      <xdr:rowOff>156845</xdr:rowOff>
    </xdr:to>
    <xdr:cxnSp macro="_xll.PtreeEvent_ObjectClick">
      <xdr:nvCxnSpPr>
        <xdr:cNvPr id="731" name="PTObj_DBranchHLine_1_31">
          <a:extLst>
            <a:ext uri="{FF2B5EF4-FFF2-40B4-BE49-F238E27FC236}">
              <a16:creationId xmlns:a16="http://schemas.microsoft.com/office/drawing/2014/main" id="{00000000-0008-0000-0400-0000DB020000}"/>
            </a:ext>
          </a:extLst>
        </xdr:cNvPr>
        <xdr:cNvCxnSpPr/>
      </xdr:nvCxnSpPr>
      <xdr:spPr>
        <a:xfrm>
          <a:off x="10467784" y="90627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15</xdr:row>
      <xdr:rowOff>151766</xdr:rowOff>
    </xdr:from>
    <xdr:to>
      <xdr:col>7</xdr:col>
      <xdr:colOff>228409</xdr:colOff>
      <xdr:row>25</xdr:row>
      <xdr:rowOff>156845</xdr:rowOff>
    </xdr:to>
    <xdr:cxnSp macro="_xll.PtreeEvent_ObjectClick">
      <xdr:nvCxnSpPr>
        <xdr:cNvPr id="730" name="PTObj_DBranchDLine_1_31">
          <a:extLst>
            <a:ext uri="{FF2B5EF4-FFF2-40B4-BE49-F238E27FC236}">
              <a16:creationId xmlns:a16="http://schemas.microsoft.com/office/drawing/2014/main" id="{00000000-0008-0000-0400-0000DA020000}"/>
            </a:ext>
          </a:extLst>
        </xdr:cNvPr>
        <xdr:cNvCxnSpPr/>
      </xdr:nvCxnSpPr>
      <xdr:spPr>
        <a:xfrm>
          <a:off x="10315384" y="4523741"/>
          <a:ext cx="152400" cy="45389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19</xdr:row>
      <xdr:rowOff>156845</xdr:rowOff>
    </xdr:from>
    <xdr:to>
      <xdr:col>8</xdr:col>
      <xdr:colOff>127</xdr:colOff>
      <xdr:row>19</xdr:row>
      <xdr:rowOff>156845</xdr:rowOff>
    </xdr:to>
    <xdr:cxnSp macro="_xll.PtreeEvent_ObjectClick">
      <xdr:nvCxnSpPr>
        <xdr:cNvPr id="427" name="PTObj_DBranchHLine_1_22">
          <a:extLst>
            <a:ext uri="{FF2B5EF4-FFF2-40B4-BE49-F238E27FC236}">
              <a16:creationId xmlns:a16="http://schemas.microsoft.com/office/drawing/2014/main" id="{00000000-0008-0000-0400-0000AB010000}"/>
            </a:ext>
          </a:extLst>
        </xdr:cNvPr>
        <xdr:cNvCxnSpPr/>
      </xdr:nvCxnSpPr>
      <xdr:spPr>
        <a:xfrm>
          <a:off x="10467784" y="61480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15</xdr:row>
      <xdr:rowOff>151766</xdr:rowOff>
    </xdr:from>
    <xdr:to>
      <xdr:col>7</xdr:col>
      <xdr:colOff>228409</xdr:colOff>
      <xdr:row>19</xdr:row>
      <xdr:rowOff>156845</xdr:rowOff>
    </xdr:to>
    <xdr:cxnSp macro="_xll.PtreeEvent_ObjectClick">
      <xdr:nvCxnSpPr>
        <xdr:cNvPr id="426" name="PTObj_DBranchDLine_1_22">
          <a:extLst>
            <a:ext uri="{FF2B5EF4-FFF2-40B4-BE49-F238E27FC236}">
              <a16:creationId xmlns:a16="http://schemas.microsoft.com/office/drawing/2014/main" id="{00000000-0008-0000-0400-0000AA010000}"/>
            </a:ext>
          </a:extLst>
        </xdr:cNvPr>
        <xdr:cNvCxnSpPr/>
      </xdr:nvCxnSpPr>
      <xdr:spPr>
        <a:xfrm>
          <a:off x="10315384" y="4523741"/>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11</xdr:row>
      <xdr:rowOff>156845</xdr:rowOff>
    </xdr:from>
    <xdr:to>
      <xdr:col>8</xdr:col>
      <xdr:colOff>127</xdr:colOff>
      <xdr:row>11</xdr:row>
      <xdr:rowOff>156845</xdr:rowOff>
    </xdr:to>
    <xdr:cxnSp macro="_xll.PtreeEvent_ObjectClick">
      <xdr:nvCxnSpPr>
        <xdr:cNvPr id="299" name="PTObj_DBranchHLine_1_13">
          <a:extLst>
            <a:ext uri="{FF2B5EF4-FFF2-40B4-BE49-F238E27FC236}">
              <a16:creationId xmlns:a16="http://schemas.microsoft.com/office/drawing/2014/main" id="{00000000-0008-0000-0400-00002B010000}"/>
            </a:ext>
          </a:extLst>
        </xdr:cNvPr>
        <xdr:cNvCxnSpPr/>
      </xdr:nvCxnSpPr>
      <xdr:spPr>
        <a:xfrm>
          <a:off x="10467784" y="29095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11</xdr:row>
      <xdr:rowOff>156845</xdr:rowOff>
    </xdr:from>
    <xdr:to>
      <xdr:col>7</xdr:col>
      <xdr:colOff>228409</xdr:colOff>
      <xdr:row>15</xdr:row>
      <xdr:rowOff>151766</xdr:rowOff>
    </xdr:to>
    <xdr:cxnSp macro="_xll.PtreeEvent_ObjectClick">
      <xdr:nvCxnSpPr>
        <xdr:cNvPr id="298" name="PTObj_DBranchDLine_1_13">
          <a:extLst>
            <a:ext uri="{FF2B5EF4-FFF2-40B4-BE49-F238E27FC236}">
              <a16:creationId xmlns:a16="http://schemas.microsoft.com/office/drawing/2014/main" id="{00000000-0008-0000-0400-00002A010000}"/>
            </a:ext>
          </a:extLst>
        </xdr:cNvPr>
        <xdr:cNvCxnSpPr/>
      </xdr:nvCxnSpPr>
      <xdr:spPr>
        <a:xfrm flipV="1">
          <a:off x="10315384" y="2909570"/>
          <a:ext cx="152400" cy="16141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15</xdr:row>
      <xdr:rowOff>156845</xdr:rowOff>
    </xdr:from>
    <xdr:to>
      <xdr:col>7</xdr:col>
      <xdr:colOff>127</xdr:colOff>
      <xdr:row>15</xdr:row>
      <xdr:rowOff>156845</xdr:rowOff>
    </xdr:to>
    <xdr:cxnSp macro="_xll.PtreeEvent_ObjectClick">
      <xdr:nvCxnSpPr>
        <xdr:cNvPr id="291" name="PTObj_DBranchHLine_1_12">
          <a:extLst>
            <a:ext uri="{FF2B5EF4-FFF2-40B4-BE49-F238E27FC236}">
              <a16:creationId xmlns:a16="http://schemas.microsoft.com/office/drawing/2014/main" id="{00000000-0008-0000-0400-000023010000}"/>
            </a:ext>
          </a:extLst>
        </xdr:cNvPr>
        <xdr:cNvCxnSpPr/>
      </xdr:nvCxnSpPr>
      <xdr:spPr>
        <a:xfrm>
          <a:off x="8972359" y="45288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15</xdr:row>
      <xdr:rowOff>156845</xdr:rowOff>
    </xdr:from>
    <xdr:to>
      <xdr:col>6</xdr:col>
      <xdr:colOff>228409</xdr:colOff>
      <xdr:row>29</xdr:row>
      <xdr:rowOff>151764</xdr:rowOff>
    </xdr:to>
    <xdr:cxnSp macro="_xll.PtreeEvent_ObjectClick">
      <xdr:nvCxnSpPr>
        <xdr:cNvPr id="290" name="PTObj_DBranchDLine_1_12">
          <a:extLst>
            <a:ext uri="{FF2B5EF4-FFF2-40B4-BE49-F238E27FC236}">
              <a16:creationId xmlns:a16="http://schemas.microsoft.com/office/drawing/2014/main" id="{00000000-0008-0000-0400-000022010000}"/>
            </a:ext>
          </a:extLst>
        </xdr:cNvPr>
        <xdr:cNvCxnSpPr/>
      </xdr:nvCxnSpPr>
      <xdr:spPr>
        <a:xfrm flipV="1">
          <a:off x="8819959" y="4528820"/>
          <a:ext cx="152400" cy="61480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29</xdr:row>
      <xdr:rowOff>156845</xdr:rowOff>
    </xdr:from>
    <xdr:to>
      <xdr:col>6</xdr:col>
      <xdr:colOff>127</xdr:colOff>
      <xdr:row>29</xdr:row>
      <xdr:rowOff>156845</xdr:rowOff>
    </xdr:to>
    <xdr:cxnSp macro="_xll.PtreeEvent_ObjectClick">
      <xdr:nvCxnSpPr>
        <xdr:cNvPr id="287" name="PTObj_DBranchHLine_1_10">
          <a:extLst>
            <a:ext uri="{FF2B5EF4-FFF2-40B4-BE49-F238E27FC236}">
              <a16:creationId xmlns:a16="http://schemas.microsoft.com/office/drawing/2014/main" id="{00000000-0008-0000-0400-00001F010000}"/>
            </a:ext>
          </a:extLst>
        </xdr:cNvPr>
        <xdr:cNvCxnSpPr/>
      </xdr:nvCxnSpPr>
      <xdr:spPr>
        <a:xfrm>
          <a:off x="7476934" y="106819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29</xdr:row>
      <xdr:rowOff>156845</xdr:rowOff>
    </xdr:from>
    <xdr:to>
      <xdr:col>5</xdr:col>
      <xdr:colOff>228409</xdr:colOff>
      <xdr:row>71</xdr:row>
      <xdr:rowOff>151765</xdr:rowOff>
    </xdr:to>
    <xdr:cxnSp macro="_xll.PtreeEvent_ObjectClick">
      <xdr:nvCxnSpPr>
        <xdr:cNvPr id="286" name="PTObj_DBranchDLine_1_10">
          <a:extLst>
            <a:ext uri="{FF2B5EF4-FFF2-40B4-BE49-F238E27FC236}">
              <a16:creationId xmlns:a16="http://schemas.microsoft.com/office/drawing/2014/main" id="{00000000-0008-0000-0400-00001E010000}"/>
            </a:ext>
          </a:extLst>
        </xdr:cNvPr>
        <xdr:cNvCxnSpPr/>
      </xdr:nvCxnSpPr>
      <xdr:spPr>
        <a:xfrm flipV="1">
          <a:off x="7324534" y="10681970"/>
          <a:ext cx="152400" cy="96647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228410</xdr:colOff>
      <xdr:row>297</xdr:row>
      <xdr:rowOff>156846</xdr:rowOff>
    </xdr:from>
    <xdr:to>
      <xdr:col>4</xdr:col>
      <xdr:colOff>127</xdr:colOff>
      <xdr:row>297</xdr:row>
      <xdr:rowOff>156846</xdr:rowOff>
    </xdr:to>
    <xdr:cxnSp macro="_xll.PtreeEvent_ObjectClick">
      <xdr:nvCxnSpPr>
        <xdr:cNvPr id="706" name="PTObj_DBranchHLine_1_135">
          <a:extLst>
            <a:ext uri="{FF2B5EF4-FFF2-40B4-BE49-F238E27FC236}">
              <a16:creationId xmlns:a16="http://schemas.microsoft.com/office/drawing/2014/main" id="{00000000-0008-0000-0400-0000C2020000}"/>
            </a:ext>
          </a:extLst>
        </xdr:cNvPr>
        <xdr:cNvCxnSpPr/>
      </xdr:nvCxnSpPr>
      <xdr:spPr>
        <a:xfrm>
          <a:off x="4486085" y="450100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76010</xdr:colOff>
      <xdr:row>295</xdr:row>
      <xdr:rowOff>151767</xdr:rowOff>
    </xdr:from>
    <xdr:to>
      <xdr:col>3</xdr:col>
      <xdr:colOff>228410</xdr:colOff>
      <xdr:row>297</xdr:row>
      <xdr:rowOff>156846</xdr:rowOff>
    </xdr:to>
    <xdr:cxnSp macro="_xll.PtreeEvent_ObjectClick">
      <xdr:nvCxnSpPr>
        <xdr:cNvPr id="705" name="PTObj_DBranchDLine_1_135">
          <a:extLst>
            <a:ext uri="{FF2B5EF4-FFF2-40B4-BE49-F238E27FC236}">
              <a16:creationId xmlns:a16="http://schemas.microsoft.com/office/drawing/2014/main" id="{00000000-0008-0000-0400-0000C1020000}"/>
            </a:ext>
          </a:extLst>
        </xdr:cNvPr>
        <xdr:cNvCxnSpPr/>
      </xdr:nvCxnSpPr>
      <xdr:spPr>
        <a:xfrm>
          <a:off x="4333685" y="446811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228410</xdr:colOff>
      <xdr:row>295</xdr:row>
      <xdr:rowOff>156846</xdr:rowOff>
    </xdr:from>
    <xdr:to>
      <xdr:col>3</xdr:col>
      <xdr:colOff>127</xdr:colOff>
      <xdr:row>295</xdr:row>
      <xdr:rowOff>156846</xdr:rowOff>
    </xdr:to>
    <xdr:cxnSp macro="_xll.PtreeEvent_ObjectClick">
      <xdr:nvCxnSpPr>
        <xdr:cNvPr id="698" name="PTObj_DBranchHLine_1_133">
          <a:extLst>
            <a:ext uri="{FF2B5EF4-FFF2-40B4-BE49-F238E27FC236}">
              <a16:creationId xmlns:a16="http://schemas.microsoft.com/office/drawing/2014/main" id="{00000000-0008-0000-0400-0000BA020000}"/>
            </a:ext>
          </a:extLst>
        </xdr:cNvPr>
        <xdr:cNvCxnSpPr/>
      </xdr:nvCxnSpPr>
      <xdr:spPr>
        <a:xfrm>
          <a:off x="2990660" y="443623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76010</xdr:colOff>
      <xdr:row>293</xdr:row>
      <xdr:rowOff>151767</xdr:rowOff>
    </xdr:from>
    <xdr:to>
      <xdr:col>2</xdr:col>
      <xdr:colOff>228410</xdr:colOff>
      <xdr:row>295</xdr:row>
      <xdr:rowOff>156846</xdr:rowOff>
    </xdr:to>
    <xdr:cxnSp macro="_xll.PtreeEvent_ObjectClick">
      <xdr:nvCxnSpPr>
        <xdr:cNvPr id="697" name="PTObj_DBranchDLine_1_133">
          <a:extLst>
            <a:ext uri="{FF2B5EF4-FFF2-40B4-BE49-F238E27FC236}">
              <a16:creationId xmlns:a16="http://schemas.microsoft.com/office/drawing/2014/main" id="{00000000-0008-0000-0400-0000B9020000}"/>
            </a:ext>
          </a:extLst>
        </xdr:cNvPr>
        <xdr:cNvCxnSpPr/>
      </xdr:nvCxnSpPr>
      <xdr:spPr>
        <a:xfrm>
          <a:off x="2838260" y="440334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228410</xdr:colOff>
      <xdr:row>293</xdr:row>
      <xdr:rowOff>156846</xdr:rowOff>
    </xdr:from>
    <xdr:to>
      <xdr:col>2</xdr:col>
      <xdr:colOff>127</xdr:colOff>
      <xdr:row>293</xdr:row>
      <xdr:rowOff>156846</xdr:rowOff>
    </xdr:to>
    <xdr:cxnSp macro="_xll.PtreeEvent_ObjectClick">
      <xdr:nvCxnSpPr>
        <xdr:cNvPr id="686" name="PTObj_DBranchHLine_1_3">
          <a:extLst>
            <a:ext uri="{FF2B5EF4-FFF2-40B4-BE49-F238E27FC236}">
              <a16:creationId xmlns:a16="http://schemas.microsoft.com/office/drawing/2014/main" id="{00000000-0008-0000-0400-0000AE020000}"/>
            </a:ext>
          </a:extLst>
        </xdr:cNvPr>
        <xdr:cNvCxnSpPr/>
      </xdr:nvCxnSpPr>
      <xdr:spPr>
        <a:xfrm>
          <a:off x="1495235" y="437146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76010</xdr:colOff>
      <xdr:row>291</xdr:row>
      <xdr:rowOff>151764</xdr:rowOff>
    </xdr:from>
    <xdr:to>
      <xdr:col>1</xdr:col>
      <xdr:colOff>228410</xdr:colOff>
      <xdr:row>293</xdr:row>
      <xdr:rowOff>156846</xdr:rowOff>
    </xdr:to>
    <xdr:cxnSp macro="_xll.PtreeEvent_ObjectClick">
      <xdr:nvCxnSpPr>
        <xdr:cNvPr id="685" name="PTObj_DBranchDLine_1_3">
          <a:extLst>
            <a:ext uri="{FF2B5EF4-FFF2-40B4-BE49-F238E27FC236}">
              <a16:creationId xmlns:a16="http://schemas.microsoft.com/office/drawing/2014/main" id="{00000000-0008-0000-0400-0000AD020000}"/>
            </a:ext>
          </a:extLst>
        </xdr:cNvPr>
        <xdr:cNvCxnSpPr/>
      </xdr:nvCxnSpPr>
      <xdr:spPr>
        <a:xfrm>
          <a:off x="1342835" y="43385739"/>
          <a:ext cx="152400" cy="328932"/>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228410</xdr:colOff>
      <xdr:row>147</xdr:row>
      <xdr:rowOff>156845</xdr:rowOff>
    </xdr:from>
    <xdr:to>
      <xdr:col>5</xdr:col>
      <xdr:colOff>127</xdr:colOff>
      <xdr:row>147</xdr:row>
      <xdr:rowOff>156845</xdr:rowOff>
    </xdr:to>
    <xdr:cxnSp macro="_xll.PtreeEvent_ObjectClick">
      <xdr:nvCxnSpPr>
        <xdr:cNvPr id="422" name="PTObj_DBranchHLine_1_69">
          <a:extLst>
            <a:ext uri="{FF2B5EF4-FFF2-40B4-BE49-F238E27FC236}">
              <a16:creationId xmlns:a16="http://schemas.microsoft.com/office/drawing/2014/main" id="{00000000-0008-0000-0400-0000A6010000}"/>
            </a:ext>
          </a:extLst>
        </xdr:cNvPr>
        <xdr:cNvCxnSpPr/>
      </xdr:nvCxnSpPr>
      <xdr:spPr>
        <a:xfrm>
          <a:off x="5981510" y="2234057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145</xdr:row>
      <xdr:rowOff>151764</xdr:rowOff>
    </xdr:from>
    <xdr:to>
      <xdr:col>4</xdr:col>
      <xdr:colOff>228410</xdr:colOff>
      <xdr:row>147</xdr:row>
      <xdr:rowOff>156845</xdr:rowOff>
    </xdr:to>
    <xdr:cxnSp macro="_xll.PtreeEvent_ObjectClick">
      <xdr:nvCxnSpPr>
        <xdr:cNvPr id="421" name="PTObj_DBranchDLine_1_69">
          <a:extLst>
            <a:ext uri="{FF2B5EF4-FFF2-40B4-BE49-F238E27FC236}">
              <a16:creationId xmlns:a16="http://schemas.microsoft.com/office/drawing/2014/main" id="{00000000-0008-0000-0400-0000A5010000}"/>
            </a:ext>
          </a:extLst>
        </xdr:cNvPr>
        <xdr:cNvCxnSpPr/>
      </xdr:nvCxnSpPr>
      <xdr:spPr>
        <a:xfrm>
          <a:off x="5829110" y="220116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228410</xdr:colOff>
      <xdr:row>145</xdr:row>
      <xdr:rowOff>156845</xdr:rowOff>
    </xdr:from>
    <xdr:to>
      <xdr:col>4</xdr:col>
      <xdr:colOff>127</xdr:colOff>
      <xdr:row>145</xdr:row>
      <xdr:rowOff>156845</xdr:rowOff>
    </xdr:to>
    <xdr:cxnSp macro="_xll.PtreeEvent_ObjectClick">
      <xdr:nvCxnSpPr>
        <xdr:cNvPr id="414" name="PTObj_DBranchHLine_1_7">
          <a:extLst>
            <a:ext uri="{FF2B5EF4-FFF2-40B4-BE49-F238E27FC236}">
              <a16:creationId xmlns:a16="http://schemas.microsoft.com/office/drawing/2014/main" id="{00000000-0008-0000-0400-00009E010000}"/>
            </a:ext>
          </a:extLst>
        </xdr:cNvPr>
        <xdr:cNvCxnSpPr/>
      </xdr:nvCxnSpPr>
      <xdr:spPr>
        <a:xfrm>
          <a:off x="4486085" y="2169287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76010</xdr:colOff>
      <xdr:row>143</xdr:row>
      <xdr:rowOff>151766</xdr:rowOff>
    </xdr:from>
    <xdr:to>
      <xdr:col>3</xdr:col>
      <xdr:colOff>228410</xdr:colOff>
      <xdr:row>145</xdr:row>
      <xdr:rowOff>156845</xdr:rowOff>
    </xdr:to>
    <xdr:cxnSp macro="_xll.PtreeEvent_ObjectClick">
      <xdr:nvCxnSpPr>
        <xdr:cNvPr id="413" name="PTObj_DBranchDLine_1_7">
          <a:extLst>
            <a:ext uri="{FF2B5EF4-FFF2-40B4-BE49-F238E27FC236}">
              <a16:creationId xmlns:a16="http://schemas.microsoft.com/office/drawing/2014/main" id="{00000000-0008-0000-0400-00009D010000}"/>
            </a:ext>
          </a:extLst>
        </xdr:cNvPr>
        <xdr:cNvCxnSpPr/>
      </xdr:nvCxnSpPr>
      <xdr:spPr>
        <a:xfrm>
          <a:off x="4333685" y="2136394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141</xdr:row>
      <xdr:rowOff>156845</xdr:rowOff>
    </xdr:from>
    <xdr:to>
      <xdr:col>6</xdr:col>
      <xdr:colOff>127</xdr:colOff>
      <xdr:row>141</xdr:row>
      <xdr:rowOff>156845</xdr:rowOff>
    </xdr:to>
    <xdr:cxnSp macro="_xll.PtreeEvent_ObjectClick">
      <xdr:nvCxnSpPr>
        <xdr:cNvPr id="330" name="PTObj_DBranchHLine_1_67">
          <a:extLst>
            <a:ext uri="{FF2B5EF4-FFF2-40B4-BE49-F238E27FC236}">
              <a16:creationId xmlns:a16="http://schemas.microsoft.com/office/drawing/2014/main" id="{00000000-0008-0000-0400-00004A010000}"/>
            </a:ext>
          </a:extLst>
        </xdr:cNvPr>
        <xdr:cNvCxnSpPr/>
      </xdr:nvCxnSpPr>
      <xdr:spPr>
        <a:xfrm>
          <a:off x="7476934" y="210451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139</xdr:row>
      <xdr:rowOff>151764</xdr:rowOff>
    </xdr:from>
    <xdr:to>
      <xdr:col>5</xdr:col>
      <xdr:colOff>228409</xdr:colOff>
      <xdr:row>141</xdr:row>
      <xdr:rowOff>156845</xdr:rowOff>
    </xdr:to>
    <xdr:cxnSp macro="_xll.PtreeEvent_ObjectClick">
      <xdr:nvCxnSpPr>
        <xdr:cNvPr id="329" name="PTObj_DBranchDLine_1_67">
          <a:extLst>
            <a:ext uri="{FF2B5EF4-FFF2-40B4-BE49-F238E27FC236}">
              <a16:creationId xmlns:a16="http://schemas.microsoft.com/office/drawing/2014/main" id="{00000000-0008-0000-0400-000049010000}"/>
            </a:ext>
          </a:extLst>
        </xdr:cNvPr>
        <xdr:cNvCxnSpPr/>
      </xdr:nvCxnSpPr>
      <xdr:spPr>
        <a:xfrm>
          <a:off x="7324534" y="207162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228410</xdr:colOff>
      <xdr:row>139</xdr:row>
      <xdr:rowOff>156845</xdr:rowOff>
    </xdr:from>
    <xdr:to>
      <xdr:col>5</xdr:col>
      <xdr:colOff>127</xdr:colOff>
      <xdr:row>139</xdr:row>
      <xdr:rowOff>156845</xdr:rowOff>
    </xdr:to>
    <xdr:cxnSp macro="_xll.PtreeEvent_ObjectClick">
      <xdr:nvCxnSpPr>
        <xdr:cNvPr id="214" name="PTObj_DBranchHLine_1_9">
          <a:extLst>
            <a:ext uri="{FF2B5EF4-FFF2-40B4-BE49-F238E27FC236}">
              <a16:creationId xmlns:a16="http://schemas.microsoft.com/office/drawing/2014/main" id="{00000000-0008-0000-0400-0000D6000000}"/>
            </a:ext>
          </a:extLst>
        </xdr:cNvPr>
        <xdr:cNvCxnSpPr/>
      </xdr:nvCxnSpPr>
      <xdr:spPr>
        <a:xfrm>
          <a:off x="5981510" y="2072132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75</xdr:row>
      <xdr:rowOff>151765</xdr:rowOff>
    </xdr:from>
    <xdr:to>
      <xdr:col>4</xdr:col>
      <xdr:colOff>228410</xdr:colOff>
      <xdr:row>139</xdr:row>
      <xdr:rowOff>156845</xdr:rowOff>
    </xdr:to>
    <xdr:cxnSp macro="_xll.PtreeEvent_ObjectClick">
      <xdr:nvCxnSpPr>
        <xdr:cNvPr id="213" name="PTObj_DBranchDLine_1_9">
          <a:extLst>
            <a:ext uri="{FF2B5EF4-FFF2-40B4-BE49-F238E27FC236}">
              <a16:creationId xmlns:a16="http://schemas.microsoft.com/office/drawing/2014/main" id="{00000000-0008-0000-0400-0000D5000000}"/>
            </a:ext>
          </a:extLst>
        </xdr:cNvPr>
        <xdr:cNvCxnSpPr/>
      </xdr:nvCxnSpPr>
      <xdr:spPr>
        <a:xfrm>
          <a:off x="5829110" y="11324590"/>
          <a:ext cx="152400" cy="939673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73</xdr:row>
      <xdr:rowOff>156845</xdr:rowOff>
    </xdr:from>
    <xdr:to>
      <xdr:col>6</xdr:col>
      <xdr:colOff>127</xdr:colOff>
      <xdr:row>73</xdr:row>
      <xdr:rowOff>156845</xdr:rowOff>
    </xdr:to>
    <xdr:cxnSp macro="_xll.PtreeEvent_ObjectClick">
      <xdr:nvCxnSpPr>
        <xdr:cNvPr id="62" name="PTObj_DBranchHLine_1_11">
          <a:extLst>
            <a:ext uri="{FF2B5EF4-FFF2-40B4-BE49-F238E27FC236}">
              <a16:creationId xmlns:a16="http://schemas.microsoft.com/office/drawing/2014/main" id="{00000000-0008-0000-0400-00003E000000}"/>
            </a:ext>
          </a:extLst>
        </xdr:cNvPr>
        <xdr:cNvCxnSpPr/>
      </xdr:nvCxnSpPr>
      <xdr:spPr>
        <a:xfrm>
          <a:off x="7476934" y="2261870"/>
          <a:ext cx="1124268"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71</xdr:row>
      <xdr:rowOff>151765</xdr:rowOff>
    </xdr:from>
    <xdr:to>
      <xdr:col>5</xdr:col>
      <xdr:colOff>228409</xdr:colOff>
      <xdr:row>73</xdr:row>
      <xdr:rowOff>156845</xdr:rowOff>
    </xdr:to>
    <xdr:cxnSp macro="_xll.PtreeEvent_ObjectClick">
      <xdr:nvCxnSpPr>
        <xdr:cNvPr id="61" name="PTObj_DBranchDLine_1_11">
          <a:extLst>
            <a:ext uri="{FF2B5EF4-FFF2-40B4-BE49-F238E27FC236}">
              <a16:creationId xmlns:a16="http://schemas.microsoft.com/office/drawing/2014/main" id="{00000000-0008-0000-0400-00003D000000}"/>
            </a:ext>
          </a:extLst>
        </xdr:cNvPr>
        <xdr:cNvCxnSpPr/>
      </xdr:nvCxnSpPr>
      <xdr:spPr>
        <a:xfrm>
          <a:off x="7324534" y="1932940"/>
          <a:ext cx="152400" cy="32893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228410</xdr:colOff>
      <xdr:row>71</xdr:row>
      <xdr:rowOff>156845</xdr:rowOff>
    </xdr:from>
    <xdr:to>
      <xdr:col>5</xdr:col>
      <xdr:colOff>127</xdr:colOff>
      <xdr:row>71</xdr:row>
      <xdr:rowOff>156845</xdr:rowOff>
    </xdr:to>
    <xdr:cxnSp macro="_xll.PtreeEvent_ObjectClick">
      <xdr:nvCxnSpPr>
        <xdr:cNvPr id="54" name="PTObj_DBranchHLine_1_8">
          <a:extLst>
            <a:ext uri="{FF2B5EF4-FFF2-40B4-BE49-F238E27FC236}">
              <a16:creationId xmlns:a16="http://schemas.microsoft.com/office/drawing/2014/main" id="{00000000-0008-0000-0400-000036000000}"/>
            </a:ext>
          </a:extLst>
        </xdr:cNvPr>
        <xdr:cNvCxnSpPr/>
      </xdr:nvCxnSpPr>
      <xdr:spPr>
        <a:xfrm>
          <a:off x="5981510" y="161417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71</xdr:row>
      <xdr:rowOff>156845</xdr:rowOff>
    </xdr:from>
    <xdr:to>
      <xdr:col>4</xdr:col>
      <xdr:colOff>228410</xdr:colOff>
      <xdr:row>75</xdr:row>
      <xdr:rowOff>151765</xdr:rowOff>
    </xdr:to>
    <xdr:cxnSp macro="_xll.PtreeEvent_ObjectClick">
      <xdr:nvCxnSpPr>
        <xdr:cNvPr id="53" name="PTObj_DBranchDLine_1_8">
          <a:extLst>
            <a:ext uri="{FF2B5EF4-FFF2-40B4-BE49-F238E27FC236}">
              <a16:creationId xmlns:a16="http://schemas.microsoft.com/office/drawing/2014/main" id="{00000000-0008-0000-0400-000035000000}"/>
            </a:ext>
          </a:extLst>
        </xdr:cNvPr>
        <xdr:cNvCxnSpPr/>
      </xdr:nvCxnSpPr>
      <xdr:spPr>
        <a:xfrm flipV="1">
          <a:off x="5829110" y="1614170"/>
          <a:ext cx="152400" cy="31877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228410</xdr:colOff>
      <xdr:row>75</xdr:row>
      <xdr:rowOff>156845</xdr:rowOff>
    </xdr:from>
    <xdr:to>
      <xdr:col>4</xdr:col>
      <xdr:colOff>127</xdr:colOff>
      <xdr:row>75</xdr:row>
      <xdr:rowOff>156845</xdr:rowOff>
    </xdr:to>
    <xdr:cxnSp macro="_xll.PtreeEvent_ObjectClick">
      <xdr:nvCxnSpPr>
        <xdr:cNvPr id="42" name="PTObj_DBranchHLine_1_6">
          <a:extLst>
            <a:ext uri="{FF2B5EF4-FFF2-40B4-BE49-F238E27FC236}">
              <a16:creationId xmlns:a16="http://schemas.microsoft.com/office/drawing/2014/main" id="{00000000-0008-0000-0400-00002A000000}"/>
            </a:ext>
          </a:extLst>
        </xdr:cNvPr>
        <xdr:cNvCxnSpPr/>
      </xdr:nvCxnSpPr>
      <xdr:spPr>
        <a:xfrm>
          <a:off x="4486085" y="161417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76010</xdr:colOff>
      <xdr:row>75</xdr:row>
      <xdr:rowOff>156845</xdr:rowOff>
    </xdr:from>
    <xdr:to>
      <xdr:col>3</xdr:col>
      <xdr:colOff>228410</xdr:colOff>
      <xdr:row>143</xdr:row>
      <xdr:rowOff>151765</xdr:rowOff>
    </xdr:to>
    <xdr:cxnSp macro="_xll.PtreeEvent_ObjectClick">
      <xdr:nvCxnSpPr>
        <xdr:cNvPr id="41" name="PTObj_DBranchDLine_1_6">
          <a:extLst>
            <a:ext uri="{FF2B5EF4-FFF2-40B4-BE49-F238E27FC236}">
              <a16:creationId xmlns:a16="http://schemas.microsoft.com/office/drawing/2014/main" id="{00000000-0008-0000-0400-000029000000}"/>
            </a:ext>
          </a:extLst>
        </xdr:cNvPr>
        <xdr:cNvCxnSpPr/>
      </xdr:nvCxnSpPr>
      <xdr:spPr>
        <a:xfrm flipV="1">
          <a:off x="4333685" y="1614170"/>
          <a:ext cx="152400" cy="31877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228410</xdr:colOff>
      <xdr:row>143</xdr:row>
      <xdr:rowOff>156845</xdr:rowOff>
    </xdr:from>
    <xdr:to>
      <xdr:col>3</xdr:col>
      <xdr:colOff>127</xdr:colOff>
      <xdr:row>143</xdr:row>
      <xdr:rowOff>156845</xdr:rowOff>
    </xdr:to>
    <xdr:cxnSp macro="_xll.PtreeEvent_ObjectClick">
      <xdr:nvCxnSpPr>
        <xdr:cNvPr id="30" name="PTObj_DBranchHLine_1_4">
          <a:extLst>
            <a:ext uri="{FF2B5EF4-FFF2-40B4-BE49-F238E27FC236}">
              <a16:creationId xmlns:a16="http://schemas.microsoft.com/office/drawing/2014/main" id="{00000000-0008-0000-0400-00001E000000}"/>
            </a:ext>
          </a:extLst>
        </xdr:cNvPr>
        <xdr:cNvCxnSpPr/>
      </xdr:nvCxnSpPr>
      <xdr:spPr>
        <a:xfrm>
          <a:off x="2990660" y="161417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76010</xdr:colOff>
      <xdr:row>143</xdr:row>
      <xdr:rowOff>156845</xdr:rowOff>
    </xdr:from>
    <xdr:to>
      <xdr:col>2</xdr:col>
      <xdr:colOff>228410</xdr:colOff>
      <xdr:row>149</xdr:row>
      <xdr:rowOff>151765</xdr:rowOff>
    </xdr:to>
    <xdr:cxnSp macro="_xll.PtreeEvent_ObjectClick">
      <xdr:nvCxnSpPr>
        <xdr:cNvPr id="29" name="PTObj_DBranchDLine_1_4">
          <a:extLst>
            <a:ext uri="{FF2B5EF4-FFF2-40B4-BE49-F238E27FC236}">
              <a16:creationId xmlns:a16="http://schemas.microsoft.com/office/drawing/2014/main" id="{00000000-0008-0000-0400-00001D000000}"/>
            </a:ext>
          </a:extLst>
        </xdr:cNvPr>
        <xdr:cNvCxnSpPr/>
      </xdr:nvCxnSpPr>
      <xdr:spPr>
        <a:xfrm flipV="1">
          <a:off x="2838260" y="1614170"/>
          <a:ext cx="152400" cy="31877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228410</xdr:colOff>
      <xdr:row>149</xdr:row>
      <xdr:rowOff>156845</xdr:rowOff>
    </xdr:from>
    <xdr:to>
      <xdr:col>2</xdr:col>
      <xdr:colOff>127</xdr:colOff>
      <xdr:row>149</xdr:row>
      <xdr:rowOff>156845</xdr:rowOff>
    </xdr:to>
    <xdr:cxnSp macro="_xll.PtreeEvent_ObjectClick">
      <xdr:nvCxnSpPr>
        <xdr:cNvPr id="18" name="PTObj_DBranchHLine_1_2">
          <a:extLst>
            <a:ext uri="{FF2B5EF4-FFF2-40B4-BE49-F238E27FC236}">
              <a16:creationId xmlns:a16="http://schemas.microsoft.com/office/drawing/2014/main" id="{00000000-0008-0000-0400-000012000000}"/>
            </a:ext>
          </a:extLst>
        </xdr:cNvPr>
        <xdr:cNvCxnSpPr/>
      </xdr:nvCxnSpPr>
      <xdr:spPr>
        <a:xfrm>
          <a:off x="1495235" y="161417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76010</xdr:colOff>
      <xdr:row>149</xdr:row>
      <xdr:rowOff>156845</xdr:rowOff>
    </xdr:from>
    <xdr:to>
      <xdr:col>1</xdr:col>
      <xdr:colOff>228410</xdr:colOff>
      <xdr:row>291</xdr:row>
      <xdr:rowOff>151765</xdr:rowOff>
    </xdr:to>
    <xdr:cxnSp macro="_xll.PtreeEvent_ObjectClick">
      <xdr:nvCxnSpPr>
        <xdr:cNvPr id="17" name="PTObj_DBranchDLine_1_2">
          <a:extLst>
            <a:ext uri="{FF2B5EF4-FFF2-40B4-BE49-F238E27FC236}">
              <a16:creationId xmlns:a16="http://schemas.microsoft.com/office/drawing/2014/main" id="{00000000-0008-0000-0400-000011000000}"/>
            </a:ext>
          </a:extLst>
        </xdr:cNvPr>
        <xdr:cNvCxnSpPr/>
      </xdr:nvCxnSpPr>
      <xdr:spPr>
        <a:xfrm flipV="1">
          <a:off x="1342835" y="1614170"/>
          <a:ext cx="152400" cy="31877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177800</xdr:colOff>
      <xdr:row>291</xdr:row>
      <xdr:rowOff>156845</xdr:rowOff>
    </xdr:from>
    <xdr:to>
      <xdr:col>1</xdr:col>
      <xdr:colOff>127</xdr:colOff>
      <xdr:row>291</xdr:row>
      <xdr:rowOff>156845</xdr:rowOff>
    </xdr:to>
    <xdr:cxnSp macro="_xll.PtreeEvent_ObjectClick">
      <xdr:nvCxnSpPr>
        <xdr:cNvPr id="6" name="PTObj_DBranchHLine_1_1">
          <a:extLst>
            <a:ext uri="{FF2B5EF4-FFF2-40B4-BE49-F238E27FC236}">
              <a16:creationId xmlns:a16="http://schemas.microsoft.com/office/drawing/2014/main" id="{00000000-0008-0000-0400-000006000000}"/>
            </a:ext>
          </a:extLst>
        </xdr:cNvPr>
        <xdr:cNvCxnSpPr/>
      </xdr:nvCxnSpPr>
      <xdr:spPr>
        <a:xfrm>
          <a:off x="177800" y="1614170"/>
          <a:ext cx="1079627"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127</xdr:colOff>
      <xdr:row>291</xdr:row>
      <xdr:rowOff>75882</xdr:rowOff>
    </xdr:from>
    <xdr:to>
      <xdr:col>1</xdr:col>
      <xdr:colOff>162052</xdr:colOff>
      <xdr:row>292</xdr:row>
      <xdr:rowOff>75883</xdr:rowOff>
    </xdr:to>
    <xdr:sp macro="_xll.PtreeEvent_ObjectClick" textlink="">
      <xdr:nvSpPr>
        <xdr:cNvPr id="5" name="PTObj_DNode_1_1">
          <a:extLst>
            <a:ext uri="{FF2B5EF4-FFF2-40B4-BE49-F238E27FC236}">
              <a16:creationId xmlns:a16="http://schemas.microsoft.com/office/drawing/2014/main" id="{00000000-0008-0000-0400-000005000000}"/>
            </a:ext>
          </a:extLst>
        </xdr:cNvPr>
        <xdr:cNvSpPr/>
      </xdr:nvSpPr>
      <xdr:spPr>
        <a:xfrm>
          <a:off x="1257427" y="1533207"/>
          <a:ext cx="161925" cy="161926"/>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215900</xdr:colOff>
      <xdr:row>291</xdr:row>
      <xdr:rowOff>66532</xdr:rowOff>
    </xdr:from>
    <xdr:ext cx="615617" cy="180627"/>
    <xdr:sp macro="_xll.PtreeEvent_ObjectClick" textlink="">
      <xdr:nvSpPr>
        <xdr:cNvPr id="7" name="PTObj_DBranchName_1_1">
          <a:extLst>
            <a:ext uri="{FF2B5EF4-FFF2-40B4-BE49-F238E27FC236}">
              <a16:creationId xmlns:a16="http://schemas.microsoft.com/office/drawing/2014/main" id="{00000000-0008-0000-0400-000007000000}"/>
            </a:ext>
          </a:extLst>
        </xdr:cNvPr>
        <xdr:cNvSpPr txBox="1"/>
      </xdr:nvSpPr>
      <xdr:spPr>
        <a:xfrm>
          <a:off x="215900" y="1523857"/>
          <a:ext cx="615617"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Nuclear Plant</a:t>
          </a:r>
        </a:p>
      </xdr:txBody>
    </xdr:sp>
    <xdr:clientData/>
  </xdr:oneCellAnchor>
  <xdr:twoCellAnchor editAs="oneCell">
    <xdr:from>
      <xdr:col>2</xdr:col>
      <xdr:colOff>127</xdr:colOff>
      <xdr:row>149</xdr:row>
      <xdr:rowOff>75882</xdr:rowOff>
    </xdr:from>
    <xdr:to>
      <xdr:col>2</xdr:col>
      <xdr:colOff>162052</xdr:colOff>
      <xdr:row>150</xdr:row>
      <xdr:rowOff>75883</xdr:rowOff>
    </xdr:to>
    <xdr:sp macro="_xll.PtreeEvent_ObjectClick" textlink="">
      <xdr:nvSpPr>
        <xdr:cNvPr id="16" name="PTObj_DNode_1_2">
          <a:extLst>
            <a:ext uri="{FF2B5EF4-FFF2-40B4-BE49-F238E27FC236}">
              <a16:creationId xmlns:a16="http://schemas.microsoft.com/office/drawing/2014/main" id="{00000000-0008-0000-0400-000010000000}"/>
            </a:ext>
          </a:extLst>
        </xdr:cNvPr>
        <xdr:cNvSpPr/>
      </xdr:nvSpPr>
      <xdr:spPr>
        <a:xfrm>
          <a:off x="2762377" y="1533207"/>
          <a:ext cx="161925" cy="161926"/>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266510</xdr:colOff>
      <xdr:row>149</xdr:row>
      <xdr:rowOff>66532</xdr:rowOff>
    </xdr:from>
    <xdr:ext cx="196592" cy="180627"/>
    <xdr:sp macro="_xll.PtreeEvent_ObjectClick" textlink="">
      <xdr:nvSpPr>
        <xdr:cNvPr id="19" name="PTObj_DBranchName_1_2">
          <a:extLst>
            <a:ext uri="{FF2B5EF4-FFF2-40B4-BE49-F238E27FC236}">
              <a16:creationId xmlns:a16="http://schemas.microsoft.com/office/drawing/2014/main" id="{00000000-0008-0000-0400-000013000000}"/>
            </a:ext>
          </a:extLst>
        </xdr:cNvPr>
        <xdr:cNvSpPr txBox="1"/>
      </xdr:nvSpPr>
      <xdr:spPr>
        <a:xfrm>
          <a:off x="1533335" y="15238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Yes</a:t>
          </a:r>
        </a:p>
      </xdr:txBody>
    </xdr:sp>
    <xdr:clientData/>
  </xdr:oneCellAnchor>
  <xdr:twoCellAnchor editAs="oneCell">
    <xdr:from>
      <xdr:col>3</xdr:col>
      <xdr:colOff>127</xdr:colOff>
      <xdr:row>143</xdr:row>
      <xdr:rowOff>75882</xdr:rowOff>
    </xdr:from>
    <xdr:to>
      <xdr:col>3</xdr:col>
      <xdr:colOff>162052</xdr:colOff>
      <xdr:row>144</xdr:row>
      <xdr:rowOff>75883</xdr:rowOff>
    </xdr:to>
    <xdr:sp macro="_xll.PtreeEvent_ObjectClick" textlink="">
      <xdr:nvSpPr>
        <xdr:cNvPr id="28" name="PTObj_DNode_1_4">
          <a:extLst>
            <a:ext uri="{FF2B5EF4-FFF2-40B4-BE49-F238E27FC236}">
              <a16:creationId xmlns:a16="http://schemas.microsoft.com/office/drawing/2014/main" id="{00000000-0008-0000-0400-00001C000000}"/>
            </a:ext>
          </a:extLst>
        </xdr:cNvPr>
        <xdr:cNvSpPr/>
      </xdr:nvSpPr>
      <xdr:spPr>
        <a:xfrm>
          <a:off x="4257802" y="1533207"/>
          <a:ext cx="161925" cy="161926"/>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266510</xdr:colOff>
      <xdr:row>143</xdr:row>
      <xdr:rowOff>66532</xdr:rowOff>
    </xdr:from>
    <xdr:ext cx="245067" cy="180627"/>
    <xdr:sp macro="_xll.PtreeEvent_ObjectClick" textlink="">
      <xdr:nvSpPr>
        <xdr:cNvPr id="31" name="PTObj_DBranchName_1_4">
          <a:extLst>
            <a:ext uri="{FF2B5EF4-FFF2-40B4-BE49-F238E27FC236}">
              <a16:creationId xmlns:a16="http://schemas.microsoft.com/office/drawing/2014/main" id="{00000000-0008-0000-0400-00001F000000}"/>
            </a:ext>
          </a:extLst>
        </xdr:cNvPr>
        <xdr:cNvSpPr txBox="1"/>
      </xdr:nvSpPr>
      <xdr:spPr>
        <a:xfrm>
          <a:off x="3028760" y="15238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High</a:t>
          </a:r>
        </a:p>
      </xdr:txBody>
    </xdr:sp>
    <xdr:clientData/>
  </xdr:oneCellAnchor>
  <xdr:twoCellAnchor editAs="oneCell">
    <xdr:from>
      <xdr:col>4</xdr:col>
      <xdr:colOff>127</xdr:colOff>
      <xdr:row>75</xdr:row>
      <xdr:rowOff>75882</xdr:rowOff>
    </xdr:from>
    <xdr:to>
      <xdr:col>4</xdr:col>
      <xdr:colOff>162052</xdr:colOff>
      <xdr:row>76</xdr:row>
      <xdr:rowOff>75883</xdr:rowOff>
    </xdr:to>
    <xdr:sp macro="_xll.PtreeEvent_ObjectClick" textlink="">
      <xdr:nvSpPr>
        <xdr:cNvPr id="40" name="PTObj_DNode_1_6">
          <a:extLst>
            <a:ext uri="{FF2B5EF4-FFF2-40B4-BE49-F238E27FC236}">
              <a16:creationId xmlns:a16="http://schemas.microsoft.com/office/drawing/2014/main" id="{00000000-0008-0000-0400-000028000000}"/>
            </a:ext>
          </a:extLst>
        </xdr:cNvPr>
        <xdr:cNvSpPr/>
      </xdr:nvSpPr>
      <xdr:spPr>
        <a:xfrm>
          <a:off x="5753227" y="1533207"/>
          <a:ext cx="161925" cy="161926"/>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266510</xdr:colOff>
      <xdr:row>75</xdr:row>
      <xdr:rowOff>66532</xdr:rowOff>
    </xdr:from>
    <xdr:ext cx="196592" cy="180627"/>
    <xdr:sp macro="_xll.PtreeEvent_ObjectClick" textlink="">
      <xdr:nvSpPr>
        <xdr:cNvPr id="43" name="PTObj_DBranchName_1_6">
          <a:extLst>
            <a:ext uri="{FF2B5EF4-FFF2-40B4-BE49-F238E27FC236}">
              <a16:creationId xmlns:a16="http://schemas.microsoft.com/office/drawing/2014/main" id="{00000000-0008-0000-0400-00002B000000}"/>
            </a:ext>
          </a:extLst>
        </xdr:cNvPr>
        <xdr:cNvSpPr txBox="1"/>
      </xdr:nvSpPr>
      <xdr:spPr>
        <a:xfrm>
          <a:off x="4524185" y="15238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Yes</a:t>
          </a:r>
        </a:p>
      </xdr:txBody>
    </xdr:sp>
    <xdr:clientData/>
  </xdr:oneCellAnchor>
  <xdr:twoCellAnchor editAs="oneCell">
    <xdr:from>
      <xdr:col>5</xdr:col>
      <xdr:colOff>127</xdr:colOff>
      <xdr:row>71</xdr:row>
      <xdr:rowOff>75882</xdr:rowOff>
    </xdr:from>
    <xdr:to>
      <xdr:col>5</xdr:col>
      <xdr:colOff>162052</xdr:colOff>
      <xdr:row>72</xdr:row>
      <xdr:rowOff>75883</xdr:rowOff>
    </xdr:to>
    <xdr:sp macro="_xll.PtreeEvent_ObjectClick" textlink="">
      <xdr:nvSpPr>
        <xdr:cNvPr id="52" name="PTObj_DNode_1_8">
          <a:extLst>
            <a:ext uri="{FF2B5EF4-FFF2-40B4-BE49-F238E27FC236}">
              <a16:creationId xmlns:a16="http://schemas.microsoft.com/office/drawing/2014/main" id="{00000000-0008-0000-0400-000034000000}"/>
            </a:ext>
          </a:extLst>
        </xdr:cNvPr>
        <xdr:cNvSpPr/>
      </xdr:nvSpPr>
      <xdr:spPr>
        <a:xfrm>
          <a:off x="7248652" y="1533207"/>
          <a:ext cx="161925" cy="161926"/>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266510</xdr:colOff>
      <xdr:row>71</xdr:row>
      <xdr:rowOff>66532</xdr:rowOff>
    </xdr:from>
    <xdr:ext cx="329001" cy="180627"/>
    <xdr:sp macro="_xll.PtreeEvent_ObjectClick" textlink="">
      <xdr:nvSpPr>
        <xdr:cNvPr id="55" name="PTObj_DBranchName_1_8">
          <a:extLst>
            <a:ext uri="{FF2B5EF4-FFF2-40B4-BE49-F238E27FC236}">
              <a16:creationId xmlns:a16="http://schemas.microsoft.com/office/drawing/2014/main" id="{00000000-0008-0000-0400-000037000000}"/>
            </a:ext>
          </a:extLst>
        </xdr:cNvPr>
        <xdr:cNvSpPr txBox="1"/>
      </xdr:nvSpPr>
      <xdr:spPr>
        <a:xfrm>
          <a:off x="6019610" y="1523857"/>
          <a:ext cx="32900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Passes</a:t>
          </a:r>
        </a:p>
      </xdr:txBody>
    </xdr:sp>
    <xdr:clientData/>
  </xdr:oneCellAnchor>
  <xdr:twoCellAnchor editAs="oneCell">
    <xdr:from>
      <xdr:col>6</xdr:col>
      <xdr:colOff>127</xdr:colOff>
      <xdr:row>73</xdr:row>
      <xdr:rowOff>75883</xdr:rowOff>
    </xdr:from>
    <xdr:to>
      <xdr:col>6</xdr:col>
      <xdr:colOff>162052</xdr:colOff>
      <xdr:row>74</xdr:row>
      <xdr:rowOff>75883</xdr:rowOff>
    </xdr:to>
    <xdr:sp macro="_xll.PtreeEvent_ObjectClick" textlink="">
      <xdr:nvSpPr>
        <xdr:cNvPr id="60" name="PTObj_DNode_1_11">
          <a:extLst>
            <a:ext uri="{FF2B5EF4-FFF2-40B4-BE49-F238E27FC236}">
              <a16:creationId xmlns:a16="http://schemas.microsoft.com/office/drawing/2014/main" id="{00000000-0008-0000-0400-00003C000000}"/>
            </a:ext>
          </a:extLst>
        </xdr:cNvPr>
        <xdr:cNvSpPr/>
      </xdr:nvSpPr>
      <xdr:spPr>
        <a:xfrm rot="-5400000">
          <a:off x="8601202" y="218090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266509</xdr:colOff>
      <xdr:row>73</xdr:row>
      <xdr:rowOff>66532</xdr:rowOff>
    </xdr:from>
    <xdr:ext cx="175753" cy="180627"/>
    <xdr:sp macro="_xll.PtreeEvent_ObjectClick" textlink="">
      <xdr:nvSpPr>
        <xdr:cNvPr id="63" name="PTObj_DBranchName_1_11">
          <a:extLst>
            <a:ext uri="{FF2B5EF4-FFF2-40B4-BE49-F238E27FC236}">
              <a16:creationId xmlns:a16="http://schemas.microsoft.com/office/drawing/2014/main" id="{00000000-0008-0000-0400-00003F000000}"/>
            </a:ext>
          </a:extLst>
        </xdr:cNvPr>
        <xdr:cNvSpPr txBox="1"/>
      </xdr:nvSpPr>
      <xdr:spPr>
        <a:xfrm>
          <a:off x="7515034" y="21715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5</xdr:col>
      <xdr:colOff>127</xdr:colOff>
      <xdr:row>139</xdr:row>
      <xdr:rowOff>75882</xdr:rowOff>
    </xdr:from>
    <xdr:to>
      <xdr:col>5</xdr:col>
      <xdr:colOff>162052</xdr:colOff>
      <xdr:row>140</xdr:row>
      <xdr:rowOff>75882</xdr:rowOff>
    </xdr:to>
    <xdr:sp macro="_xll.PtreeEvent_ObjectClick" textlink="">
      <xdr:nvSpPr>
        <xdr:cNvPr id="212" name="PTObj_DNode_1_9">
          <a:extLst>
            <a:ext uri="{FF2B5EF4-FFF2-40B4-BE49-F238E27FC236}">
              <a16:creationId xmlns:a16="http://schemas.microsoft.com/office/drawing/2014/main" id="{00000000-0008-0000-0400-0000D4000000}"/>
            </a:ext>
          </a:extLst>
        </xdr:cNvPr>
        <xdr:cNvSpPr/>
      </xdr:nvSpPr>
      <xdr:spPr>
        <a:xfrm>
          <a:off x="7248652" y="20640357"/>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266510</xdr:colOff>
      <xdr:row>139</xdr:row>
      <xdr:rowOff>66531</xdr:rowOff>
    </xdr:from>
    <xdr:ext cx="238847" cy="180627"/>
    <xdr:sp macro="_xll.PtreeEvent_ObjectClick" textlink="">
      <xdr:nvSpPr>
        <xdr:cNvPr id="215" name="PTObj_DBranchName_1_9">
          <a:extLst>
            <a:ext uri="{FF2B5EF4-FFF2-40B4-BE49-F238E27FC236}">
              <a16:creationId xmlns:a16="http://schemas.microsoft.com/office/drawing/2014/main" id="{00000000-0008-0000-0400-0000D7000000}"/>
            </a:ext>
          </a:extLst>
        </xdr:cNvPr>
        <xdr:cNvSpPr txBox="1"/>
      </xdr:nvSpPr>
      <xdr:spPr>
        <a:xfrm>
          <a:off x="6019610" y="20631006"/>
          <a:ext cx="23884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Fails</a:t>
          </a:r>
        </a:p>
      </xdr:txBody>
    </xdr:sp>
    <xdr:clientData/>
  </xdr:oneCellAnchor>
  <xdr:twoCellAnchor editAs="oneCell">
    <xdr:from>
      <xdr:col>6</xdr:col>
      <xdr:colOff>127</xdr:colOff>
      <xdr:row>141</xdr:row>
      <xdr:rowOff>75882</xdr:rowOff>
    </xdr:from>
    <xdr:to>
      <xdr:col>6</xdr:col>
      <xdr:colOff>162052</xdr:colOff>
      <xdr:row>142</xdr:row>
      <xdr:rowOff>75882</xdr:rowOff>
    </xdr:to>
    <xdr:sp macro="_xll.PtreeEvent_ObjectClick" textlink="">
      <xdr:nvSpPr>
        <xdr:cNvPr id="328" name="PTObj_DNode_1_67">
          <a:extLst>
            <a:ext uri="{FF2B5EF4-FFF2-40B4-BE49-F238E27FC236}">
              <a16:creationId xmlns:a16="http://schemas.microsoft.com/office/drawing/2014/main" id="{00000000-0008-0000-0400-000048010000}"/>
            </a:ext>
          </a:extLst>
        </xdr:cNvPr>
        <xdr:cNvSpPr/>
      </xdr:nvSpPr>
      <xdr:spPr>
        <a:xfrm rot="-5400000">
          <a:off x="8744077" y="209642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266509</xdr:colOff>
      <xdr:row>141</xdr:row>
      <xdr:rowOff>66531</xdr:rowOff>
    </xdr:from>
    <xdr:ext cx="175753" cy="180627"/>
    <xdr:sp macro="_xll.PtreeEvent_ObjectClick" textlink="">
      <xdr:nvSpPr>
        <xdr:cNvPr id="331" name="PTObj_DBranchName_1_67">
          <a:extLst>
            <a:ext uri="{FF2B5EF4-FFF2-40B4-BE49-F238E27FC236}">
              <a16:creationId xmlns:a16="http://schemas.microsoft.com/office/drawing/2014/main" id="{00000000-0008-0000-0400-00004B010000}"/>
            </a:ext>
          </a:extLst>
        </xdr:cNvPr>
        <xdr:cNvSpPr txBox="1"/>
      </xdr:nvSpPr>
      <xdr:spPr>
        <a:xfrm>
          <a:off x="7515034" y="20954856"/>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4</xdr:col>
      <xdr:colOff>127</xdr:colOff>
      <xdr:row>145</xdr:row>
      <xdr:rowOff>75882</xdr:rowOff>
    </xdr:from>
    <xdr:to>
      <xdr:col>4</xdr:col>
      <xdr:colOff>162052</xdr:colOff>
      <xdr:row>146</xdr:row>
      <xdr:rowOff>75882</xdr:rowOff>
    </xdr:to>
    <xdr:sp macro="_xll.PtreeEvent_ObjectClick" textlink="">
      <xdr:nvSpPr>
        <xdr:cNvPr id="412" name="PTObj_DNode_1_7">
          <a:extLst>
            <a:ext uri="{FF2B5EF4-FFF2-40B4-BE49-F238E27FC236}">
              <a16:creationId xmlns:a16="http://schemas.microsoft.com/office/drawing/2014/main" id="{00000000-0008-0000-0400-00009C010000}"/>
            </a:ext>
          </a:extLst>
        </xdr:cNvPr>
        <xdr:cNvSpPr/>
      </xdr:nvSpPr>
      <xdr:spPr>
        <a:xfrm>
          <a:off x="5753227" y="21611907"/>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266510</xdr:colOff>
      <xdr:row>145</xdr:row>
      <xdr:rowOff>66531</xdr:rowOff>
    </xdr:from>
    <xdr:ext cx="175753" cy="180627"/>
    <xdr:sp macro="_xll.PtreeEvent_ObjectClick" textlink="">
      <xdr:nvSpPr>
        <xdr:cNvPr id="415" name="PTObj_DBranchName_1_7">
          <a:extLst>
            <a:ext uri="{FF2B5EF4-FFF2-40B4-BE49-F238E27FC236}">
              <a16:creationId xmlns:a16="http://schemas.microsoft.com/office/drawing/2014/main" id="{00000000-0008-0000-0400-00009F010000}"/>
            </a:ext>
          </a:extLst>
        </xdr:cNvPr>
        <xdr:cNvSpPr txBox="1"/>
      </xdr:nvSpPr>
      <xdr:spPr>
        <a:xfrm>
          <a:off x="4524185" y="21602556"/>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5</xdr:col>
      <xdr:colOff>127</xdr:colOff>
      <xdr:row>147</xdr:row>
      <xdr:rowOff>75882</xdr:rowOff>
    </xdr:from>
    <xdr:to>
      <xdr:col>5</xdr:col>
      <xdr:colOff>162052</xdr:colOff>
      <xdr:row>148</xdr:row>
      <xdr:rowOff>75882</xdr:rowOff>
    </xdr:to>
    <xdr:sp macro="_xll.PtreeEvent_ObjectClick" textlink="">
      <xdr:nvSpPr>
        <xdr:cNvPr id="420" name="PTObj_DNode_1_69">
          <a:extLst>
            <a:ext uri="{FF2B5EF4-FFF2-40B4-BE49-F238E27FC236}">
              <a16:creationId xmlns:a16="http://schemas.microsoft.com/office/drawing/2014/main" id="{00000000-0008-0000-0400-0000A4010000}"/>
            </a:ext>
          </a:extLst>
        </xdr:cNvPr>
        <xdr:cNvSpPr/>
      </xdr:nvSpPr>
      <xdr:spPr>
        <a:xfrm rot="-5400000">
          <a:off x="7248652" y="222596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266510</xdr:colOff>
      <xdr:row>147</xdr:row>
      <xdr:rowOff>66531</xdr:rowOff>
    </xdr:from>
    <xdr:ext cx="175753" cy="180627"/>
    <xdr:sp macro="_xll.PtreeEvent_ObjectClick" textlink="">
      <xdr:nvSpPr>
        <xdr:cNvPr id="423" name="PTObj_DBranchName_1_69">
          <a:extLst>
            <a:ext uri="{FF2B5EF4-FFF2-40B4-BE49-F238E27FC236}">
              <a16:creationId xmlns:a16="http://schemas.microsoft.com/office/drawing/2014/main" id="{00000000-0008-0000-0400-0000A7010000}"/>
            </a:ext>
          </a:extLst>
        </xdr:cNvPr>
        <xdr:cNvSpPr txBox="1"/>
      </xdr:nvSpPr>
      <xdr:spPr>
        <a:xfrm>
          <a:off x="6019610" y="22250256"/>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2</xdr:col>
      <xdr:colOff>127</xdr:colOff>
      <xdr:row>293</xdr:row>
      <xdr:rowOff>75884</xdr:rowOff>
    </xdr:from>
    <xdr:to>
      <xdr:col>2</xdr:col>
      <xdr:colOff>162052</xdr:colOff>
      <xdr:row>294</xdr:row>
      <xdr:rowOff>75884</xdr:rowOff>
    </xdr:to>
    <xdr:sp macro="_xll.PtreeEvent_ObjectClick" textlink="">
      <xdr:nvSpPr>
        <xdr:cNvPr id="684" name="PTObj_DNode_1_3">
          <a:extLst>
            <a:ext uri="{FF2B5EF4-FFF2-40B4-BE49-F238E27FC236}">
              <a16:creationId xmlns:a16="http://schemas.microsoft.com/office/drawing/2014/main" id="{00000000-0008-0000-0400-0000AC020000}"/>
            </a:ext>
          </a:extLst>
        </xdr:cNvPr>
        <xdr:cNvSpPr/>
      </xdr:nvSpPr>
      <xdr:spPr>
        <a:xfrm>
          <a:off x="2762377" y="4363370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266510</xdr:colOff>
      <xdr:row>293</xdr:row>
      <xdr:rowOff>66532</xdr:rowOff>
    </xdr:from>
    <xdr:ext cx="175753" cy="180627"/>
    <xdr:sp macro="_xll.PtreeEvent_ObjectClick" textlink="">
      <xdr:nvSpPr>
        <xdr:cNvPr id="687" name="PTObj_DBranchName_1_3">
          <a:extLst>
            <a:ext uri="{FF2B5EF4-FFF2-40B4-BE49-F238E27FC236}">
              <a16:creationId xmlns:a16="http://schemas.microsoft.com/office/drawing/2014/main" id="{00000000-0008-0000-0400-0000AF020000}"/>
            </a:ext>
          </a:extLst>
        </xdr:cNvPr>
        <xdr:cNvSpPr txBox="1"/>
      </xdr:nvSpPr>
      <xdr:spPr>
        <a:xfrm>
          <a:off x="1533335" y="436243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3</xdr:col>
      <xdr:colOff>127</xdr:colOff>
      <xdr:row>295</xdr:row>
      <xdr:rowOff>75884</xdr:rowOff>
    </xdr:from>
    <xdr:to>
      <xdr:col>3</xdr:col>
      <xdr:colOff>162052</xdr:colOff>
      <xdr:row>296</xdr:row>
      <xdr:rowOff>75884</xdr:rowOff>
    </xdr:to>
    <xdr:sp macro="_xll.PtreeEvent_ObjectClick" textlink="">
      <xdr:nvSpPr>
        <xdr:cNvPr id="696" name="PTObj_DNode_1_133">
          <a:extLst>
            <a:ext uri="{FF2B5EF4-FFF2-40B4-BE49-F238E27FC236}">
              <a16:creationId xmlns:a16="http://schemas.microsoft.com/office/drawing/2014/main" id="{00000000-0008-0000-0400-0000B8020000}"/>
            </a:ext>
          </a:extLst>
        </xdr:cNvPr>
        <xdr:cNvSpPr/>
      </xdr:nvSpPr>
      <xdr:spPr>
        <a:xfrm>
          <a:off x="4257802" y="4428140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266510</xdr:colOff>
      <xdr:row>295</xdr:row>
      <xdr:rowOff>66532</xdr:rowOff>
    </xdr:from>
    <xdr:ext cx="175753" cy="180627"/>
    <xdr:sp macro="_xll.PtreeEvent_ObjectClick" textlink="">
      <xdr:nvSpPr>
        <xdr:cNvPr id="699" name="PTObj_DBranchName_1_133">
          <a:extLst>
            <a:ext uri="{FF2B5EF4-FFF2-40B4-BE49-F238E27FC236}">
              <a16:creationId xmlns:a16="http://schemas.microsoft.com/office/drawing/2014/main" id="{00000000-0008-0000-0400-0000BB020000}"/>
            </a:ext>
          </a:extLst>
        </xdr:cNvPr>
        <xdr:cNvSpPr txBox="1"/>
      </xdr:nvSpPr>
      <xdr:spPr>
        <a:xfrm>
          <a:off x="3028760" y="442720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4</xdr:col>
      <xdr:colOff>127</xdr:colOff>
      <xdr:row>297</xdr:row>
      <xdr:rowOff>75884</xdr:rowOff>
    </xdr:from>
    <xdr:to>
      <xdr:col>4</xdr:col>
      <xdr:colOff>162052</xdr:colOff>
      <xdr:row>298</xdr:row>
      <xdr:rowOff>75884</xdr:rowOff>
    </xdr:to>
    <xdr:sp macro="_xll.PtreeEvent_ObjectClick" textlink="">
      <xdr:nvSpPr>
        <xdr:cNvPr id="704" name="PTObj_DNode_1_135">
          <a:extLst>
            <a:ext uri="{FF2B5EF4-FFF2-40B4-BE49-F238E27FC236}">
              <a16:creationId xmlns:a16="http://schemas.microsoft.com/office/drawing/2014/main" id="{00000000-0008-0000-0400-0000C0020000}"/>
            </a:ext>
          </a:extLst>
        </xdr:cNvPr>
        <xdr:cNvSpPr/>
      </xdr:nvSpPr>
      <xdr:spPr>
        <a:xfrm rot="-5400000">
          <a:off x="5753227" y="449291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266510</xdr:colOff>
      <xdr:row>297</xdr:row>
      <xdr:rowOff>66532</xdr:rowOff>
    </xdr:from>
    <xdr:ext cx="175753" cy="180627"/>
    <xdr:sp macro="_xll.PtreeEvent_ObjectClick" textlink="">
      <xdr:nvSpPr>
        <xdr:cNvPr id="707" name="PTObj_DBranchName_1_135">
          <a:extLst>
            <a:ext uri="{FF2B5EF4-FFF2-40B4-BE49-F238E27FC236}">
              <a16:creationId xmlns:a16="http://schemas.microsoft.com/office/drawing/2014/main" id="{00000000-0008-0000-0400-0000C3020000}"/>
            </a:ext>
          </a:extLst>
        </xdr:cNvPr>
        <xdr:cNvSpPr txBox="1"/>
      </xdr:nvSpPr>
      <xdr:spPr>
        <a:xfrm>
          <a:off x="4524185" y="449197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US" sz="800"/>
            <a:t>No</a:t>
          </a:r>
        </a:p>
      </xdr:txBody>
    </xdr:sp>
    <xdr:clientData/>
  </xdr:oneCellAnchor>
  <xdr:twoCellAnchor editAs="oneCell">
    <xdr:from>
      <xdr:col>6</xdr:col>
      <xdr:colOff>127</xdr:colOff>
      <xdr:row>29</xdr:row>
      <xdr:rowOff>75882</xdr:rowOff>
    </xdr:from>
    <xdr:to>
      <xdr:col>6</xdr:col>
      <xdr:colOff>162052</xdr:colOff>
      <xdr:row>30</xdr:row>
      <xdr:rowOff>75882</xdr:rowOff>
    </xdr:to>
    <xdr:sp macro="_xll.PtreeEvent_ObjectClick" textlink="">
      <xdr:nvSpPr>
        <xdr:cNvPr id="285" name="PTObj_DNode_1_10">
          <a:extLst>
            <a:ext uri="{FF2B5EF4-FFF2-40B4-BE49-F238E27FC236}">
              <a16:creationId xmlns:a16="http://schemas.microsoft.com/office/drawing/2014/main" id="{00000000-0008-0000-0400-00001D010000}"/>
            </a:ext>
          </a:extLst>
        </xdr:cNvPr>
        <xdr:cNvSpPr/>
      </xdr:nvSpPr>
      <xdr:spPr>
        <a:xfrm>
          <a:off x="8744077" y="106010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5</xdr:col>
      <xdr:colOff>266509</xdr:colOff>
      <xdr:row>29</xdr:row>
      <xdr:rowOff>66532</xdr:rowOff>
    </xdr:from>
    <xdr:ext cx="196592" cy="180627"/>
    <xdr:sp macro="_xll.PtreeEvent_ObjectClick" textlink="">
      <xdr:nvSpPr>
        <xdr:cNvPr id="288" name="PTObj_DBranchName_1_10">
          <a:extLst>
            <a:ext uri="{FF2B5EF4-FFF2-40B4-BE49-F238E27FC236}">
              <a16:creationId xmlns:a16="http://schemas.microsoft.com/office/drawing/2014/main" id="{00000000-0008-0000-0400-000020010000}"/>
            </a:ext>
          </a:extLst>
        </xdr:cNvPr>
        <xdr:cNvSpPr txBox="1"/>
      </xdr:nvSpPr>
      <xdr:spPr>
        <a:xfrm>
          <a:off x="7515034" y="105916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7</xdr:col>
      <xdr:colOff>127</xdr:colOff>
      <xdr:row>15</xdr:row>
      <xdr:rowOff>75883</xdr:rowOff>
    </xdr:from>
    <xdr:to>
      <xdr:col>7</xdr:col>
      <xdr:colOff>162052</xdr:colOff>
      <xdr:row>16</xdr:row>
      <xdr:rowOff>75883</xdr:rowOff>
    </xdr:to>
    <xdr:sp macro="_xll.PtreeEvent_ObjectClick" textlink="">
      <xdr:nvSpPr>
        <xdr:cNvPr id="289" name="PTObj_DNode_1_12">
          <a:extLst>
            <a:ext uri="{FF2B5EF4-FFF2-40B4-BE49-F238E27FC236}">
              <a16:creationId xmlns:a16="http://schemas.microsoft.com/office/drawing/2014/main" id="{00000000-0008-0000-0400-000021010000}"/>
            </a:ext>
          </a:extLst>
        </xdr:cNvPr>
        <xdr:cNvSpPr/>
      </xdr:nvSpPr>
      <xdr:spPr>
        <a:xfrm>
          <a:off x="10239502" y="444785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15</xdr:row>
      <xdr:rowOff>66532</xdr:rowOff>
    </xdr:from>
    <xdr:ext cx="245067" cy="180627"/>
    <xdr:sp macro="_xll.PtreeEvent_ObjectClick" textlink="">
      <xdr:nvSpPr>
        <xdr:cNvPr id="296" name="PTObj_DBranchName_1_12">
          <a:extLst>
            <a:ext uri="{FF2B5EF4-FFF2-40B4-BE49-F238E27FC236}">
              <a16:creationId xmlns:a16="http://schemas.microsoft.com/office/drawing/2014/main" id="{00000000-0008-0000-0400-000028010000}"/>
            </a:ext>
          </a:extLst>
        </xdr:cNvPr>
        <xdr:cNvSpPr txBox="1"/>
      </xdr:nvSpPr>
      <xdr:spPr>
        <a:xfrm>
          <a:off x="9010459" y="44385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8</xdr:col>
      <xdr:colOff>127</xdr:colOff>
      <xdr:row>11</xdr:row>
      <xdr:rowOff>75883</xdr:rowOff>
    </xdr:from>
    <xdr:to>
      <xdr:col>8</xdr:col>
      <xdr:colOff>162052</xdr:colOff>
      <xdr:row>12</xdr:row>
      <xdr:rowOff>75883</xdr:rowOff>
    </xdr:to>
    <xdr:sp macro="_xll.PtreeEvent_ObjectClick" textlink="">
      <xdr:nvSpPr>
        <xdr:cNvPr id="297" name="PTObj_DNode_1_13">
          <a:extLst>
            <a:ext uri="{FF2B5EF4-FFF2-40B4-BE49-F238E27FC236}">
              <a16:creationId xmlns:a16="http://schemas.microsoft.com/office/drawing/2014/main" id="{00000000-0008-0000-0400-000029010000}"/>
            </a:ext>
          </a:extLst>
        </xdr:cNvPr>
        <xdr:cNvSpPr/>
      </xdr:nvSpPr>
      <xdr:spPr>
        <a:xfrm>
          <a:off x="11734927" y="282860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11</xdr:row>
      <xdr:rowOff>66532</xdr:rowOff>
    </xdr:from>
    <xdr:ext cx="245067" cy="180627"/>
    <xdr:sp macro="_xll.PtreeEvent_ObjectClick" textlink="">
      <xdr:nvSpPr>
        <xdr:cNvPr id="300" name="PTObj_DBranchName_1_13">
          <a:extLst>
            <a:ext uri="{FF2B5EF4-FFF2-40B4-BE49-F238E27FC236}">
              <a16:creationId xmlns:a16="http://schemas.microsoft.com/office/drawing/2014/main" id="{00000000-0008-0000-0400-00002C010000}"/>
            </a:ext>
          </a:extLst>
        </xdr:cNvPr>
        <xdr:cNvSpPr txBox="1"/>
      </xdr:nvSpPr>
      <xdr:spPr>
        <a:xfrm>
          <a:off x="10505884" y="28192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8</xdr:col>
      <xdr:colOff>127</xdr:colOff>
      <xdr:row>19</xdr:row>
      <xdr:rowOff>75883</xdr:rowOff>
    </xdr:from>
    <xdr:to>
      <xdr:col>8</xdr:col>
      <xdr:colOff>162052</xdr:colOff>
      <xdr:row>20</xdr:row>
      <xdr:rowOff>75883</xdr:rowOff>
    </xdr:to>
    <xdr:sp macro="_xll.PtreeEvent_ObjectClick" textlink="">
      <xdr:nvSpPr>
        <xdr:cNvPr id="425" name="PTObj_DNode_1_22">
          <a:extLst>
            <a:ext uri="{FF2B5EF4-FFF2-40B4-BE49-F238E27FC236}">
              <a16:creationId xmlns:a16="http://schemas.microsoft.com/office/drawing/2014/main" id="{00000000-0008-0000-0400-0000A9010000}"/>
            </a:ext>
          </a:extLst>
        </xdr:cNvPr>
        <xdr:cNvSpPr/>
      </xdr:nvSpPr>
      <xdr:spPr>
        <a:xfrm>
          <a:off x="11734927" y="606710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19</xdr:row>
      <xdr:rowOff>66532</xdr:rowOff>
    </xdr:from>
    <xdr:ext cx="407484" cy="180627"/>
    <xdr:sp macro="_xll.PtreeEvent_ObjectClick" textlink="">
      <xdr:nvSpPr>
        <xdr:cNvPr id="688" name="PTObj_DBranchName_1_22">
          <a:extLst>
            <a:ext uri="{FF2B5EF4-FFF2-40B4-BE49-F238E27FC236}">
              <a16:creationId xmlns:a16="http://schemas.microsoft.com/office/drawing/2014/main" id="{00000000-0008-0000-0400-0000B0020000}"/>
            </a:ext>
          </a:extLst>
        </xdr:cNvPr>
        <xdr:cNvSpPr txBox="1"/>
      </xdr:nvSpPr>
      <xdr:spPr>
        <a:xfrm>
          <a:off x="10505884" y="605775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8</xdr:col>
      <xdr:colOff>127</xdr:colOff>
      <xdr:row>25</xdr:row>
      <xdr:rowOff>75882</xdr:rowOff>
    </xdr:from>
    <xdr:to>
      <xdr:col>8</xdr:col>
      <xdr:colOff>162052</xdr:colOff>
      <xdr:row>26</xdr:row>
      <xdr:rowOff>75882</xdr:rowOff>
    </xdr:to>
    <xdr:sp macro="_xll.PtreeEvent_ObjectClick" textlink="">
      <xdr:nvSpPr>
        <xdr:cNvPr id="729" name="PTObj_DNode_1_31">
          <a:extLst>
            <a:ext uri="{FF2B5EF4-FFF2-40B4-BE49-F238E27FC236}">
              <a16:creationId xmlns:a16="http://schemas.microsoft.com/office/drawing/2014/main" id="{00000000-0008-0000-0400-0000D9020000}"/>
            </a:ext>
          </a:extLst>
        </xdr:cNvPr>
        <xdr:cNvSpPr/>
      </xdr:nvSpPr>
      <xdr:spPr>
        <a:xfrm>
          <a:off x="11734927" y="89817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25</xdr:row>
      <xdr:rowOff>66532</xdr:rowOff>
    </xdr:from>
    <xdr:ext cx="226023" cy="180627"/>
    <xdr:sp macro="_xll.PtreeEvent_ObjectClick" textlink="">
      <xdr:nvSpPr>
        <xdr:cNvPr id="732" name="PTObj_DBranchName_1_31">
          <a:extLst>
            <a:ext uri="{FF2B5EF4-FFF2-40B4-BE49-F238E27FC236}">
              <a16:creationId xmlns:a16="http://schemas.microsoft.com/office/drawing/2014/main" id="{00000000-0008-0000-0400-0000DC020000}"/>
            </a:ext>
          </a:extLst>
        </xdr:cNvPr>
        <xdr:cNvSpPr txBox="1"/>
      </xdr:nvSpPr>
      <xdr:spPr>
        <a:xfrm>
          <a:off x="10505884" y="89724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9</xdr:row>
      <xdr:rowOff>75882</xdr:rowOff>
    </xdr:from>
    <xdr:to>
      <xdr:col>9</xdr:col>
      <xdr:colOff>162053</xdr:colOff>
      <xdr:row>10</xdr:row>
      <xdr:rowOff>75882</xdr:rowOff>
    </xdr:to>
    <xdr:sp macro="_xll.PtreeEvent_ObjectClick" textlink="">
      <xdr:nvSpPr>
        <xdr:cNvPr id="773" name="PTObj_DNode_1_14">
          <a:extLst>
            <a:ext uri="{FF2B5EF4-FFF2-40B4-BE49-F238E27FC236}">
              <a16:creationId xmlns:a16="http://schemas.microsoft.com/office/drawing/2014/main" id="{00000000-0008-0000-0400-000005030000}"/>
            </a:ext>
          </a:extLst>
        </xdr:cNvPr>
        <xdr:cNvSpPr/>
      </xdr:nvSpPr>
      <xdr:spPr>
        <a:xfrm rot="-5400000">
          <a:off x="13230352" y="1533207"/>
          <a:ext cx="161925" cy="161926"/>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9</xdr:row>
      <xdr:rowOff>66532</xdr:rowOff>
    </xdr:from>
    <xdr:ext cx="245067" cy="180627"/>
    <xdr:sp macro="_xll.PtreeEvent_ObjectClick" textlink="">
      <xdr:nvSpPr>
        <xdr:cNvPr id="776" name="PTObj_DBranchName_1_14">
          <a:extLst>
            <a:ext uri="{FF2B5EF4-FFF2-40B4-BE49-F238E27FC236}">
              <a16:creationId xmlns:a16="http://schemas.microsoft.com/office/drawing/2014/main" id="{00000000-0008-0000-0400-000008030000}"/>
            </a:ext>
          </a:extLst>
        </xdr:cNvPr>
        <xdr:cNvSpPr txBox="1"/>
      </xdr:nvSpPr>
      <xdr:spPr>
        <a:xfrm>
          <a:off x="12001309" y="15238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13</xdr:row>
      <xdr:rowOff>75883</xdr:rowOff>
    </xdr:from>
    <xdr:to>
      <xdr:col>9</xdr:col>
      <xdr:colOff>162052</xdr:colOff>
      <xdr:row>14</xdr:row>
      <xdr:rowOff>75883</xdr:rowOff>
    </xdr:to>
    <xdr:sp macro="_xll.PtreeEvent_ObjectClick" textlink="">
      <xdr:nvSpPr>
        <xdr:cNvPr id="777" name="PTObj_DNode_1_18">
          <a:extLst>
            <a:ext uri="{FF2B5EF4-FFF2-40B4-BE49-F238E27FC236}">
              <a16:creationId xmlns:a16="http://schemas.microsoft.com/office/drawing/2014/main" id="{00000000-0008-0000-0400-000009030000}"/>
            </a:ext>
          </a:extLst>
        </xdr:cNvPr>
        <xdr:cNvSpPr/>
      </xdr:nvSpPr>
      <xdr:spPr>
        <a:xfrm rot="-5400000">
          <a:off x="13230352" y="218090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13</xdr:row>
      <xdr:rowOff>66532</xdr:rowOff>
    </xdr:from>
    <xdr:ext cx="226023" cy="180627"/>
    <xdr:sp macro="_xll.PtreeEvent_ObjectClick" textlink="">
      <xdr:nvSpPr>
        <xdr:cNvPr id="780" name="PTObj_DBranchName_1_18">
          <a:extLst>
            <a:ext uri="{FF2B5EF4-FFF2-40B4-BE49-F238E27FC236}">
              <a16:creationId xmlns:a16="http://schemas.microsoft.com/office/drawing/2014/main" id="{00000000-0008-0000-0400-00000C030000}"/>
            </a:ext>
          </a:extLst>
        </xdr:cNvPr>
        <xdr:cNvSpPr txBox="1"/>
      </xdr:nvSpPr>
      <xdr:spPr>
        <a:xfrm>
          <a:off x="12001309" y="21715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17</xdr:row>
      <xdr:rowOff>75883</xdr:rowOff>
    </xdr:from>
    <xdr:to>
      <xdr:col>9</xdr:col>
      <xdr:colOff>162052</xdr:colOff>
      <xdr:row>18</xdr:row>
      <xdr:rowOff>75883</xdr:rowOff>
    </xdr:to>
    <xdr:sp macro="_xll.PtreeEvent_ObjectClick" textlink="">
      <xdr:nvSpPr>
        <xdr:cNvPr id="781" name="PTObj_DNode_1_23">
          <a:extLst>
            <a:ext uri="{FF2B5EF4-FFF2-40B4-BE49-F238E27FC236}">
              <a16:creationId xmlns:a16="http://schemas.microsoft.com/office/drawing/2014/main" id="{00000000-0008-0000-0400-00000D030000}"/>
            </a:ext>
          </a:extLst>
        </xdr:cNvPr>
        <xdr:cNvSpPr/>
      </xdr:nvSpPr>
      <xdr:spPr>
        <a:xfrm rot="-5400000">
          <a:off x="13230352" y="282860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17</xdr:row>
      <xdr:rowOff>66532</xdr:rowOff>
    </xdr:from>
    <xdr:ext cx="245067" cy="180627"/>
    <xdr:sp macro="_xll.PtreeEvent_ObjectClick" textlink="">
      <xdr:nvSpPr>
        <xdr:cNvPr id="784" name="PTObj_DBranchName_1_23">
          <a:extLst>
            <a:ext uri="{FF2B5EF4-FFF2-40B4-BE49-F238E27FC236}">
              <a16:creationId xmlns:a16="http://schemas.microsoft.com/office/drawing/2014/main" id="{00000000-0008-0000-0400-000010030000}"/>
            </a:ext>
          </a:extLst>
        </xdr:cNvPr>
        <xdr:cNvSpPr txBox="1"/>
      </xdr:nvSpPr>
      <xdr:spPr>
        <a:xfrm>
          <a:off x="12001309" y="28192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21</xdr:row>
      <xdr:rowOff>75883</xdr:rowOff>
    </xdr:from>
    <xdr:to>
      <xdr:col>9</xdr:col>
      <xdr:colOff>162052</xdr:colOff>
      <xdr:row>22</xdr:row>
      <xdr:rowOff>75883</xdr:rowOff>
    </xdr:to>
    <xdr:sp macro="_xll.PtreeEvent_ObjectClick" textlink="">
      <xdr:nvSpPr>
        <xdr:cNvPr id="785" name="PTObj_DNode_1_27">
          <a:extLst>
            <a:ext uri="{FF2B5EF4-FFF2-40B4-BE49-F238E27FC236}">
              <a16:creationId xmlns:a16="http://schemas.microsoft.com/office/drawing/2014/main" id="{00000000-0008-0000-0400-000011030000}"/>
            </a:ext>
          </a:extLst>
        </xdr:cNvPr>
        <xdr:cNvSpPr/>
      </xdr:nvSpPr>
      <xdr:spPr>
        <a:xfrm rot="-5400000">
          <a:off x="13230352" y="347630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21</xdr:row>
      <xdr:rowOff>66532</xdr:rowOff>
    </xdr:from>
    <xdr:ext cx="226023" cy="180627"/>
    <xdr:sp macro="_xll.PtreeEvent_ObjectClick" textlink="">
      <xdr:nvSpPr>
        <xdr:cNvPr id="788" name="PTObj_DBranchName_1_27">
          <a:extLst>
            <a:ext uri="{FF2B5EF4-FFF2-40B4-BE49-F238E27FC236}">
              <a16:creationId xmlns:a16="http://schemas.microsoft.com/office/drawing/2014/main" id="{00000000-0008-0000-0400-000014030000}"/>
            </a:ext>
          </a:extLst>
        </xdr:cNvPr>
        <xdr:cNvSpPr txBox="1"/>
      </xdr:nvSpPr>
      <xdr:spPr>
        <a:xfrm>
          <a:off x="12001309" y="34669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23</xdr:row>
      <xdr:rowOff>75883</xdr:rowOff>
    </xdr:from>
    <xdr:to>
      <xdr:col>9</xdr:col>
      <xdr:colOff>162052</xdr:colOff>
      <xdr:row>24</xdr:row>
      <xdr:rowOff>75883</xdr:rowOff>
    </xdr:to>
    <xdr:sp macro="_xll.PtreeEvent_ObjectClick" textlink="">
      <xdr:nvSpPr>
        <xdr:cNvPr id="789" name="PTObj_DNode_1_32">
          <a:extLst>
            <a:ext uri="{FF2B5EF4-FFF2-40B4-BE49-F238E27FC236}">
              <a16:creationId xmlns:a16="http://schemas.microsoft.com/office/drawing/2014/main" id="{00000000-0008-0000-0400-000015030000}"/>
            </a:ext>
          </a:extLst>
        </xdr:cNvPr>
        <xdr:cNvSpPr/>
      </xdr:nvSpPr>
      <xdr:spPr>
        <a:xfrm rot="-5400000">
          <a:off x="13230352" y="380015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23</xdr:row>
      <xdr:rowOff>66532</xdr:rowOff>
    </xdr:from>
    <xdr:ext cx="245067" cy="180627"/>
    <xdr:sp macro="_xll.PtreeEvent_ObjectClick" textlink="">
      <xdr:nvSpPr>
        <xdr:cNvPr id="792" name="PTObj_DBranchName_1_32">
          <a:extLst>
            <a:ext uri="{FF2B5EF4-FFF2-40B4-BE49-F238E27FC236}">
              <a16:creationId xmlns:a16="http://schemas.microsoft.com/office/drawing/2014/main" id="{00000000-0008-0000-0400-000018030000}"/>
            </a:ext>
          </a:extLst>
        </xdr:cNvPr>
        <xdr:cNvSpPr txBox="1"/>
      </xdr:nvSpPr>
      <xdr:spPr>
        <a:xfrm>
          <a:off x="12001309" y="37908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27</xdr:row>
      <xdr:rowOff>75883</xdr:rowOff>
    </xdr:from>
    <xdr:to>
      <xdr:col>9</xdr:col>
      <xdr:colOff>162052</xdr:colOff>
      <xdr:row>28</xdr:row>
      <xdr:rowOff>75883</xdr:rowOff>
    </xdr:to>
    <xdr:sp macro="_xll.PtreeEvent_ObjectClick" textlink="">
      <xdr:nvSpPr>
        <xdr:cNvPr id="793" name="PTObj_DNode_1_36">
          <a:extLst>
            <a:ext uri="{FF2B5EF4-FFF2-40B4-BE49-F238E27FC236}">
              <a16:creationId xmlns:a16="http://schemas.microsoft.com/office/drawing/2014/main" id="{00000000-0008-0000-0400-000019030000}"/>
            </a:ext>
          </a:extLst>
        </xdr:cNvPr>
        <xdr:cNvSpPr/>
      </xdr:nvSpPr>
      <xdr:spPr>
        <a:xfrm rot="-5400000">
          <a:off x="13230352" y="444785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27</xdr:row>
      <xdr:rowOff>66532</xdr:rowOff>
    </xdr:from>
    <xdr:ext cx="226023" cy="180627"/>
    <xdr:sp macro="_xll.PtreeEvent_ObjectClick" textlink="">
      <xdr:nvSpPr>
        <xdr:cNvPr id="796" name="PTObj_DBranchName_1_36">
          <a:extLst>
            <a:ext uri="{FF2B5EF4-FFF2-40B4-BE49-F238E27FC236}">
              <a16:creationId xmlns:a16="http://schemas.microsoft.com/office/drawing/2014/main" id="{00000000-0008-0000-0400-00001C030000}"/>
            </a:ext>
          </a:extLst>
        </xdr:cNvPr>
        <xdr:cNvSpPr txBox="1"/>
      </xdr:nvSpPr>
      <xdr:spPr>
        <a:xfrm>
          <a:off x="12001309" y="44385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7</xdr:col>
      <xdr:colOff>127</xdr:colOff>
      <xdr:row>37</xdr:row>
      <xdr:rowOff>75883</xdr:rowOff>
    </xdr:from>
    <xdr:to>
      <xdr:col>7</xdr:col>
      <xdr:colOff>162052</xdr:colOff>
      <xdr:row>38</xdr:row>
      <xdr:rowOff>75883</xdr:rowOff>
    </xdr:to>
    <xdr:sp macro="_xll.PtreeEvent_ObjectClick" textlink="">
      <xdr:nvSpPr>
        <xdr:cNvPr id="801" name="PTObj_DNode_1_134">
          <a:extLst>
            <a:ext uri="{FF2B5EF4-FFF2-40B4-BE49-F238E27FC236}">
              <a16:creationId xmlns:a16="http://schemas.microsoft.com/office/drawing/2014/main" id="{00000000-0008-0000-0400-000021030000}"/>
            </a:ext>
          </a:extLst>
        </xdr:cNvPr>
        <xdr:cNvSpPr/>
      </xdr:nvSpPr>
      <xdr:spPr>
        <a:xfrm>
          <a:off x="10239502" y="606710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37</xdr:row>
      <xdr:rowOff>66532</xdr:rowOff>
    </xdr:from>
    <xdr:ext cx="407484" cy="180627"/>
    <xdr:sp macro="_xll.PtreeEvent_ObjectClick" textlink="">
      <xdr:nvSpPr>
        <xdr:cNvPr id="804" name="PTObj_DBranchName_1_134">
          <a:extLst>
            <a:ext uri="{FF2B5EF4-FFF2-40B4-BE49-F238E27FC236}">
              <a16:creationId xmlns:a16="http://schemas.microsoft.com/office/drawing/2014/main" id="{00000000-0008-0000-0400-000024030000}"/>
            </a:ext>
          </a:extLst>
        </xdr:cNvPr>
        <xdr:cNvSpPr txBox="1"/>
      </xdr:nvSpPr>
      <xdr:spPr>
        <a:xfrm>
          <a:off x="9010459" y="605775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8</xdr:col>
      <xdr:colOff>127</xdr:colOff>
      <xdr:row>33</xdr:row>
      <xdr:rowOff>75883</xdr:rowOff>
    </xdr:from>
    <xdr:to>
      <xdr:col>8</xdr:col>
      <xdr:colOff>162052</xdr:colOff>
      <xdr:row>34</xdr:row>
      <xdr:rowOff>75883</xdr:rowOff>
    </xdr:to>
    <xdr:sp macro="_xll.PtreeEvent_ObjectClick" textlink="">
      <xdr:nvSpPr>
        <xdr:cNvPr id="805" name="PTObj_DNode_1_15">
          <a:extLst>
            <a:ext uri="{FF2B5EF4-FFF2-40B4-BE49-F238E27FC236}">
              <a16:creationId xmlns:a16="http://schemas.microsoft.com/office/drawing/2014/main" id="{00000000-0008-0000-0400-000025030000}"/>
            </a:ext>
          </a:extLst>
        </xdr:cNvPr>
        <xdr:cNvSpPr/>
      </xdr:nvSpPr>
      <xdr:spPr>
        <a:xfrm>
          <a:off x="11734927" y="541940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33</xdr:row>
      <xdr:rowOff>66532</xdr:rowOff>
    </xdr:from>
    <xdr:ext cx="245067" cy="180627"/>
    <xdr:sp macro="_xll.PtreeEvent_ObjectClick" textlink="">
      <xdr:nvSpPr>
        <xdr:cNvPr id="808" name="PTObj_DBranchName_1_15">
          <a:extLst>
            <a:ext uri="{FF2B5EF4-FFF2-40B4-BE49-F238E27FC236}">
              <a16:creationId xmlns:a16="http://schemas.microsoft.com/office/drawing/2014/main" id="{00000000-0008-0000-0400-000028030000}"/>
            </a:ext>
          </a:extLst>
        </xdr:cNvPr>
        <xdr:cNvSpPr txBox="1"/>
      </xdr:nvSpPr>
      <xdr:spPr>
        <a:xfrm>
          <a:off x="10505884" y="54100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31</xdr:row>
      <xdr:rowOff>75883</xdr:rowOff>
    </xdr:from>
    <xdr:to>
      <xdr:col>9</xdr:col>
      <xdr:colOff>162052</xdr:colOff>
      <xdr:row>32</xdr:row>
      <xdr:rowOff>75883</xdr:rowOff>
    </xdr:to>
    <xdr:sp macro="_xll.PtreeEvent_ObjectClick" textlink="">
      <xdr:nvSpPr>
        <xdr:cNvPr id="809" name="PTObj_DNode_1_16">
          <a:extLst>
            <a:ext uri="{FF2B5EF4-FFF2-40B4-BE49-F238E27FC236}">
              <a16:creationId xmlns:a16="http://schemas.microsoft.com/office/drawing/2014/main" id="{00000000-0008-0000-0400-000029030000}"/>
            </a:ext>
          </a:extLst>
        </xdr:cNvPr>
        <xdr:cNvSpPr/>
      </xdr:nvSpPr>
      <xdr:spPr>
        <a:xfrm rot="-5400000">
          <a:off x="13230352" y="509555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31</xdr:row>
      <xdr:rowOff>66532</xdr:rowOff>
    </xdr:from>
    <xdr:ext cx="245067" cy="180627"/>
    <xdr:sp macro="_xll.PtreeEvent_ObjectClick" textlink="">
      <xdr:nvSpPr>
        <xdr:cNvPr id="812" name="PTObj_DBranchName_1_16">
          <a:extLst>
            <a:ext uri="{FF2B5EF4-FFF2-40B4-BE49-F238E27FC236}">
              <a16:creationId xmlns:a16="http://schemas.microsoft.com/office/drawing/2014/main" id="{00000000-0008-0000-0400-00002C030000}"/>
            </a:ext>
          </a:extLst>
        </xdr:cNvPr>
        <xdr:cNvSpPr txBox="1"/>
      </xdr:nvSpPr>
      <xdr:spPr>
        <a:xfrm>
          <a:off x="12001309" y="50862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35</xdr:row>
      <xdr:rowOff>75883</xdr:rowOff>
    </xdr:from>
    <xdr:to>
      <xdr:col>9</xdr:col>
      <xdr:colOff>162052</xdr:colOff>
      <xdr:row>36</xdr:row>
      <xdr:rowOff>75883</xdr:rowOff>
    </xdr:to>
    <xdr:sp macro="_xll.PtreeEvent_ObjectClick" textlink="">
      <xdr:nvSpPr>
        <xdr:cNvPr id="813" name="PTObj_DNode_1_17">
          <a:extLst>
            <a:ext uri="{FF2B5EF4-FFF2-40B4-BE49-F238E27FC236}">
              <a16:creationId xmlns:a16="http://schemas.microsoft.com/office/drawing/2014/main" id="{00000000-0008-0000-0400-00002D030000}"/>
            </a:ext>
          </a:extLst>
        </xdr:cNvPr>
        <xdr:cNvSpPr/>
      </xdr:nvSpPr>
      <xdr:spPr>
        <a:xfrm rot="-5400000">
          <a:off x="13230352" y="574325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35</xdr:row>
      <xdr:rowOff>66532</xdr:rowOff>
    </xdr:from>
    <xdr:ext cx="226023" cy="180627"/>
    <xdr:sp macro="_xll.PtreeEvent_ObjectClick" textlink="">
      <xdr:nvSpPr>
        <xdr:cNvPr id="816" name="PTObj_DBranchName_1_17">
          <a:extLst>
            <a:ext uri="{FF2B5EF4-FFF2-40B4-BE49-F238E27FC236}">
              <a16:creationId xmlns:a16="http://schemas.microsoft.com/office/drawing/2014/main" id="{00000000-0008-0000-0400-000030030000}"/>
            </a:ext>
          </a:extLst>
        </xdr:cNvPr>
        <xdr:cNvSpPr txBox="1"/>
      </xdr:nvSpPr>
      <xdr:spPr>
        <a:xfrm>
          <a:off x="12001309" y="57339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41</xdr:row>
      <xdr:rowOff>75882</xdr:rowOff>
    </xdr:from>
    <xdr:to>
      <xdr:col>8</xdr:col>
      <xdr:colOff>162052</xdr:colOff>
      <xdr:row>42</xdr:row>
      <xdr:rowOff>75882</xdr:rowOff>
    </xdr:to>
    <xdr:sp macro="_xll.PtreeEvent_ObjectClick" textlink="">
      <xdr:nvSpPr>
        <xdr:cNvPr id="817" name="PTObj_DNode_1_19">
          <a:extLst>
            <a:ext uri="{FF2B5EF4-FFF2-40B4-BE49-F238E27FC236}">
              <a16:creationId xmlns:a16="http://schemas.microsoft.com/office/drawing/2014/main" id="{00000000-0008-0000-0400-000031030000}"/>
            </a:ext>
          </a:extLst>
        </xdr:cNvPr>
        <xdr:cNvSpPr/>
      </xdr:nvSpPr>
      <xdr:spPr>
        <a:xfrm>
          <a:off x="11734927" y="67148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41</xdr:row>
      <xdr:rowOff>66532</xdr:rowOff>
    </xdr:from>
    <xdr:ext cx="407484" cy="180627"/>
    <xdr:sp macro="_xll.PtreeEvent_ObjectClick" textlink="">
      <xdr:nvSpPr>
        <xdr:cNvPr id="820" name="PTObj_DBranchName_1_19">
          <a:extLst>
            <a:ext uri="{FF2B5EF4-FFF2-40B4-BE49-F238E27FC236}">
              <a16:creationId xmlns:a16="http://schemas.microsoft.com/office/drawing/2014/main" id="{00000000-0008-0000-0400-000034030000}"/>
            </a:ext>
          </a:extLst>
        </xdr:cNvPr>
        <xdr:cNvSpPr txBox="1"/>
      </xdr:nvSpPr>
      <xdr:spPr>
        <a:xfrm>
          <a:off x="10505884" y="670545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128</xdr:colOff>
      <xdr:row>39</xdr:row>
      <xdr:rowOff>75882</xdr:rowOff>
    </xdr:from>
    <xdr:to>
      <xdr:col>9</xdr:col>
      <xdr:colOff>162052</xdr:colOff>
      <xdr:row>40</xdr:row>
      <xdr:rowOff>75882</xdr:rowOff>
    </xdr:to>
    <xdr:sp macro="_xll.PtreeEvent_ObjectClick" textlink="">
      <xdr:nvSpPr>
        <xdr:cNvPr id="821" name="PTObj_DNode_1_20">
          <a:extLst>
            <a:ext uri="{FF2B5EF4-FFF2-40B4-BE49-F238E27FC236}">
              <a16:creationId xmlns:a16="http://schemas.microsoft.com/office/drawing/2014/main" id="{00000000-0008-0000-0400-000035030000}"/>
            </a:ext>
          </a:extLst>
        </xdr:cNvPr>
        <xdr:cNvSpPr/>
      </xdr:nvSpPr>
      <xdr:spPr>
        <a:xfrm rot="-5400000">
          <a:off x="13230352" y="6390958"/>
          <a:ext cx="161925" cy="161924"/>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39</xdr:row>
      <xdr:rowOff>66532</xdr:rowOff>
    </xdr:from>
    <xdr:ext cx="245067" cy="180627"/>
    <xdr:sp macro="_xll.PtreeEvent_ObjectClick" textlink="">
      <xdr:nvSpPr>
        <xdr:cNvPr id="824" name="PTObj_DBranchName_1_20">
          <a:extLst>
            <a:ext uri="{FF2B5EF4-FFF2-40B4-BE49-F238E27FC236}">
              <a16:creationId xmlns:a16="http://schemas.microsoft.com/office/drawing/2014/main" id="{00000000-0008-0000-0400-000038030000}"/>
            </a:ext>
          </a:extLst>
        </xdr:cNvPr>
        <xdr:cNvSpPr txBox="1"/>
      </xdr:nvSpPr>
      <xdr:spPr>
        <a:xfrm>
          <a:off x="12001309" y="63816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43</xdr:row>
      <xdr:rowOff>75882</xdr:rowOff>
    </xdr:from>
    <xdr:to>
      <xdr:col>9</xdr:col>
      <xdr:colOff>162052</xdr:colOff>
      <xdr:row>44</xdr:row>
      <xdr:rowOff>75882</xdr:rowOff>
    </xdr:to>
    <xdr:sp macro="_xll.PtreeEvent_ObjectClick" textlink="">
      <xdr:nvSpPr>
        <xdr:cNvPr id="825" name="PTObj_DNode_1_21">
          <a:extLst>
            <a:ext uri="{FF2B5EF4-FFF2-40B4-BE49-F238E27FC236}">
              <a16:creationId xmlns:a16="http://schemas.microsoft.com/office/drawing/2014/main" id="{00000000-0008-0000-0400-000039030000}"/>
            </a:ext>
          </a:extLst>
        </xdr:cNvPr>
        <xdr:cNvSpPr/>
      </xdr:nvSpPr>
      <xdr:spPr>
        <a:xfrm rot="-5400000">
          <a:off x="13230352" y="70386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43</xdr:row>
      <xdr:rowOff>66532</xdr:rowOff>
    </xdr:from>
    <xdr:ext cx="226023" cy="180627"/>
    <xdr:sp macro="_xll.PtreeEvent_ObjectClick" textlink="">
      <xdr:nvSpPr>
        <xdr:cNvPr id="828" name="PTObj_DBranchName_1_21">
          <a:extLst>
            <a:ext uri="{FF2B5EF4-FFF2-40B4-BE49-F238E27FC236}">
              <a16:creationId xmlns:a16="http://schemas.microsoft.com/office/drawing/2014/main" id="{00000000-0008-0000-0400-00003C030000}"/>
            </a:ext>
          </a:extLst>
        </xdr:cNvPr>
        <xdr:cNvSpPr txBox="1"/>
      </xdr:nvSpPr>
      <xdr:spPr>
        <a:xfrm>
          <a:off x="12001309" y="70293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47</xdr:row>
      <xdr:rowOff>75882</xdr:rowOff>
    </xdr:from>
    <xdr:to>
      <xdr:col>8</xdr:col>
      <xdr:colOff>162052</xdr:colOff>
      <xdr:row>48</xdr:row>
      <xdr:rowOff>75882</xdr:rowOff>
    </xdr:to>
    <xdr:sp macro="_xll.PtreeEvent_ObjectClick" textlink="">
      <xdr:nvSpPr>
        <xdr:cNvPr id="829" name="PTObj_DNode_1_24">
          <a:extLst>
            <a:ext uri="{FF2B5EF4-FFF2-40B4-BE49-F238E27FC236}">
              <a16:creationId xmlns:a16="http://schemas.microsoft.com/office/drawing/2014/main" id="{00000000-0008-0000-0400-00003D030000}"/>
            </a:ext>
          </a:extLst>
        </xdr:cNvPr>
        <xdr:cNvSpPr/>
      </xdr:nvSpPr>
      <xdr:spPr>
        <a:xfrm>
          <a:off x="11734927" y="76863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47</xdr:row>
      <xdr:rowOff>66532</xdr:rowOff>
    </xdr:from>
    <xdr:ext cx="226023" cy="180627"/>
    <xdr:sp macro="_xll.PtreeEvent_ObjectClick" textlink="">
      <xdr:nvSpPr>
        <xdr:cNvPr id="832" name="PTObj_DBranchName_1_24">
          <a:extLst>
            <a:ext uri="{FF2B5EF4-FFF2-40B4-BE49-F238E27FC236}">
              <a16:creationId xmlns:a16="http://schemas.microsoft.com/office/drawing/2014/main" id="{00000000-0008-0000-0400-000040030000}"/>
            </a:ext>
          </a:extLst>
        </xdr:cNvPr>
        <xdr:cNvSpPr txBox="1"/>
      </xdr:nvSpPr>
      <xdr:spPr>
        <a:xfrm>
          <a:off x="10505884" y="76770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45</xdr:row>
      <xdr:rowOff>75882</xdr:rowOff>
    </xdr:from>
    <xdr:to>
      <xdr:col>9</xdr:col>
      <xdr:colOff>162052</xdr:colOff>
      <xdr:row>46</xdr:row>
      <xdr:rowOff>75882</xdr:rowOff>
    </xdr:to>
    <xdr:sp macro="_xll.PtreeEvent_ObjectClick" textlink="">
      <xdr:nvSpPr>
        <xdr:cNvPr id="833" name="PTObj_DNode_1_25">
          <a:extLst>
            <a:ext uri="{FF2B5EF4-FFF2-40B4-BE49-F238E27FC236}">
              <a16:creationId xmlns:a16="http://schemas.microsoft.com/office/drawing/2014/main" id="{00000000-0008-0000-0400-000041030000}"/>
            </a:ext>
          </a:extLst>
        </xdr:cNvPr>
        <xdr:cNvSpPr/>
      </xdr:nvSpPr>
      <xdr:spPr>
        <a:xfrm rot="-5400000">
          <a:off x="13230352" y="73625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45</xdr:row>
      <xdr:rowOff>66532</xdr:rowOff>
    </xdr:from>
    <xdr:ext cx="245067" cy="180627"/>
    <xdr:sp macro="_xll.PtreeEvent_ObjectClick" textlink="">
      <xdr:nvSpPr>
        <xdr:cNvPr id="836" name="PTObj_DBranchName_1_25">
          <a:extLst>
            <a:ext uri="{FF2B5EF4-FFF2-40B4-BE49-F238E27FC236}">
              <a16:creationId xmlns:a16="http://schemas.microsoft.com/office/drawing/2014/main" id="{00000000-0008-0000-0400-000044030000}"/>
            </a:ext>
          </a:extLst>
        </xdr:cNvPr>
        <xdr:cNvSpPr txBox="1"/>
      </xdr:nvSpPr>
      <xdr:spPr>
        <a:xfrm>
          <a:off x="12001309" y="73531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49</xdr:row>
      <xdr:rowOff>75882</xdr:rowOff>
    </xdr:from>
    <xdr:to>
      <xdr:col>9</xdr:col>
      <xdr:colOff>162052</xdr:colOff>
      <xdr:row>50</xdr:row>
      <xdr:rowOff>75882</xdr:rowOff>
    </xdr:to>
    <xdr:sp macro="_xll.PtreeEvent_ObjectClick" textlink="">
      <xdr:nvSpPr>
        <xdr:cNvPr id="837" name="PTObj_DNode_1_26">
          <a:extLst>
            <a:ext uri="{FF2B5EF4-FFF2-40B4-BE49-F238E27FC236}">
              <a16:creationId xmlns:a16="http://schemas.microsoft.com/office/drawing/2014/main" id="{00000000-0008-0000-0400-000045030000}"/>
            </a:ext>
          </a:extLst>
        </xdr:cNvPr>
        <xdr:cNvSpPr/>
      </xdr:nvSpPr>
      <xdr:spPr>
        <a:xfrm rot="-5400000">
          <a:off x="13230352" y="80102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49</xdr:row>
      <xdr:rowOff>66532</xdr:rowOff>
    </xdr:from>
    <xdr:ext cx="226023" cy="180627"/>
    <xdr:sp macro="_xll.PtreeEvent_ObjectClick" textlink="">
      <xdr:nvSpPr>
        <xdr:cNvPr id="840" name="PTObj_DBranchName_1_26">
          <a:extLst>
            <a:ext uri="{FF2B5EF4-FFF2-40B4-BE49-F238E27FC236}">
              <a16:creationId xmlns:a16="http://schemas.microsoft.com/office/drawing/2014/main" id="{00000000-0008-0000-0400-000048030000}"/>
            </a:ext>
          </a:extLst>
        </xdr:cNvPr>
        <xdr:cNvSpPr txBox="1"/>
      </xdr:nvSpPr>
      <xdr:spPr>
        <a:xfrm>
          <a:off x="12001309" y="80008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7</xdr:col>
      <xdr:colOff>127</xdr:colOff>
      <xdr:row>57</xdr:row>
      <xdr:rowOff>75882</xdr:rowOff>
    </xdr:from>
    <xdr:to>
      <xdr:col>7</xdr:col>
      <xdr:colOff>162052</xdr:colOff>
      <xdr:row>58</xdr:row>
      <xdr:rowOff>75882</xdr:rowOff>
    </xdr:to>
    <xdr:sp macro="_xll.PtreeEvent_ObjectClick" textlink="">
      <xdr:nvSpPr>
        <xdr:cNvPr id="845" name="PTObj_DNode_1_136">
          <a:extLst>
            <a:ext uri="{FF2B5EF4-FFF2-40B4-BE49-F238E27FC236}">
              <a16:creationId xmlns:a16="http://schemas.microsoft.com/office/drawing/2014/main" id="{00000000-0008-0000-0400-00004D030000}"/>
            </a:ext>
          </a:extLst>
        </xdr:cNvPr>
        <xdr:cNvSpPr/>
      </xdr:nvSpPr>
      <xdr:spPr>
        <a:xfrm>
          <a:off x="10239502" y="93056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57</xdr:row>
      <xdr:rowOff>66532</xdr:rowOff>
    </xdr:from>
    <xdr:ext cx="226023" cy="180627"/>
    <xdr:sp macro="_xll.PtreeEvent_ObjectClick" textlink="">
      <xdr:nvSpPr>
        <xdr:cNvPr id="848" name="PTObj_DBranchName_1_136">
          <a:extLst>
            <a:ext uri="{FF2B5EF4-FFF2-40B4-BE49-F238E27FC236}">
              <a16:creationId xmlns:a16="http://schemas.microsoft.com/office/drawing/2014/main" id="{00000000-0008-0000-0400-000050030000}"/>
            </a:ext>
          </a:extLst>
        </xdr:cNvPr>
        <xdr:cNvSpPr txBox="1"/>
      </xdr:nvSpPr>
      <xdr:spPr>
        <a:xfrm>
          <a:off x="9010459" y="92962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53</xdr:row>
      <xdr:rowOff>75882</xdr:rowOff>
    </xdr:from>
    <xdr:to>
      <xdr:col>8</xdr:col>
      <xdr:colOff>162052</xdr:colOff>
      <xdr:row>54</xdr:row>
      <xdr:rowOff>75882</xdr:rowOff>
    </xdr:to>
    <xdr:sp macro="_xll.PtreeEvent_ObjectClick" textlink="">
      <xdr:nvSpPr>
        <xdr:cNvPr id="849" name="PTObj_DNode_1_28">
          <a:extLst>
            <a:ext uri="{FF2B5EF4-FFF2-40B4-BE49-F238E27FC236}">
              <a16:creationId xmlns:a16="http://schemas.microsoft.com/office/drawing/2014/main" id="{00000000-0008-0000-0400-000051030000}"/>
            </a:ext>
          </a:extLst>
        </xdr:cNvPr>
        <xdr:cNvSpPr/>
      </xdr:nvSpPr>
      <xdr:spPr>
        <a:xfrm>
          <a:off x="11734927" y="86579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53</xdr:row>
      <xdr:rowOff>66532</xdr:rowOff>
    </xdr:from>
    <xdr:ext cx="245067" cy="180627"/>
    <xdr:sp macro="_xll.PtreeEvent_ObjectClick" textlink="">
      <xdr:nvSpPr>
        <xdr:cNvPr id="852" name="PTObj_DBranchName_1_28">
          <a:extLst>
            <a:ext uri="{FF2B5EF4-FFF2-40B4-BE49-F238E27FC236}">
              <a16:creationId xmlns:a16="http://schemas.microsoft.com/office/drawing/2014/main" id="{00000000-0008-0000-0400-000054030000}"/>
            </a:ext>
          </a:extLst>
        </xdr:cNvPr>
        <xdr:cNvSpPr txBox="1"/>
      </xdr:nvSpPr>
      <xdr:spPr>
        <a:xfrm>
          <a:off x="10505884" y="86485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51</xdr:row>
      <xdr:rowOff>75882</xdr:rowOff>
    </xdr:from>
    <xdr:to>
      <xdr:col>9</xdr:col>
      <xdr:colOff>162052</xdr:colOff>
      <xdr:row>52</xdr:row>
      <xdr:rowOff>75882</xdr:rowOff>
    </xdr:to>
    <xdr:sp macro="_xll.PtreeEvent_ObjectClick" textlink="">
      <xdr:nvSpPr>
        <xdr:cNvPr id="853" name="PTObj_DNode_1_29">
          <a:extLst>
            <a:ext uri="{FF2B5EF4-FFF2-40B4-BE49-F238E27FC236}">
              <a16:creationId xmlns:a16="http://schemas.microsoft.com/office/drawing/2014/main" id="{00000000-0008-0000-0400-000055030000}"/>
            </a:ext>
          </a:extLst>
        </xdr:cNvPr>
        <xdr:cNvSpPr/>
      </xdr:nvSpPr>
      <xdr:spPr>
        <a:xfrm rot="-5400000">
          <a:off x="13230352" y="83340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51</xdr:row>
      <xdr:rowOff>66532</xdr:rowOff>
    </xdr:from>
    <xdr:ext cx="245067" cy="180627"/>
    <xdr:sp macro="_xll.PtreeEvent_ObjectClick" textlink="">
      <xdr:nvSpPr>
        <xdr:cNvPr id="856" name="PTObj_DBranchName_1_29">
          <a:extLst>
            <a:ext uri="{FF2B5EF4-FFF2-40B4-BE49-F238E27FC236}">
              <a16:creationId xmlns:a16="http://schemas.microsoft.com/office/drawing/2014/main" id="{00000000-0008-0000-0400-000058030000}"/>
            </a:ext>
          </a:extLst>
        </xdr:cNvPr>
        <xdr:cNvSpPr txBox="1"/>
      </xdr:nvSpPr>
      <xdr:spPr>
        <a:xfrm>
          <a:off x="12001309" y="83247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55</xdr:row>
      <xdr:rowOff>75882</xdr:rowOff>
    </xdr:from>
    <xdr:to>
      <xdr:col>9</xdr:col>
      <xdr:colOff>162052</xdr:colOff>
      <xdr:row>56</xdr:row>
      <xdr:rowOff>75882</xdr:rowOff>
    </xdr:to>
    <xdr:sp macro="_xll.PtreeEvent_ObjectClick" textlink="">
      <xdr:nvSpPr>
        <xdr:cNvPr id="857" name="PTObj_DNode_1_30">
          <a:extLst>
            <a:ext uri="{FF2B5EF4-FFF2-40B4-BE49-F238E27FC236}">
              <a16:creationId xmlns:a16="http://schemas.microsoft.com/office/drawing/2014/main" id="{00000000-0008-0000-0400-000059030000}"/>
            </a:ext>
          </a:extLst>
        </xdr:cNvPr>
        <xdr:cNvSpPr/>
      </xdr:nvSpPr>
      <xdr:spPr>
        <a:xfrm rot="-5400000">
          <a:off x="13230352" y="89817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55</xdr:row>
      <xdr:rowOff>66532</xdr:rowOff>
    </xdr:from>
    <xdr:ext cx="226023" cy="180627"/>
    <xdr:sp macro="_xll.PtreeEvent_ObjectClick" textlink="">
      <xdr:nvSpPr>
        <xdr:cNvPr id="860" name="PTObj_DBranchName_1_30">
          <a:extLst>
            <a:ext uri="{FF2B5EF4-FFF2-40B4-BE49-F238E27FC236}">
              <a16:creationId xmlns:a16="http://schemas.microsoft.com/office/drawing/2014/main" id="{00000000-0008-0000-0400-00005C030000}"/>
            </a:ext>
          </a:extLst>
        </xdr:cNvPr>
        <xdr:cNvSpPr txBox="1"/>
      </xdr:nvSpPr>
      <xdr:spPr>
        <a:xfrm>
          <a:off x="12001309" y="89724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61</xdr:row>
      <xdr:rowOff>75882</xdr:rowOff>
    </xdr:from>
    <xdr:to>
      <xdr:col>8</xdr:col>
      <xdr:colOff>162052</xdr:colOff>
      <xdr:row>62</xdr:row>
      <xdr:rowOff>75882</xdr:rowOff>
    </xdr:to>
    <xdr:sp macro="_xll.PtreeEvent_ObjectClick" textlink="">
      <xdr:nvSpPr>
        <xdr:cNvPr id="861" name="PTObj_DNode_1_33">
          <a:extLst>
            <a:ext uri="{FF2B5EF4-FFF2-40B4-BE49-F238E27FC236}">
              <a16:creationId xmlns:a16="http://schemas.microsoft.com/office/drawing/2014/main" id="{00000000-0008-0000-0400-00005D030000}"/>
            </a:ext>
          </a:extLst>
        </xdr:cNvPr>
        <xdr:cNvSpPr/>
      </xdr:nvSpPr>
      <xdr:spPr>
        <a:xfrm>
          <a:off x="11734927" y="99533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61</xdr:row>
      <xdr:rowOff>66532</xdr:rowOff>
    </xdr:from>
    <xdr:ext cx="407484" cy="180627"/>
    <xdr:sp macro="_xll.PtreeEvent_ObjectClick" textlink="">
      <xdr:nvSpPr>
        <xdr:cNvPr id="864" name="PTObj_DBranchName_1_33">
          <a:extLst>
            <a:ext uri="{FF2B5EF4-FFF2-40B4-BE49-F238E27FC236}">
              <a16:creationId xmlns:a16="http://schemas.microsoft.com/office/drawing/2014/main" id="{00000000-0008-0000-0400-000060030000}"/>
            </a:ext>
          </a:extLst>
        </xdr:cNvPr>
        <xdr:cNvSpPr txBox="1"/>
      </xdr:nvSpPr>
      <xdr:spPr>
        <a:xfrm>
          <a:off x="10505884" y="994395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59</xdr:row>
      <xdr:rowOff>75882</xdr:rowOff>
    </xdr:from>
    <xdr:to>
      <xdr:col>9</xdr:col>
      <xdr:colOff>162052</xdr:colOff>
      <xdr:row>60</xdr:row>
      <xdr:rowOff>75882</xdr:rowOff>
    </xdr:to>
    <xdr:sp macro="_xll.PtreeEvent_ObjectClick" textlink="">
      <xdr:nvSpPr>
        <xdr:cNvPr id="865" name="PTObj_DNode_1_34">
          <a:extLst>
            <a:ext uri="{FF2B5EF4-FFF2-40B4-BE49-F238E27FC236}">
              <a16:creationId xmlns:a16="http://schemas.microsoft.com/office/drawing/2014/main" id="{00000000-0008-0000-0400-000061030000}"/>
            </a:ext>
          </a:extLst>
        </xdr:cNvPr>
        <xdr:cNvSpPr/>
      </xdr:nvSpPr>
      <xdr:spPr>
        <a:xfrm rot="-5400000">
          <a:off x="13230352" y="96294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59</xdr:row>
      <xdr:rowOff>66532</xdr:rowOff>
    </xdr:from>
    <xdr:ext cx="245067" cy="180627"/>
    <xdr:sp macro="_xll.PtreeEvent_ObjectClick" textlink="">
      <xdr:nvSpPr>
        <xdr:cNvPr id="868" name="PTObj_DBranchName_1_34">
          <a:extLst>
            <a:ext uri="{FF2B5EF4-FFF2-40B4-BE49-F238E27FC236}">
              <a16:creationId xmlns:a16="http://schemas.microsoft.com/office/drawing/2014/main" id="{00000000-0008-0000-0400-000064030000}"/>
            </a:ext>
          </a:extLst>
        </xdr:cNvPr>
        <xdr:cNvSpPr txBox="1"/>
      </xdr:nvSpPr>
      <xdr:spPr>
        <a:xfrm>
          <a:off x="12001309" y="96201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63</xdr:row>
      <xdr:rowOff>75882</xdr:rowOff>
    </xdr:from>
    <xdr:to>
      <xdr:col>9</xdr:col>
      <xdr:colOff>162052</xdr:colOff>
      <xdr:row>64</xdr:row>
      <xdr:rowOff>75882</xdr:rowOff>
    </xdr:to>
    <xdr:sp macro="_xll.PtreeEvent_ObjectClick" textlink="">
      <xdr:nvSpPr>
        <xdr:cNvPr id="869" name="PTObj_DNode_1_35">
          <a:extLst>
            <a:ext uri="{FF2B5EF4-FFF2-40B4-BE49-F238E27FC236}">
              <a16:creationId xmlns:a16="http://schemas.microsoft.com/office/drawing/2014/main" id="{00000000-0008-0000-0400-000065030000}"/>
            </a:ext>
          </a:extLst>
        </xdr:cNvPr>
        <xdr:cNvSpPr/>
      </xdr:nvSpPr>
      <xdr:spPr>
        <a:xfrm rot="-5400000">
          <a:off x="13230352" y="102771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63</xdr:row>
      <xdr:rowOff>66532</xdr:rowOff>
    </xdr:from>
    <xdr:ext cx="226023" cy="180627"/>
    <xdr:sp macro="_xll.PtreeEvent_ObjectClick" textlink="">
      <xdr:nvSpPr>
        <xdr:cNvPr id="872" name="PTObj_DBranchName_1_35">
          <a:extLst>
            <a:ext uri="{FF2B5EF4-FFF2-40B4-BE49-F238E27FC236}">
              <a16:creationId xmlns:a16="http://schemas.microsoft.com/office/drawing/2014/main" id="{00000000-0008-0000-0400-000068030000}"/>
            </a:ext>
          </a:extLst>
        </xdr:cNvPr>
        <xdr:cNvSpPr txBox="1"/>
      </xdr:nvSpPr>
      <xdr:spPr>
        <a:xfrm>
          <a:off x="12001309" y="102678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67</xdr:row>
      <xdr:rowOff>75882</xdr:rowOff>
    </xdr:from>
    <xdr:to>
      <xdr:col>8</xdr:col>
      <xdr:colOff>162052</xdr:colOff>
      <xdr:row>68</xdr:row>
      <xdr:rowOff>75882</xdr:rowOff>
    </xdr:to>
    <xdr:sp macro="_xll.PtreeEvent_ObjectClick" textlink="">
      <xdr:nvSpPr>
        <xdr:cNvPr id="873" name="PTObj_DNode_1_37">
          <a:extLst>
            <a:ext uri="{FF2B5EF4-FFF2-40B4-BE49-F238E27FC236}">
              <a16:creationId xmlns:a16="http://schemas.microsoft.com/office/drawing/2014/main" id="{00000000-0008-0000-0400-000069030000}"/>
            </a:ext>
          </a:extLst>
        </xdr:cNvPr>
        <xdr:cNvSpPr/>
      </xdr:nvSpPr>
      <xdr:spPr>
        <a:xfrm>
          <a:off x="11734927" y="109248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67</xdr:row>
      <xdr:rowOff>66532</xdr:rowOff>
    </xdr:from>
    <xdr:ext cx="226023" cy="180627"/>
    <xdr:sp macro="_xll.PtreeEvent_ObjectClick" textlink="">
      <xdr:nvSpPr>
        <xdr:cNvPr id="876" name="PTObj_DBranchName_1_37">
          <a:extLst>
            <a:ext uri="{FF2B5EF4-FFF2-40B4-BE49-F238E27FC236}">
              <a16:creationId xmlns:a16="http://schemas.microsoft.com/office/drawing/2014/main" id="{00000000-0008-0000-0400-00006C030000}"/>
            </a:ext>
          </a:extLst>
        </xdr:cNvPr>
        <xdr:cNvSpPr txBox="1"/>
      </xdr:nvSpPr>
      <xdr:spPr>
        <a:xfrm>
          <a:off x="10505884" y="109155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65</xdr:row>
      <xdr:rowOff>75882</xdr:rowOff>
    </xdr:from>
    <xdr:to>
      <xdr:col>9</xdr:col>
      <xdr:colOff>162052</xdr:colOff>
      <xdr:row>66</xdr:row>
      <xdr:rowOff>75882</xdr:rowOff>
    </xdr:to>
    <xdr:sp macro="_xll.PtreeEvent_ObjectClick" textlink="">
      <xdr:nvSpPr>
        <xdr:cNvPr id="877" name="PTObj_DNode_1_38">
          <a:extLst>
            <a:ext uri="{FF2B5EF4-FFF2-40B4-BE49-F238E27FC236}">
              <a16:creationId xmlns:a16="http://schemas.microsoft.com/office/drawing/2014/main" id="{00000000-0008-0000-0400-00006D030000}"/>
            </a:ext>
          </a:extLst>
        </xdr:cNvPr>
        <xdr:cNvSpPr/>
      </xdr:nvSpPr>
      <xdr:spPr>
        <a:xfrm rot="-5400000">
          <a:off x="13230352" y="106010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65</xdr:row>
      <xdr:rowOff>66532</xdr:rowOff>
    </xdr:from>
    <xdr:ext cx="245067" cy="180627"/>
    <xdr:sp macro="_xll.PtreeEvent_ObjectClick" textlink="">
      <xdr:nvSpPr>
        <xdr:cNvPr id="880" name="PTObj_DBranchName_1_38">
          <a:extLst>
            <a:ext uri="{FF2B5EF4-FFF2-40B4-BE49-F238E27FC236}">
              <a16:creationId xmlns:a16="http://schemas.microsoft.com/office/drawing/2014/main" id="{00000000-0008-0000-0400-000070030000}"/>
            </a:ext>
          </a:extLst>
        </xdr:cNvPr>
        <xdr:cNvSpPr txBox="1"/>
      </xdr:nvSpPr>
      <xdr:spPr>
        <a:xfrm>
          <a:off x="12001309" y="105916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69</xdr:row>
      <xdr:rowOff>75882</xdr:rowOff>
    </xdr:from>
    <xdr:to>
      <xdr:col>9</xdr:col>
      <xdr:colOff>162052</xdr:colOff>
      <xdr:row>70</xdr:row>
      <xdr:rowOff>75882</xdr:rowOff>
    </xdr:to>
    <xdr:sp macro="_xll.PtreeEvent_ObjectClick" textlink="">
      <xdr:nvSpPr>
        <xdr:cNvPr id="881" name="PTObj_DNode_1_132">
          <a:extLst>
            <a:ext uri="{FF2B5EF4-FFF2-40B4-BE49-F238E27FC236}">
              <a16:creationId xmlns:a16="http://schemas.microsoft.com/office/drawing/2014/main" id="{00000000-0008-0000-0400-000071030000}"/>
            </a:ext>
          </a:extLst>
        </xdr:cNvPr>
        <xdr:cNvSpPr/>
      </xdr:nvSpPr>
      <xdr:spPr>
        <a:xfrm rot="-5400000">
          <a:off x="13230352" y="112487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69</xdr:row>
      <xdr:rowOff>66532</xdr:rowOff>
    </xdr:from>
    <xdr:ext cx="226023" cy="180627"/>
    <xdr:sp macro="_xll.PtreeEvent_ObjectClick" textlink="">
      <xdr:nvSpPr>
        <xdr:cNvPr id="884" name="PTObj_DBranchName_1_132">
          <a:extLst>
            <a:ext uri="{FF2B5EF4-FFF2-40B4-BE49-F238E27FC236}">
              <a16:creationId xmlns:a16="http://schemas.microsoft.com/office/drawing/2014/main" id="{00000000-0008-0000-0400-000074030000}"/>
            </a:ext>
          </a:extLst>
        </xdr:cNvPr>
        <xdr:cNvSpPr txBox="1"/>
      </xdr:nvSpPr>
      <xdr:spPr>
        <a:xfrm>
          <a:off x="12001309" y="112393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6</xdr:col>
      <xdr:colOff>127</xdr:colOff>
      <xdr:row>97</xdr:row>
      <xdr:rowOff>75882</xdr:rowOff>
    </xdr:from>
    <xdr:to>
      <xdr:col>6</xdr:col>
      <xdr:colOff>162052</xdr:colOff>
      <xdr:row>98</xdr:row>
      <xdr:rowOff>75882</xdr:rowOff>
    </xdr:to>
    <xdr:sp macro="_xll.PtreeEvent_ObjectClick" textlink="">
      <xdr:nvSpPr>
        <xdr:cNvPr id="885" name="PTObj_DNode_1_39">
          <a:extLst>
            <a:ext uri="{FF2B5EF4-FFF2-40B4-BE49-F238E27FC236}">
              <a16:creationId xmlns:a16="http://schemas.microsoft.com/office/drawing/2014/main" id="{00000000-0008-0000-0400-000075030000}"/>
            </a:ext>
          </a:extLst>
        </xdr:cNvPr>
        <xdr:cNvSpPr/>
      </xdr:nvSpPr>
      <xdr:spPr>
        <a:xfrm>
          <a:off x="8744077" y="157826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5</xdr:col>
      <xdr:colOff>266509</xdr:colOff>
      <xdr:row>97</xdr:row>
      <xdr:rowOff>66531</xdr:rowOff>
    </xdr:from>
    <xdr:ext cx="196592" cy="180627"/>
    <xdr:sp macro="_xll.PtreeEvent_ObjectClick" textlink="">
      <xdr:nvSpPr>
        <xdr:cNvPr id="888" name="PTObj_DBranchName_1_39">
          <a:extLst>
            <a:ext uri="{FF2B5EF4-FFF2-40B4-BE49-F238E27FC236}">
              <a16:creationId xmlns:a16="http://schemas.microsoft.com/office/drawing/2014/main" id="{00000000-0008-0000-0400-000078030000}"/>
            </a:ext>
          </a:extLst>
        </xdr:cNvPr>
        <xdr:cNvSpPr txBox="1"/>
      </xdr:nvSpPr>
      <xdr:spPr>
        <a:xfrm>
          <a:off x="7515034" y="15773256"/>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7</xdr:col>
      <xdr:colOff>127</xdr:colOff>
      <xdr:row>83</xdr:row>
      <xdr:rowOff>75882</xdr:rowOff>
    </xdr:from>
    <xdr:to>
      <xdr:col>7</xdr:col>
      <xdr:colOff>162052</xdr:colOff>
      <xdr:row>84</xdr:row>
      <xdr:rowOff>75882</xdr:rowOff>
    </xdr:to>
    <xdr:sp macro="_xll.PtreeEvent_ObjectClick" textlink="">
      <xdr:nvSpPr>
        <xdr:cNvPr id="889" name="PTObj_DNode_1_40">
          <a:extLst>
            <a:ext uri="{FF2B5EF4-FFF2-40B4-BE49-F238E27FC236}">
              <a16:creationId xmlns:a16="http://schemas.microsoft.com/office/drawing/2014/main" id="{00000000-0008-0000-0400-000079030000}"/>
            </a:ext>
          </a:extLst>
        </xdr:cNvPr>
        <xdr:cNvSpPr/>
      </xdr:nvSpPr>
      <xdr:spPr>
        <a:xfrm>
          <a:off x="10239502" y="135156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83</xdr:row>
      <xdr:rowOff>66531</xdr:rowOff>
    </xdr:from>
    <xdr:ext cx="245067" cy="180627"/>
    <xdr:sp macro="_xll.PtreeEvent_ObjectClick" textlink="">
      <xdr:nvSpPr>
        <xdr:cNvPr id="892" name="PTObj_DBranchName_1_40">
          <a:extLst>
            <a:ext uri="{FF2B5EF4-FFF2-40B4-BE49-F238E27FC236}">
              <a16:creationId xmlns:a16="http://schemas.microsoft.com/office/drawing/2014/main" id="{00000000-0008-0000-0400-00007C030000}"/>
            </a:ext>
          </a:extLst>
        </xdr:cNvPr>
        <xdr:cNvSpPr txBox="1"/>
      </xdr:nvSpPr>
      <xdr:spPr>
        <a:xfrm>
          <a:off x="9010459" y="135063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8</xdr:col>
      <xdr:colOff>127</xdr:colOff>
      <xdr:row>79</xdr:row>
      <xdr:rowOff>75882</xdr:rowOff>
    </xdr:from>
    <xdr:to>
      <xdr:col>8</xdr:col>
      <xdr:colOff>162052</xdr:colOff>
      <xdr:row>80</xdr:row>
      <xdr:rowOff>75882</xdr:rowOff>
    </xdr:to>
    <xdr:sp macro="_xll.PtreeEvent_ObjectClick" textlink="">
      <xdr:nvSpPr>
        <xdr:cNvPr id="893" name="PTObj_DNode_1_41">
          <a:extLst>
            <a:ext uri="{FF2B5EF4-FFF2-40B4-BE49-F238E27FC236}">
              <a16:creationId xmlns:a16="http://schemas.microsoft.com/office/drawing/2014/main" id="{00000000-0008-0000-0400-00007D030000}"/>
            </a:ext>
          </a:extLst>
        </xdr:cNvPr>
        <xdr:cNvSpPr/>
      </xdr:nvSpPr>
      <xdr:spPr>
        <a:xfrm>
          <a:off x="11734927" y="128679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79</xdr:row>
      <xdr:rowOff>66532</xdr:rowOff>
    </xdr:from>
    <xdr:ext cx="245067" cy="180627"/>
    <xdr:sp macro="_xll.PtreeEvent_ObjectClick" textlink="">
      <xdr:nvSpPr>
        <xdr:cNvPr id="896" name="PTObj_DBranchName_1_41">
          <a:extLst>
            <a:ext uri="{FF2B5EF4-FFF2-40B4-BE49-F238E27FC236}">
              <a16:creationId xmlns:a16="http://schemas.microsoft.com/office/drawing/2014/main" id="{00000000-0008-0000-0400-000080030000}"/>
            </a:ext>
          </a:extLst>
        </xdr:cNvPr>
        <xdr:cNvSpPr txBox="1"/>
      </xdr:nvSpPr>
      <xdr:spPr>
        <a:xfrm>
          <a:off x="10505884" y="128586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77</xdr:row>
      <xdr:rowOff>75882</xdr:rowOff>
    </xdr:from>
    <xdr:to>
      <xdr:col>9</xdr:col>
      <xdr:colOff>162052</xdr:colOff>
      <xdr:row>78</xdr:row>
      <xdr:rowOff>75882</xdr:rowOff>
    </xdr:to>
    <xdr:sp macro="_xll.PtreeEvent_ObjectClick" textlink="">
      <xdr:nvSpPr>
        <xdr:cNvPr id="897" name="PTObj_DNode_1_42">
          <a:extLst>
            <a:ext uri="{FF2B5EF4-FFF2-40B4-BE49-F238E27FC236}">
              <a16:creationId xmlns:a16="http://schemas.microsoft.com/office/drawing/2014/main" id="{00000000-0008-0000-0400-000081030000}"/>
            </a:ext>
          </a:extLst>
        </xdr:cNvPr>
        <xdr:cNvSpPr/>
      </xdr:nvSpPr>
      <xdr:spPr>
        <a:xfrm rot="-5400000">
          <a:off x="13230352" y="125441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77</xdr:row>
      <xdr:rowOff>66532</xdr:rowOff>
    </xdr:from>
    <xdr:ext cx="245067" cy="180627"/>
    <xdr:sp macro="_xll.PtreeEvent_ObjectClick" textlink="">
      <xdr:nvSpPr>
        <xdr:cNvPr id="900" name="PTObj_DBranchName_1_42">
          <a:extLst>
            <a:ext uri="{FF2B5EF4-FFF2-40B4-BE49-F238E27FC236}">
              <a16:creationId xmlns:a16="http://schemas.microsoft.com/office/drawing/2014/main" id="{00000000-0008-0000-0400-000084030000}"/>
            </a:ext>
          </a:extLst>
        </xdr:cNvPr>
        <xdr:cNvSpPr txBox="1"/>
      </xdr:nvSpPr>
      <xdr:spPr>
        <a:xfrm>
          <a:off x="12001309" y="125347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81</xdr:row>
      <xdr:rowOff>75882</xdr:rowOff>
    </xdr:from>
    <xdr:to>
      <xdr:col>9</xdr:col>
      <xdr:colOff>162052</xdr:colOff>
      <xdr:row>82</xdr:row>
      <xdr:rowOff>75882</xdr:rowOff>
    </xdr:to>
    <xdr:sp macro="_xll.PtreeEvent_ObjectClick" textlink="">
      <xdr:nvSpPr>
        <xdr:cNvPr id="901" name="PTObj_DNode_1_43">
          <a:extLst>
            <a:ext uri="{FF2B5EF4-FFF2-40B4-BE49-F238E27FC236}">
              <a16:creationId xmlns:a16="http://schemas.microsoft.com/office/drawing/2014/main" id="{00000000-0008-0000-0400-000085030000}"/>
            </a:ext>
          </a:extLst>
        </xdr:cNvPr>
        <xdr:cNvSpPr/>
      </xdr:nvSpPr>
      <xdr:spPr>
        <a:xfrm rot="-5400000">
          <a:off x="13230352" y="131918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81</xdr:row>
      <xdr:rowOff>66531</xdr:rowOff>
    </xdr:from>
    <xdr:ext cx="226023" cy="180627"/>
    <xdr:sp macro="_xll.PtreeEvent_ObjectClick" textlink="">
      <xdr:nvSpPr>
        <xdr:cNvPr id="904" name="PTObj_DBranchName_1_43">
          <a:extLst>
            <a:ext uri="{FF2B5EF4-FFF2-40B4-BE49-F238E27FC236}">
              <a16:creationId xmlns:a16="http://schemas.microsoft.com/office/drawing/2014/main" id="{00000000-0008-0000-0400-000088030000}"/>
            </a:ext>
          </a:extLst>
        </xdr:cNvPr>
        <xdr:cNvSpPr txBox="1"/>
      </xdr:nvSpPr>
      <xdr:spPr>
        <a:xfrm>
          <a:off x="12001309" y="131824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87</xdr:row>
      <xdr:rowOff>75882</xdr:rowOff>
    </xdr:from>
    <xdr:to>
      <xdr:col>8</xdr:col>
      <xdr:colOff>162052</xdr:colOff>
      <xdr:row>88</xdr:row>
      <xdr:rowOff>75882</xdr:rowOff>
    </xdr:to>
    <xdr:sp macro="_xll.PtreeEvent_ObjectClick" textlink="">
      <xdr:nvSpPr>
        <xdr:cNvPr id="905" name="PTObj_DNode_1_44">
          <a:extLst>
            <a:ext uri="{FF2B5EF4-FFF2-40B4-BE49-F238E27FC236}">
              <a16:creationId xmlns:a16="http://schemas.microsoft.com/office/drawing/2014/main" id="{00000000-0008-0000-0400-000089030000}"/>
            </a:ext>
          </a:extLst>
        </xdr:cNvPr>
        <xdr:cNvSpPr/>
      </xdr:nvSpPr>
      <xdr:spPr>
        <a:xfrm>
          <a:off x="11734927" y="141633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87</xdr:row>
      <xdr:rowOff>66531</xdr:rowOff>
    </xdr:from>
    <xdr:ext cx="407484" cy="180627"/>
    <xdr:sp macro="_xll.PtreeEvent_ObjectClick" textlink="">
      <xdr:nvSpPr>
        <xdr:cNvPr id="908" name="PTObj_DBranchName_1_44">
          <a:extLst>
            <a:ext uri="{FF2B5EF4-FFF2-40B4-BE49-F238E27FC236}">
              <a16:creationId xmlns:a16="http://schemas.microsoft.com/office/drawing/2014/main" id="{00000000-0008-0000-0400-00008C030000}"/>
            </a:ext>
          </a:extLst>
        </xdr:cNvPr>
        <xdr:cNvSpPr txBox="1"/>
      </xdr:nvSpPr>
      <xdr:spPr>
        <a:xfrm>
          <a:off x="10505884" y="14154006"/>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85</xdr:row>
      <xdr:rowOff>75882</xdr:rowOff>
    </xdr:from>
    <xdr:to>
      <xdr:col>9</xdr:col>
      <xdr:colOff>162052</xdr:colOff>
      <xdr:row>86</xdr:row>
      <xdr:rowOff>75882</xdr:rowOff>
    </xdr:to>
    <xdr:sp macro="_xll.PtreeEvent_ObjectClick" textlink="">
      <xdr:nvSpPr>
        <xdr:cNvPr id="909" name="PTObj_DNode_1_45">
          <a:extLst>
            <a:ext uri="{FF2B5EF4-FFF2-40B4-BE49-F238E27FC236}">
              <a16:creationId xmlns:a16="http://schemas.microsoft.com/office/drawing/2014/main" id="{00000000-0008-0000-0400-00008D030000}"/>
            </a:ext>
          </a:extLst>
        </xdr:cNvPr>
        <xdr:cNvSpPr/>
      </xdr:nvSpPr>
      <xdr:spPr>
        <a:xfrm rot="-5400000">
          <a:off x="13230352" y="138395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85</xdr:row>
      <xdr:rowOff>66531</xdr:rowOff>
    </xdr:from>
    <xdr:ext cx="245067" cy="180627"/>
    <xdr:sp macro="_xll.PtreeEvent_ObjectClick" textlink="">
      <xdr:nvSpPr>
        <xdr:cNvPr id="912" name="PTObj_DBranchName_1_45">
          <a:extLst>
            <a:ext uri="{FF2B5EF4-FFF2-40B4-BE49-F238E27FC236}">
              <a16:creationId xmlns:a16="http://schemas.microsoft.com/office/drawing/2014/main" id="{00000000-0008-0000-0400-000090030000}"/>
            </a:ext>
          </a:extLst>
        </xdr:cNvPr>
        <xdr:cNvSpPr txBox="1"/>
      </xdr:nvSpPr>
      <xdr:spPr>
        <a:xfrm>
          <a:off x="12001309" y="138301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89</xdr:row>
      <xdr:rowOff>75882</xdr:rowOff>
    </xdr:from>
    <xdr:to>
      <xdr:col>9</xdr:col>
      <xdr:colOff>162052</xdr:colOff>
      <xdr:row>90</xdr:row>
      <xdr:rowOff>75882</xdr:rowOff>
    </xdr:to>
    <xdr:sp macro="_xll.PtreeEvent_ObjectClick" textlink="">
      <xdr:nvSpPr>
        <xdr:cNvPr id="913" name="PTObj_DNode_1_46">
          <a:extLst>
            <a:ext uri="{FF2B5EF4-FFF2-40B4-BE49-F238E27FC236}">
              <a16:creationId xmlns:a16="http://schemas.microsoft.com/office/drawing/2014/main" id="{00000000-0008-0000-0400-000091030000}"/>
            </a:ext>
          </a:extLst>
        </xdr:cNvPr>
        <xdr:cNvSpPr/>
      </xdr:nvSpPr>
      <xdr:spPr>
        <a:xfrm rot="-5400000">
          <a:off x="13230352" y="144872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89</xdr:row>
      <xdr:rowOff>66531</xdr:rowOff>
    </xdr:from>
    <xdr:ext cx="226023" cy="180627"/>
    <xdr:sp macro="_xll.PtreeEvent_ObjectClick" textlink="">
      <xdr:nvSpPr>
        <xdr:cNvPr id="916" name="PTObj_DBranchName_1_46">
          <a:extLst>
            <a:ext uri="{FF2B5EF4-FFF2-40B4-BE49-F238E27FC236}">
              <a16:creationId xmlns:a16="http://schemas.microsoft.com/office/drawing/2014/main" id="{00000000-0008-0000-0400-000094030000}"/>
            </a:ext>
          </a:extLst>
        </xdr:cNvPr>
        <xdr:cNvSpPr txBox="1"/>
      </xdr:nvSpPr>
      <xdr:spPr>
        <a:xfrm>
          <a:off x="12001309" y="144778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93</xdr:row>
      <xdr:rowOff>75882</xdr:rowOff>
    </xdr:from>
    <xdr:to>
      <xdr:col>8</xdr:col>
      <xdr:colOff>162052</xdr:colOff>
      <xdr:row>94</xdr:row>
      <xdr:rowOff>75882</xdr:rowOff>
    </xdr:to>
    <xdr:sp macro="_xll.PtreeEvent_ObjectClick" textlink="">
      <xdr:nvSpPr>
        <xdr:cNvPr id="917" name="PTObj_DNode_1_47">
          <a:extLst>
            <a:ext uri="{FF2B5EF4-FFF2-40B4-BE49-F238E27FC236}">
              <a16:creationId xmlns:a16="http://schemas.microsoft.com/office/drawing/2014/main" id="{00000000-0008-0000-0400-000095030000}"/>
            </a:ext>
          </a:extLst>
        </xdr:cNvPr>
        <xdr:cNvSpPr/>
      </xdr:nvSpPr>
      <xdr:spPr>
        <a:xfrm>
          <a:off x="11734927" y="151349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93</xdr:row>
      <xdr:rowOff>66531</xdr:rowOff>
    </xdr:from>
    <xdr:ext cx="226023" cy="180627"/>
    <xdr:sp macro="_xll.PtreeEvent_ObjectClick" textlink="">
      <xdr:nvSpPr>
        <xdr:cNvPr id="920" name="PTObj_DBranchName_1_47">
          <a:extLst>
            <a:ext uri="{FF2B5EF4-FFF2-40B4-BE49-F238E27FC236}">
              <a16:creationId xmlns:a16="http://schemas.microsoft.com/office/drawing/2014/main" id="{00000000-0008-0000-0400-000098030000}"/>
            </a:ext>
          </a:extLst>
        </xdr:cNvPr>
        <xdr:cNvSpPr txBox="1"/>
      </xdr:nvSpPr>
      <xdr:spPr>
        <a:xfrm>
          <a:off x="10505884" y="151255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91</xdr:row>
      <xdr:rowOff>75882</xdr:rowOff>
    </xdr:from>
    <xdr:to>
      <xdr:col>9</xdr:col>
      <xdr:colOff>162052</xdr:colOff>
      <xdr:row>92</xdr:row>
      <xdr:rowOff>75882</xdr:rowOff>
    </xdr:to>
    <xdr:sp macro="_xll.PtreeEvent_ObjectClick" textlink="">
      <xdr:nvSpPr>
        <xdr:cNvPr id="921" name="PTObj_DNode_1_48">
          <a:extLst>
            <a:ext uri="{FF2B5EF4-FFF2-40B4-BE49-F238E27FC236}">
              <a16:creationId xmlns:a16="http://schemas.microsoft.com/office/drawing/2014/main" id="{00000000-0008-0000-0400-000099030000}"/>
            </a:ext>
          </a:extLst>
        </xdr:cNvPr>
        <xdr:cNvSpPr/>
      </xdr:nvSpPr>
      <xdr:spPr>
        <a:xfrm rot="-5400000">
          <a:off x="13230352" y="148110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91</xdr:row>
      <xdr:rowOff>66531</xdr:rowOff>
    </xdr:from>
    <xdr:ext cx="245067" cy="180627"/>
    <xdr:sp macro="_xll.PtreeEvent_ObjectClick" textlink="">
      <xdr:nvSpPr>
        <xdr:cNvPr id="924" name="PTObj_DBranchName_1_48">
          <a:extLst>
            <a:ext uri="{FF2B5EF4-FFF2-40B4-BE49-F238E27FC236}">
              <a16:creationId xmlns:a16="http://schemas.microsoft.com/office/drawing/2014/main" id="{00000000-0008-0000-0400-00009C030000}"/>
            </a:ext>
          </a:extLst>
        </xdr:cNvPr>
        <xdr:cNvSpPr txBox="1"/>
      </xdr:nvSpPr>
      <xdr:spPr>
        <a:xfrm>
          <a:off x="12001309" y="148017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95</xdr:row>
      <xdr:rowOff>75882</xdr:rowOff>
    </xdr:from>
    <xdr:to>
      <xdr:col>9</xdr:col>
      <xdr:colOff>162052</xdr:colOff>
      <xdr:row>96</xdr:row>
      <xdr:rowOff>75882</xdr:rowOff>
    </xdr:to>
    <xdr:sp macro="_xll.PtreeEvent_ObjectClick" textlink="">
      <xdr:nvSpPr>
        <xdr:cNvPr id="925" name="PTObj_DNode_1_49">
          <a:extLst>
            <a:ext uri="{FF2B5EF4-FFF2-40B4-BE49-F238E27FC236}">
              <a16:creationId xmlns:a16="http://schemas.microsoft.com/office/drawing/2014/main" id="{00000000-0008-0000-0400-00009D030000}"/>
            </a:ext>
          </a:extLst>
        </xdr:cNvPr>
        <xdr:cNvSpPr/>
      </xdr:nvSpPr>
      <xdr:spPr>
        <a:xfrm rot="-5400000">
          <a:off x="13230352" y="154587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95</xdr:row>
      <xdr:rowOff>66531</xdr:rowOff>
    </xdr:from>
    <xdr:ext cx="226023" cy="180627"/>
    <xdr:sp macro="_xll.PtreeEvent_ObjectClick" textlink="">
      <xdr:nvSpPr>
        <xdr:cNvPr id="928" name="PTObj_DBranchName_1_49">
          <a:extLst>
            <a:ext uri="{FF2B5EF4-FFF2-40B4-BE49-F238E27FC236}">
              <a16:creationId xmlns:a16="http://schemas.microsoft.com/office/drawing/2014/main" id="{00000000-0008-0000-0400-0000A0030000}"/>
            </a:ext>
          </a:extLst>
        </xdr:cNvPr>
        <xdr:cNvSpPr txBox="1"/>
      </xdr:nvSpPr>
      <xdr:spPr>
        <a:xfrm>
          <a:off x="12001309" y="154494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7</xdr:col>
      <xdr:colOff>127</xdr:colOff>
      <xdr:row>105</xdr:row>
      <xdr:rowOff>75882</xdr:rowOff>
    </xdr:from>
    <xdr:to>
      <xdr:col>7</xdr:col>
      <xdr:colOff>162052</xdr:colOff>
      <xdr:row>106</xdr:row>
      <xdr:rowOff>75882</xdr:rowOff>
    </xdr:to>
    <xdr:sp macro="_xll.PtreeEvent_ObjectClick" textlink="">
      <xdr:nvSpPr>
        <xdr:cNvPr id="929" name="PTObj_DNode_1_50">
          <a:extLst>
            <a:ext uri="{FF2B5EF4-FFF2-40B4-BE49-F238E27FC236}">
              <a16:creationId xmlns:a16="http://schemas.microsoft.com/office/drawing/2014/main" id="{00000000-0008-0000-0400-0000A1030000}"/>
            </a:ext>
          </a:extLst>
        </xdr:cNvPr>
        <xdr:cNvSpPr/>
      </xdr:nvSpPr>
      <xdr:spPr>
        <a:xfrm>
          <a:off x="10239502" y="170780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105</xdr:row>
      <xdr:rowOff>66531</xdr:rowOff>
    </xdr:from>
    <xdr:ext cx="407484" cy="180627"/>
    <xdr:sp macro="_xll.PtreeEvent_ObjectClick" textlink="">
      <xdr:nvSpPr>
        <xdr:cNvPr id="932" name="PTObj_DBranchName_1_50">
          <a:extLst>
            <a:ext uri="{FF2B5EF4-FFF2-40B4-BE49-F238E27FC236}">
              <a16:creationId xmlns:a16="http://schemas.microsoft.com/office/drawing/2014/main" id="{00000000-0008-0000-0400-0000A4030000}"/>
            </a:ext>
          </a:extLst>
        </xdr:cNvPr>
        <xdr:cNvSpPr txBox="1"/>
      </xdr:nvSpPr>
      <xdr:spPr>
        <a:xfrm>
          <a:off x="9010459" y="17068656"/>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8</xdr:col>
      <xdr:colOff>127</xdr:colOff>
      <xdr:row>101</xdr:row>
      <xdr:rowOff>75882</xdr:rowOff>
    </xdr:from>
    <xdr:to>
      <xdr:col>8</xdr:col>
      <xdr:colOff>162052</xdr:colOff>
      <xdr:row>102</xdr:row>
      <xdr:rowOff>75882</xdr:rowOff>
    </xdr:to>
    <xdr:sp macro="_xll.PtreeEvent_ObjectClick" textlink="">
      <xdr:nvSpPr>
        <xdr:cNvPr id="933" name="PTObj_DNode_1_51">
          <a:extLst>
            <a:ext uri="{FF2B5EF4-FFF2-40B4-BE49-F238E27FC236}">
              <a16:creationId xmlns:a16="http://schemas.microsoft.com/office/drawing/2014/main" id="{00000000-0008-0000-0400-0000A5030000}"/>
            </a:ext>
          </a:extLst>
        </xdr:cNvPr>
        <xdr:cNvSpPr/>
      </xdr:nvSpPr>
      <xdr:spPr>
        <a:xfrm>
          <a:off x="11734927" y="164303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101</xdr:row>
      <xdr:rowOff>66531</xdr:rowOff>
    </xdr:from>
    <xdr:ext cx="245067" cy="180627"/>
    <xdr:sp macro="_xll.PtreeEvent_ObjectClick" textlink="">
      <xdr:nvSpPr>
        <xdr:cNvPr id="936" name="PTObj_DBranchName_1_51">
          <a:extLst>
            <a:ext uri="{FF2B5EF4-FFF2-40B4-BE49-F238E27FC236}">
              <a16:creationId xmlns:a16="http://schemas.microsoft.com/office/drawing/2014/main" id="{00000000-0008-0000-0400-0000A8030000}"/>
            </a:ext>
          </a:extLst>
        </xdr:cNvPr>
        <xdr:cNvSpPr txBox="1"/>
      </xdr:nvSpPr>
      <xdr:spPr>
        <a:xfrm>
          <a:off x="10505884" y="164209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99</xdr:row>
      <xdr:rowOff>75882</xdr:rowOff>
    </xdr:from>
    <xdr:to>
      <xdr:col>9</xdr:col>
      <xdr:colOff>162052</xdr:colOff>
      <xdr:row>100</xdr:row>
      <xdr:rowOff>75882</xdr:rowOff>
    </xdr:to>
    <xdr:sp macro="_xll.PtreeEvent_ObjectClick" textlink="">
      <xdr:nvSpPr>
        <xdr:cNvPr id="937" name="PTObj_DNode_1_52">
          <a:extLst>
            <a:ext uri="{FF2B5EF4-FFF2-40B4-BE49-F238E27FC236}">
              <a16:creationId xmlns:a16="http://schemas.microsoft.com/office/drawing/2014/main" id="{00000000-0008-0000-0400-0000A9030000}"/>
            </a:ext>
          </a:extLst>
        </xdr:cNvPr>
        <xdr:cNvSpPr/>
      </xdr:nvSpPr>
      <xdr:spPr>
        <a:xfrm rot="-5400000">
          <a:off x="13230352" y="161064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99</xdr:row>
      <xdr:rowOff>66531</xdr:rowOff>
    </xdr:from>
    <xdr:ext cx="245067" cy="180627"/>
    <xdr:sp macro="_xll.PtreeEvent_ObjectClick" textlink="">
      <xdr:nvSpPr>
        <xdr:cNvPr id="940" name="PTObj_DBranchName_1_52">
          <a:extLst>
            <a:ext uri="{FF2B5EF4-FFF2-40B4-BE49-F238E27FC236}">
              <a16:creationId xmlns:a16="http://schemas.microsoft.com/office/drawing/2014/main" id="{00000000-0008-0000-0400-0000AC030000}"/>
            </a:ext>
          </a:extLst>
        </xdr:cNvPr>
        <xdr:cNvSpPr txBox="1"/>
      </xdr:nvSpPr>
      <xdr:spPr>
        <a:xfrm>
          <a:off x="12001309" y="160971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103</xdr:row>
      <xdr:rowOff>75882</xdr:rowOff>
    </xdr:from>
    <xdr:to>
      <xdr:col>9</xdr:col>
      <xdr:colOff>162052</xdr:colOff>
      <xdr:row>104</xdr:row>
      <xdr:rowOff>75882</xdr:rowOff>
    </xdr:to>
    <xdr:sp macro="_xll.PtreeEvent_ObjectClick" textlink="">
      <xdr:nvSpPr>
        <xdr:cNvPr id="941" name="PTObj_DNode_1_53">
          <a:extLst>
            <a:ext uri="{FF2B5EF4-FFF2-40B4-BE49-F238E27FC236}">
              <a16:creationId xmlns:a16="http://schemas.microsoft.com/office/drawing/2014/main" id="{00000000-0008-0000-0400-0000AD030000}"/>
            </a:ext>
          </a:extLst>
        </xdr:cNvPr>
        <xdr:cNvSpPr/>
      </xdr:nvSpPr>
      <xdr:spPr>
        <a:xfrm rot="-5400000">
          <a:off x="13230352" y="167541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103</xdr:row>
      <xdr:rowOff>66531</xdr:rowOff>
    </xdr:from>
    <xdr:ext cx="226023" cy="180627"/>
    <xdr:sp macro="_xll.PtreeEvent_ObjectClick" textlink="">
      <xdr:nvSpPr>
        <xdr:cNvPr id="944" name="PTObj_DBranchName_1_53">
          <a:extLst>
            <a:ext uri="{FF2B5EF4-FFF2-40B4-BE49-F238E27FC236}">
              <a16:creationId xmlns:a16="http://schemas.microsoft.com/office/drawing/2014/main" id="{00000000-0008-0000-0400-0000B0030000}"/>
            </a:ext>
          </a:extLst>
        </xdr:cNvPr>
        <xdr:cNvSpPr txBox="1"/>
      </xdr:nvSpPr>
      <xdr:spPr>
        <a:xfrm>
          <a:off x="12001309" y="167448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109</xdr:row>
      <xdr:rowOff>75882</xdr:rowOff>
    </xdr:from>
    <xdr:to>
      <xdr:col>8</xdr:col>
      <xdr:colOff>162052</xdr:colOff>
      <xdr:row>110</xdr:row>
      <xdr:rowOff>75882</xdr:rowOff>
    </xdr:to>
    <xdr:sp macro="_xll.PtreeEvent_ObjectClick" textlink="">
      <xdr:nvSpPr>
        <xdr:cNvPr id="945" name="PTObj_DNode_1_54">
          <a:extLst>
            <a:ext uri="{FF2B5EF4-FFF2-40B4-BE49-F238E27FC236}">
              <a16:creationId xmlns:a16="http://schemas.microsoft.com/office/drawing/2014/main" id="{00000000-0008-0000-0400-0000B1030000}"/>
            </a:ext>
          </a:extLst>
        </xdr:cNvPr>
        <xdr:cNvSpPr/>
      </xdr:nvSpPr>
      <xdr:spPr>
        <a:xfrm>
          <a:off x="11734927" y="177257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109</xdr:row>
      <xdr:rowOff>66531</xdr:rowOff>
    </xdr:from>
    <xdr:ext cx="407484" cy="180627"/>
    <xdr:sp macro="_xll.PtreeEvent_ObjectClick" textlink="">
      <xdr:nvSpPr>
        <xdr:cNvPr id="948" name="PTObj_DBranchName_1_54">
          <a:extLst>
            <a:ext uri="{FF2B5EF4-FFF2-40B4-BE49-F238E27FC236}">
              <a16:creationId xmlns:a16="http://schemas.microsoft.com/office/drawing/2014/main" id="{00000000-0008-0000-0400-0000B4030000}"/>
            </a:ext>
          </a:extLst>
        </xdr:cNvPr>
        <xdr:cNvSpPr txBox="1"/>
      </xdr:nvSpPr>
      <xdr:spPr>
        <a:xfrm>
          <a:off x="10505884" y="17716356"/>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107</xdr:row>
      <xdr:rowOff>75882</xdr:rowOff>
    </xdr:from>
    <xdr:to>
      <xdr:col>9</xdr:col>
      <xdr:colOff>162052</xdr:colOff>
      <xdr:row>108</xdr:row>
      <xdr:rowOff>75882</xdr:rowOff>
    </xdr:to>
    <xdr:sp macro="_xll.PtreeEvent_ObjectClick" textlink="">
      <xdr:nvSpPr>
        <xdr:cNvPr id="949" name="PTObj_DNode_1_55">
          <a:extLst>
            <a:ext uri="{FF2B5EF4-FFF2-40B4-BE49-F238E27FC236}">
              <a16:creationId xmlns:a16="http://schemas.microsoft.com/office/drawing/2014/main" id="{00000000-0008-0000-0400-0000B5030000}"/>
            </a:ext>
          </a:extLst>
        </xdr:cNvPr>
        <xdr:cNvSpPr/>
      </xdr:nvSpPr>
      <xdr:spPr>
        <a:xfrm rot="-5400000">
          <a:off x="13230352" y="174018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107</xdr:row>
      <xdr:rowOff>66531</xdr:rowOff>
    </xdr:from>
    <xdr:ext cx="245067" cy="180627"/>
    <xdr:sp macro="_xll.PtreeEvent_ObjectClick" textlink="">
      <xdr:nvSpPr>
        <xdr:cNvPr id="952" name="PTObj_DBranchName_1_55">
          <a:extLst>
            <a:ext uri="{FF2B5EF4-FFF2-40B4-BE49-F238E27FC236}">
              <a16:creationId xmlns:a16="http://schemas.microsoft.com/office/drawing/2014/main" id="{00000000-0008-0000-0400-0000B8030000}"/>
            </a:ext>
          </a:extLst>
        </xdr:cNvPr>
        <xdr:cNvSpPr txBox="1"/>
      </xdr:nvSpPr>
      <xdr:spPr>
        <a:xfrm>
          <a:off x="12001309" y="173925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111</xdr:row>
      <xdr:rowOff>75882</xdr:rowOff>
    </xdr:from>
    <xdr:to>
      <xdr:col>9</xdr:col>
      <xdr:colOff>162052</xdr:colOff>
      <xdr:row>112</xdr:row>
      <xdr:rowOff>75882</xdr:rowOff>
    </xdr:to>
    <xdr:sp macro="_xll.PtreeEvent_ObjectClick" textlink="">
      <xdr:nvSpPr>
        <xdr:cNvPr id="953" name="PTObj_DNode_1_56">
          <a:extLst>
            <a:ext uri="{FF2B5EF4-FFF2-40B4-BE49-F238E27FC236}">
              <a16:creationId xmlns:a16="http://schemas.microsoft.com/office/drawing/2014/main" id="{00000000-0008-0000-0400-0000B9030000}"/>
            </a:ext>
          </a:extLst>
        </xdr:cNvPr>
        <xdr:cNvSpPr/>
      </xdr:nvSpPr>
      <xdr:spPr>
        <a:xfrm rot="-5400000">
          <a:off x="13230352" y="180495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111</xdr:row>
      <xdr:rowOff>66531</xdr:rowOff>
    </xdr:from>
    <xdr:ext cx="226023" cy="180627"/>
    <xdr:sp macro="_xll.PtreeEvent_ObjectClick" textlink="">
      <xdr:nvSpPr>
        <xdr:cNvPr id="956" name="PTObj_DBranchName_1_56">
          <a:extLst>
            <a:ext uri="{FF2B5EF4-FFF2-40B4-BE49-F238E27FC236}">
              <a16:creationId xmlns:a16="http://schemas.microsoft.com/office/drawing/2014/main" id="{00000000-0008-0000-0400-0000BC030000}"/>
            </a:ext>
          </a:extLst>
        </xdr:cNvPr>
        <xdr:cNvSpPr txBox="1"/>
      </xdr:nvSpPr>
      <xdr:spPr>
        <a:xfrm>
          <a:off x="12001309" y="180402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115</xdr:row>
      <xdr:rowOff>75882</xdr:rowOff>
    </xdr:from>
    <xdr:to>
      <xdr:col>8</xdr:col>
      <xdr:colOff>162052</xdr:colOff>
      <xdr:row>116</xdr:row>
      <xdr:rowOff>75882</xdr:rowOff>
    </xdr:to>
    <xdr:sp macro="_xll.PtreeEvent_ObjectClick" textlink="">
      <xdr:nvSpPr>
        <xdr:cNvPr id="957" name="PTObj_DNode_1_57">
          <a:extLst>
            <a:ext uri="{FF2B5EF4-FFF2-40B4-BE49-F238E27FC236}">
              <a16:creationId xmlns:a16="http://schemas.microsoft.com/office/drawing/2014/main" id="{00000000-0008-0000-0400-0000BD030000}"/>
            </a:ext>
          </a:extLst>
        </xdr:cNvPr>
        <xdr:cNvSpPr/>
      </xdr:nvSpPr>
      <xdr:spPr>
        <a:xfrm>
          <a:off x="11734927" y="186972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115</xdr:row>
      <xdr:rowOff>66531</xdr:rowOff>
    </xdr:from>
    <xdr:ext cx="226023" cy="180627"/>
    <xdr:sp macro="_xll.PtreeEvent_ObjectClick" textlink="">
      <xdr:nvSpPr>
        <xdr:cNvPr id="960" name="PTObj_DBranchName_1_57">
          <a:extLst>
            <a:ext uri="{FF2B5EF4-FFF2-40B4-BE49-F238E27FC236}">
              <a16:creationId xmlns:a16="http://schemas.microsoft.com/office/drawing/2014/main" id="{00000000-0008-0000-0400-0000C0030000}"/>
            </a:ext>
          </a:extLst>
        </xdr:cNvPr>
        <xdr:cNvSpPr txBox="1"/>
      </xdr:nvSpPr>
      <xdr:spPr>
        <a:xfrm>
          <a:off x="10505884" y="186879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113</xdr:row>
      <xdr:rowOff>75882</xdr:rowOff>
    </xdr:from>
    <xdr:to>
      <xdr:col>9</xdr:col>
      <xdr:colOff>162052</xdr:colOff>
      <xdr:row>114</xdr:row>
      <xdr:rowOff>75882</xdr:rowOff>
    </xdr:to>
    <xdr:sp macro="_xll.PtreeEvent_ObjectClick" textlink="">
      <xdr:nvSpPr>
        <xdr:cNvPr id="961" name="PTObj_DNode_1_58">
          <a:extLst>
            <a:ext uri="{FF2B5EF4-FFF2-40B4-BE49-F238E27FC236}">
              <a16:creationId xmlns:a16="http://schemas.microsoft.com/office/drawing/2014/main" id="{00000000-0008-0000-0400-0000C1030000}"/>
            </a:ext>
          </a:extLst>
        </xdr:cNvPr>
        <xdr:cNvSpPr/>
      </xdr:nvSpPr>
      <xdr:spPr>
        <a:xfrm rot="-5400000">
          <a:off x="13230352" y="183734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113</xdr:row>
      <xdr:rowOff>66531</xdr:rowOff>
    </xdr:from>
    <xdr:ext cx="245067" cy="180627"/>
    <xdr:sp macro="_xll.PtreeEvent_ObjectClick" textlink="">
      <xdr:nvSpPr>
        <xdr:cNvPr id="964" name="PTObj_DBranchName_1_58">
          <a:extLst>
            <a:ext uri="{FF2B5EF4-FFF2-40B4-BE49-F238E27FC236}">
              <a16:creationId xmlns:a16="http://schemas.microsoft.com/office/drawing/2014/main" id="{00000000-0008-0000-0400-0000C4030000}"/>
            </a:ext>
          </a:extLst>
        </xdr:cNvPr>
        <xdr:cNvSpPr txBox="1"/>
      </xdr:nvSpPr>
      <xdr:spPr>
        <a:xfrm>
          <a:off x="12001309" y="183640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117</xdr:row>
      <xdr:rowOff>75882</xdr:rowOff>
    </xdr:from>
    <xdr:to>
      <xdr:col>9</xdr:col>
      <xdr:colOff>162052</xdr:colOff>
      <xdr:row>118</xdr:row>
      <xdr:rowOff>75882</xdr:rowOff>
    </xdr:to>
    <xdr:sp macro="_xll.PtreeEvent_ObjectClick" textlink="">
      <xdr:nvSpPr>
        <xdr:cNvPr id="965" name="PTObj_DNode_1_59">
          <a:extLst>
            <a:ext uri="{FF2B5EF4-FFF2-40B4-BE49-F238E27FC236}">
              <a16:creationId xmlns:a16="http://schemas.microsoft.com/office/drawing/2014/main" id="{00000000-0008-0000-0400-0000C5030000}"/>
            </a:ext>
          </a:extLst>
        </xdr:cNvPr>
        <xdr:cNvSpPr/>
      </xdr:nvSpPr>
      <xdr:spPr>
        <a:xfrm rot="-5400000">
          <a:off x="13230352" y="190211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117</xdr:row>
      <xdr:rowOff>66531</xdr:rowOff>
    </xdr:from>
    <xdr:ext cx="226023" cy="180627"/>
    <xdr:sp macro="_xll.PtreeEvent_ObjectClick" textlink="">
      <xdr:nvSpPr>
        <xdr:cNvPr id="968" name="PTObj_DBranchName_1_59">
          <a:extLst>
            <a:ext uri="{FF2B5EF4-FFF2-40B4-BE49-F238E27FC236}">
              <a16:creationId xmlns:a16="http://schemas.microsoft.com/office/drawing/2014/main" id="{00000000-0008-0000-0400-0000C8030000}"/>
            </a:ext>
          </a:extLst>
        </xdr:cNvPr>
        <xdr:cNvSpPr txBox="1"/>
      </xdr:nvSpPr>
      <xdr:spPr>
        <a:xfrm>
          <a:off x="12001309" y="190117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7</xdr:col>
      <xdr:colOff>127</xdr:colOff>
      <xdr:row>125</xdr:row>
      <xdr:rowOff>75882</xdr:rowOff>
    </xdr:from>
    <xdr:to>
      <xdr:col>7</xdr:col>
      <xdr:colOff>162052</xdr:colOff>
      <xdr:row>126</xdr:row>
      <xdr:rowOff>75882</xdr:rowOff>
    </xdr:to>
    <xdr:sp macro="_xll.PtreeEvent_ObjectClick" textlink="">
      <xdr:nvSpPr>
        <xdr:cNvPr id="969" name="PTObj_DNode_1_60">
          <a:extLst>
            <a:ext uri="{FF2B5EF4-FFF2-40B4-BE49-F238E27FC236}">
              <a16:creationId xmlns:a16="http://schemas.microsoft.com/office/drawing/2014/main" id="{00000000-0008-0000-0400-0000C9030000}"/>
            </a:ext>
          </a:extLst>
        </xdr:cNvPr>
        <xdr:cNvSpPr/>
      </xdr:nvSpPr>
      <xdr:spPr>
        <a:xfrm>
          <a:off x="10239502" y="203165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125</xdr:row>
      <xdr:rowOff>66531</xdr:rowOff>
    </xdr:from>
    <xdr:ext cx="226023" cy="180627"/>
    <xdr:sp macro="_xll.PtreeEvent_ObjectClick" textlink="">
      <xdr:nvSpPr>
        <xdr:cNvPr id="972" name="PTObj_DBranchName_1_60">
          <a:extLst>
            <a:ext uri="{FF2B5EF4-FFF2-40B4-BE49-F238E27FC236}">
              <a16:creationId xmlns:a16="http://schemas.microsoft.com/office/drawing/2014/main" id="{00000000-0008-0000-0400-0000CC030000}"/>
            </a:ext>
          </a:extLst>
        </xdr:cNvPr>
        <xdr:cNvSpPr txBox="1"/>
      </xdr:nvSpPr>
      <xdr:spPr>
        <a:xfrm>
          <a:off x="9010459" y="203071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121</xdr:row>
      <xdr:rowOff>75882</xdr:rowOff>
    </xdr:from>
    <xdr:to>
      <xdr:col>8</xdr:col>
      <xdr:colOff>162052</xdr:colOff>
      <xdr:row>122</xdr:row>
      <xdr:rowOff>75882</xdr:rowOff>
    </xdr:to>
    <xdr:sp macro="_xll.PtreeEvent_ObjectClick" textlink="">
      <xdr:nvSpPr>
        <xdr:cNvPr id="973" name="PTObj_DNode_1_61">
          <a:extLst>
            <a:ext uri="{FF2B5EF4-FFF2-40B4-BE49-F238E27FC236}">
              <a16:creationId xmlns:a16="http://schemas.microsoft.com/office/drawing/2014/main" id="{00000000-0008-0000-0400-0000CD030000}"/>
            </a:ext>
          </a:extLst>
        </xdr:cNvPr>
        <xdr:cNvSpPr/>
      </xdr:nvSpPr>
      <xdr:spPr>
        <a:xfrm>
          <a:off x="11734927" y="196688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121</xdr:row>
      <xdr:rowOff>66531</xdr:rowOff>
    </xdr:from>
    <xdr:ext cx="245067" cy="180627"/>
    <xdr:sp macro="_xll.PtreeEvent_ObjectClick" textlink="">
      <xdr:nvSpPr>
        <xdr:cNvPr id="976" name="PTObj_DBranchName_1_61">
          <a:extLst>
            <a:ext uri="{FF2B5EF4-FFF2-40B4-BE49-F238E27FC236}">
              <a16:creationId xmlns:a16="http://schemas.microsoft.com/office/drawing/2014/main" id="{00000000-0008-0000-0400-0000D0030000}"/>
            </a:ext>
          </a:extLst>
        </xdr:cNvPr>
        <xdr:cNvSpPr txBox="1"/>
      </xdr:nvSpPr>
      <xdr:spPr>
        <a:xfrm>
          <a:off x="10505884" y="196594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119</xdr:row>
      <xdr:rowOff>75882</xdr:rowOff>
    </xdr:from>
    <xdr:to>
      <xdr:col>9</xdr:col>
      <xdr:colOff>162052</xdr:colOff>
      <xdr:row>120</xdr:row>
      <xdr:rowOff>75882</xdr:rowOff>
    </xdr:to>
    <xdr:sp macro="_xll.PtreeEvent_ObjectClick" textlink="">
      <xdr:nvSpPr>
        <xdr:cNvPr id="977" name="PTObj_DNode_1_62">
          <a:extLst>
            <a:ext uri="{FF2B5EF4-FFF2-40B4-BE49-F238E27FC236}">
              <a16:creationId xmlns:a16="http://schemas.microsoft.com/office/drawing/2014/main" id="{00000000-0008-0000-0400-0000D1030000}"/>
            </a:ext>
          </a:extLst>
        </xdr:cNvPr>
        <xdr:cNvSpPr/>
      </xdr:nvSpPr>
      <xdr:spPr>
        <a:xfrm rot="-5400000">
          <a:off x="13230352" y="193449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119</xdr:row>
      <xdr:rowOff>66531</xdr:rowOff>
    </xdr:from>
    <xdr:ext cx="245067" cy="180627"/>
    <xdr:sp macro="_xll.PtreeEvent_ObjectClick" textlink="">
      <xdr:nvSpPr>
        <xdr:cNvPr id="980" name="PTObj_DBranchName_1_62">
          <a:extLst>
            <a:ext uri="{FF2B5EF4-FFF2-40B4-BE49-F238E27FC236}">
              <a16:creationId xmlns:a16="http://schemas.microsoft.com/office/drawing/2014/main" id="{00000000-0008-0000-0400-0000D4030000}"/>
            </a:ext>
          </a:extLst>
        </xdr:cNvPr>
        <xdr:cNvSpPr txBox="1"/>
      </xdr:nvSpPr>
      <xdr:spPr>
        <a:xfrm>
          <a:off x="12001309" y="193356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123</xdr:row>
      <xdr:rowOff>75882</xdr:rowOff>
    </xdr:from>
    <xdr:to>
      <xdr:col>9</xdr:col>
      <xdr:colOff>162052</xdr:colOff>
      <xdr:row>124</xdr:row>
      <xdr:rowOff>75882</xdr:rowOff>
    </xdr:to>
    <xdr:sp macro="_xll.PtreeEvent_ObjectClick" textlink="">
      <xdr:nvSpPr>
        <xdr:cNvPr id="981" name="PTObj_DNode_1_63">
          <a:extLst>
            <a:ext uri="{FF2B5EF4-FFF2-40B4-BE49-F238E27FC236}">
              <a16:creationId xmlns:a16="http://schemas.microsoft.com/office/drawing/2014/main" id="{00000000-0008-0000-0400-0000D5030000}"/>
            </a:ext>
          </a:extLst>
        </xdr:cNvPr>
        <xdr:cNvSpPr/>
      </xdr:nvSpPr>
      <xdr:spPr>
        <a:xfrm rot="-5400000">
          <a:off x="13230352" y="199926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123</xdr:row>
      <xdr:rowOff>66531</xdr:rowOff>
    </xdr:from>
    <xdr:ext cx="226023" cy="180627"/>
    <xdr:sp macro="_xll.PtreeEvent_ObjectClick" textlink="">
      <xdr:nvSpPr>
        <xdr:cNvPr id="984" name="PTObj_DBranchName_1_63">
          <a:extLst>
            <a:ext uri="{FF2B5EF4-FFF2-40B4-BE49-F238E27FC236}">
              <a16:creationId xmlns:a16="http://schemas.microsoft.com/office/drawing/2014/main" id="{00000000-0008-0000-0400-0000D8030000}"/>
            </a:ext>
          </a:extLst>
        </xdr:cNvPr>
        <xdr:cNvSpPr txBox="1"/>
      </xdr:nvSpPr>
      <xdr:spPr>
        <a:xfrm>
          <a:off x="12001309" y="199833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129</xdr:row>
      <xdr:rowOff>75882</xdr:rowOff>
    </xdr:from>
    <xdr:to>
      <xdr:col>8</xdr:col>
      <xdr:colOff>162052</xdr:colOff>
      <xdr:row>130</xdr:row>
      <xdr:rowOff>75882</xdr:rowOff>
    </xdr:to>
    <xdr:sp macro="_xll.PtreeEvent_ObjectClick" textlink="">
      <xdr:nvSpPr>
        <xdr:cNvPr id="985" name="PTObj_DNode_1_64">
          <a:extLst>
            <a:ext uri="{FF2B5EF4-FFF2-40B4-BE49-F238E27FC236}">
              <a16:creationId xmlns:a16="http://schemas.microsoft.com/office/drawing/2014/main" id="{00000000-0008-0000-0400-0000D9030000}"/>
            </a:ext>
          </a:extLst>
        </xdr:cNvPr>
        <xdr:cNvSpPr/>
      </xdr:nvSpPr>
      <xdr:spPr>
        <a:xfrm>
          <a:off x="11734927" y="209642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129</xdr:row>
      <xdr:rowOff>66531</xdr:rowOff>
    </xdr:from>
    <xdr:ext cx="407484" cy="180627"/>
    <xdr:sp macro="_xll.PtreeEvent_ObjectClick" textlink="">
      <xdr:nvSpPr>
        <xdr:cNvPr id="988" name="PTObj_DBranchName_1_64">
          <a:extLst>
            <a:ext uri="{FF2B5EF4-FFF2-40B4-BE49-F238E27FC236}">
              <a16:creationId xmlns:a16="http://schemas.microsoft.com/office/drawing/2014/main" id="{00000000-0008-0000-0400-0000DC030000}"/>
            </a:ext>
          </a:extLst>
        </xdr:cNvPr>
        <xdr:cNvSpPr txBox="1"/>
      </xdr:nvSpPr>
      <xdr:spPr>
        <a:xfrm>
          <a:off x="10505884" y="20954856"/>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127</xdr:row>
      <xdr:rowOff>75882</xdr:rowOff>
    </xdr:from>
    <xdr:to>
      <xdr:col>9</xdr:col>
      <xdr:colOff>162052</xdr:colOff>
      <xdr:row>128</xdr:row>
      <xdr:rowOff>75882</xdr:rowOff>
    </xdr:to>
    <xdr:sp macro="_xll.PtreeEvent_ObjectClick" textlink="">
      <xdr:nvSpPr>
        <xdr:cNvPr id="989" name="PTObj_DNode_1_65">
          <a:extLst>
            <a:ext uri="{FF2B5EF4-FFF2-40B4-BE49-F238E27FC236}">
              <a16:creationId xmlns:a16="http://schemas.microsoft.com/office/drawing/2014/main" id="{00000000-0008-0000-0400-0000DD030000}"/>
            </a:ext>
          </a:extLst>
        </xdr:cNvPr>
        <xdr:cNvSpPr/>
      </xdr:nvSpPr>
      <xdr:spPr>
        <a:xfrm rot="-5400000">
          <a:off x="13230352" y="206403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127</xdr:row>
      <xdr:rowOff>66531</xdr:rowOff>
    </xdr:from>
    <xdr:ext cx="245067" cy="180627"/>
    <xdr:sp macro="_xll.PtreeEvent_ObjectClick" textlink="">
      <xdr:nvSpPr>
        <xdr:cNvPr id="992" name="PTObj_DBranchName_1_65">
          <a:extLst>
            <a:ext uri="{FF2B5EF4-FFF2-40B4-BE49-F238E27FC236}">
              <a16:creationId xmlns:a16="http://schemas.microsoft.com/office/drawing/2014/main" id="{00000000-0008-0000-0400-0000E0030000}"/>
            </a:ext>
          </a:extLst>
        </xdr:cNvPr>
        <xdr:cNvSpPr txBox="1"/>
      </xdr:nvSpPr>
      <xdr:spPr>
        <a:xfrm>
          <a:off x="12001309" y="206310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131</xdr:row>
      <xdr:rowOff>75882</xdr:rowOff>
    </xdr:from>
    <xdr:to>
      <xdr:col>9</xdr:col>
      <xdr:colOff>162052</xdr:colOff>
      <xdr:row>132</xdr:row>
      <xdr:rowOff>75882</xdr:rowOff>
    </xdr:to>
    <xdr:sp macro="_xll.PtreeEvent_ObjectClick" textlink="">
      <xdr:nvSpPr>
        <xdr:cNvPr id="993" name="PTObj_DNode_1_66">
          <a:extLst>
            <a:ext uri="{FF2B5EF4-FFF2-40B4-BE49-F238E27FC236}">
              <a16:creationId xmlns:a16="http://schemas.microsoft.com/office/drawing/2014/main" id="{00000000-0008-0000-0400-0000E1030000}"/>
            </a:ext>
          </a:extLst>
        </xdr:cNvPr>
        <xdr:cNvSpPr/>
      </xdr:nvSpPr>
      <xdr:spPr>
        <a:xfrm rot="-5400000">
          <a:off x="13230352" y="212880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131</xdr:row>
      <xdr:rowOff>66531</xdr:rowOff>
    </xdr:from>
    <xdr:ext cx="226023" cy="180627"/>
    <xdr:sp macro="_xll.PtreeEvent_ObjectClick" textlink="">
      <xdr:nvSpPr>
        <xdr:cNvPr id="996" name="PTObj_DBranchName_1_66">
          <a:extLst>
            <a:ext uri="{FF2B5EF4-FFF2-40B4-BE49-F238E27FC236}">
              <a16:creationId xmlns:a16="http://schemas.microsoft.com/office/drawing/2014/main" id="{00000000-0008-0000-0400-0000E4030000}"/>
            </a:ext>
          </a:extLst>
        </xdr:cNvPr>
        <xdr:cNvSpPr txBox="1"/>
      </xdr:nvSpPr>
      <xdr:spPr>
        <a:xfrm>
          <a:off x="12001309" y="212787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135</xdr:row>
      <xdr:rowOff>75882</xdr:rowOff>
    </xdr:from>
    <xdr:to>
      <xdr:col>8</xdr:col>
      <xdr:colOff>162052</xdr:colOff>
      <xdr:row>136</xdr:row>
      <xdr:rowOff>75882</xdr:rowOff>
    </xdr:to>
    <xdr:sp macro="_xll.PtreeEvent_ObjectClick" textlink="">
      <xdr:nvSpPr>
        <xdr:cNvPr id="997" name="PTObj_DNode_1_137">
          <a:extLst>
            <a:ext uri="{FF2B5EF4-FFF2-40B4-BE49-F238E27FC236}">
              <a16:creationId xmlns:a16="http://schemas.microsoft.com/office/drawing/2014/main" id="{00000000-0008-0000-0400-0000E5030000}"/>
            </a:ext>
          </a:extLst>
        </xdr:cNvPr>
        <xdr:cNvSpPr/>
      </xdr:nvSpPr>
      <xdr:spPr>
        <a:xfrm>
          <a:off x="11734927" y="219357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135</xdr:row>
      <xdr:rowOff>66531</xdr:rowOff>
    </xdr:from>
    <xdr:ext cx="226023" cy="180627"/>
    <xdr:sp macro="_xll.PtreeEvent_ObjectClick" textlink="">
      <xdr:nvSpPr>
        <xdr:cNvPr id="1000" name="PTObj_DBranchName_1_137">
          <a:extLst>
            <a:ext uri="{FF2B5EF4-FFF2-40B4-BE49-F238E27FC236}">
              <a16:creationId xmlns:a16="http://schemas.microsoft.com/office/drawing/2014/main" id="{00000000-0008-0000-0400-0000E8030000}"/>
            </a:ext>
          </a:extLst>
        </xdr:cNvPr>
        <xdr:cNvSpPr txBox="1"/>
      </xdr:nvSpPr>
      <xdr:spPr>
        <a:xfrm>
          <a:off x="10505884" y="219264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133</xdr:row>
      <xdr:rowOff>75882</xdr:rowOff>
    </xdr:from>
    <xdr:to>
      <xdr:col>9</xdr:col>
      <xdr:colOff>162052</xdr:colOff>
      <xdr:row>134</xdr:row>
      <xdr:rowOff>75882</xdr:rowOff>
    </xdr:to>
    <xdr:sp macro="_xll.PtreeEvent_ObjectClick" textlink="">
      <xdr:nvSpPr>
        <xdr:cNvPr id="1001" name="PTObj_DNode_1_138">
          <a:extLst>
            <a:ext uri="{FF2B5EF4-FFF2-40B4-BE49-F238E27FC236}">
              <a16:creationId xmlns:a16="http://schemas.microsoft.com/office/drawing/2014/main" id="{00000000-0008-0000-0400-0000E9030000}"/>
            </a:ext>
          </a:extLst>
        </xdr:cNvPr>
        <xdr:cNvSpPr/>
      </xdr:nvSpPr>
      <xdr:spPr>
        <a:xfrm rot="-5400000">
          <a:off x="13230352" y="216119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133</xdr:row>
      <xdr:rowOff>66531</xdr:rowOff>
    </xdr:from>
    <xdr:ext cx="245067" cy="180627"/>
    <xdr:sp macro="_xll.PtreeEvent_ObjectClick" textlink="">
      <xdr:nvSpPr>
        <xdr:cNvPr id="1004" name="PTObj_DBranchName_1_138">
          <a:extLst>
            <a:ext uri="{FF2B5EF4-FFF2-40B4-BE49-F238E27FC236}">
              <a16:creationId xmlns:a16="http://schemas.microsoft.com/office/drawing/2014/main" id="{00000000-0008-0000-0400-0000EC030000}"/>
            </a:ext>
          </a:extLst>
        </xdr:cNvPr>
        <xdr:cNvSpPr txBox="1"/>
      </xdr:nvSpPr>
      <xdr:spPr>
        <a:xfrm>
          <a:off x="12001309" y="216025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137</xdr:row>
      <xdr:rowOff>75882</xdr:rowOff>
    </xdr:from>
    <xdr:to>
      <xdr:col>9</xdr:col>
      <xdr:colOff>162052</xdr:colOff>
      <xdr:row>138</xdr:row>
      <xdr:rowOff>75882</xdr:rowOff>
    </xdr:to>
    <xdr:sp macro="_xll.PtreeEvent_ObjectClick" textlink="">
      <xdr:nvSpPr>
        <xdr:cNvPr id="1005" name="PTObj_DNode_1_139">
          <a:extLst>
            <a:ext uri="{FF2B5EF4-FFF2-40B4-BE49-F238E27FC236}">
              <a16:creationId xmlns:a16="http://schemas.microsoft.com/office/drawing/2014/main" id="{00000000-0008-0000-0400-0000ED030000}"/>
            </a:ext>
          </a:extLst>
        </xdr:cNvPr>
        <xdr:cNvSpPr/>
      </xdr:nvSpPr>
      <xdr:spPr>
        <a:xfrm rot="-5400000">
          <a:off x="13230352" y="222596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137</xdr:row>
      <xdr:rowOff>66531</xdr:rowOff>
    </xdr:from>
    <xdr:ext cx="226023" cy="180627"/>
    <xdr:sp macro="_xll.PtreeEvent_ObjectClick" textlink="">
      <xdr:nvSpPr>
        <xdr:cNvPr id="1008" name="PTObj_DBranchName_1_139">
          <a:extLst>
            <a:ext uri="{FF2B5EF4-FFF2-40B4-BE49-F238E27FC236}">
              <a16:creationId xmlns:a16="http://schemas.microsoft.com/office/drawing/2014/main" id="{00000000-0008-0000-0400-0000F0030000}"/>
            </a:ext>
          </a:extLst>
        </xdr:cNvPr>
        <xdr:cNvSpPr txBox="1"/>
      </xdr:nvSpPr>
      <xdr:spPr>
        <a:xfrm>
          <a:off x="12001309" y="222502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3</xdr:col>
      <xdr:colOff>127</xdr:colOff>
      <xdr:row>285</xdr:row>
      <xdr:rowOff>75884</xdr:rowOff>
    </xdr:from>
    <xdr:to>
      <xdr:col>3</xdr:col>
      <xdr:colOff>162052</xdr:colOff>
      <xdr:row>286</xdr:row>
      <xdr:rowOff>75884</xdr:rowOff>
    </xdr:to>
    <xdr:sp macro="_xll.PtreeEvent_ObjectClick" textlink="">
      <xdr:nvSpPr>
        <xdr:cNvPr id="1009" name="PTObj_DNode_1_5">
          <a:extLst>
            <a:ext uri="{FF2B5EF4-FFF2-40B4-BE49-F238E27FC236}">
              <a16:creationId xmlns:a16="http://schemas.microsoft.com/office/drawing/2014/main" id="{00000000-0008-0000-0400-0000F1030000}"/>
            </a:ext>
          </a:extLst>
        </xdr:cNvPr>
        <xdr:cNvSpPr/>
      </xdr:nvSpPr>
      <xdr:spPr>
        <a:xfrm>
          <a:off x="4257802" y="4622450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266510</xdr:colOff>
      <xdr:row>285</xdr:row>
      <xdr:rowOff>66532</xdr:rowOff>
    </xdr:from>
    <xdr:ext cx="226023" cy="180627"/>
    <xdr:sp macro="_xll.PtreeEvent_ObjectClick" textlink="">
      <xdr:nvSpPr>
        <xdr:cNvPr id="1012" name="PTObj_DBranchName_1_5">
          <a:extLst>
            <a:ext uri="{FF2B5EF4-FFF2-40B4-BE49-F238E27FC236}">
              <a16:creationId xmlns:a16="http://schemas.microsoft.com/office/drawing/2014/main" id="{00000000-0008-0000-0400-0000F4030000}"/>
            </a:ext>
          </a:extLst>
        </xdr:cNvPr>
        <xdr:cNvSpPr txBox="1"/>
      </xdr:nvSpPr>
      <xdr:spPr>
        <a:xfrm>
          <a:off x="3028760" y="462151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4</xdr:col>
      <xdr:colOff>127</xdr:colOff>
      <xdr:row>217</xdr:row>
      <xdr:rowOff>75884</xdr:rowOff>
    </xdr:from>
    <xdr:to>
      <xdr:col>4</xdr:col>
      <xdr:colOff>162052</xdr:colOff>
      <xdr:row>218</xdr:row>
      <xdr:rowOff>75884</xdr:rowOff>
    </xdr:to>
    <xdr:sp macro="_xll.PtreeEvent_ObjectClick" textlink="">
      <xdr:nvSpPr>
        <xdr:cNvPr id="1013" name="PTObj_DNode_1_68">
          <a:extLst>
            <a:ext uri="{FF2B5EF4-FFF2-40B4-BE49-F238E27FC236}">
              <a16:creationId xmlns:a16="http://schemas.microsoft.com/office/drawing/2014/main" id="{00000000-0008-0000-0400-0000F5030000}"/>
            </a:ext>
          </a:extLst>
        </xdr:cNvPr>
        <xdr:cNvSpPr/>
      </xdr:nvSpPr>
      <xdr:spPr>
        <a:xfrm>
          <a:off x="5753227" y="352136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266510</xdr:colOff>
      <xdr:row>217</xdr:row>
      <xdr:rowOff>66532</xdr:rowOff>
    </xdr:from>
    <xdr:ext cx="196592" cy="180627"/>
    <xdr:sp macro="_xll.PtreeEvent_ObjectClick" textlink="">
      <xdr:nvSpPr>
        <xdr:cNvPr id="1016" name="PTObj_DBranchName_1_68">
          <a:extLst>
            <a:ext uri="{FF2B5EF4-FFF2-40B4-BE49-F238E27FC236}">
              <a16:creationId xmlns:a16="http://schemas.microsoft.com/office/drawing/2014/main" id="{00000000-0008-0000-0400-0000F8030000}"/>
            </a:ext>
          </a:extLst>
        </xdr:cNvPr>
        <xdr:cNvSpPr txBox="1"/>
      </xdr:nvSpPr>
      <xdr:spPr>
        <a:xfrm>
          <a:off x="4524185" y="352042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5</xdr:col>
      <xdr:colOff>127</xdr:colOff>
      <xdr:row>213</xdr:row>
      <xdr:rowOff>75884</xdr:rowOff>
    </xdr:from>
    <xdr:to>
      <xdr:col>5</xdr:col>
      <xdr:colOff>162052</xdr:colOff>
      <xdr:row>214</xdr:row>
      <xdr:rowOff>75884</xdr:rowOff>
    </xdr:to>
    <xdr:sp macro="_xll.PtreeEvent_ObjectClick" textlink="">
      <xdr:nvSpPr>
        <xdr:cNvPr id="1017" name="PTObj_DNode_1_70">
          <a:extLst>
            <a:ext uri="{FF2B5EF4-FFF2-40B4-BE49-F238E27FC236}">
              <a16:creationId xmlns:a16="http://schemas.microsoft.com/office/drawing/2014/main" id="{00000000-0008-0000-0400-0000F9030000}"/>
            </a:ext>
          </a:extLst>
        </xdr:cNvPr>
        <xdr:cNvSpPr/>
      </xdr:nvSpPr>
      <xdr:spPr>
        <a:xfrm>
          <a:off x="7248652" y="3456590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266510</xdr:colOff>
      <xdr:row>213</xdr:row>
      <xdr:rowOff>66532</xdr:rowOff>
    </xdr:from>
    <xdr:ext cx="329001" cy="180627"/>
    <xdr:sp macro="_xll.PtreeEvent_ObjectClick" textlink="">
      <xdr:nvSpPr>
        <xdr:cNvPr id="1020" name="PTObj_DBranchName_1_70">
          <a:extLst>
            <a:ext uri="{FF2B5EF4-FFF2-40B4-BE49-F238E27FC236}">
              <a16:creationId xmlns:a16="http://schemas.microsoft.com/office/drawing/2014/main" id="{00000000-0008-0000-0400-0000FC030000}"/>
            </a:ext>
          </a:extLst>
        </xdr:cNvPr>
        <xdr:cNvSpPr txBox="1"/>
      </xdr:nvSpPr>
      <xdr:spPr>
        <a:xfrm>
          <a:off x="6019610" y="34556557"/>
          <a:ext cx="32900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Passes</a:t>
          </a:r>
        </a:p>
      </xdr:txBody>
    </xdr:sp>
    <xdr:clientData/>
  </xdr:oneCellAnchor>
  <xdr:twoCellAnchor editAs="oneCell">
    <xdr:from>
      <xdr:col>6</xdr:col>
      <xdr:colOff>127</xdr:colOff>
      <xdr:row>171</xdr:row>
      <xdr:rowOff>75884</xdr:rowOff>
    </xdr:from>
    <xdr:to>
      <xdr:col>6</xdr:col>
      <xdr:colOff>162052</xdr:colOff>
      <xdr:row>172</xdr:row>
      <xdr:rowOff>75884</xdr:rowOff>
    </xdr:to>
    <xdr:sp macro="_xll.PtreeEvent_ObjectClick" textlink="">
      <xdr:nvSpPr>
        <xdr:cNvPr id="1021" name="PTObj_DNode_1_71">
          <a:extLst>
            <a:ext uri="{FF2B5EF4-FFF2-40B4-BE49-F238E27FC236}">
              <a16:creationId xmlns:a16="http://schemas.microsoft.com/office/drawing/2014/main" id="{00000000-0008-0000-0400-0000FD030000}"/>
            </a:ext>
          </a:extLst>
        </xdr:cNvPr>
        <xdr:cNvSpPr/>
      </xdr:nvSpPr>
      <xdr:spPr>
        <a:xfrm>
          <a:off x="8744077" y="277650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5</xdr:col>
      <xdr:colOff>266509</xdr:colOff>
      <xdr:row>171</xdr:row>
      <xdr:rowOff>66532</xdr:rowOff>
    </xdr:from>
    <xdr:ext cx="196592" cy="180627"/>
    <xdr:sp macro="_xll.PtreeEvent_ObjectClick" textlink="">
      <xdr:nvSpPr>
        <xdr:cNvPr id="1024" name="PTObj_DBranchName_1_71">
          <a:extLst>
            <a:ext uri="{FF2B5EF4-FFF2-40B4-BE49-F238E27FC236}">
              <a16:creationId xmlns:a16="http://schemas.microsoft.com/office/drawing/2014/main" id="{00000000-0008-0000-0400-000000040000}"/>
            </a:ext>
          </a:extLst>
        </xdr:cNvPr>
        <xdr:cNvSpPr txBox="1"/>
      </xdr:nvSpPr>
      <xdr:spPr>
        <a:xfrm>
          <a:off x="7515034" y="2775570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7</xdr:col>
      <xdr:colOff>127</xdr:colOff>
      <xdr:row>157</xdr:row>
      <xdr:rowOff>75882</xdr:rowOff>
    </xdr:from>
    <xdr:to>
      <xdr:col>7</xdr:col>
      <xdr:colOff>162052</xdr:colOff>
      <xdr:row>158</xdr:row>
      <xdr:rowOff>75882</xdr:rowOff>
    </xdr:to>
    <xdr:sp macro="_xll.PtreeEvent_ObjectClick" textlink="">
      <xdr:nvSpPr>
        <xdr:cNvPr id="1025" name="PTObj_DNode_1_72">
          <a:extLst>
            <a:ext uri="{FF2B5EF4-FFF2-40B4-BE49-F238E27FC236}">
              <a16:creationId xmlns:a16="http://schemas.microsoft.com/office/drawing/2014/main" id="{00000000-0008-0000-0400-000001040000}"/>
            </a:ext>
          </a:extLst>
        </xdr:cNvPr>
        <xdr:cNvSpPr/>
      </xdr:nvSpPr>
      <xdr:spPr>
        <a:xfrm>
          <a:off x="10239502" y="254981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157</xdr:row>
      <xdr:rowOff>66531</xdr:rowOff>
    </xdr:from>
    <xdr:ext cx="245067" cy="180627"/>
    <xdr:sp macro="_xll.PtreeEvent_ObjectClick" textlink="">
      <xdr:nvSpPr>
        <xdr:cNvPr id="1028" name="PTObj_DBranchName_1_72">
          <a:extLst>
            <a:ext uri="{FF2B5EF4-FFF2-40B4-BE49-F238E27FC236}">
              <a16:creationId xmlns:a16="http://schemas.microsoft.com/office/drawing/2014/main" id="{00000000-0008-0000-0400-000004040000}"/>
            </a:ext>
          </a:extLst>
        </xdr:cNvPr>
        <xdr:cNvSpPr txBox="1"/>
      </xdr:nvSpPr>
      <xdr:spPr>
        <a:xfrm>
          <a:off x="9010459" y="254887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8</xdr:col>
      <xdr:colOff>127</xdr:colOff>
      <xdr:row>153</xdr:row>
      <xdr:rowOff>75882</xdr:rowOff>
    </xdr:from>
    <xdr:to>
      <xdr:col>8</xdr:col>
      <xdr:colOff>162052</xdr:colOff>
      <xdr:row>154</xdr:row>
      <xdr:rowOff>75882</xdr:rowOff>
    </xdr:to>
    <xdr:sp macro="_xll.PtreeEvent_ObjectClick" textlink="">
      <xdr:nvSpPr>
        <xdr:cNvPr id="1029" name="PTObj_DNode_1_73">
          <a:extLst>
            <a:ext uri="{FF2B5EF4-FFF2-40B4-BE49-F238E27FC236}">
              <a16:creationId xmlns:a16="http://schemas.microsoft.com/office/drawing/2014/main" id="{00000000-0008-0000-0400-000005040000}"/>
            </a:ext>
          </a:extLst>
        </xdr:cNvPr>
        <xdr:cNvSpPr/>
      </xdr:nvSpPr>
      <xdr:spPr>
        <a:xfrm>
          <a:off x="11734927" y="248504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153</xdr:row>
      <xdr:rowOff>66531</xdr:rowOff>
    </xdr:from>
    <xdr:ext cx="245067" cy="180627"/>
    <xdr:sp macro="_xll.PtreeEvent_ObjectClick" textlink="">
      <xdr:nvSpPr>
        <xdr:cNvPr id="1032" name="PTObj_DBranchName_1_73">
          <a:extLst>
            <a:ext uri="{FF2B5EF4-FFF2-40B4-BE49-F238E27FC236}">
              <a16:creationId xmlns:a16="http://schemas.microsoft.com/office/drawing/2014/main" id="{00000000-0008-0000-0400-000008040000}"/>
            </a:ext>
          </a:extLst>
        </xdr:cNvPr>
        <xdr:cNvSpPr txBox="1"/>
      </xdr:nvSpPr>
      <xdr:spPr>
        <a:xfrm>
          <a:off x="10505884" y="248410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151</xdr:row>
      <xdr:rowOff>75882</xdr:rowOff>
    </xdr:from>
    <xdr:to>
      <xdr:col>9</xdr:col>
      <xdr:colOff>162052</xdr:colOff>
      <xdr:row>152</xdr:row>
      <xdr:rowOff>75882</xdr:rowOff>
    </xdr:to>
    <xdr:sp macro="_xll.PtreeEvent_ObjectClick" textlink="">
      <xdr:nvSpPr>
        <xdr:cNvPr id="1033" name="PTObj_DNode_1_74">
          <a:extLst>
            <a:ext uri="{FF2B5EF4-FFF2-40B4-BE49-F238E27FC236}">
              <a16:creationId xmlns:a16="http://schemas.microsoft.com/office/drawing/2014/main" id="{00000000-0008-0000-0400-000009040000}"/>
            </a:ext>
          </a:extLst>
        </xdr:cNvPr>
        <xdr:cNvSpPr/>
      </xdr:nvSpPr>
      <xdr:spPr>
        <a:xfrm rot="-5400000">
          <a:off x="13230352" y="245265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151</xdr:row>
      <xdr:rowOff>66531</xdr:rowOff>
    </xdr:from>
    <xdr:ext cx="245067" cy="180627"/>
    <xdr:sp macro="_xll.PtreeEvent_ObjectClick" textlink="">
      <xdr:nvSpPr>
        <xdr:cNvPr id="1036" name="PTObj_DBranchName_1_74">
          <a:extLst>
            <a:ext uri="{FF2B5EF4-FFF2-40B4-BE49-F238E27FC236}">
              <a16:creationId xmlns:a16="http://schemas.microsoft.com/office/drawing/2014/main" id="{00000000-0008-0000-0400-00000C040000}"/>
            </a:ext>
          </a:extLst>
        </xdr:cNvPr>
        <xdr:cNvSpPr txBox="1"/>
      </xdr:nvSpPr>
      <xdr:spPr>
        <a:xfrm>
          <a:off x="12001309" y="245172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155</xdr:row>
      <xdr:rowOff>75882</xdr:rowOff>
    </xdr:from>
    <xdr:to>
      <xdr:col>9</xdr:col>
      <xdr:colOff>162052</xdr:colOff>
      <xdr:row>156</xdr:row>
      <xdr:rowOff>75882</xdr:rowOff>
    </xdr:to>
    <xdr:sp macro="_xll.PtreeEvent_ObjectClick" textlink="">
      <xdr:nvSpPr>
        <xdr:cNvPr id="1037" name="PTObj_DNode_1_75">
          <a:extLst>
            <a:ext uri="{FF2B5EF4-FFF2-40B4-BE49-F238E27FC236}">
              <a16:creationId xmlns:a16="http://schemas.microsoft.com/office/drawing/2014/main" id="{00000000-0008-0000-0400-00000D040000}"/>
            </a:ext>
          </a:extLst>
        </xdr:cNvPr>
        <xdr:cNvSpPr/>
      </xdr:nvSpPr>
      <xdr:spPr>
        <a:xfrm rot="-5400000">
          <a:off x="13230352" y="251742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155</xdr:row>
      <xdr:rowOff>66531</xdr:rowOff>
    </xdr:from>
    <xdr:ext cx="226023" cy="180627"/>
    <xdr:sp macro="_xll.PtreeEvent_ObjectClick" textlink="">
      <xdr:nvSpPr>
        <xdr:cNvPr id="1040" name="PTObj_DBranchName_1_75">
          <a:extLst>
            <a:ext uri="{FF2B5EF4-FFF2-40B4-BE49-F238E27FC236}">
              <a16:creationId xmlns:a16="http://schemas.microsoft.com/office/drawing/2014/main" id="{00000000-0008-0000-0400-000010040000}"/>
            </a:ext>
          </a:extLst>
        </xdr:cNvPr>
        <xdr:cNvSpPr txBox="1"/>
      </xdr:nvSpPr>
      <xdr:spPr>
        <a:xfrm>
          <a:off x="12001309" y="251649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161</xdr:row>
      <xdr:rowOff>75884</xdr:rowOff>
    </xdr:from>
    <xdr:to>
      <xdr:col>8</xdr:col>
      <xdr:colOff>162052</xdr:colOff>
      <xdr:row>162</xdr:row>
      <xdr:rowOff>75884</xdr:rowOff>
    </xdr:to>
    <xdr:sp macro="_xll.PtreeEvent_ObjectClick" textlink="">
      <xdr:nvSpPr>
        <xdr:cNvPr id="1041" name="PTObj_DNode_1_76">
          <a:extLst>
            <a:ext uri="{FF2B5EF4-FFF2-40B4-BE49-F238E27FC236}">
              <a16:creationId xmlns:a16="http://schemas.microsoft.com/office/drawing/2014/main" id="{00000000-0008-0000-0400-000011040000}"/>
            </a:ext>
          </a:extLst>
        </xdr:cNvPr>
        <xdr:cNvSpPr/>
      </xdr:nvSpPr>
      <xdr:spPr>
        <a:xfrm>
          <a:off x="11734927" y="261458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161</xdr:row>
      <xdr:rowOff>66532</xdr:rowOff>
    </xdr:from>
    <xdr:ext cx="407484" cy="180627"/>
    <xdr:sp macro="_xll.PtreeEvent_ObjectClick" textlink="">
      <xdr:nvSpPr>
        <xdr:cNvPr id="1044" name="PTObj_DBranchName_1_76">
          <a:extLst>
            <a:ext uri="{FF2B5EF4-FFF2-40B4-BE49-F238E27FC236}">
              <a16:creationId xmlns:a16="http://schemas.microsoft.com/office/drawing/2014/main" id="{00000000-0008-0000-0400-000014040000}"/>
            </a:ext>
          </a:extLst>
        </xdr:cNvPr>
        <xdr:cNvSpPr txBox="1"/>
      </xdr:nvSpPr>
      <xdr:spPr>
        <a:xfrm>
          <a:off x="10505884" y="2613645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159</xdr:row>
      <xdr:rowOff>75882</xdr:rowOff>
    </xdr:from>
    <xdr:to>
      <xdr:col>9</xdr:col>
      <xdr:colOff>162052</xdr:colOff>
      <xdr:row>160</xdr:row>
      <xdr:rowOff>75882</xdr:rowOff>
    </xdr:to>
    <xdr:sp macro="_xll.PtreeEvent_ObjectClick" textlink="">
      <xdr:nvSpPr>
        <xdr:cNvPr id="1045" name="PTObj_DNode_1_77">
          <a:extLst>
            <a:ext uri="{FF2B5EF4-FFF2-40B4-BE49-F238E27FC236}">
              <a16:creationId xmlns:a16="http://schemas.microsoft.com/office/drawing/2014/main" id="{00000000-0008-0000-0400-000015040000}"/>
            </a:ext>
          </a:extLst>
        </xdr:cNvPr>
        <xdr:cNvSpPr/>
      </xdr:nvSpPr>
      <xdr:spPr>
        <a:xfrm rot="-5400000">
          <a:off x="13230352" y="258219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159</xdr:row>
      <xdr:rowOff>66531</xdr:rowOff>
    </xdr:from>
    <xdr:ext cx="245067" cy="180627"/>
    <xdr:sp macro="_xll.PtreeEvent_ObjectClick" textlink="">
      <xdr:nvSpPr>
        <xdr:cNvPr id="1048" name="PTObj_DBranchName_1_77">
          <a:extLst>
            <a:ext uri="{FF2B5EF4-FFF2-40B4-BE49-F238E27FC236}">
              <a16:creationId xmlns:a16="http://schemas.microsoft.com/office/drawing/2014/main" id="{00000000-0008-0000-0400-000018040000}"/>
            </a:ext>
          </a:extLst>
        </xdr:cNvPr>
        <xdr:cNvSpPr txBox="1"/>
      </xdr:nvSpPr>
      <xdr:spPr>
        <a:xfrm>
          <a:off x="12001309" y="258126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163</xdr:row>
      <xdr:rowOff>75884</xdr:rowOff>
    </xdr:from>
    <xdr:to>
      <xdr:col>9</xdr:col>
      <xdr:colOff>162052</xdr:colOff>
      <xdr:row>164</xdr:row>
      <xdr:rowOff>75884</xdr:rowOff>
    </xdr:to>
    <xdr:sp macro="_xll.PtreeEvent_ObjectClick" textlink="">
      <xdr:nvSpPr>
        <xdr:cNvPr id="1049" name="PTObj_DNode_1_78">
          <a:extLst>
            <a:ext uri="{FF2B5EF4-FFF2-40B4-BE49-F238E27FC236}">
              <a16:creationId xmlns:a16="http://schemas.microsoft.com/office/drawing/2014/main" id="{00000000-0008-0000-0400-000019040000}"/>
            </a:ext>
          </a:extLst>
        </xdr:cNvPr>
        <xdr:cNvSpPr/>
      </xdr:nvSpPr>
      <xdr:spPr>
        <a:xfrm rot="-5400000">
          <a:off x="13230352" y="264696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163</xdr:row>
      <xdr:rowOff>66532</xdr:rowOff>
    </xdr:from>
    <xdr:ext cx="226023" cy="180627"/>
    <xdr:sp macro="_xll.PtreeEvent_ObjectClick" textlink="">
      <xdr:nvSpPr>
        <xdr:cNvPr id="1052" name="PTObj_DBranchName_1_78">
          <a:extLst>
            <a:ext uri="{FF2B5EF4-FFF2-40B4-BE49-F238E27FC236}">
              <a16:creationId xmlns:a16="http://schemas.microsoft.com/office/drawing/2014/main" id="{00000000-0008-0000-0400-00001C040000}"/>
            </a:ext>
          </a:extLst>
        </xdr:cNvPr>
        <xdr:cNvSpPr txBox="1"/>
      </xdr:nvSpPr>
      <xdr:spPr>
        <a:xfrm>
          <a:off x="12001309" y="264603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167</xdr:row>
      <xdr:rowOff>75884</xdr:rowOff>
    </xdr:from>
    <xdr:to>
      <xdr:col>8</xdr:col>
      <xdr:colOff>162052</xdr:colOff>
      <xdr:row>168</xdr:row>
      <xdr:rowOff>75884</xdr:rowOff>
    </xdr:to>
    <xdr:sp macro="_xll.PtreeEvent_ObjectClick" textlink="">
      <xdr:nvSpPr>
        <xdr:cNvPr id="1053" name="PTObj_DNode_1_79">
          <a:extLst>
            <a:ext uri="{FF2B5EF4-FFF2-40B4-BE49-F238E27FC236}">
              <a16:creationId xmlns:a16="http://schemas.microsoft.com/office/drawing/2014/main" id="{00000000-0008-0000-0400-00001D040000}"/>
            </a:ext>
          </a:extLst>
        </xdr:cNvPr>
        <xdr:cNvSpPr/>
      </xdr:nvSpPr>
      <xdr:spPr>
        <a:xfrm>
          <a:off x="11734927" y="271173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167</xdr:row>
      <xdr:rowOff>66532</xdr:rowOff>
    </xdr:from>
    <xdr:ext cx="226023" cy="180627"/>
    <xdr:sp macro="_xll.PtreeEvent_ObjectClick" textlink="">
      <xdr:nvSpPr>
        <xdr:cNvPr id="1056" name="PTObj_DBranchName_1_79">
          <a:extLst>
            <a:ext uri="{FF2B5EF4-FFF2-40B4-BE49-F238E27FC236}">
              <a16:creationId xmlns:a16="http://schemas.microsoft.com/office/drawing/2014/main" id="{00000000-0008-0000-0400-000020040000}"/>
            </a:ext>
          </a:extLst>
        </xdr:cNvPr>
        <xdr:cNvSpPr txBox="1"/>
      </xdr:nvSpPr>
      <xdr:spPr>
        <a:xfrm>
          <a:off x="10505884" y="271080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165</xdr:row>
      <xdr:rowOff>75884</xdr:rowOff>
    </xdr:from>
    <xdr:to>
      <xdr:col>9</xdr:col>
      <xdr:colOff>162052</xdr:colOff>
      <xdr:row>166</xdr:row>
      <xdr:rowOff>75884</xdr:rowOff>
    </xdr:to>
    <xdr:sp macro="_xll.PtreeEvent_ObjectClick" textlink="">
      <xdr:nvSpPr>
        <xdr:cNvPr id="1057" name="PTObj_DNode_1_80">
          <a:extLst>
            <a:ext uri="{FF2B5EF4-FFF2-40B4-BE49-F238E27FC236}">
              <a16:creationId xmlns:a16="http://schemas.microsoft.com/office/drawing/2014/main" id="{00000000-0008-0000-0400-000021040000}"/>
            </a:ext>
          </a:extLst>
        </xdr:cNvPr>
        <xdr:cNvSpPr/>
      </xdr:nvSpPr>
      <xdr:spPr>
        <a:xfrm rot="-5400000">
          <a:off x="13230352" y="267935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165</xdr:row>
      <xdr:rowOff>66532</xdr:rowOff>
    </xdr:from>
    <xdr:ext cx="245067" cy="180627"/>
    <xdr:sp macro="_xll.PtreeEvent_ObjectClick" textlink="">
      <xdr:nvSpPr>
        <xdr:cNvPr id="1060" name="PTObj_DBranchName_1_80">
          <a:extLst>
            <a:ext uri="{FF2B5EF4-FFF2-40B4-BE49-F238E27FC236}">
              <a16:creationId xmlns:a16="http://schemas.microsoft.com/office/drawing/2014/main" id="{00000000-0008-0000-0400-000024040000}"/>
            </a:ext>
          </a:extLst>
        </xdr:cNvPr>
        <xdr:cNvSpPr txBox="1"/>
      </xdr:nvSpPr>
      <xdr:spPr>
        <a:xfrm>
          <a:off x="12001309" y="267841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169</xdr:row>
      <xdr:rowOff>75884</xdr:rowOff>
    </xdr:from>
    <xdr:to>
      <xdr:col>9</xdr:col>
      <xdr:colOff>162052</xdr:colOff>
      <xdr:row>170</xdr:row>
      <xdr:rowOff>75884</xdr:rowOff>
    </xdr:to>
    <xdr:sp macro="_xll.PtreeEvent_ObjectClick" textlink="">
      <xdr:nvSpPr>
        <xdr:cNvPr id="1061" name="PTObj_DNode_1_81">
          <a:extLst>
            <a:ext uri="{FF2B5EF4-FFF2-40B4-BE49-F238E27FC236}">
              <a16:creationId xmlns:a16="http://schemas.microsoft.com/office/drawing/2014/main" id="{00000000-0008-0000-0400-000025040000}"/>
            </a:ext>
          </a:extLst>
        </xdr:cNvPr>
        <xdr:cNvSpPr/>
      </xdr:nvSpPr>
      <xdr:spPr>
        <a:xfrm rot="-5400000">
          <a:off x="13230352" y="274412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169</xdr:row>
      <xdr:rowOff>66532</xdr:rowOff>
    </xdr:from>
    <xdr:ext cx="226023" cy="180627"/>
    <xdr:sp macro="_xll.PtreeEvent_ObjectClick" textlink="">
      <xdr:nvSpPr>
        <xdr:cNvPr id="1064" name="PTObj_DBranchName_1_81">
          <a:extLst>
            <a:ext uri="{FF2B5EF4-FFF2-40B4-BE49-F238E27FC236}">
              <a16:creationId xmlns:a16="http://schemas.microsoft.com/office/drawing/2014/main" id="{00000000-0008-0000-0400-000028040000}"/>
            </a:ext>
          </a:extLst>
        </xdr:cNvPr>
        <xdr:cNvSpPr txBox="1"/>
      </xdr:nvSpPr>
      <xdr:spPr>
        <a:xfrm>
          <a:off x="12001309" y="274318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7</xdr:col>
      <xdr:colOff>127</xdr:colOff>
      <xdr:row>179</xdr:row>
      <xdr:rowOff>75884</xdr:rowOff>
    </xdr:from>
    <xdr:to>
      <xdr:col>7</xdr:col>
      <xdr:colOff>162052</xdr:colOff>
      <xdr:row>180</xdr:row>
      <xdr:rowOff>75884</xdr:rowOff>
    </xdr:to>
    <xdr:sp macro="_xll.PtreeEvent_ObjectClick" textlink="">
      <xdr:nvSpPr>
        <xdr:cNvPr id="1065" name="PTObj_DNode_1_82">
          <a:extLst>
            <a:ext uri="{FF2B5EF4-FFF2-40B4-BE49-F238E27FC236}">
              <a16:creationId xmlns:a16="http://schemas.microsoft.com/office/drawing/2014/main" id="{00000000-0008-0000-0400-000029040000}"/>
            </a:ext>
          </a:extLst>
        </xdr:cNvPr>
        <xdr:cNvSpPr/>
      </xdr:nvSpPr>
      <xdr:spPr>
        <a:xfrm>
          <a:off x="10239502" y="290604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179</xdr:row>
      <xdr:rowOff>66532</xdr:rowOff>
    </xdr:from>
    <xdr:ext cx="407484" cy="180627"/>
    <xdr:sp macro="_xll.PtreeEvent_ObjectClick" textlink="">
      <xdr:nvSpPr>
        <xdr:cNvPr id="1068" name="PTObj_DBranchName_1_82">
          <a:extLst>
            <a:ext uri="{FF2B5EF4-FFF2-40B4-BE49-F238E27FC236}">
              <a16:creationId xmlns:a16="http://schemas.microsoft.com/office/drawing/2014/main" id="{00000000-0008-0000-0400-00002C040000}"/>
            </a:ext>
          </a:extLst>
        </xdr:cNvPr>
        <xdr:cNvSpPr txBox="1"/>
      </xdr:nvSpPr>
      <xdr:spPr>
        <a:xfrm>
          <a:off x="9010459" y="290511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8</xdr:col>
      <xdr:colOff>127</xdr:colOff>
      <xdr:row>175</xdr:row>
      <xdr:rowOff>75884</xdr:rowOff>
    </xdr:from>
    <xdr:to>
      <xdr:col>8</xdr:col>
      <xdr:colOff>162052</xdr:colOff>
      <xdr:row>176</xdr:row>
      <xdr:rowOff>75884</xdr:rowOff>
    </xdr:to>
    <xdr:sp macro="_xll.PtreeEvent_ObjectClick" textlink="">
      <xdr:nvSpPr>
        <xdr:cNvPr id="1069" name="PTObj_DNode_1_83">
          <a:extLst>
            <a:ext uri="{FF2B5EF4-FFF2-40B4-BE49-F238E27FC236}">
              <a16:creationId xmlns:a16="http://schemas.microsoft.com/office/drawing/2014/main" id="{00000000-0008-0000-0400-00002D040000}"/>
            </a:ext>
          </a:extLst>
        </xdr:cNvPr>
        <xdr:cNvSpPr/>
      </xdr:nvSpPr>
      <xdr:spPr>
        <a:xfrm>
          <a:off x="11734927" y="284127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175</xdr:row>
      <xdr:rowOff>66532</xdr:rowOff>
    </xdr:from>
    <xdr:ext cx="245067" cy="180627"/>
    <xdr:sp macro="_xll.PtreeEvent_ObjectClick" textlink="">
      <xdr:nvSpPr>
        <xdr:cNvPr id="1072" name="PTObj_DBranchName_1_83">
          <a:extLst>
            <a:ext uri="{FF2B5EF4-FFF2-40B4-BE49-F238E27FC236}">
              <a16:creationId xmlns:a16="http://schemas.microsoft.com/office/drawing/2014/main" id="{00000000-0008-0000-0400-000030040000}"/>
            </a:ext>
          </a:extLst>
        </xdr:cNvPr>
        <xdr:cNvSpPr txBox="1"/>
      </xdr:nvSpPr>
      <xdr:spPr>
        <a:xfrm>
          <a:off x="10505884" y="284034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173</xdr:row>
      <xdr:rowOff>75884</xdr:rowOff>
    </xdr:from>
    <xdr:to>
      <xdr:col>9</xdr:col>
      <xdr:colOff>162052</xdr:colOff>
      <xdr:row>174</xdr:row>
      <xdr:rowOff>75884</xdr:rowOff>
    </xdr:to>
    <xdr:sp macro="_xll.PtreeEvent_ObjectClick" textlink="">
      <xdr:nvSpPr>
        <xdr:cNvPr id="1073" name="PTObj_DNode_1_84">
          <a:extLst>
            <a:ext uri="{FF2B5EF4-FFF2-40B4-BE49-F238E27FC236}">
              <a16:creationId xmlns:a16="http://schemas.microsoft.com/office/drawing/2014/main" id="{00000000-0008-0000-0400-000031040000}"/>
            </a:ext>
          </a:extLst>
        </xdr:cNvPr>
        <xdr:cNvSpPr/>
      </xdr:nvSpPr>
      <xdr:spPr>
        <a:xfrm rot="-5400000">
          <a:off x="13230352" y="280889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173</xdr:row>
      <xdr:rowOff>66532</xdr:rowOff>
    </xdr:from>
    <xdr:ext cx="245067" cy="180627"/>
    <xdr:sp macro="_xll.PtreeEvent_ObjectClick" textlink="">
      <xdr:nvSpPr>
        <xdr:cNvPr id="1076" name="PTObj_DBranchName_1_84">
          <a:extLst>
            <a:ext uri="{FF2B5EF4-FFF2-40B4-BE49-F238E27FC236}">
              <a16:creationId xmlns:a16="http://schemas.microsoft.com/office/drawing/2014/main" id="{00000000-0008-0000-0400-000034040000}"/>
            </a:ext>
          </a:extLst>
        </xdr:cNvPr>
        <xdr:cNvSpPr txBox="1"/>
      </xdr:nvSpPr>
      <xdr:spPr>
        <a:xfrm>
          <a:off x="12001309" y="280795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177</xdr:row>
      <xdr:rowOff>75884</xdr:rowOff>
    </xdr:from>
    <xdr:to>
      <xdr:col>9</xdr:col>
      <xdr:colOff>162052</xdr:colOff>
      <xdr:row>178</xdr:row>
      <xdr:rowOff>75884</xdr:rowOff>
    </xdr:to>
    <xdr:sp macro="_xll.PtreeEvent_ObjectClick" textlink="">
      <xdr:nvSpPr>
        <xdr:cNvPr id="1077" name="PTObj_DNode_1_85">
          <a:extLst>
            <a:ext uri="{FF2B5EF4-FFF2-40B4-BE49-F238E27FC236}">
              <a16:creationId xmlns:a16="http://schemas.microsoft.com/office/drawing/2014/main" id="{00000000-0008-0000-0400-000035040000}"/>
            </a:ext>
          </a:extLst>
        </xdr:cNvPr>
        <xdr:cNvSpPr/>
      </xdr:nvSpPr>
      <xdr:spPr>
        <a:xfrm rot="-5400000">
          <a:off x="13230352" y="287366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177</xdr:row>
      <xdr:rowOff>66532</xdr:rowOff>
    </xdr:from>
    <xdr:ext cx="226023" cy="180627"/>
    <xdr:sp macro="_xll.PtreeEvent_ObjectClick" textlink="">
      <xdr:nvSpPr>
        <xdr:cNvPr id="1080" name="PTObj_DBranchName_1_85">
          <a:extLst>
            <a:ext uri="{FF2B5EF4-FFF2-40B4-BE49-F238E27FC236}">
              <a16:creationId xmlns:a16="http://schemas.microsoft.com/office/drawing/2014/main" id="{00000000-0008-0000-0400-000038040000}"/>
            </a:ext>
          </a:extLst>
        </xdr:cNvPr>
        <xdr:cNvSpPr txBox="1"/>
      </xdr:nvSpPr>
      <xdr:spPr>
        <a:xfrm>
          <a:off x="12001309" y="287272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183</xdr:row>
      <xdr:rowOff>75884</xdr:rowOff>
    </xdr:from>
    <xdr:to>
      <xdr:col>8</xdr:col>
      <xdr:colOff>162052</xdr:colOff>
      <xdr:row>184</xdr:row>
      <xdr:rowOff>75884</xdr:rowOff>
    </xdr:to>
    <xdr:sp macro="_xll.PtreeEvent_ObjectClick" textlink="">
      <xdr:nvSpPr>
        <xdr:cNvPr id="1081" name="PTObj_DNode_1_86">
          <a:extLst>
            <a:ext uri="{FF2B5EF4-FFF2-40B4-BE49-F238E27FC236}">
              <a16:creationId xmlns:a16="http://schemas.microsoft.com/office/drawing/2014/main" id="{00000000-0008-0000-0400-000039040000}"/>
            </a:ext>
          </a:extLst>
        </xdr:cNvPr>
        <xdr:cNvSpPr/>
      </xdr:nvSpPr>
      <xdr:spPr>
        <a:xfrm>
          <a:off x="11734927" y="297081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183</xdr:row>
      <xdr:rowOff>66532</xdr:rowOff>
    </xdr:from>
    <xdr:ext cx="407484" cy="180627"/>
    <xdr:sp macro="_xll.PtreeEvent_ObjectClick" textlink="">
      <xdr:nvSpPr>
        <xdr:cNvPr id="1084" name="PTObj_DBranchName_1_86">
          <a:extLst>
            <a:ext uri="{FF2B5EF4-FFF2-40B4-BE49-F238E27FC236}">
              <a16:creationId xmlns:a16="http://schemas.microsoft.com/office/drawing/2014/main" id="{00000000-0008-0000-0400-00003C040000}"/>
            </a:ext>
          </a:extLst>
        </xdr:cNvPr>
        <xdr:cNvSpPr txBox="1"/>
      </xdr:nvSpPr>
      <xdr:spPr>
        <a:xfrm>
          <a:off x="10505884" y="296988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181</xdr:row>
      <xdr:rowOff>75884</xdr:rowOff>
    </xdr:from>
    <xdr:to>
      <xdr:col>9</xdr:col>
      <xdr:colOff>162052</xdr:colOff>
      <xdr:row>182</xdr:row>
      <xdr:rowOff>75884</xdr:rowOff>
    </xdr:to>
    <xdr:sp macro="_xll.PtreeEvent_ObjectClick" textlink="">
      <xdr:nvSpPr>
        <xdr:cNvPr id="1085" name="PTObj_DNode_1_87">
          <a:extLst>
            <a:ext uri="{FF2B5EF4-FFF2-40B4-BE49-F238E27FC236}">
              <a16:creationId xmlns:a16="http://schemas.microsoft.com/office/drawing/2014/main" id="{00000000-0008-0000-0400-00003D040000}"/>
            </a:ext>
          </a:extLst>
        </xdr:cNvPr>
        <xdr:cNvSpPr/>
      </xdr:nvSpPr>
      <xdr:spPr>
        <a:xfrm rot="-5400000">
          <a:off x="13230352" y="293843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181</xdr:row>
      <xdr:rowOff>66532</xdr:rowOff>
    </xdr:from>
    <xdr:ext cx="245067" cy="180627"/>
    <xdr:sp macro="_xll.PtreeEvent_ObjectClick" textlink="">
      <xdr:nvSpPr>
        <xdr:cNvPr id="1088" name="PTObj_DBranchName_1_87">
          <a:extLst>
            <a:ext uri="{FF2B5EF4-FFF2-40B4-BE49-F238E27FC236}">
              <a16:creationId xmlns:a16="http://schemas.microsoft.com/office/drawing/2014/main" id="{00000000-0008-0000-0400-000040040000}"/>
            </a:ext>
          </a:extLst>
        </xdr:cNvPr>
        <xdr:cNvSpPr txBox="1"/>
      </xdr:nvSpPr>
      <xdr:spPr>
        <a:xfrm>
          <a:off x="12001309" y="293749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185</xdr:row>
      <xdr:rowOff>75884</xdr:rowOff>
    </xdr:from>
    <xdr:to>
      <xdr:col>9</xdr:col>
      <xdr:colOff>162052</xdr:colOff>
      <xdr:row>186</xdr:row>
      <xdr:rowOff>75884</xdr:rowOff>
    </xdr:to>
    <xdr:sp macro="_xll.PtreeEvent_ObjectClick" textlink="">
      <xdr:nvSpPr>
        <xdr:cNvPr id="1089" name="PTObj_DNode_1_88">
          <a:extLst>
            <a:ext uri="{FF2B5EF4-FFF2-40B4-BE49-F238E27FC236}">
              <a16:creationId xmlns:a16="http://schemas.microsoft.com/office/drawing/2014/main" id="{00000000-0008-0000-0400-000041040000}"/>
            </a:ext>
          </a:extLst>
        </xdr:cNvPr>
        <xdr:cNvSpPr/>
      </xdr:nvSpPr>
      <xdr:spPr>
        <a:xfrm rot="-5400000">
          <a:off x="13230352" y="300320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185</xdr:row>
      <xdr:rowOff>66532</xdr:rowOff>
    </xdr:from>
    <xdr:ext cx="226023" cy="180627"/>
    <xdr:sp macro="_xll.PtreeEvent_ObjectClick" textlink="">
      <xdr:nvSpPr>
        <xdr:cNvPr id="1092" name="PTObj_DBranchName_1_88">
          <a:extLst>
            <a:ext uri="{FF2B5EF4-FFF2-40B4-BE49-F238E27FC236}">
              <a16:creationId xmlns:a16="http://schemas.microsoft.com/office/drawing/2014/main" id="{00000000-0008-0000-0400-000044040000}"/>
            </a:ext>
          </a:extLst>
        </xdr:cNvPr>
        <xdr:cNvSpPr txBox="1"/>
      </xdr:nvSpPr>
      <xdr:spPr>
        <a:xfrm>
          <a:off x="12001309" y="300226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189</xdr:row>
      <xdr:rowOff>75884</xdr:rowOff>
    </xdr:from>
    <xdr:to>
      <xdr:col>8</xdr:col>
      <xdr:colOff>162052</xdr:colOff>
      <xdr:row>190</xdr:row>
      <xdr:rowOff>75884</xdr:rowOff>
    </xdr:to>
    <xdr:sp macro="_xll.PtreeEvent_ObjectClick" textlink="">
      <xdr:nvSpPr>
        <xdr:cNvPr id="1093" name="PTObj_DNode_1_89">
          <a:extLst>
            <a:ext uri="{FF2B5EF4-FFF2-40B4-BE49-F238E27FC236}">
              <a16:creationId xmlns:a16="http://schemas.microsoft.com/office/drawing/2014/main" id="{00000000-0008-0000-0400-000045040000}"/>
            </a:ext>
          </a:extLst>
        </xdr:cNvPr>
        <xdr:cNvSpPr/>
      </xdr:nvSpPr>
      <xdr:spPr>
        <a:xfrm>
          <a:off x="11734927" y="306797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189</xdr:row>
      <xdr:rowOff>66532</xdr:rowOff>
    </xdr:from>
    <xdr:ext cx="226023" cy="180627"/>
    <xdr:sp macro="_xll.PtreeEvent_ObjectClick" textlink="">
      <xdr:nvSpPr>
        <xdr:cNvPr id="1096" name="PTObj_DBranchName_1_89">
          <a:extLst>
            <a:ext uri="{FF2B5EF4-FFF2-40B4-BE49-F238E27FC236}">
              <a16:creationId xmlns:a16="http://schemas.microsoft.com/office/drawing/2014/main" id="{00000000-0008-0000-0400-000048040000}"/>
            </a:ext>
          </a:extLst>
        </xdr:cNvPr>
        <xdr:cNvSpPr txBox="1"/>
      </xdr:nvSpPr>
      <xdr:spPr>
        <a:xfrm>
          <a:off x="10505884" y="306703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187</xdr:row>
      <xdr:rowOff>75884</xdr:rowOff>
    </xdr:from>
    <xdr:to>
      <xdr:col>9</xdr:col>
      <xdr:colOff>162052</xdr:colOff>
      <xdr:row>188</xdr:row>
      <xdr:rowOff>75884</xdr:rowOff>
    </xdr:to>
    <xdr:sp macro="_xll.PtreeEvent_ObjectClick" textlink="">
      <xdr:nvSpPr>
        <xdr:cNvPr id="1097" name="PTObj_DNode_1_90">
          <a:extLst>
            <a:ext uri="{FF2B5EF4-FFF2-40B4-BE49-F238E27FC236}">
              <a16:creationId xmlns:a16="http://schemas.microsoft.com/office/drawing/2014/main" id="{00000000-0008-0000-0400-000049040000}"/>
            </a:ext>
          </a:extLst>
        </xdr:cNvPr>
        <xdr:cNvSpPr/>
      </xdr:nvSpPr>
      <xdr:spPr>
        <a:xfrm rot="-5400000">
          <a:off x="13230352" y="303558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187</xdr:row>
      <xdr:rowOff>66532</xdr:rowOff>
    </xdr:from>
    <xdr:ext cx="245067" cy="180627"/>
    <xdr:sp macro="_xll.PtreeEvent_ObjectClick" textlink="">
      <xdr:nvSpPr>
        <xdr:cNvPr id="1100" name="PTObj_DBranchName_1_90">
          <a:extLst>
            <a:ext uri="{FF2B5EF4-FFF2-40B4-BE49-F238E27FC236}">
              <a16:creationId xmlns:a16="http://schemas.microsoft.com/office/drawing/2014/main" id="{00000000-0008-0000-0400-00004C040000}"/>
            </a:ext>
          </a:extLst>
        </xdr:cNvPr>
        <xdr:cNvSpPr txBox="1"/>
      </xdr:nvSpPr>
      <xdr:spPr>
        <a:xfrm>
          <a:off x="12001309" y="303465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191</xdr:row>
      <xdr:rowOff>75884</xdr:rowOff>
    </xdr:from>
    <xdr:to>
      <xdr:col>9</xdr:col>
      <xdr:colOff>162052</xdr:colOff>
      <xdr:row>192</xdr:row>
      <xdr:rowOff>75884</xdr:rowOff>
    </xdr:to>
    <xdr:sp macro="_xll.PtreeEvent_ObjectClick" textlink="">
      <xdr:nvSpPr>
        <xdr:cNvPr id="1101" name="PTObj_DNode_1_91">
          <a:extLst>
            <a:ext uri="{FF2B5EF4-FFF2-40B4-BE49-F238E27FC236}">
              <a16:creationId xmlns:a16="http://schemas.microsoft.com/office/drawing/2014/main" id="{00000000-0008-0000-0400-00004D040000}"/>
            </a:ext>
          </a:extLst>
        </xdr:cNvPr>
        <xdr:cNvSpPr/>
      </xdr:nvSpPr>
      <xdr:spPr>
        <a:xfrm rot="-5400000">
          <a:off x="13230352" y="310035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191</xdr:row>
      <xdr:rowOff>66532</xdr:rowOff>
    </xdr:from>
    <xdr:ext cx="226023" cy="180627"/>
    <xdr:sp macro="_xll.PtreeEvent_ObjectClick" textlink="">
      <xdr:nvSpPr>
        <xdr:cNvPr id="1104" name="PTObj_DBranchName_1_91">
          <a:extLst>
            <a:ext uri="{FF2B5EF4-FFF2-40B4-BE49-F238E27FC236}">
              <a16:creationId xmlns:a16="http://schemas.microsoft.com/office/drawing/2014/main" id="{00000000-0008-0000-0400-000050040000}"/>
            </a:ext>
          </a:extLst>
        </xdr:cNvPr>
        <xdr:cNvSpPr txBox="1"/>
      </xdr:nvSpPr>
      <xdr:spPr>
        <a:xfrm>
          <a:off x="12001309" y="309942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7</xdr:col>
      <xdr:colOff>127</xdr:colOff>
      <xdr:row>199</xdr:row>
      <xdr:rowOff>75884</xdr:rowOff>
    </xdr:from>
    <xdr:to>
      <xdr:col>7</xdr:col>
      <xdr:colOff>162052</xdr:colOff>
      <xdr:row>200</xdr:row>
      <xdr:rowOff>75884</xdr:rowOff>
    </xdr:to>
    <xdr:sp macro="_xll.PtreeEvent_ObjectClick" textlink="">
      <xdr:nvSpPr>
        <xdr:cNvPr id="1105" name="PTObj_DNode_1_92">
          <a:extLst>
            <a:ext uri="{FF2B5EF4-FFF2-40B4-BE49-F238E27FC236}">
              <a16:creationId xmlns:a16="http://schemas.microsoft.com/office/drawing/2014/main" id="{00000000-0008-0000-0400-000051040000}"/>
            </a:ext>
          </a:extLst>
        </xdr:cNvPr>
        <xdr:cNvSpPr/>
      </xdr:nvSpPr>
      <xdr:spPr>
        <a:xfrm>
          <a:off x="10239502" y="322989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199</xdr:row>
      <xdr:rowOff>66532</xdr:rowOff>
    </xdr:from>
    <xdr:ext cx="226023" cy="180627"/>
    <xdr:sp macro="_xll.PtreeEvent_ObjectClick" textlink="">
      <xdr:nvSpPr>
        <xdr:cNvPr id="1108" name="PTObj_DBranchName_1_92">
          <a:extLst>
            <a:ext uri="{FF2B5EF4-FFF2-40B4-BE49-F238E27FC236}">
              <a16:creationId xmlns:a16="http://schemas.microsoft.com/office/drawing/2014/main" id="{00000000-0008-0000-0400-000054040000}"/>
            </a:ext>
          </a:extLst>
        </xdr:cNvPr>
        <xdr:cNvSpPr txBox="1"/>
      </xdr:nvSpPr>
      <xdr:spPr>
        <a:xfrm>
          <a:off x="9010459" y="322896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195</xdr:row>
      <xdr:rowOff>75884</xdr:rowOff>
    </xdr:from>
    <xdr:to>
      <xdr:col>8</xdr:col>
      <xdr:colOff>162052</xdr:colOff>
      <xdr:row>196</xdr:row>
      <xdr:rowOff>75884</xdr:rowOff>
    </xdr:to>
    <xdr:sp macro="_xll.PtreeEvent_ObjectClick" textlink="">
      <xdr:nvSpPr>
        <xdr:cNvPr id="1109" name="PTObj_DNode_1_93">
          <a:extLst>
            <a:ext uri="{FF2B5EF4-FFF2-40B4-BE49-F238E27FC236}">
              <a16:creationId xmlns:a16="http://schemas.microsoft.com/office/drawing/2014/main" id="{00000000-0008-0000-0400-000055040000}"/>
            </a:ext>
          </a:extLst>
        </xdr:cNvPr>
        <xdr:cNvSpPr/>
      </xdr:nvSpPr>
      <xdr:spPr>
        <a:xfrm>
          <a:off x="11734927" y="316512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195</xdr:row>
      <xdr:rowOff>66532</xdr:rowOff>
    </xdr:from>
    <xdr:ext cx="245067" cy="180627"/>
    <xdr:sp macro="_xll.PtreeEvent_ObjectClick" textlink="">
      <xdr:nvSpPr>
        <xdr:cNvPr id="1112" name="PTObj_DBranchName_1_93">
          <a:extLst>
            <a:ext uri="{FF2B5EF4-FFF2-40B4-BE49-F238E27FC236}">
              <a16:creationId xmlns:a16="http://schemas.microsoft.com/office/drawing/2014/main" id="{00000000-0008-0000-0400-000058040000}"/>
            </a:ext>
          </a:extLst>
        </xdr:cNvPr>
        <xdr:cNvSpPr txBox="1"/>
      </xdr:nvSpPr>
      <xdr:spPr>
        <a:xfrm>
          <a:off x="10505884" y="316419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193</xdr:row>
      <xdr:rowOff>75884</xdr:rowOff>
    </xdr:from>
    <xdr:to>
      <xdr:col>9</xdr:col>
      <xdr:colOff>162052</xdr:colOff>
      <xdr:row>194</xdr:row>
      <xdr:rowOff>75884</xdr:rowOff>
    </xdr:to>
    <xdr:sp macro="_xll.PtreeEvent_ObjectClick" textlink="">
      <xdr:nvSpPr>
        <xdr:cNvPr id="1113" name="PTObj_DNode_1_94">
          <a:extLst>
            <a:ext uri="{FF2B5EF4-FFF2-40B4-BE49-F238E27FC236}">
              <a16:creationId xmlns:a16="http://schemas.microsoft.com/office/drawing/2014/main" id="{00000000-0008-0000-0400-000059040000}"/>
            </a:ext>
          </a:extLst>
        </xdr:cNvPr>
        <xdr:cNvSpPr/>
      </xdr:nvSpPr>
      <xdr:spPr>
        <a:xfrm rot="-5400000">
          <a:off x="13230352" y="313274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193</xdr:row>
      <xdr:rowOff>66532</xdr:rowOff>
    </xdr:from>
    <xdr:ext cx="245067" cy="180627"/>
    <xdr:sp macro="_xll.PtreeEvent_ObjectClick" textlink="">
      <xdr:nvSpPr>
        <xdr:cNvPr id="1116" name="PTObj_DBranchName_1_94">
          <a:extLst>
            <a:ext uri="{FF2B5EF4-FFF2-40B4-BE49-F238E27FC236}">
              <a16:creationId xmlns:a16="http://schemas.microsoft.com/office/drawing/2014/main" id="{00000000-0008-0000-0400-00005C040000}"/>
            </a:ext>
          </a:extLst>
        </xdr:cNvPr>
        <xdr:cNvSpPr txBox="1"/>
      </xdr:nvSpPr>
      <xdr:spPr>
        <a:xfrm>
          <a:off x="12001309" y="313180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197</xdr:row>
      <xdr:rowOff>75884</xdr:rowOff>
    </xdr:from>
    <xdr:to>
      <xdr:col>9</xdr:col>
      <xdr:colOff>162052</xdr:colOff>
      <xdr:row>198</xdr:row>
      <xdr:rowOff>75884</xdr:rowOff>
    </xdr:to>
    <xdr:sp macro="_xll.PtreeEvent_ObjectClick" textlink="">
      <xdr:nvSpPr>
        <xdr:cNvPr id="1117" name="PTObj_DNode_1_95">
          <a:extLst>
            <a:ext uri="{FF2B5EF4-FFF2-40B4-BE49-F238E27FC236}">
              <a16:creationId xmlns:a16="http://schemas.microsoft.com/office/drawing/2014/main" id="{00000000-0008-0000-0400-00005D040000}"/>
            </a:ext>
          </a:extLst>
        </xdr:cNvPr>
        <xdr:cNvSpPr/>
      </xdr:nvSpPr>
      <xdr:spPr>
        <a:xfrm rot="-5400000">
          <a:off x="13230352" y="319751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197</xdr:row>
      <xdr:rowOff>66532</xdr:rowOff>
    </xdr:from>
    <xdr:ext cx="226023" cy="180627"/>
    <xdr:sp macro="_xll.PtreeEvent_ObjectClick" textlink="">
      <xdr:nvSpPr>
        <xdr:cNvPr id="1120" name="PTObj_DBranchName_1_95">
          <a:extLst>
            <a:ext uri="{FF2B5EF4-FFF2-40B4-BE49-F238E27FC236}">
              <a16:creationId xmlns:a16="http://schemas.microsoft.com/office/drawing/2014/main" id="{00000000-0008-0000-0400-000060040000}"/>
            </a:ext>
          </a:extLst>
        </xdr:cNvPr>
        <xdr:cNvSpPr txBox="1"/>
      </xdr:nvSpPr>
      <xdr:spPr>
        <a:xfrm>
          <a:off x="12001309" y="319657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203</xdr:row>
      <xdr:rowOff>75884</xdr:rowOff>
    </xdr:from>
    <xdr:to>
      <xdr:col>8</xdr:col>
      <xdr:colOff>162052</xdr:colOff>
      <xdr:row>204</xdr:row>
      <xdr:rowOff>75884</xdr:rowOff>
    </xdr:to>
    <xdr:sp macro="_xll.PtreeEvent_ObjectClick" textlink="">
      <xdr:nvSpPr>
        <xdr:cNvPr id="1121" name="PTObj_DNode_1_96">
          <a:extLst>
            <a:ext uri="{FF2B5EF4-FFF2-40B4-BE49-F238E27FC236}">
              <a16:creationId xmlns:a16="http://schemas.microsoft.com/office/drawing/2014/main" id="{00000000-0008-0000-0400-000061040000}"/>
            </a:ext>
          </a:extLst>
        </xdr:cNvPr>
        <xdr:cNvSpPr/>
      </xdr:nvSpPr>
      <xdr:spPr>
        <a:xfrm>
          <a:off x="11734927" y="329466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203</xdr:row>
      <xdr:rowOff>66532</xdr:rowOff>
    </xdr:from>
    <xdr:ext cx="407484" cy="180627"/>
    <xdr:sp macro="_xll.PtreeEvent_ObjectClick" textlink="">
      <xdr:nvSpPr>
        <xdr:cNvPr id="1124" name="PTObj_DBranchName_1_96">
          <a:extLst>
            <a:ext uri="{FF2B5EF4-FFF2-40B4-BE49-F238E27FC236}">
              <a16:creationId xmlns:a16="http://schemas.microsoft.com/office/drawing/2014/main" id="{00000000-0008-0000-0400-000064040000}"/>
            </a:ext>
          </a:extLst>
        </xdr:cNvPr>
        <xdr:cNvSpPr txBox="1"/>
      </xdr:nvSpPr>
      <xdr:spPr>
        <a:xfrm>
          <a:off x="10505884" y="329373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201</xdr:row>
      <xdr:rowOff>75884</xdr:rowOff>
    </xdr:from>
    <xdr:to>
      <xdr:col>9</xdr:col>
      <xdr:colOff>162052</xdr:colOff>
      <xdr:row>202</xdr:row>
      <xdr:rowOff>75884</xdr:rowOff>
    </xdr:to>
    <xdr:sp macro="_xll.PtreeEvent_ObjectClick" textlink="">
      <xdr:nvSpPr>
        <xdr:cNvPr id="1125" name="PTObj_DNode_1_97">
          <a:extLst>
            <a:ext uri="{FF2B5EF4-FFF2-40B4-BE49-F238E27FC236}">
              <a16:creationId xmlns:a16="http://schemas.microsoft.com/office/drawing/2014/main" id="{00000000-0008-0000-0400-000065040000}"/>
            </a:ext>
          </a:extLst>
        </xdr:cNvPr>
        <xdr:cNvSpPr/>
      </xdr:nvSpPr>
      <xdr:spPr>
        <a:xfrm rot="-5400000">
          <a:off x="13230352" y="326228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201</xdr:row>
      <xdr:rowOff>66532</xdr:rowOff>
    </xdr:from>
    <xdr:ext cx="245067" cy="180627"/>
    <xdr:sp macro="_xll.PtreeEvent_ObjectClick" textlink="">
      <xdr:nvSpPr>
        <xdr:cNvPr id="1128" name="PTObj_DBranchName_1_97">
          <a:extLst>
            <a:ext uri="{FF2B5EF4-FFF2-40B4-BE49-F238E27FC236}">
              <a16:creationId xmlns:a16="http://schemas.microsoft.com/office/drawing/2014/main" id="{00000000-0008-0000-0400-000068040000}"/>
            </a:ext>
          </a:extLst>
        </xdr:cNvPr>
        <xdr:cNvSpPr txBox="1"/>
      </xdr:nvSpPr>
      <xdr:spPr>
        <a:xfrm>
          <a:off x="12001309" y="326134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205</xdr:row>
      <xdr:rowOff>75884</xdr:rowOff>
    </xdr:from>
    <xdr:to>
      <xdr:col>9</xdr:col>
      <xdr:colOff>162052</xdr:colOff>
      <xdr:row>206</xdr:row>
      <xdr:rowOff>75884</xdr:rowOff>
    </xdr:to>
    <xdr:sp macro="_xll.PtreeEvent_ObjectClick" textlink="">
      <xdr:nvSpPr>
        <xdr:cNvPr id="1129" name="PTObj_DNode_1_98">
          <a:extLst>
            <a:ext uri="{FF2B5EF4-FFF2-40B4-BE49-F238E27FC236}">
              <a16:creationId xmlns:a16="http://schemas.microsoft.com/office/drawing/2014/main" id="{00000000-0008-0000-0400-000069040000}"/>
            </a:ext>
          </a:extLst>
        </xdr:cNvPr>
        <xdr:cNvSpPr/>
      </xdr:nvSpPr>
      <xdr:spPr>
        <a:xfrm rot="-5400000">
          <a:off x="13230352" y="332705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205</xdr:row>
      <xdr:rowOff>66532</xdr:rowOff>
    </xdr:from>
    <xdr:ext cx="226023" cy="180627"/>
    <xdr:sp macro="_xll.PtreeEvent_ObjectClick" textlink="">
      <xdr:nvSpPr>
        <xdr:cNvPr id="1132" name="PTObj_DBranchName_1_98">
          <a:extLst>
            <a:ext uri="{FF2B5EF4-FFF2-40B4-BE49-F238E27FC236}">
              <a16:creationId xmlns:a16="http://schemas.microsoft.com/office/drawing/2014/main" id="{00000000-0008-0000-0400-00006C040000}"/>
            </a:ext>
          </a:extLst>
        </xdr:cNvPr>
        <xdr:cNvSpPr txBox="1"/>
      </xdr:nvSpPr>
      <xdr:spPr>
        <a:xfrm>
          <a:off x="12001309" y="332611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209</xdr:row>
      <xdr:rowOff>75884</xdr:rowOff>
    </xdr:from>
    <xdr:to>
      <xdr:col>8</xdr:col>
      <xdr:colOff>162052</xdr:colOff>
      <xdr:row>210</xdr:row>
      <xdr:rowOff>75884</xdr:rowOff>
    </xdr:to>
    <xdr:sp macro="_xll.PtreeEvent_ObjectClick" textlink="">
      <xdr:nvSpPr>
        <xdr:cNvPr id="1133" name="PTObj_DNode_1_99">
          <a:extLst>
            <a:ext uri="{FF2B5EF4-FFF2-40B4-BE49-F238E27FC236}">
              <a16:creationId xmlns:a16="http://schemas.microsoft.com/office/drawing/2014/main" id="{00000000-0008-0000-0400-00006D040000}"/>
            </a:ext>
          </a:extLst>
        </xdr:cNvPr>
        <xdr:cNvSpPr/>
      </xdr:nvSpPr>
      <xdr:spPr>
        <a:xfrm>
          <a:off x="11734927" y="339182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209</xdr:row>
      <xdr:rowOff>66532</xdr:rowOff>
    </xdr:from>
    <xdr:ext cx="226023" cy="180627"/>
    <xdr:sp macro="_xll.PtreeEvent_ObjectClick" textlink="">
      <xdr:nvSpPr>
        <xdr:cNvPr id="1136" name="PTObj_DBranchName_1_99">
          <a:extLst>
            <a:ext uri="{FF2B5EF4-FFF2-40B4-BE49-F238E27FC236}">
              <a16:creationId xmlns:a16="http://schemas.microsoft.com/office/drawing/2014/main" id="{00000000-0008-0000-0400-000070040000}"/>
            </a:ext>
          </a:extLst>
        </xdr:cNvPr>
        <xdr:cNvSpPr txBox="1"/>
      </xdr:nvSpPr>
      <xdr:spPr>
        <a:xfrm>
          <a:off x="10505884" y="339088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207</xdr:row>
      <xdr:rowOff>75884</xdr:rowOff>
    </xdr:from>
    <xdr:to>
      <xdr:col>9</xdr:col>
      <xdr:colOff>162052</xdr:colOff>
      <xdr:row>208</xdr:row>
      <xdr:rowOff>75884</xdr:rowOff>
    </xdr:to>
    <xdr:sp macro="_xll.PtreeEvent_ObjectClick" textlink="">
      <xdr:nvSpPr>
        <xdr:cNvPr id="1137" name="PTObj_DNode_1_100">
          <a:extLst>
            <a:ext uri="{FF2B5EF4-FFF2-40B4-BE49-F238E27FC236}">
              <a16:creationId xmlns:a16="http://schemas.microsoft.com/office/drawing/2014/main" id="{00000000-0008-0000-0400-000071040000}"/>
            </a:ext>
          </a:extLst>
        </xdr:cNvPr>
        <xdr:cNvSpPr/>
      </xdr:nvSpPr>
      <xdr:spPr>
        <a:xfrm rot="-5400000">
          <a:off x="13230352" y="335943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207</xdr:row>
      <xdr:rowOff>66532</xdr:rowOff>
    </xdr:from>
    <xdr:ext cx="245067" cy="180627"/>
    <xdr:sp macro="_xll.PtreeEvent_ObjectClick" textlink="">
      <xdr:nvSpPr>
        <xdr:cNvPr id="1140" name="PTObj_DBranchName_1_100">
          <a:extLst>
            <a:ext uri="{FF2B5EF4-FFF2-40B4-BE49-F238E27FC236}">
              <a16:creationId xmlns:a16="http://schemas.microsoft.com/office/drawing/2014/main" id="{00000000-0008-0000-0400-000074040000}"/>
            </a:ext>
          </a:extLst>
        </xdr:cNvPr>
        <xdr:cNvSpPr txBox="1"/>
      </xdr:nvSpPr>
      <xdr:spPr>
        <a:xfrm>
          <a:off x="12001309" y="335850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211</xdr:row>
      <xdr:rowOff>75884</xdr:rowOff>
    </xdr:from>
    <xdr:to>
      <xdr:col>9</xdr:col>
      <xdr:colOff>162052</xdr:colOff>
      <xdr:row>212</xdr:row>
      <xdr:rowOff>75884</xdr:rowOff>
    </xdr:to>
    <xdr:sp macro="_xll.PtreeEvent_ObjectClick" textlink="">
      <xdr:nvSpPr>
        <xdr:cNvPr id="1141" name="PTObj_DNode_1_101">
          <a:extLst>
            <a:ext uri="{FF2B5EF4-FFF2-40B4-BE49-F238E27FC236}">
              <a16:creationId xmlns:a16="http://schemas.microsoft.com/office/drawing/2014/main" id="{00000000-0008-0000-0400-000075040000}"/>
            </a:ext>
          </a:extLst>
        </xdr:cNvPr>
        <xdr:cNvSpPr/>
      </xdr:nvSpPr>
      <xdr:spPr>
        <a:xfrm rot="-5400000">
          <a:off x="13230352" y="342420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211</xdr:row>
      <xdr:rowOff>66532</xdr:rowOff>
    </xdr:from>
    <xdr:ext cx="226023" cy="180627"/>
    <xdr:sp macro="_xll.PtreeEvent_ObjectClick" textlink="">
      <xdr:nvSpPr>
        <xdr:cNvPr id="1144" name="PTObj_DBranchName_1_101">
          <a:extLst>
            <a:ext uri="{FF2B5EF4-FFF2-40B4-BE49-F238E27FC236}">
              <a16:creationId xmlns:a16="http://schemas.microsoft.com/office/drawing/2014/main" id="{00000000-0008-0000-0400-000078040000}"/>
            </a:ext>
          </a:extLst>
        </xdr:cNvPr>
        <xdr:cNvSpPr txBox="1"/>
      </xdr:nvSpPr>
      <xdr:spPr>
        <a:xfrm>
          <a:off x="12001309" y="342327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6</xdr:col>
      <xdr:colOff>127</xdr:colOff>
      <xdr:row>215</xdr:row>
      <xdr:rowOff>75884</xdr:rowOff>
    </xdr:from>
    <xdr:to>
      <xdr:col>6</xdr:col>
      <xdr:colOff>162052</xdr:colOff>
      <xdr:row>216</xdr:row>
      <xdr:rowOff>75884</xdr:rowOff>
    </xdr:to>
    <xdr:sp macro="_xll.PtreeEvent_ObjectClick" textlink="">
      <xdr:nvSpPr>
        <xdr:cNvPr id="1145" name="PTObj_DNode_1_102">
          <a:extLst>
            <a:ext uri="{FF2B5EF4-FFF2-40B4-BE49-F238E27FC236}">
              <a16:creationId xmlns:a16="http://schemas.microsoft.com/office/drawing/2014/main" id="{00000000-0008-0000-0400-000079040000}"/>
            </a:ext>
          </a:extLst>
        </xdr:cNvPr>
        <xdr:cNvSpPr/>
      </xdr:nvSpPr>
      <xdr:spPr>
        <a:xfrm rot="-5400000">
          <a:off x="8744077" y="348897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5</xdr:col>
      <xdr:colOff>266509</xdr:colOff>
      <xdr:row>215</xdr:row>
      <xdr:rowOff>66532</xdr:rowOff>
    </xdr:from>
    <xdr:ext cx="175753" cy="180627"/>
    <xdr:sp macro="_xll.PtreeEvent_ObjectClick" textlink="">
      <xdr:nvSpPr>
        <xdr:cNvPr id="1148" name="PTObj_DBranchName_1_102">
          <a:extLst>
            <a:ext uri="{FF2B5EF4-FFF2-40B4-BE49-F238E27FC236}">
              <a16:creationId xmlns:a16="http://schemas.microsoft.com/office/drawing/2014/main" id="{00000000-0008-0000-0400-00007C040000}"/>
            </a:ext>
          </a:extLst>
        </xdr:cNvPr>
        <xdr:cNvSpPr txBox="1"/>
      </xdr:nvSpPr>
      <xdr:spPr>
        <a:xfrm>
          <a:off x="7515034" y="3488040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twoCellAnchor editAs="oneCell">
    <xdr:from>
      <xdr:col>5</xdr:col>
      <xdr:colOff>127</xdr:colOff>
      <xdr:row>281</xdr:row>
      <xdr:rowOff>75884</xdr:rowOff>
    </xdr:from>
    <xdr:to>
      <xdr:col>5</xdr:col>
      <xdr:colOff>162052</xdr:colOff>
      <xdr:row>282</xdr:row>
      <xdr:rowOff>75884</xdr:rowOff>
    </xdr:to>
    <xdr:sp macro="_xll.PtreeEvent_ObjectClick" textlink="">
      <xdr:nvSpPr>
        <xdr:cNvPr id="1149" name="PTObj_DNode_1_103">
          <a:extLst>
            <a:ext uri="{FF2B5EF4-FFF2-40B4-BE49-F238E27FC236}">
              <a16:creationId xmlns:a16="http://schemas.microsoft.com/office/drawing/2014/main" id="{00000000-0008-0000-0400-00007D040000}"/>
            </a:ext>
          </a:extLst>
        </xdr:cNvPr>
        <xdr:cNvSpPr/>
      </xdr:nvSpPr>
      <xdr:spPr>
        <a:xfrm>
          <a:off x="7248652" y="4557680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266510</xdr:colOff>
      <xdr:row>281</xdr:row>
      <xdr:rowOff>66532</xdr:rowOff>
    </xdr:from>
    <xdr:ext cx="238847" cy="180627"/>
    <xdr:sp macro="_xll.PtreeEvent_ObjectClick" textlink="">
      <xdr:nvSpPr>
        <xdr:cNvPr id="1152" name="PTObj_DBranchName_1_103">
          <a:extLst>
            <a:ext uri="{FF2B5EF4-FFF2-40B4-BE49-F238E27FC236}">
              <a16:creationId xmlns:a16="http://schemas.microsoft.com/office/drawing/2014/main" id="{00000000-0008-0000-0400-000080040000}"/>
            </a:ext>
          </a:extLst>
        </xdr:cNvPr>
        <xdr:cNvSpPr txBox="1"/>
      </xdr:nvSpPr>
      <xdr:spPr>
        <a:xfrm>
          <a:off x="6019610" y="45567457"/>
          <a:ext cx="23884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Fails</a:t>
          </a:r>
        </a:p>
      </xdr:txBody>
    </xdr:sp>
    <xdr:clientData/>
  </xdr:oneCellAnchor>
  <xdr:twoCellAnchor editAs="oneCell">
    <xdr:from>
      <xdr:col>6</xdr:col>
      <xdr:colOff>127</xdr:colOff>
      <xdr:row>239</xdr:row>
      <xdr:rowOff>75884</xdr:rowOff>
    </xdr:from>
    <xdr:to>
      <xdr:col>6</xdr:col>
      <xdr:colOff>162052</xdr:colOff>
      <xdr:row>240</xdr:row>
      <xdr:rowOff>75884</xdr:rowOff>
    </xdr:to>
    <xdr:sp macro="_xll.PtreeEvent_ObjectClick" textlink="">
      <xdr:nvSpPr>
        <xdr:cNvPr id="1153" name="PTObj_DNode_1_104">
          <a:extLst>
            <a:ext uri="{FF2B5EF4-FFF2-40B4-BE49-F238E27FC236}">
              <a16:creationId xmlns:a16="http://schemas.microsoft.com/office/drawing/2014/main" id="{00000000-0008-0000-0400-000081040000}"/>
            </a:ext>
          </a:extLst>
        </xdr:cNvPr>
        <xdr:cNvSpPr/>
      </xdr:nvSpPr>
      <xdr:spPr>
        <a:xfrm>
          <a:off x="8744077" y="387759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5</xdr:col>
      <xdr:colOff>266509</xdr:colOff>
      <xdr:row>239</xdr:row>
      <xdr:rowOff>66532</xdr:rowOff>
    </xdr:from>
    <xdr:ext cx="196592" cy="180627"/>
    <xdr:sp macro="_xll.PtreeEvent_ObjectClick" textlink="">
      <xdr:nvSpPr>
        <xdr:cNvPr id="1156" name="PTObj_DBranchName_1_104">
          <a:extLst>
            <a:ext uri="{FF2B5EF4-FFF2-40B4-BE49-F238E27FC236}">
              <a16:creationId xmlns:a16="http://schemas.microsoft.com/office/drawing/2014/main" id="{00000000-0008-0000-0400-000084040000}"/>
            </a:ext>
          </a:extLst>
        </xdr:cNvPr>
        <xdr:cNvSpPr txBox="1"/>
      </xdr:nvSpPr>
      <xdr:spPr>
        <a:xfrm>
          <a:off x="7515034" y="3876660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Yes</a:t>
          </a:r>
        </a:p>
      </xdr:txBody>
    </xdr:sp>
    <xdr:clientData/>
  </xdr:oneCellAnchor>
  <xdr:twoCellAnchor editAs="oneCell">
    <xdr:from>
      <xdr:col>7</xdr:col>
      <xdr:colOff>127</xdr:colOff>
      <xdr:row>225</xdr:row>
      <xdr:rowOff>75884</xdr:rowOff>
    </xdr:from>
    <xdr:to>
      <xdr:col>7</xdr:col>
      <xdr:colOff>162052</xdr:colOff>
      <xdr:row>226</xdr:row>
      <xdr:rowOff>75884</xdr:rowOff>
    </xdr:to>
    <xdr:sp macro="_xll.PtreeEvent_ObjectClick" textlink="">
      <xdr:nvSpPr>
        <xdr:cNvPr id="1157" name="PTObj_DNode_1_105">
          <a:extLst>
            <a:ext uri="{FF2B5EF4-FFF2-40B4-BE49-F238E27FC236}">
              <a16:creationId xmlns:a16="http://schemas.microsoft.com/office/drawing/2014/main" id="{00000000-0008-0000-0400-000085040000}"/>
            </a:ext>
          </a:extLst>
        </xdr:cNvPr>
        <xdr:cNvSpPr/>
      </xdr:nvSpPr>
      <xdr:spPr>
        <a:xfrm>
          <a:off x="10239502" y="365090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225</xdr:row>
      <xdr:rowOff>66532</xdr:rowOff>
    </xdr:from>
    <xdr:ext cx="245067" cy="180627"/>
    <xdr:sp macro="_xll.PtreeEvent_ObjectClick" textlink="">
      <xdr:nvSpPr>
        <xdr:cNvPr id="1160" name="PTObj_DBranchName_1_105">
          <a:extLst>
            <a:ext uri="{FF2B5EF4-FFF2-40B4-BE49-F238E27FC236}">
              <a16:creationId xmlns:a16="http://schemas.microsoft.com/office/drawing/2014/main" id="{00000000-0008-0000-0400-000088040000}"/>
            </a:ext>
          </a:extLst>
        </xdr:cNvPr>
        <xdr:cNvSpPr txBox="1"/>
      </xdr:nvSpPr>
      <xdr:spPr>
        <a:xfrm>
          <a:off x="9010459" y="364996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8</xdr:col>
      <xdr:colOff>127</xdr:colOff>
      <xdr:row>221</xdr:row>
      <xdr:rowOff>75884</xdr:rowOff>
    </xdr:from>
    <xdr:to>
      <xdr:col>8</xdr:col>
      <xdr:colOff>162052</xdr:colOff>
      <xdr:row>222</xdr:row>
      <xdr:rowOff>75884</xdr:rowOff>
    </xdr:to>
    <xdr:sp macro="_xll.PtreeEvent_ObjectClick" textlink="">
      <xdr:nvSpPr>
        <xdr:cNvPr id="1161" name="PTObj_DNode_1_106">
          <a:extLst>
            <a:ext uri="{FF2B5EF4-FFF2-40B4-BE49-F238E27FC236}">
              <a16:creationId xmlns:a16="http://schemas.microsoft.com/office/drawing/2014/main" id="{00000000-0008-0000-0400-000089040000}"/>
            </a:ext>
          </a:extLst>
        </xdr:cNvPr>
        <xdr:cNvSpPr/>
      </xdr:nvSpPr>
      <xdr:spPr>
        <a:xfrm>
          <a:off x="11734927" y="358613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221</xdr:row>
      <xdr:rowOff>66532</xdr:rowOff>
    </xdr:from>
    <xdr:ext cx="245067" cy="180627"/>
    <xdr:sp macro="_xll.PtreeEvent_ObjectClick" textlink="">
      <xdr:nvSpPr>
        <xdr:cNvPr id="1164" name="PTObj_DBranchName_1_106">
          <a:extLst>
            <a:ext uri="{FF2B5EF4-FFF2-40B4-BE49-F238E27FC236}">
              <a16:creationId xmlns:a16="http://schemas.microsoft.com/office/drawing/2014/main" id="{00000000-0008-0000-0400-00008C040000}"/>
            </a:ext>
          </a:extLst>
        </xdr:cNvPr>
        <xdr:cNvSpPr txBox="1"/>
      </xdr:nvSpPr>
      <xdr:spPr>
        <a:xfrm>
          <a:off x="10505884" y="358519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219</xdr:row>
      <xdr:rowOff>75884</xdr:rowOff>
    </xdr:from>
    <xdr:to>
      <xdr:col>9</xdr:col>
      <xdr:colOff>162052</xdr:colOff>
      <xdr:row>220</xdr:row>
      <xdr:rowOff>75884</xdr:rowOff>
    </xdr:to>
    <xdr:sp macro="_xll.PtreeEvent_ObjectClick" textlink="">
      <xdr:nvSpPr>
        <xdr:cNvPr id="1165" name="PTObj_DNode_1_107">
          <a:extLst>
            <a:ext uri="{FF2B5EF4-FFF2-40B4-BE49-F238E27FC236}">
              <a16:creationId xmlns:a16="http://schemas.microsoft.com/office/drawing/2014/main" id="{00000000-0008-0000-0400-00008D040000}"/>
            </a:ext>
          </a:extLst>
        </xdr:cNvPr>
        <xdr:cNvSpPr/>
      </xdr:nvSpPr>
      <xdr:spPr>
        <a:xfrm rot="-5400000">
          <a:off x="13230352" y="355374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219</xdr:row>
      <xdr:rowOff>66532</xdr:rowOff>
    </xdr:from>
    <xdr:ext cx="245067" cy="180627"/>
    <xdr:sp macro="_xll.PtreeEvent_ObjectClick" textlink="">
      <xdr:nvSpPr>
        <xdr:cNvPr id="1168" name="PTObj_DBranchName_1_107">
          <a:extLst>
            <a:ext uri="{FF2B5EF4-FFF2-40B4-BE49-F238E27FC236}">
              <a16:creationId xmlns:a16="http://schemas.microsoft.com/office/drawing/2014/main" id="{00000000-0008-0000-0400-000090040000}"/>
            </a:ext>
          </a:extLst>
        </xdr:cNvPr>
        <xdr:cNvSpPr txBox="1"/>
      </xdr:nvSpPr>
      <xdr:spPr>
        <a:xfrm>
          <a:off x="12001309" y="355281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223</xdr:row>
      <xdr:rowOff>75884</xdr:rowOff>
    </xdr:from>
    <xdr:to>
      <xdr:col>9</xdr:col>
      <xdr:colOff>162052</xdr:colOff>
      <xdr:row>224</xdr:row>
      <xdr:rowOff>75884</xdr:rowOff>
    </xdr:to>
    <xdr:sp macro="_xll.PtreeEvent_ObjectClick" textlink="">
      <xdr:nvSpPr>
        <xdr:cNvPr id="1169" name="PTObj_DNode_1_108">
          <a:extLst>
            <a:ext uri="{FF2B5EF4-FFF2-40B4-BE49-F238E27FC236}">
              <a16:creationId xmlns:a16="http://schemas.microsoft.com/office/drawing/2014/main" id="{00000000-0008-0000-0400-000091040000}"/>
            </a:ext>
          </a:extLst>
        </xdr:cNvPr>
        <xdr:cNvSpPr/>
      </xdr:nvSpPr>
      <xdr:spPr>
        <a:xfrm rot="-5400000">
          <a:off x="13230352" y="361851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223</xdr:row>
      <xdr:rowOff>66532</xdr:rowOff>
    </xdr:from>
    <xdr:ext cx="226023" cy="180627"/>
    <xdr:sp macro="_xll.PtreeEvent_ObjectClick" textlink="">
      <xdr:nvSpPr>
        <xdr:cNvPr id="1172" name="PTObj_DBranchName_1_108">
          <a:extLst>
            <a:ext uri="{FF2B5EF4-FFF2-40B4-BE49-F238E27FC236}">
              <a16:creationId xmlns:a16="http://schemas.microsoft.com/office/drawing/2014/main" id="{00000000-0008-0000-0400-000094040000}"/>
            </a:ext>
          </a:extLst>
        </xdr:cNvPr>
        <xdr:cNvSpPr txBox="1"/>
      </xdr:nvSpPr>
      <xdr:spPr>
        <a:xfrm>
          <a:off x="12001309" y="361758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229</xdr:row>
      <xdr:rowOff>75884</xdr:rowOff>
    </xdr:from>
    <xdr:to>
      <xdr:col>8</xdr:col>
      <xdr:colOff>162052</xdr:colOff>
      <xdr:row>230</xdr:row>
      <xdr:rowOff>75884</xdr:rowOff>
    </xdr:to>
    <xdr:sp macro="_xll.PtreeEvent_ObjectClick" textlink="">
      <xdr:nvSpPr>
        <xdr:cNvPr id="1173" name="PTObj_DNode_1_109">
          <a:extLst>
            <a:ext uri="{FF2B5EF4-FFF2-40B4-BE49-F238E27FC236}">
              <a16:creationId xmlns:a16="http://schemas.microsoft.com/office/drawing/2014/main" id="{00000000-0008-0000-0400-000095040000}"/>
            </a:ext>
          </a:extLst>
        </xdr:cNvPr>
        <xdr:cNvSpPr/>
      </xdr:nvSpPr>
      <xdr:spPr>
        <a:xfrm>
          <a:off x="11734927" y="371567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229</xdr:row>
      <xdr:rowOff>66532</xdr:rowOff>
    </xdr:from>
    <xdr:ext cx="407484" cy="180627"/>
    <xdr:sp macro="_xll.PtreeEvent_ObjectClick" textlink="">
      <xdr:nvSpPr>
        <xdr:cNvPr id="1176" name="PTObj_DBranchName_1_109">
          <a:extLst>
            <a:ext uri="{FF2B5EF4-FFF2-40B4-BE49-F238E27FC236}">
              <a16:creationId xmlns:a16="http://schemas.microsoft.com/office/drawing/2014/main" id="{00000000-0008-0000-0400-000098040000}"/>
            </a:ext>
          </a:extLst>
        </xdr:cNvPr>
        <xdr:cNvSpPr txBox="1"/>
      </xdr:nvSpPr>
      <xdr:spPr>
        <a:xfrm>
          <a:off x="10505884" y="3714735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227</xdr:row>
      <xdr:rowOff>75884</xdr:rowOff>
    </xdr:from>
    <xdr:to>
      <xdr:col>9</xdr:col>
      <xdr:colOff>162052</xdr:colOff>
      <xdr:row>228</xdr:row>
      <xdr:rowOff>75884</xdr:rowOff>
    </xdr:to>
    <xdr:sp macro="_xll.PtreeEvent_ObjectClick" textlink="">
      <xdr:nvSpPr>
        <xdr:cNvPr id="1177" name="PTObj_DNode_1_110">
          <a:extLst>
            <a:ext uri="{FF2B5EF4-FFF2-40B4-BE49-F238E27FC236}">
              <a16:creationId xmlns:a16="http://schemas.microsoft.com/office/drawing/2014/main" id="{00000000-0008-0000-0400-000099040000}"/>
            </a:ext>
          </a:extLst>
        </xdr:cNvPr>
        <xdr:cNvSpPr/>
      </xdr:nvSpPr>
      <xdr:spPr>
        <a:xfrm rot="-5400000">
          <a:off x="13230352" y="368328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227</xdr:row>
      <xdr:rowOff>66532</xdr:rowOff>
    </xdr:from>
    <xdr:ext cx="245067" cy="180627"/>
    <xdr:sp macro="_xll.PtreeEvent_ObjectClick" textlink="">
      <xdr:nvSpPr>
        <xdr:cNvPr id="1180" name="PTObj_DBranchName_1_110">
          <a:extLst>
            <a:ext uri="{FF2B5EF4-FFF2-40B4-BE49-F238E27FC236}">
              <a16:creationId xmlns:a16="http://schemas.microsoft.com/office/drawing/2014/main" id="{00000000-0008-0000-0400-00009C040000}"/>
            </a:ext>
          </a:extLst>
        </xdr:cNvPr>
        <xdr:cNvSpPr txBox="1"/>
      </xdr:nvSpPr>
      <xdr:spPr>
        <a:xfrm>
          <a:off x="12001309" y="368235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231</xdr:row>
      <xdr:rowOff>75884</xdr:rowOff>
    </xdr:from>
    <xdr:to>
      <xdr:col>9</xdr:col>
      <xdr:colOff>162052</xdr:colOff>
      <xdr:row>232</xdr:row>
      <xdr:rowOff>75884</xdr:rowOff>
    </xdr:to>
    <xdr:sp macro="_xll.PtreeEvent_ObjectClick" textlink="">
      <xdr:nvSpPr>
        <xdr:cNvPr id="1181" name="PTObj_DNode_1_111">
          <a:extLst>
            <a:ext uri="{FF2B5EF4-FFF2-40B4-BE49-F238E27FC236}">
              <a16:creationId xmlns:a16="http://schemas.microsoft.com/office/drawing/2014/main" id="{00000000-0008-0000-0400-00009D040000}"/>
            </a:ext>
          </a:extLst>
        </xdr:cNvPr>
        <xdr:cNvSpPr/>
      </xdr:nvSpPr>
      <xdr:spPr>
        <a:xfrm rot="-5400000">
          <a:off x="13230352" y="374805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231</xdr:row>
      <xdr:rowOff>66532</xdr:rowOff>
    </xdr:from>
    <xdr:ext cx="226023" cy="180627"/>
    <xdr:sp macro="_xll.PtreeEvent_ObjectClick" textlink="">
      <xdr:nvSpPr>
        <xdr:cNvPr id="1184" name="PTObj_DBranchName_1_111">
          <a:extLst>
            <a:ext uri="{FF2B5EF4-FFF2-40B4-BE49-F238E27FC236}">
              <a16:creationId xmlns:a16="http://schemas.microsoft.com/office/drawing/2014/main" id="{00000000-0008-0000-0400-0000A0040000}"/>
            </a:ext>
          </a:extLst>
        </xdr:cNvPr>
        <xdr:cNvSpPr txBox="1"/>
      </xdr:nvSpPr>
      <xdr:spPr>
        <a:xfrm>
          <a:off x="12001309" y="374712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235</xdr:row>
      <xdr:rowOff>75884</xdr:rowOff>
    </xdr:from>
    <xdr:to>
      <xdr:col>8</xdr:col>
      <xdr:colOff>162052</xdr:colOff>
      <xdr:row>236</xdr:row>
      <xdr:rowOff>75884</xdr:rowOff>
    </xdr:to>
    <xdr:sp macro="_xll.PtreeEvent_ObjectClick" textlink="">
      <xdr:nvSpPr>
        <xdr:cNvPr id="1185" name="PTObj_DNode_1_112">
          <a:extLst>
            <a:ext uri="{FF2B5EF4-FFF2-40B4-BE49-F238E27FC236}">
              <a16:creationId xmlns:a16="http://schemas.microsoft.com/office/drawing/2014/main" id="{00000000-0008-0000-0400-0000A1040000}"/>
            </a:ext>
          </a:extLst>
        </xdr:cNvPr>
        <xdr:cNvSpPr/>
      </xdr:nvSpPr>
      <xdr:spPr>
        <a:xfrm>
          <a:off x="11734927" y="381282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235</xdr:row>
      <xdr:rowOff>66532</xdr:rowOff>
    </xdr:from>
    <xdr:ext cx="226023" cy="180627"/>
    <xdr:sp macro="_xll.PtreeEvent_ObjectClick" textlink="">
      <xdr:nvSpPr>
        <xdr:cNvPr id="1188" name="PTObj_DBranchName_1_112">
          <a:extLst>
            <a:ext uri="{FF2B5EF4-FFF2-40B4-BE49-F238E27FC236}">
              <a16:creationId xmlns:a16="http://schemas.microsoft.com/office/drawing/2014/main" id="{00000000-0008-0000-0400-0000A4040000}"/>
            </a:ext>
          </a:extLst>
        </xdr:cNvPr>
        <xdr:cNvSpPr txBox="1"/>
      </xdr:nvSpPr>
      <xdr:spPr>
        <a:xfrm>
          <a:off x="10505884" y="381189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233</xdr:row>
      <xdr:rowOff>75884</xdr:rowOff>
    </xdr:from>
    <xdr:to>
      <xdr:col>9</xdr:col>
      <xdr:colOff>162052</xdr:colOff>
      <xdr:row>234</xdr:row>
      <xdr:rowOff>75884</xdr:rowOff>
    </xdr:to>
    <xdr:sp macro="_xll.PtreeEvent_ObjectClick" textlink="">
      <xdr:nvSpPr>
        <xdr:cNvPr id="1189" name="PTObj_DNode_1_113">
          <a:extLst>
            <a:ext uri="{FF2B5EF4-FFF2-40B4-BE49-F238E27FC236}">
              <a16:creationId xmlns:a16="http://schemas.microsoft.com/office/drawing/2014/main" id="{00000000-0008-0000-0400-0000A5040000}"/>
            </a:ext>
          </a:extLst>
        </xdr:cNvPr>
        <xdr:cNvSpPr/>
      </xdr:nvSpPr>
      <xdr:spPr>
        <a:xfrm rot="-5400000">
          <a:off x="13230352" y="378044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233</xdr:row>
      <xdr:rowOff>66532</xdr:rowOff>
    </xdr:from>
    <xdr:ext cx="245067" cy="180627"/>
    <xdr:sp macro="_xll.PtreeEvent_ObjectClick" textlink="">
      <xdr:nvSpPr>
        <xdr:cNvPr id="1192" name="PTObj_DBranchName_1_113">
          <a:extLst>
            <a:ext uri="{FF2B5EF4-FFF2-40B4-BE49-F238E27FC236}">
              <a16:creationId xmlns:a16="http://schemas.microsoft.com/office/drawing/2014/main" id="{00000000-0008-0000-0400-0000A8040000}"/>
            </a:ext>
          </a:extLst>
        </xdr:cNvPr>
        <xdr:cNvSpPr txBox="1"/>
      </xdr:nvSpPr>
      <xdr:spPr>
        <a:xfrm>
          <a:off x="12001309" y="377950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237</xdr:row>
      <xdr:rowOff>75884</xdr:rowOff>
    </xdr:from>
    <xdr:to>
      <xdr:col>9</xdr:col>
      <xdr:colOff>162052</xdr:colOff>
      <xdr:row>238</xdr:row>
      <xdr:rowOff>75884</xdr:rowOff>
    </xdr:to>
    <xdr:sp macro="_xll.PtreeEvent_ObjectClick" textlink="">
      <xdr:nvSpPr>
        <xdr:cNvPr id="1193" name="PTObj_DNode_1_114">
          <a:extLst>
            <a:ext uri="{FF2B5EF4-FFF2-40B4-BE49-F238E27FC236}">
              <a16:creationId xmlns:a16="http://schemas.microsoft.com/office/drawing/2014/main" id="{00000000-0008-0000-0400-0000A9040000}"/>
            </a:ext>
          </a:extLst>
        </xdr:cNvPr>
        <xdr:cNvSpPr/>
      </xdr:nvSpPr>
      <xdr:spPr>
        <a:xfrm rot="-5400000">
          <a:off x="13230352" y="384521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237</xdr:row>
      <xdr:rowOff>66532</xdr:rowOff>
    </xdr:from>
    <xdr:ext cx="226023" cy="180627"/>
    <xdr:sp macro="_xll.PtreeEvent_ObjectClick" textlink="">
      <xdr:nvSpPr>
        <xdr:cNvPr id="1196" name="PTObj_DBranchName_1_114">
          <a:extLst>
            <a:ext uri="{FF2B5EF4-FFF2-40B4-BE49-F238E27FC236}">
              <a16:creationId xmlns:a16="http://schemas.microsoft.com/office/drawing/2014/main" id="{00000000-0008-0000-0400-0000AC040000}"/>
            </a:ext>
          </a:extLst>
        </xdr:cNvPr>
        <xdr:cNvSpPr txBox="1"/>
      </xdr:nvSpPr>
      <xdr:spPr>
        <a:xfrm>
          <a:off x="12001309" y="384427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7</xdr:col>
      <xdr:colOff>127</xdr:colOff>
      <xdr:row>247</xdr:row>
      <xdr:rowOff>75884</xdr:rowOff>
    </xdr:from>
    <xdr:to>
      <xdr:col>7</xdr:col>
      <xdr:colOff>162052</xdr:colOff>
      <xdr:row>248</xdr:row>
      <xdr:rowOff>75884</xdr:rowOff>
    </xdr:to>
    <xdr:sp macro="_xll.PtreeEvent_ObjectClick" textlink="">
      <xdr:nvSpPr>
        <xdr:cNvPr id="1197" name="PTObj_DNode_1_115">
          <a:extLst>
            <a:ext uri="{FF2B5EF4-FFF2-40B4-BE49-F238E27FC236}">
              <a16:creationId xmlns:a16="http://schemas.microsoft.com/office/drawing/2014/main" id="{00000000-0008-0000-0400-0000AD040000}"/>
            </a:ext>
          </a:extLst>
        </xdr:cNvPr>
        <xdr:cNvSpPr/>
      </xdr:nvSpPr>
      <xdr:spPr>
        <a:xfrm>
          <a:off x="10239502" y="400713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247</xdr:row>
      <xdr:rowOff>66532</xdr:rowOff>
    </xdr:from>
    <xdr:ext cx="407484" cy="180627"/>
    <xdr:sp macro="_xll.PtreeEvent_ObjectClick" textlink="">
      <xdr:nvSpPr>
        <xdr:cNvPr id="1200" name="PTObj_DBranchName_1_115">
          <a:extLst>
            <a:ext uri="{FF2B5EF4-FFF2-40B4-BE49-F238E27FC236}">
              <a16:creationId xmlns:a16="http://schemas.microsoft.com/office/drawing/2014/main" id="{00000000-0008-0000-0400-0000B0040000}"/>
            </a:ext>
          </a:extLst>
        </xdr:cNvPr>
        <xdr:cNvSpPr txBox="1"/>
      </xdr:nvSpPr>
      <xdr:spPr>
        <a:xfrm>
          <a:off x="9010459" y="400620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8</xdr:col>
      <xdr:colOff>127</xdr:colOff>
      <xdr:row>243</xdr:row>
      <xdr:rowOff>75884</xdr:rowOff>
    </xdr:from>
    <xdr:to>
      <xdr:col>8</xdr:col>
      <xdr:colOff>162052</xdr:colOff>
      <xdr:row>244</xdr:row>
      <xdr:rowOff>75884</xdr:rowOff>
    </xdr:to>
    <xdr:sp macro="_xll.PtreeEvent_ObjectClick" textlink="">
      <xdr:nvSpPr>
        <xdr:cNvPr id="1201" name="PTObj_DNode_1_116">
          <a:extLst>
            <a:ext uri="{FF2B5EF4-FFF2-40B4-BE49-F238E27FC236}">
              <a16:creationId xmlns:a16="http://schemas.microsoft.com/office/drawing/2014/main" id="{00000000-0008-0000-0400-0000B1040000}"/>
            </a:ext>
          </a:extLst>
        </xdr:cNvPr>
        <xdr:cNvSpPr/>
      </xdr:nvSpPr>
      <xdr:spPr>
        <a:xfrm>
          <a:off x="11734927" y="394236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243</xdr:row>
      <xdr:rowOff>66532</xdr:rowOff>
    </xdr:from>
    <xdr:ext cx="245067" cy="180627"/>
    <xdr:sp macro="_xll.PtreeEvent_ObjectClick" textlink="">
      <xdr:nvSpPr>
        <xdr:cNvPr id="1204" name="PTObj_DBranchName_1_116">
          <a:extLst>
            <a:ext uri="{FF2B5EF4-FFF2-40B4-BE49-F238E27FC236}">
              <a16:creationId xmlns:a16="http://schemas.microsoft.com/office/drawing/2014/main" id="{00000000-0008-0000-0400-0000B4040000}"/>
            </a:ext>
          </a:extLst>
        </xdr:cNvPr>
        <xdr:cNvSpPr txBox="1"/>
      </xdr:nvSpPr>
      <xdr:spPr>
        <a:xfrm>
          <a:off x="10505884" y="394143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241</xdr:row>
      <xdr:rowOff>75884</xdr:rowOff>
    </xdr:from>
    <xdr:to>
      <xdr:col>9</xdr:col>
      <xdr:colOff>162052</xdr:colOff>
      <xdr:row>242</xdr:row>
      <xdr:rowOff>75884</xdr:rowOff>
    </xdr:to>
    <xdr:sp macro="_xll.PtreeEvent_ObjectClick" textlink="">
      <xdr:nvSpPr>
        <xdr:cNvPr id="1205" name="PTObj_DNode_1_117">
          <a:extLst>
            <a:ext uri="{FF2B5EF4-FFF2-40B4-BE49-F238E27FC236}">
              <a16:creationId xmlns:a16="http://schemas.microsoft.com/office/drawing/2014/main" id="{00000000-0008-0000-0400-0000B5040000}"/>
            </a:ext>
          </a:extLst>
        </xdr:cNvPr>
        <xdr:cNvSpPr/>
      </xdr:nvSpPr>
      <xdr:spPr>
        <a:xfrm rot="-5400000">
          <a:off x="13230352" y="390998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241</xdr:row>
      <xdr:rowOff>66532</xdr:rowOff>
    </xdr:from>
    <xdr:ext cx="245067" cy="180627"/>
    <xdr:sp macro="_xll.PtreeEvent_ObjectClick" textlink="">
      <xdr:nvSpPr>
        <xdr:cNvPr id="1208" name="PTObj_DBranchName_1_117">
          <a:extLst>
            <a:ext uri="{FF2B5EF4-FFF2-40B4-BE49-F238E27FC236}">
              <a16:creationId xmlns:a16="http://schemas.microsoft.com/office/drawing/2014/main" id="{00000000-0008-0000-0400-0000B8040000}"/>
            </a:ext>
          </a:extLst>
        </xdr:cNvPr>
        <xdr:cNvSpPr txBox="1"/>
      </xdr:nvSpPr>
      <xdr:spPr>
        <a:xfrm>
          <a:off x="12001309" y="390904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245</xdr:row>
      <xdr:rowOff>75884</xdr:rowOff>
    </xdr:from>
    <xdr:to>
      <xdr:col>9</xdr:col>
      <xdr:colOff>162052</xdr:colOff>
      <xdr:row>246</xdr:row>
      <xdr:rowOff>75884</xdr:rowOff>
    </xdr:to>
    <xdr:sp macro="_xll.PtreeEvent_ObjectClick" textlink="">
      <xdr:nvSpPr>
        <xdr:cNvPr id="1209" name="PTObj_DNode_1_118">
          <a:extLst>
            <a:ext uri="{FF2B5EF4-FFF2-40B4-BE49-F238E27FC236}">
              <a16:creationId xmlns:a16="http://schemas.microsoft.com/office/drawing/2014/main" id="{00000000-0008-0000-0400-0000B9040000}"/>
            </a:ext>
          </a:extLst>
        </xdr:cNvPr>
        <xdr:cNvSpPr/>
      </xdr:nvSpPr>
      <xdr:spPr>
        <a:xfrm rot="-5400000">
          <a:off x="13230352" y="397475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245</xdr:row>
      <xdr:rowOff>66532</xdr:rowOff>
    </xdr:from>
    <xdr:ext cx="226023" cy="180627"/>
    <xdr:sp macro="_xll.PtreeEvent_ObjectClick" textlink="">
      <xdr:nvSpPr>
        <xdr:cNvPr id="1212" name="PTObj_DBranchName_1_118">
          <a:extLst>
            <a:ext uri="{FF2B5EF4-FFF2-40B4-BE49-F238E27FC236}">
              <a16:creationId xmlns:a16="http://schemas.microsoft.com/office/drawing/2014/main" id="{00000000-0008-0000-0400-0000BC040000}"/>
            </a:ext>
          </a:extLst>
        </xdr:cNvPr>
        <xdr:cNvSpPr txBox="1"/>
      </xdr:nvSpPr>
      <xdr:spPr>
        <a:xfrm>
          <a:off x="12001309" y="397381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251</xdr:row>
      <xdr:rowOff>75884</xdr:rowOff>
    </xdr:from>
    <xdr:to>
      <xdr:col>8</xdr:col>
      <xdr:colOff>162052</xdr:colOff>
      <xdr:row>252</xdr:row>
      <xdr:rowOff>75884</xdr:rowOff>
    </xdr:to>
    <xdr:sp macro="_xll.PtreeEvent_ObjectClick" textlink="">
      <xdr:nvSpPr>
        <xdr:cNvPr id="1213" name="PTObj_DNode_1_119">
          <a:extLst>
            <a:ext uri="{FF2B5EF4-FFF2-40B4-BE49-F238E27FC236}">
              <a16:creationId xmlns:a16="http://schemas.microsoft.com/office/drawing/2014/main" id="{00000000-0008-0000-0400-0000BD040000}"/>
            </a:ext>
          </a:extLst>
        </xdr:cNvPr>
        <xdr:cNvSpPr/>
      </xdr:nvSpPr>
      <xdr:spPr>
        <a:xfrm>
          <a:off x="11734927" y="407190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251</xdr:row>
      <xdr:rowOff>66532</xdr:rowOff>
    </xdr:from>
    <xdr:ext cx="407484" cy="180627"/>
    <xdr:sp macro="_xll.PtreeEvent_ObjectClick" textlink="">
      <xdr:nvSpPr>
        <xdr:cNvPr id="1216" name="PTObj_DBranchName_1_119">
          <a:extLst>
            <a:ext uri="{FF2B5EF4-FFF2-40B4-BE49-F238E27FC236}">
              <a16:creationId xmlns:a16="http://schemas.microsoft.com/office/drawing/2014/main" id="{00000000-0008-0000-0400-0000C0040000}"/>
            </a:ext>
          </a:extLst>
        </xdr:cNvPr>
        <xdr:cNvSpPr txBox="1"/>
      </xdr:nvSpPr>
      <xdr:spPr>
        <a:xfrm>
          <a:off x="10505884" y="407097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249</xdr:row>
      <xdr:rowOff>75884</xdr:rowOff>
    </xdr:from>
    <xdr:to>
      <xdr:col>9</xdr:col>
      <xdr:colOff>162052</xdr:colOff>
      <xdr:row>250</xdr:row>
      <xdr:rowOff>75884</xdr:rowOff>
    </xdr:to>
    <xdr:sp macro="_xll.PtreeEvent_ObjectClick" textlink="">
      <xdr:nvSpPr>
        <xdr:cNvPr id="1217" name="PTObj_DNode_1_120">
          <a:extLst>
            <a:ext uri="{FF2B5EF4-FFF2-40B4-BE49-F238E27FC236}">
              <a16:creationId xmlns:a16="http://schemas.microsoft.com/office/drawing/2014/main" id="{00000000-0008-0000-0400-0000C1040000}"/>
            </a:ext>
          </a:extLst>
        </xdr:cNvPr>
        <xdr:cNvSpPr/>
      </xdr:nvSpPr>
      <xdr:spPr>
        <a:xfrm rot="-5400000">
          <a:off x="13230352" y="403952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249</xdr:row>
      <xdr:rowOff>66532</xdr:rowOff>
    </xdr:from>
    <xdr:ext cx="245067" cy="180627"/>
    <xdr:sp macro="_xll.PtreeEvent_ObjectClick" textlink="">
      <xdr:nvSpPr>
        <xdr:cNvPr id="1220" name="PTObj_DBranchName_1_120">
          <a:extLst>
            <a:ext uri="{FF2B5EF4-FFF2-40B4-BE49-F238E27FC236}">
              <a16:creationId xmlns:a16="http://schemas.microsoft.com/office/drawing/2014/main" id="{00000000-0008-0000-0400-0000C4040000}"/>
            </a:ext>
          </a:extLst>
        </xdr:cNvPr>
        <xdr:cNvSpPr txBox="1"/>
      </xdr:nvSpPr>
      <xdr:spPr>
        <a:xfrm>
          <a:off x="12001309" y="403858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253</xdr:row>
      <xdr:rowOff>75884</xdr:rowOff>
    </xdr:from>
    <xdr:to>
      <xdr:col>9</xdr:col>
      <xdr:colOff>162052</xdr:colOff>
      <xdr:row>254</xdr:row>
      <xdr:rowOff>75884</xdr:rowOff>
    </xdr:to>
    <xdr:sp macro="_xll.PtreeEvent_ObjectClick" textlink="">
      <xdr:nvSpPr>
        <xdr:cNvPr id="1221" name="PTObj_DNode_1_121">
          <a:extLst>
            <a:ext uri="{FF2B5EF4-FFF2-40B4-BE49-F238E27FC236}">
              <a16:creationId xmlns:a16="http://schemas.microsoft.com/office/drawing/2014/main" id="{00000000-0008-0000-0400-0000C5040000}"/>
            </a:ext>
          </a:extLst>
        </xdr:cNvPr>
        <xdr:cNvSpPr/>
      </xdr:nvSpPr>
      <xdr:spPr>
        <a:xfrm rot="-5400000">
          <a:off x="13230352" y="410429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253</xdr:row>
      <xdr:rowOff>66532</xdr:rowOff>
    </xdr:from>
    <xdr:ext cx="226023" cy="180627"/>
    <xdr:sp macro="_xll.PtreeEvent_ObjectClick" textlink="">
      <xdr:nvSpPr>
        <xdr:cNvPr id="1224" name="PTObj_DBranchName_1_121">
          <a:extLst>
            <a:ext uri="{FF2B5EF4-FFF2-40B4-BE49-F238E27FC236}">
              <a16:creationId xmlns:a16="http://schemas.microsoft.com/office/drawing/2014/main" id="{00000000-0008-0000-0400-0000C8040000}"/>
            </a:ext>
          </a:extLst>
        </xdr:cNvPr>
        <xdr:cNvSpPr txBox="1"/>
      </xdr:nvSpPr>
      <xdr:spPr>
        <a:xfrm>
          <a:off x="12001309" y="410335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257</xdr:row>
      <xdr:rowOff>75884</xdr:rowOff>
    </xdr:from>
    <xdr:to>
      <xdr:col>8</xdr:col>
      <xdr:colOff>162052</xdr:colOff>
      <xdr:row>258</xdr:row>
      <xdr:rowOff>75884</xdr:rowOff>
    </xdr:to>
    <xdr:sp macro="_xll.PtreeEvent_ObjectClick" textlink="">
      <xdr:nvSpPr>
        <xdr:cNvPr id="1225" name="PTObj_DNode_1_122">
          <a:extLst>
            <a:ext uri="{FF2B5EF4-FFF2-40B4-BE49-F238E27FC236}">
              <a16:creationId xmlns:a16="http://schemas.microsoft.com/office/drawing/2014/main" id="{00000000-0008-0000-0400-0000C9040000}"/>
            </a:ext>
          </a:extLst>
        </xdr:cNvPr>
        <xdr:cNvSpPr/>
      </xdr:nvSpPr>
      <xdr:spPr>
        <a:xfrm>
          <a:off x="11734927" y="416906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257</xdr:row>
      <xdr:rowOff>66532</xdr:rowOff>
    </xdr:from>
    <xdr:ext cx="226023" cy="180627"/>
    <xdr:sp macro="_xll.PtreeEvent_ObjectClick" textlink="">
      <xdr:nvSpPr>
        <xdr:cNvPr id="1228" name="PTObj_DBranchName_1_122">
          <a:extLst>
            <a:ext uri="{FF2B5EF4-FFF2-40B4-BE49-F238E27FC236}">
              <a16:creationId xmlns:a16="http://schemas.microsoft.com/office/drawing/2014/main" id="{00000000-0008-0000-0400-0000CC040000}"/>
            </a:ext>
          </a:extLst>
        </xdr:cNvPr>
        <xdr:cNvSpPr txBox="1"/>
      </xdr:nvSpPr>
      <xdr:spPr>
        <a:xfrm>
          <a:off x="10505884" y="416812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255</xdr:row>
      <xdr:rowOff>75884</xdr:rowOff>
    </xdr:from>
    <xdr:to>
      <xdr:col>9</xdr:col>
      <xdr:colOff>162052</xdr:colOff>
      <xdr:row>256</xdr:row>
      <xdr:rowOff>75884</xdr:rowOff>
    </xdr:to>
    <xdr:sp macro="_xll.PtreeEvent_ObjectClick" textlink="">
      <xdr:nvSpPr>
        <xdr:cNvPr id="1229" name="PTObj_DNode_1_123">
          <a:extLst>
            <a:ext uri="{FF2B5EF4-FFF2-40B4-BE49-F238E27FC236}">
              <a16:creationId xmlns:a16="http://schemas.microsoft.com/office/drawing/2014/main" id="{00000000-0008-0000-0400-0000CD040000}"/>
            </a:ext>
          </a:extLst>
        </xdr:cNvPr>
        <xdr:cNvSpPr/>
      </xdr:nvSpPr>
      <xdr:spPr>
        <a:xfrm rot="-5400000">
          <a:off x="13230352" y="413667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255</xdr:row>
      <xdr:rowOff>66532</xdr:rowOff>
    </xdr:from>
    <xdr:ext cx="245067" cy="180627"/>
    <xdr:sp macro="_xll.PtreeEvent_ObjectClick" textlink="">
      <xdr:nvSpPr>
        <xdr:cNvPr id="1232" name="PTObj_DBranchName_1_123">
          <a:extLst>
            <a:ext uri="{FF2B5EF4-FFF2-40B4-BE49-F238E27FC236}">
              <a16:creationId xmlns:a16="http://schemas.microsoft.com/office/drawing/2014/main" id="{00000000-0008-0000-0400-0000D0040000}"/>
            </a:ext>
          </a:extLst>
        </xdr:cNvPr>
        <xdr:cNvSpPr txBox="1"/>
      </xdr:nvSpPr>
      <xdr:spPr>
        <a:xfrm>
          <a:off x="12001309" y="413574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259</xdr:row>
      <xdr:rowOff>75884</xdr:rowOff>
    </xdr:from>
    <xdr:to>
      <xdr:col>9</xdr:col>
      <xdr:colOff>162052</xdr:colOff>
      <xdr:row>260</xdr:row>
      <xdr:rowOff>75884</xdr:rowOff>
    </xdr:to>
    <xdr:sp macro="_xll.PtreeEvent_ObjectClick" textlink="">
      <xdr:nvSpPr>
        <xdr:cNvPr id="1233" name="PTObj_DNode_1_124">
          <a:extLst>
            <a:ext uri="{FF2B5EF4-FFF2-40B4-BE49-F238E27FC236}">
              <a16:creationId xmlns:a16="http://schemas.microsoft.com/office/drawing/2014/main" id="{00000000-0008-0000-0400-0000D1040000}"/>
            </a:ext>
          </a:extLst>
        </xdr:cNvPr>
        <xdr:cNvSpPr/>
      </xdr:nvSpPr>
      <xdr:spPr>
        <a:xfrm rot="-5400000">
          <a:off x="13230352" y="420144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259</xdr:row>
      <xdr:rowOff>66532</xdr:rowOff>
    </xdr:from>
    <xdr:ext cx="226023" cy="180627"/>
    <xdr:sp macro="_xll.PtreeEvent_ObjectClick" textlink="">
      <xdr:nvSpPr>
        <xdr:cNvPr id="1236" name="PTObj_DBranchName_1_124">
          <a:extLst>
            <a:ext uri="{FF2B5EF4-FFF2-40B4-BE49-F238E27FC236}">
              <a16:creationId xmlns:a16="http://schemas.microsoft.com/office/drawing/2014/main" id="{00000000-0008-0000-0400-0000D4040000}"/>
            </a:ext>
          </a:extLst>
        </xdr:cNvPr>
        <xdr:cNvSpPr txBox="1"/>
      </xdr:nvSpPr>
      <xdr:spPr>
        <a:xfrm>
          <a:off x="12001309" y="420051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7</xdr:col>
      <xdr:colOff>127</xdr:colOff>
      <xdr:row>267</xdr:row>
      <xdr:rowOff>75884</xdr:rowOff>
    </xdr:from>
    <xdr:to>
      <xdr:col>7</xdr:col>
      <xdr:colOff>162052</xdr:colOff>
      <xdr:row>268</xdr:row>
      <xdr:rowOff>75884</xdr:rowOff>
    </xdr:to>
    <xdr:sp macro="_xll.PtreeEvent_ObjectClick" textlink="">
      <xdr:nvSpPr>
        <xdr:cNvPr id="1237" name="PTObj_DNode_1_125">
          <a:extLst>
            <a:ext uri="{FF2B5EF4-FFF2-40B4-BE49-F238E27FC236}">
              <a16:creationId xmlns:a16="http://schemas.microsoft.com/office/drawing/2014/main" id="{00000000-0008-0000-0400-0000D5040000}"/>
            </a:ext>
          </a:extLst>
        </xdr:cNvPr>
        <xdr:cNvSpPr/>
      </xdr:nvSpPr>
      <xdr:spPr>
        <a:xfrm>
          <a:off x="10239502" y="433098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266509</xdr:colOff>
      <xdr:row>267</xdr:row>
      <xdr:rowOff>66532</xdr:rowOff>
    </xdr:from>
    <xdr:ext cx="226023" cy="180627"/>
    <xdr:sp macro="_xll.PtreeEvent_ObjectClick" textlink="">
      <xdr:nvSpPr>
        <xdr:cNvPr id="1240" name="PTObj_DBranchName_1_125">
          <a:extLst>
            <a:ext uri="{FF2B5EF4-FFF2-40B4-BE49-F238E27FC236}">
              <a16:creationId xmlns:a16="http://schemas.microsoft.com/office/drawing/2014/main" id="{00000000-0008-0000-0400-0000D8040000}"/>
            </a:ext>
          </a:extLst>
        </xdr:cNvPr>
        <xdr:cNvSpPr txBox="1"/>
      </xdr:nvSpPr>
      <xdr:spPr>
        <a:xfrm>
          <a:off x="9010459" y="433005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263</xdr:row>
      <xdr:rowOff>75884</xdr:rowOff>
    </xdr:from>
    <xdr:to>
      <xdr:col>8</xdr:col>
      <xdr:colOff>162052</xdr:colOff>
      <xdr:row>264</xdr:row>
      <xdr:rowOff>75884</xdr:rowOff>
    </xdr:to>
    <xdr:sp macro="_xll.PtreeEvent_ObjectClick" textlink="">
      <xdr:nvSpPr>
        <xdr:cNvPr id="1241" name="PTObj_DNode_1_126">
          <a:extLst>
            <a:ext uri="{FF2B5EF4-FFF2-40B4-BE49-F238E27FC236}">
              <a16:creationId xmlns:a16="http://schemas.microsoft.com/office/drawing/2014/main" id="{00000000-0008-0000-0400-0000D9040000}"/>
            </a:ext>
          </a:extLst>
        </xdr:cNvPr>
        <xdr:cNvSpPr/>
      </xdr:nvSpPr>
      <xdr:spPr>
        <a:xfrm>
          <a:off x="11734927" y="426621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263</xdr:row>
      <xdr:rowOff>66532</xdr:rowOff>
    </xdr:from>
    <xdr:ext cx="245067" cy="180627"/>
    <xdr:sp macro="_xll.PtreeEvent_ObjectClick" textlink="">
      <xdr:nvSpPr>
        <xdr:cNvPr id="1244" name="PTObj_DBranchName_1_126">
          <a:extLst>
            <a:ext uri="{FF2B5EF4-FFF2-40B4-BE49-F238E27FC236}">
              <a16:creationId xmlns:a16="http://schemas.microsoft.com/office/drawing/2014/main" id="{00000000-0008-0000-0400-0000DC040000}"/>
            </a:ext>
          </a:extLst>
        </xdr:cNvPr>
        <xdr:cNvSpPr txBox="1"/>
      </xdr:nvSpPr>
      <xdr:spPr>
        <a:xfrm>
          <a:off x="10505884" y="426528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261</xdr:row>
      <xdr:rowOff>75884</xdr:rowOff>
    </xdr:from>
    <xdr:to>
      <xdr:col>9</xdr:col>
      <xdr:colOff>162052</xdr:colOff>
      <xdr:row>262</xdr:row>
      <xdr:rowOff>75884</xdr:rowOff>
    </xdr:to>
    <xdr:sp macro="_xll.PtreeEvent_ObjectClick" textlink="">
      <xdr:nvSpPr>
        <xdr:cNvPr id="1245" name="PTObj_DNode_1_127">
          <a:extLst>
            <a:ext uri="{FF2B5EF4-FFF2-40B4-BE49-F238E27FC236}">
              <a16:creationId xmlns:a16="http://schemas.microsoft.com/office/drawing/2014/main" id="{00000000-0008-0000-0400-0000DD040000}"/>
            </a:ext>
          </a:extLst>
        </xdr:cNvPr>
        <xdr:cNvSpPr/>
      </xdr:nvSpPr>
      <xdr:spPr>
        <a:xfrm rot="-5400000">
          <a:off x="13230352" y="423383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261</xdr:row>
      <xdr:rowOff>66532</xdr:rowOff>
    </xdr:from>
    <xdr:ext cx="245067" cy="180627"/>
    <xdr:sp macro="_xll.PtreeEvent_ObjectClick" textlink="">
      <xdr:nvSpPr>
        <xdr:cNvPr id="1248" name="PTObj_DBranchName_1_127">
          <a:extLst>
            <a:ext uri="{FF2B5EF4-FFF2-40B4-BE49-F238E27FC236}">
              <a16:creationId xmlns:a16="http://schemas.microsoft.com/office/drawing/2014/main" id="{00000000-0008-0000-0400-0000E0040000}"/>
            </a:ext>
          </a:extLst>
        </xdr:cNvPr>
        <xdr:cNvSpPr txBox="1"/>
      </xdr:nvSpPr>
      <xdr:spPr>
        <a:xfrm>
          <a:off x="12001309" y="423289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265</xdr:row>
      <xdr:rowOff>75884</xdr:rowOff>
    </xdr:from>
    <xdr:to>
      <xdr:col>9</xdr:col>
      <xdr:colOff>162052</xdr:colOff>
      <xdr:row>266</xdr:row>
      <xdr:rowOff>75884</xdr:rowOff>
    </xdr:to>
    <xdr:sp macro="_xll.PtreeEvent_ObjectClick" textlink="">
      <xdr:nvSpPr>
        <xdr:cNvPr id="1249" name="PTObj_DNode_1_128">
          <a:extLst>
            <a:ext uri="{FF2B5EF4-FFF2-40B4-BE49-F238E27FC236}">
              <a16:creationId xmlns:a16="http://schemas.microsoft.com/office/drawing/2014/main" id="{00000000-0008-0000-0400-0000E1040000}"/>
            </a:ext>
          </a:extLst>
        </xdr:cNvPr>
        <xdr:cNvSpPr/>
      </xdr:nvSpPr>
      <xdr:spPr>
        <a:xfrm rot="-5400000">
          <a:off x="13230352" y="429860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265</xdr:row>
      <xdr:rowOff>66532</xdr:rowOff>
    </xdr:from>
    <xdr:ext cx="226023" cy="180627"/>
    <xdr:sp macro="_xll.PtreeEvent_ObjectClick" textlink="">
      <xdr:nvSpPr>
        <xdr:cNvPr id="1252" name="PTObj_DBranchName_1_128">
          <a:extLst>
            <a:ext uri="{FF2B5EF4-FFF2-40B4-BE49-F238E27FC236}">
              <a16:creationId xmlns:a16="http://schemas.microsoft.com/office/drawing/2014/main" id="{00000000-0008-0000-0400-0000E4040000}"/>
            </a:ext>
          </a:extLst>
        </xdr:cNvPr>
        <xdr:cNvSpPr txBox="1"/>
      </xdr:nvSpPr>
      <xdr:spPr>
        <a:xfrm>
          <a:off x="12001309" y="429766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271</xdr:row>
      <xdr:rowOff>75884</xdr:rowOff>
    </xdr:from>
    <xdr:to>
      <xdr:col>8</xdr:col>
      <xdr:colOff>162052</xdr:colOff>
      <xdr:row>272</xdr:row>
      <xdr:rowOff>75884</xdr:rowOff>
    </xdr:to>
    <xdr:sp macro="_xll.PtreeEvent_ObjectClick" textlink="">
      <xdr:nvSpPr>
        <xdr:cNvPr id="1253" name="PTObj_DNode_1_129">
          <a:extLst>
            <a:ext uri="{FF2B5EF4-FFF2-40B4-BE49-F238E27FC236}">
              <a16:creationId xmlns:a16="http://schemas.microsoft.com/office/drawing/2014/main" id="{00000000-0008-0000-0400-0000E5040000}"/>
            </a:ext>
          </a:extLst>
        </xdr:cNvPr>
        <xdr:cNvSpPr/>
      </xdr:nvSpPr>
      <xdr:spPr>
        <a:xfrm>
          <a:off x="11734927" y="439575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271</xdr:row>
      <xdr:rowOff>66532</xdr:rowOff>
    </xdr:from>
    <xdr:ext cx="407484" cy="180627"/>
    <xdr:sp macro="_xll.PtreeEvent_ObjectClick" textlink="">
      <xdr:nvSpPr>
        <xdr:cNvPr id="1256" name="PTObj_DBranchName_1_129">
          <a:extLst>
            <a:ext uri="{FF2B5EF4-FFF2-40B4-BE49-F238E27FC236}">
              <a16:creationId xmlns:a16="http://schemas.microsoft.com/office/drawing/2014/main" id="{00000000-0008-0000-0400-0000E8040000}"/>
            </a:ext>
          </a:extLst>
        </xdr:cNvPr>
        <xdr:cNvSpPr txBox="1"/>
      </xdr:nvSpPr>
      <xdr:spPr>
        <a:xfrm>
          <a:off x="10505884" y="439482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Medium</a:t>
          </a:r>
        </a:p>
      </xdr:txBody>
    </xdr:sp>
    <xdr:clientData/>
  </xdr:oneCellAnchor>
  <xdr:twoCellAnchor editAs="oneCell">
    <xdr:from>
      <xdr:col>9</xdr:col>
      <xdr:colOff>127</xdr:colOff>
      <xdr:row>269</xdr:row>
      <xdr:rowOff>75884</xdr:rowOff>
    </xdr:from>
    <xdr:to>
      <xdr:col>9</xdr:col>
      <xdr:colOff>162052</xdr:colOff>
      <xdr:row>270</xdr:row>
      <xdr:rowOff>75884</xdr:rowOff>
    </xdr:to>
    <xdr:sp macro="_xll.PtreeEvent_ObjectClick" textlink="">
      <xdr:nvSpPr>
        <xdr:cNvPr id="1257" name="PTObj_DNode_1_130">
          <a:extLst>
            <a:ext uri="{FF2B5EF4-FFF2-40B4-BE49-F238E27FC236}">
              <a16:creationId xmlns:a16="http://schemas.microsoft.com/office/drawing/2014/main" id="{00000000-0008-0000-0400-0000E9040000}"/>
            </a:ext>
          </a:extLst>
        </xdr:cNvPr>
        <xdr:cNvSpPr/>
      </xdr:nvSpPr>
      <xdr:spPr>
        <a:xfrm rot="-5400000">
          <a:off x="13230352" y="436337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269</xdr:row>
      <xdr:rowOff>66532</xdr:rowOff>
    </xdr:from>
    <xdr:ext cx="245067" cy="180627"/>
    <xdr:sp macro="_xll.PtreeEvent_ObjectClick" textlink="">
      <xdr:nvSpPr>
        <xdr:cNvPr id="1260" name="PTObj_DBranchName_1_130">
          <a:extLst>
            <a:ext uri="{FF2B5EF4-FFF2-40B4-BE49-F238E27FC236}">
              <a16:creationId xmlns:a16="http://schemas.microsoft.com/office/drawing/2014/main" id="{00000000-0008-0000-0400-0000EC040000}"/>
            </a:ext>
          </a:extLst>
        </xdr:cNvPr>
        <xdr:cNvSpPr txBox="1"/>
      </xdr:nvSpPr>
      <xdr:spPr>
        <a:xfrm>
          <a:off x="12001309" y="436243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273</xdr:row>
      <xdr:rowOff>75884</xdr:rowOff>
    </xdr:from>
    <xdr:to>
      <xdr:col>9</xdr:col>
      <xdr:colOff>162052</xdr:colOff>
      <xdr:row>274</xdr:row>
      <xdr:rowOff>75884</xdr:rowOff>
    </xdr:to>
    <xdr:sp macro="_xll.PtreeEvent_ObjectClick" textlink="">
      <xdr:nvSpPr>
        <xdr:cNvPr id="1261" name="PTObj_DNode_1_131">
          <a:extLst>
            <a:ext uri="{FF2B5EF4-FFF2-40B4-BE49-F238E27FC236}">
              <a16:creationId xmlns:a16="http://schemas.microsoft.com/office/drawing/2014/main" id="{00000000-0008-0000-0400-0000ED040000}"/>
            </a:ext>
          </a:extLst>
        </xdr:cNvPr>
        <xdr:cNvSpPr/>
      </xdr:nvSpPr>
      <xdr:spPr>
        <a:xfrm rot="-5400000">
          <a:off x="13230352" y="442814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273</xdr:row>
      <xdr:rowOff>66532</xdr:rowOff>
    </xdr:from>
    <xdr:ext cx="226023" cy="180627"/>
    <xdr:sp macro="_xll.PtreeEvent_ObjectClick" textlink="">
      <xdr:nvSpPr>
        <xdr:cNvPr id="1264" name="PTObj_DBranchName_1_131">
          <a:extLst>
            <a:ext uri="{FF2B5EF4-FFF2-40B4-BE49-F238E27FC236}">
              <a16:creationId xmlns:a16="http://schemas.microsoft.com/office/drawing/2014/main" id="{00000000-0008-0000-0400-0000F0040000}"/>
            </a:ext>
          </a:extLst>
        </xdr:cNvPr>
        <xdr:cNvSpPr txBox="1"/>
      </xdr:nvSpPr>
      <xdr:spPr>
        <a:xfrm>
          <a:off x="12001309" y="442720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8</xdr:col>
      <xdr:colOff>127</xdr:colOff>
      <xdr:row>277</xdr:row>
      <xdr:rowOff>75884</xdr:rowOff>
    </xdr:from>
    <xdr:to>
      <xdr:col>8</xdr:col>
      <xdr:colOff>162052</xdr:colOff>
      <xdr:row>278</xdr:row>
      <xdr:rowOff>75884</xdr:rowOff>
    </xdr:to>
    <xdr:sp macro="_xll.PtreeEvent_ObjectClick" textlink="">
      <xdr:nvSpPr>
        <xdr:cNvPr id="1265" name="PTObj_DNode_1_140">
          <a:extLst>
            <a:ext uri="{FF2B5EF4-FFF2-40B4-BE49-F238E27FC236}">
              <a16:creationId xmlns:a16="http://schemas.microsoft.com/office/drawing/2014/main" id="{00000000-0008-0000-0400-0000F1040000}"/>
            </a:ext>
          </a:extLst>
        </xdr:cNvPr>
        <xdr:cNvSpPr/>
      </xdr:nvSpPr>
      <xdr:spPr>
        <a:xfrm>
          <a:off x="11734927" y="449291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266509</xdr:colOff>
      <xdr:row>277</xdr:row>
      <xdr:rowOff>66532</xdr:rowOff>
    </xdr:from>
    <xdr:ext cx="226023" cy="180627"/>
    <xdr:sp macro="_xll.PtreeEvent_ObjectClick" textlink="">
      <xdr:nvSpPr>
        <xdr:cNvPr id="1268" name="PTObj_DBranchName_1_140">
          <a:extLst>
            <a:ext uri="{FF2B5EF4-FFF2-40B4-BE49-F238E27FC236}">
              <a16:creationId xmlns:a16="http://schemas.microsoft.com/office/drawing/2014/main" id="{00000000-0008-0000-0400-0000F4040000}"/>
            </a:ext>
          </a:extLst>
        </xdr:cNvPr>
        <xdr:cNvSpPr txBox="1"/>
      </xdr:nvSpPr>
      <xdr:spPr>
        <a:xfrm>
          <a:off x="10505884" y="449197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9</xdr:col>
      <xdr:colOff>127</xdr:colOff>
      <xdr:row>275</xdr:row>
      <xdr:rowOff>75884</xdr:rowOff>
    </xdr:from>
    <xdr:to>
      <xdr:col>9</xdr:col>
      <xdr:colOff>162052</xdr:colOff>
      <xdr:row>276</xdr:row>
      <xdr:rowOff>75884</xdr:rowOff>
    </xdr:to>
    <xdr:sp macro="_xll.PtreeEvent_ObjectClick" textlink="">
      <xdr:nvSpPr>
        <xdr:cNvPr id="1269" name="PTObj_DNode_1_141">
          <a:extLst>
            <a:ext uri="{FF2B5EF4-FFF2-40B4-BE49-F238E27FC236}">
              <a16:creationId xmlns:a16="http://schemas.microsoft.com/office/drawing/2014/main" id="{00000000-0008-0000-0400-0000F5040000}"/>
            </a:ext>
          </a:extLst>
        </xdr:cNvPr>
        <xdr:cNvSpPr/>
      </xdr:nvSpPr>
      <xdr:spPr>
        <a:xfrm rot="-5400000">
          <a:off x="13230352" y="446052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275</xdr:row>
      <xdr:rowOff>66532</xdr:rowOff>
    </xdr:from>
    <xdr:ext cx="245067" cy="180627"/>
    <xdr:sp macro="_xll.PtreeEvent_ObjectClick" textlink="">
      <xdr:nvSpPr>
        <xdr:cNvPr id="1272" name="PTObj_DBranchName_1_141">
          <a:extLst>
            <a:ext uri="{FF2B5EF4-FFF2-40B4-BE49-F238E27FC236}">
              <a16:creationId xmlns:a16="http://schemas.microsoft.com/office/drawing/2014/main" id="{00000000-0008-0000-0400-0000F8040000}"/>
            </a:ext>
          </a:extLst>
        </xdr:cNvPr>
        <xdr:cNvSpPr txBox="1"/>
      </xdr:nvSpPr>
      <xdr:spPr>
        <a:xfrm>
          <a:off x="12001309" y="445959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High</a:t>
          </a:r>
        </a:p>
      </xdr:txBody>
    </xdr:sp>
    <xdr:clientData/>
  </xdr:oneCellAnchor>
  <xdr:twoCellAnchor editAs="oneCell">
    <xdr:from>
      <xdr:col>9</xdr:col>
      <xdr:colOff>127</xdr:colOff>
      <xdr:row>279</xdr:row>
      <xdr:rowOff>75884</xdr:rowOff>
    </xdr:from>
    <xdr:to>
      <xdr:col>9</xdr:col>
      <xdr:colOff>162052</xdr:colOff>
      <xdr:row>280</xdr:row>
      <xdr:rowOff>75884</xdr:rowOff>
    </xdr:to>
    <xdr:sp macro="_xll.PtreeEvent_ObjectClick" textlink="">
      <xdr:nvSpPr>
        <xdr:cNvPr id="1273" name="PTObj_DNode_1_142">
          <a:extLst>
            <a:ext uri="{FF2B5EF4-FFF2-40B4-BE49-F238E27FC236}">
              <a16:creationId xmlns:a16="http://schemas.microsoft.com/office/drawing/2014/main" id="{00000000-0008-0000-0400-0000F9040000}"/>
            </a:ext>
          </a:extLst>
        </xdr:cNvPr>
        <xdr:cNvSpPr/>
      </xdr:nvSpPr>
      <xdr:spPr>
        <a:xfrm rot="-5400000">
          <a:off x="13230352" y="452529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266509</xdr:colOff>
      <xdr:row>279</xdr:row>
      <xdr:rowOff>66532</xdr:rowOff>
    </xdr:from>
    <xdr:ext cx="226023" cy="180627"/>
    <xdr:sp macro="_xll.PtreeEvent_ObjectClick" textlink="">
      <xdr:nvSpPr>
        <xdr:cNvPr id="1276" name="PTObj_DBranchName_1_142">
          <a:extLst>
            <a:ext uri="{FF2B5EF4-FFF2-40B4-BE49-F238E27FC236}">
              <a16:creationId xmlns:a16="http://schemas.microsoft.com/office/drawing/2014/main" id="{00000000-0008-0000-0400-0000FC040000}"/>
            </a:ext>
          </a:extLst>
        </xdr:cNvPr>
        <xdr:cNvSpPr txBox="1"/>
      </xdr:nvSpPr>
      <xdr:spPr>
        <a:xfrm>
          <a:off x="12001309" y="452436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Low</a:t>
          </a:r>
        </a:p>
      </xdr:txBody>
    </xdr:sp>
    <xdr:clientData/>
  </xdr:oneCellAnchor>
  <xdr:twoCellAnchor editAs="oneCell">
    <xdr:from>
      <xdr:col>6</xdr:col>
      <xdr:colOff>127</xdr:colOff>
      <xdr:row>283</xdr:row>
      <xdr:rowOff>75884</xdr:rowOff>
    </xdr:from>
    <xdr:to>
      <xdr:col>6</xdr:col>
      <xdr:colOff>162052</xdr:colOff>
      <xdr:row>284</xdr:row>
      <xdr:rowOff>75884</xdr:rowOff>
    </xdr:to>
    <xdr:sp macro="_xll.PtreeEvent_ObjectClick" textlink="">
      <xdr:nvSpPr>
        <xdr:cNvPr id="1277" name="PTObj_DNode_1_143">
          <a:extLst>
            <a:ext uri="{FF2B5EF4-FFF2-40B4-BE49-F238E27FC236}">
              <a16:creationId xmlns:a16="http://schemas.microsoft.com/office/drawing/2014/main" id="{00000000-0008-0000-0400-0000FD040000}"/>
            </a:ext>
          </a:extLst>
        </xdr:cNvPr>
        <xdr:cNvSpPr/>
      </xdr:nvSpPr>
      <xdr:spPr>
        <a:xfrm rot="-5400000">
          <a:off x="8744077" y="459006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5</xdr:col>
      <xdr:colOff>266509</xdr:colOff>
      <xdr:row>283</xdr:row>
      <xdr:rowOff>66532</xdr:rowOff>
    </xdr:from>
    <xdr:ext cx="175753" cy="180627"/>
    <xdr:sp macro="_xll.PtreeEvent_ObjectClick" textlink="">
      <xdr:nvSpPr>
        <xdr:cNvPr id="1280" name="PTObj_DBranchName_1_143">
          <a:extLst>
            <a:ext uri="{FF2B5EF4-FFF2-40B4-BE49-F238E27FC236}">
              <a16:creationId xmlns:a16="http://schemas.microsoft.com/office/drawing/2014/main" id="{00000000-0008-0000-0400-000000050000}"/>
            </a:ext>
          </a:extLst>
        </xdr:cNvPr>
        <xdr:cNvSpPr txBox="1"/>
      </xdr:nvSpPr>
      <xdr:spPr>
        <a:xfrm>
          <a:off x="7515034" y="4589130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twoCellAnchor editAs="oneCell">
    <xdr:from>
      <xdr:col>4</xdr:col>
      <xdr:colOff>127</xdr:colOff>
      <xdr:row>287</xdr:row>
      <xdr:rowOff>75884</xdr:rowOff>
    </xdr:from>
    <xdr:to>
      <xdr:col>4</xdr:col>
      <xdr:colOff>162052</xdr:colOff>
      <xdr:row>288</xdr:row>
      <xdr:rowOff>75884</xdr:rowOff>
    </xdr:to>
    <xdr:sp macro="_xll.PtreeEvent_ObjectClick" textlink="">
      <xdr:nvSpPr>
        <xdr:cNvPr id="1281" name="PTObj_DNode_1_144">
          <a:extLst>
            <a:ext uri="{FF2B5EF4-FFF2-40B4-BE49-F238E27FC236}">
              <a16:creationId xmlns:a16="http://schemas.microsoft.com/office/drawing/2014/main" id="{00000000-0008-0000-0400-000001050000}"/>
            </a:ext>
          </a:extLst>
        </xdr:cNvPr>
        <xdr:cNvSpPr/>
      </xdr:nvSpPr>
      <xdr:spPr>
        <a:xfrm>
          <a:off x="5753227" y="4654835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266510</xdr:colOff>
      <xdr:row>287</xdr:row>
      <xdr:rowOff>66532</xdr:rowOff>
    </xdr:from>
    <xdr:ext cx="175753" cy="180627"/>
    <xdr:sp macro="_xll.PtreeEvent_ObjectClick" textlink="">
      <xdr:nvSpPr>
        <xdr:cNvPr id="1284" name="PTObj_DBranchName_1_144">
          <a:extLst>
            <a:ext uri="{FF2B5EF4-FFF2-40B4-BE49-F238E27FC236}">
              <a16:creationId xmlns:a16="http://schemas.microsoft.com/office/drawing/2014/main" id="{00000000-0008-0000-0400-000004050000}"/>
            </a:ext>
          </a:extLst>
        </xdr:cNvPr>
        <xdr:cNvSpPr txBox="1"/>
      </xdr:nvSpPr>
      <xdr:spPr>
        <a:xfrm>
          <a:off x="4524185" y="4653900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twoCellAnchor editAs="oneCell">
    <xdr:from>
      <xdr:col>5</xdr:col>
      <xdr:colOff>127</xdr:colOff>
      <xdr:row>289</xdr:row>
      <xdr:rowOff>75884</xdr:rowOff>
    </xdr:from>
    <xdr:to>
      <xdr:col>5</xdr:col>
      <xdr:colOff>162052</xdr:colOff>
      <xdr:row>290</xdr:row>
      <xdr:rowOff>75884</xdr:rowOff>
    </xdr:to>
    <xdr:sp macro="_xll.PtreeEvent_ObjectClick" textlink="">
      <xdr:nvSpPr>
        <xdr:cNvPr id="1285" name="PTObj_DNode_1_145">
          <a:extLst>
            <a:ext uri="{FF2B5EF4-FFF2-40B4-BE49-F238E27FC236}">
              <a16:creationId xmlns:a16="http://schemas.microsoft.com/office/drawing/2014/main" id="{00000000-0008-0000-0400-000005050000}"/>
            </a:ext>
          </a:extLst>
        </xdr:cNvPr>
        <xdr:cNvSpPr/>
      </xdr:nvSpPr>
      <xdr:spPr>
        <a:xfrm rot="-5400000">
          <a:off x="7248652" y="468722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266510</xdr:colOff>
      <xdr:row>289</xdr:row>
      <xdr:rowOff>66532</xdr:rowOff>
    </xdr:from>
    <xdr:ext cx="175753" cy="180627"/>
    <xdr:sp macro="_xll.PtreeEvent_ObjectClick" textlink="">
      <xdr:nvSpPr>
        <xdr:cNvPr id="1288" name="PTObj_DBranchName_1_145">
          <a:extLst>
            <a:ext uri="{FF2B5EF4-FFF2-40B4-BE49-F238E27FC236}">
              <a16:creationId xmlns:a16="http://schemas.microsoft.com/office/drawing/2014/main" id="{00000000-0008-0000-0400-000008050000}"/>
            </a:ext>
          </a:extLst>
        </xdr:cNvPr>
        <xdr:cNvSpPr txBox="1"/>
      </xdr:nvSpPr>
      <xdr:spPr>
        <a:xfrm>
          <a:off x="6019610" y="4686285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228409</xdr:colOff>
      <xdr:row>207</xdr:row>
      <xdr:rowOff>156846</xdr:rowOff>
    </xdr:from>
    <xdr:to>
      <xdr:col>6</xdr:col>
      <xdr:colOff>127</xdr:colOff>
      <xdr:row>207</xdr:row>
      <xdr:rowOff>156846</xdr:rowOff>
    </xdr:to>
    <xdr:cxnSp macro="_xll.PtreeEvent_ObjectClick">
      <xdr:nvCxnSpPr>
        <xdr:cNvPr id="565" name="PTObj_DBranchHLine_2_140">
          <a:extLst>
            <a:ext uri="{FF2B5EF4-FFF2-40B4-BE49-F238E27FC236}">
              <a16:creationId xmlns:a16="http://schemas.microsoft.com/office/drawing/2014/main" id="{F3259A58-8EA2-478D-9B75-A5010CF562B5}"/>
            </a:ext>
          </a:extLst>
        </xdr:cNvPr>
        <xdr:cNvCxnSpPr/>
      </xdr:nvCxnSpPr>
      <xdr:spPr>
        <a:xfrm>
          <a:off x="7791259" y="453339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205</xdr:row>
      <xdr:rowOff>151767</xdr:rowOff>
    </xdr:from>
    <xdr:to>
      <xdr:col>5</xdr:col>
      <xdr:colOff>228409</xdr:colOff>
      <xdr:row>207</xdr:row>
      <xdr:rowOff>156846</xdr:rowOff>
    </xdr:to>
    <xdr:cxnSp macro="_xll.PtreeEvent_ObjectClick">
      <xdr:nvCxnSpPr>
        <xdr:cNvPr id="564" name="PTObj_DBranchDLine_2_140">
          <a:extLst>
            <a:ext uri="{FF2B5EF4-FFF2-40B4-BE49-F238E27FC236}">
              <a16:creationId xmlns:a16="http://schemas.microsoft.com/office/drawing/2014/main" id="{0FB0E90B-4019-4513-9F00-ED7B9FC5328C}"/>
            </a:ext>
          </a:extLst>
        </xdr:cNvPr>
        <xdr:cNvCxnSpPr/>
      </xdr:nvCxnSpPr>
      <xdr:spPr>
        <a:xfrm>
          <a:off x="7638859" y="450049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228410</xdr:colOff>
      <xdr:row>205</xdr:row>
      <xdr:rowOff>156846</xdr:rowOff>
    </xdr:from>
    <xdr:to>
      <xdr:col>5</xdr:col>
      <xdr:colOff>127</xdr:colOff>
      <xdr:row>205</xdr:row>
      <xdr:rowOff>156846</xdr:rowOff>
    </xdr:to>
    <xdr:cxnSp macro="_xll.PtreeEvent_ObjectClick">
      <xdr:nvCxnSpPr>
        <xdr:cNvPr id="437" name="PTObj_DBranchHLine_2_108">
          <a:extLst>
            <a:ext uri="{FF2B5EF4-FFF2-40B4-BE49-F238E27FC236}">
              <a16:creationId xmlns:a16="http://schemas.microsoft.com/office/drawing/2014/main" id="{09D7DC71-7447-4916-AB47-7A4D998B07FC}"/>
            </a:ext>
          </a:extLst>
        </xdr:cNvPr>
        <xdr:cNvCxnSpPr/>
      </xdr:nvCxnSpPr>
      <xdr:spPr>
        <a:xfrm>
          <a:off x="6295835" y="450100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203</xdr:row>
      <xdr:rowOff>151767</xdr:rowOff>
    </xdr:from>
    <xdr:to>
      <xdr:col>4</xdr:col>
      <xdr:colOff>228410</xdr:colOff>
      <xdr:row>205</xdr:row>
      <xdr:rowOff>156846</xdr:rowOff>
    </xdr:to>
    <xdr:cxnSp macro="_xll.PtreeEvent_ObjectClick">
      <xdr:nvCxnSpPr>
        <xdr:cNvPr id="436" name="PTObj_DBranchDLine_2_108">
          <a:extLst>
            <a:ext uri="{FF2B5EF4-FFF2-40B4-BE49-F238E27FC236}">
              <a16:creationId xmlns:a16="http://schemas.microsoft.com/office/drawing/2014/main" id="{EF2A70A1-F5B1-4212-AD77-527AFDB181C4}"/>
            </a:ext>
          </a:extLst>
        </xdr:cNvPr>
        <xdr:cNvCxnSpPr/>
      </xdr:nvCxnSpPr>
      <xdr:spPr>
        <a:xfrm>
          <a:off x="6143435" y="34641792"/>
          <a:ext cx="152400" cy="103682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199</xdr:row>
      <xdr:rowOff>156846</xdr:rowOff>
    </xdr:from>
    <xdr:to>
      <xdr:col>9</xdr:col>
      <xdr:colOff>127</xdr:colOff>
      <xdr:row>199</xdr:row>
      <xdr:rowOff>156846</xdr:rowOff>
    </xdr:to>
    <xdr:cxnSp macro="_xll.PtreeEvent_ObjectClick">
      <xdr:nvCxnSpPr>
        <xdr:cNvPr id="429" name="PTObj_DBranchHLine_2_106" hidden="1">
          <a:extLst>
            <a:ext uri="{FF2B5EF4-FFF2-40B4-BE49-F238E27FC236}">
              <a16:creationId xmlns:a16="http://schemas.microsoft.com/office/drawing/2014/main" id="{D74DD664-A19E-4933-B323-A74297E7D7B7}"/>
            </a:ext>
          </a:extLst>
        </xdr:cNvPr>
        <xdr:cNvCxnSpPr/>
      </xdr:nvCxnSpPr>
      <xdr:spPr>
        <a:xfrm>
          <a:off x="12277534" y="336753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197</xdr:row>
      <xdr:rowOff>151767</xdr:rowOff>
    </xdr:from>
    <xdr:to>
      <xdr:col>8</xdr:col>
      <xdr:colOff>228409</xdr:colOff>
      <xdr:row>199</xdr:row>
      <xdr:rowOff>156846</xdr:rowOff>
    </xdr:to>
    <xdr:cxnSp macro="_xll.PtreeEvent_ObjectClick">
      <xdr:nvCxnSpPr>
        <xdr:cNvPr id="428" name="PTObj_DBranchDLine_2_106" hidden="1">
          <a:extLst>
            <a:ext uri="{FF2B5EF4-FFF2-40B4-BE49-F238E27FC236}">
              <a16:creationId xmlns:a16="http://schemas.microsoft.com/office/drawing/2014/main" id="{0B348AA1-2F74-4744-8693-8611AFBD0ECA}"/>
            </a:ext>
          </a:extLst>
        </xdr:cNvPr>
        <xdr:cNvCxnSpPr/>
      </xdr:nvCxnSpPr>
      <xdr:spPr>
        <a:xfrm>
          <a:off x="12125134" y="333463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195</xdr:row>
      <xdr:rowOff>156846</xdr:rowOff>
    </xdr:from>
    <xdr:to>
      <xdr:col>9</xdr:col>
      <xdr:colOff>127</xdr:colOff>
      <xdr:row>195</xdr:row>
      <xdr:rowOff>156846</xdr:rowOff>
    </xdr:to>
    <xdr:cxnSp macro="_xll.PtreeEvent_ObjectClick">
      <xdr:nvCxnSpPr>
        <xdr:cNvPr id="425" name="PTObj_DBranchHLine_2_105" hidden="1">
          <a:extLst>
            <a:ext uri="{FF2B5EF4-FFF2-40B4-BE49-F238E27FC236}">
              <a16:creationId xmlns:a16="http://schemas.microsoft.com/office/drawing/2014/main" id="{80B0B3E3-220C-41FD-94F5-A6FB11E9B667}"/>
            </a:ext>
          </a:extLst>
        </xdr:cNvPr>
        <xdr:cNvCxnSpPr/>
      </xdr:nvCxnSpPr>
      <xdr:spPr>
        <a:xfrm>
          <a:off x="12277534" y="330276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195</xdr:row>
      <xdr:rowOff>156846</xdr:rowOff>
    </xdr:from>
    <xdr:to>
      <xdr:col>8</xdr:col>
      <xdr:colOff>228409</xdr:colOff>
      <xdr:row>197</xdr:row>
      <xdr:rowOff>151767</xdr:rowOff>
    </xdr:to>
    <xdr:cxnSp macro="_xll.PtreeEvent_ObjectClick">
      <xdr:nvCxnSpPr>
        <xdr:cNvPr id="424" name="PTObj_DBranchDLine_2_105" hidden="1">
          <a:extLst>
            <a:ext uri="{FF2B5EF4-FFF2-40B4-BE49-F238E27FC236}">
              <a16:creationId xmlns:a16="http://schemas.microsoft.com/office/drawing/2014/main" id="{52C19E9F-14A8-4569-94B0-ADA45C3BDC55}"/>
            </a:ext>
          </a:extLst>
        </xdr:cNvPr>
        <xdr:cNvCxnSpPr/>
      </xdr:nvCxnSpPr>
      <xdr:spPr>
        <a:xfrm flipV="1">
          <a:off x="12125134" y="3302762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197</xdr:row>
      <xdr:rowOff>156846</xdr:rowOff>
    </xdr:from>
    <xdr:to>
      <xdr:col>8</xdr:col>
      <xdr:colOff>127</xdr:colOff>
      <xdr:row>197</xdr:row>
      <xdr:rowOff>156846</xdr:rowOff>
    </xdr:to>
    <xdr:cxnSp macro="_xll.PtreeEvent_ObjectClick">
      <xdr:nvCxnSpPr>
        <xdr:cNvPr id="421" name="PTObj_DBranchHLine_2_104" hidden="1">
          <a:extLst>
            <a:ext uri="{FF2B5EF4-FFF2-40B4-BE49-F238E27FC236}">
              <a16:creationId xmlns:a16="http://schemas.microsoft.com/office/drawing/2014/main" id="{594CA5CB-41D3-408D-8659-F49BDC7A6144}"/>
            </a:ext>
          </a:extLst>
        </xdr:cNvPr>
        <xdr:cNvCxnSpPr/>
      </xdr:nvCxnSpPr>
      <xdr:spPr>
        <a:xfrm>
          <a:off x="10782109" y="333514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187</xdr:row>
      <xdr:rowOff>151767</xdr:rowOff>
    </xdr:from>
    <xdr:to>
      <xdr:col>7</xdr:col>
      <xdr:colOff>228409</xdr:colOff>
      <xdr:row>197</xdr:row>
      <xdr:rowOff>156846</xdr:rowOff>
    </xdr:to>
    <xdr:cxnSp macro="_xll.PtreeEvent_ObjectClick">
      <xdr:nvCxnSpPr>
        <xdr:cNvPr id="420" name="PTObj_DBranchDLine_2_104" hidden="1">
          <a:extLst>
            <a:ext uri="{FF2B5EF4-FFF2-40B4-BE49-F238E27FC236}">
              <a16:creationId xmlns:a16="http://schemas.microsoft.com/office/drawing/2014/main" id="{27219682-C0A1-4F6D-9742-073999081D61}"/>
            </a:ext>
          </a:extLst>
        </xdr:cNvPr>
        <xdr:cNvCxnSpPr/>
      </xdr:nvCxnSpPr>
      <xdr:spPr>
        <a:xfrm>
          <a:off x="10629709" y="31727142"/>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193</xdr:row>
      <xdr:rowOff>156846</xdr:rowOff>
    </xdr:from>
    <xdr:to>
      <xdr:col>9</xdr:col>
      <xdr:colOff>127</xdr:colOff>
      <xdr:row>193</xdr:row>
      <xdr:rowOff>156846</xdr:rowOff>
    </xdr:to>
    <xdr:cxnSp macro="_xll.PtreeEvent_ObjectClick">
      <xdr:nvCxnSpPr>
        <xdr:cNvPr id="417" name="PTObj_DBranchHLine_2_103" hidden="1">
          <a:extLst>
            <a:ext uri="{FF2B5EF4-FFF2-40B4-BE49-F238E27FC236}">
              <a16:creationId xmlns:a16="http://schemas.microsoft.com/office/drawing/2014/main" id="{D4209FB4-1EFB-4DBC-85F3-C952A159923B}"/>
            </a:ext>
          </a:extLst>
        </xdr:cNvPr>
        <xdr:cNvCxnSpPr/>
      </xdr:nvCxnSpPr>
      <xdr:spPr>
        <a:xfrm>
          <a:off x="12277534" y="327037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191</xdr:row>
      <xdr:rowOff>151767</xdr:rowOff>
    </xdr:from>
    <xdr:to>
      <xdr:col>8</xdr:col>
      <xdr:colOff>228409</xdr:colOff>
      <xdr:row>193</xdr:row>
      <xdr:rowOff>156846</xdr:rowOff>
    </xdr:to>
    <xdr:cxnSp macro="_xll.PtreeEvent_ObjectClick">
      <xdr:nvCxnSpPr>
        <xdr:cNvPr id="416" name="PTObj_DBranchDLine_2_103" hidden="1">
          <a:extLst>
            <a:ext uri="{FF2B5EF4-FFF2-40B4-BE49-F238E27FC236}">
              <a16:creationId xmlns:a16="http://schemas.microsoft.com/office/drawing/2014/main" id="{24C41BCF-AE7C-41C7-B812-9994C19FEE06}"/>
            </a:ext>
          </a:extLst>
        </xdr:cNvPr>
        <xdr:cNvCxnSpPr/>
      </xdr:nvCxnSpPr>
      <xdr:spPr>
        <a:xfrm>
          <a:off x="12125134" y="323748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189</xdr:row>
      <xdr:rowOff>156846</xdr:rowOff>
    </xdr:from>
    <xdr:to>
      <xdr:col>9</xdr:col>
      <xdr:colOff>127</xdr:colOff>
      <xdr:row>189</xdr:row>
      <xdr:rowOff>156846</xdr:rowOff>
    </xdr:to>
    <xdr:cxnSp macro="_xll.PtreeEvent_ObjectClick">
      <xdr:nvCxnSpPr>
        <xdr:cNvPr id="413" name="PTObj_DBranchHLine_2_102" hidden="1">
          <a:extLst>
            <a:ext uri="{FF2B5EF4-FFF2-40B4-BE49-F238E27FC236}">
              <a16:creationId xmlns:a16="http://schemas.microsoft.com/office/drawing/2014/main" id="{CAD8CF17-CB7A-48F5-B0F2-E0D6EF8373D6}"/>
            </a:ext>
          </a:extLst>
        </xdr:cNvPr>
        <xdr:cNvCxnSpPr/>
      </xdr:nvCxnSpPr>
      <xdr:spPr>
        <a:xfrm>
          <a:off x="12277534" y="320560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189</xdr:row>
      <xdr:rowOff>156846</xdr:rowOff>
    </xdr:from>
    <xdr:to>
      <xdr:col>8</xdr:col>
      <xdr:colOff>228409</xdr:colOff>
      <xdr:row>191</xdr:row>
      <xdr:rowOff>151767</xdr:rowOff>
    </xdr:to>
    <xdr:cxnSp macro="_xll.PtreeEvent_ObjectClick">
      <xdr:nvCxnSpPr>
        <xdr:cNvPr id="412" name="PTObj_DBranchDLine_2_102" hidden="1">
          <a:extLst>
            <a:ext uri="{FF2B5EF4-FFF2-40B4-BE49-F238E27FC236}">
              <a16:creationId xmlns:a16="http://schemas.microsoft.com/office/drawing/2014/main" id="{E32BB473-D7E8-4AA7-9528-DFF999C42DD3}"/>
            </a:ext>
          </a:extLst>
        </xdr:cNvPr>
        <xdr:cNvCxnSpPr/>
      </xdr:nvCxnSpPr>
      <xdr:spPr>
        <a:xfrm flipV="1">
          <a:off x="12125134" y="320560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191</xdr:row>
      <xdr:rowOff>156846</xdr:rowOff>
    </xdr:from>
    <xdr:to>
      <xdr:col>8</xdr:col>
      <xdr:colOff>127</xdr:colOff>
      <xdr:row>191</xdr:row>
      <xdr:rowOff>156846</xdr:rowOff>
    </xdr:to>
    <xdr:cxnSp macro="_xll.PtreeEvent_ObjectClick">
      <xdr:nvCxnSpPr>
        <xdr:cNvPr id="409" name="PTObj_DBranchHLine_2_101" hidden="1">
          <a:extLst>
            <a:ext uri="{FF2B5EF4-FFF2-40B4-BE49-F238E27FC236}">
              <a16:creationId xmlns:a16="http://schemas.microsoft.com/office/drawing/2014/main" id="{E257EB97-62F8-473D-8B1A-72791C59263C}"/>
            </a:ext>
          </a:extLst>
        </xdr:cNvPr>
        <xdr:cNvCxnSpPr/>
      </xdr:nvCxnSpPr>
      <xdr:spPr>
        <a:xfrm>
          <a:off x="10782109" y="323799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187</xdr:row>
      <xdr:rowOff>151767</xdr:rowOff>
    </xdr:from>
    <xdr:to>
      <xdr:col>7</xdr:col>
      <xdr:colOff>228409</xdr:colOff>
      <xdr:row>191</xdr:row>
      <xdr:rowOff>156846</xdr:rowOff>
    </xdr:to>
    <xdr:cxnSp macro="_xll.PtreeEvent_ObjectClick">
      <xdr:nvCxnSpPr>
        <xdr:cNvPr id="408" name="PTObj_DBranchDLine_2_101" hidden="1">
          <a:extLst>
            <a:ext uri="{FF2B5EF4-FFF2-40B4-BE49-F238E27FC236}">
              <a16:creationId xmlns:a16="http://schemas.microsoft.com/office/drawing/2014/main" id="{4EA71440-F86B-450E-82A7-26591876F36F}"/>
            </a:ext>
          </a:extLst>
        </xdr:cNvPr>
        <xdr:cNvCxnSpPr/>
      </xdr:nvCxnSpPr>
      <xdr:spPr>
        <a:xfrm>
          <a:off x="10629709" y="31727142"/>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185</xdr:row>
      <xdr:rowOff>156846</xdr:rowOff>
    </xdr:from>
    <xdr:to>
      <xdr:col>9</xdr:col>
      <xdr:colOff>127</xdr:colOff>
      <xdr:row>185</xdr:row>
      <xdr:rowOff>156846</xdr:rowOff>
    </xdr:to>
    <xdr:cxnSp macro="_xll.PtreeEvent_ObjectClick">
      <xdr:nvCxnSpPr>
        <xdr:cNvPr id="405" name="PTObj_DBranchHLine_2_100" hidden="1">
          <a:extLst>
            <a:ext uri="{FF2B5EF4-FFF2-40B4-BE49-F238E27FC236}">
              <a16:creationId xmlns:a16="http://schemas.microsoft.com/office/drawing/2014/main" id="{B4A8374A-22B6-488B-B660-D4397910DC98}"/>
            </a:ext>
          </a:extLst>
        </xdr:cNvPr>
        <xdr:cNvCxnSpPr/>
      </xdr:nvCxnSpPr>
      <xdr:spPr>
        <a:xfrm>
          <a:off x="12277534" y="314083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183</xdr:row>
      <xdr:rowOff>151767</xdr:rowOff>
    </xdr:from>
    <xdr:to>
      <xdr:col>8</xdr:col>
      <xdr:colOff>228409</xdr:colOff>
      <xdr:row>185</xdr:row>
      <xdr:rowOff>156846</xdr:rowOff>
    </xdr:to>
    <xdr:cxnSp macro="_xll.PtreeEvent_ObjectClick">
      <xdr:nvCxnSpPr>
        <xdr:cNvPr id="404" name="PTObj_DBranchDLine_2_100" hidden="1">
          <a:extLst>
            <a:ext uri="{FF2B5EF4-FFF2-40B4-BE49-F238E27FC236}">
              <a16:creationId xmlns:a16="http://schemas.microsoft.com/office/drawing/2014/main" id="{8763AC48-3997-42AE-AEBD-E422F678DC13}"/>
            </a:ext>
          </a:extLst>
        </xdr:cNvPr>
        <xdr:cNvCxnSpPr/>
      </xdr:nvCxnSpPr>
      <xdr:spPr>
        <a:xfrm>
          <a:off x="12125134" y="310794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181</xdr:row>
      <xdr:rowOff>156846</xdr:rowOff>
    </xdr:from>
    <xdr:to>
      <xdr:col>9</xdr:col>
      <xdr:colOff>127</xdr:colOff>
      <xdr:row>181</xdr:row>
      <xdr:rowOff>156846</xdr:rowOff>
    </xdr:to>
    <xdr:cxnSp macro="_xll.PtreeEvent_ObjectClick">
      <xdr:nvCxnSpPr>
        <xdr:cNvPr id="401" name="PTObj_DBranchHLine_2_99" hidden="1">
          <a:extLst>
            <a:ext uri="{FF2B5EF4-FFF2-40B4-BE49-F238E27FC236}">
              <a16:creationId xmlns:a16="http://schemas.microsoft.com/office/drawing/2014/main" id="{23E8C640-7625-43FC-A2A5-5BA85D52BA0F}"/>
            </a:ext>
          </a:extLst>
        </xdr:cNvPr>
        <xdr:cNvCxnSpPr/>
      </xdr:nvCxnSpPr>
      <xdr:spPr>
        <a:xfrm>
          <a:off x="12277534" y="307606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181</xdr:row>
      <xdr:rowOff>156846</xdr:rowOff>
    </xdr:from>
    <xdr:to>
      <xdr:col>8</xdr:col>
      <xdr:colOff>228409</xdr:colOff>
      <xdr:row>183</xdr:row>
      <xdr:rowOff>151767</xdr:rowOff>
    </xdr:to>
    <xdr:cxnSp macro="_xll.PtreeEvent_ObjectClick">
      <xdr:nvCxnSpPr>
        <xdr:cNvPr id="400" name="PTObj_DBranchDLine_2_99" hidden="1">
          <a:extLst>
            <a:ext uri="{FF2B5EF4-FFF2-40B4-BE49-F238E27FC236}">
              <a16:creationId xmlns:a16="http://schemas.microsoft.com/office/drawing/2014/main" id="{E3CF7AB9-9122-443F-B964-83162E67CDBC}"/>
            </a:ext>
          </a:extLst>
        </xdr:cNvPr>
        <xdr:cNvCxnSpPr/>
      </xdr:nvCxnSpPr>
      <xdr:spPr>
        <a:xfrm flipV="1">
          <a:off x="12125134" y="307606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183</xdr:row>
      <xdr:rowOff>156846</xdr:rowOff>
    </xdr:from>
    <xdr:to>
      <xdr:col>8</xdr:col>
      <xdr:colOff>127</xdr:colOff>
      <xdr:row>183</xdr:row>
      <xdr:rowOff>156846</xdr:rowOff>
    </xdr:to>
    <xdr:cxnSp macro="_xll.PtreeEvent_ObjectClick">
      <xdr:nvCxnSpPr>
        <xdr:cNvPr id="397" name="PTObj_DBranchHLine_2_98" hidden="1">
          <a:extLst>
            <a:ext uri="{FF2B5EF4-FFF2-40B4-BE49-F238E27FC236}">
              <a16:creationId xmlns:a16="http://schemas.microsoft.com/office/drawing/2014/main" id="{18D527DD-B802-4D77-B8B1-F5BD63B6027A}"/>
            </a:ext>
          </a:extLst>
        </xdr:cNvPr>
        <xdr:cNvCxnSpPr/>
      </xdr:nvCxnSpPr>
      <xdr:spPr>
        <a:xfrm>
          <a:off x="10782109" y="310845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183</xdr:row>
      <xdr:rowOff>156846</xdr:rowOff>
    </xdr:from>
    <xdr:to>
      <xdr:col>7</xdr:col>
      <xdr:colOff>228409</xdr:colOff>
      <xdr:row>187</xdr:row>
      <xdr:rowOff>151767</xdr:rowOff>
    </xdr:to>
    <xdr:cxnSp macro="_xll.PtreeEvent_ObjectClick">
      <xdr:nvCxnSpPr>
        <xdr:cNvPr id="396" name="PTObj_DBranchDLine_2_98" hidden="1">
          <a:extLst>
            <a:ext uri="{FF2B5EF4-FFF2-40B4-BE49-F238E27FC236}">
              <a16:creationId xmlns:a16="http://schemas.microsoft.com/office/drawing/2014/main" id="{FF245211-C3F8-4E19-8ADC-DEDE8E78E0B6}"/>
            </a:ext>
          </a:extLst>
        </xdr:cNvPr>
        <xdr:cNvCxnSpPr/>
      </xdr:nvCxnSpPr>
      <xdr:spPr>
        <a:xfrm flipV="1">
          <a:off x="10629709" y="31084521"/>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187</xdr:row>
      <xdr:rowOff>156846</xdr:rowOff>
    </xdr:from>
    <xdr:to>
      <xdr:col>7</xdr:col>
      <xdr:colOff>127</xdr:colOff>
      <xdr:row>187</xdr:row>
      <xdr:rowOff>156846</xdr:rowOff>
    </xdr:to>
    <xdr:cxnSp macro="_xll.PtreeEvent_ObjectClick">
      <xdr:nvCxnSpPr>
        <xdr:cNvPr id="393" name="PTObj_DBranchHLine_2_97" hidden="1">
          <a:extLst>
            <a:ext uri="{FF2B5EF4-FFF2-40B4-BE49-F238E27FC236}">
              <a16:creationId xmlns:a16="http://schemas.microsoft.com/office/drawing/2014/main" id="{D6BBAB0D-F3C2-4E30-B9AA-2455A62F7D60}"/>
            </a:ext>
          </a:extLst>
        </xdr:cNvPr>
        <xdr:cNvCxnSpPr/>
      </xdr:nvCxnSpPr>
      <xdr:spPr>
        <a:xfrm>
          <a:off x="9286684" y="317322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159</xdr:row>
      <xdr:rowOff>151767</xdr:rowOff>
    </xdr:from>
    <xdr:to>
      <xdr:col>6</xdr:col>
      <xdr:colOff>228409</xdr:colOff>
      <xdr:row>187</xdr:row>
      <xdr:rowOff>156846</xdr:rowOff>
    </xdr:to>
    <xdr:cxnSp macro="_xll.PtreeEvent_ObjectClick">
      <xdr:nvCxnSpPr>
        <xdr:cNvPr id="392" name="PTObj_DBranchDLine_2_97" hidden="1">
          <a:extLst>
            <a:ext uri="{FF2B5EF4-FFF2-40B4-BE49-F238E27FC236}">
              <a16:creationId xmlns:a16="http://schemas.microsoft.com/office/drawing/2014/main" id="{5DF6E799-26DE-44E4-8002-475FDE62555C}"/>
            </a:ext>
          </a:extLst>
        </xdr:cNvPr>
        <xdr:cNvCxnSpPr/>
      </xdr:nvCxnSpPr>
      <xdr:spPr>
        <a:xfrm>
          <a:off x="9134284" y="27193242"/>
          <a:ext cx="152400" cy="45389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179</xdr:row>
      <xdr:rowOff>156846</xdr:rowOff>
    </xdr:from>
    <xdr:to>
      <xdr:col>9</xdr:col>
      <xdr:colOff>127</xdr:colOff>
      <xdr:row>179</xdr:row>
      <xdr:rowOff>156846</xdr:rowOff>
    </xdr:to>
    <xdr:cxnSp macro="_xll.PtreeEvent_ObjectClick">
      <xdr:nvCxnSpPr>
        <xdr:cNvPr id="389" name="PTObj_DBranchHLine_2_96" hidden="1">
          <a:extLst>
            <a:ext uri="{FF2B5EF4-FFF2-40B4-BE49-F238E27FC236}">
              <a16:creationId xmlns:a16="http://schemas.microsoft.com/office/drawing/2014/main" id="{3186A8EB-5E7A-42F6-8499-E8AFF0F4D28C}"/>
            </a:ext>
          </a:extLst>
        </xdr:cNvPr>
        <xdr:cNvCxnSpPr/>
      </xdr:nvCxnSpPr>
      <xdr:spPr>
        <a:xfrm>
          <a:off x="12277534" y="304368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177</xdr:row>
      <xdr:rowOff>151767</xdr:rowOff>
    </xdr:from>
    <xdr:to>
      <xdr:col>8</xdr:col>
      <xdr:colOff>228409</xdr:colOff>
      <xdr:row>179</xdr:row>
      <xdr:rowOff>156846</xdr:rowOff>
    </xdr:to>
    <xdr:cxnSp macro="_xll.PtreeEvent_ObjectClick">
      <xdr:nvCxnSpPr>
        <xdr:cNvPr id="388" name="PTObj_DBranchDLine_2_96" hidden="1">
          <a:extLst>
            <a:ext uri="{FF2B5EF4-FFF2-40B4-BE49-F238E27FC236}">
              <a16:creationId xmlns:a16="http://schemas.microsoft.com/office/drawing/2014/main" id="{DC1F6759-3E5B-4CE3-B758-7BABDBCFD8FF}"/>
            </a:ext>
          </a:extLst>
        </xdr:cNvPr>
        <xdr:cNvCxnSpPr/>
      </xdr:nvCxnSpPr>
      <xdr:spPr>
        <a:xfrm>
          <a:off x="12125134" y="3010789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175</xdr:row>
      <xdr:rowOff>156846</xdr:rowOff>
    </xdr:from>
    <xdr:to>
      <xdr:col>9</xdr:col>
      <xdr:colOff>127</xdr:colOff>
      <xdr:row>175</xdr:row>
      <xdr:rowOff>156846</xdr:rowOff>
    </xdr:to>
    <xdr:cxnSp macro="_xll.PtreeEvent_ObjectClick">
      <xdr:nvCxnSpPr>
        <xdr:cNvPr id="385" name="PTObj_DBranchHLine_2_95" hidden="1">
          <a:extLst>
            <a:ext uri="{FF2B5EF4-FFF2-40B4-BE49-F238E27FC236}">
              <a16:creationId xmlns:a16="http://schemas.microsoft.com/office/drawing/2014/main" id="{7A1B15B9-0A6D-4CBE-A188-0F29C326B259}"/>
            </a:ext>
          </a:extLst>
        </xdr:cNvPr>
        <xdr:cNvCxnSpPr/>
      </xdr:nvCxnSpPr>
      <xdr:spPr>
        <a:xfrm>
          <a:off x="12277534" y="297891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175</xdr:row>
      <xdr:rowOff>156846</xdr:rowOff>
    </xdr:from>
    <xdr:to>
      <xdr:col>8</xdr:col>
      <xdr:colOff>228409</xdr:colOff>
      <xdr:row>177</xdr:row>
      <xdr:rowOff>151767</xdr:rowOff>
    </xdr:to>
    <xdr:cxnSp macro="_xll.PtreeEvent_ObjectClick">
      <xdr:nvCxnSpPr>
        <xdr:cNvPr id="384" name="PTObj_DBranchDLine_2_95" hidden="1">
          <a:extLst>
            <a:ext uri="{FF2B5EF4-FFF2-40B4-BE49-F238E27FC236}">
              <a16:creationId xmlns:a16="http://schemas.microsoft.com/office/drawing/2014/main" id="{52DE86B1-3CF0-45C0-8E9E-D087C0F815B6}"/>
            </a:ext>
          </a:extLst>
        </xdr:cNvPr>
        <xdr:cNvCxnSpPr/>
      </xdr:nvCxnSpPr>
      <xdr:spPr>
        <a:xfrm flipV="1">
          <a:off x="12125134" y="2978912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177</xdr:row>
      <xdr:rowOff>156846</xdr:rowOff>
    </xdr:from>
    <xdr:to>
      <xdr:col>8</xdr:col>
      <xdr:colOff>127</xdr:colOff>
      <xdr:row>177</xdr:row>
      <xdr:rowOff>156846</xdr:rowOff>
    </xdr:to>
    <xdr:cxnSp macro="_xll.PtreeEvent_ObjectClick">
      <xdr:nvCxnSpPr>
        <xdr:cNvPr id="381" name="PTObj_DBranchHLine_2_94" hidden="1">
          <a:extLst>
            <a:ext uri="{FF2B5EF4-FFF2-40B4-BE49-F238E27FC236}">
              <a16:creationId xmlns:a16="http://schemas.microsoft.com/office/drawing/2014/main" id="{9B24D358-E010-4EFD-9559-BF69DBB5DFA4}"/>
            </a:ext>
          </a:extLst>
        </xdr:cNvPr>
        <xdr:cNvCxnSpPr/>
      </xdr:nvCxnSpPr>
      <xdr:spPr>
        <a:xfrm>
          <a:off x="10782109" y="301129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167</xdr:row>
      <xdr:rowOff>151767</xdr:rowOff>
    </xdr:from>
    <xdr:to>
      <xdr:col>7</xdr:col>
      <xdr:colOff>228409</xdr:colOff>
      <xdr:row>177</xdr:row>
      <xdr:rowOff>156846</xdr:rowOff>
    </xdr:to>
    <xdr:cxnSp macro="_xll.PtreeEvent_ObjectClick">
      <xdr:nvCxnSpPr>
        <xdr:cNvPr id="380" name="PTObj_DBranchDLine_2_94" hidden="1">
          <a:extLst>
            <a:ext uri="{FF2B5EF4-FFF2-40B4-BE49-F238E27FC236}">
              <a16:creationId xmlns:a16="http://schemas.microsoft.com/office/drawing/2014/main" id="{137397B0-C805-4DA3-A127-348E5985252E}"/>
            </a:ext>
          </a:extLst>
        </xdr:cNvPr>
        <xdr:cNvCxnSpPr/>
      </xdr:nvCxnSpPr>
      <xdr:spPr>
        <a:xfrm>
          <a:off x="10629709" y="28488642"/>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173</xdr:row>
      <xdr:rowOff>156846</xdr:rowOff>
    </xdr:from>
    <xdr:to>
      <xdr:col>9</xdr:col>
      <xdr:colOff>127</xdr:colOff>
      <xdr:row>173</xdr:row>
      <xdr:rowOff>156846</xdr:rowOff>
    </xdr:to>
    <xdr:cxnSp macro="_xll.PtreeEvent_ObjectClick">
      <xdr:nvCxnSpPr>
        <xdr:cNvPr id="377" name="PTObj_DBranchHLine_2_93" hidden="1">
          <a:extLst>
            <a:ext uri="{FF2B5EF4-FFF2-40B4-BE49-F238E27FC236}">
              <a16:creationId xmlns:a16="http://schemas.microsoft.com/office/drawing/2014/main" id="{36E6235F-2299-422D-BA7F-FEC6BFB107A9}"/>
            </a:ext>
          </a:extLst>
        </xdr:cNvPr>
        <xdr:cNvCxnSpPr/>
      </xdr:nvCxnSpPr>
      <xdr:spPr>
        <a:xfrm>
          <a:off x="12277534" y="294652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171</xdr:row>
      <xdr:rowOff>151767</xdr:rowOff>
    </xdr:from>
    <xdr:to>
      <xdr:col>8</xdr:col>
      <xdr:colOff>228409</xdr:colOff>
      <xdr:row>173</xdr:row>
      <xdr:rowOff>156846</xdr:rowOff>
    </xdr:to>
    <xdr:cxnSp macro="_xll.PtreeEvent_ObjectClick">
      <xdr:nvCxnSpPr>
        <xdr:cNvPr id="376" name="PTObj_DBranchDLine_2_93" hidden="1">
          <a:extLst>
            <a:ext uri="{FF2B5EF4-FFF2-40B4-BE49-F238E27FC236}">
              <a16:creationId xmlns:a16="http://schemas.microsoft.com/office/drawing/2014/main" id="{B945F29C-D907-48A0-802B-7356386E1FA3}"/>
            </a:ext>
          </a:extLst>
        </xdr:cNvPr>
        <xdr:cNvCxnSpPr/>
      </xdr:nvCxnSpPr>
      <xdr:spPr>
        <a:xfrm>
          <a:off x="12125134" y="291363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169</xdr:row>
      <xdr:rowOff>156846</xdr:rowOff>
    </xdr:from>
    <xdr:to>
      <xdr:col>9</xdr:col>
      <xdr:colOff>127</xdr:colOff>
      <xdr:row>169</xdr:row>
      <xdr:rowOff>156846</xdr:rowOff>
    </xdr:to>
    <xdr:cxnSp macro="_xll.PtreeEvent_ObjectClick">
      <xdr:nvCxnSpPr>
        <xdr:cNvPr id="373" name="PTObj_DBranchHLine_2_92" hidden="1">
          <a:extLst>
            <a:ext uri="{FF2B5EF4-FFF2-40B4-BE49-F238E27FC236}">
              <a16:creationId xmlns:a16="http://schemas.microsoft.com/office/drawing/2014/main" id="{F35E47E4-4C5A-432D-A406-B653B3B03350}"/>
            </a:ext>
          </a:extLst>
        </xdr:cNvPr>
        <xdr:cNvCxnSpPr/>
      </xdr:nvCxnSpPr>
      <xdr:spPr>
        <a:xfrm>
          <a:off x="12277534" y="288175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169</xdr:row>
      <xdr:rowOff>156846</xdr:rowOff>
    </xdr:from>
    <xdr:to>
      <xdr:col>8</xdr:col>
      <xdr:colOff>228409</xdr:colOff>
      <xdr:row>171</xdr:row>
      <xdr:rowOff>151767</xdr:rowOff>
    </xdr:to>
    <xdr:cxnSp macro="_xll.PtreeEvent_ObjectClick">
      <xdr:nvCxnSpPr>
        <xdr:cNvPr id="372" name="PTObj_DBranchDLine_2_92" hidden="1">
          <a:extLst>
            <a:ext uri="{FF2B5EF4-FFF2-40B4-BE49-F238E27FC236}">
              <a16:creationId xmlns:a16="http://schemas.microsoft.com/office/drawing/2014/main" id="{14793858-61FB-4EBD-B239-26EAE9694419}"/>
            </a:ext>
          </a:extLst>
        </xdr:cNvPr>
        <xdr:cNvCxnSpPr/>
      </xdr:nvCxnSpPr>
      <xdr:spPr>
        <a:xfrm flipV="1">
          <a:off x="12125134" y="288175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171</xdr:row>
      <xdr:rowOff>156846</xdr:rowOff>
    </xdr:from>
    <xdr:to>
      <xdr:col>8</xdr:col>
      <xdr:colOff>127</xdr:colOff>
      <xdr:row>171</xdr:row>
      <xdr:rowOff>156846</xdr:rowOff>
    </xdr:to>
    <xdr:cxnSp macro="_xll.PtreeEvent_ObjectClick">
      <xdr:nvCxnSpPr>
        <xdr:cNvPr id="369" name="PTObj_DBranchHLine_2_91" hidden="1">
          <a:extLst>
            <a:ext uri="{FF2B5EF4-FFF2-40B4-BE49-F238E27FC236}">
              <a16:creationId xmlns:a16="http://schemas.microsoft.com/office/drawing/2014/main" id="{E93C0F6C-7347-45D2-A886-676DDA35A418}"/>
            </a:ext>
          </a:extLst>
        </xdr:cNvPr>
        <xdr:cNvCxnSpPr/>
      </xdr:nvCxnSpPr>
      <xdr:spPr>
        <a:xfrm>
          <a:off x="10782109" y="291414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167</xdr:row>
      <xdr:rowOff>151767</xdr:rowOff>
    </xdr:from>
    <xdr:to>
      <xdr:col>7</xdr:col>
      <xdr:colOff>228409</xdr:colOff>
      <xdr:row>171</xdr:row>
      <xdr:rowOff>156846</xdr:rowOff>
    </xdr:to>
    <xdr:cxnSp macro="_xll.PtreeEvent_ObjectClick">
      <xdr:nvCxnSpPr>
        <xdr:cNvPr id="368" name="PTObj_DBranchDLine_2_91" hidden="1">
          <a:extLst>
            <a:ext uri="{FF2B5EF4-FFF2-40B4-BE49-F238E27FC236}">
              <a16:creationId xmlns:a16="http://schemas.microsoft.com/office/drawing/2014/main" id="{58DA6C68-F391-475C-8D2A-69B4B7932D18}"/>
            </a:ext>
          </a:extLst>
        </xdr:cNvPr>
        <xdr:cNvCxnSpPr/>
      </xdr:nvCxnSpPr>
      <xdr:spPr>
        <a:xfrm>
          <a:off x="10629709" y="28488642"/>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165</xdr:row>
      <xdr:rowOff>156846</xdr:rowOff>
    </xdr:from>
    <xdr:to>
      <xdr:col>9</xdr:col>
      <xdr:colOff>127</xdr:colOff>
      <xdr:row>165</xdr:row>
      <xdr:rowOff>156846</xdr:rowOff>
    </xdr:to>
    <xdr:cxnSp macro="_xll.PtreeEvent_ObjectClick">
      <xdr:nvCxnSpPr>
        <xdr:cNvPr id="365" name="PTObj_DBranchHLine_2_90" hidden="1">
          <a:extLst>
            <a:ext uri="{FF2B5EF4-FFF2-40B4-BE49-F238E27FC236}">
              <a16:creationId xmlns:a16="http://schemas.microsoft.com/office/drawing/2014/main" id="{E366037B-D588-4FF0-8343-93B22C108D9C}"/>
            </a:ext>
          </a:extLst>
        </xdr:cNvPr>
        <xdr:cNvCxnSpPr/>
      </xdr:nvCxnSpPr>
      <xdr:spPr>
        <a:xfrm>
          <a:off x="12277534" y="281698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163</xdr:row>
      <xdr:rowOff>151767</xdr:rowOff>
    </xdr:from>
    <xdr:to>
      <xdr:col>8</xdr:col>
      <xdr:colOff>228409</xdr:colOff>
      <xdr:row>165</xdr:row>
      <xdr:rowOff>156846</xdr:rowOff>
    </xdr:to>
    <xdr:cxnSp macro="_xll.PtreeEvent_ObjectClick">
      <xdr:nvCxnSpPr>
        <xdr:cNvPr id="364" name="PTObj_DBranchDLine_2_90" hidden="1">
          <a:extLst>
            <a:ext uri="{FF2B5EF4-FFF2-40B4-BE49-F238E27FC236}">
              <a16:creationId xmlns:a16="http://schemas.microsoft.com/office/drawing/2014/main" id="{85E120A3-38E6-424C-9DA1-4DD9A653464B}"/>
            </a:ext>
          </a:extLst>
        </xdr:cNvPr>
        <xdr:cNvCxnSpPr/>
      </xdr:nvCxnSpPr>
      <xdr:spPr>
        <a:xfrm>
          <a:off x="12125134" y="278409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161</xdr:row>
      <xdr:rowOff>156846</xdr:rowOff>
    </xdr:from>
    <xdr:to>
      <xdr:col>9</xdr:col>
      <xdr:colOff>127</xdr:colOff>
      <xdr:row>161</xdr:row>
      <xdr:rowOff>156846</xdr:rowOff>
    </xdr:to>
    <xdr:cxnSp macro="_xll.PtreeEvent_ObjectClick">
      <xdr:nvCxnSpPr>
        <xdr:cNvPr id="361" name="PTObj_DBranchHLine_2_89" hidden="1">
          <a:extLst>
            <a:ext uri="{FF2B5EF4-FFF2-40B4-BE49-F238E27FC236}">
              <a16:creationId xmlns:a16="http://schemas.microsoft.com/office/drawing/2014/main" id="{ED5EC089-762A-4B2D-BB34-634055230D7B}"/>
            </a:ext>
          </a:extLst>
        </xdr:cNvPr>
        <xdr:cNvCxnSpPr/>
      </xdr:nvCxnSpPr>
      <xdr:spPr>
        <a:xfrm>
          <a:off x="12277534" y="275221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161</xdr:row>
      <xdr:rowOff>156846</xdr:rowOff>
    </xdr:from>
    <xdr:to>
      <xdr:col>8</xdr:col>
      <xdr:colOff>228409</xdr:colOff>
      <xdr:row>163</xdr:row>
      <xdr:rowOff>151767</xdr:rowOff>
    </xdr:to>
    <xdr:cxnSp macro="_xll.PtreeEvent_ObjectClick">
      <xdr:nvCxnSpPr>
        <xdr:cNvPr id="360" name="PTObj_DBranchDLine_2_89" hidden="1">
          <a:extLst>
            <a:ext uri="{FF2B5EF4-FFF2-40B4-BE49-F238E27FC236}">
              <a16:creationId xmlns:a16="http://schemas.microsoft.com/office/drawing/2014/main" id="{7AFA845E-11BD-4355-B58C-B645EE105004}"/>
            </a:ext>
          </a:extLst>
        </xdr:cNvPr>
        <xdr:cNvCxnSpPr/>
      </xdr:nvCxnSpPr>
      <xdr:spPr>
        <a:xfrm flipV="1">
          <a:off x="12125134" y="275221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163</xdr:row>
      <xdr:rowOff>156846</xdr:rowOff>
    </xdr:from>
    <xdr:to>
      <xdr:col>8</xdr:col>
      <xdr:colOff>127</xdr:colOff>
      <xdr:row>163</xdr:row>
      <xdr:rowOff>156846</xdr:rowOff>
    </xdr:to>
    <xdr:cxnSp macro="_xll.PtreeEvent_ObjectClick">
      <xdr:nvCxnSpPr>
        <xdr:cNvPr id="357" name="PTObj_DBranchHLine_2_88" hidden="1">
          <a:extLst>
            <a:ext uri="{FF2B5EF4-FFF2-40B4-BE49-F238E27FC236}">
              <a16:creationId xmlns:a16="http://schemas.microsoft.com/office/drawing/2014/main" id="{8BD9724C-4829-42A3-AFD5-C79B80FF03A9}"/>
            </a:ext>
          </a:extLst>
        </xdr:cNvPr>
        <xdr:cNvCxnSpPr/>
      </xdr:nvCxnSpPr>
      <xdr:spPr>
        <a:xfrm>
          <a:off x="10782109" y="278460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163</xdr:row>
      <xdr:rowOff>156846</xdr:rowOff>
    </xdr:from>
    <xdr:to>
      <xdr:col>7</xdr:col>
      <xdr:colOff>228409</xdr:colOff>
      <xdr:row>167</xdr:row>
      <xdr:rowOff>151767</xdr:rowOff>
    </xdr:to>
    <xdr:cxnSp macro="_xll.PtreeEvent_ObjectClick">
      <xdr:nvCxnSpPr>
        <xdr:cNvPr id="356" name="PTObj_DBranchDLine_2_88" hidden="1">
          <a:extLst>
            <a:ext uri="{FF2B5EF4-FFF2-40B4-BE49-F238E27FC236}">
              <a16:creationId xmlns:a16="http://schemas.microsoft.com/office/drawing/2014/main" id="{FCE33E24-5B97-480F-8CED-DDB17CF4B3FA}"/>
            </a:ext>
          </a:extLst>
        </xdr:cNvPr>
        <xdr:cNvCxnSpPr/>
      </xdr:nvCxnSpPr>
      <xdr:spPr>
        <a:xfrm flipV="1">
          <a:off x="10629709" y="27846021"/>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167</xdr:row>
      <xdr:rowOff>156846</xdr:rowOff>
    </xdr:from>
    <xdr:to>
      <xdr:col>7</xdr:col>
      <xdr:colOff>127</xdr:colOff>
      <xdr:row>167</xdr:row>
      <xdr:rowOff>156846</xdr:rowOff>
    </xdr:to>
    <xdr:cxnSp macro="_xll.PtreeEvent_ObjectClick">
      <xdr:nvCxnSpPr>
        <xdr:cNvPr id="353" name="PTObj_DBranchHLine_2_87" hidden="1">
          <a:extLst>
            <a:ext uri="{FF2B5EF4-FFF2-40B4-BE49-F238E27FC236}">
              <a16:creationId xmlns:a16="http://schemas.microsoft.com/office/drawing/2014/main" id="{E9201351-B982-4F36-BDDC-50A1E08809E2}"/>
            </a:ext>
          </a:extLst>
        </xdr:cNvPr>
        <xdr:cNvCxnSpPr/>
      </xdr:nvCxnSpPr>
      <xdr:spPr>
        <a:xfrm>
          <a:off x="9286684" y="284937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159</xdr:row>
      <xdr:rowOff>151767</xdr:rowOff>
    </xdr:from>
    <xdr:to>
      <xdr:col>6</xdr:col>
      <xdr:colOff>228409</xdr:colOff>
      <xdr:row>167</xdr:row>
      <xdr:rowOff>156846</xdr:rowOff>
    </xdr:to>
    <xdr:cxnSp macro="_xll.PtreeEvent_ObjectClick">
      <xdr:nvCxnSpPr>
        <xdr:cNvPr id="352" name="PTObj_DBranchDLine_2_87" hidden="1">
          <a:extLst>
            <a:ext uri="{FF2B5EF4-FFF2-40B4-BE49-F238E27FC236}">
              <a16:creationId xmlns:a16="http://schemas.microsoft.com/office/drawing/2014/main" id="{3D6C6811-4120-4D64-9A5F-074543DC1ADF}"/>
            </a:ext>
          </a:extLst>
        </xdr:cNvPr>
        <xdr:cNvCxnSpPr/>
      </xdr:nvCxnSpPr>
      <xdr:spPr>
        <a:xfrm>
          <a:off x="9134284" y="27193242"/>
          <a:ext cx="152400" cy="13004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157</xdr:row>
      <xdr:rowOff>156846</xdr:rowOff>
    </xdr:from>
    <xdr:to>
      <xdr:col>9</xdr:col>
      <xdr:colOff>127</xdr:colOff>
      <xdr:row>157</xdr:row>
      <xdr:rowOff>156846</xdr:rowOff>
    </xdr:to>
    <xdr:cxnSp macro="_xll.PtreeEvent_ObjectClick">
      <xdr:nvCxnSpPr>
        <xdr:cNvPr id="349" name="PTObj_DBranchHLine_2_86" hidden="1">
          <a:extLst>
            <a:ext uri="{FF2B5EF4-FFF2-40B4-BE49-F238E27FC236}">
              <a16:creationId xmlns:a16="http://schemas.microsoft.com/office/drawing/2014/main" id="{5A80E3BC-1458-4A68-BC6B-39DABBC22D79}"/>
            </a:ext>
          </a:extLst>
        </xdr:cNvPr>
        <xdr:cNvCxnSpPr/>
      </xdr:nvCxnSpPr>
      <xdr:spPr>
        <a:xfrm>
          <a:off x="12277534" y="268744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155</xdr:row>
      <xdr:rowOff>151767</xdr:rowOff>
    </xdr:from>
    <xdr:to>
      <xdr:col>8</xdr:col>
      <xdr:colOff>228409</xdr:colOff>
      <xdr:row>157</xdr:row>
      <xdr:rowOff>156846</xdr:rowOff>
    </xdr:to>
    <xdr:cxnSp macro="_xll.PtreeEvent_ObjectClick">
      <xdr:nvCxnSpPr>
        <xdr:cNvPr id="348" name="PTObj_DBranchDLine_2_86" hidden="1">
          <a:extLst>
            <a:ext uri="{FF2B5EF4-FFF2-40B4-BE49-F238E27FC236}">
              <a16:creationId xmlns:a16="http://schemas.microsoft.com/office/drawing/2014/main" id="{50CA4091-02F0-4B78-A9F6-CC0543D8858F}"/>
            </a:ext>
          </a:extLst>
        </xdr:cNvPr>
        <xdr:cNvCxnSpPr/>
      </xdr:nvCxnSpPr>
      <xdr:spPr>
        <a:xfrm>
          <a:off x="12125134" y="26545542"/>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153</xdr:row>
      <xdr:rowOff>156846</xdr:rowOff>
    </xdr:from>
    <xdr:to>
      <xdr:col>9</xdr:col>
      <xdr:colOff>127</xdr:colOff>
      <xdr:row>153</xdr:row>
      <xdr:rowOff>156846</xdr:rowOff>
    </xdr:to>
    <xdr:cxnSp macro="_xll.PtreeEvent_ObjectClick">
      <xdr:nvCxnSpPr>
        <xdr:cNvPr id="345" name="PTObj_DBranchHLine_2_85" hidden="1">
          <a:extLst>
            <a:ext uri="{FF2B5EF4-FFF2-40B4-BE49-F238E27FC236}">
              <a16:creationId xmlns:a16="http://schemas.microsoft.com/office/drawing/2014/main" id="{61E35316-68E6-4414-848E-D071F68EEC9E}"/>
            </a:ext>
          </a:extLst>
        </xdr:cNvPr>
        <xdr:cNvCxnSpPr/>
      </xdr:nvCxnSpPr>
      <xdr:spPr>
        <a:xfrm>
          <a:off x="12277534" y="262267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153</xdr:row>
      <xdr:rowOff>156846</xdr:rowOff>
    </xdr:from>
    <xdr:to>
      <xdr:col>8</xdr:col>
      <xdr:colOff>228409</xdr:colOff>
      <xdr:row>155</xdr:row>
      <xdr:rowOff>151767</xdr:rowOff>
    </xdr:to>
    <xdr:cxnSp macro="_xll.PtreeEvent_ObjectClick">
      <xdr:nvCxnSpPr>
        <xdr:cNvPr id="344" name="PTObj_DBranchDLine_2_85" hidden="1">
          <a:extLst>
            <a:ext uri="{FF2B5EF4-FFF2-40B4-BE49-F238E27FC236}">
              <a16:creationId xmlns:a16="http://schemas.microsoft.com/office/drawing/2014/main" id="{8F553B9F-1C09-488B-9F92-21648B5FB212}"/>
            </a:ext>
          </a:extLst>
        </xdr:cNvPr>
        <xdr:cNvCxnSpPr/>
      </xdr:nvCxnSpPr>
      <xdr:spPr>
        <a:xfrm flipV="1">
          <a:off x="12125134" y="26226771"/>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155</xdr:row>
      <xdr:rowOff>156846</xdr:rowOff>
    </xdr:from>
    <xdr:to>
      <xdr:col>8</xdr:col>
      <xdr:colOff>127</xdr:colOff>
      <xdr:row>155</xdr:row>
      <xdr:rowOff>156846</xdr:rowOff>
    </xdr:to>
    <xdr:cxnSp macro="_xll.PtreeEvent_ObjectClick">
      <xdr:nvCxnSpPr>
        <xdr:cNvPr id="341" name="PTObj_DBranchHLine_2_84" hidden="1">
          <a:extLst>
            <a:ext uri="{FF2B5EF4-FFF2-40B4-BE49-F238E27FC236}">
              <a16:creationId xmlns:a16="http://schemas.microsoft.com/office/drawing/2014/main" id="{4210B706-BF3C-4AFE-B281-6FFE5E0C1A6D}"/>
            </a:ext>
          </a:extLst>
        </xdr:cNvPr>
        <xdr:cNvCxnSpPr/>
      </xdr:nvCxnSpPr>
      <xdr:spPr>
        <a:xfrm>
          <a:off x="10782109" y="265506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145</xdr:row>
      <xdr:rowOff>151766</xdr:rowOff>
    </xdr:from>
    <xdr:to>
      <xdr:col>7</xdr:col>
      <xdr:colOff>228409</xdr:colOff>
      <xdr:row>155</xdr:row>
      <xdr:rowOff>156846</xdr:rowOff>
    </xdr:to>
    <xdr:cxnSp macro="_xll.PtreeEvent_ObjectClick">
      <xdr:nvCxnSpPr>
        <xdr:cNvPr id="340" name="PTObj_DBranchDLine_2_84" hidden="1">
          <a:extLst>
            <a:ext uri="{FF2B5EF4-FFF2-40B4-BE49-F238E27FC236}">
              <a16:creationId xmlns:a16="http://schemas.microsoft.com/office/drawing/2014/main" id="{002006D9-4D35-4EAB-93F5-6EC25A0139E9}"/>
            </a:ext>
          </a:extLst>
        </xdr:cNvPr>
        <xdr:cNvCxnSpPr/>
      </xdr:nvCxnSpPr>
      <xdr:spPr>
        <a:xfrm>
          <a:off x="10629709" y="24926291"/>
          <a:ext cx="152400" cy="162433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151</xdr:row>
      <xdr:rowOff>156845</xdr:rowOff>
    </xdr:from>
    <xdr:to>
      <xdr:col>9</xdr:col>
      <xdr:colOff>127</xdr:colOff>
      <xdr:row>151</xdr:row>
      <xdr:rowOff>156845</xdr:rowOff>
    </xdr:to>
    <xdr:cxnSp macro="_xll.PtreeEvent_ObjectClick">
      <xdr:nvCxnSpPr>
        <xdr:cNvPr id="337" name="PTObj_DBranchHLine_2_83" hidden="1">
          <a:extLst>
            <a:ext uri="{FF2B5EF4-FFF2-40B4-BE49-F238E27FC236}">
              <a16:creationId xmlns:a16="http://schemas.microsoft.com/office/drawing/2014/main" id="{F2B03C26-6D5E-4ADA-A171-23F71668C480}"/>
            </a:ext>
          </a:extLst>
        </xdr:cNvPr>
        <xdr:cNvCxnSpPr/>
      </xdr:nvCxnSpPr>
      <xdr:spPr>
        <a:xfrm>
          <a:off x="12277534" y="259029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149</xdr:row>
      <xdr:rowOff>151766</xdr:rowOff>
    </xdr:from>
    <xdr:to>
      <xdr:col>8</xdr:col>
      <xdr:colOff>228409</xdr:colOff>
      <xdr:row>151</xdr:row>
      <xdr:rowOff>156845</xdr:rowOff>
    </xdr:to>
    <xdr:cxnSp macro="_xll.PtreeEvent_ObjectClick">
      <xdr:nvCxnSpPr>
        <xdr:cNvPr id="336" name="PTObj_DBranchDLine_2_83" hidden="1">
          <a:extLst>
            <a:ext uri="{FF2B5EF4-FFF2-40B4-BE49-F238E27FC236}">
              <a16:creationId xmlns:a16="http://schemas.microsoft.com/office/drawing/2014/main" id="{E2B882B8-3B4D-4C17-9B8C-C97310BBF13C}"/>
            </a:ext>
          </a:extLst>
        </xdr:cNvPr>
        <xdr:cNvCxnSpPr/>
      </xdr:nvCxnSpPr>
      <xdr:spPr>
        <a:xfrm>
          <a:off x="12125134" y="255739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147</xdr:row>
      <xdr:rowOff>156845</xdr:rowOff>
    </xdr:from>
    <xdr:to>
      <xdr:col>9</xdr:col>
      <xdr:colOff>127</xdr:colOff>
      <xdr:row>147</xdr:row>
      <xdr:rowOff>156845</xdr:rowOff>
    </xdr:to>
    <xdr:cxnSp macro="_xll.PtreeEvent_ObjectClick">
      <xdr:nvCxnSpPr>
        <xdr:cNvPr id="333" name="PTObj_DBranchHLine_2_82" hidden="1">
          <a:extLst>
            <a:ext uri="{FF2B5EF4-FFF2-40B4-BE49-F238E27FC236}">
              <a16:creationId xmlns:a16="http://schemas.microsoft.com/office/drawing/2014/main" id="{228B5FD3-50BA-4A18-B7B8-0D877DF90766}"/>
            </a:ext>
          </a:extLst>
        </xdr:cNvPr>
        <xdr:cNvCxnSpPr/>
      </xdr:nvCxnSpPr>
      <xdr:spPr>
        <a:xfrm>
          <a:off x="12277534" y="252552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147</xdr:row>
      <xdr:rowOff>156845</xdr:rowOff>
    </xdr:from>
    <xdr:to>
      <xdr:col>8</xdr:col>
      <xdr:colOff>228409</xdr:colOff>
      <xdr:row>149</xdr:row>
      <xdr:rowOff>151766</xdr:rowOff>
    </xdr:to>
    <xdr:cxnSp macro="_xll.PtreeEvent_ObjectClick">
      <xdr:nvCxnSpPr>
        <xdr:cNvPr id="332" name="PTObj_DBranchDLine_2_82" hidden="1">
          <a:extLst>
            <a:ext uri="{FF2B5EF4-FFF2-40B4-BE49-F238E27FC236}">
              <a16:creationId xmlns:a16="http://schemas.microsoft.com/office/drawing/2014/main" id="{FCBDD58A-E59C-4727-BBFD-3D5129933090}"/>
            </a:ext>
          </a:extLst>
        </xdr:cNvPr>
        <xdr:cNvCxnSpPr/>
      </xdr:nvCxnSpPr>
      <xdr:spPr>
        <a:xfrm flipV="1">
          <a:off x="12125134" y="252552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149</xdr:row>
      <xdr:rowOff>156845</xdr:rowOff>
    </xdr:from>
    <xdr:to>
      <xdr:col>8</xdr:col>
      <xdr:colOff>127</xdr:colOff>
      <xdr:row>149</xdr:row>
      <xdr:rowOff>156845</xdr:rowOff>
    </xdr:to>
    <xdr:cxnSp macro="_xll.PtreeEvent_ObjectClick">
      <xdr:nvCxnSpPr>
        <xdr:cNvPr id="329" name="PTObj_DBranchHLine_2_81" hidden="1">
          <a:extLst>
            <a:ext uri="{FF2B5EF4-FFF2-40B4-BE49-F238E27FC236}">
              <a16:creationId xmlns:a16="http://schemas.microsoft.com/office/drawing/2014/main" id="{29D56F2B-B22F-4197-BF1E-A624880C27E3}"/>
            </a:ext>
          </a:extLst>
        </xdr:cNvPr>
        <xdr:cNvCxnSpPr/>
      </xdr:nvCxnSpPr>
      <xdr:spPr>
        <a:xfrm>
          <a:off x="10782109" y="255790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145</xdr:row>
      <xdr:rowOff>151766</xdr:rowOff>
    </xdr:from>
    <xdr:to>
      <xdr:col>7</xdr:col>
      <xdr:colOff>228409</xdr:colOff>
      <xdr:row>149</xdr:row>
      <xdr:rowOff>156845</xdr:rowOff>
    </xdr:to>
    <xdr:cxnSp macro="_xll.PtreeEvent_ObjectClick">
      <xdr:nvCxnSpPr>
        <xdr:cNvPr id="328" name="PTObj_DBranchDLine_2_81" hidden="1">
          <a:extLst>
            <a:ext uri="{FF2B5EF4-FFF2-40B4-BE49-F238E27FC236}">
              <a16:creationId xmlns:a16="http://schemas.microsoft.com/office/drawing/2014/main" id="{1AF8E0E1-0AD5-4D20-AEEF-9BF4B4E63F76}"/>
            </a:ext>
          </a:extLst>
        </xdr:cNvPr>
        <xdr:cNvCxnSpPr/>
      </xdr:nvCxnSpPr>
      <xdr:spPr>
        <a:xfrm>
          <a:off x="10629709" y="24926291"/>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143</xdr:row>
      <xdr:rowOff>156845</xdr:rowOff>
    </xdr:from>
    <xdr:to>
      <xdr:col>9</xdr:col>
      <xdr:colOff>127</xdr:colOff>
      <xdr:row>143</xdr:row>
      <xdr:rowOff>156845</xdr:rowOff>
    </xdr:to>
    <xdr:cxnSp macro="_xll.PtreeEvent_ObjectClick">
      <xdr:nvCxnSpPr>
        <xdr:cNvPr id="325" name="PTObj_DBranchHLine_2_80" hidden="1">
          <a:extLst>
            <a:ext uri="{FF2B5EF4-FFF2-40B4-BE49-F238E27FC236}">
              <a16:creationId xmlns:a16="http://schemas.microsoft.com/office/drawing/2014/main" id="{AE92BA5D-F67D-4A18-AED3-A594A8265964}"/>
            </a:ext>
          </a:extLst>
        </xdr:cNvPr>
        <xdr:cNvCxnSpPr/>
      </xdr:nvCxnSpPr>
      <xdr:spPr>
        <a:xfrm>
          <a:off x="12277534" y="246075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141</xdr:row>
      <xdr:rowOff>151766</xdr:rowOff>
    </xdr:from>
    <xdr:to>
      <xdr:col>8</xdr:col>
      <xdr:colOff>228409</xdr:colOff>
      <xdr:row>143</xdr:row>
      <xdr:rowOff>156845</xdr:rowOff>
    </xdr:to>
    <xdr:cxnSp macro="_xll.PtreeEvent_ObjectClick">
      <xdr:nvCxnSpPr>
        <xdr:cNvPr id="324" name="PTObj_DBranchDLine_2_80" hidden="1">
          <a:extLst>
            <a:ext uri="{FF2B5EF4-FFF2-40B4-BE49-F238E27FC236}">
              <a16:creationId xmlns:a16="http://schemas.microsoft.com/office/drawing/2014/main" id="{3FBC6B66-0EC0-495B-9AB0-ED82F6D0F760}"/>
            </a:ext>
          </a:extLst>
        </xdr:cNvPr>
        <xdr:cNvCxnSpPr/>
      </xdr:nvCxnSpPr>
      <xdr:spPr>
        <a:xfrm>
          <a:off x="12125134" y="242785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139</xdr:row>
      <xdr:rowOff>156845</xdr:rowOff>
    </xdr:from>
    <xdr:to>
      <xdr:col>9</xdr:col>
      <xdr:colOff>127</xdr:colOff>
      <xdr:row>139</xdr:row>
      <xdr:rowOff>156845</xdr:rowOff>
    </xdr:to>
    <xdr:cxnSp macro="_xll.PtreeEvent_ObjectClick">
      <xdr:nvCxnSpPr>
        <xdr:cNvPr id="321" name="PTObj_DBranchHLine_2_79" hidden="1">
          <a:extLst>
            <a:ext uri="{FF2B5EF4-FFF2-40B4-BE49-F238E27FC236}">
              <a16:creationId xmlns:a16="http://schemas.microsoft.com/office/drawing/2014/main" id="{7F0F7E9F-1CEF-4009-95DE-B0A55865DE9D}"/>
            </a:ext>
          </a:extLst>
        </xdr:cNvPr>
        <xdr:cNvCxnSpPr/>
      </xdr:nvCxnSpPr>
      <xdr:spPr>
        <a:xfrm>
          <a:off x="12277534" y="239598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139</xdr:row>
      <xdr:rowOff>156845</xdr:rowOff>
    </xdr:from>
    <xdr:to>
      <xdr:col>8</xdr:col>
      <xdr:colOff>228409</xdr:colOff>
      <xdr:row>141</xdr:row>
      <xdr:rowOff>151766</xdr:rowOff>
    </xdr:to>
    <xdr:cxnSp macro="_xll.PtreeEvent_ObjectClick">
      <xdr:nvCxnSpPr>
        <xdr:cNvPr id="320" name="PTObj_DBranchDLine_2_79" hidden="1">
          <a:extLst>
            <a:ext uri="{FF2B5EF4-FFF2-40B4-BE49-F238E27FC236}">
              <a16:creationId xmlns:a16="http://schemas.microsoft.com/office/drawing/2014/main" id="{D2044EC5-A8BE-4FE7-84CD-8307EE4220BB}"/>
            </a:ext>
          </a:extLst>
        </xdr:cNvPr>
        <xdr:cNvCxnSpPr/>
      </xdr:nvCxnSpPr>
      <xdr:spPr>
        <a:xfrm flipV="1">
          <a:off x="12125134" y="239598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141</xdr:row>
      <xdr:rowOff>156845</xdr:rowOff>
    </xdr:from>
    <xdr:to>
      <xdr:col>8</xdr:col>
      <xdr:colOff>127</xdr:colOff>
      <xdr:row>141</xdr:row>
      <xdr:rowOff>156845</xdr:rowOff>
    </xdr:to>
    <xdr:cxnSp macro="_xll.PtreeEvent_ObjectClick">
      <xdr:nvCxnSpPr>
        <xdr:cNvPr id="317" name="PTObj_DBranchHLine_2_78" hidden="1">
          <a:extLst>
            <a:ext uri="{FF2B5EF4-FFF2-40B4-BE49-F238E27FC236}">
              <a16:creationId xmlns:a16="http://schemas.microsoft.com/office/drawing/2014/main" id="{41BBC499-62EE-490C-99AF-9B6D4759AA0D}"/>
            </a:ext>
          </a:extLst>
        </xdr:cNvPr>
        <xdr:cNvCxnSpPr/>
      </xdr:nvCxnSpPr>
      <xdr:spPr>
        <a:xfrm>
          <a:off x="10782109" y="242836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141</xdr:row>
      <xdr:rowOff>156845</xdr:rowOff>
    </xdr:from>
    <xdr:to>
      <xdr:col>7</xdr:col>
      <xdr:colOff>228409</xdr:colOff>
      <xdr:row>145</xdr:row>
      <xdr:rowOff>151766</xdr:rowOff>
    </xdr:to>
    <xdr:cxnSp macro="_xll.PtreeEvent_ObjectClick">
      <xdr:nvCxnSpPr>
        <xdr:cNvPr id="316" name="PTObj_DBranchDLine_2_78" hidden="1">
          <a:extLst>
            <a:ext uri="{FF2B5EF4-FFF2-40B4-BE49-F238E27FC236}">
              <a16:creationId xmlns:a16="http://schemas.microsoft.com/office/drawing/2014/main" id="{F8DF52B6-FC77-47B5-8821-B2059B815EFF}"/>
            </a:ext>
          </a:extLst>
        </xdr:cNvPr>
        <xdr:cNvCxnSpPr/>
      </xdr:nvCxnSpPr>
      <xdr:spPr>
        <a:xfrm flipV="1">
          <a:off x="10629709" y="24283670"/>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145</xdr:row>
      <xdr:rowOff>156845</xdr:rowOff>
    </xdr:from>
    <xdr:to>
      <xdr:col>7</xdr:col>
      <xdr:colOff>127</xdr:colOff>
      <xdr:row>145</xdr:row>
      <xdr:rowOff>156845</xdr:rowOff>
    </xdr:to>
    <xdr:cxnSp macro="_xll.PtreeEvent_ObjectClick">
      <xdr:nvCxnSpPr>
        <xdr:cNvPr id="313" name="PTObj_DBranchHLine_2_77" hidden="1">
          <a:extLst>
            <a:ext uri="{FF2B5EF4-FFF2-40B4-BE49-F238E27FC236}">
              <a16:creationId xmlns:a16="http://schemas.microsoft.com/office/drawing/2014/main" id="{7D0D2539-E54F-4B98-B332-F6F2967EC360}"/>
            </a:ext>
          </a:extLst>
        </xdr:cNvPr>
        <xdr:cNvCxnSpPr/>
      </xdr:nvCxnSpPr>
      <xdr:spPr>
        <a:xfrm>
          <a:off x="9286684" y="249313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145</xdr:row>
      <xdr:rowOff>156845</xdr:rowOff>
    </xdr:from>
    <xdr:to>
      <xdr:col>6</xdr:col>
      <xdr:colOff>228409</xdr:colOff>
      <xdr:row>159</xdr:row>
      <xdr:rowOff>151767</xdr:rowOff>
    </xdr:to>
    <xdr:cxnSp macro="_xll.PtreeEvent_ObjectClick">
      <xdr:nvCxnSpPr>
        <xdr:cNvPr id="312" name="PTObj_DBranchDLine_2_77" hidden="1">
          <a:extLst>
            <a:ext uri="{FF2B5EF4-FFF2-40B4-BE49-F238E27FC236}">
              <a16:creationId xmlns:a16="http://schemas.microsoft.com/office/drawing/2014/main" id="{6263C3ED-1E05-4CCF-913F-7DEFD095E568}"/>
            </a:ext>
          </a:extLst>
        </xdr:cNvPr>
        <xdr:cNvCxnSpPr/>
      </xdr:nvCxnSpPr>
      <xdr:spPr>
        <a:xfrm flipV="1">
          <a:off x="9134284" y="24931370"/>
          <a:ext cx="152400" cy="2261872"/>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159</xdr:row>
      <xdr:rowOff>156846</xdr:rowOff>
    </xdr:from>
    <xdr:to>
      <xdr:col>6</xdr:col>
      <xdr:colOff>127</xdr:colOff>
      <xdr:row>159</xdr:row>
      <xdr:rowOff>156846</xdr:rowOff>
    </xdr:to>
    <xdr:cxnSp macro="_xll.PtreeEvent_ObjectClick">
      <xdr:nvCxnSpPr>
        <xdr:cNvPr id="309" name="PTObj_DBranchHLine_2_76">
          <a:extLst>
            <a:ext uri="{FF2B5EF4-FFF2-40B4-BE49-F238E27FC236}">
              <a16:creationId xmlns:a16="http://schemas.microsoft.com/office/drawing/2014/main" id="{7A35BD45-BE51-4037-8DB2-362B0F346BBE}"/>
            </a:ext>
          </a:extLst>
        </xdr:cNvPr>
        <xdr:cNvCxnSpPr/>
      </xdr:nvCxnSpPr>
      <xdr:spPr>
        <a:xfrm>
          <a:off x="7791259" y="2719832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159</xdr:row>
      <xdr:rowOff>156846</xdr:rowOff>
    </xdr:from>
    <xdr:to>
      <xdr:col>5</xdr:col>
      <xdr:colOff>228409</xdr:colOff>
      <xdr:row>201</xdr:row>
      <xdr:rowOff>151767</xdr:rowOff>
    </xdr:to>
    <xdr:cxnSp macro="_xll.PtreeEvent_ObjectClick">
      <xdr:nvCxnSpPr>
        <xdr:cNvPr id="308" name="PTObj_DBranchDLine_2_76">
          <a:extLst>
            <a:ext uri="{FF2B5EF4-FFF2-40B4-BE49-F238E27FC236}">
              <a16:creationId xmlns:a16="http://schemas.microsoft.com/office/drawing/2014/main" id="{C8C6FEAD-6BF5-4BFC-9401-E653B48B6AE8}"/>
            </a:ext>
          </a:extLst>
        </xdr:cNvPr>
        <xdr:cNvCxnSpPr/>
      </xdr:nvCxnSpPr>
      <xdr:spPr>
        <a:xfrm flipV="1">
          <a:off x="7638859" y="27198321"/>
          <a:ext cx="152400" cy="6795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228410</xdr:colOff>
      <xdr:row>201</xdr:row>
      <xdr:rowOff>156846</xdr:rowOff>
    </xdr:from>
    <xdr:to>
      <xdr:col>5</xdr:col>
      <xdr:colOff>127</xdr:colOff>
      <xdr:row>201</xdr:row>
      <xdr:rowOff>156846</xdr:rowOff>
    </xdr:to>
    <xdr:cxnSp macro="_xll.PtreeEvent_ObjectClick">
      <xdr:nvCxnSpPr>
        <xdr:cNvPr id="305" name="PTObj_DBranchHLine_2_75">
          <a:extLst>
            <a:ext uri="{FF2B5EF4-FFF2-40B4-BE49-F238E27FC236}">
              <a16:creationId xmlns:a16="http://schemas.microsoft.com/office/drawing/2014/main" id="{D838866E-4EFC-4FDC-B9CC-23CA9282C29A}"/>
            </a:ext>
          </a:extLst>
        </xdr:cNvPr>
        <xdr:cNvCxnSpPr/>
      </xdr:nvCxnSpPr>
      <xdr:spPr>
        <a:xfrm>
          <a:off x="6295835" y="339991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201</xdr:row>
      <xdr:rowOff>156846</xdr:rowOff>
    </xdr:from>
    <xdr:to>
      <xdr:col>4</xdr:col>
      <xdr:colOff>228410</xdr:colOff>
      <xdr:row>203</xdr:row>
      <xdr:rowOff>151767</xdr:rowOff>
    </xdr:to>
    <xdr:cxnSp macro="_xll.PtreeEvent_ObjectClick">
      <xdr:nvCxnSpPr>
        <xdr:cNvPr id="304" name="PTObj_DBranchDLine_2_75">
          <a:extLst>
            <a:ext uri="{FF2B5EF4-FFF2-40B4-BE49-F238E27FC236}">
              <a16:creationId xmlns:a16="http://schemas.microsoft.com/office/drawing/2014/main" id="{6F065CC9-2158-41D6-BA76-DC639F20F38E}"/>
            </a:ext>
          </a:extLst>
        </xdr:cNvPr>
        <xdr:cNvCxnSpPr/>
      </xdr:nvCxnSpPr>
      <xdr:spPr>
        <a:xfrm flipV="1">
          <a:off x="6143435" y="33999171"/>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228410</xdr:colOff>
      <xdr:row>203</xdr:row>
      <xdr:rowOff>156846</xdr:rowOff>
    </xdr:from>
    <xdr:to>
      <xdr:col>4</xdr:col>
      <xdr:colOff>127</xdr:colOff>
      <xdr:row>203</xdr:row>
      <xdr:rowOff>156846</xdr:rowOff>
    </xdr:to>
    <xdr:cxnSp macro="_xll.PtreeEvent_ObjectClick">
      <xdr:nvCxnSpPr>
        <xdr:cNvPr id="301" name="PTObj_DBranchHLine_2_74">
          <a:extLst>
            <a:ext uri="{FF2B5EF4-FFF2-40B4-BE49-F238E27FC236}">
              <a16:creationId xmlns:a16="http://schemas.microsoft.com/office/drawing/2014/main" id="{1E452654-5D26-47DE-A7C7-71A9B501F795}"/>
            </a:ext>
          </a:extLst>
        </xdr:cNvPr>
        <xdr:cNvCxnSpPr/>
      </xdr:nvCxnSpPr>
      <xdr:spPr>
        <a:xfrm>
          <a:off x="4800410" y="34646871"/>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76010</xdr:colOff>
      <xdr:row>203</xdr:row>
      <xdr:rowOff>156846</xdr:rowOff>
    </xdr:from>
    <xdr:to>
      <xdr:col>3</xdr:col>
      <xdr:colOff>228410</xdr:colOff>
      <xdr:row>209</xdr:row>
      <xdr:rowOff>151767</xdr:rowOff>
    </xdr:to>
    <xdr:cxnSp macro="_xll.PtreeEvent_ObjectClick">
      <xdr:nvCxnSpPr>
        <xdr:cNvPr id="300" name="PTObj_DBranchDLine_2_74">
          <a:extLst>
            <a:ext uri="{FF2B5EF4-FFF2-40B4-BE49-F238E27FC236}">
              <a16:creationId xmlns:a16="http://schemas.microsoft.com/office/drawing/2014/main" id="{D86937A9-AF5D-4605-8E81-1C06202DCFB3}"/>
            </a:ext>
          </a:extLst>
        </xdr:cNvPr>
        <xdr:cNvCxnSpPr/>
      </xdr:nvCxnSpPr>
      <xdr:spPr>
        <a:xfrm flipV="1">
          <a:off x="4648010" y="34646871"/>
          <a:ext cx="152400" cy="110058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228409</xdr:colOff>
      <xdr:row>209</xdr:row>
      <xdr:rowOff>156846</xdr:rowOff>
    </xdr:from>
    <xdr:to>
      <xdr:col>3</xdr:col>
      <xdr:colOff>127</xdr:colOff>
      <xdr:row>209</xdr:row>
      <xdr:rowOff>156846</xdr:rowOff>
    </xdr:to>
    <xdr:cxnSp macro="_xll.PtreeEvent_ObjectClick">
      <xdr:nvCxnSpPr>
        <xdr:cNvPr id="297" name="PTObj_DBranchHLine_2_73">
          <a:extLst>
            <a:ext uri="{FF2B5EF4-FFF2-40B4-BE49-F238E27FC236}">
              <a16:creationId xmlns:a16="http://schemas.microsoft.com/office/drawing/2014/main" id="{2D0ED987-68B3-463F-97F6-8698FBB73A57}"/>
            </a:ext>
          </a:extLst>
        </xdr:cNvPr>
        <xdr:cNvCxnSpPr/>
      </xdr:nvCxnSpPr>
      <xdr:spPr>
        <a:xfrm>
          <a:off x="3304984" y="45657771"/>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76010</xdr:colOff>
      <xdr:row>137</xdr:row>
      <xdr:rowOff>151766</xdr:rowOff>
    </xdr:from>
    <xdr:to>
      <xdr:col>2</xdr:col>
      <xdr:colOff>228409</xdr:colOff>
      <xdr:row>209</xdr:row>
      <xdr:rowOff>156846</xdr:rowOff>
    </xdr:to>
    <xdr:cxnSp macro="_xll.PtreeEvent_ObjectClick">
      <xdr:nvCxnSpPr>
        <xdr:cNvPr id="296" name="PTObj_DBranchDLine_2_73">
          <a:extLst>
            <a:ext uri="{FF2B5EF4-FFF2-40B4-BE49-F238E27FC236}">
              <a16:creationId xmlns:a16="http://schemas.microsoft.com/office/drawing/2014/main" id="{A392E7B3-F1AA-463D-AF11-80A1BDB13D07}"/>
            </a:ext>
          </a:extLst>
        </xdr:cNvPr>
        <xdr:cNvCxnSpPr/>
      </xdr:nvCxnSpPr>
      <xdr:spPr>
        <a:xfrm>
          <a:off x="3152585" y="23630891"/>
          <a:ext cx="152399" cy="220268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131</xdr:row>
      <xdr:rowOff>156845</xdr:rowOff>
    </xdr:from>
    <xdr:to>
      <xdr:col>9</xdr:col>
      <xdr:colOff>127</xdr:colOff>
      <xdr:row>131</xdr:row>
      <xdr:rowOff>156845</xdr:rowOff>
    </xdr:to>
    <xdr:cxnSp macro="_xll.PtreeEvent_ObjectClick">
      <xdr:nvCxnSpPr>
        <xdr:cNvPr id="281" name="PTObj_DBranchHLine_2_69" hidden="1">
          <a:extLst>
            <a:ext uri="{FF2B5EF4-FFF2-40B4-BE49-F238E27FC236}">
              <a16:creationId xmlns:a16="http://schemas.microsoft.com/office/drawing/2014/main" id="{94149E94-6493-46DE-B507-A94468A2BAE6}"/>
            </a:ext>
          </a:extLst>
        </xdr:cNvPr>
        <xdr:cNvCxnSpPr/>
      </xdr:nvCxnSpPr>
      <xdr:spPr>
        <a:xfrm>
          <a:off x="12277534" y="216928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129</xdr:row>
      <xdr:rowOff>151763</xdr:rowOff>
    </xdr:from>
    <xdr:to>
      <xdr:col>8</xdr:col>
      <xdr:colOff>228409</xdr:colOff>
      <xdr:row>131</xdr:row>
      <xdr:rowOff>156845</xdr:rowOff>
    </xdr:to>
    <xdr:cxnSp macro="_xll.PtreeEvent_ObjectClick">
      <xdr:nvCxnSpPr>
        <xdr:cNvPr id="280" name="PTObj_DBranchDLine_2_69" hidden="1">
          <a:extLst>
            <a:ext uri="{FF2B5EF4-FFF2-40B4-BE49-F238E27FC236}">
              <a16:creationId xmlns:a16="http://schemas.microsoft.com/office/drawing/2014/main" id="{F15B7774-587E-402E-B553-57415B7A0485}"/>
            </a:ext>
          </a:extLst>
        </xdr:cNvPr>
        <xdr:cNvCxnSpPr/>
      </xdr:nvCxnSpPr>
      <xdr:spPr>
        <a:xfrm>
          <a:off x="12125134" y="21363938"/>
          <a:ext cx="152400" cy="328932"/>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127</xdr:row>
      <xdr:rowOff>156845</xdr:rowOff>
    </xdr:from>
    <xdr:to>
      <xdr:col>9</xdr:col>
      <xdr:colOff>127</xdr:colOff>
      <xdr:row>127</xdr:row>
      <xdr:rowOff>156845</xdr:rowOff>
    </xdr:to>
    <xdr:cxnSp macro="_xll.PtreeEvent_ObjectClick">
      <xdr:nvCxnSpPr>
        <xdr:cNvPr id="277" name="PTObj_DBranchHLine_2_68" hidden="1">
          <a:extLst>
            <a:ext uri="{FF2B5EF4-FFF2-40B4-BE49-F238E27FC236}">
              <a16:creationId xmlns:a16="http://schemas.microsoft.com/office/drawing/2014/main" id="{8D64D275-FC1E-46AF-893E-6ED55A643BA8}"/>
            </a:ext>
          </a:extLst>
        </xdr:cNvPr>
        <xdr:cNvCxnSpPr/>
      </xdr:nvCxnSpPr>
      <xdr:spPr>
        <a:xfrm>
          <a:off x="12277534" y="210451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127</xdr:row>
      <xdr:rowOff>156845</xdr:rowOff>
    </xdr:from>
    <xdr:to>
      <xdr:col>8</xdr:col>
      <xdr:colOff>228409</xdr:colOff>
      <xdr:row>129</xdr:row>
      <xdr:rowOff>151763</xdr:rowOff>
    </xdr:to>
    <xdr:cxnSp macro="_xll.PtreeEvent_ObjectClick">
      <xdr:nvCxnSpPr>
        <xdr:cNvPr id="276" name="PTObj_DBranchDLine_2_68" hidden="1">
          <a:extLst>
            <a:ext uri="{FF2B5EF4-FFF2-40B4-BE49-F238E27FC236}">
              <a16:creationId xmlns:a16="http://schemas.microsoft.com/office/drawing/2014/main" id="{25103237-5DA6-4215-A642-AD1884F6201F}"/>
            </a:ext>
          </a:extLst>
        </xdr:cNvPr>
        <xdr:cNvCxnSpPr/>
      </xdr:nvCxnSpPr>
      <xdr:spPr>
        <a:xfrm flipV="1">
          <a:off x="12125134" y="21045170"/>
          <a:ext cx="152400" cy="318768"/>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129</xdr:row>
      <xdr:rowOff>156845</xdr:rowOff>
    </xdr:from>
    <xdr:to>
      <xdr:col>8</xdr:col>
      <xdr:colOff>127</xdr:colOff>
      <xdr:row>129</xdr:row>
      <xdr:rowOff>156845</xdr:rowOff>
    </xdr:to>
    <xdr:cxnSp macro="_xll.PtreeEvent_ObjectClick">
      <xdr:nvCxnSpPr>
        <xdr:cNvPr id="273" name="PTObj_DBranchHLine_2_67" hidden="1">
          <a:extLst>
            <a:ext uri="{FF2B5EF4-FFF2-40B4-BE49-F238E27FC236}">
              <a16:creationId xmlns:a16="http://schemas.microsoft.com/office/drawing/2014/main" id="{4D1E1D76-D808-401A-96DC-71D1C7A5723E}"/>
            </a:ext>
          </a:extLst>
        </xdr:cNvPr>
        <xdr:cNvCxnSpPr/>
      </xdr:nvCxnSpPr>
      <xdr:spPr>
        <a:xfrm>
          <a:off x="10782109" y="213690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119</xdr:row>
      <xdr:rowOff>151766</xdr:rowOff>
    </xdr:from>
    <xdr:to>
      <xdr:col>7</xdr:col>
      <xdr:colOff>228409</xdr:colOff>
      <xdr:row>129</xdr:row>
      <xdr:rowOff>156845</xdr:rowOff>
    </xdr:to>
    <xdr:cxnSp macro="_xll.PtreeEvent_ObjectClick">
      <xdr:nvCxnSpPr>
        <xdr:cNvPr id="272" name="PTObj_DBranchDLine_2_67" hidden="1">
          <a:extLst>
            <a:ext uri="{FF2B5EF4-FFF2-40B4-BE49-F238E27FC236}">
              <a16:creationId xmlns:a16="http://schemas.microsoft.com/office/drawing/2014/main" id="{DFCF4F87-20F2-45B2-9EE6-2218F34C8F4E}"/>
            </a:ext>
          </a:extLst>
        </xdr:cNvPr>
        <xdr:cNvCxnSpPr/>
      </xdr:nvCxnSpPr>
      <xdr:spPr>
        <a:xfrm>
          <a:off x="10629709" y="19744691"/>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125</xdr:row>
      <xdr:rowOff>156845</xdr:rowOff>
    </xdr:from>
    <xdr:to>
      <xdr:col>9</xdr:col>
      <xdr:colOff>127</xdr:colOff>
      <xdr:row>125</xdr:row>
      <xdr:rowOff>156845</xdr:rowOff>
    </xdr:to>
    <xdr:cxnSp macro="_xll.PtreeEvent_ObjectClick">
      <xdr:nvCxnSpPr>
        <xdr:cNvPr id="269" name="PTObj_DBranchHLine_2_66" hidden="1">
          <a:extLst>
            <a:ext uri="{FF2B5EF4-FFF2-40B4-BE49-F238E27FC236}">
              <a16:creationId xmlns:a16="http://schemas.microsoft.com/office/drawing/2014/main" id="{C7CECF48-5847-4B90-85A4-EB59928400EA}"/>
            </a:ext>
          </a:extLst>
        </xdr:cNvPr>
        <xdr:cNvCxnSpPr/>
      </xdr:nvCxnSpPr>
      <xdr:spPr>
        <a:xfrm>
          <a:off x="12277534" y="207213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123</xdr:row>
      <xdr:rowOff>151766</xdr:rowOff>
    </xdr:from>
    <xdr:to>
      <xdr:col>8</xdr:col>
      <xdr:colOff>228409</xdr:colOff>
      <xdr:row>125</xdr:row>
      <xdr:rowOff>156845</xdr:rowOff>
    </xdr:to>
    <xdr:cxnSp macro="_xll.PtreeEvent_ObjectClick">
      <xdr:nvCxnSpPr>
        <xdr:cNvPr id="268" name="PTObj_DBranchDLine_2_66" hidden="1">
          <a:extLst>
            <a:ext uri="{FF2B5EF4-FFF2-40B4-BE49-F238E27FC236}">
              <a16:creationId xmlns:a16="http://schemas.microsoft.com/office/drawing/2014/main" id="{626FF4F4-3F41-44E2-BEFC-085AB3D8F87E}"/>
            </a:ext>
          </a:extLst>
        </xdr:cNvPr>
        <xdr:cNvCxnSpPr/>
      </xdr:nvCxnSpPr>
      <xdr:spPr>
        <a:xfrm>
          <a:off x="12125134" y="203923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121</xdr:row>
      <xdr:rowOff>156845</xdr:rowOff>
    </xdr:from>
    <xdr:to>
      <xdr:col>9</xdr:col>
      <xdr:colOff>127</xdr:colOff>
      <xdr:row>121</xdr:row>
      <xdr:rowOff>156845</xdr:rowOff>
    </xdr:to>
    <xdr:cxnSp macro="_xll.PtreeEvent_ObjectClick">
      <xdr:nvCxnSpPr>
        <xdr:cNvPr id="265" name="PTObj_DBranchHLine_2_65" hidden="1">
          <a:extLst>
            <a:ext uri="{FF2B5EF4-FFF2-40B4-BE49-F238E27FC236}">
              <a16:creationId xmlns:a16="http://schemas.microsoft.com/office/drawing/2014/main" id="{1F41B774-4B3A-405D-8C30-954ED07FF80B}"/>
            </a:ext>
          </a:extLst>
        </xdr:cNvPr>
        <xdr:cNvCxnSpPr/>
      </xdr:nvCxnSpPr>
      <xdr:spPr>
        <a:xfrm>
          <a:off x="12277534" y="200736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121</xdr:row>
      <xdr:rowOff>156845</xdr:rowOff>
    </xdr:from>
    <xdr:to>
      <xdr:col>8</xdr:col>
      <xdr:colOff>228409</xdr:colOff>
      <xdr:row>123</xdr:row>
      <xdr:rowOff>151766</xdr:rowOff>
    </xdr:to>
    <xdr:cxnSp macro="_xll.PtreeEvent_ObjectClick">
      <xdr:nvCxnSpPr>
        <xdr:cNvPr id="264" name="PTObj_DBranchDLine_2_65" hidden="1">
          <a:extLst>
            <a:ext uri="{FF2B5EF4-FFF2-40B4-BE49-F238E27FC236}">
              <a16:creationId xmlns:a16="http://schemas.microsoft.com/office/drawing/2014/main" id="{DA3B9F65-121B-4F50-BD54-BD7745D6288A}"/>
            </a:ext>
          </a:extLst>
        </xdr:cNvPr>
        <xdr:cNvCxnSpPr/>
      </xdr:nvCxnSpPr>
      <xdr:spPr>
        <a:xfrm flipV="1">
          <a:off x="12125134" y="200736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123</xdr:row>
      <xdr:rowOff>156845</xdr:rowOff>
    </xdr:from>
    <xdr:to>
      <xdr:col>8</xdr:col>
      <xdr:colOff>127</xdr:colOff>
      <xdr:row>123</xdr:row>
      <xdr:rowOff>156845</xdr:rowOff>
    </xdr:to>
    <xdr:cxnSp macro="_xll.PtreeEvent_ObjectClick">
      <xdr:nvCxnSpPr>
        <xdr:cNvPr id="261" name="PTObj_DBranchHLine_2_64" hidden="1">
          <a:extLst>
            <a:ext uri="{FF2B5EF4-FFF2-40B4-BE49-F238E27FC236}">
              <a16:creationId xmlns:a16="http://schemas.microsoft.com/office/drawing/2014/main" id="{DE010F6C-9496-47B4-8C10-5CDB6C73FECD}"/>
            </a:ext>
          </a:extLst>
        </xdr:cNvPr>
        <xdr:cNvCxnSpPr/>
      </xdr:nvCxnSpPr>
      <xdr:spPr>
        <a:xfrm>
          <a:off x="10782109" y="203974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119</xdr:row>
      <xdr:rowOff>151766</xdr:rowOff>
    </xdr:from>
    <xdr:to>
      <xdr:col>7</xdr:col>
      <xdr:colOff>228409</xdr:colOff>
      <xdr:row>123</xdr:row>
      <xdr:rowOff>156845</xdr:rowOff>
    </xdr:to>
    <xdr:cxnSp macro="_xll.PtreeEvent_ObjectClick">
      <xdr:nvCxnSpPr>
        <xdr:cNvPr id="260" name="PTObj_DBranchDLine_2_64" hidden="1">
          <a:extLst>
            <a:ext uri="{FF2B5EF4-FFF2-40B4-BE49-F238E27FC236}">
              <a16:creationId xmlns:a16="http://schemas.microsoft.com/office/drawing/2014/main" id="{6218E9BF-7AA5-42B6-8B72-87DE9C3A4674}"/>
            </a:ext>
          </a:extLst>
        </xdr:cNvPr>
        <xdr:cNvCxnSpPr/>
      </xdr:nvCxnSpPr>
      <xdr:spPr>
        <a:xfrm>
          <a:off x="10629709" y="19744691"/>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117</xdr:row>
      <xdr:rowOff>156845</xdr:rowOff>
    </xdr:from>
    <xdr:to>
      <xdr:col>9</xdr:col>
      <xdr:colOff>127</xdr:colOff>
      <xdr:row>117</xdr:row>
      <xdr:rowOff>156845</xdr:rowOff>
    </xdr:to>
    <xdr:cxnSp macro="_xll.PtreeEvent_ObjectClick">
      <xdr:nvCxnSpPr>
        <xdr:cNvPr id="257" name="PTObj_DBranchHLine_2_63" hidden="1">
          <a:extLst>
            <a:ext uri="{FF2B5EF4-FFF2-40B4-BE49-F238E27FC236}">
              <a16:creationId xmlns:a16="http://schemas.microsoft.com/office/drawing/2014/main" id="{14A8A100-23D2-456B-950E-6AC35A82945B}"/>
            </a:ext>
          </a:extLst>
        </xdr:cNvPr>
        <xdr:cNvCxnSpPr/>
      </xdr:nvCxnSpPr>
      <xdr:spPr>
        <a:xfrm>
          <a:off x="12277534" y="194259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115</xdr:row>
      <xdr:rowOff>151766</xdr:rowOff>
    </xdr:from>
    <xdr:to>
      <xdr:col>8</xdr:col>
      <xdr:colOff>228409</xdr:colOff>
      <xdr:row>117</xdr:row>
      <xdr:rowOff>156845</xdr:rowOff>
    </xdr:to>
    <xdr:cxnSp macro="_xll.PtreeEvent_ObjectClick">
      <xdr:nvCxnSpPr>
        <xdr:cNvPr id="256" name="PTObj_DBranchDLine_2_63" hidden="1">
          <a:extLst>
            <a:ext uri="{FF2B5EF4-FFF2-40B4-BE49-F238E27FC236}">
              <a16:creationId xmlns:a16="http://schemas.microsoft.com/office/drawing/2014/main" id="{61EA738D-8F32-430C-9300-8D0546B1B153}"/>
            </a:ext>
          </a:extLst>
        </xdr:cNvPr>
        <xdr:cNvCxnSpPr/>
      </xdr:nvCxnSpPr>
      <xdr:spPr>
        <a:xfrm>
          <a:off x="12125134" y="190969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113</xdr:row>
      <xdr:rowOff>156845</xdr:rowOff>
    </xdr:from>
    <xdr:to>
      <xdr:col>9</xdr:col>
      <xdr:colOff>127</xdr:colOff>
      <xdr:row>113</xdr:row>
      <xdr:rowOff>156845</xdr:rowOff>
    </xdr:to>
    <xdr:cxnSp macro="_xll.PtreeEvent_ObjectClick">
      <xdr:nvCxnSpPr>
        <xdr:cNvPr id="253" name="PTObj_DBranchHLine_2_62" hidden="1">
          <a:extLst>
            <a:ext uri="{FF2B5EF4-FFF2-40B4-BE49-F238E27FC236}">
              <a16:creationId xmlns:a16="http://schemas.microsoft.com/office/drawing/2014/main" id="{09358314-1F57-4B0C-A832-8E60E34E1D5B}"/>
            </a:ext>
          </a:extLst>
        </xdr:cNvPr>
        <xdr:cNvCxnSpPr/>
      </xdr:nvCxnSpPr>
      <xdr:spPr>
        <a:xfrm>
          <a:off x="12277534" y="187782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113</xdr:row>
      <xdr:rowOff>156845</xdr:rowOff>
    </xdr:from>
    <xdr:to>
      <xdr:col>8</xdr:col>
      <xdr:colOff>228409</xdr:colOff>
      <xdr:row>115</xdr:row>
      <xdr:rowOff>151766</xdr:rowOff>
    </xdr:to>
    <xdr:cxnSp macro="_xll.PtreeEvent_ObjectClick">
      <xdr:nvCxnSpPr>
        <xdr:cNvPr id="252" name="PTObj_DBranchDLine_2_62" hidden="1">
          <a:extLst>
            <a:ext uri="{FF2B5EF4-FFF2-40B4-BE49-F238E27FC236}">
              <a16:creationId xmlns:a16="http://schemas.microsoft.com/office/drawing/2014/main" id="{9BD7AADA-63F8-44D8-BDC1-8D24CB2049BC}"/>
            </a:ext>
          </a:extLst>
        </xdr:cNvPr>
        <xdr:cNvCxnSpPr/>
      </xdr:nvCxnSpPr>
      <xdr:spPr>
        <a:xfrm flipV="1">
          <a:off x="12125134" y="187782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115</xdr:row>
      <xdr:rowOff>156845</xdr:rowOff>
    </xdr:from>
    <xdr:to>
      <xdr:col>8</xdr:col>
      <xdr:colOff>127</xdr:colOff>
      <xdr:row>115</xdr:row>
      <xdr:rowOff>156845</xdr:rowOff>
    </xdr:to>
    <xdr:cxnSp macro="_xll.PtreeEvent_ObjectClick">
      <xdr:nvCxnSpPr>
        <xdr:cNvPr id="249" name="PTObj_DBranchHLine_2_61" hidden="1">
          <a:extLst>
            <a:ext uri="{FF2B5EF4-FFF2-40B4-BE49-F238E27FC236}">
              <a16:creationId xmlns:a16="http://schemas.microsoft.com/office/drawing/2014/main" id="{E227F0C3-B758-4109-B89C-CE61E1B86152}"/>
            </a:ext>
          </a:extLst>
        </xdr:cNvPr>
        <xdr:cNvCxnSpPr/>
      </xdr:nvCxnSpPr>
      <xdr:spPr>
        <a:xfrm>
          <a:off x="10782109" y="191020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115</xdr:row>
      <xdr:rowOff>156845</xdr:rowOff>
    </xdr:from>
    <xdr:to>
      <xdr:col>7</xdr:col>
      <xdr:colOff>228409</xdr:colOff>
      <xdr:row>119</xdr:row>
      <xdr:rowOff>151766</xdr:rowOff>
    </xdr:to>
    <xdr:cxnSp macro="_xll.PtreeEvent_ObjectClick">
      <xdr:nvCxnSpPr>
        <xdr:cNvPr id="248" name="PTObj_DBranchDLine_2_61" hidden="1">
          <a:extLst>
            <a:ext uri="{FF2B5EF4-FFF2-40B4-BE49-F238E27FC236}">
              <a16:creationId xmlns:a16="http://schemas.microsoft.com/office/drawing/2014/main" id="{7FC32065-E3C2-4BCC-8534-B2B09C9C385E}"/>
            </a:ext>
          </a:extLst>
        </xdr:cNvPr>
        <xdr:cNvCxnSpPr/>
      </xdr:nvCxnSpPr>
      <xdr:spPr>
        <a:xfrm flipV="1">
          <a:off x="10629709" y="19102070"/>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119</xdr:row>
      <xdr:rowOff>156845</xdr:rowOff>
    </xdr:from>
    <xdr:to>
      <xdr:col>7</xdr:col>
      <xdr:colOff>127</xdr:colOff>
      <xdr:row>119</xdr:row>
      <xdr:rowOff>156845</xdr:rowOff>
    </xdr:to>
    <xdr:cxnSp macro="_xll.PtreeEvent_ObjectClick">
      <xdr:nvCxnSpPr>
        <xdr:cNvPr id="245" name="PTObj_DBranchHLine_2_60" hidden="1">
          <a:extLst>
            <a:ext uri="{FF2B5EF4-FFF2-40B4-BE49-F238E27FC236}">
              <a16:creationId xmlns:a16="http://schemas.microsoft.com/office/drawing/2014/main" id="{91959DD2-8931-4FA0-B76B-0AF4E839F978}"/>
            </a:ext>
          </a:extLst>
        </xdr:cNvPr>
        <xdr:cNvCxnSpPr/>
      </xdr:nvCxnSpPr>
      <xdr:spPr>
        <a:xfrm>
          <a:off x="9286684" y="197497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91</xdr:row>
      <xdr:rowOff>151764</xdr:rowOff>
    </xdr:from>
    <xdr:to>
      <xdr:col>6</xdr:col>
      <xdr:colOff>228409</xdr:colOff>
      <xdr:row>119</xdr:row>
      <xdr:rowOff>156845</xdr:rowOff>
    </xdr:to>
    <xdr:cxnSp macro="_xll.PtreeEvent_ObjectClick">
      <xdr:nvCxnSpPr>
        <xdr:cNvPr id="244" name="PTObj_DBranchDLine_2_60" hidden="1">
          <a:extLst>
            <a:ext uri="{FF2B5EF4-FFF2-40B4-BE49-F238E27FC236}">
              <a16:creationId xmlns:a16="http://schemas.microsoft.com/office/drawing/2014/main" id="{AFDC81F3-4925-44FB-9881-45BB12FD7CB9}"/>
            </a:ext>
          </a:extLst>
        </xdr:cNvPr>
        <xdr:cNvCxnSpPr/>
      </xdr:nvCxnSpPr>
      <xdr:spPr>
        <a:xfrm>
          <a:off x="9134284" y="15210789"/>
          <a:ext cx="152400" cy="45389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111</xdr:row>
      <xdr:rowOff>156845</xdr:rowOff>
    </xdr:from>
    <xdr:to>
      <xdr:col>9</xdr:col>
      <xdr:colOff>127</xdr:colOff>
      <xdr:row>111</xdr:row>
      <xdr:rowOff>156845</xdr:rowOff>
    </xdr:to>
    <xdr:cxnSp macro="_xll.PtreeEvent_ObjectClick">
      <xdr:nvCxnSpPr>
        <xdr:cNvPr id="241" name="PTObj_DBranchHLine_2_59" hidden="1">
          <a:extLst>
            <a:ext uri="{FF2B5EF4-FFF2-40B4-BE49-F238E27FC236}">
              <a16:creationId xmlns:a16="http://schemas.microsoft.com/office/drawing/2014/main" id="{0190972A-413C-4A37-B5B7-1842BE95BE40}"/>
            </a:ext>
          </a:extLst>
        </xdr:cNvPr>
        <xdr:cNvCxnSpPr/>
      </xdr:nvCxnSpPr>
      <xdr:spPr>
        <a:xfrm>
          <a:off x="12277534" y="184543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109</xdr:row>
      <xdr:rowOff>151763</xdr:rowOff>
    </xdr:from>
    <xdr:to>
      <xdr:col>8</xdr:col>
      <xdr:colOff>228409</xdr:colOff>
      <xdr:row>111</xdr:row>
      <xdr:rowOff>156845</xdr:rowOff>
    </xdr:to>
    <xdr:cxnSp macro="_xll.PtreeEvent_ObjectClick">
      <xdr:nvCxnSpPr>
        <xdr:cNvPr id="240" name="PTObj_DBranchDLine_2_59" hidden="1">
          <a:extLst>
            <a:ext uri="{FF2B5EF4-FFF2-40B4-BE49-F238E27FC236}">
              <a16:creationId xmlns:a16="http://schemas.microsoft.com/office/drawing/2014/main" id="{4C71C86F-8EEE-470B-8D4E-947EEEE6183C}"/>
            </a:ext>
          </a:extLst>
        </xdr:cNvPr>
        <xdr:cNvCxnSpPr/>
      </xdr:nvCxnSpPr>
      <xdr:spPr>
        <a:xfrm>
          <a:off x="12125134" y="18125438"/>
          <a:ext cx="152400" cy="328932"/>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107</xdr:row>
      <xdr:rowOff>156845</xdr:rowOff>
    </xdr:from>
    <xdr:to>
      <xdr:col>9</xdr:col>
      <xdr:colOff>127</xdr:colOff>
      <xdr:row>107</xdr:row>
      <xdr:rowOff>156845</xdr:rowOff>
    </xdr:to>
    <xdr:cxnSp macro="_xll.PtreeEvent_ObjectClick">
      <xdr:nvCxnSpPr>
        <xdr:cNvPr id="237" name="PTObj_DBranchHLine_2_58" hidden="1">
          <a:extLst>
            <a:ext uri="{FF2B5EF4-FFF2-40B4-BE49-F238E27FC236}">
              <a16:creationId xmlns:a16="http://schemas.microsoft.com/office/drawing/2014/main" id="{6683908E-0211-40D5-9DDF-8C393E6C5F04}"/>
            </a:ext>
          </a:extLst>
        </xdr:cNvPr>
        <xdr:cNvCxnSpPr/>
      </xdr:nvCxnSpPr>
      <xdr:spPr>
        <a:xfrm>
          <a:off x="12277534" y="178066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107</xdr:row>
      <xdr:rowOff>156845</xdr:rowOff>
    </xdr:from>
    <xdr:to>
      <xdr:col>8</xdr:col>
      <xdr:colOff>228409</xdr:colOff>
      <xdr:row>109</xdr:row>
      <xdr:rowOff>151763</xdr:rowOff>
    </xdr:to>
    <xdr:cxnSp macro="_xll.PtreeEvent_ObjectClick">
      <xdr:nvCxnSpPr>
        <xdr:cNvPr id="236" name="PTObj_DBranchDLine_2_58" hidden="1">
          <a:extLst>
            <a:ext uri="{FF2B5EF4-FFF2-40B4-BE49-F238E27FC236}">
              <a16:creationId xmlns:a16="http://schemas.microsoft.com/office/drawing/2014/main" id="{43FD0932-4BF0-46AC-8BD8-B95DA48AD474}"/>
            </a:ext>
          </a:extLst>
        </xdr:cNvPr>
        <xdr:cNvCxnSpPr/>
      </xdr:nvCxnSpPr>
      <xdr:spPr>
        <a:xfrm flipV="1">
          <a:off x="12125134" y="17806670"/>
          <a:ext cx="152400" cy="318768"/>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109</xdr:row>
      <xdr:rowOff>156845</xdr:rowOff>
    </xdr:from>
    <xdr:to>
      <xdr:col>8</xdr:col>
      <xdr:colOff>127</xdr:colOff>
      <xdr:row>109</xdr:row>
      <xdr:rowOff>156845</xdr:rowOff>
    </xdr:to>
    <xdr:cxnSp macro="_xll.PtreeEvent_ObjectClick">
      <xdr:nvCxnSpPr>
        <xdr:cNvPr id="233" name="PTObj_DBranchHLine_2_57" hidden="1">
          <a:extLst>
            <a:ext uri="{FF2B5EF4-FFF2-40B4-BE49-F238E27FC236}">
              <a16:creationId xmlns:a16="http://schemas.microsoft.com/office/drawing/2014/main" id="{61894A05-D5A9-4CC9-B595-CD55603B3BE3}"/>
            </a:ext>
          </a:extLst>
        </xdr:cNvPr>
        <xdr:cNvCxnSpPr/>
      </xdr:nvCxnSpPr>
      <xdr:spPr>
        <a:xfrm>
          <a:off x="10782109" y="181305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99</xdr:row>
      <xdr:rowOff>151764</xdr:rowOff>
    </xdr:from>
    <xdr:to>
      <xdr:col>7</xdr:col>
      <xdr:colOff>228409</xdr:colOff>
      <xdr:row>109</xdr:row>
      <xdr:rowOff>156845</xdr:rowOff>
    </xdr:to>
    <xdr:cxnSp macro="_xll.PtreeEvent_ObjectClick">
      <xdr:nvCxnSpPr>
        <xdr:cNvPr id="232" name="PTObj_DBranchDLine_2_57" hidden="1">
          <a:extLst>
            <a:ext uri="{FF2B5EF4-FFF2-40B4-BE49-F238E27FC236}">
              <a16:creationId xmlns:a16="http://schemas.microsoft.com/office/drawing/2014/main" id="{B6F9051E-E212-432C-84F9-4A948AC13B98}"/>
            </a:ext>
          </a:extLst>
        </xdr:cNvPr>
        <xdr:cNvCxnSpPr/>
      </xdr:nvCxnSpPr>
      <xdr:spPr>
        <a:xfrm>
          <a:off x="10629709" y="16506189"/>
          <a:ext cx="152400" cy="16243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105</xdr:row>
      <xdr:rowOff>156845</xdr:rowOff>
    </xdr:from>
    <xdr:to>
      <xdr:col>9</xdr:col>
      <xdr:colOff>127</xdr:colOff>
      <xdr:row>105</xdr:row>
      <xdr:rowOff>156845</xdr:rowOff>
    </xdr:to>
    <xdr:cxnSp macro="_xll.PtreeEvent_ObjectClick">
      <xdr:nvCxnSpPr>
        <xdr:cNvPr id="229" name="PTObj_DBranchHLine_2_56" hidden="1">
          <a:extLst>
            <a:ext uri="{FF2B5EF4-FFF2-40B4-BE49-F238E27FC236}">
              <a16:creationId xmlns:a16="http://schemas.microsoft.com/office/drawing/2014/main" id="{D36419AE-0D35-4341-8211-9E5AEB510813}"/>
            </a:ext>
          </a:extLst>
        </xdr:cNvPr>
        <xdr:cNvCxnSpPr/>
      </xdr:nvCxnSpPr>
      <xdr:spPr>
        <a:xfrm>
          <a:off x="12277534" y="174828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103</xdr:row>
      <xdr:rowOff>151766</xdr:rowOff>
    </xdr:from>
    <xdr:to>
      <xdr:col>8</xdr:col>
      <xdr:colOff>228409</xdr:colOff>
      <xdr:row>105</xdr:row>
      <xdr:rowOff>156845</xdr:rowOff>
    </xdr:to>
    <xdr:cxnSp macro="_xll.PtreeEvent_ObjectClick">
      <xdr:nvCxnSpPr>
        <xdr:cNvPr id="228" name="PTObj_DBranchDLine_2_56" hidden="1">
          <a:extLst>
            <a:ext uri="{FF2B5EF4-FFF2-40B4-BE49-F238E27FC236}">
              <a16:creationId xmlns:a16="http://schemas.microsoft.com/office/drawing/2014/main" id="{86F47A67-FBED-47D0-8CAA-9639412B4BDA}"/>
            </a:ext>
          </a:extLst>
        </xdr:cNvPr>
        <xdr:cNvCxnSpPr/>
      </xdr:nvCxnSpPr>
      <xdr:spPr>
        <a:xfrm>
          <a:off x="12125134" y="171538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101</xdr:row>
      <xdr:rowOff>156845</xdr:rowOff>
    </xdr:from>
    <xdr:to>
      <xdr:col>9</xdr:col>
      <xdr:colOff>127</xdr:colOff>
      <xdr:row>101</xdr:row>
      <xdr:rowOff>156845</xdr:rowOff>
    </xdr:to>
    <xdr:cxnSp macro="_xll.PtreeEvent_ObjectClick">
      <xdr:nvCxnSpPr>
        <xdr:cNvPr id="225" name="PTObj_DBranchHLine_2_55" hidden="1">
          <a:extLst>
            <a:ext uri="{FF2B5EF4-FFF2-40B4-BE49-F238E27FC236}">
              <a16:creationId xmlns:a16="http://schemas.microsoft.com/office/drawing/2014/main" id="{98D301FD-16A1-40B8-96FD-E350104357BC}"/>
            </a:ext>
          </a:extLst>
        </xdr:cNvPr>
        <xdr:cNvCxnSpPr/>
      </xdr:nvCxnSpPr>
      <xdr:spPr>
        <a:xfrm>
          <a:off x="12277534" y="168351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101</xdr:row>
      <xdr:rowOff>156845</xdr:rowOff>
    </xdr:from>
    <xdr:to>
      <xdr:col>8</xdr:col>
      <xdr:colOff>228409</xdr:colOff>
      <xdr:row>103</xdr:row>
      <xdr:rowOff>151766</xdr:rowOff>
    </xdr:to>
    <xdr:cxnSp macro="_xll.PtreeEvent_ObjectClick">
      <xdr:nvCxnSpPr>
        <xdr:cNvPr id="224" name="PTObj_DBranchDLine_2_55" hidden="1">
          <a:extLst>
            <a:ext uri="{FF2B5EF4-FFF2-40B4-BE49-F238E27FC236}">
              <a16:creationId xmlns:a16="http://schemas.microsoft.com/office/drawing/2014/main" id="{D1BF5DD8-E688-46D6-B2A1-6F9A8F9C116F}"/>
            </a:ext>
          </a:extLst>
        </xdr:cNvPr>
        <xdr:cNvCxnSpPr/>
      </xdr:nvCxnSpPr>
      <xdr:spPr>
        <a:xfrm flipV="1">
          <a:off x="12125134" y="168351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103</xdr:row>
      <xdr:rowOff>156845</xdr:rowOff>
    </xdr:from>
    <xdr:to>
      <xdr:col>8</xdr:col>
      <xdr:colOff>127</xdr:colOff>
      <xdr:row>103</xdr:row>
      <xdr:rowOff>156845</xdr:rowOff>
    </xdr:to>
    <xdr:cxnSp macro="_xll.PtreeEvent_ObjectClick">
      <xdr:nvCxnSpPr>
        <xdr:cNvPr id="221" name="PTObj_DBranchHLine_2_54" hidden="1">
          <a:extLst>
            <a:ext uri="{FF2B5EF4-FFF2-40B4-BE49-F238E27FC236}">
              <a16:creationId xmlns:a16="http://schemas.microsoft.com/office/drawing/2014/main" id="{ADA7DAD4-05BE-48A5-968E-6341B98C1953}"/>
            </a:ext>
          </a:extLst>
        </xdr:cNvPr>
        <xdr:cNvCxnSpPr/>
      </xdr:nvCxnSpPr>
      <xdr:spPr>
        <a:xfrm>
          <a:off x="10782109" y="171589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99</xdr:row>
      <xdr:rowOff>151764</xdr:rowOff>
    </xdr:from>
    <xdr:to>
      <xdr:col>7</xdr:col>
      <xdr:colOff>228409</xdr:colOff>
      <xdr:row>103</xdr:row>
      <xdr:rowOff>156845</xdr:rowOff>
    </xdr:to>
    <xdr:cxnSp macro="_xll.PtreeEvent_ObjectClick">
      <xdr:nvCxnSpPr>
        <xdr:cNvPr id="220" name="PTObj_DBranchDLine_2_54" hidden="1">
          <a:extLst>
            <a:ext uri="{FF2B5EF4-FFF2-40B4-BE49-F238E27FC236}">
              <a16:creationId xmlns:a16="http://schemas.microsoft.com/office/drawing/2014/main" id="{7C7D5F60-9B0C-4118-A7BC-564481F7871C}"/>
            </a:ext>
          </a:extLst>
        </xdr:cNvPr>
        <xdr:cNvCxnSpPr/>
      </xdr:nvCxnSpPr>
      <xdr:spPr>
        <a:xfrm>
          <a:off x="10629709" y="16506189"/>
          <a:ext cx="152400" cy="6527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97</xdr:row>
      <xdr:rowOff>156845</xdr:rowOff>
    </xdr:from>
    <xdr:to>
      <xdr:col>9</xdr:col>
      <xdr:colOff>127</xdr:colOff>
      <xdr:row>97</xdr:row>
      <xdr:rowOff>156845</xdr:rowOff>
    </xdr:to>
    <xdr:cxnSp macro="_xll.PtreeEvent_ObjectClick">
      <xdr:nvCxnSpPr>
        <xdr:cNvPr id="217" name="PTObj_DBranchHLine_2_53" hidden="1">
          <a:extLst>
            <a:ext uri="{FF2B5EF4-FFF2-40B4-BE49-F238E27FC236}">
              <a16:creationId xmlns:a16="http://schemas.microsoft.com/office/drawing/2014/main" id="{DF711F8E-395A-491D-AC59-14184E536FF4}"/>
            </a:ext>
          </a:extLst>
        </xdr:cNvPr>
        <xdr:cNvCxnSpPr/>
      </xdr:nvCxnSpPr>
      <xdr:spPr>
        <a:xfrm>
          <a:off x="12277534" y="161874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95</xdr:row>
      <xdr:rowOff>151764</xdr:rowOff>
    </xdr:from>
    <xdr:to>
      <xdr:col>8</xdr:col>
      <xdr:colOff>228409</xdr:colOff>
      <xdr:row>97</xdr:row>
      <xdr:rowOff>156845</xdr:rowOff>
    </xdr:to>
    <xdr:cxnSp macro="_xll.PtreeEvent_ObjectClick">
      <xdr:nvCxnSpPr>
        <xdr:cNvPr id="216" name="PTObj_DBranchDLine_2_53" hidden="1">
          <a:extLst>
            <a:ext uri="{FF2B5EF4-FFF2-40B4-BE49-F238E27FC236}">
              <a16:creationId xmlns:a16="http://schemas.microsoft.com/office/drawing/2014/main" id="{28DB6CDB-4E12-4A62-A419-46EFEB5499C7}"/>
            </a:ext>
          </a:extLst>
        </xdr:cNvPr>
        <xdr:cNvCxnSpPr/>
      </xdr:nvCxnSpPr>
      <xdr:spPr>
        <a:xfrm>
          <a:off x="12125134" y="1585848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93</xdr:row>
      <xdr:rowOff>156845</xdr:rowOff>
    </xdr:from>
    <xdr:to>
      <xdr:col>9</xdr:col>
      <xdr:colOff>127</xdr:colOff>
      <xdr:row>93</xdr:row>
      <xdr:rowOff>156845</xdr:rowOff>
    </xdr:to>
    <xdr:cxnSp macro="_xll.PtreeEvent_ObjectClick">
      <xdr:nvCxnSpPr>
        <xdr:cNvPr id="213" name="PTObj_DBranchHLine_2_52" hidden="1">
          <a:extLst>
            <a:ext uri="{FF2B5EF4-FFF2-40B4-BE49-F238E27FC236}">
              <a16:creationId xmlns:a16="http://schemas.microsoft.com/office/drawing/2014/main" id="{256A2BCA-B2E0-4BE4-A878-BAACD864D656}"/>
            </a:ext>
          </a:extLst>
        </xdr:cNvPr>
        <xdr:cNvCxnSpPr/>
      </xdr:nvCxnSpPr>
      <xdr:spPr>
        <a:xfrm>
          <a:off x="12277534" y="155397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93</xdr:row>
      <xdr:rowOff>156845</xdr:rowOff>
    </xdr:from>
    <xdr:to>
      <xdr:col>8</xdr:col>
      <xdr:colOff>228409</xdr:colOff>
      <xdr:row>95</xdr:row>
      <xdr:rowOff>151764</xdr:rowOff>
    </xdr:to>
    <xdr:cxnSp macro="_xll.PtreeEvent_ObjectClick">
      <xdr:nvCxnSpPr>
        <xdr:cNvPr id="212" name="PTObj_DBranchDLine_2_52" hidden="1">
          <a:extLst>
            <a:ext uri="{FF2B5EF4-FFF2-40B4-BE49-F238E27FC236}">
              <a16:creationId xmlns:a16="http://schemas.microsoft.com/office/drawing/2014/main" id="{8E595443-EF99-4EC1-80C2-2B533E338A86}"/>
            </a:ext>
          </a:extLst>
        </xdr:cNvPr>
        <xdr:cNvCxnSpPr/>
      </xdr:nvCxnSpPr>
      <xdr:spPr>
        <a:xfrm flipV="1">
          <a:off x="12125134" y="1553972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95</xdr:row>
      <xdr:rowOff>156845</xdr:rowOff>
    </xdr:from>
    <xdr:to>
      <xdr:col>8</xdr:col>
      <xdr:colOff>127</xdr:colOff>
      <xdr:row>95</xdr:row>
      <xdr:rowOff>156845</xdr:rowOff>
    </xdr:to>
    <xdr:cxnSp macro="_xll.PtreeEvent_ObjectClick">
      <xdr:nvCxnSpPr>
        <xdr:cNvPr id="209" name="PTObj_DBranchHLine_2_51" hidden="1">
          <a:extLst>
            <a:ext uri="{FF2B5EF4-FFF2-40B4-BE49-F238E27FC236}">
              <a16:creationId xmlns:a16="http://schemas.microsoft.com/office/drawing/2014/main" id="{DFAC7605-B24B-4C26-B2AE-F218F0BCEA32}"/>
            </a:ext>
          </a:extLst>
        </xdr:cNvPr>
        <xdr:cNvCxnSpPr/>
      </xdr:nvCxnSpPr>
      <xdr:spPr>
        <a:xfrm>
          <a:off x="10782109" y="158635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95</xdr:row>
      <xdr:rowOff>156845</xdr:rowOff>
    </xdr:from>
    <xdr:to>
      <xdr:col>7</xdr:col>
      <xdr:colOff>228409</xdr:colOff>
      <xdr:row>99</xdr:row>
      <xdr:rowOff>151764</xdr:rowOff>
    </xdr:to>
    <xdr:cxnSp macro="_xll.PtreeEvent_ObjectClick">
      <xdr:nvCxnSpPr>
        <xdr:cNvPr id="208" name="PTObj_DBranchDLine_2_51" hidden="1">
          <a:extLst>
            <a:ext uri="{FF2B5EF4-FFF2-40B4-BE49-F238E27FC236}">
              <a16:creationId xmlns:a16="http://schemas.microsoft.com/office/drawing/2014/main" id="{2357C4A6-41C1-4567-8CD3-0BDF9E5ACD31}"/>
            </a:ext>
          </a:extLst>
        </xdr:cNvPr>
        <xdr:cNvCxnSpPr/>
      </xdr:nvCxnSpPr>
      <xdr:spPr>
        <a:xfrm flipV="1">
          <a:off x="10629709" y="15863570"/>
          <a:ext cx="152400" cy="6426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99</xdr:row>
      <xdr:rowOff>156845</xdr:rowOff>
    </xdr:from>
    <xdr:to>
      <xdr:col>7</xdr:col>
      <xdr:colOff>127</xdr:colOff>
      <xdr:row>99</xdr:row>
      <xdr:rowOff>156845</xdr:rowOff>
    </xdr:to>
    <xdr:cxnSp macro="_xll.PtreeEvent_ObjectClick">
      <xdr:nvCxnSpPr>
        <xdr:cNvPr id="205" name="PTObj_DBranchHLine_2_50" hidden="1">
          <a:extLst>
            <a:ext uri="{FF2B5EF4-FFF2-40B4-BE49-F238E27FC236}">
              <a16:creationId xmlns:a16="http://schemas.microsoft.com/office/drawing/2014/main" id="{DE0B0A68-5300-455F-B24F-BD2AC505DF81}"/>
            </a:ext>
          </a:extLst>
        </xdr:cNvPr>
        <xdr:cNvCxnSpPr/>
      </xdr:nvCxnSpPr>
      <xdr:spPr>
        <a:xfrm>
          <a:off x="9286684" y="165112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91</xdr:row>
      <xdr:rowOff>151764</xdr:rowOff>
    </xdr:from>
    <xdr:to>
      <xdr:col>6</xdr:col>
      <xdr:colOff>228409</xdr:colOff>
      <xdr:row>99</xdr:row>
      <xdr:rowOff>156845</xdr:rowOff>
    </xdr:to>
    <xdr:cxnSp macro="_xll.PtreeEvent_ObjectClick">
      <xdr:nvCxnSpPr>
        <xdr:cNvPr id="204" name="PTObj_DBranchDLine_2_50" hidden="1">
          <a:extLst>
            <a:ext uri="{FF2B5EF4-FFF2-40B4-BE49-F238E27FC236}">
              <a16:creationId xmlns:a16="http://schemas.microsoft.com/office/drawing/2014/main" id="{387B9DF3-2E90-45F5-A4F1-16263D0C0D3C}"/>
            </a:ext>
          </a:extLst>
        </xdr:cNvPr>
        <xdr:cNvCxnSpPr/>
      </xdr:nvCxnSpPr>
      <xdr:spPr>
        <a:xfrm>
          <a:off x="9134284" y="15210789"/>
          <a:ext cx="152400" cy="13004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89</xdr:row>
      <xdr:rowOff>156845</xdr:rowOff>
    </xdr:from>
    <xdr:to>
      <xdr:col>9</xdr:col>
      <xdr:colOff>127</xdr:colOff>
      <xdr:row>89</xdr:row>
      <xdr:rowOff>156845</xdr:rowOff>
    </xdr:to>
    <xdr:cxnSp macro="_xll.PtreeEvent_ObjectClick">
      <xdr:nvCxnSpPr>
        <xdr:cNvPr id="201" name="PTObj_DBranchHLine_2_49" hidden="1">
          <a:extLst>
            <a:ext uri="{FF2B5EF4-FFF2-40B4-BE49-F238E27FC236}">
              <a16:creationId xmlns:a16="http://schemas.microsoft.com/office/drawing/2014/main" id="{F65E4D8C-84BE-46C6-8319-2B8A6759BCEE}"/>
            </a:ext>
          </a:extLst>
        </xdr:cNvPr>
        <xdr:cNvCxnSpPr/>
      </xdr:nvCxnSpPr>
      <xdr:spPr>
        <a:xfrm>
          <a:off x="12277534" y="148920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87</xdr:row>
      <xdr:rowOff>151764</xdr:rowOff>
    </xdr:from>
    <xdr:to>
      <xdr:col>8</xdr:col>
      <xdr:colOff>228409</xdr:colOff>
      <xdr:row>89</xdr:row>
      <xdr:rowOff>156845</xdr:rowOff>
    </xdr:to>
    <xdr:cxnSp macro="_xll.PtreeEvent_ObjectClick">
      <xdr:nvCxnSpPr>
        <xdr:cNvPr id="200" name="PTObj_DBranchDLine_2_49" hidden="1">
          <a:extLst>
            <a:ext uri="{FF2B5EF4-FFF2-40B4-BE49-F238E27FC236}">
              <a16:creationId xmlns:a16="http://schemas.microsoft.com/office/drawing/2014/main" id="{64E8B581-FCE1-4BD0-BF8E-403D885DD276}"/>
            </a:ext>
          </a:extLst>
        </xdr:cNvPr>
        <xdr:cNvCxnSpPr/>
      </xdr:nvCxnSpPr>
      <xdr:spPr>
        <a:xfrm>
          <a:off x="12125134" y="1456308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85</xdr:row>
      <xdr:rowOff>156845</xdr:rowOff>
    </xdr:from>
    <xdr:to>
      <xdr:col>9</xdr:col>
      <xdr:colOff>127</xdr:colOff>
      <xdr:row>85</xdr:row>
      <xdr:rowOff>156845</xdr:rowOff>
    </xdr:to>
    <xdr:cxnSp macro="_xll.PtreeEvent_ObjectClick">
      <xdr:nvCxnSpPr>
        <xdr:cNvPr id="197" name="PTObj_DBranchHLine_2_48" hidden="1">
          <a:extLst>
            <a:ext uri="{FF2B5EF4-FFF2-40B4-BE49-F238E27FC236}">
              <a16:creationId xmlns:a16="http://schemas.microsoft.com/office/drawing/2014/main" id="{2921714D-51F1-445A-8330-7D2FA2B8441C}"/>
            </a:ext>
          </a:extLst>
        </xdr:cNvPr>
        <xdr:cNvCxnSpPr/>
      </xdr:nvCxnSpPr>
      <xdr:spPr>
        <a:xfrm>
          <a:off x="12277534" y="142443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85</xdr:row>
      <xdr:rowOff>156845</xdr:rowOff>
    </xdr:from>
    <xdr:to>
      <xdr:col>8</xdr:col>
      <xdr:colOff>228409</xdr:colOff>
      <xdr:row>87</xdr:row>
      <xdr:rowOff>151764</xdr:rowOff>
    </xdr:to>
    <xdr:cxnSp macro="_xll.PtreeEvent_ObjectClick">
      <xdr:nvCxnSpPr>
        <xdr:cNvPr id="196" name="PTObj_DBranchDLine_2_48" hidden="1">
          <a:extLst>
            <a:ext uri="{FF2B5EF4-FFF2-40B4-BE49-F238E27FC236}">
              <a16:creationId xmlns:a16="http://schemas.microsoft.com/office/drawing/2014/main" id="{373AA79C-F74C-4D84-9D53-FBE59A1A92A6}"/>
            </a:ext>
          </a:extLst>
        </xdr:cNvPr>
        <xdr:cNvCxnSpPr/>
      </xdr:nvCxnSpPr>
      <xdr:spPr>
        <a:xfrm flipV="1">
          <a:off x="12125134" y="1424432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87</xdr:row>
      <xdr:rowOff>156845</xdr:rowOff>
    </xdr:from>
    <xdr:to>
      <xdr:col>8</xdr:col>
      <xdr:colOff>127</xdr:colOff>
      <xdr:row>87</xdr:row>
      <xdr:rowOff>156845</xdr:rowOff>
    </xdr:to>
    <xdr:cxnSp macro="_xll.PtreeEvent_ObjectClick">
      <xdr:nvCxnSpPr>
        <xdr:cNvPr id="193" name="PTObj_DBranchHLine_2_47" hidden="1">
          <a:extLst>
            <a:ext uri="{FF2B5EF4-FFF2-40B4-BE49-F238E27FC236}">
              <a16:creationId xmlns:a16="http://schemas.microsoft.com/office/drawing/2014/main" id="{E42AF9A6-85E1-4F04-96C2-62A17C302107}"/>
            </a:ext>
          </a:extLst>
        </xdr:cNvPr>
        <xdr:cNvCxnSpPr/>
      </xdr:nvCxnSpPr>
      <xdr:spPr>
        <a:xfrm>
          <a:off x="10782109" y="145681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77</xdr:row>
      <xdr:rowOff>151764</xdr:rowOff>
    </xdr:from>
    <xdr:to>
      <xdr:col>7</xdr:col>
      <xdr:colOff>228409</xdr:colOff>
      <xdr:row>87</xdr:row>
      <xdr:rowOff>156845</xdr:rowOff>
    </xdr:to>
    <xdr:cxnSp macro="_xll.PtreeEvent_ObjectClick">
      <xdr:nvCxnSpPr>
        <xdr:cNvPr id="192" name="PTObj_DBranchDLine_2_47" hidden="1">
          <a:extLst>
            <a:ext uri="{FF2B5EF4-FFF2-40B4-BE49-F238E27FC236}">
              <a16:creationId xmlns:a16="http://schemas.microsoft.com/office/drawing/2014/main" id="{2A36E646-1172-4315-BDDA-EDFA2DD1A638}"/>
            </a:ext>
          </a:extLst>
        </xdr:cNvPr>
        <xdr:cNvCxnSpPr/>
      </xdr:nvCxnSpPr>
      <xdr:spPr>
        <a:xfrm>
          <a:off x="10629709" y="12943839"/>
          <a:ext cx="152400" cy="16243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83</xdr:row>
      <xdr:rowOff>156845</xdr:rowOff>
    </xdr:from>
    <xdr:to>
      <xdr:col>9</xdr:col>
      <xdr:colOff>127</xdr:colOff>
      <xdr:row>83</xdr:row>
      <xdr:rowOff>156845</xdr:rowOff>
    </xdr:to>
    <xdr:cxnSp macro="_xll.PtreeEvent_ObjectClick">
      <xdr:nvCxnSpPr>
        <xdr:cNvPr id="189" name="PTObj_DBranchHLine_2_46" hidden="1">
          <a:extLst>
            <a:ext uri="{FF2B5EF4-FFF2-40B4-BE49-F238E27FC236}">
              <a16:creationId xmlns:a16="http://schemas.microsoft.com/office/drawing/2014/main" id="{03DE5E11-2178-4820-863F-B3D69332899E}"/>
            </a:ext>
          </a:extLst>
        </xdr:cNvPr>
        <xdr:cNvCxnSpPr/>
      </xdr:nvCxnSpPr>
      <xdr:spPr>
        <a:xfrm>
          <a:off x="12277534" y="139204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81</xdr:row>
      <xdr:rowOff>151764</xdr:rowOff>
    </xdr:from>
    <xdr:to>
      <xdr:col>8</xdr:col>
      <xdr:colOff>228409</xdr:colOff>
      <xdr:row>83</xdr:row>
      <xdr:rowOff>156845</xdr:rowOff>
    </xdr:to>
    <xdr:cxnSp macro="_xll.PtreeEvent_ObjectClick">
      <xdr:nvCxnSpPr>
        <xdr:cNvPr id="188" name="PTObj_DBranchDLine_2_46" hidden="1">
          <a:extLst>
            <a:ext uri="{FF2B5EF4-FFF2-40B4-BE49-F238E27FC236}">
              <a16:creationId xmlns:a16="http://schemas.microsoft.com/office/drawing/2014/main" id="{83930A06-E554-46D0-BC44-366BBE50CE20}"/>
            </a:ext>
          </a:extLst>
        </xdr:cNvPr>
        <xdr:cNvCxnSpPr/>
      </xdr:nvCxnSpPr>
      <xdr:spPr>
        <a:xfrm>
          <a:off x="12125134" y="135915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79</xdr:row>
      <xdr:rowOff>156845</xdr:rowOff>
    </xdr:from>
    <xdr:to>
      <xdr:col>9</xdr:col>
      <xdr:colOff>127</xdr:colOff>
      <xdr:row>79</xdr:row>
      <xdr:rowOff>156845</xdr:rowOff>
    </xdr:to>
    <xdr:cxnSp macro="_xll.PtreeEvent_ObjectClick">
      <xdr:nvCxnSpPr>
        <xdr:cNvPr id="185" name="PTObj_DBranchHLine_2_45" hidden="1">
          <a:extLst>
            <a:ext uri="{FF2B5EF4-FFF2-40B4-BE49-F238E27FC236}">
              <a16:creationId xmlns:a16="http://schemas.microsoft.com/office/drawing/2014/main" id="{1A4B2A5E-6E7F-4F93-8B1A-DD802AE7AA94}"/>
            </a:ext>
          </a:extLst>
        </xdr:cNvPr>
        <xdr:cNvCxnSpPr/>
      </xdr:nvCxnSpPr>
      <xdr:spPr>
        <a:xfrm>
          <a:off x="12277534" y="132727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79</xdr:row>
      <xdr:rowOff>156845</xdr:rowOff>
    </xdr:from>
    <xdr:to>
      <xdr:col>8</xdr:col>
      <xdr:colOff>228409</xdr:colOff>
      <xdr:row>81</xdr:row>
      <xdr:rowOff>151764</xdr:rowOff>
    </xdr:to>
    <xdr:cxnSp macro="_xll.PtreeEvent_ObjectClick">
      <xdr:nvCxnSpPr>
        <xdr:cNvPr id="184" name="PTObj_DBranchDLine_2_45" hidden="1">
          <a:extLst>
            <a:ext uri="{FF2B5EF4-FFF2-40B4-BE49-F238E27FC236}">
              <a16:creationId xmlns:a16="http://schemas.microsoft.com/office/drawing/2014/main" id="{A4E03AA3-9207-46F2-8140-4254714F7EE9}"/>
            </a:ext>
          </a:extLst>
        </xdr:cNvPr>
        <xdr:cNvCxnSpPr/>
      </xdr:nvCxnSpPr>
      <xdr:spPr>
        <a:xfrm flipV="1">
          <a:off x="12125134" y="1327277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81</xdr:row>
      <xdr:rowOff>156845</xdr:rowOff>
    </xdr:from>
    <xdr:to>
      <xdr:col>8</xdr:col>
      <xdr:colOff>127</xdr:colOff>
      <xdr:row>81</xdr:row>
      <xdr:rowOff>156845</xdr:rowOff>
    </xdr:to>
    <xdr:cxnSp macro="_xll.PtreeEvent_ObjectClick">
      <xdr:nvCxnSpPr>
        <xdr:cNvPr id="181" name="PTObj_DBranchHLine_2_44" hidden="1">
          <a:extLst>
            <a:ext uri="{FF2B5EF4-FFF2-40B4-BE49-F238E27FC236}">
              <a16:creationId xmlns:a16="http://schemas.microsoft.com/office/drawing/2014/main" id="{2226CAB3-45D4-4C1C-B496-F173B0FBA288}"/>
            </a:ext>
          </a:extLst>
        </xdr:cNvPr>
        <xdr:cNvCxnSpPr/>
      </xdr:nvCxnSpPr>
      <xdr:spPr>
        <a:xfrm>
          <a:off x="10782109" y="135966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77</xdr:row>
      <xdr:rowOff>151764</xdr:rowOff>
    </xdr:from>
    <xdr:to>
      <xdr:col>7</xdr:col>
      <xdr:colOff>228409</xdr:colOff>
      <xdr:row>81</xdr:row>
      <xdr:rowOff>156845</xdr:rowOff>
    </xdr:to>
    <xdr:cxnSp macro="_xll.PtreeEvent_ObjectClick">
      <xdr:nvCxnSpPr>
        <xdr:cNvPr id="180" name="PTObj_DBranchDLine_2_44" hidden="1">
          <a:extLst>
            <a:ext uri="{FF2B5EF4-FFF2-40B4-BE49-F238E27FC236}">
              <a16:creationId xmlns:a16="http://schemas.microsoft.com/office/drawing/2014/main" id="{A0A7AFA6-D852-4792-B981-A48D7C87B020}"/>
            </a:ext>
          </a:extLst>
        </xdr:cNvPr>
        <xdr:cNvCxnSpPr/>
      </xdr:nvCxnSpPr>
      <xdr:spPr>
        <a:xfrm>
          <a:off x="10629709" y="12943839"/>
          <a:ext cx="152400" cy="6527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75</xdr:row>
      <xdr:rowOff>156845</xdr:rowOff>
    </xdr:from>
    <xdr:to>
      <xdr:col>9</xdr:col>
      <xdr:colOff>127</xdr:colOff>
      <xdr:row>75</xdr:row>
      <xdr:rowOff>156845</xdr:rowOff>
    </xdr:to>
    <xdr:cxnSp macro="_xll.PtreeEvent_ObjectClick">
      <xdr:nvCxnSpPr>
        <xdr:cNvPr id="177" name="PTObj_DBranchHLine_2_43" hidden="1">
          <a:extLst>
            <a:ext uri="{FF2B5EF4-FFF2-40B4-BE49-F238E27FC236}">
              <a16:creationId xmlns:a16="http://schemas.microsoft.com/office/drawing/2014/main" id="{84C7BA29-28C3-46B1-A4AA-DB4FD3174771}"/>
            </a:ext>
          </a:extLst>
        </xdr:cNvPr>
        <xdr:cNvCxnSpPr/>
      </xdr:nvCxnSpPr>
      <xdr:spPr>
        <a:xfrm>
          <a:off x="12277534" y="126250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73</xdr:row>
      <xdr:rowOff>151764</xdr:rowOff>
    </xdr:from>
    <xdr:to>
      <xdr:col>8</xdr:col>
      <xdr:colOff>228409</xdr:colOff>
      <xdr:row>75</xdr:row>
      <xdr:rowOff>156845</xdr:rowOff>
    </xdr:to>
    <xdr:cxnSp macro="_xll.PtreeEvent_ObjectClick">
      <xdr:nvCxnSpPr>
        <xdr:cNvPr id="176" name="PTObj_DBranchDLine_2_43" hidden="1">
          <a:extLst>
            <a:ext uri="{FF2B5EF4-FFF2-40B4-BE49-F238E27FC236}">
              <a16:creationId xmlns:a16="http://schemas.microsoft.com/office/drawing/2014/main" id="{7FFC6C8D-9651-4346-8669-9F3229BBE526}"/>
            </a:ext>
          </a:extLst>
        </xdr:cNvPr>
        <xdr:cNvCxnSpPr/>
      </xdr:nvCxnSpPr>
      <xdr:spPr>
        <a:xfrm>
          <a:off x="12125134" y="122961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71</xdr:row>
      <xdr:rowOff>156845</xdr:rowOff>
    </xdr:from>
    <xdr:to>
      <xdr:col>9</xdr:col>
      <xdr:colOff>127</xdr:colOff>
      <xdr:row>71</xdr:row>
      <xdr:rowOff>156845</xdr:rowOff>
    </xdr:to>
    <xdr:cxnSp macro="_xll.PtreeEvent_ObjectClick">
      <xdr:nvCxnSpPr>
        <xdr:cNvPr id="173" name="PTObj_DBranchHLine_2_42" hidden="1">
          <a:extLst>
            <a:ext uri="{FF2B5EF4-FFF2-40B4-BE49-F238E27FC236}">
              <a16:creationId xmlns:a16="http://schemas.microsoft.com/office/drawing/2014/main" id="{3CE1CE27-784C-4133-9EB9-004EB1F5ED1E}"/>
            </a:ext>
          </a:extLst>
        </xdr:cNvPr>
        <xdr:cNvCxnSpPr/>
      </xdr:nvCxnSpPr>
      <xdr:spPr>
        <a:xfrm>
          <a:off x="12277534" y="119773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71</xdr:row>
      <xdr:rowOff>156845</xdr:rowOff>
    </xdr:from>
    <xdr:to>
      <xdr:col>8</xdr:col>
      <xdr:colOff>228409</xdr:colOff>
      <xdr:row>73</xdr:row>
      <xdr:rowOff>151764</xdr:rowOff>
    </xdr:to>
    <xdr:cxnSp macro="_xll.PtreeEvent_ObjectClick">
      <xdr:nvCxnSpPr>
        <xdr:cNvPr id="172" name="PTObj_DBranchDLine_2_42" hidden="1">
          <a:extLst>
            <a:ext uri="{FF2B5EF4-FFF2-40B4-BE49-F238E27FC236}">
              <a16:creationId xmlns:a16="http://schemas.microsoft.com/office/drawing/2014/main" id="{72D69CAD-463A-414C-8B75-B8941324AD48}"/>
            </a:ext>
          </a:extLst>
        </xdr:cNvPr>
        <xdr:cNvCxnSpPr/>
      </xdr:nvCxnSpPr>
      <xdr:spPr>
        <a:xfrm flipV="1">
          <a:off x="12125134" y="1197737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73</xdr:row>
      <xdr:rowOff>156845</xdr:rowOff>
    </xdr:from>
    <xdr:to>
      <xdr:col>8</xdr:col>
      <xdr:colOff>127</xdr:colOff>
      <xdr:row>73</xdr:row>
      <xdr:rowOff>156845</xdr:rowOff>
    </xdr:to>
    <xdr:cxnSp macro="_xll.PtreeEvent_ObjectClick">
      <xdr:nvCxnSpPr>
        <xdr:cNvPr id="169" name="PTObj_DBranchHLine_2_41" hidden="1">
          <a:extLst>
            <a:ext uri="{FF2B5EF4-FFF2-40B4-BE49-F238E27FC236}">
              <a16:creationId xmlns:a16="http://schemas.microsoft.com/office/drawing/2014/main" id="{6A156C8E-A6F7-45C4-B720-3C4C03ACB083}"/>
            </a:ext>
          </a:extLst>
        </xdr:cNvPr>
        <xdr:cNvCxnSpPr/>
      </xdr:nvCxnSpPr>
      <xdr:spPr>
        <a:xfrm>
          <a:off x="10782109" y="123012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73</xdr:row>
      <xdr:rowOff>156845</xdr:rowOff>
    </xdr:from>
    <xdr:to>
      <xdr:col>7</xdr:col>
      <xdr:colOff>228409</xdr:colOff>
      <xdr:row>77</xdr:row>
      <xdr:rowOff>151764</xdr:rowOff>
    </xdr:to>
    <xdr:cxnSp macro="_xll.PtreeEvent_ObjectClick">
      <xdr:nvCxnSpPr>
        <xdr:cNvPr id="168" name="PTObj_DBranchDLine_2_41" hidden="1">
          <a:extLst>
            <a:ext uri="{FF2B5EF4-FFF2-40B4-BE49-F238E27FC236}">
              <a16:creationId xmlns:a16="http://schemas.microsoft.com/office/drawing/2014/main" id="{4285D5DA-4E7B-4499-BB19-92DD298D67E6}"/>
            </a:ext>
          </a:extLst>
        </xdr:cNvPr>
        <xdr:cNvCxnSpPr/>
      </xdr:nvCxnSpPr>
      <xdr:spPr>
        <a:xfrm flipV="1">
          <a:off x="10629709" y="12301220"/>
          <a:ext cx="152400" cy="6426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77</xdr:row>
      <xdr:rowOff>156845</xdr:rowOff>
    </xdr:from>
    <xdr:to>
      <xdr:col>7</xdr:col>
      <xdr:colOff>127</xdr:colOff>
      <xdr:row>77</xdr:row>
      <xdr:rowOff>156845</xdr:rowOff>
    </xdr:to>
    <xdr:cxnSp macro="_xll.PtreeEvent_ObjectClick">
      <xdr:nvCxnSpPr>
        <xdr:cNvPr id="165" name="PTObj_DBranchHLine_2_40" hidden="1">
          <a:extLst>
            <a:ext uri="{FF2B5EF4-FFF2-40B4-BE49-F238E27FC236}">
              <a16:creationId xmlns:a16="http://schemas.microsoft.com/office/drawing/2014/main" id="{23EFC744-AF8E-4716-A45C-D948FFE9F055}"/>
            </a:ext>
          </a:extLst>
        </xdr:cNvPr>
        <xdr:cNvCxnSpPr/>
      </xdr:nvCxnSpPr>
      <xdr:spPr>
        <a:xfrm>
          <a:off x="9286684" y="129489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77</xdr:row>
      <xdr:rowOff>156845</xdr:rowOff>
    </xdr:from>
    <xdr:to>
      <xdr:col>6</xdr:col>
      <xdr:colOff>228409</xdr:colOff>
      <xdr:row>91</xdr:row>
      <xdr:rowOff>151764</xdr:rowOff>
    </xdr:to>
    <xdr:cxnSp macro="_xll.PtreeEvent_ObjectClick">
      <xdr:nvCxnSpPr>
        <xdr:cNvPr id="164" name="PTObj_DBranchDLine_2_40" hidden="1">
          <a:extLst>
            <a:ext uri="{FF2B5EF4-FFF2-40B4-BE49-F238E27FC236}">
              <a16:creationId xmlns:a16="http://schemas.microsoft.com/office/drawing/2014/main" id="{11D8C715-03BE-45C5-B616-B4C9BA1AAC34}"/>
            </a:ext>
          </a:extLst>
        </xdr:cNvPr>
        <xdr:cNvCxnSpPr/>
      </xdr:nvCxnSpPr>
      <xdr:spPr>
        <a:xfrm flipV="1">
          <a:off x="9134284" y="12948920"/>
          <a:ext cx="152400" cy="22618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91</xdr:row>
      <xdr:rowOff>156845</xdr:rowOff>
    </xdr:from>
    <xdr:to>
      <xdr:col>6</xdr:col>
      <xdr:colOff>127</xdr:colOff>
      <xdr:row>91</xdr:row>
      <xdr:rowOff>156845</xdr:rowOff>
    </xdr:to>
    <xdr:cxnSp macro="_xll.PtreeEvent_ObjectClick">
      <xdr:nvCxnSpPr>
        <xdr:cNvPr id="161" name="PTObj_DBranchHLine_2_39">
          <a:extLst>
            <a:ext uri="{FF2B5EF4-FFF2-40B4-BE49-F238E27FC236}">
              <a16:creationId xmlns:a16="http://schemas.microsoft.com/office/drawing/2014/main" id="{778FC917-71A7-479C-9F86-41E186EF05B4}"/>
            </a:ext>
          </a:extLst>
        </xdr:cNvPr>
        <xdr:cNvCxnSpPr/>
      </xdr:nvCxnSpPr>
      <xdr:spPr>
        <a:xfrm>
          <a:off x="7791259" y="152158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91</xdr:row>
      <xdr:rowOff>156845</xdr:rowOff>
    </xdr:from>
    <xdr:to>
      <xdr:col>5</xdr:col>
      <xdr:colOff>228409</xdr:colOff>
      <xdr:row>133</xdr:row>
      <xdr:rowOff>151763</xdr:rowOff>
    </xdr:to>
    <xdr:cxnSp macro="_xll.PtreeEvent_ObjectClick">
      <xdr:nvCxnSpPr>
        <xdr:cNvPr id="160" name="PTObj_DBranchDLine_2_39">
          <a:extLst>
            <a:ext uri="{FF2B5EF4-FFF2-40B4-BE49-F238E27FC236}">
              <a16:creationId xmlns:a16="http://schemas.microsoft.com/office/drawing/2014/main" id="{7F9693B6-3A20-481A-BA28-1F40E84824BB}"/>
            </a:ext>
          </a:extLst>
        </xdr:cNvPr>
        <xdr:cNvCxnSpPr/>
      </xdr:nvCxnSpPr>
      <xdr:spPr>
        <a:xfrm flipV="1">
          <a:off x="7638859" y="15215870"/>
          <a:ext cx="152400" cy="6795768"/>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228410</xdr:colOff>
      <xdr:row>133</xdr:row>
      <xdr:rowOff>156845</xdr:rowOff>
    </xdr:from>
    <xdr:to>
      <xdr:col>5</xdr:col>
      <xdr:colOff>127</xdr:colOff>
      <xdr:row>133</xdr:row>
      <xdr:rowOff>156845</xdr:rowOff>
    </xdr:to>
    <xdr:cxnSp macro="_xll.PtreeEvent_ObjectClick">
      <xdr:nvCxnSpPr>
        <xdr:cNvPr id="157" name="PTObj_DBranchHLine_2_38">
          <a:extLst>
            <a:ext uri="{FF2B5EF4-FFF2-40B4-BE49-F238E27FC236}">
              <a16:creationId xmlns:a16="http://schemas.microsoft.com/office/drawing/2014/main" id="{4208D921-7681-4505-A8B6-F3453AB82DD4}"/>
            </a:ext>
          </a:extLst>
        </xdr:cNvPr>
        <xdr:cNvCxnSpPr/>
      </xdr:nvCxnSpPr>
      <xdr:spPr>
        <a:xfrm>
          <a:off x="6295835" y="2201672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69</xdr:row>
      <xdr:rowOff>151764</xdr:rowOff>
    </xdr:from>
    <xdr:to>
      <xdr:col>4</xdr:col>
      <xdr:colOff>228410</xdr:colOff>
      <xdr:row>133</xdr:row>
      <xdr:rowOff>156845</xdr:rowOff>
    </xdr:to>
    <xdr:cxnSp macro="_xll.PtreeEvent_ObjectClick">
      <xdr:nvCxnSpPr>
        <xdr:cNvPr id="156" name="PTObj_DBranchDLine_2_38">
          <a:extLst>
            <a:ext uri="{FF2B5EF4-FFF2-40B4-BE49-F238E27FC236}">
              <a16:creationId xmlns:a16="http://schemas.microsoft.com/office/drawing/2014/main" id="{1670C184-D75B-4B3D-BB16-2B5FF40F2BBC}"/>
            </a:ext>
          </a:extLst>
        </xdr:cNvPr>
        <xdr:cNvCxnSpPr/>
      </xdr:nvCxnSpPr>
      <xdr:spPr>
        <a:xfrm>
          <a:off x="6143435" y="11648439"/>
          <a:ext cx="152400" cy="103682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65</xdr:row>
      <xdr:rowOff>156845</xdr:rowOff>
    </xdr:from>
    <xdr:to>
      <xdr:col>9</xdr:col>
      <xdr:colOff>127</xdr:colOff>
      <xdr:row>65</xdr:row>
      <xdr:rowOff>156845</xdr:rowOff>
    </xdr:to>
    <xdr:cxnSp macro="_xll.PtreeEvent_ObjectClick">
      <xdr:nvCxnSpPr>
        <xdr:cNvPr id="149" name="PTObj_DBranchHLine_2_36" hidden="1">
          <a:extLst>
            <a:ext uri="{FF2B5EF4-FFF2-40B4-BE49-F238E27FC236}">
              <a16:creationId xmlns:a16="http://schemas.microsoft.com/office/drawing/2014/main" id="{E9A3C129-5EC8-4AFF-BE0E-33F6E02321BE}"/>
            </a:ext>
          </a:extLst>
        </xdr:cNvPr>
        <xdr:cNvCxnSpPr/>
      </xdr:nvCxnSpPr>
      <xdr:spPr>
        <a:xfrm>
          <a:off x="12277534" y="106819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63</xdr:row>
      <xdr:rowOff>151764</xdr:rowOff>
    </xdr:from>
    <xdr:to>
      <xdr:col>8</xdr:col>
      <xdr:colOff>228409</xdr:colOff>
      <xdr:row>65</xdr:row>
      <xdr:rowOff>156845</xdr:rowOff>
    </xdr:to>
    <xdr:cxnSp macro="_xll.PtreeEvent_ObjectClick">
      <xdr:nvCxnSpPr>
        <xdr:cNvPr id="148" name="PTObj_DBranchDLine_2_36" hidden="1">
          <a:extLst>
            <a:ext uri="{FF2B5EF4-FFF2-40B4-BE49-F238E27FC236}">
              <a16:creationId xmlns:a16="http://schemas.microsoft.com/office/drawing/2014/main" id="{A01D3CCF-0E0D-4E73-8DE2-0B214F6DB371}"/>
            </a:ext>
          </a:extLst>
        </xdr:cNvPr>
        <xdr:cNvCxnSpPr/>
      </xdr:nvCxnSpPr>
      <xdr:spPr>
        <a:xfrm>
          <a:off x="12125134" y="103530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61</xdr:row>
      <xdr:rowOff>156845</xdr:rowOff>
    </xdr:from>
    <xdr:to>
      <xdr:col>9</xdr:col>
      <xdr:colOff>127</xdr:colOff>
      <xdr:row>61</xdr:row>
      <xdr:rowOff>156845</xdr:rowOff>
    </xdr:to>
    <xdr:cxnSp macro="_xll.PtreeEvent_ObjectClick">
      <xdr:nvCxnSpPr>
        <xdr:cNvPr id="145" name="PTObj_DBranchHLine_2_35" hidden="1">
          <a:extLst>
            <a:ext uri="{FF2B5EF4-FFF2-40B4-BE49-F238E27FC236}">
              <a16:creationId xmlns:a16="http://schemas.microsoft.com/office/drawing/2014/main" id="{0EC8E57E-054A-4E5A-8CC5-6544964738B9}"/>
            </a:ext>
          </a:extLst>
        </xdr:cNvPr>
        <xdr:cNvCxnSpPr/>
      </xdr:nvCxnSpPr>
      <xdr:spPr>
        <a:xfrm>
          <a:off x="12277534" y="100342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61</xdr:row>
      <xdr:rowOff>156845</xdr:rowOff>
    </xdr:from>
    <xdr:to>
      <xdr:col>8</xdr:col>
      <xdr:colOff>228409</xdr:colOff>
      <xdr:row>63</xdr:row>
      <xdr:rowOff>151764</xdr:rowOff>
    </xdr:to>
    <xdr:cxnSp macro="_xll.PtreeEvent_ObjectClick">
      <xdr:nvCxnSpPr>
        <xdr:cNvPr id="144" name="PTObj_DBranchDLine_2_35" hidden="1">
          <a:extLst>
            <a:ext uri="{FF2B5EF4-FFF2-40B4-BE49-F238E27FC236}">
              <a16:creationId xmlns:a16="http://schemas.microsoft.com/office/drawing/2014/main" id="{122D2EAE-3CDD-434F-B855-9DE94E9B6A1C}"/>
            </a:ext>
          </a:extLst>
        </xdr:cNvPr>
        <xdr:cNvCxnSpPr/>
      </xdr:nvCxnSpPr>
      <xdr:spPr>
        <a:xfrm flipV="1">
          <a:off x="12125134" y="1003427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63</xdr:row>
      <xdr:rowOff>156845</xdr:rowOff>
    </xdr:from>
    <xdr:to>
      <xdr:col>8</xdr:col>
      <xdr:colOff>127</xdr:colOff>
      <xdr:row>63</xdr:row>
      <xdr:rowOff>156845</xdr:rowOff>
    </xdr:to>
    <xdr:cxnSp macro="_xll.PtreeEvent_ObjectClick">
      <xdr:nvCxnSpPr>
        <xdr:cNvPr id="141" name="PTObj_DBranchHLine_2_34" hidden="1">
          <a:extLst>
            <a:ext uri="{FF2B5EF4-FFF2-40B4-BE49-F238E27FC236}">
              <a16:creationId xmlns:a16="http://schemas.microsoft.com/office/drawing/2014/main" id="{9DD6255F-24DB-4CB1-9B76-906411511D6F}"/>
            </a:ext>
          </a:extLst>
        </xdr:cNvPr>
        <xdr:cNvCxnSpPr/>
      </xdr:nvCxnSpPr>
      <xdr:spPr>
        <a:xfrm>
          <a:off x="10782109" y="103581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53</xdr:row>
      <xdr:rowOff>151764</xdr:rowOff>
    </xdr:from>
    <xdr:to>
      <xdr:col>7</xdr:col>
      <xdr:colOff>228409</xdr:colOff>
      <xdr:row>63</xdr:row>
      <xdr:rowOff>156845</xdr:rowOff>
    </xdr:to>
    <xdr:cxnSp macro="_xll.PtreeEvent_ObjectClick">
      <xdr:nvCxnSpPr>
        <xdr:cNvPr id="140" name="PTObj_DBranchDLine_2_34" hidden="1">
          <a:extLst>
            <a:ext uri="{FF2B5EF4-FFF2-40B4-BE49-F238E27FC236}">
              <a16:creationId xmlns:a16="http://schemas.microsoft.com/office/drawing/2014/main" id="{238AD0A7-0BD4-494E-B410-AB170D961DA5}"/>
            </a:ext>
          </a:extLst>
        </xdr:cNvPr>
        <xdr:cNvCxnSpPr/>
      </xdr:nvCxnSpPr>
      <xdr:spPr>
        <a:xfrm>
          <a:off x="10629709" y="8733789"/>
          <a:ext cx="152400" cy="16243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59</xdr:row>
      <xdr:rowOff>156845</xdr:rowOff>
    </xdr:from>
    <xdr:to>
      <xdr:col>9</xdr:col>
      <xdr:colOff>127</xdr:colOff>
      <xdr:row>59</xdr:row>
      <xdr:rowOff>156845</xdr:rowOff>
    </xdr:to>
    <xdr:cxnSp macro="_xll.PtreeEvent_ObjectClick">
      <xdr:nvCxnSpPr>
        <xdr:cNvPr id="137" name="PTObj_DBranchHLine_2_33" hidden="1">
          <a:extLst>
            <a:ext uri="{FF2B5EF4-FFF2-40B4-BE49-F238E27FC236}">
              <a16:creationId xmlns:a16="http://schemas.microsoft.com/office/drawing/2014/main" id="{A7550545-4246-4F05-96D7-DC92E7B5DF7D}"/>
            </a:ext>
          </a:extLst>
        </xdr:cNvPr>
        <xdr:cNvCxnSpPr/>
      </xdr:nvCxnSpPr>
      <xdr:spPr>
        <a:xfrm>
          <a:off x="12277534" y="97104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57</xdr:row>
      <xdr:rowOff>151764</xdr:rowOff>
    </xdr:from>
    <xdr:to>
      <xdr:col>8</xdr:col>
      <xdr:colOff>228409</xdr:colOff>
      <xdr:row>59</xdr:row>
      <xdr:rowOff>156845</xdr:rowOff>
    </xdr:to>
    <xdr:cxnSp macro="_xll.PtreeEvent_ObjectClick">
      <xdr:nvCxnSpPr>
        <xdr:cNvPr id="136" name="PTObj_DBranchDLine_2_33" hidden="1">
          <a:extLst>
            <a:ext uri="{FF2B5EF4-FFF2-40B4-BE49-F238E27FC236}">
              <a16:creationId xmlns:a16="http://schemas.microsoft.com/office/drawing/2014/main" id="{4DC6BA66-B1B7-4AC4-9AD4-244217810671}"/>
            </a:ext>
          </a:extLst>
        </xdr:cNvPr>
        <xdr:cNvCxnSpPr/>
      </xdr:nvCxnSpPr>
      <xdr:spPr>
        <a:xfrm>
          <a:off x="12125134" y="938148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55</xdr:row>
      <xdr:rowOff>156845</xdr:rowOff>
    </xdr:from>
    <xdr:to>
      <xdr:col>9</xdr:col>
      <xdr:colOff>127</xdr:colOff>
      <xdr:row>55</xdr:row>
      <xdr:rowOff>156845</xdr:rowOff>
    </xdr:to>
    <xdr:cxnSp macro="_xll.PtreeEvent_ObjectClick">
      <xdr:nvCxnSpPr>
        <xdr:cNvPr id="133" name="PTObj_DBranchHLine_2_32" hidden="1">
          <a:extLst>
            <a:ext uri="{FF2B5EF4-FFF2-40B4-BE49-F238E27FC236}">
              <a16:creationId xmlns:a16="http://schemas.microsoft.com/office/drawing/2014/main" id="{4243D789-7B52-45CB-BE7A-E53A1538E4AB}"/>
            </a:ext>
          </a:extLst>
        </xdr:cNvPr>
        <xdr:cNvCxnSpPr/>
      </xdr:nvCxnSpPr>
      <xdr:spPr>
        <a:xfrm>
          <a:off x="12277534" y="90627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55</xdr:row>
      <xdr:rowOff>156845</xdr:rowOff>
    </xdr:from>
    <xdr:to>
      <xdr:col>8</xdr:col>
      <xdr:colOff>228409</xdr:colOff>
      <xdr:row>57</xdr:row>
      <xdr:rowOff>151764</xdr:rowOff>
    </xdr:to>
    <xdr:cxnSp macro="_xll.PtreeEvent_ObjectClick">
      <xdr:nvCxnSpPr>
        <xdr:cNvPr id="132" name="PTObj_DBranchDLine_2_32" hidden="1">
          <a:extLst>
            <a:ext uri="{FF2B5EF4-FFF2-40B4-BE49-F238E27FC236}">
              <a16:creationId xmlns:a16="http://schemas.microsoft.com/office/drawing/2014/main" id="{F022346D-9CC3-48B6-80F1-853FCCE075E8}"/>
            </a:ext>
          </a:extLst>
        </xdr:cNvPr>
        <xdr:cNvCxnSpPr/>
      </xdr:nvCxnSpPr>
      <xdr:spPr>
        <a:xfrm flipV="1">
          <a:off x="12125134" y="906272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57</xdr:row>
      <xdr:rowOff>156845</xdr:rowOff>
    </xdr:from>
    <xdr:to>
      <xdr:col>8</xdr:col>
      <xdr:colOff>127</xdr:colOff>
      <xdr:row>57</xdr:row>
      <xdr:rowOff>156845</xdr:rowOff>
    </xdr:to>
    <xdr:cxnSp macro="_xll.PtreeEvent_ObjectClick">
      <xdr:nvCxnSpPr>
        <xdr:cNvPr id="129" name="PTObj_DBranchHLine_2_31" hidden="1">
          <a:extLst>
            <a:ext uri="{FF2B5EF4-FFF2-40B4-BE49-F238E27FC236}">
              <a16:creationId xmlns:a16="http://schemas.microsoft.com/office/drawing/2014/main" id="{01FAB8F1-743D-47EC-A09B-86A5D787918B}"/>
            </a:ext>
          </a:extLst>
        </xdr:cNvPr>
        <xdr:cNvCxnSpPr/>
      </xdr:nvCxnSpPr>
      <xdr:spPr>
        <a:xfrm>
          <a:off x="10782109" y="93865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53</xdr:row>
      <xdr:rowOff>151764</xdr:rowOff>
    </xdr:from>
    <xdr:to>
      <xdr:col>7</xdr:col>
      <xdr:colOff>228409</xdr:colOff>
      <xdr:row>57</xdr:row>
      <xdr:rowOff>156845</xdr:rowOff>
    </xdr:to>
    <xdr:cxnSp macro="_xll.PtreeEvent_ObjectClick">
      <xdr:nvCxnSpPr>
        <xdr:cNvPr id="128" name="PTObj_DBranchDLine_2_31" hidden="1">
          <a:extLst>
            <a:ext uri="{FF2B5EF4-FFF2-40B4-BE49-F238E27FC236}">
              <a16:creationId xmlns:a16="http://schemas.microsoft.com/office/drawing/2014/main" id="{9C57427B-72C0-4B76-B24C-2DE9D14E0596}"/>
            </a:ext>
          </a:extLst>
        </xdr:cNvPr>
        <xdr:cNvCxnSpPr/>
      </xdr:nvCxnSpPr>
      <xdr:spPr>
        <a:xfrm>
          <a:off x="10629709" y="8733789"/>
          <a:ext cx="152400" cy="6527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51</xdr:row>
      <xdr:rowOff>156845</xdr:rowOff>
    </xdr:from>
    <xdr:to>
      <xdr:col>9</xdr:col>
      <xdr:colOff>127</xdr:colOff>
      <xdr:row>51</xdr:row>
      <xdr:rowOff>156845</xdr:rowOff>
    </xdr:to>
    <xdr:cxnSp macro="_xll.PtreeEvent_ObjectClick">
      <xdr:nvCxnSpPr>
        <xdr:cNvPr id="125" name="PTObj_DBranchHLine_2_30" hidden="1">
          <a:extLst>
            <a:ext uri="{FF2B5EF4-FFF2-40B4-BE49-F238E27FC236}">
              <a16:creationId xmlns:a16="http://schemas.microsoft.com/office/drawing/2014/main" id="{0E4C49C5-8C79-44E0-8BBD-488DD2DD1C98}"/>
            </a:ext>
          </a:extLst>
        </xdr:cNvPr>
        <xdr:cNvCxnSpPr/>
      </xdr:nvCxnSpPr>
      <xdr:spPr>
        <a:xfrm>
          <a:off x="12277534" y="84150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49</xdr:row>
      <xdr:rowOff>151764</xdr:rowOff>
    </xdr:from>
    <xdr:to>
      <xdr:col>8</xdr:col>
      <xdr:colOff>228409</xdr:colOff>
      <xdr:row>51</xdr:row>
      <xdr:rowOff>156845</xdr:rowOff>
    </xdr:to>
    <xdr:cxnSp macro="_xll.PtreeEvent_ObjectClick">
      <xdr:nvCxnSpPr>
        <xdr:cNvPr id="124" name="PTObj_DBranchDLine_2_30" hidden="1">
          <a:extLst>
            <a:ext uri="{FF2B5EF4-FFF2-40B4-BE49-F238E27FC236}">
              <a16:creationId xmlns:a16="http://schemas.microsoft.com/office/drawing/2014/main" id="{5102E1E3-3B4F-450A-98D0-4F46854167CB}"/>
            </a:ext>
          </a:extLst>
        </xdr:cNvPr>
        <xdr:cNvCxnSpPr/>
      </xdr:nvCxnSpPr>
      <xdr:spPr>
        <a:xfrm>
          <a:off x="12125134" y="808608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47</xdr:row>
      <xdr:rowOff>156845</xdr:rowOff>
    </xdr:from>
    <xdr:to>
      <xdr:col>9</xdr:col>
      <xdr:colOff>127</xdr:colOff>
      <xdr:row>47</xdr:row>
      <xdr:rowOff>156845</xdr:rowOff>
    </xdr:to>
    <xdr:cxnSp macro="_xll.PtreeEvent_ObjectClick">
      <xdr:nvCxnSpPr>
        <xdr:cNvPr id="121" name="PTObj_DBranchHLine_2_29" hidden="1">
          <a:extLst>
            <a:ext uri="{FF2B5EF4-FFF2-40B4-BE49-F238E27FC236}">
              <a16:creationId xmlns:a16="http://schemas.microsoft.com/office/drawing/2014/main" id="{45D855D1-826A-45DE-9449-B9565FD94BF6}"/>
            </a:ext>
          </a:extLst>
        </xdr:cNvPr>
        <xdr:cNvCxnSpPr/>
      </xdr:nvCxnSpPr>
      <xdr:spPr>
        <a:xfrm>
          <a:off x="12277534" y="77673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47</xdr:row>
      <xdr:rowOff>156845</xdr:rowOff>
    </xdr:from>
    <xdr:to>
      <xdr:col>8</xdr:col>
      <xdr:colOff>228409</xdr:colOff>
      <xdr:row>49</xdr:row>
      <xdr:rowOff>151764</xdr:rowOff>
    </xdr:to>
    <xdr:cxnSp macro="_xll.PtreeEvent_ObjectClick">
      <xdr:nvCxnSpPr>
        <xdr:cNvPr id="120" name="PTObj_DBranchDLine_2_29" hidden="1">
          <a:extLst>
            <a:ext uri="{FF2B5EF4-FFF2-40B4-BE49-F238E27FC236}">
              <a16:creationId xmlns:a16="http://schemas.microsoft.com/office/drawing/2014/main" id="{7E9E6A9F-706F-4391-AC34-0B1774177F68}"/>
            </a:ext>
          </a:extLst>
        </xdr:cNvPr>
        <xdr:cNvCxnSpPr/>
      </xdr:nvCxnSpPr>
      <xdr:spPr>
        <a:xfrm flipV="1">
          <a:off x="12125134" y="776732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49</xdr:row>
      <xdr:rowOff>156845</xdr:rowOff>
    </xdr:from>
    <xdr:to>
      <xdr:col>8</xdr:col>
      <xdr:colOff>127</xdr:colOff>
      <xdr:row>49</xdr:row>
      <xdr:rowOff>156845</xdr:rowOff>
    </xdr:to>
    <xdr:cxnSp macro="_xll.PtreeEvent_ObjectClick">
      <xdr:nvCxnSpPr>
        <xdr:cNvPr id="117" name="PTObj_DBranchHLine_2_28" hidden="1">
          <a:extLst>
            <a:ext uri="{FF2B5EF4-FFF2-40B4-BE49-F238E27FC236}">
              <a16:creationId xmlns:a16="http://schemas.microsoft.com/office/drawing/2014/main" id="{55D301C4-FF8D-46B7-9F64-30FA497A2189}"/>
            </a:ext>
          </a:extLst>
        </xdr:cNvPr>
        <xdr:cNvCxnSpPr/>
      </xdr:nvCxnSpPr>
      <xdr:spPr>
        <a:xfrm>
          <a:off x="10782109" y="80911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49</xdr:row>
      <xdr:rowOff>156845</xdr:rowOff>
    </xdr:from>
    <xdr:to>
      <xdr:col>7</xdr:col>
      <xdr:colOff>228409</xdr:colOff>
      <xdr:row>53</xdr:row>
      <xdr:rowOff>151764</xdr:rowOff>
    </xdr:to>
    <xdr:cxnSp macro="_xll.PtreeEvent_ObjectClick">
      <xdr:nvCxnSpPr>
        <xdr:cNvPr id="116" name="PTObj_DBranchDLine_2_28" hidden="1">
          <a:extLst>
            <a:ext uri="{FF2B5EF4-FFF2-40B4-BE49-F238E27FC236}">
              <a16:creationId xmlns:a16="http://schemas.microsoft.com/office/drawing/2014/main" id="{45A1B6F0-5A8B-4E0E-93CF-16A5465BC06A}"/>
            </a:ext>
          </a:extLst>
        </xdr:cNvPr>
        <xdr:cNvCxnSpPr/>
      </xdr:nvCxnSpPr>
      <xdr:spPr>
        <a:xfrm flipV="1">
          <a:off x="10629709" y="8091170"/>
          <a:ext cx="152400" cy="6426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53</xdr:row>
      <xdr:rowOff>156845</xdr:rowOff>
    </xdr:from>
    <xdr:to>
      <xdr:col>7</xdr:col>
      <xdr:colOff>127</xdr:colOff>
      <xdr:row>53</xdr:row>
      <xdr:rowOff>156845</xdr:rowOff>
    </xdr:to>
    <xdr:cxnSp macro="_xll.PtreeEvent_ObjectClick">
      <xdr:nvCxnSpPr>
        <xdr:cNvPr id="113" name="PTObj_DBranchHLine_2_27" hidden="1">
          <a:extLst>
            <a:ext uri="{FF2B5EF4-FFF2-40B4-BE49-F238E27FC236}">
              <a16:creationId xmlns:a16="http://schemas.microsoft.com/office/drawing/2014/main" id="{61869A09-1B75-49E1-AD8D-F5D0964BD463}"/>
            </a:ext>
          </a:extLst>
        </xdr:cNvPr>
        <xdr:cNvCxnSpPr/>
      </xdr:nvCxnSpPr>
      <xdr:spPr>
        <a:xfrm>
          <a:off x="9286684" y="87388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25</xdr:row>
      <xdr:rowOff>151766</xdr:rowOff>
    </xdr:from>
    <xdr:to>
      <xdr:col>6</xdr:col>
      <xdr:colOff>228409</xdr:colOff>
      <xdr:row>53</xdr:row>
      <xdr:rowOff>156845</xdr:rowOff>
    </xdr:to>
    <xdr:cxnSp macro="_xll.PtreeEvent_ObjectClick">
      <xdr:nvCxnSpPr>
        <xdr:cNvPr id="112" name="PTObj_DBranchDLine_2_27" hidden="1">
          <a:extLst>
            <a:ext uri="{FF2B5EF4-FFF2-40B4-BE49-F238E27FC236}">
              <a16:creationId xmlns:a16="http://schemas.microsoft.com/office/drawing/2014/main" id="{B7A6BBD3-C717-443D-BD2C-E98CB2FD03B0}"/>
            </a:ext>
          </a:extLst>
        </xdr:cNvPr>
        <xdr:cNvCxnSpPr/>
      </xdr:nvCxnSpPr>
      <xdr:spPr>
        <a:xfrm>
          <a:off x="9134284" y="4199891"/>
          <a:ext cx="152400" cy="45389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45</xdr:row>
      <xdr:rowOff>156845</xdr:rowOff>
    </xdr:from>
    <xdr:to>
      <xdr:col>9</xdr:col>
      <xdr:colOff>127</xdr:colOff>
      <xdr:row>45</xdr:row>
      <xdr:rowOff>156845</xdr:rowOff>
    </xdr:to>
    <xdr:cxnSp macro="_xll.PtreeEvent_ObjectClick">
      <xdr:nvCxnSpPr>
        <xdr:cNvPr id="109" name="PTObj_DBranchHLine_2_26" hidden="1">
          <a:extLst>
            <a:ext uri="{FF2B5EF4-FFF2-40B4-BE49-F238E27FC236}">
              <a16:creationId xmlns:a16="http://schemas.microsoft.com/office/drawing/2014/main" id="{BB4C7BDB-F6A5-4F4E-8857-FF7786D31A3C}"/>
            </a:ext>
          </a:extLst>
        </xdr:cNvPr>
        <xdr:cNvCxnSpPr/>
      </xdr:nvCxnSpPr>
      <xdr:spPr>
        <a:xfrm>
          <a:off x="12277534" y="74434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43</xdr:row>
      <xdr:rowOff>151764</xdr:rowOff>
    </xdr:from>
    <xdr:to>
      <xdr:col>8</xdr:col>
      <xdr:colOff>228409</xdr:colOff>
      <xdr:row>45</xdr:row>
      <xdr:rowOff>156845</xdr:rowOff>
    </xdr:to>
    <xdr:cxnSp macro="_xll.PtreeEvent_ObjectClick">
      <xdr:nvCxnSpPr>
        <xdr:cNvPr id="108" name="PTObj_DBranchDLine_2_26" hidden="1">
          <a:extLst>
            <a:ext uri="{FF2B5EF4-FFF2-40B4-BE49-F238E27FC236}">
              <a16:creationId xmlns:a16="http://schemas.microsoft.com/office/drawing/2014/main" id="{9203F206-C258-44E0-B870-D8B220DEF2C2}"/>
            </a:ext>
          </a:extLst>
        </xdr:cNvPr>
        <xdr:cNvCxnSpPr/>
      </xdr:nvCxnSpPr>
      <xdr:spPr>
        <a:xfrm>
          <a:off x="12125134" y="71145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41</xdr:row>
      <xdr:rowOff>156845</xdr:rowOff>
    </xdr:from>
    <xdr:to>
      <xdr:col>9</xdr:col>
      <xdr:colOff>127</xdr:colOff>
      <xdr:row>41</xdr:row>
      <xdr:rowOff>156845</xdr:rowOff>
    </xdr:to>
    <xdr:cxnSp macro="_xll.PtreeEvent_ObjectClick">
      <xdr:nvCxnSpPr>
        <xdr:cNvPr id="105" name="PTObj_DBranchHLine_2_25" hidden="1">
          <a:extLst>
            <a:ext uri="{FF2B5EF4-FFF2-40B4-BE49-F238E27FC236}">
              <a16:creationId xmlns:a16="http://schemas.microsoft.com/office/drawing/2014/main" id="{82381ECE-C4DD-4EC9-8B75-19F315304095}"/>
            </a:ext>
          </a:extLst>
        </xdr:cNvPr>
        <xdr:cNvCxnSpPr/>
      </xdr:nvCxnSpPr>
      <xdr:spPr>
        <a:xfrm>
          <a:off x="12277534" y="67957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41</xdr:row>
      <xdr:rowOff>156845</xdr:rowOff>
    </xdr:from>
    <xdr:to>
      <xdr:col>8</xdr:col>
      <xdr:colOff>228409</xdr:colOff>
      <xdr:row>43</xdr:row>
      <xdr:rowOff>151764</xdr:rowOff>
    </xdr:to>
    <xdr:cxnSp macro="_xll.PtreeEvent_ObjectClick">
      <xdr:nvCxnSpPr>
        <xdr:cNvPr id="104" name="PTObj_DBranchDLine_2_25" hidden="1">
          <a:extLst>
            <a:ext uri="{FF2B5EF4-FFF2-40B4-BE49-F238E27FC236}">
              <a16:creationId xmlns:a16="http://schemas.microsoft.com/office/drawing/2014/main" id="{929F3EBD-FFF0-46F3-98AE-9FA49E80065F}"/>
            </a:ext>
          </a:extLst>
        </xdr:cNvPr>
        <xdr:cNvCxnSpPr/>
      </xdr:nvCxnSpPr>
      <xdr:spPr>
        <a:xfrm flipV="1">
          <a:off x="12125134" y="679577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43</xdr:row>
      <xdr:rowOff>156845</xdr:rowOff>
    </xdr:from>
    <xdr:to>
      <xdr:col>8</xdr:col>
      <xdr:colOff>127</xdr:colOff>
      <xdr:row>43</xdr:row>
      <xdr:rowOff>156845</xdr:rowOff>
    </xdr:to>
    <xdr:cxnSp macro="_xll.PtreeEvent_ObjectClick">
      <xdr:nvCxnSpPr>
        <xdr:cNvPr id="101" name="PTObj_DBranchHLine_2_24" hidden="1">
          <a:extLst>
            <a:ext uri="{FF2B5EF4-FFF2-40B4-BE49-F238E27FC236}">
              <a16:creationId xmlns:a16="http://schemas.microsoft.com/office/drawing/2014/main" id="{D0FD0C1F-91D3-4D76-91B8-30FF859AF770}"/>
            </a:ext>
          </a:extLst>
        </xdr:cNvPr>
        <xdr:cNvCxnSpPr/>
      </xdr:nvCxnSpPr>
      <xdr:spPr>
        <a:xfrm>
          <a:off x="10782109" y="71196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33</xdr:row>
      <xdr:rowOff>151766</xdr:rowOff>
    </xdr:from>
    <xdr:to>
      <xdr:col>7</xdr:col>
      <xdr:colOff>228409</xdr:colOff>
      <xdr:row>43</xdr:row>
      <xdr:rowOff>156845</xdr:rowOff>
    </xdr:to>
    <xdr:cxnSp macro="_xll.PtreeEvent_ObjectClick">
      <xdr:nvCxnSpPr>
        <xdr:cNvPr id="100" name="PTObj_DBranchDLine_2_24" hidden="1">
          <a:extLst>
            <a:ext uri="{FF2B5EF4-FFF2-40B4-BE49-F238E27FC236}">
              <a16:creationId xmlns:a16="http://schemas.microsoft.com/office/drawing/2014/main" id="{B4AE238D-82D8-4FF0-A42E-B7C268CCB85A}"/>
            </a:ext>
          </a:extLst>
        </xdr:cNvPr>
        <xdr:cNvCxnSpPr/>
      </xdr:nvCxnSpPr>
      <xdr:spPr>
        <a:xfrm>
          <a:off x="10629709" y="5495291"/>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39</xdr:row>
      <xdr:rowOff>156845</xdr:rowOff>
    </xdr:from>
    <xdr:to>
      <xdr:col>9</xdr:col>
      <xdr:colOff>127</xdr:colOff>
      <xdr:row>39</xdr:row>
      <xdr:rowOff>156845</xdr:rowOff>
    </xdr:to>
    <xdr:cxnSp macro="_xll.PtreeEvent_ObjectClick">
      <xdr:nvCxnSpPr>
        <xdr:cNvPr id="97" name="PTObj_DBranchHLine_2_23" hidden="1">
          <a:extLst>
            <a:ext uri="{FF2B5EF4-FFF2-40B4-BE49-F238E27FC236}">
              <a16:creationId xmlns:a16="http://schemas.microsoft.com/office/drawing/2014/main" id="{2C2E562A-FDDC-40B8-9EC9-85BBED3D90D4}"/>
            </a:ext>
          </a:extLst>
        </xdr:cNvPr>
        <xdr:cNvCxnSpPr/>
      </xdr:nvCxnSpPr>
      <xdr:spPr>
        <a:xfrm>
          <a:off x="12277534" y="64719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37</xdr:row>
      <xdr:rowOff>151766</xdr:rowOff>
    </xdr:from>
    <xdr:to>
      <xdr:col>8</xdr:col>
      <xdr:colOff>228409</xdr:colOff>
      <xdr:row>39</xdr:row>
      <xdr:rowOff>156845</xdr:rowOff>
    </xdr:to>
    <xdr:cxnSp macro="_xll.PtreeEvent_ObjectClick">
      <xdr:nvCxnSpPr>
        <xdr:cNvPr id="96" name="PTObj_DBranchDLine_2_23" hidden="1">
          <a:extLst>
            <a:ext uri="{FF2B5EF4-FFF2-40B4-BE49-F238E27FC236}">
              <a16:creationId xmlns:a16="http://schemas.microsoft.com/office/drawing/2014/main" id="{0BF2F414-CB13-441B-90AC-006B29991CDC}"/>
            </a:ext>
          </a:extLst>
        </xdr:cNvPr>
        <xdr:cNvCxnSpPr/>
      </xdr:nvCxnSpPr>
      <xdr:spPr>
        <a:xfrm>
          <a:off x="12125134" y="61429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35</xdr:row>
      <xdr:rowOff>156845</xdr:rowOff>
    </xdr:from>
    <xdr:to>
      <xdr:col>9</xdr:col>
      <xdr:colOff>127</xdr:colOff>
      <xdr:row>35</xdr:row>
      <xdr:rowOff>156845</xdr:rowOff>
    </xdr:to>
    <xdr:cxnSp macro="_xll.PtreeEvent_ObjectClick">
      <xdr:nvCxnSpPr>
        <xdr:cNvPr id="93" name="PTObj_DBranchHLine_2_22" hidden="1">
          <a:extLst>
            <a:ext uri="{FF2B5EF4-FFF2-40B4-BE49-F238E27FC236}">
              <a16:creationId xmlns:a16="http://schemas.microsoft.com/office/drawing/2014/main" id="{DEAD7C2B-9310-45A7-A439-CB1EA93213CC}"/>
            </a:ext>
          </a:extLst>
        </xdr:cNvPr>
        <xdr:cNvCxnSpPr/>
      </xdr:nvCxnSpPr>
      <xdr:spPr>
        <a:xfrm>
          <a:off x="12277534" y="58242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35</xdr:row>
      <xdr:rowOff>156845</xdr:rowOff>
    </xdr:from>
    <xdr:to>
      <xdr:col>8</xdr:col>
      <xdr:colOff>228409</xdr:colOff>
      <xdr:row>37</xdr:row>
      <xdr:rowOff>151766</xdr:rowOff>
    </xdr:to>
    <xdr:cxnSp macro="_xll.PtreeEvent_ObjectClick">
      <xdr:nvCxnSpPr>
        <xdr:cNvPr id="92" name="PTObj_DBranchDLine_2_22" hidden="1">
          <a:extLst>
            <a:ext uri="{FF2B5EF4-FFF2-40B4-BE49-F238E27FC236}">
              <a16:creationId xmlns:a16="http://schemas.microsoft.com/office/drawing/2014/main" id="{631552FC-E44F-4CAD-A7E4-915DB67D9932}"/>
            </a:ext>
          </a:extLst>
        </xdr:cNvPr>
        <xdr:cNvCxnSpPr/>
      </xdr:nvCxnSpPr>
      <xdr:spPr>
        <a:xfrm flipV="1">
          <a:off x="12125134" y="58242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37</xdr:row>
      <xdr:rowOff>156845</xdr:rowOff>
    </xdr:from>
    <xdr:to>
      <xdr:col>8</xdr:col>
      <xdr:colOff>127</xdr:colOff>
      <xdr:row>37</xdr:row>
      <xdr:rowOff>156845</xdr:rowOff>
    </xdr:to>
    <xdr:cxnSp macro="_xll.PtreeEvent_ObjectClick">
      <xdr:nvCxnSpPr>
        <xdr:cNvPr id="89" name="PTObj_DBranchHLine_2_21" hidden="1">
          <a:extLst>
            <a:ext uri="{FF2B5EF4-FFF2-40B4-BE49-F238E27FC236}">
              <a16:creationId xmlns:a16="http://schemas.microsoft.com/office/drawing/2014/main" id="{DA80C124-9D67-424D-9123-784E7D255B48}"/>
            </a:ext>
          </a:extLst>
        </xdr:cNvPr>
        <xdr:cNvCxnSpPr/>
      </xdr:nvCxnSpPr>
      <xdr:spPr>
        <a:xfrm>
          <a:off x="10782109" y="61480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33</xdr:row>
      <xdr:rowOff>151766</xdr:rowOff>
    </xdr:from>
    <xdr:to>
      <xdr:col>7</xdr:col>
      <xdr:colOff>228409</xdr:colOff>
      <xdr:row>37</xdr:row>
      <xdr:rowOff>156845</xdr:rowOff>
    </xdr:to>
    <xdr:cxnSp macro="_xll.PtreeEvent_ObjectClick">
      <xdr:nvCxnSpPr>
        <xdr:cNvPr id="88" name="PTObj_DBranchDLine_2_21" hidden="1">
          <a:extLst>
            <a:ext uri="{FF2B5EF4-FFF2-40B4-BE49-F238E27FC236}">
              <a16:creationId xmlns:a16="http://schemas.microsoft.com/office/drawing/2014/main" id="{C723B925-89D3-402E-99F9-1DF9B6348399}"/>
            </a:ext>
          </a:extLst>
        </xdr:cNvPr>
        <xdr:cNvCxnSpPr/>
      </xdr:nvCxnSpPr>
      <xdr:spPr>
        <a:xfrm>
          <a:off x="10629709" y="5495291"/>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31</xdr:row>
      <xdr:rowOff>156845</xdr:rowOff>
    </xdr:from>
    <xdr:to>
      <xdr:col>9</xdr:col>
      <xdr:colOff>127</xdr:colOff>
      <xdr:row>31</xdr:row>
      <xdr:rowOff>156845</xdr:rowOff>
    </xdr:to>
    <xdr:cxnSp macro="_xll.PtreeEvent_ObjectClick">
      <xdr:nvCxnSpPr>
        <xdr:cNvPr id="85" name="PTObj_DBranchHLine_2_20" hidden="1">
          <a:extLst>
            <a:ext uri="{FF2B5EF4-FFF2-40B4-BE49-F238E27FC236}">
              <a16:creationId xmlns:a16="http://schemas.microsoft.com/office/drawing/2014/main" id="{328AD3E1-EF66-4098-B647-909DB1870442}"/>
            </a:ext>
          </a:extLst>
        </xdr:cNvPr>
        <xdr:cNvCxnSpPr/>
      </xdr:nvCxnSpPr>
      <xdr:spPr>
        <a:xfrm>
          <a:off x="12277534" y="51765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29</xdr:row>
      <xdr:rowOff>151766</xdr:rowOff>
    </xdr:from>
    <xdr:to>
      <xdr:col>8</xdr:col>
      <xdr:colOff>228409</xdr:colOff>
      <xdr:row>31</xdr:row>
      <xdr:rowOff>156845</xdr:rowOff>
    </xdr:to>
    <xdr:cxnSp macro="_xll.PtreeEvent_ObjectClick">
      <xdr:nvCxnSpPr>
        <xdr:cNvPr id="84" name="PTObj_DBranchDLine_2_20" hidden="1">
          <a:extLst>
            <a:ext uri="{FF2B5EF4-FFF2-40B4-BE49-F238E27FC236}">
              <a16:creationId xmlns:a16="http://schemas.microsoft.com/office/drawing/2014/main" id="{7EA7CD05-9EAB-46BA-A787-E8098E93B5DC}"/>
            </a:ext>
          </a:extLst>
        </xdr:cNvPr>
        <xdr:cNvCxnSpPr/>
      </xdr:nvCxnSpPr>
      <xdr:spPr>
        <a:xfrm>
          <a:off x="12125134" y="48475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27</xdr:row>
      <xdr:rowOff>156845</xdr:rowOff>
    </xdr:from>
    <xdr:to>
      <xdr:col>9</xdr:col>
      <xdr:colOff>127</xdr:colOff>
      <xdr:row>27</xdr:row>
      <xdr:rowOff>156845</xdr:rowOff>
    </xdr:to>
    <xdr:cxnSp macro="_xll.PtreeEvent_ObjectClick">
      <xdr:nvCxnSpPr>
        <xdr:cNvPr id="81" name="PTObj_DBranchHLine_2_19" hidden="1">
          <a:extLst>
            <a:ext uri="{FF2B5EF4-FFF2-40B4-BE49-F238E27FC236}">
              <a16:creationId xmlns:a16="http://schemas.microsoft.com/office/drawing/2014/main" id="{F9E0F70E-B9F6-4C6D-B99C-C1541BCE0152}"/>
            </a:ext>
          </a:extLst>
        </xdr:cNvPr>
        <xdr:cNvCxnSpPr/>
      </xdr:nvCxnSpPr>
      <xdr:spPr>
        <a:xfrm>
          <a:off x="12277534" y="45288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27</xdr:row>
      <xdr:rowOff>156845</xdr:rowOff>
    </xdr:from>
    <xdr:to>
      <xdr:col>8</xdr:col>
      <xdr:colOff>228409</xdr:colOff>
      <xdr:row>29</xdr:row>
      <xdr:rowOff>151766</xdr:rowOff>
    </xdr:to>
    <xdr:cxnSp macro="_xll.PtreeEvent_ObjectClick">
      <xdr:nvCxnSpPr>
        <xdr:cNvPr id="80" name="PTObj_DBranchDLine_2_19" hidden="1">
          <a:extLst>
            <a:ext uri="{FF2B5EF4-FFF2-40B4-BE49-F238E27FC236}">
              <a16:creationId xmlns:a16="http://schemas.microsoft.com/office/drawing/2014/main" id="{3A603F0A-375D-43BA-9680-82BF7E1E941B}"/>
            </a:ext>
          </a:extLst>
        </xdr:cNvPr>
        <xdr:cNvCxnSpPr/>
      </xdr:nvCxnSpPr>
      <xdr:spPr>
        <a:xfrm flipV="1">
          <a:off x="12125134" y="45288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29</xdr:row>
      <xdr:rowOff>156845</xdr:rowOff>
    </xdr:from>
    <xdr:to>
      <xdr:col>8</xdr:col>
      <xdr:colOff>127</xdr:colOff>
      <xdr:row>29</xdr:row>
      <xdr:rowOff>156845</xdr:rowOff>
    </xdr:to>
    <xdr:cxnSp macro="_xll.PtreeEvent_ObjectClick">
      <xdr:nvCxnSpPr>
        <xdr:cNvPr id="77" name="PTObj_DBranchHLine_2_18" hidden="1">
          <a:extLst>
            <a:ext uri="{FF2B5EF4-FFF2-40B4-BE49-F238E27FC236}">
              <a16:creationId xmlns:a16="http://schemas.microsoft.com/office/drawing/2014/main" id="{95A19D3E-581D-4785-B9A3-3AB5C13FB353}"/>
            </a:ext>
          </a:extLst>
        </xdr:cNvPr>
        <xdr:cNvCxnSpPr/>
      </xdr:nvCxnSpPr>
      <xdr:spPr>
        <a:xfrm>
          <a:off x="10782109" y="48526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29</xdr:row>
      <xdr:rowOff>156845</xdr:rowOff>
    </xdr:from>
    <xdr:to>
      <xdr:col>7</xdr:col>
      <xdr:colOff>228409</xdr:colOff>
      <xdr:row>33</xdr:row>
      <xdr:rowOff>151766</xdr:rowOff>
    </xdr:to>
    <xdr:cxnSp macro="_xll.PtreeEvent_ObjectClick">
      <xdr:nvCxnSpPr>
        <xdr:cNvPr id="76" name="PTObj_DBranchDLine_2_18" hidden="1">
          <a:extLst>
            <a:ext uri="{FF2B5EF4-FFF2-40B4-BE49-F238E27FC236}">
              <a16:creationId xmlns:a16="http://schemas.microsoft.com/office/drawing/2014/main" id="{C1DE3D4D-D800-4D77-8F9C-EF78D11309D6}"/>
            </a:ext>
          </a:extLst>
        </xdr:cNvPr>
        <xdr:cNvCxnSpPr/>
      </xdr:nvCxnSpPr>
      <xdr:spPr>
        <a:xfrm flipV="1">
          <a:off x="10629709" y="4852670"/>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33</xdr:row>
      <xdr:rowOff>156845</xdr:rowOff>
    </xdr:from>
    <xdr:to>
      <xdr:col>7</xdr:col>
      <xdr:colOff>127</xdr:colOff>
      <xdr:row>33</xdr:row>
      <xdr:rowOff>156845</xdr:rowOff>
    </xdr:to>
    <xdr:cxnSp macro="_xll.PtreeEvent_ObjectClick">
      <xdr:nvCxnSpPr>
        <xdr:cNvPr id="73" name="PTObj_DBranchHLine_2_17" hidden="1">
          <a:extLst>
            <a:ext uri="{FF2B5EF4-FFF2-40B4-BE49-F238E27FC236}">
              <a16:creationId xmlns:a16="http://schemas.microsoft.com/office/drawing/2014/main" id="{2958B9E8-FA99-43D9-A817-0546714C6EEB}"/>
            </a:ext>
          </a:extLst>
        </xdr:cNvPr>
        <xdr:cNvCxnSpPr/>
      </xdr:nvCxnSpPr>
      <xdr:spPr>
        <a:xfrm>
          <a:off x="9286684" y="55003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25</xdr:row>
      <xdr:rowOff>151766</xdr:rowOff>
    </xdr:from>
    <xdr:to>
      <xdr:col>6</xdr:col>
      <xdr:colOff>228409</xdr:colOff>
      <xdr:row>33</xdr:row>
      <xdr:rowOff>156845</xdr:rowOff>
    </xdr:to>
    <xdr:cxnSp macro="_xll.PtreeEvent_ObjectClick">
      <xdr:nvCxnSpPr>
        <xdr:cNvPr id="72" name="PTObj_DBranchDLine_2_17" hidden="1">
          <a:extLst>
            <a:ext uri="{FF2B5EF4-FFF2-40B4-BE49-F238E27FC236}">
              <a16:creationId xmlns:a16="http://schemas.microsoft.com/office/drawing/2014/main" id="{9410D0EB-1A92-4BB6-9992-0FFFDA871E4F}"/>
            </a:ext>
          </a:extLst>
        </xdr:cNvPr>
        <xdr:cNvCxnSpPr/>
      </xdr:nvCxnSpPr>
      <xdr:spPr>
        <a:xfrm>
          <a:off x="9134284" y="4199891"/>
          <a:ext cx="152400" cy="13004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23</xdr:row>
      <xdr:rowOff>156845</xdr:rowOff>
    </xdr:from>
    <xdr:to>
      <xdr:col>9</xdr:col>
      <xdr:colOff>127</xdr:colOff>
      <xdr:row>23</xdr:row>
      <xdr:rowOff>156845</xdr:rowOff>
    </xdr:to>
    <xdr:cxnSp macro="_xll.PtreeEvent_ObjectClick">
      <xdr:nvCxnSpPr>
        <xdr:cNvPr id="69" name="PTObj_DBranchHLine_2_16" hidden="1">
          <a:extLst>
            <a:ext uri="{FF2B5EF4-FFF2-40B4-BE49-F238E27FC236}">
              <a16:creationId xmlns:a16="http://schemas.microsoft.com/office/drawing/2014/main" id="{14D4FF92-8EE1-45EF-9F62-9D5264D4B186}"/>
            </a:ext>
          </a:extLst>
        </xdr:cNvPr>
        <xdr:cNvCxnSpPr/>
      </xdr:nvCxnSpPr>
      <xdr:spPr>
        <a:xfrm>
          <a:off x="12277534" y="38811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21</xdr:row>
      <xdr:rowOff>151766</xdr:rowOff>
    </xdr:from>
    <xdr:to>
      <xdr:col>8</xdr:col>
      <xdr:colOff>228409</xdr:colOff>
      <xdr:row>23</xdr:row>
      <xdr:rowOff>156845</xdr:rowOff>
    </xdr:to>
    <xdr:cxnSp macro="_xll.PtreeEvent_ObjectClick">
      <xdr:nvCxnSpPr>
        <xdr:cNvPr id="68" name="PTObj_DBranchDLine_2_16" hidden="1">
          <a:extLst>
            <a:ext uri="{FF2B5EF4-FFF2-40B4-BE49-F238E27FC236}">
              <a16:creationId xmlns:a16="http://schemas.microsoft.com/office/drawing/2014/main" id="{593381D5-5CB4-472A-8519-373FAC79E813}"/>
            </a:ext>
          </a:extLst>
        </xdr:cNvPr>
        <xdr:cNvCxnSpPr/>
      </xdr:nvCxnSpPr>
      <xdr:spPr>
        <a:xfrm>
          <a:off x="12125134" y="355219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19</xdr:row>
      <xdr:rowOff>156845</xdr:rowOff>
    </xdr:from>
    <xdr:to>
      <xdr:col>9</xdr:col>
      <xdr:colOff>127</xdr:colOff>
      <xdr:row>19</xdr:row>
      <xdr:rowOff>156845</xdr:rowOff>
    </xdr:to>
    <xdr:cxnSp macro="_xll.PtreeEvent_ObjectClick">
      <xdr:nvCxnSpPr>
        <xdr:cNvPr id="65" name="PTObj_DBranchHLine_2_15" hidden="1">
          <a:extLst>
            <a:ext uri="{FF2B5EF4-FFF2-40B4-BE49-F238E27FC236}">
              <a16:creationId xmlns:a16="http://schemas.microsoft.com/office/drawing/2014/main" id="{05FB0692-4C55-4226-8802-36238EB43AE2}"/>
            </a:ext>
          </a:extLst>
        </xdr:cNvPr>
        <xdr:cNvCxnSpPr/>
      </xdr:nvCxnSpPr>
      <xdr:spPr>
        <a:xfrm>
          <a:off x="12277534" y="32334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19</xdr:row>
      <xdr:rowOff>156845</xdr:rowOff>
    </xdr:from>
    <xdr:to>
      <xdr:col>8</xdr:col>
      <xdr:colOff>228409</xdr:colOff>
      <xdr:row>21</xdr:row>
      <xdr:rowOff>151766</xdr:rowOff>
    </xdr:to>
    <xdr:cxnSp macro="_xll.PtreeEvent_ObjectClick">
      <xdr:nvCxnSpPr>
        <xdr:cNvPr id="64" name="PTObj_DBranchDLine_2_15" hidden="1">
          <a:extLst>
            <a:ext uri="{FF2B5EF4-FFF2-40B4-BE49-F238E27FC236}">
              <a16:creationId xmlns:a16="http://schemas.microsoft.com/office/drawing/2014/main" id="{70B3852F-EA53-4B29-B3FE-973D781424A7}"/>
            </a:ext>
          </a:extLst>
        </xdr:cNvPr>
        <xdr:cNvCxnSpPr/>
      </xdr:nvCxnSpPr>
      <xdr:spPr>
        <a:xfrm flipV="1">
          <a:off x="12125134" y="323342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21</xdr:row>
      <xdr:rowOff>156845</xdr:rowOff>
    </xdr:from>
    <xdr:to>
      <xdr:col>8</xdr:col>
      <xdr:colOff>127</xdr:colOff>
      <xdr:row>21</xdr:row>
      <xdr:rowOff>156845</xdr:rowOff>
    </xdr:to>
    <xdr:cxnSp macro="_xll.PtreeEvent_ObjectClick">
      <xdr:nvCxnSpPr>
        <xdr:cNvPr id="61" name="PTObj_DBranchHLine_2_14" hidden="1">
          <a:extLst>
            <a:ext uri="{FF2B5EF4-FFF2-40B4-BE49-F238E27FC236}">
              <a16:creationId xmlns:a16="http://schemas.microsoft.com/office/drawing/2014/main" id="{37B0D784-1AC2-4C85-96FA-DB40FA555D39}"/>
            </a:ext>
          </a:extLst>
        </xdr:cNvPr>
        <xdr:cNvCxnSpPr/>
      </xdr:nvCxnSpPr>
      <xdr:spPr>
        <a:xfrm>
          <a:off x="10782109" y="35572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11</xdr:row>
      <xdr:rowOff>151766</xdr:rowOff>
    </xdr:from>
    <xdr:to>
      <xdr:col>7</xdr:col>
      <xdr:colOff>228409</xdr:colOff>
      <xdr:row>21</xdr:row>
      <xdr:rowOff>156845</xdr:rowOff>
    </xdr:to>
    <xdr:cxnSp macro="_xll.PtreeEvent_ObjectClick">
      <xdr:nvCxnSpPr>
        <xdr:cNvPr id="60" name="PTObj_DBranchDLine_2_14" hidden="1">
          <a:extLst>
            <a:ext uri="{FF2B5EF4-FFF2-40B4-BE49-F238E27FC236}">
              <a16:creationId xmlns:a16="http://schemas.microsoft.com/office/drawing/2014/main" id="{7399281C-DDE1-4ACB-9531-341308F9FE6F}"/>
            </a:ext>
          </a:extLst>
        </xdr:cNvPr>
        <xdr:cNvCxnSpPr/>
      </xdr:nvCxnSpPr>
      <xdr:spPr>
        <a:xfrm>
          <a:off x="10629709" y="1932941"/>
          <a:ext cx="152400" cy="16243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17</xdr:row>
      <xdr:rowOff>156845</xdr:rowOff>
    </xdr:from>
    <xdr:to>
      <xdr:col>9</xdr:col>
      <xdr:colOff>127</xdr:colOff>
      <xdr:row>17</xdr:row>
      <xdr:rowOff>156845</xdr:rowOff>
    </xdr:to>
    <xdr:cxnSp macro="_xll.PtreeEvent_ObjectClick">
      <xdr:nvCxnSpPr>
        <xdr:cNvPr id="57" name="PTObj_DBranchHLine_2_13" hidden="1">
          <a:extLst>
            <a:ext uri="{FF2B5EF4-FFF2-40B4-BE49-F238E27FC236}">
              <a16:creationId xmlns:a16="http://schemas.microsoft.com/office/drawing/2014/main" id="{34854F48-E61C-4A87-A0B0-79291716EB58}"/>
            </a:ext>
          </a:extLst>
        </xdr:cNvPr>
        <xdr:cNvCxnSpPr/>
      </xdr:nvCxnSpPr>
      <xdr:spPr>
        <a:xfrm>
          <a:off x="12277534" y="29095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15</xdr:row>
      <xdr:rowOff>151766</xdr:rowOff>
    </xdr:from>
    <xdr:to>
      <xdr:col>8</xdr:col>
      <xdr:colOff>228409</xdr:colOff>
      <xdr:row>17</xdr:row>
      <xdr:rowOff>156845</xdr:rowOff>
    </xdr:to>
    <xdr:cxnSp macro="_xll.PtreeEvent_ObjectClick">
      <xdr:nvCxnSpPr>
        <xdr:cNvPr id="56" name="PTObj_DBranchDLine_2_13" hidden="1">
          <a:extLst>
            <a:ext uri="{FF2B5EF4-FFF2-40B4-BE49-F238E27FC236}">
              <a16:creationId xmlns:a16="http://schemas.microsoft.com/office/drawing/2014/main" id="{CC821C30-9400-49E3-8F34-199145A9EDD6}"/>
            </a:ext>
          </a:extLst>
        </xdr:cNvPr>
        <xdr:cNvCxnSpPr/>
      </xdr:nvCxnSpPr>
      <xdr:spPr>
        <a:xfrm>
          <a:off x="12125134" y="2580641"/>
          <a:ext cx="152400" cy="32892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13</xdr:row>
      <xdr:rowOff>156845</xdr:rowOff>
    </xdr:from>
    <xdr:to>
      <xdr:col>9</xdr:col>
      <xdr:colOff>127</xdr:colOff>
      <xdr:row>13</xdr:row>
      <xdr:rowOff>156845</xdr:rowOff>
    </xdr:to>
    <xdr:cxnSp macro="_xll.PtreeEvent_ObjectClick">
      <xdr:nvCxnSpPr>
        <xdr:cNvPr id="53" name="PTObj_DBranchHLine_2_12" hidden="1">
          <a:extLst>
            <a:ext uri="{FF2B5EF4-FFF2-40B4-BE49-F238E27FC236}">
              <a16:creationId xmlns:a16="http://schemas.microsoft.com/office/drawing/2014/main" id="{5CBF7F3E-564C-4423-AFEC-449537D4826B}"/>
            </a:ext>
          </a:extLst>
        </xdr:cNvPr>
        <xdr:cNvCxnSpPr/>
      </xdr:nvCxnSpPr>
      <xdr:spPr>
        <a:xfrm>
          <a:off x="12277534" y="22618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13</xdr:row>
      <xdr:rowOff>156845</xdr:rowOff>
    </xdr:from>
    <xdr:to>
      <xdr:col>8</xdr:col>
      <xdr:colOff>228409</xdr:colOff>
      <xdr:row>15</xdr:row>
      <xdr:rowOff>151766</xdr:rowOff>
    </xdr:to>
    <xdr:cxnSp macro="_xll.PtreeEvent_ObjectClick">
      <xdr:nvCxnSpPr>
        <xdr:cNvPr id="52" name="PTObj_DBranchDLine_2_12" hidden="1">
          <a:extLst>
            <a:ext uri="{FF2B5EF4-FFF2-40B4-BE49-F238E27FC236}">
              <a16:creationId xmlns:a16="http://schemas.microsoft.com/office/drawing/2014/main" id="{76015D44-164F-4E1E-ADF5-FAC48B6FD6C1}"/>
            </a:ext>
          </a:extLst>
        </xdr:cNvPr>
        <xdr:cNvCxnSpPr/>
      </xdr:nvCxnSpPr>
      <xdr:spPr>
        <a:xfrm flipV="1">
          <a:off x="12125134" y="2261870"/>
          <a:ext cx="152400" cy="3187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15</xdr:row>
      <xdr:rowOff>156845</xdr:rowOff>
    </xdr:from>
    <xdr:to>
      <xdr:col>8</xdr:col>
      <xdr:colOff>127</xdr:colOff>
      <xdr:row>15</xdr:row>
      <xdr:rowOff>156845</xdr:rowOff>
    </xdr:to>
    <xdr:cxnSp macro="_xll.PtreeEvent_ObjectClick">
      <xdr:nvCxnSpPr>
        <xdr:cNvPr id="49" name="PTObj_DBranchHLine_2_11" hidden="1">
          <a:extLst>
            <a:ext uri="{FF2B5EF4-FFF2-40B4-BE49-F238E27FC236}">
              <a16:creationId xmlns:a16="http://schemas.microsoft.com/office/drawing/2014/main" id="{653D752B-C854-42F4-8E05-A580A96273A8}"/>
            </a:ext>
          </a:extLst>
        </xdr:cNvPr>
        <xdr:cNvCxnSpPr/>
      </xdr:nvCxnSpPr>
      <xdr:spPr>
        <a:xfrm>
          <a:off x="10782109" y="25857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11</xdr:row>
      <xdr:rowOff>151766</xdr:rowOff>
    </xdr:from>
    <xdr:to>
      <xdr:col>7</xdr:col>
      <xdr:colOff>228409</xdr:colOff>
      <xdr:row>15</xdr:row>
      <xdr:rowOff>156845</xdr:rowOff>
    </xdr:to>
    <xdr:cxnSp macro="_xll.PtreeEvent_ObjectClick">
      <xdr:nvCxnSpPr>
        <xdr:cNvPr id="48" name="PTObj_DBranchDLine_2_11" hidden="1">
          <a:extLst>
            <a:ext uri="{FF2B5EF4-FFF2-40B4-BE49-F238E27FC236}">
              <a16:creationId xmlns:a16="http://schemas.microsoft.com/office/drawing/2014/main" id="{E801A6D8-A304-42AC-A6D9-CA285F027CDF}"/>
            </a:ext>
          </a:extLst>
        </xdr:cNvPr>
        <xdr:cNvCxnSpPr/>
      </xdr:nvCxnSpPr>
      <xdr:spPr>
        <a:xfrm>
          <a:off x="10629709" y="1932941"/>
          <a:ext cx="152400" cy="65277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9</xdr:row>
      <xdr:rowOff>156845</xdr:rowOff>
    </xdr:from>
    <xdr:to>
      <xdr:col>9</xdr:col>
      <xdr:colOff>127</xdr:colOff>
      <xdr:row>9</xdr:row>
      <xdr:rowOff>156845</xdr:rowOff>
    </xdr:to>
    <xdr:cxnSp macro="_xll.PtreeEvent_ObjectClick">
      <xdr:nvCxnSpPr>
        <xdr:cNvPr id="45" name="PTObj_DBranchHLine_2_10" hidden="1">
          <a:extLst>
            <a:ext uri="{FF2B5EF4-FFF2-40B4-BE49-F238E27FC236}">
              <a16:creationId xmlns:a16="http://schemas.microsoft.com/office/drawing/2014/main" id="{F9586061-4D77-4F98-81D0-11C7DE2F0D9B}"/>
            </a:ext>
          </a:extLst>
        </xdr:cNvPr>
        <xdr:cNvCxnSpPr/>
      </xdr:nvCxnSpPr>
      <xdr:spPr>
        <a:xfrm>
          <a:off x="12277534" y="16141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7</xdr:row>
      <xdr:rowOff>151764</xdr:rowOff>
    </xdr:from>
    <xdr:to>
      <xdr:col>8</xdr:col>
      <xdr:colOff>228409</xdr:colOff>
      <xdr:row>9</xdr:row>
      <xdr:rowOff>156845</xdr:rowOff>
    </xdr:to>
    <xdr:cxnSp macro="_xll.PtreeEvent_ObjectClick">
      <xdr:nvCxnSpPr>
        <xdr:cNvPr id="44" name="PTObj_DBranchDLine_2_10" hidden="1">
          <a:extLst>
            <a:ext uri="{FF2B5EF4-FFF2-40B4-BE49-F238E27FC236}">
              <a16:creationId xmlns:a16="http://schemas.microsoft.com/office/drawing/2014/main" id="{F71DB78A-96A3-4B56-A5D1-A620D0856EC1}"/>
            </a:ext>
          </a:extLst>
        </xdr:cNvPr>
        <xdr:cNvCxnSpPr/>
      </xdr:nvCxnSpPr>
      <xdr:spPr>
        <a:xfrm>
          <a:off x="12125134" y="1285239"/>
          <a:ext cx="152400" cy="32893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228409</xdr:colOff>
      <xdr:row>5</xdr:row>
      <xdr:rowOff>156845</xdr:rowOff>
    </xdr:from>
    <xdr:to>
      <xdr:col>9</xdr:col>
      <xdr:colOff>127</xdr:colOff>
      <xdr:row>5</xdr:row>
      <xdr:rowOff>156845</xdr:rowOff>
    </xdr:to>
    <xdr:cxnSp macro="_xll.PtreeEvent_ObjectClick">
      <xdr:nvCxnSpPr>
        <xdr:cNvPr id="41" name="PTObj_DBranchHLine_2_9" hidden="1">
          <a:extLst>
            <a:ext uri="{FF2B5EF4-FFF2-40B4-BE49-F238E27FC236}">
              <a16:creationId xmlns:a16="http://schemas.microsoft.com/office/drawing/2014/main" id="{F1EA512D-598C-4883-9E59-C75196859D63}"/>
            </a:ext>
          </a:extLst>
        </xdr:cNvPr>
        <xdr:cNvCxnSpPr/>
      </xdr:nvCxnSpPr>
      <xdr:spPr>
        <a:xfrm>
          <a:off x="12277534" y="9664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76009</xdr:colOff>
      <xdr:row>5</xdr:row>
      <xdr:rowOff>156845</xdr:rowOff>
    </xdr:from>
    <xdr:to>
      <xdr:col>8</xdr:col>
      <xdr:colOff>228409</xdr:colOff>
      <xdr:row>7</xdr:row>
      <xdr:rowOff>151764</xdr:rowOff>
    </xdr:to>
    <xdr:cxnSp macro="_xll.PtreeEvent_ObjectClick">
      <xdr:nvCxnSpPr>
        <xdr:cNvPr id="40" name="PTObj_DBranchDLine_2_9" hidden="1">
          <a:extLst>
            <a:ext uri="{FF2B5EF4-FFF2-40B4-BE49-F238E27FC236}">
              <a16:creationId xmlns:a16="http://schemas.microsoft.com/office/drawing/2014/main" id="{2A0169E5-7C86-4F09-B062-9FCB07E9BCFA}"/>
            </a:ext>
          </a:extLst>
        </xdr:cNvPr>
        <xdr:cNvCxnSpPr/>
      </xdr:nvCxnSpPr>
      <xdr:spPr>
        <a:xfrm flipV="1">
          <a:off x="12125134" y="966470"/>
          <a:ext cx="152400" cy="318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228409</xdr:colOff>
      <xdr:row>7</xdr:row>
      <xdr:rowOff>156845</xdr:rowOff>
    </xdr:from>
    <xdr:to>
      <xdr:col>8</xdr:col>
      <xdr:colOff>127</xdr:colOff>
      <xdr:row>7</xdr:row>
      <xdr:rowOff>156845</xdr:rowOff>
    </xdr:to>
    <xdr:cxnSp macro="_xll.PtreeEvent_ObjectClick">
      <xdr:nvCxnSpPr>
        <xdr:cNvPr id="37" name="PTObj_DBranchHLine_2_8" hidden="1">
          <a:extLst>
            <a:ext uri="{FF2B5EF4-FFF2-40B4-BE49-F238E27FC236}">
              <a16:creationId xmlns:a16="http://schemas.microsoft.com/office/drawing/2014/main" id="{FCBC5384-7796-4CD4-9323-B79E3DBBDF9A}"/>
            </a:ext>
          </a:extLst>
        </xdr:cNvPr>
        <xdr:cNvCxnSpPr/>
      </xdr:nvCxnSpPr>
      <xdr:spPr>
        <a:xfrm>
          <a:off x="10782109" y="12903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76009</xdr:colOff>
      <xdr:row>7</xdr:row>
      <xdr:rowOff>156845</xdr:rowOff>
    </xdr:from>
    <xdr:to>
      <xdr:col>7</xdr:col>
      <xdr:colOff>228409</xdr:colOff>
      <xdr:row>11</xdr:row>
      <xdr:rowOff>151766</xdr:rowOff>
    </xdr:to>
    <xdr:cxnSp macro="_xll.PtreeEvent_ObjectClick">
      <xdr:nvCxnSpPr>
        <xdr:cNvPr id="36" name="PTObj_DBranchDLine_2_8" hidden="1">
          <a:extLst>
            <a:ext uri="{FF2B5EF4-FFF2-40B4-BE49-F238E27FC236}">
              <a16:creationId xmlns:a16="http://schemas.microsoft.com/office/drawing/2014/main" id="{A45C703F-4A6C-4951-AE29-AD38B98DA685}"/>
            </a:ext>
          </a:extLst>
        </xdr:cNvPr>
        <xdr:cNvCxnSpPr/>
      </xdr:nvCxnSpPr>
      <xdr:spPr>
        <a:xfrm flipV="1">
          <a:off x="10629709" y="1290320"/>
          <a:ext cx="152400" cy="64262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228409</xdr:colOff>
      <xdr:row>11</xdr:row>
      <xdr:rowOff>156845</xdr:rowOff>
    </xdr:from>
    <xdr:to>
      <xdr:col>7</xdr:col>
      <xdr:colOff>127</xdr:colOff>
      <xdr:row>11</xdr:row>
      <xdr:rowOff>156845</xdr:rowOff>
    </xdr:to>
    <xdr:cxnSp macro="_xll.PtreeEvent_ObjectClick">
      <xdr:nvCxnSpPr>
        <xdr:cNvPr id="33" name="PTObj_DBranchHLine_2_7" hidden="1">
          <a:extLst>
            <a:ext uri="{FF2B5EF4-FFF2-40B4-BE49-F238E27FC236}">
              <a16:creationId xmlns:a16="http://schemas.microsoft.com/office/drawing/2014/main" id="{C2F4537E-A03C-47B2-B0DE-5C33261B21F6}"/>
            </a:ext>
          </a:extLst>
        </xdr:cNvPr>
        <xdr:cNvCxnSpPr/>
      </xdr:nvCxnSpPr>
      <xdr:spPr>
        <a:xfrm>
          <a:off x="9286684" y="19380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76009</xdr:colOff>
      <xdr:row>11</xdr:row>
      <xdr:rowOff>156845</xdr:rowOff>
    </xdr:from>
    <xdr:to>
      <xdr:col>6</xdr:col>
      <xdr:colOff>228409</xdr:colOff>
      <xdr:row>25</xdr:row>
      <xdr:rowOff>151766</xdr:rowOff>
    </xdr:to>
    <xdr:cxnSp macro="_xll.PtreeEvent_ObjectClick">
      <xdr:nvCxnSpPr>
        <xdr:cNvPr id="32" name="PTObj_DBranchDLine_2_7" hidden="1">
          <a:extLst>
            <a:ext uri="{FF2B5EF4-FFF2-40B4-BE49-F238E27FC236}">
              <a16:creationId xmlns:a16="http://schemas.microsoft.com/office/drawing/2014/main" id="{9BE782F0-8E02-463F-9226-CCA8E2223A62}"/>
            </a:ext>
          </a:extLst>
        </xdr:cNvPr>
        <xdr:cNvCxnSpPr/>
      </xdr:nvCxnSpPr>
      <xdr:spPr>
        <a:xfrm flipV="1">
          <a:off x="9134284" y="1938020"/>
          <a:ext cx="152400" cy="22618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228409</xdr:colOff>
      <xdr:row>25</xdr:row>
      <xdr:rowOff>156845</xdr:rowOff>
    </xdr:from>
    <xdr:to>
      <xdr:col>6</xdr:col>
      <xdr:colOff>127</xdr:colOff>
      <xdr:row>25</xdr:row>
      <xdr:rowOff>156845</xdr:rowOff>
    </xdr:to>
    <xdr:cxnSp macro="_xll.PtreeEvent_ObjectClick">
      <xdr:nvCxnSpPr>
        <xdr:cNvPr id="29" name="PTObj_DBranchHLine_2_6">
          <a:extLst>
            <a:ext uri="{FF2B5EF4-FFF2-40B4-BE49-F238E27FC236}">
              <a16:creationId xmlns:a16="http://schemas.microsoft.com/office/drawing/2014/main" id="{E88C0750-F39E-4D42-919E-4B6C21D2BFD0}"/>
            </a:ext>
          </a:extLst>
        </xdr:cNvPr>
        <xdr:cNvCxnSpPr/>
      </xdr:nvCxnSpPr>
      <xdr:spPr>
        <a:xfrm>
          <a:off x="7791259" y="420497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76009</xdr:colOff>
      <xdr:row>25</xdr:row>
      <xdr:rowOff>156845</xdr:rowOff>
    </xdr:from>
    <xdr:to>
      <xdr:col>5</xdr:col>
      <xdr:colOff>228409</xdr:colOff>
      <xdr:row>67</xdr:row>
      <xdr:rowOff>151764</xdr:rowOff>
    </xdr:to>
    <xdr:cxnSp macro="_xll.PtreeEvent_ObjectClick">
      <xdr:nvCxnSpPr>
        <xdr:cNvPr id="28" name="PTObj_DBranchDLine_2_6">
          <a:extLst>
            <a:ext uri="{FF2B5EF4-FFF2-40B4-BE49-F238E27FC236}">
              <a16:creationId xmlns:a16="http://schemas.microsoft.com/office/drawing/2014/main" id="{3A89F779-82EA-4EBB-8515-800B1E735018}"/>
            </a:ext>
          </a:extLst>
        </xdr:cNvPr>
        <xdr:cNvCxnSpPr/>
      </xdr:nvCxnSpPr>
      <xdr:spPr>
        <a:xfrm flipV="1">
          <a:off x="7638859" y="4204970"/>
          <a:ext cx="152400" cy="679576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228410</xdr:colOff>
      <xdr:row>67</xdr:row>
      <xdr:rowOff>156845</xdr:rowOff>
    </xdr:from>
    <xdr:to>
      <xdr:col>5</xdr:col>
      <xdr:colOff>127</xdr:colOff>
      <xdr:row>67</xdr:row>
      <xdr:rowOff>156845</xdr:rowOff>
    </xdr:to>
    <xdr:cxnSp macro="_xll.PtreeEvent_ObjectClick">
      <xdr:nvCxnSpPr>
        <xdr:cNvPr id="25" name="PTObj_DBranchHLine_2_5">
          <a:extLst>
            <a:ext uri="{FF2B5EF4-FFF2-40B4-BE49-F238E27FC236}">
              <a16:creationId xmlns:a16="http://schemas.microsoft.com/office/drawing/2014/main" id="{2129C02F-CA4D-454D-A1C5-17FE315494CC}"/>
            </a:ext>
          </a:extLst>
        </xdr:cNvPr>
        <xdr:cNvCxnSpPr/>
      </xdr:nvCxnSpPr>
      <xdr:spPr>
        <a:xfrm>
          <a:off x="6295835" y="1100582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76010</xdr:colOff>
      <xdr:row>67</xdr:row>
      <xdr:rowOff>156845</xdr:rowOff>
    </xdr:from>
    <xdr:to>
      <xdr:col>4</xdr:col>
      <xdr:colOff>228410</xdr:colOff>
      <xdr:row>69</xdr:row>
      <xdr:rowOff>151764</xdr:rowOff>
    </xdr:to>
    <xdr:cxnSp macro="_xll.PtreeEvent_ObjectClick">
      <xdr:nvCxnSpPr>
        <xdr:cNvPr id="24" name="PTObj_DBranchDLine_2_5">
          <a:extLst>
            <a:ext uri="{FF2B5EF4-FFF2-40B4-BE49-F238E27FC236}">
              <a16:creationId xmlns:a16="http://schemas.microsoft.com/office/drawing/2014/main" id="{E7A372A9-F01E-454F-9C98-9CC55CD6E189}"/>
            </a:ext>
          </a:extLst>
        </xdr:cNvPr>
        <xdr:cNvCxnSpPr/>
      </xdr:nvCxnSpPr>
      <xdr:spPr>
        <a:xfrm flipV="1">
          <a:off x="6143435" y="11005820"/>
          <a:ext cx="152400" cy="6426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228410</xdr:colOff>
      <xdr:row>69</xdr:row>
      <xdr:rowOff>156845</xdr:rowOff>
    </xdr:from>
    <xdr:to>
      <xdr:col>4</xdr:col>
      <xdr:colOff>127</xdr:colOff>
      <xdr:row>69</xdr:row>
      <xdr:rowOff>156845</xdr:rowOff>
    </xdr:to>
    <xdr:cxnSp macro="_xll.PtreeEvent_ObjectClick">
      <xdr:nvCxnSpPr>
        <xdr:cNvPr id="21" name="PTObj_DBranchHLine_2_4">
          <a:extLst>
            <a:ext uri="{FF2B5EF4-FFF2-40B4-BE49-F238E27FC236}">
              <a16:creationId xmlns:a16="http://schemas.microsoft.com/office/drawing/2014/main" id="{40933D14-1329-4B60-8D30-6DBCFCA06139}"/>
            </a:ext>
          </a:extLst>
        </xdr:cNvPr>
        <xdr:cNvCxnSpPr/>
      </xdr:nvCxnSpPr>
      <xdr:spPr>
        <a:xfrm>
          <a:off x="4800410" y="1165352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76010</xdr:colOff>
      <xdr:row>69</xdr:row>
      <xdr:rowOff>156845</xdr:rowOff>
    </xdr:from>
    <xdr:to>
      <xdr:col>3</xdr:col>
      <xdr:colOff>228410</xdr:colOff>
      <xdr:row>135</xdr:row>
      <xdr:rowOff>151763</xdr:rowOff>
    </xdr:to>
    <xdr:cxnSp macro="_xll.PtreeEvent_ObjectClick">
      <xdr:nvCxnSpPr>
        <xdr:cNvPr id="20" name="PTObj_DBranchDLine_2_4">
          <a:extLst>
            <a:ext uri="{FF2B5EF4-FFF2-40B4-BE49-F238E27FC236}">
              <a16:creationId xmlns:a16="http://schemas.microsoft.com/office/drawing/2014/main" id="{D419D5A0-520C-408F-B14F-705E0EE65342}"/>
            </a:ext>
          </a:extLst>
        </xdr:cNvPr>
        <xdr:cNvCxnSpPr/>
      </xdr:nvCxnSpPr>
      <xdr:spPr>
        <a:xfrm flipV="1">
          <a:off x="4648010" y="11653520"/>
          <a:ext cx="152400" cy="11005818"/>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228409</xdr:colOff>
      <xdr:row>135</xdr:row>
      <xdr:rowOff>156845</xdr:rowOff>
    </xdr:from>
    <xdr:to>
      <xdr:col>3</xdr:col>
      <xdr:colOff>127</xdr:colOff>
      <xdr:row>135</xdr:row>
      <xdr:rowOff>156845</xdr:rowOff>
    </xdr:to>
    <xdr:cxnSp macro="_xll.PtreeEvent_ObjectClick">
      <xdr:nvCxnSpPr>
        <xdr:cNvPr id="17" name="PTObj_DBranchHLine_2_3">
          <a:extLst>
            <a:ext uri="{FF2B5EF4-FFF2-40B4-BE49-F238E27FC236}">
              <a16:creationId xmlns:a16="http://schemas.microsoft.com/office/drawing/2014/main" id="{85FF28E4-40E2-469B-93BE-0F647A23F314}"/>
            </a:ext>
          </a:extLst>
        </xdr:cNvPr>
        <xdr:cNvCxnSpPr/>
      </xdr:nvCxnSpPr>
      <xdr:spPr>
        <a:xfrm>
          <a:off x="3304984" y="22664420"/>
          <a:ext cx="1267143"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76010</xdr:colOff>
      <xdr:row>135</xdr:row>
      <xdr:rowOff>156845</xdr:rowOff>
    </xdr:from>
    <xdr:to>
      <xdr:col>2</xdr:col>
      <xdr:colOff>228409</xdr:colOff>
      <xdr:row>137</xdr:row>
      <xdr:rowOff>151766</xdr:rowOff>
    </xdr:to>
    <xdr:cxnSp macro="_xll.PtreeEvent_ObjectClick">
      <xdr:nvCxnSpPr>
        <xdr:cNvPr id="16" name="PTObj_DBranchDLine_2_3">
          <a:extLst>
            <a:ext uri="{FF2B5EF4-FFF2-40B4-BE49-F238E27FC236}">
              <a16:creationId xmlns:a16="http://schemas.microsoft.com/office/drawing/2014/main" id="{246FA915-91C6-4E27-A1AA-1B903A536CD9}"/>
            </a:ext>
          </a:extLst>
        </xdr:cNvPr>
        <xdr:cNvCxnSpPr/>
      </xdr:nvCxnSpPr>
      <xdr:spPr>
        <a:xfrm flipV="1">
          <a:off x="3152585" y="22664420"/>
          <a:ext cx="152399" cy="96647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228410</xdr:colOff>
      <xdr:row>137</xdr:row>
      <xdr:rowOff>156845</xdr:rowOff>
    </xdr:from>
    <xdr:to>
      <xdr:col>2</xdr:col>
      <xdr:colOff>127</xdr:colOff>
      <xdr:row>137</xdr:row>
      <xdr:rowOff>156845</xdr:rowOff>
    </xdr:to>
    <xdr:cxnSp macro="_xll.PtreeEvent_ObjectClick">
      <xdr:nvCxnSpPr>
        <xdr:cNvPr id="13" name="PTObj_DBranchHLine_2_2">
          <a:extLst>
            <a:ext uri="{FF2B5EF4-FFF2-40B4-BE49-F238E27FC236}">
              <a16:creationId xmlns:a16="http://schemas.microsoft.com/office/drawing/2014/main" id="{EF6BAFCB-6544-4B8B-B84D-46C2EF3C9BC4}"/>
            </a:ext>
          </a:extLst>
        </xdr:cNvPr>
        <xdr:cNvCxnSpPr/>
      </xdr:nvCxnSpPr>
      <xdr:spPr>
        <a:xfrm>
          <a:off x="1809560" y="23635970"/>
          <a:ext cx="126714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76010</xdr:colOff>
      <xdr:row>137</xdr:row>
      <xdr:rowOff>156845</xdr:rowOff>
    </xdr:from>
    <xdr:to>
      <xdr:col>1</xdr:col>
      <xdr:colOff>228410</xdr:colOff>
      <xdr:row>211</xdr:row>
      <xdr:rowOff>151767</xdr:rowOff>
    </xdr:to>
    <xdr:cxnSp macro="_xll.PtreeEvent_ObjectClick">
      <xdr:nvCxnSpPr>
        <xdr:cNvPr id="12" name="PTObj_DBranchDLine_2_2">
          <a:extLst>
            <a:ext uri="{FF2B5EF4-FFF2-40B4-BE49-F238E27FC236}">
              <a16:creationId xmlns:a16="http://schemas.microsoft.com/office/drawing/2014/main" id="{54CC16E5-B952-4D9B-B962-BB44CB271A75}"/>
            </a:ext>
          </a:extLst>
        </xdr:cNvPr>
        <xdr:cNvCxnSpPr/>
      </xdr:nvCxnSpPr>
      <xdr:spPr>
        <a:xfrm flipV="1">
          <a:off x="1657160" y="23635970"/>
          <a:ext cx="152400" cy="22988272"/>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177800</xdr:colOff>
      <xdr:row>211</xdr:row>
      <xdr:rowOff>156846</xdr:rowOff>
    </xdr:from>
    <xdr:to>
      <xdr:col>1</xdr:col>
      <xdr:colOff>127</xdr:colOff>
      <xdr:row>211</xdr:row>
      <xdr:rowOff>156846</xdr:rowOff>
    </xdr:to>
    <xdr:cxnSp macro="_xll.PtreeEvent_ObjectClick">
      <xdr:nvCxnSpPr>
        <xdr:cNvPr id="9" name="PTObj_DBranchHLine_2_1">
          <a:extLst>
            <a:ext uri="{FF2B5EF4-FFF2-40B4-BE49-F238E27FC236}">
              <a16:creationId xmlns:a16="http://schemas.microsoft.com/office/drawing/2014/main" id="{93DC8E3C-D5DB-4B90-B32A-E1E94572523E}"/>
            </a:ext>
          </a:extLst>
        </xdr:cNvPr>
        <xdr:cNvCxnSpPr/>
      </xdr:nvCxnSpPr>
      <xdr:spPr>
        <a:xfrm>
          <a:off x="177800" y="46629321"/>
          <a:ext cx="1403477"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127</xdr:colOff>
      <xdr:row>211</xdr:row>
      <xdr:rowOff>75884</xdr:rowOff>
    </xdr:from>
    <xdr:to>
      <xdr:col>1</xdr:col>
      <xdr:colOff>162052</xdr:colOff>
      <xdr:row>212</xdr:row>
      <xdr:rowOff>75884</xdr:rowOff>
    </xdr:to>
    <xdr:sp macro="_xll.PtreeEvent_ObjectClick" textlink="">
      <xdr:nvSpPr>
        <xdr:cNvPr id="8" name="PTObj_DNode_2_1">
          <a:extLst>
            <a:ext uri="{FF2B5EF4-FFF2-40B4-BE49-F238E27FC236}">
              <a16:creationId xmlns:a16="http://schemas.microsoft.com/office/drawing/2014/main" id="{2812635C-B20B-4595-AC2C-E457C6229004}"/>
            </a:ext>
          </a:extLst>
        </xdr:cNvPr>
        <xdr:cNvSpPr/>
      </xdr:nvSpPr>
      <xdr:spPr>
        <a:xfrm>
          <a:off x="1581277" y="4654835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0</xdr:col>
      <xdr:colOff>215900</xdr:colOff>
      <xdr:row>211</xdr:row>
      <xdr:rowOff>66532</xdr:rowOff>
    </xdr:from>
    <xdr:ext cx="934743" cy="180627"/>
    <xdr:sp macro="_xll.PtreeEvent_ObjectClick" textlink="">
      <xdr:nvSpPr>
        <xdr:cNvPr id="10" name="PTObj_DBranchName_2_1">
          <a:extLst>
            <a:ext uri="{FF2B5EF4-FFF2-40B4-BE49-F238E27FC236}">
              <a16:creationId xmlns:a16="http://schemas.microsoft.com/office/drawing/2014/main" id="{D53B1928-81E0-4D28-AEF7-C8994D0FC71D}"/>
            </a:ext>
          </a:extLst>
        </xdr:cNvPr>
        <xdr:cNvSpPr txBox="1"/>
      </xdr:nvSpPr>
      <xdr:spPr>
        <a:xfrm>
          <a:off x="215900" y="46539007"/>
          <a:ext cx="93474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Nuclear tree solution</a:t>
          </a:r>
        </a:p>
      </xdr:txBody>
    </xdr:sp>
    <xdr:clientData/>
  </xdr:oneCellAnchor>
  <xdr:twoCellAnchor editAs="oneCell">
    <xdr:from>
      <xdr:col>2</xdr:col>
      <xdr:colOff>127</xdr:colOff>
      <xdr:row>137</xdr:row>
      <xdr:rowOff>75882</xdr:rowOff>
    </xdr:from>
    <xdr:to>
      <xdr:col>2</xdr:col>
      <xdr:colOff>162052</xdr:colOff>
      <xdr:row>138</xdr:row>
      <xdr:rowOff>75882</xdr:rowOff>
    </xdr:to>
    <xdr:sp macro="_xll.PtreeEvent_ObjectClick" textlink="">
      <xdr:nvSpPr>
        <xdr:cNvPr id="11" name="PTObj_DNode_2_2">
          <a:extLst>
            <a:ext uri="{FF2B5EF4-FFF2-40B4-BE49-F238E27FC236}">
              <a16:creationId xmlns:a16="http://schemas.microsoft.com/office/drawing/2014/main" id="{0148B641-D082-4B8D-8881-8507F00FBDDB}"/>
            </a:ext>
          </a:extLst>
        </xdr:cNvPr>
        <xdr:cNvSpPr/>
      </xdr:nvSpPr>
      <xdr:spPr>
        <a:xfrm>
          <a:off x="3076702" y="235550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1</xdr:col>
      <xdr:colOff>266510</xdr:colOff>
      <xdr:row>137</xdr:row>
      <xdr:rowOff>66531</xdr:rowOff>
    </xdr:from>
    <xdr:ext cx="196592" cy="180627"/>
    <xdr:sp macro="_xll.PtreeEvent_ObjectClick" textlink="">
      <xdr:nvSpPr>
        <xdr:cNvPr id="14" name="PTObj_DBranchName_2_2">
          <a:extLst>
            <a:ext uri="{FF2B5EF4-FFF2-40B4-BE49-F238E27FC236}">
              <a16:creationId xmlns:a16="http://schemas.microsoft.com/office/drawing/2014/main" id="{C1AB6677-5F36-469C-A004-041CF069BAC3}"/>
            </a:ext>
          </a:extLst>
        </xdr:cNvPr>
        <xdr:cNvSpPr txBox="1"/>
      </xdr:nvSpPr>
      <xdr:spPr>
        <a:xfrm>
          <a:off x="1847660" y="23545656"/>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Yes</a:t>
          </a:r>
        </a:p>
      </xdr:txBody>
    </xdr:sp>
    <xdr:clientData/>
  </xdr:oneCellAnchor>
  <xdr:twoCellAnchor editAs="oneCell">
    <xdr:from>
      <xdr:col>3</xdr:col>
      <xdr:colOff>127</xdr:colOff>
      <xdr:row>135</xdr:row>
      <xdr:rowOff>75882</xdr:rowOff>
    </xdr:from>
    <xdr:to>
      <xdr:col>3</xdr:col>
      <xdr:colOff>162052</xdr:colOff>
      <xdr:row>136</xdr:row>
      <xdr:rowOff>75882</xdr:rowOff>
    </xdr:to>
    <xdr:sp macro="_xll.PtreeEvent_ObjectClick" textlink="">
      <xdr:nvSpPr>
        <xdr:cNvPr id="15" name="PTObj_DNode_2_3">
          <a:extLst>
            <a:ext uri="{FF2B5EF4-FFF2-40B4-BE49-F238E27FC236}">
              <a16:creationId xmlns:a16="http://schemas.microsoft.com/office/drawing/2014/main" id="{E95FFD18-3502-4578-A117-7F6669DA289F}"/>
            </a:ext>
          </a:extLst>
        </xdr:cNvPr>
        <xdr:cNvSpPr/>
      </xdr:nvSpPr>
      <xdr:spPr>
        <a:xfrm>
          <a:off x="4572127" y="22583457"/>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266509</xdr:colOff>
      <xdr:row>135</xdr:row>
      <xdr:rowOff>66531</xdr:rowOff>
    </xdr:from>
    <xdr:ext cx="245067" cy="180627"/>
    <xdr:sp macro="_xll.PtreeEvent_ObjectClick" textlink="">
      <xdr:nvSpPr>
        <xdr:cNvPr id="18" name="PTObj_DBranchName_2_3">
          <a:extLst>
            <a:ext uri="{FF2B5EF4-FFF2-40B4-BE49-F238E27FC236}">
              <a16:creationId xmlns:a16="http://schemas.microsoft.com/office/drawing/2014/main" id="{857D1682-3AE3-4C32-B167-629E1D4701AA}"/>
            </a:ext>
          </a:extLst>
        </xdr:cNvPr>
        <xdr:cNvSpPr txBox="1"/>
      </xdr:nvSpPr>
      <xdr:spPr>
        <a:xfrm>
          <a:off x="3343084" y="225741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High</a:t>
          </a:r>
        </a:p>
      </xdr:txBody>
    </xdr:sp>
    <xdr:clientData/>
  </xdr:oneCellAnchor>
  <xdr:twoCellAnchor editAs="oneCell">
    <xdr:from>
      <xdr:col>4</xdr:col>
      <xdr:colOff>127</xdr:colOff>
      <xdr:row>69</xdr:row>
      <xdr:rowOff>75882</xdr:rowOff>
    </xdr:from>
    <xdr:to>
      <xdr:col>4</xdr:col>
      <xdr:colOff>162052</xdr:colOff>
      <xdr:row>70</xdr:row>
      <xdr:rowOff>75882</xdr:rowOff>
    </xdr:to>
    <xdr:sp macro="_xll.PtreeEvent_ObjectClick" textlink="">
      <xdr:nvSpPr>
        <xdr:cNvPr id="19" name="PTObj_DNode_2_4">
          <a:extLst>
            <a:ext uri="{FF2B5EF4-FFF2-40B4-BE49-F238E27FC236}">
              <a16:creationId xmlns:a16="http://schemas.microsoft.com/office/drawing/2014/main" id="{7FF8F4B1-3F80-4771-8B1A-70FABC2B4C8B}"/>
            </a:ext>
          </a:extLst>
        </xdr:cNvPr>
        <xdr:cNvSpPr/>
      </xdr:nvSpPr>
      <xdr:spPr>
        <a:xfrm>
          <a:off x="6067552" y="115725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266510</xdr:colOff>
      <xdr:row>69</xdr:row>
      <xdr:rowOff>66532</xdr:rowOff>
    </xdr:from>
    <xdr:ext cx="196592" cy="180627"/>
    <xdr:sp macro="_xll.PtreeEvent_ObjectClick" textlink="">
      <xdr:nvSpPr>
        <xdr:cNvPr id="22" name="PTObj_DBranchName_2_4">
          <a:extLst>
            <a:ext uri="{FF2B5EF4-FFF2-40B4-BE49-F238E27FC236}">
              <a16:creationId xmlns:a16="http://schemas.microsoft.com/office/drawing/2014/main" id="{4050BD55-DC66-488E-8A49-848732F354C7}"/>
            </a:ext>
          </a:extLst>
        </xdr:cNvPr>
        <xdr:cNvSpPr txBox="1"/>
      </xdr:nvSpPr>
      <xdr:spPr>
        <a:xfrm>
          <a:off x="4838510" y="1156320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Yes</a:t>
          </a:r>
        </a:p>
      </xdr:txBody>
    </xdr:sp>
    <xdr:clientData/>
  </xdr:oneCellAnchor>
  <xdr:twoCellAnchor editAs="oneCell">
    <xdr:from>
      <xdr:col>5</xdr:col>
      <xdr:colOff>127</xdr:colOff>
      <xdr:row>67</xdr:row>
      <xdr:rowOff>75882</xdr:rowOff>
    </xdr:from>
    <xdr:to>
      <xdr:col>5</xdr:col>
      <xdr:colOff>162052</xdr:colOff>
      <xdr:row>68</xdr:row>
      <xdr:rowOff>75882</xdr:rowOff>
    </xdr:to>
    <xdr:sp macro="_xll.PtreeEvent_ObjectClick" textlink="">
      <xdr:nvSpPr>
        <xdr:cNvPr id="23" name="PTObj_DNode_2_5">
          <a:extLst>
            <a:ext uri="{FF2B5EF4-FFF2-40B4-BE49-F238E27FC236}">
              <a16:creationId xmlns:a16="http://schemas.microsoft.com/office/drawing/2014/main" id="{817570C8-58AB-4E1E-A050-63C30C44803E}"/>
            </a:ext>
          </a:extLst>
        </xdr:cNvPr>
        <xdr:cNvSpPr/>
      </xdr:nvSpPr>
      <xdr:spPr>
        <a:xfrm>
          <a:off x="7562977" y="10924857"/>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266510</xdr:colOff>
      <xdr:row>67</xdr:row>
      <xdr:rowOff>66532</xdr:rowOff>
    </xdr:from>
    <xdr:ext cx="329001" cy="180627"/>
    <xdr:sp macro="_xll.PtreeEvent_ObjectClick" textlink="">
      <xdr:nvSpPr>
        <xdr:cNvPr id="26" name="PTObj_DBranchName_2_5">
          <a:extLst>
            <a:ext uri="{FF2B5EF4-FFF2-40B4-BE49-F238E27FC236}">
              <a16:creationId xmlns:a16="http://schemas.microsoft.com/office/drawing/2014/main" id="{43771942-32A5-4388-AF8A-D02D6659A918}"/>
            </a:ext>
          </a:extLst>
        </xdr:cNvPr>
        <xdr:cNvSpPr txBox="1"/>
      </xdr:nvSpPr>
      <xdr:spPr>
        <a:xfrm>
          <a:off x="6333935" y="10915507"/>
          <a:ext cx="32900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Passes</a:t>
          </a:r>
        </a:p>
      </xdr:txBody>
    </xdr:sp>
    <xdr:clientData/>
  </xdr:oneCellAnchor>
  <xdr:twoCellAnchor editAs="oneCell">
    <xdr:from>
      <xdr:col>6</xdr:col>
      <xdr:colOff>127</xdr:colOff>
      <xdr:row>25</xdr:row>
      <xdr:rowOff>75883</xdr:rowOff>
    </xdr:from>
    <xdr:to>
      <xdr:col>6</xdr:col>
      <xdr:colOff>162052</xdr:colOff>
      <xdr:row>26</xdr:row>
      <xdr:rowOff>75883</xdr:rowOff>
    </xdr:to>
    <xdr:sp macro="_xll.PtreeEvent_ObjectClick" textlink="">
      <xdr:nvSpPr>
        <xdr:cNvPr id="27" name="PTObj_DNode_2_6">
          <a:extLst>
            <a:ext uri="{FF2B5EF4-FFF2-40B4-BE49-F238E27FC236}">
              <a16:creationId xmlns:a16="http://schemas.microsoft.com/office/drawing/2014/main" id="{4C1AED00-91F4-47CC-938A-9D835C7B341B}"/>
            </a:ext>
          </a:extLst>
        </xdr:cNvPr>
        <xdr:cNvSpPr/>
      </xdr:nvSpPr>
      <xdr:spPr>
        <a:xfrm>
          <a:off x="9058402" y="412400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5</xdr:col>
      <xdr:colOff>266509</xdr:colOff>
      <xdr:row>25</xdr:row>
      <xdr:rowOff>66532</xdr:rowOff>
    </xdr:from>
    <xdr:ext cx="196592" cy="180627"/>
    <xdr:sp macro="_xll.PtreeEvent_ObjectClick" textlink="">
      <xdr:nvSpPr>
        <xdr:cNvPr id="30" name="PTObj_DBranchName_2_6">
          <a:extLst>
            <a:ext uri="{FF2B5EF4-FFF2-40B4-BE49-F238E27FC236}">
              <a16:creationId xmlns:a16="http://schemas.microsoft.com/office/drawing/2014/main" id="{AE864272-4C3B-4DC8-88A1-6E0B82F31F2F}"/>
            </a:ext>
          </a:extLst>
        </xdr:cNvPr>
        <xdr:cNvSpPr txBox="1"/>
      </xdr:nvSpPr>
      <xdr:spPr>
        <a:xfrm>
          <a:off x="7829359" y="41146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Yes</a:t>
          </a:r>
        </a:p>
      </xdr:txBody>
    </xdr:sp>
    <xdr:clientData/>
  </xdr:oneCellAnchor>
  <xdr:twoCellAnchor editAs="oneCell">
    <xdr:from>
      <xdr:col>7</xdr:col>
      <xdr:colOff>127</xdr:colOff>
      <xdr:row>11</xdr:row>
      <xdr:rowOff>75883</xdr:rowOff>
    </xdr:from>
    <xdr:to>
      <xdr:col>7</xdr:col>
      <xdr:colOff>162052</xdr:colOff>
      <xdr:row>26</xdr:row>
      <xdr:rowOff>0</xdr:rowOff>
    </xdr:to>
    <xdr:sp macro="_xll.PtreeEvent_ObjectClick" textlink="">
      <xdr:nvSpPr>
        <xdr:cNvPr id="31" name="PTObj_DNode_2_7" hidden="1">
          <a:extLst>
            <a:ext uri="{FF2B5EF4-FFF2-40B4-BE49-F238E27FC236}">
              <a16:creationId xmlns:a16="http://schemas.microsoft.com/office/drawing/2014/main" id="{880CC6C7-DBAE-4259-9586-5E66F9847ABA}"/>
            </a:ext>
          </a:extLst>
        </xdr:cNvPr>
        <xdr:cNvSpPr/>
      </xdr:nvSpPr>
      <xdr:spPr>
        <a:xfrm>
          <a:off x="10553827" y="185705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6</xdr:col>
      <xdr:colOff>266509</xdr:colOff>
      <xdr:row>11</xdr:row>
      <xdr:rowOff>66532</xdr:rowOff>
    </xdr:from>
    <xdr:ext cx="245067" cy="180627"/>
    <xdr:sp macro="_xll.PtreeEvent_ObjectClick" textlink="">
      <xdr:nvSpPr>
        <xdr:cNvPr id="34" name="PTObj_DBranchName_2_7" hidden="1">
          <a:extLst>
            <a:ext uri="{FF2B5EF4-FFF2-40B4-BE49-F238E27FC236}">
              <a16:creationId xmlns:a16="http://schemas.microsoft.com/office/drawing/2014/main" id="{50372C0F-2A16-4C77-BA92-4DF09F9D147D}"/>
            </a:ext>
          </a:extLst>
        </xdr:cNvPr>
        <xdr:cNvSpPr txBox="1"/>
      </xdr:nvSpPr>
      <xdr:spPr>
        <a:xfrm>
          <a:off x="9324784" y="18477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8</xdr:col>
      <xdr:colOff>127</xdr:colOff>
      <xdr:row>7</xdr:row>
      <xdr:rowOff>75882</xdr:rowOff>
    </xdr:from>
    <xdr:to>
      <xdr:col>8</xdr:col>
      <xdr:colOff>162052</xdr:colOff>
      <xdr:row>26</xdr:row>
      <xdr:rowOff>0</xdr:rowOff>
    </xdr:to>
    <xdr:sp macro="_xll.PtreeEvent_ObjectClick" textlink="">
      <xdr:nvSpPr>
        <xdr:cNvPr id="35" name="PTObj_DNode_2_8" hidden="1">
          <a:extLst>
            <a:ext uri="{FF2B5EF4-FFF2-40B4-BE49-F238E27FC236}">
              <a16:creationId xmlns:a16="http://schemas.microsoft.com/office/drawing/2014/main" id="{7B188CD5-65C2-4743-8B8C-F34FBCDB3A7D}"/>
            </a:ext>
          </a:extLst>
        </xdr:cNvPr>
        <xdr:cNvSpPr/>
      </xdr:nvSpPr>
      <xdr:spPr>
        <a:xfrm>
          <a:off x="12049252" y="12093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7</xdr:row>
      <xdr:rowOff>66532</xdr:rowOff>
    </xdr:from>
    <xdr:ext cx="245067" cy="180627"/>
    <xdr:sp macro="_xll.PtreeEvent_ObjectClick" textlink="">
      <xdr:nvSpPr>
        <xdr:cNvPr id="38" name="PTObj_DBranchName_2_8" hidden="1">
          <a:extLst>
            <a:ext uri="{FF2B5EF4-FFF2-40B4-BE49-F238E27FC236}">
              <a16:creationId xmlns:a16="http://schemas.microsoft.com/office/drawing/2014/main" id="{9F780825-DD27-41C9-B0B5-49EC58D564DA}"/>
            </a:ext>
          </a:extLst>
        </xdr:cNvPr>
        <xdr:cNvSpPr txBox="1"/>
      </xdr:nvSpPr>
      <xdr:spPr>
        <a:xfrm>
          <a:off x="10820209" y="12000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5</xdr:row>
      <xdr:rowOff>75882</xdr:rowOff>
    </xdr:from>
    <xdr:to>
      <xdr:col>9</xdr:col>
      <xdr:colOff>162052</xdr:colOff>
      <xdr:row>26</xdr:row>
      <xdr:rowOff>0</xdr:rowOff>
    </xdr:to>
    <xdr:sp macro="_xll.PtreeEvent_ObjectClick" textlink="">
      <xdr:nvSpPr>
        <xdr:cNvPr id="39" name="PTObj_DNode_2_9" hidden="1">
          <a:extLst>
            <a:ext uri="{FF2B5EF4-FFF2-40B4-BE49-F238E27FC236}">
              <a16:creationId xmlns:a16="http://schemas.microsoft.com/office/drawing/2014/main" id="{2E9C78C2-B2D5-474D-ACDE-5B292374291B}"/>
            </a:ext>
          </a:extLst>
        </xdr:cNvPr>
        <xdr:cNvSpPr/>
      </xdr:nvSpPr>
      <xdr:spPr>
        <a:xfrm rot="-5400000">
          <a:off x="13544677" y="8855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5</xdr:row>
      <xdr:rowOff>66532</xdr:rowOff>
    </xdr:from>
    <xdr:ext cx="245067" cy="180627"/>
    <xdr:sp macro="_xll.PtreeEvent_ObjectClick" textlink="">
      <xdr:nvSpPr>
        <xdr:cNvPr id="42" name="PTObj_DBranchName_2_9" hidden="1">
          <a:extLst>
            <a:ext uri="{FF2B5EF4-FFF2-40B4-BE49-F238E27FC236}">
              <a16:creationId xmlns:a16="http://schemas.microsoft.com/office/drawing/2014/main" id="{63184BB9-7D2D-40D8-BB89-F1523A0FD33F}"/>
            </a:ext>
          </a:extLst>
        </xdr:cNvPr>
        <xdr:cNvSpPr txBox="1"/>
      </xdr:nvSpPr>
      <xdr:spPr>
        <a:xfrm>
          <a:off x="12315634" y="8761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9</xdr:row>
      <xdr:rowOff>75882</xdr:rowOff>
    </xdr:from>
    <xdr:to>
      <xdr:col>9</xdr:col>
      <xdr:colOff>162053</xdr:colOff>
      <xdr:row>26</xdr:row>
      <xdr:rowOff>0</xdr:rowOff>
    </xdr:to>
    <xdr:sp macro="_xll.PtreeEvent_ObjectClick" textlink="">
      <xdr:nvSpPr>
        <xdr:cNvPr id="43" name="PTObj_DNode_2_10" hidden="1">
          <a:extLst>
            <a:ext uri="{FF2B5EF4-FFF2-40B4-BE49-F238E27FC236}">
              <a16:creationId xmlns:a16="http://schemas.microsoft.com/office/drawing/2014/main" id="{0BE5A994-7371-4C48-A763-E830CFE8D19A}"/>
            </a:ext>
          </a:extLst>
        </xdr:cNvPr>
        <xdr:cNvSpPr/>
      </xdr:nvSpPr>
      <xdr:spPr>
        <a:xfrm rot="-5400000">
          <a:off x="13544677" y="1533207"/>
          <a:ext cx="161925" cy="161926"/>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9</xdr:row>
      <xdr:rowOff>66532</xdr:rowOff>
    </xdr:from>
    <xdr:ext cx="226023" cy="180627"/>
    <xdr:sp macro="_xll.PtreeEvent_ObjectClick" textlink="">
      <xdr:nvSpPr>
        <xdr:cNvPr id="46" name="PTObj_DBranchName_2_10" hidden="1">
          <a:extLst>
            <a:ext uri="{FF2B5EF4-FFF2-40B4-BE49-F238E27FC236}">
              <a16:creationId xmlns:a16="http://schemas.microsoft.com/office/drawing/2014/main" id="{E9B086BA-8D67-4346-8CDA-7FC5735ABA94}"/>
            </a:ext>
          </a:extLst>
        </xdr:cNvPr>
        <xdr:cNvSpPr txBox="1"/>
      </xdr:nvSpPr>
      <xdr:spPr>
        <a:xfrm>
          <a:off x="12315634" y="15238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15</xdr:row>
      <xdr:rowOff>75883</xdr:rowOff>
    </xdr:from>
    <xdr:to>
      <xdr:col>8</xdr:col>
      <xdr:colOff>162052</xdr:colOff>
      <xdr:row>26</xdr:row>
      <xdr:rowOff>0</xdr:rowOff>
    </xdr:to>
    <xdr:sp macro="_xll.PtreeEvent_ObjectClick" textlink="">
      <xdr:nvSpPr>
        <xdr:cNvPr id="47" name="PTObj_DNode_2_11" hidden="1">
          <a:extLst>
            <a:ext uri="{FF2B5EF4-FFF2-40B4-BE49-F238E27FC236}">
              <a16:creationId xmlns:a16="http://schemas.microsoft.com/office/drawing/2014/main" id="{B122EE12-6D16-411F-AFD6-AAAD2C302AE4}"/>
            </a:ext>
          </a:extLst>
        </xdr:cNvPr>
        <xdr:cNvSpPr/>
      </xdr:nvSpPr>
      <xdr:spPr>
        <a:xfrm>
          <a:off x="12049252" y="250475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15</xdr:row>
      <xdr:rowOff>66532</xdr:rowOff>
    </xdr:from>
    <xdr:ext cx="407484" cy="180627"/>
    <xdr:sp macro="_xll.PtreeEvent_ObjectClick" textlink="">
      <xdr:nvSpPr>
        <xdr:cNvPr id="50" name="PTObj_DBranchName_2_11" hidden="1">
          <a:extLst>
            <a:ext uri="{FF2B5EF4-FFF2-40B4-BE49-F238E27FC236}">
              <a16:creationId xmlns:a16="http://schemas.microsoft.com/office/drawing/2014/main" id="{457F3970-8B23-49A1-8D4F-513D19231E91}"/>
            </a:ext>
          </a:extLst>
        </xdr:cNvPr>
        <xdr:cNvSpPr txBox="1"/>
      </xdr:nvSpPr>
      <xdr:spPr>
        <a:xfrm>
          <a:off x="10820209" y="24954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9</xdr:col>
      <xdr:colOff>127</xdr:colOff>
      <xdr:row>13</xdr:row>
      <xdr:rowOff>75883</xdr:rowOff>
    </xdr:from>
    <xdr:to>
      <xdr:col>9</xdr:col>
      <xdr:colOff>162052</xdr:colOff>
      <xdr:row>26</xdr:row>
      <xdr:rowOff>0</xdr:rowOff>
    </xdr:to>
    <xdr:sp macro="_xll.PtreeEvent_ObjectClick" textlink="">
      <xdr:nvSpPr>
        <xdr:cNvPr id="51" name="PTObj_DNode_2_12" hidden="1">
          <a:extLst>
            <a:ext uri="{FF2B5EF4-FFF2-40B4-BE49-F238E27FC236}">
              <a16:creationId xmlns:a16="http://schemas.microsoft.com/office/drawing/2014/main" id="{68CE0A51-4C04-4B34-9833-D860802398DF}"/>
            </a:ext>
          </a:extLst>
        </xdr:cNvPr>
        <xdr:cNvSpPr/>
      </xdr:nvSpPr>
      <xdr:spPr>
        <a:xfrm rot="-5400000">
          <a:off x="13544677" y="218090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13</xdr:row>
      <xdr:rowOff>66532</xdr:rowOff>
    </xdr:from>
    <xdr:ext cx="245067" cy="180627"/>
    <xdr:sp macro="_xll.PtreeEvent_ObjectClick" textlink="">
      <xdr:nvSpPr>
        <xdr:cNvPr id="54" name="PTObj_DBranchName_2_12" hidden="1">
          <a:extLst>
            <a:ext uri="{FF2B5EF4-FFF2-40B4-BE49-F238E27FC236}">
              <a16:creationId xmlns:a16="http://schemas.microsoft.com/office/drawing/2014/main" id="{E37F914F-2612-497B-8E34-35D57C2D8C8B}"/>
            </a:ext>
          </a:extLst>
        </xdr:cNvPr>
        <xdr:cNvSpPr txBox="1"/>
      </xdr:nvSpPr>
      <xdr:spPr>
        <a:xfrm>
          <a:off x="12315634" y="21715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17</xdr:row>
      <xdr:rowOff>75883</xdr:rowOff>
    </xdr:from>
    <xdr:to>
      <xdr:col>9</xdr:col>
      <xdr:colOff>162052</xdr:colOff>
      <xdr:row>26</xdr:row>
      <xdr:rowOff>0</xdr:rowOff>
    </xdr:to>
    <xdr:sp macro="_xll.PtreeEvent_ObjectClick" textlink="">
      <xdr:nvSpPr>
        <xdr:cNvPr id="55" name="PTObj_DNode_2_13" hidden="1">
          <a:extLst>
            <a:ext uri="{FF2B5EF4-FFF2-40B4-BE49-F238E27FC236}">
              <a16:creationId xmlns:a16="http://schemas.microsoft.com/office/drawing/2014/main" id="{3CF674E6-F190-434A-98B6-94FBF1512229}"/>
            </a:ext>
          </a:extLst>
        </xdr:cNvPr>
        <xdr:cNvSpPr/>
      </xdr:nvSpPr>
      <xdr:spPr>
        <a:xfrm rot="-5400000">
          <a:off x="13544677" y="282860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17</xdr:row>
      <xdr:rowOff>66532</xdr:rowOff>
    </xdr:from>
    <xdr:ext cx="226023" cy="180627"/>
    <xdr:sp macro="_xll.PtreeEvent_ObjectClick" textlink="">
      <xdr:nvSpPr>
        <xdr:cNvPr id="58" name="PTObj_DBranchName_2_13" hidden="1">
          <a:extLst>
            <a:ext uri="{FF2B5EF4-FFF2-40B4-BE49-F238E27FC236}">
              <a16:creationId xmlns:a16="http://schemas.microsoft.com/office/drawing/2014/main" id="{BD2FB9E4-D0EB-49D7-AB6F-13938534C3B1}"/>
            </a:ext>
          </a:extLst>
        </xdr:cNvPr>
        <xdr:cNvSpPr txBox="1"/>
      </xdr:nvSpPr>
      <xdr:spPr>
        <a:xfrm>
          <a:off x="12315634" y="28192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21</xdr:row>
      <xdr:rowOff>75883</xdr:rowOff>
    </xdr:from>
    <xdr:to>
      <xdr:col>8</xdr:col>
      <xdr:colOff>162052</xdr:colOff>
      <xdr:row>26</xdr:row>
      <xdr:rowOff>0</xdr:rowOff>
    </xdr:to>
    <xdr:sp macro="_xll.PtreeEvent_ObjectClick" textlink="">
      <xdr:nvSpPr>
        <xdr:cNvPr id="59" name="PTObj_DNode_2_14" hidden="1">
          <a:extLst>
            <a:ext uri="{FF2B5EF4-FFF2-40B4-BE49-F238E27FC236}">
              <a16:creationId xmlns:a16="http://schemas.microsoft.com/office/drawing/2014/main" id="{C5ED1FB3-0F7A-44BA-AC1F-B879E1C95E89}"/>
            </a:ext>
          </a:extLst>
        </xdr:cNvPr>
        <xdr:cNvSpPr/>
      </xdr:nvSpPr>
      <xdr:spPr>
        <a:xfrm>
          <a:off x="12049252" y="347630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21</xdr:row>
      <xdr:rowOff>66532</xdr:rowOff>
    </xdr:from>
    <xdr:ext cx="226023" cy="180627"/>
    <xdr:sp macro="_xll.PtreeEvent_ObjectClick" textlink="">
      <xdr:nvSpPr>
        <xdr:cNvPr id="62" name="PTObj_DBranchName_2_14" hidden="1">
          <a:extLst>
            <a:ext uri="{FF2B5EF4-FFF2-40B4-BE49-F238E27FC236}">
              <a16:creationId xmlns:a16="http://schemas.microsoft.com/office/drawing/2014/main" id="{C1CE0455-13B0-4C0A-8E1B-C79380B3166A}"/>
            </a:ext>
          </a:extLst>
        </xdr:cNvPr>
        <xdr:cNvSpPr txBox="1"/>
      </xdr:nvSpPr>
      <xdr:spPr>
        <a:xfrm>
          <a:off x="10820209" y="34669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9</xdr:col>
      <xdr:colOff>127</xdr:colOff>
      <xdr:row>19</xdr:row>
      <xdr:rowOff>75883</xdr:rowOff>
    </xdr:from>
    <xdr:to>
      <xdr:col>9</xdr:col>
      <xdr:colOff>162052</xdr:colOff>
      <xdr:row>26</xdr:row>
      <xdr:rowOff>0</xdr:rowOff>
    </xdr:to>
    <xdr:sp macro="_xll.PtreeEvent_ObjectClick" textlink="">
      <xdr:nvSpPr>
        <xdr:cNvPr id="63" name="PTObj_DNode_2_15" hidden="1">
          <a:extLst>
            <a:ext uri="{FF2B5EF4-FFF2-40B4-BE49-F238E27FC236}">
              <a16:creationId xmlns:a16="http://schemas.microsoft.com/office/drawing/2014/main" id="{B5465A1D-5AA8-45D9-B514-B29730125F58}"/>
            </a:ext>
          </a:extLst>
        </xdr:cNvPr>
        <xdr:cNvSpPr/>
      </xdr:nvSpPr>
      <xdr:spPr>
        <a:xfrm rot="-5400000">
          <a:off x="13544677" y="315245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19</xdr:row>
      <xdr:rowOff>66532</xdr:rowOff>
    </xdr:from>
    <xdr:ext cx="245067" cy="180627"/>
    <xdr:sp macro="_xll.PtreeEvent_ObjectClick" textlink="">
      <xdr:nvSpPr>
        <xdr:cNvPr id="66" name="PTObj_DBranchName_2_15" hidden="1">
          <a:extLst>
            <a:ext uri="{FF2B5EF4-FFF2-40B4-BE49-F238E27FC236}">
              <a16:creationId xmlns:a16="http://schemas.microsoft.com/office/drawing/2014/main" id="{683BE5F7-59D4-43E4-881B-D685EABFEF99}"/>
            </a:ext>
          </a:extLst>
        </xdr:cNvPr>
        <xdr:cNvSpPr txBox="1"/>
      </xdr:nvSpPr>
      <xdr:spPr>
        <a:xfrm>
          <a:off x="12315634" y="31431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23</xdr:row>
      <xdr:rowOff>75883</xdr:rowOff>
    </xdr:from>
    <xdr:to>
      <xdr:col>9</xdr:col>
      <xdr:colOff>162052</xdr:colOff>
      <xdr:row>26</xdr:row>
      <xdr:rowOff>0</xdr:rowOff>
    </xdr:to>
    <xdr:sp macro="_xll.PtreeEvent_ObjectClick" textlink="">
      <xdr:nvSpPr>
        <xdr:cNvPr id="67" name="PTObj_DNode_2_16" hidden="1">
          <a:extLst>
            <a:ext uri="{FF2B5EF4-FFF2-40B4-BE49-F238E27FC236}">
              <a16:creationId xmlns:a16="http://schemas.microsoft.com/office/drawing/2014/main" id="{53BE072F-9943-411D-A016-5A4E497F8892}"/>
            </a:ext>
          </a:extLst>
        </xdr:cNvPr>
        <xdr:cNvSpPr/>
      </xdr:nvSpPr>
      <xdr:spPr>
        <a:xfrm rot="-5400000">
          <a:off x="13544677" y="380015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23</xdr:row>
      <xdr:rowOff>66532</xdr:rowOff>
    </xdr:from>
    <xdr:ext cx="226023" cy="180627"/>
    <xdr:sp macro="_xll.PtreeEvent_ObjectClick" textlink="">
      <xdr:nvSpPr>
        <xdr:cNvPr id="70" name="PTObj_DBranchName_2_16" hidden="1">
          <a:extLst>
            <a:ext uri="{FF2B5EF4-FFF2-40B4-BE49-F238E27FC236}">
              <a16:creationId xmlns:a16="http://schemas.microsoft.com/office/drawing/2014/main" id="{7058267B-1DB1-44B2-B77C-1D6B84842347}"/>
            </a:ext>
          </a:extLst>
        </xdr:cNvPr>
        <xdr:cNvSpPr txBox="1"/>
      </xdr:nvSpPr>
      <xdr:spPr>
        <a:xfrm>
          <a:off x="12315634" y="37908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7</xdr:col>
      <xdr:colOff>127</xdr:colOff>
      <xdr:row>33</xdr:row>
      <xdr:rowOff>75883</xdr:rowOff>
    </xdr:from>
    <xdr:to>
      <xdr:col>7</xdr:col>
      <xdr:colOff>162052</xdr:colOff>
      <xdr:row>68</xdr:row>
      <xdr:rowOff>0</xdr:rowOff>
    </xdr:to>
    <xdr:sp macro="_xll.PtreeEvent_ObjectClick" textlink="">
      <xdr:nvSpPr>
        <xdr:cNvPr id="71" name="PTObj_DNode_2_17" hidden="1">
          <a:extLst>
            <a:ext uri="{FF2B5EF4-FFF2-40B4-BE49-F238E27FC236}">
              <a16:creationId xmlns:a16="http://schemas.microsoft.com/office/drawing/2014/main" id="{340BA9DC-0162-4410-BCCD-C50206536122}"/>
            </a:ext>
          </a:extLst>
        </xdr:cNvPr>
        <xdr:cNvSpPr/>
      </xdr:nvSpPr>
      <xdr:spPr>
        <a:xfrm>
          <a:off x="10553827" y="541940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6</xdr:col>
      <xdr:colOff>266509</xdr:colOff>
      <xdr:row>33</xdr:row>
      <xdr:rowOff>66532</xdr:rowOff>
    </xdr:from>
    <xdr:ext cx="407484" cy="180627"/>
    <xdr:sp macro="_xll.PtreeEvent_ObjectClick" textlink="">
      <xdr:nvSpPr>
        <xdr:cNvPr id="74" name="PTObj_DBranchName_2_17" hidden="1">
          <a:extLst>
            <a:ext uri="{FF2B5EF4-FFF2-40B4-BE49-F238E27FC236}">
              <a16:creationId xmlns:a16="http://schemas.microsoft.com/office/drawing/2014/main" id="{2CE24EE1-7F5F-450E-9B0D-F03152801A7C}"/>
            </a:ext>
          </a:extLst>
        </xdr:cNvPr>
        <xdr:cNvSpPr txBox="1"/>
      </xdr:nvSpPr>
      <xdr:spPr>
        <a:xfrm>
          <a:off x="9324784" y="541005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8</xdr:col>
      <xdr:colOff>127</xdr:colOff>
      <xdr:row>29</xdr:row>
      <xdr:rowOff>75883</xdr:rowOff>
    </xdr:from>
    <xdr:to>
      <xdr:col>8</xdr:col>
      <xdr:colOff>162052</xdr:colOff>
      <xdr:row>68</xdr:row>
      <xdr:rowOff>0</xdr:rowOff>
    </xdr:to>
    <xdr:sp macro="_xll.PtreeEvent_ObjectClick" textlink="">
      <xdr:nvSpPr>
        <xdr:cNvPr id="75" name="PTObj_DNode_2_18" hidden="1">
          <a:extLst>
            <a:ext uri="{FF2B5EF4-FFF2-40B4-BE49-F238E27FC236}">
              <a16:creationId xmlns:a16="http://schemas.microsoft.com/office/drawing/2014/main" id="{0B06C57C-C4CE-4076-902C-5FF530B6697E}"/>
            </a:ext>
          </a:extLst>
        </xdr:cNvPr>
        <xdr:cNvSpPr/>
      </xdr:nvSpPr>
      <xdr:spPr>
        <a:xfrm>
          <a:off x="12049252" y="477170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29</xdr:row>
      <xdr:rowOff>66532</xdr:rowOff>
    </xdr:from>
    <xdr:ext cx="245067" cy="180627"/>
    <xdr:sp macro="_xll.PtreeEvent_ObjectClick" textlink="">
      <xdr:nvSpPr>
        <xdr:cNvPr id="78" name="PTObj_DBranchName_2_18" hidden="1">
          <a:extLst>
            <a:ext uri="{FF2B5EF4-FFF2-40B4-BE49-F238E27FC236}">
              <a16:creationId xmlns:a16="http://schemas.microsoft.com/office/drawing/2014/main" id="{AEF83EFC-5B0A-4116-8E5A-6C4EA8007798}"/>
            </a:ext>
          </a:extLst>
        </xdr:cNvPr>
        <xdr:cNvSpPr txBox="1"/>
      </xdr:nvSpPr>
      <xdr:spPr>
        <a:xfrm>
          <a:off x="10820209" y="47623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27</xdr:row>
      <xdr:rowOff>75883</xdr:rowOff>
    </xdr:from>
    <xdr:to>
      <xdr:col>9</xdr:col>
      <xdr:colOff>162052</xdr:colOff>
      <xdr:row>68</xdr:row>
      <xdr:rowOff>0</xdr:rowOff>
    </xdr:to>
    <xdr:sp macro="_xll.PtreeEvent_ObjectClick" textlink="">
      <xdr:nvSpPr>
        <xdr:cNvPr id="79" name="PTObj_DNode_2_19" hidden="1">
          <a:extLst>
            <a:ext uri="{FF2B5EF4-FFF2-40B4-BE49-F238E27FC236}">
              <a16:creationId xmlns:a16="http://schemas.microsoft.com/office/drawing/2014/main" id="{CCF03634-D438-45BC-BA04-740B4C0A2197}"/>
            </a:ext>
          </a:extLst>
        </xdr:cNvPr>
        <xdr:cNvSpPr/>
      </xdr:nvSpPr>
      <xdr:spPr>
        <a:xfrm rot="-5400000">
          <a:off x="13544677" y="444785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27</xdr:row>
      <xdr:rowOff>66532</xdr:rowOff>
    </xdr:from>
    <xdr:ext cx="245067" cy="180627"/>
    <xdr:sp macro="_xll.PtreeEvent_ObjectClick" textlink="">
      <xdr:nvSpPr>
        <xdr:cNvPr id="82" name="PTObj_DBranchName_2_19" hidden="1">
          <a:extLst>
            <a:ext uri="{FF2B5EF4-FFF2-40B4-BE49-F238E27FC236}">
              <a16:creationId xmlns:a16="http://schemas.microsoft.com/office/drawing/2014/main" id="{D911DEC0-9A9F-4D2C-8579-8C954BC0CEAB}"/>
            </a:ext>
          </a:extLst>
        </xdr:cNvPr>
        <xdr:cNvSpPr txBox="1"/>
      </xdr:nvSpPr>
      <xdr:spPr>
        <a:xfrm>
          <a:off x="12315634" y="44385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31</xdr:row>
      <xdr:rowOff>75883</xdr:rowOff>
    </xdr:from>
    <xdr:to>
      <xdr:col>9</xdr:col>
      <xdr:colOff>162052</xdr:colOff>
      <xdr:row>68</xdr:row>
      <xdr:rowOff>0</xdr:rowOff>
    </xdr:to>
    <xdr:sp macro="_xll.PtreeEvent_ObjectClick" textlink="">
      <xdr:nvSpPr>
        <xdr:cNvPr id="83" name="PTObj_DNode_2_20" hidden="1">
          <a:extLst>
            <a:ext uri="{FF2B5EF4-FFF2-40B4-BE49-F238E27FC236}">
              <a16:creationId xmlns:a16="http://schemas.microsoft.com/office/drawing/2014/main" id="{6742C48C-7234-4DC6-87B5-BB404DA4147E}"/>
            </a:ext>
          </a:extLst>
        </xdr:cNvPr>
        <xdr:cNvSpPr/>
      </xdr:nvSpPr>
      <xdr:spPr>
        <a:xfrm rot="-5400000">
          <a:off x="13544677" y="509555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31</xdr:row>
      <xdr:rowOff>66532</xdr:rowOff>
    </xdr:from>
    <xdr:ext cx="226023" cy="180627"/>
    <xdr:sp macro="_xll.PtreeEvent_ObjectClick" textlink="">
      <xdr:nvSpPr>
        <xdr:cNvPr id="86" name="PTObj_DBranchName_2_20" hidden="1">
          <a:extLst>
            <a:ext uri="{FF2B5EF4-FFF2-40B4-BE49-F238E27FC236}">
              <a16:creationId xmlns:a16="http://schemas.microsoft.com/office/drawing/2014/main" id="{4FF73FEA-7EBA-4B7A-94EC-A701A7BC94EE}"/>
            </a:ext>
          </a:extLst>
        </xdr:cNvPr>
        <xdr:cNvSpPr txBox="1"/>
      </xdr:nvSpPr>
      <xdr:spPr>
        <a:xfrm>
          <a:off x="12315634" y="50862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37</xdr:row>
      <xdr:rowOff>75883</xdr:rowOff>
    </xdr:from>
    <xdr:to>
      <xdr:col>8</xdr:col>
      <xdr:colOff>162052</xdr:colOff>
      <xdr:row>68</xdr:row>
      <xdr:rowOff>0</xdr:rowOff>
    </xdr:to>
    <xdr:sp macro="_xll.PtreeEvent_ObjectClick" textlink="">
      <xdr:nvSpPr>
        <xdr:cNvPr id="87" name="PTObj_DNode_2_21" hidden="1">
          <a:extLst>
            <a:ext uri="{FF2B5EF4-FFF2-40B4-BE49-F238E27FC236}">
              <a16:creationId xmlns:a16="http://schemas.microsoft.com/office/drawing/2014/main" id="{83915E16-FED2-4C29-BAD1-E4B0158FAED9}"/>
            </a:ext>
          </a:extLst>
        </xdr:cNvPr>
        <xdr:cNvSpPr/>
      </xdr:nvSpPr>
      <xdr:spPr>
        <a:xfrm>
          <a:off x="12049252" y="6067108"/>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37</xdr:row>
      <xdr:rowOff>66532</xdr:rowOff>
    </xdr:from>
    <xdr:ext cx="407484" cy="180627"/>
    <xdr:sp macro="_xll.PtreeEvent_ObjectClick" textlink="">
      <xdr:nvSpPr>
        <xdr:cNvPr id="90" name="PTObj_DBranchName_2_21" hidden="1">
          <a:extLst>
            <a:ext uri="{FF2B5EF4-FFF2-40B4-BE49-F238E27FC236}">
              <a16:creationId xmlns:a16="http://schemas.microsoft.com/office/drawing/2014/main" id="{6CC98CC9-C339-4BFD-8886-DC817240248D}"/>
            </a:ext>
          </a:extLst>
        </xdr:cNvPr>
        <xdr:cNvSpPr txBox="1"/>
      </xdr:nvSpPr>
      <xdr:spPr>
        <a:xfrm>
          <a:off x="10820209" y="605775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9</xdr:col>
      <xdr:colOff>127</xdr:colOff>
      <xdr:row>35</xdr:row>
      <xdr:rowOff>75883</xdr:rowOff>
    </xdr:from>
    <xdr:to>
      <xdr:col>9</xdr:col>
      <xdr:colOff>162052</xdr:colOff>
      <xdr:row>68</xdr:row>
      <xdr:rowOff>0</xdr:rowOff>
    </xdr:to>
    <xdr:sp macro="_xll.PtreeEvent_ObjectClick" textlink="">
      <xdr:nvSpPr>
        <xdr:cNvPr id="91" name="PTObj_DNode_2_22" hidden="1">
          <a:extLst>
            <a:ext uri="{FF2B5EF4-FFF2-40B4-BE49-F238E27FC236}">
              <a16:creationId xmlns:a16="http://schemas.microsoft.com/office/drawing/2014/main" id="{1AD383EB-1357-4F9B-A704-FE0E37412B58}"/>
            </a:ext>
          </a:extLst>
        </xdr:cNvPr>
        <xdr:cNvSpPr/>
      </xdr:nvSpPr>
      <xdr:spPr>
        <a:xfrm rot="-5400000">
          <a:off x="13544677" y="5743258"/>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35</xdr:row>
      <xdr:rowOff>66532</xdr:rowOff>
    </xdr:from>
    <xdr:ext cx="245067" cy="180627"/>
    <xdr:sp macro="_xll.PtreeEvent_ObjectClick" textlink="">
      <xdr:nvSpPr>
        <xdr:cNvPr id="94" name="PTObj_DBranchName_2_22" hidden="1">
          <a:extLst>
            <a:ext uri="{FF2B5EF4-FFF2-40B4-BE49-F238E27FC236}">
              <a16:creationId xmlns:a16="http://schemas.microsoft.com/office/drawing/2014/main" id="{6CE2C28D-8B66-4087-9D11-C82ED0A87776}"/>
            </a:ext>
          </a:extLst>
        </xdr:cNvPr>
        <xdr:cNvSpPr txBox="1"/>
      </xdr:nvSpPr>
      <xdr:spPr>
        <a:xfrm>
          <a:off x="12315634" y="57339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128</xdr:colOff>
      <xdr:row>39</xdr:row>
      <xdr:rowOff>75882</xdr:rowOff>
    </xdr:from>
    <xdr:to>
      <xdr:col>9</xdr:col>
      <xdr:colOff>162052</xdr:colOff>
      <xdr:row>68</xdr:row>
      <xdr:rowOff>0</xdr:rowOff>
    </xdr:to>
    <xdr:sp macro="_xll.PtreeEvent_ObjectClick" textlink="">
      <xdr:nvSpPr>
        <xdr:cNvPr id="95" name="PTObj_DNode_2_23" hidden="1">
          <a:extLst>
            <a:ext uri="{FF2B5EF4-FFF2-40B4-BE49-F238E27FC236}">
              <a16:creationId xmlns:a16="http://schemas.microsoft.com/office/drawing/2014/main" id="{057FF011-E801-4797-BA5B-6319D29ECF4F}"/>
            </a:ext>
          </a:extLst>
        </xdr:cNvPr>
        <xdr:cNvSpPr/>
      </xdr:nvSpPr>
      <xdr:spPr>
        <a:xfrm rot="-5400000">
          <a:off x="13544677" y="6390958"/>
          <a:ext cx="161925" cy="161924"/>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39</xdr:row>
      <xdr:rowOff>66532</xdr:rowOff>
    </xdr:from>
    <xdr:ext cx="226023" cy="180627"/>
    <xdr:sp macro="_xll.PtreeEvent_ObjectClick" textlink="">
      <xdr:nvSpPr>
        <xdr:cNvPr id="98" name="PTObj_DBranchName_2_23" hidden="1">
          <a:extLst>
            <a:ext uri="{FF2B5EF4-FFF2-40B4-BE49-F238E27FC236}">
              <a16:creationId xmlns:a16="http://schemas.microsoft.com/office/drawing/2014/main" id="{FDCD7D12-6846-413A-B597-11C9EFA3B10A}"/>
            </a:ext>
          </a:extLst>
        </xdr:cNvPr>
        <xdr:cNvSpPr txBox="1"/>
      </xdr:nvSpPr>
      <xdr:spPr>
        <a:xfrm>
          <a:off x="12315634" y="63816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43</xdr:row>
      <xdr:rowOff>75882</xdr:rowOff>
    </xdr:from>
    <xdr:to>
      <xdr:col>8</xdr:col>
      <xdr:colOff>162052</xdr:colOff>
      <xdr:row>68</xdr:row>
      <xdr:rowOff>0</xdr:rowOff>
    </xdr:to>
    <xdr:sp macro="_xll.PtreeEvent_ObjectClick" textlink="">
      <xdr:nvSpPr>
        <xdr:cNvPr id="99" name="PTObj_DNode_2_24" hidden="1">
          <a:extLst>
            <a:ext uri="{FF2B5EF4-FFF2-40B4-BE49-F238E27FC236}">
              <a16:creationId xmlns:a16="http://schemas.microsoft.com/office/drawing/2014/main" id="{178D2C0C-34E7-4788-BF7A-56BBEB7DB4BB}"/>
            </a:ext>
          </a:extLst>
        </xdr:cNvPr>
        <xdr:cNvSpPr/>
      </xdr:nvSpPr>
      <xdr:spPr>
        <a:xfrm>
          <a:off x="12049252" y="70386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43</xdr:row>
      <xdr:rowOff>66532</xdr:rowOff>
    </xdr:from>
    <xdr:ext cx="226023" cy="180627"/>
    <xdr:sp macro="_xll.PtreeEvent_ObjectClick" textlink="">
      <xdr:nvSpPr>
        <xdr:cNvPr id="102" name="PTObj_DBranchName_2_24" hidden="1">
          <a:extLst>
            <a:ext uri="{FF2B5EF4-FFF2-40B4-BE49-F238E27FC236}">
              <a16:creationId xmlns:a16="http://schemas.microsoft.com/office/drawing/2014/main" id="{A09A6194-0B20-4541-ACAD-1F36DD8727E1}"/>
            </a:ext>
          </a:extLst>
        </xdr:cNvPr>
        <xdr:cNvSpPr txBox="1"/>
      </xdr:nvSpPr>
      <xdr:spPr>
        <a:xfrm>
          <a:off x="10820209" y="70293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9</xdr:col>
      <xdr:colOff>127</xdr:colOff>
      <xdr:row>41</xdr:row>
      <xdr:rowOff>75882</xdr:rowOff>
    </xdr:from>
    <xdr:to>
      <xdr:col>9</xdr:col>
      <xdr:colOff>162052</xdr:colOff>
      <xdr:row>68</xdr:row>
      <xdr:rowOff>0</xdr:rowOff>
    </xdr:to>
    <xdr:sp macro="_xll.PtreeEvent_ObjectClick" textlink="">
      <xdr:nvSpPr>
        <xdr:cNvPr id="103" name="PTObj_DNode_2_25" hidden="1">
          <a:extLst>
            <a:ext uri="{FF2B5EF4-FFF2-40B4-BE49-F238E27FC236}">
              <a16:creationId xmlns:a16="http://schemas.microsoft.com/office/drawing/2014/main" id="{EA46D2F3-792B-4755-9244-44364E647E8D}"/>
            </a:ext>
          </a:extLst>
        </xdr:cNvPr>
        <xdr:cNvSpPr/>
      </xdr:nvSpPr>
      <xdr:spPr>
        <a:xfrm rot="-5400000">
          <a:off x="13544677" y="67148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41</xdr:row>
      <xdr:rowOff>66532</xdr:rowOff>
    </xdr:from>
    <xdr:ext cx="245067" cy="180627"/>
    <xdr:sp macro="_xll.PtreeEvent_ObjectClick" textlink="">
      <xdr:nvSpPr>
        <xdr:cNvPr id="106" name="PTObj_DBranchName_2_25" hidden="1">
          <a:extLst>
            <a:ext uri="{FF2B5EF4-FFF2-40B4-BE49-F238E27FC236}">
              <a16:creationId xmlns:a16="http://schemas.microsoft.com/office/drawing/2014/main" id="{ED71C08D-89E5-4D76-8F0F-47BE778CBB77}"/>
            </a:ext>
          </a:extLst>
        </xdr:cNvPr>
        <xdr:cNvSpPr txBox="1"/>
      </xdr:nvSpPr>
      <xdr:spPr>
        <a:xfrm>
          <a:off x="12315634" y="67054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45</xdr:row>
      <xdr:rowOff>75882</xdr:rowOff>
    </xdr:from>
    <xdr:to>
      <xdr:col>9</xdr:col>
      <xdr:colOff>162052</xdr:colOff>
      <xdr:row>68</xdr:row>
      <xdr:rowOff>0</xdr:rowOff>
    </xdr:to>
    <xdr:sp macro="_xll.PtreeEvent_ObjectClick" textlink="">
      <xdr:nvSpPr>
        <xdr:cNvPr id="107" name="PTObj_DNode_2_26" hidden="1">
          <a:extLst>
            <a:ext uri="{FF2B5EF4-FFF2-40B4-BE49-F238E27FC236}">
              <a16:creationId xmlns:a16="http://schemas.microsoft.com/office/drawing/2014/main" id="{EB3686BC-E035-426C-94DA-A18F71DAB7F9}"/>
            </a:ext>
          </a:extLst>
        </xdr:cNvPr>
        <xdr:cNvSpPr/>
      </xdr:nvSpPr>
      <xdr:spPr>
        <a:xfrm rot="-5400000">
          <a:off x="13544677" y="73625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45</xdr:row>
      <xdr:rowOff>66532</xdr:rowOff>
    </xdr:from>
    <xdr:ext cx="226023" cy="180627"/>
    <xdr:sp macro="_xll.PtreeEvent_ObjectClick" textlink="">
      <xdr:nvSpPr>
        <xdr:cNvPr id="110" name="PTObj_DBranchName_2_26" hidden="1">
          <a:extLst>
            <a:ext uri="{FF2B5EF4-FFF2-40B4-BE49-F238E27FC236}">
              <a16:creationId xmlns:a16="http://schemas.microsoft.com/office/drawing/2014/main" id="{FD2326E1-B026-4E3E-8D4D-790464C8FAB6}"/>
            </a:ext>
          </a:extLst>
        </xdr:cNvPr>
        <xdr:cNvSpPr txBox="1"/>
      </xdr:nvSpPr>
      <xdr:spPr>
        <a:xfrm>
          <a:off x="12315634" y="73531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7</xdr:col>
      <xdr:colOff>127</xdr:colOff>
      <xdr:row>53</xdr:row>
      <xdr:rowOff>75882</xdr:rowOff>
    </xdr:from>
    <xdr:to>
      <xdr:col>7</xdr:col>
      <xdr:colOff>162052</xdr:colOff>
      <xdr:row>68</xdr:row>
      <xdr:rowOff>0</xdr:rowOff>
    </xdr:to>
    <xdr:sp macro="_xll.PtreeEvent_ObjectClick" textlink="">
      <xdr:nvSpPr>
        <xdr:cNvPr id="111" name="PTObj_DNode_2_27" hidden="1">
          <a:extLst>
            <a:ext uri="{FF2B5EF4-FFF2-40B4-BE49-F238E27FC236}">
              <a16:creationId xmlns:a16="http://schemas.microsoft.com/office/drawing/2014/main" id="{9613F9D7-E759-47FC-A6A7-A52F5FEE5D38}"/>
            </a:ext>
          </a:extLst>
        </xdr:cNvPr>
        <xdr:cNvSpPr/>
      </xdr:nvSpPr>
      <xdr:spPr>
        <a:xfrm>
          <a:off x="10553827" y="86579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6</xdr:col>
      <xdr:colOff>266509</xdr:colOff>
      <xdr:row>53</xdr:row>
      <xdr:rowOff>66532</xdr:rowOff>
    </xdr:from>
    <xdr:ext cx="226023" cy="180627"/>
    <xdr:sp macro="_xll.PtreeEvent_ObjectClick" textlink="">
      <xdr:nvSpPr>
        <xdr:cNvPr id="114" name="PTObj_DBranchName_2_27" hidden="1">
          <a:extLst>
            <a:ext uri="{FF2B5EF4-FFF2-40B4-BE49-F238E27FC236}">
              <a16:creationId xmlns:a16="http://schemas.microsoft.com/office/drawing/2014/main" id="{0EC6B967-FA49-410E-824E-096C3A397531}"/>
            </a:ext>
          </a:extLst>
        </xdr:cNvPr>
        <xdr:cNvSpPr txBox="1"/>
      </xdr:nvSpPr>
      <xdr:spPr>
        <a:xfrm>
          <a:off x="9324784" y="86485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49</xdr:row>
      <xdr:rowOff>75882</xdr:rowOff>
    </xdr:from>
    <xdr:to>
      <xdr:col>8</xdr:col>
      <xdr:colOff>162052</xdr:colOff>
      <xdr:row>68</xdr:row>
      <xdr:rowOff>0</xdr:rowOff>
    </xdr:to>
    <xdr:sp macro="_xll.PtreeEvent_ObjectClick" textlink="">
      <xdr:nvSpPr>
        <xdr:cNvPr id="115" name="PTObj_DNode_2_28" hidden="1">
          <a:extLst>
            <a:ext uri="{FF2B5EF4-FFF2-40B4-BE49-F238E27FC236}">
              <a16:creationId xmlns:a16="http://schemas.microsoft.com/office/drawing/2014/main" id="{25C69F30-99D3-4FEB-A352-A66E4704585D}"/>
            </a:ext>
          </a:extLst>
        </xdr:cNvPr>
        <xdr:cNvSpPr/>
      </xdr:nvSpPr>
      <xdr:spPr>
        <a:xfrm>
          <a:off x="12049252" y="80102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49</xdr:row>
      <xdr:rowOff>66532</xdr:rowOff>
    </xdr:from>
    <xdr:ext cx="245067" cy="180627"/>
    <xdr:sp macro="_xll.PtreeEvent_ObjectClick" textlink="">
      <xdr:nvSpPr>
        <xdr:cNvPr id="118" name="PTObj_DBranchName_2_28" hidden="1">
          <a:extLst>
            <a:ext uri="{FF2B5EF4-FFF2-40B4-BE49-F238E27FC236}">
              <a16:creationId xmlns:a16="http://schemas.microsoft.com/office/drawing/2014/main" id="{C16348E0-9AF7-4C83-B10E-1CA20882CE4E}"/>
            </a:ext>
          </a:extLst>
        </xdr:cNvPr>
        <xdr:cNvSpPr txBox="1"/>
      </xdr:nvSpPr>
      <xdr:spPr>
        <a:xfrm>
          <a:off x="10820209" y="80008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47</xdr:row>
      <xdr:rowOff>75882</xdr:rowOff>
    </xdr:from>
    <xdr:to>
      <xdr:col>9</xdr:col>
      <xdr:colOff>162052</xdr:colOff>
      <xdr:row>68</xdr:row>
      <xdr:rowOff>0</xdr:rowOff>
    </xdr:to>
    <xdr:sp macro="_xll.PtreeEvent_ObjectClick" textlink="">
      <xdr:nvSpPr>
        <xdr:cNvPr id="119" name="PTObj_DNode_2_29" hidden="1">
          <a:extLst>
            <a:ext uri="{FF2B5EF4-FFF2-40B4-BE49-F238E27FC236}">
              <a16:creationId xmlns:a16="http://schemas.microsoft.com/office/drawing/2014/main" id="{4E94FED4-EF0F-4C69-B490-992605CD8993}"/>
            </a:ext>
          </a:extLst>
        </xdr:cNvPr>
        <xdr:cNvSpPr/>
      </xdr:nvSpPr>
      <xdr:spPr>
        <a:xfrm rot="-5400000">
          <a:off x="13544677" y="76863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47</xdr:row>
      <xdr:rowOff>66532</xdr:rowOff>
    </xdr:from>
    <xdr:ext cx="245067" cy="180627"/>
    <xdr:sp macro="_xll.PtreeEvent_ObjectClick" textlink="">
      <xdr:nvSpPr>
        <xdr:cNvPr id="122" name="PTObj_DBranchName_2_29" hidden="1">
          <a:extLst>
            <a:ext uri="{FF2B5EF4-FFF2-40B4-BE49-F238E27FC236}">
              <a16:creationId xmlns:a16="http://schemas.microsoft.com/office/drawing/2014/main" id="{50B6E7BF-04EF-4594-94A0-ED1DF59AC31D}"/>
            </a:ext>
          </a:extLst>
        </xdr:cNvPr>
        <xdr:cNvSpPr txBox="1"/>
      </xdr:nvSpPr>
      <xdr:spPr>
        <a:xfrm>
          <a:off x="12315634" y="76770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51</xdr:row>
      <xdr:rowOff>75882</xdr:rowOff>
    </xdr:from>
    <xdr:to>
      <xdr:col>9</xdr:col>
      <xdr:colOff>162052</xdr:colOff>
      <xdr:row>68</xdr:row>
      <xdr:rowOff>0</xdr:rowOff>
    </xdr:to>
    <xdr:sp macro="_xll.PtreeEvent_ObjectClick" textlink="">
      <xdr:nvSpPr>
        <xdr:cNvPr id="123" name="PTObj_DNode_2_30" hidden="1">
          <a:extLst>
            <a:ext uri="{FF2B5EF4-FFF2-40B4-BE49-F238E27FC236}">
              <a16:creationId xmlns:a16="http://schemas.microsoft.com/office/drawing/2014/main" id="{A0753727-76FD-47D2-A886-D18A2EAA96CF}"/>
            </a:ext>
          </a:extLst>
        </xdr:cNvPr>
        <xdr:cNvSpPr/>
      </xdr:nvSpPr>
      <xdr:spPr>
        <a:xfrm rot="-5400000">
          <a:off x="13544677" y="83340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51</xdr:row>
      <xdr:rowOff>66532</xdr:rowOff>
    </xdr:from>
    <xdr:ext cx="226023" cy="180627"/>
    <xdr:sp macro="_xll.PtreeEvent_ObjectClick" textlink="">
      <xdr:nvSpPr>
        <xdr:cNvPr id="126" name="PTObj_DBranchName_2_30" hidden="1">
          <a:extLst>
            <a:ext uri="{FF2B5EF4-FFF2-40B4-BE49-F238E27FC236}">
              <a16:creationId xmlns:a16="http://schemas.microsoft.com/office/drawing/2014/main" id="{FF76F9D9-F7F0-48A6-B1C0-61576EA7D19B}"/>
            </a:ext>
          </a:extLst>
        </xdr:cNvPr>
        <xdr:cNvSpPr txBox="1"/>
      </xdr:nvSpPr>
      <xdr:spPr>
        <a:xfrm>
          <a:off x="12315634" y="83247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57</xdr:row>
      <xdr:rowOff>75882</xdr:rowOff>
    </xdr:from>
    <xdr:to>
      <xdr:col>8</xdr:col>
      <xdr:colOff>162052</xdr:colOff>
      <xdr:row>68</xdr:row>
      <xdr:rowOff>0</xdr:rowOff>
    </xdr:to>
    <xdr:sp macro="_xll.PtreeEvent_ObjectClick" textlink="">
      <xdr:nvSpPr>
        <xdr:cNvPr id="127" name="PTObj_DNode_2_31" hidden="1">
          <a:extLst>
            <a:ext uri="{FF2B5EF4-FFF2-40B4-BE49-F238E27FC236}">
              <a16:creationId xmlns:a16="http://schemas.microsoft.com/office/drawing/2014/main" id="{41F6A734-A8E2-48DF-9AEB-3ECE591C2022}"/>
            </a:ext>
          </a:extLst>
        </xdr:cNvPr>
        <xdr:cNvSpPr/>
      </xdr:nvSpPr>
      <xdr:spPr>
        <a:xfrm>
          <a:off x="12049252" y="93056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57</xdr:row>
      <xdr:rowOff>66532</xdr:rowOff>
    </xdr:from>
    <xdr:ext cx="407484" cy="180627"/>
    <xdr:sp macro="_xll.PtreeEvent_ObjectClick" textlink="">
      <xdr:nvSpPr>
        <xdr:cNvPr id="130" name="PTObj_DBranchName_2_31" hidden="1">
          <a:extLst>
            <a:ext uri="{FF2B5EF4-FFF2-40B4-BE49-F238E27FC236}">
              <a16:creationId xmlns:a16="http://schemas.microsoft.com/office/drawing/2014/main" id="{469C00F4-2DCB-42F7-8C19-6F43A2573863}"/>
            </a:ext>
          </a:extLst>
        </xdr:cNvPr>
        <xdr:cNvSpPr txBox="1"/>
      </xdr:nvSpPr>
      <xdr:spPr>
        <a:xfrm>
          <a:off x="10820209" y="929625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9</xdr:col>
      <xdr:colOff>127</xdr:colOff>
      <xdr:row>55</xdr:row>
      <xdr:rowOff>75882</xdr:rowOff>
    </xdr:from>
    <xdr:to>
      <xdr:col>9</xdr:col>
      <xdr:colOff>162052</xdr:colOff>
      <xdr:row>68</xdr:row>
      <xdr:rowOff>0</xdr:rowOff>
    </xdr:to>
    <xdr:sp macro="_xll.PtreeEvent_ObjectClick" textlink="">
      <xdr:nvSpPr>
        <xdr:cNvPr id="131" name="PTObj_DNode_2_32" hidden="1">
          <a:extLst>
            <a:ext uri="{FF2B5EF4-FFF2-40B4-BE49-F238E27FC236}">
              <a16:creationId xmlns:a16="http://schemas.microsoft.com/office/drawing/2014/main" id="{C312D884-1B7E-48F1-B61A-9BC86B3DA12A}"/>
            </a:ext>
          </a:extLst>
        </xdr:cNvPr>
        <xdr:cNvSpPr/>
      </xdr:nvSpPr>
      <xdr:spPr>
        <a:xfrm rot="-5400000">
          <a:off x="13544677" y="89817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55</xdr:row>
      <xdr:rowOff>66532</xdr:rowOff>
    </xdr:from>
    <xdr:ext cx="245067" cy="180627"/>
    <xdr:sp macro="_xll.PtreeEvent_ObjectClick" textlink="">
      <xdr:nvSpPr>
        <xdr:cNvPr id="134" name="PTObj_DBranchName_2_32" hidden="1">
          <a:extLst>
            <a:ext uri="{FF2B5EF4-FFF2-40B4-BE49-F238E27FC236}">
              <a16:creationId xmlns:a16="http://schemas.microsoft.com/office/drawing/2014/main" id="{6BAF841A-3CA1-41F0-9D54-25CBC9A33CDF}"/>
            </a:ext>
          </a:extLst>
        </xdr:cNvPr>
        <xdr:cNvSpPr txBox="1"/>
      </xdr:nvSpPr>
      <xdr:spPr>
        <a:xfrm>
          <a:off x="12315634" y="89724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59</xdr:row>
      <xdr:rowOff>75882</xdr:rowOff>
    </xdr:from>
    <xdr:to>
      <xdr:col>9</xdr:col>
      <xdr:colOff>162052</xdr:colOff>
      <xdr:row>68</xdr:row>
      <xdr:rowOff>0</xdr:rowOff>
    </xdr:to>
    <xdr:sp macro="_xll.PtreeEvent_ObjectClick" textlink="">
      <xdr:nvSpPr>
        <xdr:cNvPr id="135" name="PTObj_DNode_2_33" hidden="1">
          <a:extLst>
            <a:ext uri="{FF2B5EF4-FFF2-40B4-BE49-F238E27FC236}">
              <a16:creationId xmlns:a16="http://schemas.microsoft.com/office/drawing/2014/main" id="{9E9242B4-2025-41E1-859A-B6085C877358}"/>
            </a:ext>
          </a:extLst>
        </xdr:cNvPr>
        <xdr:cNvSpPr/>
      </xdr:nvSpPr>
      <xdr:spPr>
        <a:xfrm rot="-5400000">
          <a:off x="13544677" y="96294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59</xdr:row>
      <xdr:rowOff>66532</xdr:rowOff>
    </xdr:from>
    <xdr:ext cx="226023" cy="180627"/>
    <xdr:sp macro="_xll.PtreeEvent_ObjectClick" textlink="">
      <xdr:nvSpPr>
        <xdr:cNvPr id="138" name="PTObj_DBranchName_2_33" hidden="1">
          <a:extLst>
            <a:ext uri="{FF2B5EF4-FFF2-40B4-BE49-F238E27FC236}">
              <a16:creationId xmlns:a16="http://schemas.microsoft.com/office/drawing/2014/main" id="{C707C81A-4204-4B97-9173-AEBF3AD97613}"/>
            </a:ext>
          </a:extLst>
        </xdr:cNvPr>
        <xdr:cNvSpPr txBox="1"/>
      </xdr:nvSpPr>
      <xdr:spPr>
        <a:xfrm>
          <a:off x="12315634" y="96201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63</xdr:row>
      <xdr:rowOff>75882</xdr:rowOff>
    </xdr:from>
    <xdr:to>
      <xdr:col>8</xdr:col>
      <xdr:colOff>162052</xdr:colOff>
      <xdr:row>68</xdr:row>
      <xdr:rowOff>0</xdr:rowOff>
    </xdr:to>
    <xdr:sp macro="_xll.PtreeEvent_ObjectClick" textlink="">
      <xdr:nvSpPr>
        <xdr:cNvPr id="139" name="PTObj_DNode_2_34" hidden="1">
          <a:extLst>
            <a:ext uri="{FF2B5EF4-FFF2-40B4-BE49-F238E27FC236}">
              <a16:creationId xmlns:a16="http://schemas.microsoft.com/office/drawing/2014/main" id="{A1512D7A-FCA0-4D59-9561-F475D8B3157A}"/>
            </a:ext>
          </a:extLst>
        </xdr:cNvPr>
        <xdr:cNvSpPr/>
      </xdr:nvSpPr>
      <xdr:spPr>
        <a:xfrm>
          <a:off x="12049252" y="102771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63</xdr:row>
      <xdr:rowOff>66532</xdr:rowOff>
    </xdr:from>
    <xdr:ext cx="226023" cy="180627"/>
    <xdr:sp macro="_xll.PtreeEvent_ObjectClick" textlink="">
      <xdr:nvSpPr>
        <xdr:cNvPr id="142" name="PTObj_DBranchName_2_34" hidden="1">
          <a:extLst>
            <a:ext uri="{FF2B5EF4-FFF2-40B4-BE49-F238E27FC236}">
              <a16:creationId xmlns:a16="http://schemas.microsoft.com/office/drawing/2014/main" id="{72B987EE-0FC6-485D-A91D-A7A6D181510C}"/>
            </a:ext>
          </a:extLst>
        </xdr:cNvPr>
        <xdr:cNvSpPr txBox="1"/>
      </xdr:nvSpPr>
      <xdr:spPr>
        <a:xfrm>
          <a:off x="10820209" y="102678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9</xdr:col>
      <xdr:colOff>127</xdr:colOff>
      <xdr:row>61</xdr:row>
      <xdr:rowOff>75882</xdr:rowOff>
    </xdr:from>
    <xdr:to>
      <xdr:col>9</xdr:col>
      <xdr:colOff>162052</xdr:colOff>
      <xdr:row>68</xdr:row>
      <xdr:rowOff>0</xdr:rowOff>
    </xdr:to>
    <xdr:sp macro="_xll.PtreeEvent_ObjectClick" textlink="">
      <xdr:nvSpPr>
        <xdr:cNvPr id="143" name="PTObj_DNode_2_35" hidden="1">
          <a:extLst>
            <a:ext uri="{FF2B5EF4-FFF2-40B4-BE49-F238E27FC236}">
              <a16:creationId xmlns:a16="http://schemas.microsoft.com/office/drawing/2014/main" id="{FE451665-729C-4F6C-8FE3-D62B13D7CFB8}"/>
            </a:ext>
          </a:extLst>
        </xdr:cNvPr>
        <xdr:cNvSpPr/>
      </xdr:nvSpPr>
      <xdr:spPr>
        <a:xfrm rot="-5400000">
          <a:off x="13544677" y="99533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61</xdr:row>
      <xdr:rowOff>66532</xdr:rowOff>
    </xdr:from>
    <xdr:ext cx="245067" cy="180627"/>
    <xdr:sp macro="_xll.PtreeEvent_ObjectClick" textlink="">
      <xdr:nvSpPr>
        <xdr:cNvPr id="146" name="PTObj_DBranchName_2_35" hidden="1">
          <a:extLst>
            <a:ext uri="{FF2B5EF4-FFF2-40B4-BE49-F238E27FC236}">
              <a16:creationId xmlns:a16="http://schemas.microsoft.com/office/drawing/2014/main" id="{1EDE1996-E704-4D74-8F90-7288732BA91B}"/>
            </a:ext>
          </a:extLst>
        </xdr:cNvPr>
        <xdr:cNvSpPr txBox="1"/>
      </xdr:nvSpPr>
      <xdr:spPr>
        <a:xfrm>
          <a:off x="12315634" y="99439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65</xdr:row>
      <xdr:rowOff>75882</xdr:rowOff>
    </xdr:from>
    <xdr:to>
      <xdr:col>9</xdr:col>
      <xdr:colOff>162052</xdr:colOff>
      <xdr:row>68</xdr:row>
      <xdr:rowOff>0</xdr:rowOff>
    </xdr:to>
    <xdr:sp macro="_xll.PtreeEvent_ObjectClick" textlink="">
      <xdr:nvSpPr>
        <xdr:cNvPr id="147" name="PTObj_DNode_2_36" hidden="1">
          <a:extLst>
            <a:ext uri="{FF2B5EF4-FFF2-40B4-BE49-F238E27FC236}">
              <a16:creationId xmlns:a16="http://schemas.microsoft.com/office/drawing/2014/main" id="{C795A688-2C29-4928-A5D8-24A59B56A9E7}"/>
            </a:ext>
          </a:extLst>
        </xdr:cNvPr>
        <xdr:cNvSpPr/>
      </xdr:nvSpPr>
      <xdr:spPr>
        <a:xfrm rot="-5400000">
          <a:off x="13544677" y="106010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65</xdr:row>
      <xdr:rowOff>66532</xdr:rowOff>
    </xdr:from>
    <xdr:ext cx="226023" cy="180627"/>
    <xdr:sp macro="_xll.PtreeEvent_ObjectClick" textlink="">
      <xdr:nvSpPr>
        <xdr:cNvPr id="150" name="PTObj_DBranchName_2_36" hidden="1">
          <a:extLst>
            <a:ext uri="{FF2B5EF4-FFF2-40B4-BE49-F238E27FC236}">
              <a16:creationId xmlns:a16="http://schemas.microsoft.com/office/drawing/2014/main" id="{6DC0E8D0-7E78-470C-AAD7-2864C9A81C23}"/>
            </a:ext>
          </a:extLst>
        </xdr:cNvPr>
        <xdr:cNvSpPr txBox="1"/>
      </xdr:nvSpPr>
      <xdr:spPr>
        <a:xfrm>
          <a:off x="12315634" y="105916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5</xdr:col>
      <xdr:colOff>127</xdr:colOff>
      <xdr:row>133</xdr:row>
      <xdr:rowOff>75882</xdr:rowOff>
    </xdr:from>
    <xdr:to>
      <xdr:col>5</xdr:col>
      <xdr:colOff>162052</xdr:colOff>
      <xdr:row>134</xdr:row>
      <xdr:rowOff>75882</xdr:rowOff>
    </xdr:to>
    <xdr:sp macro="_xll.PtreeEvent_ObjectClick" textlink="">
      <xdr:nvSpPr>
        <xdr:cNvPr id="155" name="PTObj_DNode_2_38">
          <a:extLst>
            <a:ext uri="{FF2B5EF4-FFF2-40B4-BE49-F238E27FC236}">
              <a16:creationId xmlns:a16="http://schemas.microsoft.com/office/drawing/2014/main" id="{91739858-E3E3-442D-8E48-94C959FD8999}"/>
            </a:ext>
          </a:extLst>
        </xdr:cNvPr>
        <xdr:cNvSpPr/>
      </xdr:nvSpPr>
      <xdr:spPr>
        <a:xfrm>
          <a:off x="7562977" y="21935757"/>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266510</xdr:colOff>
      <xdr:row>133</xdr:row>
      <xdr:rowOff>66531</xdr:rowOff>
    </xdr:from>
    <xdr:ext cx="238847" cy="180627"/>
    <xdr:sp macro="_xll.PtreeEvent_ObjectClick" textlink="">
      <xdr:nvSpPr>
        <xdr:cNvPr id="158" name="PTObj_DBranchName_2_38">
          <a:extLst>
            <a:ext uri="{FF2B5EF4-FFF2-40B4-BE49-F238E27FC236}">
              <a16:creationId xmlns:a16="http://schemas.microsoft.com/office/drawing/2014/main" id="{59488176-5271-49FF-B527-74D3FFCCCADA}"/>
            </a:ext>
          </a:extLst>
        </xdr:cNvPr>
        <xdr:cNvSpPr txBox="1"/>
      </xdr:nvSpPr>
      <xdr:spPr>
        <a:xfrm>
          <a:off x="6333935" y="21926406"/>
          <a:ext cx="23884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Fails</a:t>
          </a:r>
        </a:p>
      </xdr:txBody>
    </xdr:sp>
    <xdr:clientData/>
  </xdr:oneCellAnchor>
  <xdr:twoCellAnchor editAs="oneCell">
    <xdr:from>
      <xdr:col>6</xdr:col>
      <xdr:colOff>127</xdr:colOff>
      <xdr:row>91</xdr:row>
      <xdr:rowOff>75882</xdr:rowOff>
    </xdr:from>
    <xdr:to>
      <xdr:col>6</xdr:col>
      <xdr:colOff>162052</xdr:colOff>
      <xdr:row>92</xdr:row>
      <xdr:rowOff>75882</xdr:rowOff>
    </xdr:to>
    <xdr:sp macro="_xll.PtreeEvent_ObjectClick" textlink="">
      <xdr:nvSpPr>
        <xdr:cNvPr id="159" name="PTObj_DNode_2_39">
          <a:extLst>
            <a:ext uri="{FF2B5EF4-FFF2-40B4-BE49-F238E27FC236}">
              <a16:creationId xmlns:a16="http://schemas.microsoft.com/office/drawing/2014/main" id="{325318C8-DD6F-4E14-8298-869C9501AB54}"/>
            </a:ext>
          </a:extLst>
        </xdr:cNvPr>
        <xdr:cNvSpPr/>
      </xdr:nvSpPr>
      <xdr:spPr>
        <a:xfrm>
          <a:off x="9058402" y="151349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5</xdr:col>
      <xdr:colOff>266509</xdr:colOff>
      <xdr:row>91</xdr:row>
      <xdr:rowOff>66531</xdr:rowOff>
    </xdr:from>
    <xdr:ext cx="196592" cy="180627"/>
    <xdr:sp macro="_xll.PtreeEvent_ObjectClick" textlink="">
      <xdr:nvSpPr>
        <xdr:cNvPr id="162" name="PTObj_DBranchName_2_39">
          <a:extLst>
            <a:ext uri="{FF2B5EF4-FFF2-40B4-BE49-F238E27FC236}">
              <a16:creationId xmlns:a16="http://schemas.microsoft.com/office/drawing/2014/main" id="{4161ED3E-DD95-4682-A4F9-32E9CC18AAB9}"/>
            </a:ext>
          </a:extLst>
        </xdr:cNvPr>
        <xdr:cNvSpPr txBox="1"/>
      </xdr:nvSpPr>
      <xdr:spPr>
        <a:xfrm>
          <a:off x="7829359" y="15125556"/>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Yes</a:t>
          </a:r>
        </a:p>
      </xdr:txBody>
    </xdr:sp>
    <xdr:clientData/>
  </xdr:oneCellAnchor>
  <xdr:twoCellAnchor editAs="oneCell">
    <xdr:from>
      <xdr:col>7</xdr:col>
      <xdr:colOff>127</xdr:colOff>
      <xdr:row>77</xdr:row>
      <xdr:rowOff>75882</xdr:rowOff>
    </xdr:from>
    <xdr:to>
      <xdr:col>7</xdr:col>
      <xdr:colOff>162052</xdr:colOff>
      <xdr:row>92</xdr:row>
      <xdr:rowOff>0</xdr:rowOff>
    </xdr:to>
    <xdr:sp macro="_xll.PtreeEvent_ObjectClick" textlink="">
      <xdr:nvSpPr>
        <xdr:cNvPr id="163" name="PTObj_DNode_2_40" hidden="1">
          <a:extLst>
            <a:ext uri="{FF2B5EF4-FFF2-40B4-BE49-F238E27FC236}">
              <a16:creationId xmlns:a16="http://schemas.microsoft.com/office/drawing/2014/main" id="{38F98A6F-AA0C-4DCA-8FB9-0539E01FEF8D}"/>
            </a:ext>
          </a:extLst>
        </xdr:cNvPr>
        <xdr:cNvSpPr/>
      </xdr:nvSpPr>
      <xdr:spPr>
        <a:xfrm>
          <a:off x="10553827" y="128679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6</xdr:col>
      <xdr:colOff>266509</xdr:colOff>
      <xdr:row>77</xdr:row>
      <xdr:rowOff>66532</xdr:rowOff>
    </xdr:from>
    <xdr:ext cx="245067" cy="180627"/>
    <xdr:sp macro="_xll.PtreeEvent_ObjectClick" textlink="">
      <xdr:nvSpPr>
        <xdr:cNvPr id="166" name="PTObj_DBranchName_2_40" hidden="1">
          <a:extLst>
            <a:ext uri="{FF2B5EF4-FFF2-40B4-BE49-F238E27FC236}">
              <a16:creationId xmlns:a16="http://schemas.microsoft.com/office/drawing/2014/main" id="{189CFF28-A3A1-4E11-A562-13C7E2831160}"/>
            </a:ext>
          </a:extLst>
        </xdr:cNvPr>
        <xdr:cNvSpPr txBox="1"/>
      </xdr:nvSpPr>
      <xdr:spPr>
        <a:xfrm>
          <a:off x="9324784" y="128586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8</xdr:col>
      <xdr:colOff>127</xdr:colOff>
      <xdr:row>73</xdr:row>
      <xdr:rowOff>75882</xdr:rowOff>
    </xdr:from>
    <xdr:to>
      <xdr:col>8</xdr:col>
      <xdr:colOff>162052</xdr:colOff>
      <xdr:row>92</xdr:row>
      <xdr:rowOff>0</xdr:rowOff>
    </xdr:to>
    <xdr:sp macro="_xll.PtreeEvent_ObjectClick" textlink="">
      <xdr:nvSpPr>
        <xdr:cNvPr id="167" name="PTObj_DNode_2_41" hidden="1">
          <a:extLst>
            <a:ext uri="{FF2B5EF4-FFF2-40B4-BE49-F238E27FC236}">
              <a16:creationId xmlns:a16="http://schemas.microsoft.com/office/drawing/2014/main" id="{F1BE18BA-65B9-4BAE-B4BE-3746C4F58A76}"/>
            </a:ext>
          </a:extLst>
        </xdr:cNvPr>
        <xdr:cNvSpPr/>
      </xdr:nvSpPr>
      <xdr:spPr>
        <a:xfrm>
          <a:off x="12049252" y="122202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73</xdr:row>
      <xdr:rowOff>66532</xdr:rowOff>
    </xdr:from>
    <xdr:ext cx="245067" cy="180627"/>
    <xdr:sp macro="_xll.PtreeEvent_ObjectClick" textlink="">
      <xdr:nvSpPr>
        <xdr:cNvPr id="170" name="PTObj_DBranchName_2_41" hidden="1">
          <a:extLst>
            <a:ext uri="{FF2B5EF4-FFF2-40B4-BE49-F238E27FC236}">
              <a16:creationId xmlns:a16="http://schemas.microsoft.com/office/drawing/2014/main" id="{6C0DD037-569E-4145-A59B-401FA740831C}"/>
            </a:ext>
          </a:extLst>
        </xdr:cNvPr>
        <xdr:cNvSpPr txBox="1"/>
      </xdr:nvSpPr>
      <xdr:spPr>
        <a:xfrm>
          <a:off x="10820209" y="122109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71</xdr:row>
      <xdr:rowOff>75882</xdr:rowOff>
    </xdr:from>
    <xdr:to>
      <xdr:col>9</xdr:col>
      <xdr:colOff>162052</xdr:colOff>
      <xdr:row>92</xdr:row>
      <xdr:rowOff>0</xdr:rowOff>
    </xdr:to>
    <xdr:sp macro="_xll.PtreeEvent_ObjectClick" textlink="">
      <xdr:nvSpPr>
        <xdr:cNvPr id="171" name="PTObj_DNode_2_42" hidden="1">
          <a:extLst>
            <a:ext uri="{FF2B5EF4-FFF2-40B4-BE49-F238E27FC236}">
              <a16:creationId xmlns:a16="http://schemas.microsoft.com/office/drawing/2014/main" id="{8E3C1935-87F0-44A1-B2EC-C4CEBF95EEAF}"/>
            </a:ext>
          </a:extLst>
        </xdr:cNvPr>
        <xdr:cNvSpPr/>
      </xdr:nvSpPr>
      <xdr:spPr>
        <a:xfrm rot="-5400000">
          <a:off x="13544677" y="118964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71</xdr:row>
      <xdr:rowOff>66532</xdr:rowOff>
    </xdr:from>
    <xdr:ext cx="245067" cy="180627"/>
    <xdr:sp macro="_xll.PtreeEvent_ObjectClick" textlink="">
      <xdr:nvSpPr>
        <xdr:cNvPr id="174" name="PTObj_DBranchName_2_42" hidden="1">
          <a:extLst>
            <a:ext uri="{FF2B5EF4-FFF2-40B4-BE49-F238E27FC236}">
              <a16:creationId xmlns:a16="http://schemas.microsoft.com/office/drawing/2014/main" id="{89276482-F023-413A-AFB3-AE859C20FA59}"/>
            </a:ext>
          </a:extLst>
        </xdr:cNvPr>
        <xdr:cNvSpPr txBox="1"/>
      </xdr:nvSpPr>
      <xdr:spPr>
        <a:xfrm>
          <a:off x="12315634" y="118870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75</xdr:row>
      <xdr:rowOff>75882</xdr:rowOff>
    </xdr:from>
    <xdr:to>
      <xdr:col>9</xdr:col>
      <xdr:colOff>162052</xdr:colOff>
      <xdr:row>92</xdr:row>
      <xdr:rowOff>0</xdr:rowOff>
    </xdr:to>
    <xdr:sp macro="_xll.PtreeEvent_ObjectClick" textlink="">
      <xdr:nvSpPr>
        <xdr:cNvPr id="175" name="PTObj_DNode_2_43" hidden="1">
          <a:extLst>
            <a:ext uri="{FF2B5EF4-FFF2-40B4-BE49-F238E27FC236}">
              <a16:creationId xmlns:a16="http://schemas.microsoft.com/office/drawing/2014/main" id="{5D48ABA1-70C3-42FC-8E3D-423A96A498EE}"/>
            </a:ext>
          </a:extLst>
        </xdr:cNvPr>
        <xdr:cNvSpPr/>
      </xdr:nvSpPr>
      <xdr:spPr>
        <a:xfrm rot="-5400000">
          <a:off x="13544677" y="125441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75</xdr:row>
      <xdr:rowOff>66532</xdr:rowOff>
    </xdr:from>
    <xdr:ext cx="226023" cy="180627"/>
    <xdr:sp macro="_xll.PtreeEvent_ObjectClick" textlink="">
      <xdr:nvSpPr>
        <xdr:cNvPr id="178" name="PTObj_DBranchName_2_43" hidden="1">
          <a:extLst>
            <a:ext uri="{FF2B5EF4-FFF2-40B4-BE49-F238E27FC236}">
              <a16:creationId xmlns:a16="http://schemas.microsoft.com/office/drawing/2014/main" id="{D434E89D-8FF0-449D-935E-51491A2A94E1}"/>
            </a:ext>
          </a:extLst>
        </xdr:cNvPr>
        <xdr:cNvSpPr txBox="1"/>
      </xdr:nvSpPr>
      <xdr:spPr>
        <a:xfrm>
          <a:off x="12315634" y="125347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81</xdr:row>
      <xdr:rowOff>75882</xdr:rowOff>
    </xdr:from>
    <xdr:to>
      <xdr:col>8</xdr:col>
      <xdr:colOff>162052</xdr:colOff>
      <xdr:row>92</xdr:row>
      <xdr:rowOff>0</xdr:rowOff>
    </xdr:to>
    <xdr:sp macro="_xll.PtreeEvent_ObjectClick" textlink="">
      <xdr:nvSpPr>
        <xdr:cNvPr id="179" name="PTObj_DNode_2_44" hidden="1">
          <a:extLst>
            <a:ext uri="{FF2B5EF4-FFF2-40B4-BE49-F238E27FC236}">
              <a16:creationId xmlns:a16="http://schemas.microsoft.com/office/drawing/2014/main" id="{021A760F-9325-4787-BDB7-ED17E6EC4FFC}"/>
            </a:ext>
          </a:extLst>
        </xdr:cNvPr>
        <xdr:cNvSpPr/>
      </xdr:nvSpPr>
      <xdr:spPr>
        <a:xfrm>
          <a:off x="12049252" y="135156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81</xdr:row>
      <xdr:rowOff>66531</xdr:rowOff>
    </xdr:from>
    <xdr:ext cx="407484" cy="180627"/>
    <xdr:sp macro="_xll.PtreeEvent_ObjectClick" textlink="">
      <xdr:nvSpPr>
        <xdr:cNvPr id="182" name="PTObj_DBranchName_2_44" hidden="1">
          <a:extLst>
            <a:ext uri="{FF2B5EF4-FFF2-40B4-BE49-F238E27FC236}">
              <a16:creationId xmlns:a16="http://schemas.microsoft.com/office/drawing/2014/main" id="{09C93680-B4AA-4369-90F1-6644E9263811}"/>
            </a:ext>
          </a:extLst>
        </xdr:cNvPr>
        <xdr:cNvSpPr txBox="1"/>
      </xdr:nvSpPr>
      <xdr:spPr>
        <a:xfrm>
          <a:off x="10820209" y="13506306"/>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9</xdr:col>
      <xdr:colOff>127</xdr:colOff>
      <xdr:row>79</xdr:row>
      <xdr:rowOff>75882</xdr:rowOff>
    </xdr:from>
    <xdr:to>
      <xdr:col>9</xdr:col>
      <xdr:colOff>162052</xdr:colOff>
      <xdr:row>92</xdr:row>
      <xdr:rowOff>0</xdr:rowOff>
    </xdr:to>
    <xdr:sp macro="_xll.PtreeEvent_ObjectClick" textlink="">
      <xdr:nvSpPr>
        <xdr:cNvPr id="183" name="PTObj_DNode_2_45" hidden="1">
          <a:extLst>
            <a:ext uri="{FF2B5EF4-FFF2-40B4-BE49-F238E27FC236}">
              <a16:creationId xmlns:a16="http://schemas.microsoft.com/office/drawing/2014/main" id="{3A6DA994-1CEA-457C-A81D-5EB0D317DC5A}"/>
            </a:ext>
          </a:extLst>
        </xdr:cNvPr>
        <xdr:cNvSpPr/>
      </xdr:nvSpPr>
      <xdr:spPr>
        <a:xfrm rot="-5400000">
          <a:off x="13544677" y="131918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79</xdr:row>
      <xdr:rowOff>66531</xdr:rowOff>
    </xdr:from>
    <xdr:ext cx="245067" cy="180627"/>
    <xdr:sp macro="_xll.PtreeEvent_ObjectClick" textlink="">
      <xdr:nvSpPr>
        <xdr:cNvPr id="186" name="PTObj_DBranchName_2_45" hidden="1">
          <a:extLst>
            <a:ext uri="{FF2B5EF4-FFF2-40B4-BE49-F238E27FC236}">
              <a16:creationId xmlns:a16="http://schemas.microsoft.com/office/drawing/2014/main" id="{1779AA69-2EF8-4EF7-B18F-215966F145FE}"/>
            </a:ext>
          </a:extLst>
        </xdr:cNvPr>
        <xdr:cNvSpPr txBox="1"/>
      </xdr:nvSpPr>
      <xdr:spPr>
        <a:xfrm>
          <a:off x="12315634" y="131824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83</xdr:row>
      <xdr:rowOff>75882</xdr:rowOff>
    </xdr:from>
    <xdr:to>
      <xdr:col>9</xdr:col>
      <xdr:colOff>162052</xdr:colOff>
      <xdr:row>92</xdr:row>
      <xdr:rowOff>0</xdr:rowOff>
    </xdr:to>
    <xdr:sp macro="_xll.PtreeEvent_ObjectClick" textlink="">
      <xdr:nvSpPr>
        <xdr:cNvPr id="187" name="PTObj_DNode_2_46" hidden="1">
          <a:extLst>
            <a:ext uri="{FF2B5EF4-FFF2-40B4-BE49-F238E27FC236}">
              <a16:creationId xmlns:a16="http://schemas.microsoft.com/office/drawing/2014/main" id="{254CEE55-F301-44E1-A262-661E3BF4ED4A}"/>
            </a:ext>
          </a:extLst>
        </xdr:cNvPr>
        <xdr:cNvSpPr/>
      </xdr:nvSpPr>
      <xdr:spPr>
        <a:xfrm rot="-5400000">
          <a:off x="13544677" y="138395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83</xdr:row>
      <xdr:rowOff>66531</xdr:rowOff>
    </xdr:from>
    <xdr:ext cx="226023" cy="180627"/>
    <xdr:sp macro="_xll.PtreeEvent_ObjectClick" textlink="">
      <xdr:nvSpPr>
        <xdr:cNvPr id="190" name="PTObj_DBranchName_2_46" hidden="1">
          <a:extLst>
            <a:ext uri="{FF2B5EF4-FFF2-40B4-BE49-F238E27FC236}">
              <a16:creationId xmlns:a16="http://schemas.microsoft.com/office/drawing/2014/main" id="{EBCF56F1-8455-44BA-A4DD-63071C2211DF}"/>
            </a:ext>
          </a:extLst>
        </xdr:cNvPr>
        <xdr:cNvSpPr txBox="1"/>
      </xdr:nvSpPr>
      <xdr:spPr>
        <a:xfrm>
          <a:off x="12315634" y="138301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87</xdr:row>
      <xdr:rowOff>75882</xdr:rowOff>
    </xdr:from>
    <xdr:to>
      <xdr:col>8</xdr:col>
      <xdr:colOff>162052</xdr:colOff>
      <xdr:row>92</xdr:row>
      <xdr:rowOff>0</xdr:rowOff>
    </xdr:to>
    <xdr:sp macro="_xll.PtreeEvent_ObjectClick" textlink="">
      <xdr:nvSpPr>
        <xdr:cNvPr id="191" name="PTObj_DNode_2_47" hidden="1">
          <a:extLst>
            <a:ext uri="{FF2B5EF4-FFF2-40B4-BE49-F238E27FC236}">
              <a16:creationId xmlns:a16="http://schemas.microsoft.com/office/drawing/2014/main" id="{0EEB9505-D429-4F2A-9B1A-88C6B1EEFF70}"/>
            </a:ext>
          </a:extLst>
        </xdr:cNvPr>
        <xdr:cNvSpPr/>
      </xdr:nvSpPr>
      <xdr:spPr>
        <a:xfrm>
          <a:off x="12049252" y="144872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87</xdr:row>
      <xdr:rowOff>66531</xdr:rowOff>
    </xdr:from>
    <xdr:ext cx="226023" cy="180627"/>
    <xdr:sp macro="_xll.PtreeEvent_ObjectClick" textlink="">
      <xdr:nvSpPr>
        <xdr:cNvPr id="194" name="PTObj_DBranchName_2_47" hidden="1">
          <a:extLst>
            <a:ext uri="{FF2B5EF4-FFF2-40B4-BE49-F238E27FC236}">
              <a16:creationId xmlns:a16="http://schemas.microsoft.com/office/drawing/2014/main" id="{88562C52-1995-425A-A105-304593333C2E}"/>
            </a:ext>
          </a:extLst>
        </xdr:cNvPr>
        <xdr:cNvSpPr txBox="1"/>
      </xdr:nvSpPr>
      <xdr:spPr>
        <a:xfrm>
          <a:off x="10820209" y="144778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9</xdr:col>
      <xdr:colOff>127</xdr:colOff>
      <xdr:row>85</xdr:row>
      <xdr:rowOff>75882</xdr:rowOff>
    </xdr:from>
    <xdr:to>
      <xdr:col>9</xdr:col>
      <xdr:colOff>162052</xdr:colOff>
      <xdr:row>92</xdr:row>
      <xdr:rowOff>0</xdr:rowOff>
    </xdr:to>
    <xdr:sp macro="_xll.PtreeEvent_ObjectClick" textlink="">
      <xdr:nvSpPr>
        <xdr:cNvPr id="195" name="PTObj_DNode_2_48" hidden="1">
          <a:extLst>
            <a:ext uri="{FF2B5EF4-FFF2-40B4-BE49-F238E27FC236}">
              <a16:creationId xmlns:a16="http://schemas.microsoft.com/office/drawing/2014/main" id="{6062A3CE-5144-464F-9632-F89365F17A2B}"/>
            </a:ext>
          </a:extLst>
        </xdr:cNvPr>
        <xdr:cNvSpPr/>
      </xdr:nvSpPr>
      <xdr:spPr>
        <a:xfrm rot="-5400000">
          <a:off x="13544677" y="141633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85</xdr:row>
      <xdr:rowOff>66531</xdr:rowOff>
    </xdr:from>
    <xdr:ext cx="245067" cy="180627"/>
    <xdr:sp macro="_xll.PtreeEvent_ObjectClick" textlink="">
      <xdr:nvSpPr>
        <xdr:cNvPr id="198" name="PTObj_DBranchName_2_48" hidden="1">
          <a:extLst>
            <a:ext uri="{FF2B5EF4-FFF2-40B4-BE49-F238E27FC236}">
              <a16:creationId xmlns:a16="http://schemas.microsoft.com/office/drawing/2014/main" id="{DE9696CA-AD13-4347-A190-9373D3A51B4D}"/>
            </a:ext>
          </a:extLst>
        </xdr:cNvPr>
        <xdr:cNvSpPr txBox="1"/>
      </xdr:nvSpPr>
      <xdr:spPr>
        <a:xfrm>
          <a:off x="12315634" y="141540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89</xdr:row>
      <xdr:rowOff>75882</xdr:rowOff>
    </xdr:from>
    <xdr:to>
      <xdr:col>9</xdr:col>
      <xdr:colOff>162052</xdr:colOff>
      <xdr:row>92</xdr:row>
      <xdr:rowOff>0</xdr:rowOff>
    </xdr:to>
    <xdr:sp macro="_xll.PtreeEvent_ObjectClick" textlink="">
      <xdr:nvSpPr>
        <xdr:cNvPr id="199" name="PTObj_DNode_2_49" hidden="1">
          <a:extLst>
            <a:ext uri="{FF2B5EF4-FFF2-40B4-BE49-F238E27FC236}">
              <a16:creationId xmlns:a16="http://schemas.microsoft.com/office/drawing/2014/main" id="{5C19EE5F-C922-4DBE-AEF4-9B35DFEBA38D}"/>
            </a:ext>
          </a:extLst>
        </xdr:cNvPr>
        <xdr:cNvSpPr/>
      </xdr:nvSpPr>
      <xdr:spPr>
        <a:xfrm rot="-5400000">
          <a:off x="13544677" y="148110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89</xdr:row>
      <xdr:rowOff>66531</xdr:rowOff>
    </xdr:from>
    <xdr:ext cx="226023" cy="180627"/>
    <xdr:sp macro="_xll.PtreeEvent_ObjectClick" textlink="">
      <xdr:nvSpPr>
        <xdr:cNvPr id="202" name="PTObj_DBranchName_2_49" hidden="1">
          <a:extLst>
            <a:ext uri="{FF2B5EF4-FFF2-40B4-BE49-F238E27FC236}">
              <a16:creationId xmlns:a16="http://schemas.microsoft.com/office/drawing/2014/main" id="{C47EE9BF-D993-46F6-BF18-2891F83EE453}"/>
            </a:ext>
          </a:extLst>
        </xdr:cNvPr>
        <xdr:cNvSpPr txBox="1"/>
      </xdr:nvSpPr>
      <xdr:spPr>
        <a:xfrm>
          <a:off x="12315634" y="148017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7</xdr:col>
      <xdr:colOff>127</xdr:colOff>
      <xdr:row>99</xdr:row>
      <xdr:rowOff>75882</xdr:rowOff>
    </xdr:from>
    <xdr:to>
      <xdr:col>7</xdr:col>
      <xdr:colOff>162052</xdr:colOff>
      <xdr:row>134</xdr:row>
      <xdr:rowOff>0</xdr:rowOff>
    </xdr:to>
    <xdr:sp macro="_xll.PtreeEvent_ObjectClick" textlink="">
      <xdr:nvSpPr>
        <xdr:cNvPr id="203" name="PTObj_DNode_2_50" hidden="1">
          <a:extLst>
            <a:ext uri="{FF2B5EF4-FFF2-40B4-BE49-F238E27FC236}">
              <a16:creationId xmlns:a16="http://schemas.microsoft.com/office/drawing/2014/main" id="{995472EF-F274-4307-82EB-7913A6D2B2F7}"/>
            </a:ext>
          </a:extLst>
        </xdr:cNvPr>
        <xdr:cNvSpPr/>
      </xdr:nvSpPr>
      <xdr:spPr>
        <a:xfrm>
          <a:off x="10553827" y="164303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6</xdr:col>
      <xdr:colOff>266509</xdr:colOff>
      <xdr:row>99</xdr:row>
      <xdr:rowOff>66531</xdr:rowOff>
    </xdr:from>
    <xdr:ext cx="407484" cy="180627"/>
    <xdr:sp macro="_xll.PtreeEvent_ObjectClick" textlink="">
      <xdr:nvSpPr>
        <xdr:cNvPr id="206" name="PTObj_DBranchName_2_50" hidden="1">
          <a:extLst>
            <a:ext uri="{FF2B5EF4-FFF2-40B4-BE49-F238E27FC236}">
              <a16:creationId xmlns:a16="http://schemas.microsoft.com/office/drawing/2014/main" id="{9C42F800-07A2-4D68-921D-91ADA4942FE3}"/>
            </a:ext>
          </a:extLst>
        </xdr:cNvPr>
        <xdr:cNvSpPr txBox="1"/>
      </xdr:nvSpPr>
      <xdr:spPr>
        <a:xfrm>
          <a:off x="9324784" y="16420956"/>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8</xdr:col>
      <xdr:colOff>127</xdr:colOff>
      <xdr:row>95</xdr:row>
      <xdr:rowOff>75882</xdr:rowOff>
    </xdr:from>
    <xdr:to>
      <xdr:col>8</xdr:col>
      <xdr:colOff>162052</xdr:colOff>
      <xdr:row>134</xdr:row>
      <xdr:rowOff>0</xdr:rowOff>
    </xdr:to>
    <xdr:sp macro="_xll.PtreeEvent_ObjectClick" textlink="">
      <xdr:nvSpPr>
        <xdr:cNvPr id="207" name="PTObj_DNode_2_51" hidden="1">
          <a:extLst>
            <a:ext uri="{FF2B5EF4-FFF2-40B4-BE49-F238E27FC236}">
              <a16:creationId xmlns:a16="http://schemas.microsoft.com/office/drawing/2014/main" id="{88880FF4-C5BE-4B33-B97F-0D334E8C75A9}"/>
            </a:ext>
          </a:extLst>
        </xdr:cNvPr>
        <xdr:cNvSpPr/>
      </xdr:nvSpPr>
      <xdr:spPr>
        <a:xfrm>
          <a:off x="12049252" y="157826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95</xdr:row>
      <xdr:rowOff>66531</xdr:rowOff>
    </xdr:from>
    <xdr:ext cx="245067" cy="180627"/>
    <xdr:sp macro="_xll.PtreeEvent_ObjectClick" textlink="">
      <xdr:nvSpPr>
        <xdr:cNvPr id="210" name="PTObj_DBranchName_2_51" hidden="1">
          <a:extLst>
            <a:ext uri="{FF2B5EF4-FFF2-40B4-BE49-F238E27FC236}">
              <a16:creationId xmlns:a16="http://schemas.microsoft.com/office/drawing/2014/main" id="{1C6DBC9E-3308-4359-823D-D9199FF24D22}"/>
            </a:ext>
          </a:extLst>
        </xdr:cNvPr>
        <xdr:cNvSpPr txBox="1"/>
      </xdr:nvSpPr>
      <xdr:spPr>
        <a:xfrm>
          <a:off x="10820209" y="157732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93</xdr:row>
      <xdr:rowOff>75882</xdr:rowOff>
    </xdr:from>
    <xdr:to>
      <xdr:col>9</xdr:col>
      <xdr:colOff>162052</xdr:colOff>
      <xdr:row>134</xdr:row>
      <xdr:rowOff>0</xdr:rowOff>
    </xdr:to>
    <xdr:sp macro="_xll.PtreeEvent_ObjectClick" textlink="">
      <xdr:nvSpPr>
        <xdr:cNvPr id="211" name="PTObj_DNode_2_52" hidden="1">
          <a:extLst>
            <a:ext uri="{FF2B5EF4-FFF2-40B4-BE49-F238E27FC236}">
              <a16:creationId xmlns:a16="http://schemas.microsoft.com/office/drawing/2014/main" id="{FFD0B392-DC9A-4ED0-88FE-34CC1E72855A}"/>
            </a:ext>
          </a:extLst>
        </xdr:cNvPr>
        <xdr:cNvSpPr/>
      </xdr:nvSpPr>
      <xdr:spPr>
        <a:xfrm rot="-5400000">
          <a:off x="13544677" y="154587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93</xdr:row>
      <xdr:rowOff>66531</xdr:rowOff>
    </xdr:from>
    <xdr:ext cx="245067" cy="180627"/>
    <xdr:sp macro="_xll.PtreeEvent_ObjectClick" textlink="">
      <xdr:nvSpPr>
        <xdr:cNvPr id="214" name="PTObj_DBranchName_2_52" hidden="1">
          <a:extLst>
            <a:ext uri="{FF2B5EF4-FFF2-40B4-BE49-F238E27FC236}">
              <a16:creationId xmlns:a16="http://schemas.microsoft.com/office/drawing/2014/main" id="{5400FCCE-46F3-473F-9EC8-D92A0F847C82}"/>
            </a:ext>
          </a:extLst>
        </xdr:cNvPr>
        <xdr:cNvSpPr txBox="1"/>
      </xdr:nvSpPr>
      <xdr:spPr>
        <a:xfrm>
          <a:off x="12315634" y="154494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97</xdr:row>
      <xdr:rowOff>75882</xdr:rowOff>
    </xdr:from>
    <xdr:to>
      <xdr:col>9</xdr:col>
      <xdr:colOff>162052</xdr:colOff>
      <xdr:row>134</xdr:row>
      <xdr:rowOff>0</xdr:rowOff>
    </xdr:to>
    <xdr:sp macro="_xll.PtreeEvent_ObjectClick" textlink="">
      <xdr:nvSpPr>
        <xdr:cNvPr id="215" name="PTObj_DNode_2_53" hidden="1">
          <a:extLst>
            <a:ext uri="{FF2B5EF4-FFF2-40B4-BE49-F238E27FC236}">
              <a16:creationId xmlns:a16="http://schemas.microsoft.com/office/drawing/2014/main" id="{3E8C1D0A-F3E5-4F6E-8920-7A692EDD8F65}"/>
            </a:ext>
          </a:extLst>
        </xdr:cNvPr>
        <xdr:cNvSpPr/>
      </xdr:nvSpPr>
      <xdr:spPr>
        <a:xfrm rot="-5400000">
          <a:off x="13544677" y="161064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97</xdr:row>
      <xdr:rowOff>66531</xdr:rowOff>
    </xdr:from>
    <xdr:ext cx="226023" cy="180627"/>
    <xdr:sp macro="_xll.PtreeEvent_ObjectClick" textlink="">
      <xdr:nvSpPr>
        <xdr:cNvPr id="218" name="PTObj_DBranchName_2_53" hidden="1">
          <a:extLst>
            <a:ext uri="{FF2B5EF4-FFF2-40B4-BE49-F238E27FC236}">
              <a16:creationId xmlns:a16="http://schemas.microsoft.com/office/drawing/2014/main" id="{6C41666A-7F7A-4DB3-A9DA-981D6C608A03}"/>
            </a:ext>
          </a:extLst>
        </xdr:cNvPr>
        <xdr:cNvSpPr txBox="1"/>
      </xdr:nvSpPr>
      <xdr:spPr>
        <a:xfrm>
          <a:off x="12315634" y="160971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103</xdr:row>
      <xdr:rowOff>75882</xdr:rowOff>
    </xdr:from>
    <xdr:to>
      <xdr:col>8</xdr:col>
      <xdr:colOff>162052</xdr:colOff>
      <xdr:row>134</xdr:row>
      <xdr:rowOff>0</xdr:rowOff>
    </xdr:to>
    <xdr:sp macro="_xll.PtreeEvent_ObjectClick" textlink="">
      <xdr:nvSpPr>
        <xdr:cNvPr id="219" name="PTObj_DNode_2_54" hidden="1">
          <a:extLst>
            <a:ext uri="{FF2B5EF4-FFF2-40B4-BE49-F238E27FC236}">
              <a16:creationId xmlns:a16="http://schemas.microsoft.com/office/drawing/2014/main" id="{92B102B8-EF69-4245-B3B3-E8D222DAE79E}"/>
            </a:ext>
          </a:extLst>
        </xdr:cNvPr>
        <xdr:cNvSpPr/>
      </xdr:nvSpPr>
      <xdr:spPr>
        <a:xfrm>
          <a:off x="12049252" y="170780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103</xdr:row>
      <xdr:rowOff>66531</xdr:rowOff>
    </xdr:from>
    <xdr:ext cx="407484" cy="180627"/>
    <xdr:sp macro="_xll.PtreeEvent_ObjectClick" textlink="">
      <xdr:nvSpPr>
        <xdr:cNvPr id="222" name="PTObj_DBranchName_2_54" hidden="1">
          <a:extLst>
            <a:ext uri="{FF2B5EF4-FFF2-40B4-BE49-F238E27FC236}">
              <a16:creationId xmlns:a16="http://schemas.microsoft.com/office/drawing/2014/main" id="{542611B3-FCC4-40AD-99BA-068492359CBA}"/>
            </a:ext>
          </a:extLst>
        </xdr:cNvPr>
        <xdr:cNvSpPr txBox="1"/>
      </xdr:nvSpPr>
      <xdr:spPr>
        <a:xfrm>
          <a:off x="10820209" y="17068656"/>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9</xdr:col>
      <xdr:colOff>127</xdr:colOff>
      <xdr:row>101</xdr:row>
      <xdr:rowOff>75882</xdr:rowOff>
    </xdr:from>
    <xdr:to>
      <xdr:col>9</xdr:col>
      <xdr:colOff>162052</xdr:colOff>
      <xdr:row>134</xdr:row>
      <xdr:rowOff>0</xdr:rowOff>
    </xdr:to>
    <xdr:sp macro="_xll.PtreeEvent_ObjectClick" textlink="">
      <xdr:nvSpPr>
        <xdr:cNvPr id="223" name="PTObj_DNode_2_55" hidden="1">
          <a:extLst>
            <a:ext uri="{FF2B5EF4-FFF2-40B4-BE49-F238E27FC236}">
              <a16:creationId xmlns:a16="http://schemas.microsoft.com/office/drawing/2014/main" id="{F5B00A97-9E21-4735-8940-03113E02EA30}"/>
            </a:ext>
          </a:extLst>
        </xdr:cNvPr>
        <xdr:cNvSpPr/>
      </xdr:nvSpPr>
      <xdr:spPr>
        <a:xfrm rot="-5400000">
          <a:off x="13544677" y="167541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101</xdr:row>
      <xdr:rowOff>66531</xdr:rowOff>
    </xdr:from>
    <xdr:ext cx="245067" cy="180627"/>
    <xdr:sp macro="_xll.PtreeEvent_ObjectClick" textlink="">
      <xdr:nvSpPr>
        <xdr:cNvPr id="226" name="PTObj_DBranchName_2_55" hidden="1">
          <a:extLst>
            <a:ext uri="{FF2B5EF4-FFF2-40B4-BE49-F238E27FC236}">
              <a16:creationId xmlns:a16="http://schemas.microsoft.com/office/drawing/2014/main" id="{AFCD537A-419A-48FA-82E4-D31B80EE7183}"/>
            </a:ext>
          </a:extLst>
        </xdr:cNvPr>
        <xdr:cNvSpPr txBox="1"/>
      </xdr:nvSpPr>
      <xdr:spPr>
        <a:xfrm>
          <a:off x="12315634" y="167448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105</xdr:row>
      <xdr:rowOff>75882</xdr:rowOff>
    </xdr:from>
    <xdr:to>
      <xdr:col>9</xdr:col>
      <xdr:colOff>162052</xdr:colOff>
      <xdr:row>134</xdr:row>
      <xdr:rowOff>0</xdr:rowOff>
    </xdr:to>
    <xdr:sp macro="_xll.PtreeEvent_ObjectClick" textlink="">
      <xdr:nvSpPr>
        <xdr:cNvPr id="227" name="PTObj_DNode_2_56" hidden="1">
          <a:extLst>
            <a:ext uri="{FF2B5EF4-FFF2-40B4-BE49-F238E27FC236}">
              <a16:creationId xmlns:a16="http://schemas.microsoft.com/office/drawing/2014/main" id="{3D4C769D-3DE6-4376-BEE3-7742EC7D1680}"/>
            </a:ext>
          </a:extLst>
        </xdr:cNvPr>
        <xdr:cNvSpPr/>
      </xdr:nvSpPr>
      <xdr:spPr>
        <a:xfrm rot="-5400000">
          <a:off x="13544677" y="174018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105</xdr:row>
      <xdr:rowOff>66531</xdr:rowOff>
    </xdr:from>
    <xdr:ext cx="226023" cy="180627"/>
    <xdr:sp macro="_xll.PtreeEvent_ObjectClick" textlink="">
      <xdr:nvSpPr>
        <xdr:cNvPr id="230" name="PTObj_DBranchName_2_56" hidden="1">
          <a:extLst>
            <a:ext uri="{FF2B5EF4-FFF2-40B4-BE49-F238E27FC236}">
              <a16:creationId xmlns:a16="http://schemas.microsoft.com/office/drawing/2014/main" id="{84F83864-41C5-4279-9F0B-8C173F249B09}"/>
            </a:ext>
          </a:extLst>
        </xdr:cNvPr>
        <xdr:cNvSpPr txBox="1"/>
      </xdr:nvSpPr>
      <xdr:spPr>
        <a:xfrm>
          <a:off x="12315634" y="173925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109</xdr:row>
      <xdr:rowOff>75882</xdr:rowOff>
    </xdr:from>
    <xdr:to>
      <xdr:col>8</xdr:col>
      <xdr:colOff>162052</xdr:colOff>
      <xdr:row>134</xdr:row>
      <xdr:rowOff>0</xdr:rowOff>
    </xdr:to>
    <xdr:sp macro="_xll.PtreeEvent_ObjectClick" textlink="">
      <xdr:nvSpPr>
        <xdr:cNvPr id="231" name="PTObj_DNode_2_57" hidden="1">
          <a:extLst>
            <a:ext uri="{FF2B5EF4-FFF2-40B4-BE49-F238E27FC236}">
              <a16:creationId xmlns:a16="http://schemas.microsoft.com/office/drawing/2014/main" id="{189EE7BB-092D-4FA7-AB74-DF8600A8B24E}"/>
            </a:ext>
          </a:extLst>
        </xdr:cNvPr>
        <xdr:cNvSpPr/>
      </xdr:nvSpPr>
      <xdr:spPr>
        <a:xfrm>
          <a:off x="12049252" y="180495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109</xdr:row>
      <xdr:rowOff>66531</xdr:rowOff>
    </xdr:from>
    <xdr:ext cx="226023" cy="180627"/>
    <xdr:sp macro="_xll.PtreeEvent_ObjectClick" textlink="">
      <xdr:nvSpPr>
        <xdr:cNvPr id="234" name="PTObj_DBranchName_2_57" hidden="1">
          <a:extLst>
            <a:ext uri="{FF2B5EF4-FFF2-40B4-BE49-F238E27FC236}">
              <a16:creationId xmlns:a16="http://schemas.microsoft.com/office/drawing/2014/main" id="{DDDCF6A1-BCC2-489D-BD7B-AAC0734329E3}"/>
            </a:ext>
          </a:extLst>
        </xdr:cNvPr>
        <xdr:cNvSpPr txBox="1"/>
      </xdr:nvSpPr>
      <xdr:spPr>
        <a:xfrm>
          <a:off x="10820209" y="180402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9</xdr:col>
      <xdr:colOff>127</xdr:colOff>
      <xdr:row>107</xdr:row>
      <xdr:rowOff>75882</xdr:rowOff>
    </xdr:from>
    <xdr:to>
      <xdr:col>9</xdr:col>
      <xdr:colOff>162052</xdr:colOff>
      <xdr:row>134</xdr:row>
      <xdr:rowOff>0</xdr:rowOff>
    </xdr:to>
    <xdr:sp macro="_xll.PtreeEvent_ObjectClick" textlink="">
      <xdr:nvSpPr>
        <xdr:cNvPr id="235" name="PTObj_DNode_2_58" hidden="1">
          <a:extLst>
            <a:ext uri="{FF2B5EF4-FFF2-40B4-BE49-F238E27FC236}">
              <a16:creationId xmlns:a16="http://schemas.microsoft.com/office/drawing/2014/main" id="{947FDE18-8C16-4BB1-BBFA-DA43B78C4325}"/>
            </a:ext>
          </a:extLst>
        </xdr:cNvPr>
        <xdr:cNvSpPr/>
      </xdr:nvSpPr>
      <xdr:spPr>
        <a:xfrm rot="-5400000">
          <a:off x="13544677" y="177257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107</xdr:row>
      <xdr:rowOff>66531</xdr:rowOff>
    </xdr:from>
    <xdr:ext cx="245067" cy="180627"/>
    <xdr:sp macro="_xll.PtreeEvent_ObjectClick" textlink="">
      <xdr:nvSpPr>
        <xdr:cNvPr id="238" name="PTObj_DBranchName_2_58" hidden="1">
          <a:extLst>
            <a:ext uri="{FF2B5EF4-FFF2-40B4-BE49-F238E27FC236}">
              <a16:creationId xmlns:a16="http://schemas.microsoft.com/office/drawing/2014/main" id="{7B01997F-E4C1-4EEE-AFD1-A9B0F4EA7148}"/>
            </a:ext>
          </a:extLst>
        </xdr:cNvPr>
        <xdr:cNvSpPr txBox="1"/>
      </xdr:nvSpPr>
      <xdr:spPr>
        <a:xfrm>
          <a:off x="12315634" y="177163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111</xdr:row>
      <xdr:rowOff>75882</xdr:rowOff>
    </xdr:from>
    <xdr:to>
      <xdr:col>9</xdr:col>
      <xdr:colOff>162052</xdr:colOff>
      <xdr:row>134</xdr:row>
      <xdr:rowOff>0</xdr:rowOff>
    </xdr:to>
    <xdr:sp macro="_xll.PtreeEvent_ObjectClick" textlink="">
      <xdr:nvSpPr>
        <xdr:cNvPr id="239" name="PTObj_DNode_2_59" hidden="1">
          <a:extLst>
            <a:ext uri="{FF2B5EF4-FFF2-40B4-BE49-F238E27FC236}">
              <a16:creationId xmlns:a16="http://schemas.microsoft.com/office/drawing/2014/main" id="{C68850B3-A7EE-4ECE-A097-D57C5AA591B9}"/>
            </a:ext>
          </a:extLst>
        </xdr:cNvPr>
        <xdr:cNvSpPr/>
      </xdr:nvSpPr>
      <xdr:spPr>
        <a:xfrm rot="-5400000">
          <a:off x="13544677" y="183734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111</xdr:row>
      <xdr:rowOff>66531</xdr:rowOff>
    </xdr:from>
    <xdr:ext cx="226023" cy="180627"/>
    <xdr:sp macro="_xll.PtreeEvent_ObjectClick" textlink="">
      <xdr:nvSpPr>
        <xdr:cNvPr id="242" name="PTObj_DBranchName_2_59" hidden="1">
          <a:extLst>
            <a:ext uri="{FF2B5EF4-FFF2-40B4-BE49-F238E27FC236}">
              <a16:creationId xmlns:a16="http://schemas.microsoft.com/office/drawing/2014/main" id="{43BB414E-E1EE-477F-A575-0E5C84C0073C}"/>
            </a:ext>
          </a:extLst>
        </xdr:cNvPr>
        <xdr:cNvSpPr txBox="1"/>
      </xdr:nvSpPr>
      <xdr:spPr>
        <a:xfrm>
          <a:off x="12315634" y="183640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7</xdr:col>
      <xdr:colOff>127</xdr:colOff>
      <xdr:row>119</xdr:row>
      <xdr:rowOff>75882</xdr:rowOff>
    </xdr:from>
    <xdr:to>
      <xdr:col>7</xdr:col>
      <xdr:colOff>162052</xdr:colOff>
      <xdr:row>134</xdr:row>
      <xdr:rowOff>0</xdr:rowOff>
    </xdr:to>
    <xdr:sp macro="_xll.PtreeEvent_ObjectClick" textlink="">
      <xdr:nvSpPr>
        <xdr:cNvPr id="243" name="PTObj_DNode_2_60" hidden="1">
          <a:extLst>
            <a:ext uri="{FF2B5EF4-FFF2-40B4-BE49-F238E27FC236}">
              <a16:creationId xmlns:a16="http://schemas.microsoft.com/office/drawing/2014/main" id="{FD133D63-AA3B-49ED-9CC3-6137D2CD2D20}"/>
            </a:ext>
          </a:extLst>
        </xdr:cNvPr>
        <xdr:cNvSpPr/>
      </xdr:nvSpPr>
      <xdr:spPr>
        <a:xfrm>
          <a:off x="10553827" y="196688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6</xdr:col>
      <xdr:colOff>266509</xdr:colOff>
      <xdr:row>119</xdr:row>
      <xdr:rowOff>66531</xdr:rowOff>
    </xdr:from>
    <xdr:ext cx="226023" cy="180627"/>
    <xdr:sp macro="_xll.PtreeEvent_ObjectClick" textlink="">
      <xdr:nvSpPr>
        <xdr:cNvPr id="246" name="PTObj_DBranchName_2_60" hidden="1">
          <a:extLst>
            <a:ext uri="{FF2B5EF4-FFF2-40B4-BE49-F238E27FC236}">
              <a16:creationId xmlns:a16="http://schemas.microsoft.com/office/drawing/2014/main" id="{19F31F7A-7BD1-4A82-802D-3CC1F67A7206}"/>
            </a:ext>
          </a:extLst>
        </xdr:cNvPr>
        <xdr:cNvSpPr txBox="1"/>
      </xdr:nvSpPr>
      <xdr:spPr>
        <a:xfrm>
          <a:off x="9324784" y="196594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115</xdr:row>
      <xdr:rowOff>75882</xdr:rowOff>
    </xdr:from>
    <xdr:to>
      <xdr:col>8</xdr:col>
      <xdr:colOff>162052</xdr:colOff>
      <xdr:row>134</xdr:row>
      <xdr:rowOff>0</xdr:rowOff>
    </xdr:to>
    <xdr:sp macro="_xll.PtreeEvent_ObjectClick" textlink="">
      <xdr:nvSpPr>
        <xdr:cNvPr id="247" name="PTObj_DNode_2_61" hidden="1">
          <a:extLst>
            <a:ext uri="{FF2B5EF4-FFF2-40B4-BE49-F238E27FC236}">
              <a16:creationId xmlns:a16="http://schemas.microsoft.com/office/drawing/2014/main" id="{C896B442-DBBB-4528-B325-92500311D992}"/>
            </a:ext>
          </a:extLst>
        </xdr:cNvPr>
        <xdr:cNvSpPr/>
      </xdr:nvSpPr>
      <xdr:spPr>
        <a:xfrm>
          <a:off x="12049252" y="190211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115</xdr:row>
      <xdr:rowOff>66531</xdr:rowOff>
    </xdr:from>
    <xdr:ext cx="245067" cy="180627"/>
    <xdr:sp macro="_xll.PtreeEvent_ObjectClick" textlink="">
      <xdr:nvSpPr>
        <xdr:cNvPr id="250" name="PTObj_DBranchName_2_61" hidden="1">
          <a:extLst>
            <a:ext uri="{FF2B5EF4-FFF2-40B4-BE49-F238E27FC236}">
              <a16:creationId xmlns:a16="http://schemas.microsoft.com/office/drawing/2014/main" id="{C013130E-1DC9-46DE-8BE6-F1BE16964033}"/>
            </a:ext>
          </a:extLst>
        </xdr:cNvPr>
        <xdr:cNvSpPr txBox="1"/>
      </xdr:nvSpPr>
      <xdr:spPr>
        <a:xfrm>
          <a:off x="10820209" y="190117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113</xdr:row>
      <xdr:rowOff>75882</xdr:rowOff>
    </xdr:from>
    <xdr:to>
      <xdr:col>9</xdr:col>
      <xdr:colOff>162052</xdr:colOff>
      <xdr:row>134</xdr:row>
      <xdr:rowOff>0</xdr:rowOff>
    </xdr:to>
    <xdr:sp macro="_xll.PtreeEvent_ObjectClick" textlink="">
      <xdr:nvSpPr>
        <xdr:cNvPr id="251" name="PTObj_DNode_2_62" hidden="1">
          <a:extLst>
            <a:ext uri="{FF2B5EF4-FFF2-40B4-BE49-F238E27FC236}">
              <a16:creationId xmlns:a16="http://schemas.microsoft.com/office/drawing/2014/main" id="{A41A69F5-4EAD-438B-AB80-458D5178C847}"/>
            </a:ext>
          </a:extLst>
        </xdr:cNvPr>
        <xdr:cNvSpPr/>
      </xdr:nvSpPr>
      <xdr:spPr>
        <a:xfrm rot="-5400000">
          <a:off x="13544677" y="186972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113</xdr:row>
      <xdr:rowOff>66531</xdr:rowOff>
    </xdr:from>
    <xdr:ext cx="245067" cy="180627"/>
    <xdr:sp macro="_xll.PtreeEvent_ObjectClick" textlink="">
      <xdr:nvSpPr>
        <xdr:cNvPr id="254" name="PTObj_DBranchName_2_62" hidden="1">
          <a:extLst>
            <a:ext uri="{FF2B5EF4-FFF2-40B4-BE49-F238E27FC236}">
              <a16:creationId xmlns:a16="http://schemas.microsoft.com/office/drawing/2014/main" id="{F0BE673B-1B8A-42C9-84A4-A1737B37BED2}"/>
            </a:ext>
          </a:extLst>
        </xdr:cNvPr>
        <xdr:cNvSpPr txBox="1"/>
      </xdr:nvSpPr>
      <xdr:spPr>
        <a:xfrm>
          <a:off x="12315634" y="186879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117</xdr:row>
      <xdr:rowOff>75882</xdr:rowOff>
    </xdr:from>
    <xdr:to>
      <xdr:col>9</xdr:col>
      <xdr:colOff>162052</xdr:colOff>
      <xdr:row>134</xdr:row>
      <xdr:rowOff>0</xdr:rowOff>
    </xdr:to>
    <xdr:sp macro="_xll.PtreeEvent_ObjectClick" textlink="">
      <xdr:nvSpPr>
        <xdr:cNvPr id="255" name="PTObj_DNode_2_63" hidden="1">
          <a:extLst>
            <a:ext uri="{FF2B5EF4-FFF2-40B4-BE49-F238E27FC236}">
              <a16:creationId xmlns:a16="http://schemas.microsoft.com/office/drawing/2014/main" id="{88264586-B043-4E2D-8246-4F8CD7E6C95E}"/>
            </a:ext>
          </a:extLst>
        </xdr:cNvPr>
        <xdr:cNvSpPr/>
      </xdr:nvSpPr>
      <xdr:spPr>
        <a:xfrm rot="-5400000">
          <a:off x="13544677" y="193449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117</xdr:row>
      <xdr:rowOff>66531</xdr:rowOff>
    </xdr:from>
    <xdr:ext cx="226023" cy="180627"/>
    <xdr:sp macro="_xll.PtreeEvent_ObjectClick" textlink="">
      <xdr:nvSpPr>
        <xdr:cNvPr id="258" name="PTObj_DBranchName_2_63" hidden="1">
          <a:extLst>
            <a:ext uri="{FF2B5EF4-FFF2-40B4-BE49-F238E27FC236}">
              <a16:creationId xmlns:a16="http://schemas.microsoft.com/office/drawing/2014/main" id="{E94F4C4F-9112-45D2-8BE4-9423FB826B5C}"/>
            </a:ext>
          </a:extLst>
        </xdr:cNvPr>
        <xdr:cNvSpPr txBox="1"/>
      </xdr:nvSpPr>
      <xdr:spPr>
        <a:xfrm>
          <a:off x="12315634" y="193356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123</xdr:row>
      <xdr:rowOff>75882</xdr:rowOff>
    </xdr:from>
    <xdr:to>
      <xdr:col>8</xdr:col>
      <xdr:colOff>162052</xdr:colOff>
      <xdr:row>134</xdr:row>
      <xdr:rowOff>0</xdr:rowOff>
    </xdr:to>
    <xdr:sp macro="_xll.PtreeEvent_ObjectClick" textlink="">
      <xdr:nvSpPr>
        <xdr:cNvPr id="259" name="PTObj_DNode_2_64" hidden="1">
          <a:extLst>
            <a:ext uri="{FF2B5EF4-FFF2-40B4-BE49-F238E27FC236}">
              <a16:creationId xmlns:a16="http://schemas.microsoft.com/office/drawing/2014/main" id="{EE2851A2-2948-4105-8318-C5172F1F2274}"/>
            </a:ext>
          </a:extLst>
        </xdr:cNvPr>
        <xdr:cNvSpPr/>
      </xdr:nvSpPr>
      <xdr:spPr>
        <a:xfrm>
          <a:off x="12049252" y="203165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123</xdr:row>
      <xdr:rowOff>66531</xdr:rowOff>
    </xdr:from>
    <xdr:ext cx="407484" cy="180627"/>
    <xdr:sp macro="_xll.PtreeEvent_ObjectClick" textlink="">
      <xdr:nvSpPr>
        <xdr:cNvPr id="262" name="PTObj_DBranchName_2_64" hidden="1">
          <a:extLst>
            <a:ext uri="{FF2B5EF4-FFF2-40B4-BE49-F238E27FC236}">
              <a16:creationId xmlns:a16="http://schemas.microsoft.com/office/drawing/2014/main" id="{27C4A60E-6DD8-49FD-A554-D7030B112CEC}"/>
            </a:ext>
          </a:extLst>
        </xdr:cNvPr>
        <xdr:cNvSpPr txBox="1"/>
      </xdr:nvSpPr>
      <xdr:spPr>
        <a:xfrm>
          <a:off x="10820209" y="20307156"/>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9</xdr:col>
      <xdr:colOff>127</xdr:colOff>
      <xdr:row>121</xdr:row>
      <xdr:rowOff>75882</xdr:rowOff>
    </xdr:from>
    <xdr:to>
      <xdr:col>9</xdr:col>
      <xdr:colOff>162052</xdr:colOff>
      <xdr:row>134</xdr:row>
      <xdr:rowOff>0</xdr:rowOff>
    </xdr:to>
    <xdr:sp macro="_xll.PtreeEvent_ObjectClick" textlink="">
      <xdr:nvSpPr>
        <xdr:cNvPr id="263" name="PTObj_DNode_2_65" hidden="1">
          <a:extLst>
            <a:ext uri="{FF2B5EF4-FFF2-40B4-BE49-F238E27FC236}">
              <a16:creationId xmlns:a16="http://schemas.microsoft.com/office/drawing/2014/main" id="{9FC7E785-DAE8-494A-B1EB-A45F14C9A493}"/>
            </a:ext>
          </a:extLst>
        </xdr:cNvPr>
        <xdr:cNvSpPr/>
      </xdr:nvSpPr>
      <xdr:spPr>
        <a:xfrm rot="-5400000">
          <a:off x="13544677" y="199926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121</xdr:row>
      <xdr:rowOff>66531</xdr:rowOff>
    </xdr:from>
    <xdr:ext cx="245067" cy="180627"/>
    <xdr:sp macro="_xll.PtreeEvent_ObjectClick" textlink="">
      <xdr:nvSpPr>
        <xdr:cNvPr id="266" name="PTObj_DBranchName_2_65" hidden="1">
          <a:extLst>
            <a:ext uri="{FF2B5EF4-FFF2-40B4-BE49-F238E27FC236}">
              <a16:creationId xmlns:a16="http://schemas.microsoft.com/office/drawing/2014/main" id="{CBECE98A-304C-4E9F-AAB1-69BAB9D63813}"/>
            </a:ext>
          </a:extLst>
        </xdr:cNvPr>
        <xdr:cNvSpPr txBox="1"/>
      </xdr:nvSpPr>
      <xdr:spPr>
        <a:xfrm>
          <a:off x="12315634" y="199833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125</xdr:row>
      <xdr:rowOff>75882</xdr:rowOff>
    </xdr:from>
    <xdr:to>
      <xdr:col>9</xdr:col>
      <xdr:colOff>162052</xdr:colOff>
      <xdr:row>134</xdr:row>
      <xdr:rowOff>0</xdr:rowOff>
    </xdr:to>
    <xdr:sp macro="_xll.PtreeEvent_ObjectClick" textlink="">
      <xdr:nvSpPr>
        <xdr:cNvPr id="267" name="PTObj_DNode_2_66" hidden="1">
          <a:extLst>
            <a:ext uri="{FF2B5EF4-FFF2-40B4-BE49-F238E27FC236}">
              <a16:creationId xmlns:a16="http://schemas.microsoft.com/office/drawing/2014/main" id="{F8832E6C-6C60-484E-B990-695805AB9B7B}"/>
            </a:ext>
          </a:extLst>
        </xdr:cNvPr>
        <xdr:cNvSpPr/>
      </xdr:nvSpPr>
      <xdr:spPr>
        <a:xfrm rot="-5400000">
          <a:off x="13544677" y="206403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125</xdr:row>
      <xdr:rowOff>66531</xdr:rowOff>
    </xdr:from>
    <xdr:ext cx="226023" cy="180627"/>
    <xdr:sp macro="_xll.PtreeEvent_ObjectClick" textlink="">
      <xdr:nvSpPr>
        <xdr:cNvPr id="270" name="PTObj_DBranchName_2_66" hidden="1">
          <a:extLst>
            <a:ext uri="{FF2B5EF4-FFF2-40B4-BE49-F238E27FC236}">
              <a16:creationId xmlns:a16="http://schemas.microsoft.com/office/drawing/2014/main" id="{91FD5C4B-EC31-425B-81C5-C676998A9850}"/>
            </a:ext>
          </a:extLst>
        </xdr:cNvPr>
        <xdr:cNvSpPr txBox="1"/>
      </xdr:nvSpPr>
      <xdr:spPr>
        <a:xfrm>
          <a:off x="12315634" y="206310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129</xdr:row>
      <xdr:rowOff>75882</xdr:rowOff>
    </xdr:from>
    <xdr:to>
      <xdr:col>8</xdr:col>
      <xdr:colOff>162052</xdr:colOff>
      <xdr:row>134</xdr:row>
      <xdr:rowOff>0</xdr:rowOff>
    </xdr:to>
    <xdr:sp macro="_xll.PtreeEvent_ObjectClick" textlink="">
      <xdr:nvSpPr>
        <xdr:cNvPr id="271" name="PTObj_DNode_2_67" hidden="1">
          <a:extLst>
            <a:ext uri="{FF2B5EF4-FFF2-40B4-BE49-F238E27FC236}">
              <a16:creationId xmlns:a16="http://schemas.microsoft.com/office/drawing/2014/main" id="{B323ECE9-D1B9-4251-A065-62B654D134C5}"/>
            </a:ext>
          </a:extLst>
        </xdr:cNvPr>
        <xdr:cNvSpPr/>
      </xdr:nvSpPr>
      <xdr:spPr>
        <a:xfrm>
          <a:off x="12049252" y="2128805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129</xdr:row>
      <xdr:rowOff>66531</xdr:rowOff>
    </xdr:from>
    <xdr:ext cx="226023" cy="180627"/>
    <xdr:sp macro="_xll.PtreeEvent_ObjectClick" textlink="">
      <xdr:nvSpPr>
        <xdr:cNvPr id="274" name="PTObj_DBranchName_2_67" hidden="1">
          <a:extLst>
            <a:ext uri="{FF2B5EF4-FFF2-40B4-BE49-F238E27FC236}">
              <a16:creationId xmlns:a16="http://schemas.microsoft.com/office/drawing/2014/main" id="{C8197EFE-E13A-44AF-93E6-71B68FC2FE21}"/>
            </a:ext>
          </a:extLst>
        </xdr:cNvPr>
        <xdr:cNvSpPr txBox="1"/>
      </xdr:nvSpPr>
      <xdr:spPr>
        <a:xfrm>
          <a:off x="10820209" y="212787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9</xdr:col>
      <xdr:colOff>127</xdr:colOff>
      <xdr:row>127</xdr:row>
      <xdr:rowOff>75882</xdr:rowOff>
    </xdr:from>
    <xdr:to>
      <xdr:col>9</xdr:col>
      <xdr:colOff>162052</xdr:colOff>
      <xdr:row>134</xdr:row>
      <xdr:rowOff>0</xdr:rowOff>
    </xdr:to>
    <xdr:sp macro="_xll.PtreeEvent_ObjectClick" textlink="">
      <xdr:nvSpPr>
        <xdr:cNvPr id="275" name="PTObj_DNode_2_68" hidden="1">
          <a:extLst>
            <a:ext uri="{FF2B5EF4-FFF2-40B4-BE49-F238E27FC236}">
              <a16:creationId xmlns:a16="http://schemas.microsoft.com/office/drawing/2014/main" id="{FFF02C70-4E88-48A5-A645-AB41AE1FE060}"/>
            </a:ext>
          </a:extLst>
        </xdr:cNvPr>
        <xdr:cNvSpPr/>
      </xdr:nvSpPr>
      <xdr:spPr>
        <a:xfrm rot="-5400000">
          <a:off x="13544677" y="209642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127</xdr:row>
      <xdr:rowOff>66531</xdr:rowOff>
    </xdr:from>
    <xdr:ext cx="245067" cy="180627"/>
    <xdr:sp macro="_xll.PtreeEvent_ObjectClick" textlink="">
      <xdr:nvSpPr>
        <xdr:cNvPr id="278" name="PTObj_DBranchName_2_68" hidden="1">
          <a:extLst>
            <a:ext uri="{FF2B5EF4-FFF2-40B4-BE49-F238E27FC236}">
              <a16:creationId xmlns:a16="http://schemas.microsoft.com/office/drawing/2014/main" id="{B74E572C-D27C-4E9A-AEC6-4DE465C83A9C}"/>
            </a:ext>
          </a:extLst>
        </xdr:cNvPr>
        <xdr:cNvSpPr txBox="1"/>
      </xdr:nvSpPr>
      <xdr:spPr>
        <a:xfrm>
          <a:off x="12315634" y="209548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131</xdr:row>
      <xdr:rowOff>75882</xdr:rowOff>
    </xdr:from>
    <xdr:to>
      <xdr:col>9</xdr:col>
      <xdr:colOff>162052</xdr:colOff>
      <xdr:row>134</xdr:row>
      <xdr:rowOff>0</xdr:rowOff>
    </xdr:to>
    <xdr:sp macro="_xll.PtreeEvent_ObjectClick" textlink="">
      <xdr:nvSpPr>
        <xdr:cNvPr id="279" name="PTObj_DNode_2_69" hidden="1">
          <a:extLst>
            <a:ext uri="{FF2B5EF4-FFF2-40B4-BE49-F238E27FC236}">
              <a16:creationId xmlns:a16="http://schemas.microsoft.com/office/drawing/2014/main" id="{030E17F6-2F5B-45AB-96AE-CED0C0B97422}"/>
            </a:ext>
          </a:extLst>
        </xdr:cNvPr>
        <xdr:cNvSpPr/>
      </xdr:nvSpPr>
      <xdr:spPr>
        <a:xfrm rot="-5400000">
          <a:off x="13544677" y="2161190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131</xdr:row>
      <xdr:rowOff>66531</xdr:rowOff>
    </xdr:from>
    <xdr:ext cx="226023" cy="180627"/>
    <xdr:sp macro="_xll.PtreeEvent_ObjectClick" textlink="">
      <xdr:nvSpPr>
        <xdr:cNvPr id="282" name="PTObj_DBranchName_2_69" hidden="1">
          <a:extLst>
            <a:ext uri="{FF2B5EF4-FFF2-40B4-BE49-F238E27FC236}">
              <a16:creationId xmlns:a16="http://schemas.microsoft.com/office/drawing/2014/main" id="{075EC89C-BE1A-4F87-AB59-CF8E6175FC39}"/>
            </a:ext>
          </a:extLst>
        </xdr:cNvPr>
        <xdr:cNvSpPr txBox="1"/>
      </xdr:nvSpPr>
      <xdr:spPr>
        <a:xfrm>
          <a:off x="12315634" y="2160255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3</xdr:col>
      <xdr:colOff>127</xdr:colOff>
      <xdr:row>209</xdr:row>
      <xdr:rowOff>75884</xdr:rowOff>
    </xdr:from>
    <xdr:to>
      <xdr:col>3</xdr:col>
      <xdr:colOff>162052</xdr:colOff>
      <xdr:row>210</xdr:row>
      <xdr:rowOff>75884</xdr:rowOff>
    </xdr:to>
    <xdr:sp macro="_xll.PtreeEvent_ObjectClick" textlink="">
      <xdr:nvSpPr>
        <xdr:cNvPr id="295" name="PTObj_DNode_2_73">
          <a:extLst>
            <a:ext uri="{FF2B5EF4-FFF2-40B4-BE49-F238E27FC236}">
              <a16:creationId xmlns:a16="http://schemas.microsoft.com/office/drawing/2014/main" id="{66F868BF-A318-469D-8B0D-2CEDEB283541}"/>
            </a:ext>
          </a:extLst>
        </xdr:cNvPr>
        <xdr:cNvSpPr/>
      </xdr:nvSpPr>
      <xdr:spPr>
        <a:xfrm>
          <a:off x="4572127" y="4557680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266509</xdr:colOff>
      <xdr:row>209</xdr:row>
      <xdr:rowOff>66532</xdr:rowOff>
    </xdr:from>
    <xdr:ext cx="226023" cy="180627"/>
    <xdr:sp macro="_xll.PtreeEvent_ObjectClick" textlink="">
      <xdr:nvSpPr>
        <xdr:cNvPr id="298" name="PTObj_DBranchName_2_73">
          <a:extLst>
            <a:ext uri="{FF2B5EF4-FFF2-40B4-BE49-F238E27FC236}">
              <a16:creationId xmlns:a16="http://schemas.microsoft.com/office/drawing/2014/main" id="{C7A95D19-DA42-4D3C-BEFC-CC6881124930}"/>
            </a:ext>
          </a:extLst>
        </xdr:cNvPr>
        <xdr:cNvSpPr txBox="1"/>
      </xdr:nvSpPr>
      <xdr:spPr>
        <a:xfrm>
          <a:off x="3343084" y="455674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Low</a:t>
          </a:r>
        </a:p>
      </xdr:txBody>
    </xdr:sp>
    <xdr:clientData/>
  </xdr:oneCellAnchor>
  <xdr:twoCellAnchor editAs="oneCell">
    <xdr:from>
      <xdr:col>4</xdr:col>
      <xdr:colOff>127</xdr:colOff>
      <xdr:row>203</xdr:row>
      <xdr:rowOff>75884</xdr:rowOff>
    </xdr:from>
    <xdr:to>
      <xdr:col>4</xdr:col>
      <xdr:colOff>162052</xdr:colOff>
      <xdr:row>204</xdr:row>
      <xdr:rowOff>75884</xdr:rowOff>
    </xdr:to>
    <xdr:sp macro="_xll.PtreeEvent_ObjectClick" textlink="">
      <xdr:nvSpPr>
        <xdr:cNvPr id="299" name="PTObj_DNode_2_74">
          <a:extLst>
            <a:ext uri="{FF2B5EF4-FFF2-40B4-BE49-F238E27FC236}">
              <a16:creationId xmlns:a16="http://schemas.microsoft.com/office/drawing/2014/main" id="{E2BDC60F-A66D-4A58-B912-A3FDAEB3B0D3}"/>
            </a:ext>
          </a:extLst>
        </xdr:cNvPr>
        <xdr:cNvSpPr/>
      </xdr:nvSpPr>
      <xdr:spPr>
        <a:xfrm>
          <a:off x="6067552" y="345659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266510</xdr:colOff>
      <xdr:row>203</xdr:row>
      <xdr:rowOff>66532</xdr:rowOff>
    </xdr:from>
    <xdr:ext cx="196592" cy="180627"/>
    <xdr:sp macro="_xll.PtreeEvent_ObjectClick" textlink="">
      <xdr:nvSpPr>
        <xdr:cNvPr id="302" name="PTObj_DBranchName_2_74">
          <a:extLst>
            <a:ext uri="{FF2B5EF4-FFF2-40B4-BE49-F238E27FC236}">
              <a16:creationId xmlns:a16="http://schemas.microsoft.com/office/drawing/2014/main" id="{63E710F6-5C14-45CA-BEC6-AC6305AA07B6}"/>
            </a:ext>
          </a:extLst>
        </xdr:cNvPr>
        <xdr:cNvSpPr txBox="1"/>
      </xdr:nvSpPr>
      <xdr:spPr>
        <a:xfrm>
          <a:off x="4838510" y="3455655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Yes</a:t>
          </a:r>
        </a:p>
      </xdr:txBody>
    </xdr:sp>
    <xdr:clientData/>
  </xdr:oneCellAnchor>
  <xdr:twoCellAnchor editAs="oneCell">
    <xdr:from>
      <xdr:col>5</xdr:col>
      <xdr:colOff>127</xdr:colOff>
      <xdr:row>201</xdr:row>
      <xdr:rowOff>75884</xdr:rowOff>
    </xdr:from>
    <xdr:to>
      <xdr:col>5</xdr:col>
      <xdr:colOff>162052</xdr:colOff>
      <xdr:row>202</xdr:row>
      <xdr:rowOff>75884</xdr:rowOff>
    </xdr:to>
    <xdr:sp macro="_xll.PtreeEvent_ObjectClick" textlink="">
      <xdr:nvSpPr>
        <xdr:cNvPr id="303" name="PTObj_DNode_2_75">
          <a:extLst>
            <a:ext uri="{FF2B5EF4-FFF2-40B4-BE49-F238E27FC236}">
              <a16:creationId xmlns:a16="http://schemas.microsoft.com/office/drawing/2014/main" id="{0DA6ECF5-11DD-4F8F-B826-7C98676B1239}"/>
            </a:ext>
          </a:extLst>
        </xdr:cNvPr>
        <xdr:cNvSpPr/>
      </xdr:nvSpPr>
      <xdr:spPr>
        <a:xfrm>
          <a:off x="7562977" y="3391820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266510</xdr:colOff>
      <xdr:row>201</xdr:row>
      <xdr:rowOff>66532</xdr:rowOff>
    </xdr:from>
    <xdr:ext cx="329001" cy="180627"/>
    <xdr:sp macro="_xll.PtreeEvent_ObjectClick" textlink="">
      <xdr:nvSpPr>
        <xdr:cNvPr id="306" name="PTObj_DBranchName_2_75">
          <a:extLst>
            <a:ext uri="{FF2B5EF4-FFF2-40B4-BE49-F238E27FC236}">
              <a16:creationId xmlns:a16="http://schemas.microsoft.com/office/drawing/2014/main" id="{79A3EF65-86DD-45E7-802B-F2A62D9085D0}"/>
            </a:ext>
          </a:extLst>
        </xdr:cNvPr>
        <xdr:cNvSpPr txBox="1"/>
      </xdr:nvSpPr>
      <xdr:spPr>
        <a:xfrm>
          <a:off x="6333935" y="33908857"/>
          <a:ext cx="32900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Passes</a:t>
          </a:r>
        </a:p>
      </xdr:txBody>
    </xdr:sp>
    <xdr:clientData/>
  </xdr:oneCellAnchor>
  <xdr:twoCellAnchor editAs="oneCell">
    <xdr:from>
      <xdr:col>6</xdr:col>
      <xdr:colOff>127</xdr:colOff>
      <xdr:row>159</xdr:row>
      <xdr:rowOff>75884</xdr:rowOff>
    </xdr:from>
    <xdr:to>
      <xdr:col>6</xdr:col>
      <xdr:colOff>162052</xdr:colOff>
      <xdr:row>160</xdr:row>
      <xdr:rowOff>75884</xdr:rowOff>
    </xdr:to>
    <xdr:sp macro="_xll.PtreeEvent_ObjectClick" textlink="">
      <xdr:nvSpPr>
        <xdr:cNvPr id="307" name="PTObj_DNode_2_76">
          <a:extLst>
            <a:ext uri="{FF2B5EF4-FFF2-40B4-BE49-F238E27FC236}">
              <a16:creationId xmlns:a16="http://schemas.microsoft.com/office/drawing/2014/main" id="{44F72E0F-5D63-4ABD-B9AD-62D82247A55A}"/>
            </a:ext>
          </a:extLst>
        </xdr:cNvPr>
        <xdr:cNvSpPr/>
      </xdr:nvSpPr>
      <xdr:spPr>
        <a:xfrm>
          <a:off x="9058402" y="271173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5</xdr:col>
      <xdr:colOff>266509</xdr:colOff>
      <xdr:row>159</xdr:row>
      <xdr:rowOff>66532</xdr:rowOff>
    </xdr:from>
    <xdr:ext cx="196592" cy="180627"/>
    <xdr:sp macro="_xll.PtreeEvent_ObjectClick" textlink="">
      <xdr:nvSpPr>
        <xdr:cNvPr id="310" name="PTObj_DBranchName_2_76">
          <a:extLst>
            <a:ext uri="{FF2B5EF4-FFF2-40B4-BE49-F238E27FC236}">
              <a16:creationId xmlns:a16="http://schemas.microsoft.com/office/drawing/2014/main" id="{7CD3B9CE-8313-444D-839D-790CC9FAE942}"/>
            </a:ext>
          </a:extLst>
        </xdr:cNvPr>
        <xdr:cNvSpPr txBox="1"/>
      </xdr:nvSpPr>
      <xdr:spPr>
        <a:xfrm>
          <a:off x="7829359" y="27108007"/>
          <a:ext cx="19659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Yes</a:t>
          </a:r>
        </a:p>
      </xdr:txBody>
    </xdr:sp>
    <xdr:clientData/>
  </xdr:oneCellAnchor>
  <xdr:twoCellAnchor editAs="oneCell">
    <xdr:from>
      <xdr:col>7</xdr:col>
      <xdr:colOff>127</xdr:colOff>
      <xdr:row>145</xdr:row>
      <xdr:rowOff>75882</xdr:rowOff>
    </xdr:from>
    <xdr:to>
      <xdr:col>7</xdr:col>
      <xdr:colOff>162052</xdr:colOff>
      <xdr:row>160</xdr:row>
      <xdr:rowOff>0</xdr:rowOff>
    </xdr:to>
    <xdr:sp macro="_xll.PtreeEvent_ObjectClick" textlink="">
      <xdr:nvSpPr>
        <xdr:cNvPr id="311" name="PTObj_DNode_2_77" hidden="1">
          <a:extLst>
            <a:ext uri="{FF2B5EF4-FFF2-40B4-BE49-F238E27FC236}">
              <a16:creationId xmlns:a16="http://schemas.microsoft.com/office/drawing/2014/main" id="{64D1A689-44F6-4B8D-B0DF-B0948C981512}"/>
            </a:ext>
          </a:extLst>
        </xdr:cNvPr>
        <xdr:cNvSpPr/>
      </xdr:nvSpPr>
      <xdr:spPr>
        <a:xfrm>
          <a:off x="10553827" y="248504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6</xdr:col>
      <xdr:colOff>266509</xdr:colOff>
      <xdr:row>145</xdr:row>
      <xdr:rowOff>66531</xdr:rowOff>
    </xdr:from>
    <xdr:ext cx="245067" cy="180627"/>
    <xdr:sp macro="_xll.PtreeEvent_ObjectClick" textlink="">
      <xdr:nvSpPr>
        <xdr:cNvPr id="314" name="PTObj_DBranchName_2_77" hidden="1">
          <a:extLst>
            <a:ext uri="{FF2B5EF4-FFF2-40B4-BE49-F238E27FC236}">
              <a16:creationId xmlns:a16="http://schemas.microsoft.com/office/drawing/2014/main" id="{EF689153-DB7E-4C8B-BC7F-7640C4704A96}"/>
            </a:ext>
          </a:extLst>
        </xdr:cNvPr>
        <xdr:cNvSpPr txBox="1"/>
      </xdr:nvSpPr>
      <xdr:spPr>
        <a:xfrm>
          <a:off x="9324784" y="248410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8</xdr:col>
      <xdr:colOff>127</xdr:colOff>
      <xdr:row>141</xdr:row>
      <xdr:rowOff>75882</xdr:rowOff>
    </xdr:from>
    <xdr:to>
      <xdr:col>8</xdr:col>
      <xdr:colOff>162052</xdr:colOff>
      <xdr:row>160</xdr:row>
      <xdr:rowOff>0</xdr:rowOff>
    </xdr:to>
    <xdr:sp macro="_xll.PtreeEvent_ObjectClick" textlink="">
      <xdr:nvSpPr>
        <xdr:cNvPr id="315" name="PTObj_DNode_2_78" hidden="1">
          <a:extLst>
            <a:ext uri="{FF2B5EF4-FFF2-40B4-BE49-F238E27FC236}">
              <a16:creationId xmlns:a16="http://schemas.microsoft.com/office/drawing/2014/main" id="{F497742C-0282-4164-9350-D76D37B4D669}"/>
            </a:ext>
          </a:extLst>
        </xdr:cNvPr>
        <xdr:cNvSpPr/>
      </xdr:nvSpPr>
      <xdr:spPr>
        <a:xfrm>
          <a:off x="12049252" y="242027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141</xdr:row>
      <xdr:rowOff>66531</xdr:rowOff>
    </xdr:from>
    <xdr:ext cx="245067" cy="180627"/>
    <xdr:sp macro="_xll.PtreeEvent_ObjectClick" textlink="">
      <xdr:nvSpPr>
        <xdr:cNvPr id="318" name="PTObj_DBranchName_2_78" hidden="1">
          <a:extLst>
            <a:ext uri="{FF2B5EF4-FFF2-40B4-BE49-F238E27FC236}">
              <a16:creationId xmlns:a16="http://schemas.microsoft.com/office/drawing/2014/main" id="{1840628F-B8B4-49A7-AF4E-76FD7A2998D3}"/>
            </a:ext>
          </a:extLst>
        </xdr:cNvPr>
        <xdr:cNvSpPr txBox="1"/>
      </xdr:nvSpPr>
      <xdr:spPr>
        <a:xfrm>
          <a:off x="10820209" y="2419335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139</xdr:row>
      <xdr:rowOff>75882</xdr:rowOff>
    </xdr:from>
    <xdr:to>
      <xdr:col>9</xdr:col>
      <xdr:colOff>162052</xdr:colOff>
      <xdr:row>160</xdr:row>
      <xdr:rowOff>0</xdr:rowOff>
    </xdr:to>
    <xdr:sp macro="_xll.PtreeEvent_ObjectClick" textlink="">
      <xdr:nvSpPr>
        <xdr:cNvPr id="319" name="PTObj_DNode_2_79" hidden="1">
          <a:extLst>
            <a:ext uri="{FF2B5EF4-FFF2-40B4-BE49-F238E27FC236}">
              <a16:creationId xmlns:a16="http://schemas.microsoft.com/office/drawing/2014/main" id="{092B899C-2342-4A4F-B8FD-22B614F4365A}"/>
            </a:ext>
          </a:extLst>
        </xdr:cNvPr>
        <xdr:cNvSpPr/>
      </xdr:nvSpPr>
      <xdr:spPr>
        <a:xfrm rot="-5400000">
          <a:off x="13544677" y="238788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139</xdr:row>
      <xdr:rowOff>66531</xdr:rowOff>
    </xdr:from>
    <xdr:ext cx="245067" cy="180627"/>
    <xdr:sp macro="_xll.PtreeEvent_ObjectClick" textlink="">
      <xdr:nvSpPr>
        <xdr:cNvPr id="322" name="PTObj_DBranchName_2_79" hidden="1">
          <a:extLst>
            <a:ext uri="{FF2B5EF4-FFF2-40B4-BE49-F238E27FC236}">
              <a16:creationId xmlns:a16="http://schemas.microsoft.com/office/drawing/2014/main" id="{2571FFA8-908A-4EBA-AEA5-303329AD966E}"/>
            </a:ext>
          </a:extLst>
        </xdr:cNvPr>
        <xdr:cNvSpPr txBox="1"/>
      </xdr:nvSpPr>
      <xdr:spPr>
        <a:xfrm>
          <a:off x="12315634" y="238695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143</xdr:row>
      <xdr:rowOff>75882</xdr:rowOff>
    </xdr:from>
    <xdr:to>
      <xdr:col>9</xdr:col>
      <xdr:colOff>162052</xdr:colOff>
      <xdr:row>160</xdr:row>
      <xdr:rowOff>0</xdr:rowOff>
    </xdr:to>
    <xdr:sp macro="_xll.PtreeEvent_ObjectClick" textlink="">
      <xdr:nvSpPr>
        <xdr:cNvPr id="323" name="PTObj_DNode_2_80" hidden="1">
          <a:extLst>
            <a:ext uri="{FF2B5EF4-FFF2-40B4-BE49-F238E27FC236}">
              <a16:creationId xmlns:a16="http://schemas.microsoft.com/office/drawing/2014/main" id="{3AD8C662-9064-4194-B664-08CAFA10424F}"/>
            </a:ext>
          </a:extLst>
        </xdr:cNvPr>
        <xdr:cNvSpPr/>
      </xdr:nvSpPr>
      <xdr:spPr>
        <a:xfrm rot="-5400000">
          <a:off x="13544677" y="245265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143</xdr:row>
      <xdr:rowOff>66531</xdr:rowOff>
    </xdr:from>
    <xdr:ext cx="226023" cy="180627"/>
    <xdr:sp macro="_xll.PtreeEvent_ObjectClick" textlink="">
      <xdr:nvSpPr>
        <xdr:cNvPr id="326" name="PTObj_DBranchName_2_80" hidden="1">
          <a:extLst>
            <a:ext uri="{FF2B5EF4-FFF2-40B4-BE49-F238E27FC236}">
              <a16:creationId xmlns:a16="http://schemas.microsoft.com/office/drawing/2014/main" id="{690DB45B-F40E-4AA6-A2FA-C69ABE2CE251}"/>
            </a:ext>
          </a:extLst>
        </xdr:cNvPr>
        <xdr:cNvSpPr txBox="1"/>
      </xdr:nvSpPr>
      <xdr:spPr>
        <a:xfrm>
          <a:off x="12315634" y="245172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149</xdr:row>
      <xdr:rowOff>75882</xdr:rowOff>
    </xdr:from>
    <xdr:to>
      <xdr:col>8</xdr:col>
      <xdr:colOff>162052</xdr:colOff>
      <xdr:row>160</xdr:row>
      <xdr:rowOff>0</xdr:rowOff>
    </xdr:to>
    <xdr:sp macro="_xll.PtreeEvent_ObjectClick" textlink="">
      <xdr:nvSpPr>
        <xdr:cNvPr id="327" name="PTObj_DNode_2_81" hidden="1">
          <a:extLst>
            <a:ext uri="{FF2B5EF4-FFF2-40B4-BE49-F238E27FC236}">
              <a16:creationId xmlns:a16="http://schemas.microsoft.com/office/drawing/2014/main" id="{B44015DA-3907-48C0-8547-03692857388A}"/>
            </a:ext>
          </a:extLst>
        </xdr:cNvPr>
        <xdr:cNvSpPr/>
      </xdr:nvSpPr>
      <xdr:spPr>
        <a:xfrm>
          <a:off x="12049252" y="25498107"/>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149</xdr:row>
      <xdr:rowOff>66531</xdr:rowOff>
    </xdr:from>
    <xdr:ext cx="407484" cy="180627"/>
    <xdr:sp macro="_xll.PtreeEvent_ObjectClick" textlink="">
      <xdr:nvSpPr>
        <xdr:cNvPr id="330" name="PTObj_DBranchName_2_81" hidden="1">
          <a:extLst>
            <a:ext uri="{FF2B5EF4-FFF2-40B4-BE49-F238E27FC236}">
              <a16:creationId xmlns:a16="http://schemas.microsoft.com/office/drawing/2014/main" id="{3B0A4CAC-2228-4D2D-9186-E03FDDDE985E}"/>
            </a:ext>
          </a:extLst>
        </xdr:cNvPr>
        <xdr:cNvSpPr txBox="1"/>
      </xdr:nvSpPr>
      <xdr:spPr>
        <a:xfrm>
          <a:off x="10820209" y="25488756"/>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9</xdr:col>
      <xdr:colOff>127</xdr:colOff>
      <xdr:row>147</xdr:row>
      <xdr:rowOff>75882</xdr:rowOff>
    </xdr:from>
    <xdr:to>
      <xdr:col>9</xdr:col>
      <xdr:colOff>162052</xdr:colOff>
      <xdr:row>160</xdr:row>
      <xdr:rowOff>0</xdr:rowOff>
    </xdr:to>
    <xdr:sp macro="_xll.PtreeEvent_ObjectClick" textlink="">
      <xdr:nvSpPr>
        <xdr:cNvPr id="331" name="PTObj_DNode_2_82" hidden="1">
          <a:extLst>
            <a:ext uri="{FF2B5EF4-FFF2-40B4-BE49-F238E27FC236}">
              <a16:creationId xmlns:a16="http://schemas.microsoft.com/office/drawing/2014/main" id="{CAFB6EAE-67C5-4DF7-8E45-907DAD0501D4}"/>
            </a:ext>
          </a:extLst>
        </xdr:cNvPr>
        <xdr:cNvSpPr/>
      </xdr:nvSpPr>
      <xdr:spPr>
        <a:xfrm rot="-5400000">
          <a:off x="13544677" y="251742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147</xdr:row>
      <xdr:rowOff>66531</xdr:rowOff>
    </xdr:from>
    <xdr:ext cx="245067" cy="180627"/>
    <xdr:sp macro="_xll.PtreeEvent_ObjectClick" textlink="">
      <xdr:nvSpPr>
        <xdr:cNvPr id="334" name="PTObj_DBranchName_2_82" hidden="1">
          <a:extLst>
            <a:ext uri="{FF2B5EF4-FFF2-40B4-BE49-F238E27FC236}">
              <a16:creationId xmlns:a16="http://schemas.microsoft.com/office/drawing/2014/main" id="{C8ADAB8A-A335-4B49-A949-212D92123D7E}"/>
            </a:ext>
          </a:extLst>
        </xdr:cNvPr>
        <xdr:cNvSpPr txBox="1"/>
      </xdr:nvSpPr>
      <xdr:spPr>
        <a:xfrm>
          <a:off x="12315634" y="25164906"/>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151</xdr:row>
      <xdr:rowOff>75882</xdr:rowOff>
    </xdr:from>
    <xdr:to>
      <xdr:col>9</xdr:col>
      <xdr:colOff>162052</xdr:colOff>
      <xdr:row>160</xdr:row>
      <xdr:rowOff>0</xdr:rowOff>
    </xdr:to>
    <xdr:sp macro="_xll.PtreeEvent_ObjectClick" textlink="">
      <xdr:nvSpPr>
        <xdr:cNvPr id="335" name="PTObj_DNode_2_83" hidden="1">
          <a:extLst>
            <a:ext uri="{FF2B5EF4-FFF2-40B4-BE49-F238E27FC236}">
              <a16:creationId xmlns:a16="http://schemas.microsoft.com/office/drawing/2014/main" id="{B4BCF0F6-7946-4AD1-B2E3-3D25C6FD65B8}"/>
            </a:ext>
          </a:extLst>
        </xdr:cNvPr>
        <xdr:cNvSpPr/>
      </xdr:nvSpPr>
      <xdr:spPr>
        <a:xfrm rot="-5400000">
          <a:off x="13544677" y="25821957"/>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151</xdr:row>
      <xdr:rowOff>66531</xdr:rowOff>
    </xdr:from>
    <xdr:ext cx="226023" cy="180627"/>
    <xdr:sp macro="_xll.PtreeEvent_ObjectClick" textlink="">
      <xdr:nvSpPr>
        <xdr:cNvPr id="338" name="PTObj_DBranchName_2_83" hidden="1">
          <a:extLst>
            <a:ext uri="{FF2B5EF4-FFF2-40B4-BE49-F238E27FC236}">
              <a16:creationId xmlns:a16="http://schemas.microsoft.com/office/drawing/2014/main" id="{4F77E23D-620A-4A21-92C4-71ACE642181C}"/>
            </a:ext>
          </a:extLst>
        </xdr:cNvPr>
        <xdr:cNvSpPr txBox="1"/>
      </xdr:nvSpPr>
      <xdr:spPr>
        <a:xfrm>
          <a:off x="12315634" y="25812606"/>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155</xdr:row>
      <xdr:rowOff>75884</xdr:rowOff>
    </xdr:from>
    <xdr:to>
      <xdr:col>8</xdr:col>
      <xdr:colOff>162052</xdr:colOff>
      <xdr:row>160</xdr:row>
      <xdr:rowOff>0</xdr:rowOff>
    </xdr:to>
    <xdr:sp macro="_xll.PtreeEvent_ObjectClick" textlink="">
      <xdr:nvSpPr>
        <xdr:cNvPr id="339" name="PTObj_DNode_2_84" hidden="1">
          <a:extLst>
            <a:ext uri="{FF2B5EF4-FFF2-40B4-BE49-F238E27FC236}">
              <a16:creationId xmlns:a16="http://schemas.microsoft.com/office/drawing/2014/main" id="{E369B192-F6AC-4399-A4A8-E9BD63066FE2}"/>
            </a:ext>
          </a:extLst>
        </xdr:cNvPr>
        <xdr:cNvSpPr/>
      </xdr:nvSpPr>
      <xdr:spPr>
        <a:xfrm>
          <a:off x="12049252" y="264696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155</xdr:row>
      <xdr:rowOff>66532</xdr:rowOff>
    </xdr:from>
    <xdr:ext cx="226023" cy="180627"/>
    <xdr:sp macro="_xll.PtreeEvent_ObjectClick" textlink="">
      <xdr:nvSpPr>
        <xdr:cNvPr id="342" name="PTObj_DBranchName_2_84" hidden="1">
          <a:extLst>
            <a:ext uri="{FF2B5EF4-FFF2-40B4-BE49-F238E27FC236}">
              <a16:creationId xmlns:a16="http://schemas.microsoft.com/office/drawing/2014/main" id="{B16D1524-44F4-42F5-A9F3-1B9DB9F8F193}"/>
            </a:ext>
          </a:extLst>
        </xdr:cNvPr>
        <xdr:cNvSpPr txBox="1"/>
      </xdr:nvSpPr>
      <xdr:spPr>
        <a:xfrm>
          <a:off x="10820209" y="264603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9</xdr:col>
      <xdr:colOff>127</xdr:colOff>
      <xdr:row>153</xdr:row>
      <xdr:rowOff>75884</xdr:rowOff>
    </xdr:from>
    <xdr:to>
      <xdr:col>9</xdr:col>
      <xdr:colOff>162052</xdr:colOff>
      <xdr:row>160</xdr:row>
      <xdr:rowOff>0</xdr:rowOff>
    </xdr:to>
    <xdr:sp macro="_xll.PtreeEvent_ObjectClick" textlink="">
      <xdr:nvSpPr>
        <xdr:cNvPr id="343" name="PTObj_DNode_2_85" hidden="1">
          <a:extLst>
            <a:ext uri="{FF2B5EF4-FFF2-40B4-BE49-F238E27FC236}">
              <a16:creationId xmlns:a16="http://schemas.microsoft.com/office/drawing/2014/main" id="{BF26BBB1-9304-400C-85B7-180DEBCE3D09}"/>
            </a:ext>
          </a:extLst>
        </xdr:cNvPr>
        <xdr:cNvSpPr/>
      </xdr:nvSpPr>
      <xdr:spPr>
        <a:xfrm rot="-5400000">
          <a:off x="13544677" y="261458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153</xdr:row>
      <xdr:rowOff>66532</xdr:rowOff>
    </xdr:from>
    <xdr:ext cx="245067" cy="180627"/>
    <xdr:sp macro="_xll.PtreeEvent_ObjectClick" textlink="">
      <xdr:nvSpPr>
        <xdr:cNvPr id="346" name="PTObj_DBranchName_2_85" hidden="1">
          <a:extLst>
            <a:ext uri="{FF2B5EF4-FFF2-40B4-BE49-F238E27FC236}">
              <a16:creationId xmlns:a16="http://schemas.microsoft.com/office/drawing/2014/main" id="{779D398C-1C9B-435F-BCD2-BB26F1E5AFBC}"/>
            </a:ext>
          </a:extLst>
        </xdr:cNvPr>
        <xdr:cNvSpPr txBox="1"/>
      </xdr:nvSpPr>
      <xdr:spPr>
        <a:xfrm>
          <a:off x="12315634" y="261364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157</xdr:row>
      <xdr:rowOff>75884</xdr:rowOff>
    </xdr:from>
    <xdr:to>
      <xdr:col>9</xdr:col>
      <xdr:colOff>162052</xdr:colOff>
      <xdr:row>160</xdr:row>
      <xdr:rowOff>0</xdr:rowOff>
    </xdr:to>
    <xdr:sp macro="_xll.PtreeEvent_ObjectClick" textlink="">
      <xdr:nvSpPr>
        <xdr:cNvPr id="347" name="PTObj_DNode_2_86" hidden="1">
          <a:extLst>
            <a:ext uri="{FF2B5EF4-FFF2-40B4-BE49-F238E27FC236}">
              <a16:creationId xmlns:a16="http://schemas.microsoft.com/office/drawing/2014/main" id="{CB7D8DE6-B465-4CCE-831E-E02C1508692B}"/>
            </a:ext>
          </a:extLst>
        </xdr:cNvPr>
        <xdr:cNvSpPr/>
      </xdr:nvSpPr>
      <xdr:spPr>
        <a:xfrm rot="-5400000">
          <a:off x="13544677" y="267935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157</xdr:row>
      <xdr:rowOff>66532</xdr:rowOff>
    </xdr:from>
    <xdr:ext cx="226023" cy="180627"/>
    <xdr:sp macro="_xll.PtreeEvent_ObjectClick" textlink="">
      <xdr:nvSpPr>
        <xdr:cNvPr id="350" name="PTObj_DBranchName_2_86" hidden="1">
          <a:extLst>
            <a:ext uri="{FF2B5EF4-FFF2-40B4-BE49-F238E27FC236}">
              <a16:creationId xmlns:a16="http://schemas.microsoft.com/office/drawing/2014/main" id="{6C4B4F1D-53F7-45A7-A375-9BC0E6FCEA0B}"/>
            </a:ext>
          </a:extLst>
        </xdr:cNvPr>
        <xdr:cNvSpPr txBox="1"/>
      </xdr:nvSpPr>
      <xdr:spPr>
        <a:xfrm>
          <a:off x="12315634" y="267841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7</xdr:col>
      <xdr:colOff>127</xdr:colOff>
      <xdr:row>167</xdr:row>
      <xdr:rowOff>75884</xdr:rowOff>
    </xdr:from>
    <xdr:to>
      <xdr:col>7</xdr:col>
      <xdr:colOff>162052</xdr:colOff>
      <xdr:row>202</xdr:row>
      <xdr:rowOff>0</xdr:rowOff>
    </xdr:to>
    <xdr:sp macro="_xll.PtreeEvent_ObjectClick" textlink="">
      <xdr:nvSpPr>
        <xdr:cNvPr id="351" name="PTObj_DNode_2_87" hidden="1">
          <a:extLst>
            <a:ext uri="{FF2B5EF4-FFF2-40B4-BE49-F238E27FC236}">
              <a16:creationId xmlns:a16="http://schemas.microsoft.com/office/drawing/2014/main" id="{1FF08732-CEFC-43A0-8DA3-3A235004A269}"/>
            </a:ext>
          </a:extLst>
        </xdr:cNvPr>
        <xdr:cNvSpPr/>
      </xdr:nvSpPr>
      <xdr:spPr>
        <a:xfrm>
          <a:off x="10553827" y="284127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6</xdr:col>
      <xdr:colOff>266509</xdr:colOff>
      <xdr:row>167</xdr:row>
      <xdr:rowOff>66532</xdr:rowOff>
    </xdr:from>
    <xdr:ext cx="407484" cy="180627"/>
    <xdr:sp macro="_xll.PtreeEvent_ObjectClick" textlink="">
      <xdr:nvSpPr>
        <xdr:cNvPr id="354" name="PTObj_DBranchName_2_87" hidden="1">
          <a:extLst>
            <a:ext uri="{FF2B5EF4-FFF2-40B4-BE49-F238E27FC236}">
              <a16:creationId xmlns:a16="http://schemas.microsoft.com/office/drawing/2014/main" id="{7C0B9117-DC3E-4B8C-9E5D-AD30E28873EE}"/>
            </a:ext>
          </a:extLst>
        </xdr:cNvPr>
        <xdr:cNvSpPr txBox="1"/>
      </xdr:nvSpPr>
      <xdr:spPr>
        <a:xfrm>
          <a:off x="9324784" y="284034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8</xdr:col>
      <xdr:colOff>127</xdr:colOff>
      <xdr:row>163</xdr:row>
      <xdr:rowOff>75884</xdr:rowOff>
    </xdr:from>
    <xdr:to>
      <xdr:col>8</xdr:col>
      <xdr:colOff>162052</xdr:colOff>
      <xdr:row>202</xdr:row>
      <xdr:rowOff>0</xdr:rowOff>
    </xdr:to>
    <xdr:sp macro="_xll.PtreeEvent_ObjectClick" textlink="">
      <xdr:nvSpPr>
        <xdr:cNvPr id="355" name="PTObj_DNode_2_88" hidden="1">
          <a:extLst>
            <a:ext uri="{FF2B5EF4-FFF2-40B4-BE49-F238E27FC236}">
              <a16:creationId xmlns:a16="http://schemas.microsoft.com/office/drawing/2014/main" id="{9063A521-B271-4833-A181-8DCBEF847E6D}"/>
            </a:ext>
          </a:extLst>
        </xdr:cNvPr>
        <xdr:cNvSpPr/>
      </xdr:nvSpPr>
      <xdr:spPr>
        <a:xfrm>
          <a:off x="12049252" y="277650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163</xdr:row>
      <xdr:rowOff>66532</xdr:rowOff>
    </xdr:from>
    <xdr:ext cx="245067" cy="180627"/>
    <xdr:sp macro="_xll.PtreeEvent_ObjectClick" textlink="">
      <xdr:nvSpPr>
        <xdr:cNvPr id="358" name="PTObj_DBranchName_2_88" hidden="1">
          <a:extLst>
            <a:ext uri="{FF2B5EF4-FFF2-40B4-BE49-F238E27FC236}">
              <a16:creationId xmlns:a16="http://schemas.microsoft.com/office/drawing/2014/main" id="{CB179DC1-5E13-4B13-9A43-CE87499CA37F}"/>
            </a:ext>
          </a:extLst>
        </xdr:cNvPr>
        <xdr:cNvSpPr txBox="1"/>
      </xdr:nvSpPr>
      <xdr:spPr>
        <a:xfrm>
          <a:off x="10820209" y="277557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161</xdr:row>
      <xdr:rowOff>75884</xdr:rowOff>
    </xdr:from>
    <xdr:to>
      <xdr:col>9</xdr:col>
      <xdr:colOff>162052</xdr:colOff>
      <xdr:row>202</xdr:row>
      <xdr:rowOff>0</xdr:rowOff>
    </xdr:to>
    <xdr:sp macro="_xll.PtreeEvent_ObjectClick" textlink="">
      <xdr:nvSpPr>
        <xdr:cNvPr id="359" name="PTObj_DNode_2_89" hidden="1">
          <a:extLst>
            <a:ext uri="{FF2B5EF4-FFF2-40B4-BE49-F238E27FC236}">
              <a16:creationId xmlns:a16="http://schemas.microsoft.com/office/drawing/2014/main" id="{5F83411C-23FE-4A7E-A2F5-FAC53617A983}"/>
            </a:ext>
          </a:extLst>
        </xdr:cNvPr>
        <xdr:cNvSpPr/>
      </xdr:nvSpPr>
      <xdr:spPr>
        <a:xfrm rot="-5400000">
          <a:off x="13544677" y="274412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161</xdr:row>
      <xdr:rowOff>66532</xdr:rowOff>
    </xdr:from>
    <xdr:ext cx="245067" cy="180627"/>
    <xdr:sp macro="_xll.PtreeEvent_ObjectClick" textlink="">
      <xdr:nvSpPr>
        <xdr:cNvPr id="362" name="PTObj_DBranchName_2_89" hidden="1">
          <a:extLst>
            <a:ext uri="{FF2B5EF4-FFF2-40B4-BE49-F238E27FC236}">
              <a16:creationId xmlns:a16="http://schemas.microsoft.com/office/drawing/2014/main" id="{17268F06-32D7-439F-A133-2A2D3AE19C5D}"/>
            </a:ext>
          </a:extLst>
        </xdr:cNvPr>
        <xdr:cNvSpPr txBox="1"/>
      </xdr:nvSpPr>
      <xdr:spPr>
        <a:xfrm>
          <a:off x="12315634" y="274318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165</xdr:row>
      <xdr:rowOff>75884</xdr:rowOff>
    </xdr:from>
    <xdr:to>
      <xdr:col>9</xdr:col>
      <xdr:colOff>162052</xdr:colOff>
      <xdr:row>202</xdr:row>
      <xdr:rowOff>0</xdr:rowOff>
    </xdr:to>
    <xdr:sp macro="_xll.PtreeEvent_ObjectClick" textlink="">
      <xdr:nvSpPr>
        <xdr:cNvPr id="363" name="PTObj_DNode_2_90" hidden="1">
          <a:extLst>
            <a:ext uri="{FF2B5EF4-FFF2-40B4-BE49-F238E27FC236}">
              <a16:creationId xmlns:a16="http://schemas.microsoft.com/office/drawing/2014/main" id="{11BE3A0C-2B19-4685-8266-CD8A8412E7B0}"/>
            </a:ext>
          </a:extLst>
        </xdr:cNvPr>
        <xdr:cNvSpPr/>
      </xdr:nvSpPr>
      <xdr:spPr>
        <a:xfrm rot="-5400000">
          <a:off x="13544677" y="280889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165</xdr:row>
      <xdr:rowOff>66532</xdr:rowOff>
    </xdr:from>
    <xdr:ext cx="226023" cy="180627"/>
    <xdr:sp macro="_xll.PtreeEvent_ObjectClick" textlink="">
      <xdr:nvSpPr>
        <xdr:cNvPr id="366" name="PTObj_DBranchName_2_90" hidden="1">
          <a:extLst>
            <a:ext uri="{FF2B5EF4-FFF2-40B4-BE49-F238E27FC236}">
              <a16:creationId xmlns:a16="http://schemas.microsoft.com/office/drawing/2014/main" id="{C0CECBEE-58E5-4AB5-96A9-191CFC296DDE}"/>
            </a:ext>
          </a:extLst>
        </xdr:cNvPr>
        <xdr:cNvSpPr txBox="1"/>
      </xdr:nvSpPr>
      <xdr:spPr>
        <a:xfrm>
          <a:off x="12315634" y="280795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171</xdr:row>
      <xdr:rowOff>75884</xdr:rowOff>
    </xdr:from>
    <xdr:to>
      <xdr:col>8</xdr:col>
      <xdr:colOff>162052</xdr:colOff>
      <xdr:row>202</xdr:row>
      <xdr:rowOff>0</xdr:rowOff>
    </xdr:to>
    <xdr:sp macro="_xll.PtreeEvent_ObjectClick" textlink="">
      <xdr:nvSpPr>
        <xdr:cNvPr id="367" name="PTObj_DNode_2_91" hidden="1">
          <a:extLst>
            <a:ext uri="{FF2B5EF4-FFF2-40B4-BE49-F238E27FC236}">
              <a16:creationId xmlns:a16="http://schemas.microsoft.com/office/drawing/2014/main" id="{24E40BF9-B74A-4023-ACAE-BEA927BFECEE}"/>
            </a:ext>
          </a:extLst>
        </xdr:cNvPr>
        <xdr:cNvSpPr/>
      </xdr:nvSpPr>
      <xdr:spPr>
        <a:xfrm>
          <a:off x="12049252" y="290604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171</xdr:row>
      <xdr:rowOff>66532</xdr:rowOff>
    </xdr:from>
    <xdr:ext cx="407484" cy="180627"/>
    <xdr:sp macro="_xll.PtreeEvent_ObjectClick" textlink="">
      <xdr:nvSpPr>
        <xdr:cNvPr id="370" name="PTObj_DBranchName_2_91" hidden="1">
          <a:extLst>
            <a:ext uri="{FF2B5EF4-FFF2-40B4-BE49-F238E27FC236}">
              <a16:creationId xmlns:a16="http://schemas.microsoft.com/office/drawing/2014/main" id="{A228C821-167F-4260-B53F-C90ECA3EFCF3}"/>
            </a:ext>
          </a:extLst>
        </xdr:cNvPr>
        <xdr:cNvSpPr txBox="1"/>
      </xdr:nvSpPr>
      <xdr:spPr>
        <a:xfrm>
          <a:off x="10820209" y="290511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9</xdr:col>
      <xdr:colOff>127</xdr:colOff>
      <xdr:row>169</xdr:row>
      <xdr:rowOff>75884</xdr:rowOff>
    </xdr:from>
    <xdr:to>
      <xdr:col>9</xdr:col>
      <xdr:colOff>162052</xdr:colOff>
      <xdr:row>202</xdr:row>
      <xdr:rowOff>0</xdr:rowOff>
    </xdr:to>
    <xdr:sp macro="_xll.PtreeEvent_ObjectClick" textlink="">
      <xdr:nvSpPr>
        <xdr:cNvPr id="371" name="PTObj_DNode_2_92" hidden="1">
          <a:extLst>
            <a:ext uri="{FF2B5EF4-FFF2-40B4-BE49-F238E27FC236}">
              <a16:creationId xmlns:a16="http://schemas.microsoft.com/office/drawing/2014/main" id="{249FF913-AB46-4A96-B311-702392202EEA}"/>
            </a:ext>
          </a:extLst>
        </xdr:cNvPr>
        <xdr:cNvSpPr/>
      </xdr:nvSpPr>
      <xdr:spPr>
        <a:xfrm rot="-5400000">
          <a:off x="13544677" y="287366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169</xdr:row>
      <xdr:rowOff>66532</xdr:rowOff>
    </xdr:from>
    <xdr:ext cx="245067" cy="180627"/>
    <xdr:sp macro="_xll.PtreeEvent_ObjectClick" textlink="">
      <xdr:nvSpPr>
        <xdr:cNvPr id="374" name="PTObj_DBranchName_2_92" hidden="1">
          <a:extLst>
            <a:ext uri="{FF2B5EF4-FFF2-40B4-BE49-F238E27FC236}">
              <a16:creationId xmlns:a16="http://schemas.microsoft.com/office/drawing/2014/main" id="{4341B46E-7B7A-4A0D-A4C6-DA0A9C33379C}"/>
            </a:ext>
          </a:extLst>
        </xdr:cNvPr>
        <xdr:cNvSpPr txBox="1"/>
      </xdr:nvSpPr>
      <xdr:spPr>
        <a:xfrm>
          <a:off x="12315634" y="287272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173</xdr:row>
      <xdr:rowOff>75884</xdr:rowOff>
    </xdr:from>
    <xdr:to>
      <xdr:col>9</xdr:col>
      <xdr:colOff>162052</xdr:colOff>
      <xdr:row>202</xdr:row>
      <xdr:rowOff>0</xdr:rowOff>
    </xdr:to>
    <xdr:sp macro="_xll.PtreeEvent_ObjectClick" textlink="">
      <xdr:nvSpPr>
        <xdr:cNvPr id="375" name="PTObj_DNode_2_93" hidden="1">
          <a:extLst>
            <a:ext uri="{FF2B5EF4-FFF2-40B4-BE49-F238E27FC236}">
              <a16:creationId xmlns:a16="http://schemas.microsoft.com/office/drawing/2014/main" id="{07BE140F-89C6-4835-A3B5-30C3B4C9CEE5}"/>
            </a:ext>
          </a:extLst>
        </xdr:cNvPr>
        <xdr:cNvSpPr/>
      </xdr:nvSpPr>
      <xdr:spPr>
        <a:xfrm rot="-5400000">
          <a:off x="13544677" y="293843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173</xdr:row>
      <xdr:rowOff>66532</xdr:rowOff>
    </xdr:from>
    <xdr:ext cx="226023" cy="180627"/>
    <xdr:sp macro="_xll.PtreeEvent_ObjectClick" textlink="">
      <xdr:nvSpPr>
        <xdr:cNvPr id="378" name="PTObj_DBranchName_2_93" hidden="1">
          <a:extLst>
            <a:ext uri="{FF2B5EF4-FFF2-40B4-BE49-F238E27FC236}">
              <a16:creationId xmlns:a16="http://schemas.microsoft.com/office/drawing/2014/main" id="{6FBDC287-C671-4DED-83EA-BB5F6E4A1DB8}"/>
            </a:ext>
          </a:extLst>
        </xdr:cNvPr>
        <xdr:cNvSpPr txBox="1"/>
      </xdr:nvSpPr>
      <xdr:spPr>
        <a:xfrm>
          <a:off x="12315634" y="293749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177</xdr:row>
      <xdr:rowOff>75884</xdr:rowOff>
    </xdr:from>
    <xdr:to>
      <xdr:col>8</xdr:col>
      <xdr:colOff>162052</xdr:colOff>
      <xdr:row>202</xdr:row>
      <xdr:rowOff>0</xdr:rowOff>
    </xdr:to>
    <xdr:sp macro="_xll.PtreeEvent_ObjectClick" textlink="">
      <xdr:nvSpPr>
        <xdr:cNvPr id="379" name="PTObj_DNode_2_94" hidden="1">
          <a:extLst>
            <a:ext uri="{FF2B5EF4-FFF2-40B4-BE49-F238E27FC236}">
              <a16:creationId xmlns:a16="http://schemas.microsoft.com/office/drawing/2014/main" id="{9AE81655-965B-4418-85F3-5829B53603E1}"/>
            </a:ext>
          </a:extLst>
        </xdr:cNvPr>
        <xdr:cNvSpPr/>
      </xdr:nvSpPr>
      <xdr:spPr>
        <a:xfrm>
          <a:off x="12049252" y="300320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177</xdr:row>
      <xdr:rowOff>66532</xdr:rowOff>
    </xdr:from>
    <xdr:ext cx="226023" cy="180627"/>
    <xdr:sp macro="_xll.PtreeEvent_ObjectClick" textlink="">
      <xdr:nvSpPr>
        <xdr:cNvPr id="382" name="PTObj_DBranchName_2_94" hidden="1">
          <a:extLst>
            <a:ext uri="{FF2B5EF4-FFF2-40B4-BE49-F238E27FC236}">
              <a16:creationId xmlns:a16="http://schemas.microsoft.com/office/drawing/2014/main" id="{B1396367-C3F0-4E00-B35D-EEAB3508529A}"/>
            </a:ext>
          </a:extLst>
        </xdr:cNvPr>
        <xdr:cNvSpPr txBox="1"/>
      </xdr:nvSpPr>
      <xdr:spPr>
        <a:xfrm>
          <a:off x="10820209" y="300226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9</xdr:col>
      <xdr:colOff>127</xdr:colOff>
      <xdr:row>175</xdr:row>
      <xdr:rowOff>75884</xdr:rowOff>
    </xdr:from>
    <xdr:to>
      <xdr:col>9</xdr:col>
      <xdr:colOff>162052</xdr:colOff>
      <xdr:row>202</xdr:row>
      <xdr:rowOff>0</xdr:rowOff>
    </xdr:to>
    <xdr:sp macro="_xll.PtreeEvent_ObjectClick" textlink="">
      <xdr:nvSpPr>
        <xdr:cNvPr id="383" name="PTObj_DNode_2_95" hidden="1">
          <a:extLst>
            <a:ext uri="{FF2B5EF4-FFF2-40B4-BE49-F238E27FC236}">
              <a16:creationId xmlns:a16="http://schemas.microsoft.com/office/drawing/2014/main" id="{59EC7314-DE02-4B9F-8165-FAFB827BEB96}"/>
            </a:ext>
          </a:extLst>
        </xdr:cNvPr>
        <xdr:cNvSpPr/>
      </xdr:nvSpPr>
      <xdr:spPr>
        <a:xfrm rot="-5400000">
          <a:off x="13544677" y="297081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175</xdr:row>
      <xdr:rowOff>66532</xdr:rowOff>
    </xdr:from>
    <xdr:ext cx="245067" cy="180627"/>
    <xdr:sp macro="_xll.PtreeEvent_ObjectClick" textlink="">
      <xdr:nvSpPr>
        <xdr:cNvPr id="386" name="PTObj_DBranchName_2_95" hidden="1">
          <a:extLst>
            <a:ext uri="{FF2B5EF4-FFF2-40B4-BE49-F238E27FC236}">
              <a16:creationId xmlns:a16="http://schemas.microsoft.com/office/drawing/2014/main" id="{5C5210C4-44F2-4791-B42C-EBB311EED3C9}"/>
            </a:ext>
          </a:extLst>
        </xdr:cNvPr>
        <xdr:cNvSpPr txBox="1"/>
      </xdr:nvSpPr>
      <xdr:spPr>
        <a:xfrm>
          <a:off x="12315634" y="296988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179</xdr:row>
      <xdr:rowOff>75884</xdr:rowOff>
    </xdr:from>
    <xdr:to>
      <xdr:col>9</xdr:col>
      <xdr:colOff>162052</xdr:colOff>
      <xdr:row>202</xdr:row>
      <xdr:rowOff>0</xdr:rowOff>
    </xdr:to>
    <xdr:sp macro="_xll.PtreeEvent_ObjectClick" textlink="">
      <xdr:nvSpPr>
        <xdr:cNvPr id="387" name="PTObj_DNode_2_96" hidden="1">
          <a:extLst>
            <a:ext uri="{FF2B5EF4-FFF2-40B4-BE49-F238E27FC236}">
              <a16:creationId xmlns:a16="http://schemas.microsoft.com/office/drawing/2014/main" id="{D37FD4D3-2AD1-4FF8-9142-454E23605B57}"/>
            </a:ext>
          </a:extLst>
        </xdr:cNvPr>
        <xdr:cNvSpPr/>
      </xdr:nvSpPr>
      <xdr:spPr>
        <a:xfrm rot="-5400000">
          <a:off x="13544677" y="303558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179</xdr:row>
      <xdr:rowOff>66532</xdr:rowOff>
    </xdr:from>
    <xdr:ext cx="226023" cy="180627"/>
    <xdr:sp macro="_xll.PtreeEvent_ObjectClick" textlink="">
      <xdr:nvSpPr>
        <xdr:cNvPr id="390" name="PTObj_DBranchName_2_96" hidden="1">
          <a:extLst>
            <a:ext uri="{FF2B5EF4-FFF2-40B4-BE49-F238E27FC236}">
              <a16:creationId xmlns:a16="http://schemas.microsoft.com/office/drawing/2014/main" id="{DC23D68E-F9A5-4CC5-9A34-1DB2790B847B}"/>
            </a:ext>
          </a:extLst>
        </xdr:cNvPr>
        <xdr:cNvSpPr txBox="1"/>
      </xdr:nvSpPr>
      <xdr:spPr>
        <a:xfrm>
          <a:off x="12315634" y="303465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7</xdr:col>
      <xdr:colOff>127</xdr:colOff>
      <xdr:row>187</xdr:row>
      <xdr:rowOff>75884</xdr:rowOff>
    </xdr:from>
    <xdr:to>
      <xdr:col>7</xdr:col>
      <xdr:colOff>162052</xdr:colOff>
      <xdr:row>202</xdr:row>
      <xdr:rowOff>0</xdr:rowOff>
    </xdr:to>
    <xdr:sp macro="_xll.PtreeEvent_ObjectClick" textlink="">
      <xdr:nvSpPr>
        <xdr:cNvPr id="391" name="PTObj_DNode_2_97" hidden="1">
          <a:extLst>
            <a:ext uri="{FF2B5EF4-FFF2-40B4-BE49-F238E27FC236}">
              <a16:creationId xmlns:a16="http://schemas.microsoft.com/office/drawing/2014/main" id="{AEEC708F-1DE8-4F03-8BB2-B676B5A64203}"/>
            </a:ext>
          </a:extLst>
        </xdr:cNvPr>
        <xdr:cNvSpPr/>
      </xdr:nvSpPr>
      <xdr:spPr>
        <a:xfrm>
          <a:off x="10553827" y="316512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6</xdr:col>
      <xdr:colOff>266509</xdr:colOff>
      <xdr:row>187</xdr:row>
      <xdr:rowOff>66532</xdr:rowOff>
    </xdr:from>
    <xdr:ext cx="226023" cy="180627"/>
    <xdr:sp macro="_xll.PtreeEvent_ObjectClick" textlink="">
      <xdr:nvSpPr>
        <xdr:cNvPr id="394" name="PTObj_DBranchName_2_97" hidden="1">
          <a:extLst>
            <a:ext uri="{FF2B5EF4-FFF2-40B4-BE49-F238E27FC236}">
              <a16:creationId xmlns:a16="http://schemas.microsoft.com/office/drawing/2014/main" id="{7227E1D5-D2E8-4A56-9997-C922CA808508}"/>
            </a:ext>
          </a:extLst>
        </xdr:cNvPr>
        <xdr:cNvSpPr txBox="1"/>
      </xdr:nvSpPr>
      <xdr:spPr>
        <a:xfrm>
          <a:off x="9324784" y="316419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183</xdr:row>
      <xdr:rowOff>75884</xdr:rowOff>
    </xdr:from>
    <xdr:to>
      <xdr:col>8</xdr:col>
      <xdr:colOff>162052</xdr:colOff>
      <xdr:row>202</xdr:row>
      <xdr:rowOff>0</xdr:rowOff>
    </xdr:to>
    <xdr:sp macro="_xll.PtreeEvent_ObjectClick" textlink="">
      <xdr:nvSpPr>
        <xdr:cNvPr id="395" name="PTObj_DNode_2_98" hidden="1">
          <a:extLst>
            <a:ext uri="{FF2B5EF4-FFF2-40B4-BE49-F238E27FC236}">
              <a16:creationId xmlns:a16="http://schemas.microsoft.com/office/drawing/2014/main" id="{26435F11-3ACC-4780-99F9-39EA33B7C7FB}"/>
            </a:ext>
          </a:extLst>
        </xdr:cNvPr>
        <xdr:cNvSpPr/>
      </xdr:nvSpPr>
      <xdr:spPr>
        <a:xfrm>
          <a:off x="12049252" y="310035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183</xdr:row>
      <xdr:rowOff>66532</xdr:rowOff>
    </xdr:from>
    <xdr:ext cx="245067" cy="180627"/>
    <xdr:sp macro="_xll.PtreeEvent_ObjectClick" textlink="">
      <xdr:nvSpPr>
        <xdr:cNvPr id="398" name="PTObj_DBranchName_2_98" hidden="1">
          <a:extLst>
            <a:ext uri="{FF2B5EF4-FFF2-40B4-BE49-F238E27FC236}">
              <a16:creationId xmlns:a16="http://schemas.microsoft.com/office/drawing/2014/main" id="{1D945F57-9476-484F-91ED-260D0F223F54}"/>
            </a:ext>
          </a:extLst>
        </xdr:cNvPr>
        <xdr:cNvSpPr txBox="1"/>
      </xdr:nvSpPr>
      <xdr:spPr>
        <a:xfrm>
          <a:off x="10820209" y="309942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181</xdr:row>
      <xdr:rowOff>75884</xdr:rowOff>
    </xdr:from>
    <xdr:to>
      <xdr:col>9</xdr:col>
      <xdr:colOff>162052</xdr:colOff>
      <xdr:row>202</xdr:row>
      <xdr:rowOff>0</xdr:rowOff>
    </xdr:to>
    <xdr:sp macro="_xll.PtreeEvent_ObjectClick" textlink="">
      <xdr:nvSpPr>
        <xdr:cNvPr id="399" name="PTObj_DNode_2_99" hidden="1">
          <a:extLst>
            <a:ext uri="{FF2B5EF4-FFF2-40B4-BE49-F238E27FC236}">
              <a16:creationId xmlns:a16="http://schemas.microsoft.com/office/drawing/2014/main" id="{5ABE8C1A-BCF0-4717-B5BA-317FE16C3E42}"/>
            </a:ext>
          </a:extLst>
        </xdr:cNvPr>
        <xdr:cNvSpPr/>
      </xdr:nvSpPr>
      <xdr:spPr>
        <a:xfrm rot="-5400000">
          <a:off x="13544677" y="306797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181</xdr:row>
      <xdr:rowOff>66532</xdr:rowOff>
    </xdr:from>
    <xdr:ext cx="245067" cy="180627"/>
    <xdr:sp macro="_xll.PtreeEvent_ObjectClick" textlink="">
      <xdr:nvSpPr>
        <xdr:cNvPr id="402" name="PTObj_DBranchName_2_99" hidden="1">
          <a:extLst>
            <a:ext uri="{FF2B5EF4-FFF2-40B4-BE49-F238E27FC236}">
              <a16:creationId xmlns:a16="http://schemas.microsoft.com/office/drawing/2014/main" id="{EFAD88D9-0561-4AD1-AE97-ECF2F6A60E83}"/>
            </a:ext>
          </a:extLst>
        </xdr:cNvPr>
        <xdr:cNvSpPr txBox="1"/>
      </xdr:nvSpPr>
      <xdr:spPr>
        <a:xfrm>
          <a:off x="12315634" y="306703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185</xdr:row>
      <xdr:rowOff>75884</xdr:rowOff>
    </xdr:from>
    <xdr:to>
      <xdr:col>9</xdr:col>
      <xdr:colOff>162052</xdr:colOff>
      <xdr:row>202</xdr:row>
      <xdr:rowOff>0</xdr:rowOff>
    </xdr:to>
    <xdr:sp macro="_xll.PtreeEvent_ObjectClick" textlink="">
      <xdr:nvSpPr>
        <xdr:cNvPr id="403" name="PTObj_DNode_2_100" hidden="1">
          <a:extLst>
            <a:ext uri="{FF2B5EF4-FFF2-40B4-BE49-F238E27FC236}">
              <a16:creationId xmlns:a16="http://schemas.microsoft.com/office/drawing/2014/main" id="{2ADECF81-FE60-4EEF-9403-54BFA70B7389}"/>
            </a:ext>
          </a:extLst>
        </xdr:cNvPr>
        <xdr:cNvSpPr/>
      </xdr:nvSpPr>
      <xdr:spPr>
        <a:xfrm rot="-5400000">
          <a:off x="13544677" y="313274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185</xdr:row>
      <xdr:rowOff>66532</xdr:rowOff>
    </xdr:from>
    <xdr:ext cx="226023" cy="180627"/>
    <xdr:sp macro="_xll.PtreeEvent_ObjectClick" textlink="">
      <xdr:nvSpPr>
        <xdr:cNvPr id="406" name="PTObj_DBranchName_2_100" hidden="1">
          <a:extLst>
            <a:ext uri="{FF2B5EF4-FFF2-40B4-BE49-F238E27FC236}">
              <a16:creationId xmlns:a16="http://schemas.microsoft.com/office/drawing/2014/main" id="{C9AFF8EF-EA1A-4B8D-932D-B4476882B884}"/>
            </a:ext>
          </a:extLst>
        </xdr:cNvPr>
        <xdr:cNvSpPr txBox="1"/>
      </xdr:nvSpPr>
      <xdr:spPr>
        <a:xfrm>
          <a:off x="12315634" y="313180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191</xdr:row>
      <xdr:rowOff>75884</xdr:rowOff>
    </xdr:from>
    <xdr:to>
      <xdr:col>8</xdr:col>
      <xdr:colOff>162052</xdr:colOff>
      <xdr:row>202</xdr:row>
      <xdr:rowOff>0</xdr:rowOff>
    </xdr:to>
    <xdr:sp macro="_xll.PtreeEvent_ObjectClick" textlink="">
      <xdr:nvSpPr>
        <xdr:cNvPr id="407" name="PTObj_DNode_2_101" hidden="1">
          <a:extLst>
            <a:ext uri="{FF2B5EF4-FFF2-40B4-BE49-F238E27FC236}">
              <a16:creationId xmlns:a16="http://schemas.microsoft.com/office/drawing/2014/main" id="{5DD1BDDB-7145-49DD-A3E4-05A990742A9E}"/>
            </a:ext>
          </a:extLst>
        </xdr:cNvPr>
        <xdr:cNvSpPr/>
      </xdr:nvSpPr>
      <xdr:spPr>
        <a:xfrm>
          <a:off x="12049252" y="3229895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191</xdr:row>
      <xdr:rowOff>66532</xdr:rowOff>
    </xdr:from>
    <xdr:ext cx="407484" cy="180627"/>
    <xdr:sp macro="_xll.PtreeEvent_ObjectClick" textlink="">
      <xdr:nvSpPr>
        <xdr:cNvPr id="410" name="PTObj_DBranchName_2_101" hidden="1">
          <a:extLst>
            <a:ext uri="{FF2B5EF4-FFF2-40B4-BE49-F238E27FC236}">
              <a16:creationId xmlns:a16="http://schemas.microsoft.com/office/drawing/2014/main" id="{D3A5AD9A-7749-4614-B108-AAE1E18FBAFD}"/>
            </a:ext>
          </a:extLst>
        </xdr:cNvPr>
        <xdr:cNvSpPr txBox="1"/>
      </xdr:nvSpPr>
      <xdr:spPr>
        <a:xfrm>
          <a:off x="10820209" y="32289607"/>
          <a:ext cx="4074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Medium</a:t>
          </a:r>
        </a:p>
      </xdr:txBody>
    </xdr:sp>
    <xdr:clientData/>
  </xdr:oneCellAnchor>
  <xdr:twoCellAnchor editAs="oneCell">
    <xdr:from>
      <xdr:col>9</xdr:col>
      <xdr:colOff>127</xdr:colOff>
      <xdr:row>189</xdr:row>
      <xdr:rowOff>75884</xdr:rowOff>
    </xdr:from>
    <xdr:to>
      <xdr:col>9</xdr:col>
      <xdr:colOff>162052</xdr:colOff>
      <xdr:row>202</xdr:row>
      <xdr:rowOff>0</xdr:rowOff>
    </xdr:to>
    <xdr:sp macro="_xll.PtreeEvent_ObjectClick" textlink="">
      <xdr:nvSpPr>
        <xdr:cNvPr id="411" name="PTObj_DNode_2_102" hidden="1">
          <a:extLst>
            <a:ext uri="{FF2B5EF4-FFF2-40B4-BE49-F238E27FC236}">
              <a16:creationId xmlns:a16="http://schemas.microsoft.com/office/drawing/2014/main" id="{34E11787-46F2-4259-A661-D5D953F808E1}"/>
            </a:ext>
          </a:extLst>
        </xdr:cNvPr>
        <xdr:cNvSpPr/>
      </xdr:nvSpPr>
      <xdr:spPr>
        <a:xfrm rot="-5400000">
          <a:off x="13544677" y="319751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189</xdr:row>
      <xdr:rowOff>66532</xdr:rowOff>
    </xdr:from>
    <xdr:ext cx="245067" cy="180627"/>
    <xdr:sp macro="_xll.PtreeEvent_ObjectClick" textlink="">
      <xdr:nvSpPr>
        <xdr:cNvPr id="414" name="PTObj_DBranchName_2_102" hidden="1">
          <a:extLst>
            <a:ext uri="{FF2B5EF4-FFF2-40B4-BE49-F238E27FC236}">
              <a16:creationId xmlns:a16="http://schemas.microsoft.com/office/drawing/2014/main" id="{C98D743B-C94E-45C9-B225-6A0D49044AC1}"/>
            </a:ext>
          </a:extLst>
        </xdr:cNvPr>
        <xdr:cNvSpPr txBox="1"/>
      </xdr:nvSpPr>
      <xdr:spPr>
        <a:xfrm>
          <a:off x="12315634" y="3196575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193</xdr:row>
      <xdr:rowOff>75884</xdr:rowOff>
    </xdr:from>
    <xdr:to>
      <xdr:col>9</xdr:col>
      <xdr:colOff>162052</xdr:colOff>
      <xdr:row>202</xdr:row>
      <xdr:rowOff>0</xdr:rowOff>
    </xdr:to>
    <xdr:sp macro="_xll.PtreeEvent_ObjectClick" textlink="">
      <xdr:nvSpPr>
        <xdr:cNvPr id="415" name="PTObj_DNode_2_103" hidden="1">
          <a:extLst>
            <a:ext uri="{FF2B5EF4-FFF2-40B4-BE49-F238E27FC236}">
              <a16:creationId xmlns:a16="http://schemas.microsoft.com/office/drawing/2014/main" id="{7F2A2982-06E0-447E-A913-B7269786B6DE}"/>
            </a:ext>
          </a:extLst>
        </xdr:cNvPr>
        <xdr:cNvSpPr/>
      </xdr:nvSpPr>
      <xdr:spPr>
        <a:xfrm rot="-5400000">
          <a:off x="13544677" y="3262280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193</xdr:row>
      <xdr:rowOff>66532</xdr:rowOff>
    </xdr:from>
    <xdr:ext cx="226023" cy="180627"/>
    <xdr:sp macro="_xll.PtreeEvent_ObjectClick" textlink="">
      <xdr:nvSpPr>
        <xdr:cNvPr id="418" name="PTObj_DBranchName_2_103" hidden="1">
          <a:extLst>
            <a:ext uri="{FF2B5EF4-FFF2-40B4-BE49-F238E27FC236}">
              <a16:creationId xmlns:a16="http://schemas.microsoft.com/office/drawing/2014/main" id="{849C725A-ADEC-40A0-A1D2-50139D2F5905}"/>
            </a:ext>
          </a:extLst>
        </xdr:cNvPr>
        <xdr:cNvSpPr txBox="1"/>
      </xdr:nvSpPr>
      <xdr:spPr>
        <a:xfrm>
          <a:off x="12315634" y="326134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8</xdr:col>
      <xdr:colOff>127</xdr:colOff>
      <xdr:row>197</xdr:row>
      <xdr:rowOff>75884</xdr:rowOff>
    </xdr:from>
    <xdr:to>
      <xdr:col>8</xdr:col>
      <xdr:colOff>162052</xdr:colOff>
      <xdr:row>202</xdr:row>
      <xdr:rowOff>0</xdr:rowOff>
    </xdr:to>
    <xdr:sp macro="_xll.PtreeEvent_ObjectClick" textlink="">
      <xdr:nvSpPr>
        <xdr:cNvPr id="419" name="PTObj_DNode_2_104" hidden="1">
          <a:extLst>
            <a:ext uri="{FF2B5EF4-FFF2-40B4-BE49-F238E27FC236}">
              <a16:creationId xmlns:a16="http://schemas.microsoft.com/office/drawing/2014/main" id="{3897A5C2-9BFE-4B51-A08A-A7BD6B708D02}"/>
            </a:ext>
          </a:extLst>
        </xdr:cNvPr>
        <xdr:cNvSpPr/>
      </xdr:nvSpPr>
      <xdr:spPr>
        <a:xfrm>
          <a:off x="12049252" y="33270509"/>
          <a:ext cx="161925" cy="161925"/>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7</xdr:col>
      <xdr:colOff>266509</xdr:colOff>
      <xdr:row>197</xdr:row>
      <xdr:rowOff>66532</xdr:rowOff>
    </xdr:from>
    <xdr:ext cx="226023" cy="180627"/>
    <xdr:sp macro="_xll.PtreeEvent_ObjectClick" textlink="">
      <xdr:nvSpPr>
        <xdr:cNvPr id="422" name="PTObj_DBranchName_2_104" hidden="1">
          <a:extLst>
            <a:ext uri="{FF2B5EF4-FFF2-40B4-BE49-F238E27FC236}">
              <a16:creationId xmlns:a16="http://schemas.microsoft.com/office/drawing/2014/main" id="{4DD43144-1992-4812-9379-7180029560FC}"/>
            </a:ext>
          </a:extLst>
        </xdr:cNvPr>
        <xdr:cNvSpPr txBox="1"/>
      </xdr:nvSpPr>
      <xdr:spPr>
        <a:xfrm>
          <a:off x="10820209" y="3326115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9</xdr:col>
      <xdr:colOff>127</xdr:colOff>
      <xdr:row>195</xdr:row>
      <xdr:rowOff>75884</xdr:rowOff>
    </xdr:from>
    <xdr:to>
      <xdr:col>9</xdr:col>
      <xdr:colOff>162052</xdr:colOff>
      <xdr:row>202</xdr:row>
      <xdr:rowOff>0</xdr:rowOff>
    </xdr:to>
    <xdr:sp macro="_xll.PtreeEvent_ObjectClick" textlink="">
      <xdr:nvSpPr>
        <xdr:cNvPr id="423" name="PTObj_DNode_2_105" hidden="1">
          <a:extLst>
            <a:ext uri="{FF2B5EF4-FFF2-40B4-BE49-F238E27FC236}">
              <a16:creationId xmlns:a16="http://schemas.microsoft.com/office/drawing/2014/main" id="{0A8E8CB8-11DB-472A-9135-7DCBA9DEB28B}"/>
            </a:ext>
          </a:extLst>
        </xdr:cNvPr>
        <xdr:cNvSpPr/>
      </xdr:nvSpPr>
      <xdr:spPr>
        <a:xfrm rot="-5400000">
          <a:off x="13544677" y="329466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195</xdr:row>
      <xdr:rowOff>66532</xdr:rowOff>
    </xdr:from>
    <xdr:ext cx="245067" cy="180627"/>
    <xdr:sp macro="_xll.PtreeEvent_ObjectClick" textlink="">
      <xdr:nvSpPr>
        <xdr:cNvPr id="426" name="PTObj_DBranchName_2_105" hidden="1">
          <a:extLst>
            <a:ext uri="{FF2B5EF4-FFF2-40B4-BE49-F238E27FC236}">
              <a16:creationId xmlns:a16="http://schemas.microsoft.com/office/drawing/2014/main" id="{D519A568-A61B-49B3-B29E-7B2BAAAA7C7C}"/>
            </a:ext>
          </a:extLst>
        </xdr:cNvPr>
        <xdr:cNvSpPr txBox="1"/>
      </xdr:nvSpPr>
      <xdr:spPr>
        <a:xfrm>
          <a:off x="12315634" y="32937307"/>
          <a:ext cx="2450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High</a:t>
          </a:r>
        </a:p>
      </xdr:txBody>
    </xdr:sp>
    <xdr:clientData/>
  </xdr:oneCellAnchor>
  <xdr:twoCellAnchor editAs="oneCell">
    <xdr:from>
      <xdr:col>9</xdr:col>
      <xdr:colOff>127</xdr:colOff>
      <xdr:row>199</xdr:row>
      <xdr:rowOff>75884</xdr:rowOff>
    </xdr:from>
    <xdr:to>
      <xdr:col>9</xdr:col>
      <xdr:colOff>162052</xdr:colOff>
      <xdr:row>202</xdr:row>
      <xdr:rowOff>0</xdr:rowOff>
    </xdr:to>
    <xdr:sp macro="_xll.PtreeEvent_ObjectClick" textlink="">
      <xdr:nvSpPr>
        <xdr:cNvPr id="427" name="PTObj_DNode_2_106" hidden="1">
          <a:extLst>
            <a:ext uri="{FF2B5EF4-FFF2-40B4-BE49-F238E27FC236}">
              <a16:creationId xmlns:a16="http://schemas.microsoft.com/office/drawing/2014/main" id="{CF33FE27-E9E4-496F-943F-2EF09D87F1B0}"/>
            </a:ext>
          </a:extLst>
        </xdr:cNvPr>
        <xdr:cNvSpPr/>
      </xdr:nvSpPr>
      <xdr:spPr>
        <a:xfrm rot="-5400000">
          <a:off x="13544677" y="335943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8</xdr:col>
      <xdr:colOff>266509</xdr:colOff>
      <xdr:row>199</xdr:row>
      <xdr:rowOff>66532</xdr:rowOff>
    </xdr:from>
    <xdr:ext cx="226023" cy="180627"/>
    <xdr:sp macro="_xll.PtreeEvent_ObjectClick" textlink="">
      <xdr:nvSpPr>
        <xdr:cNvPr id="430" name="PTObj_DBranchName_2_106" hidden="1">
          <a:extLst>
            <a:ext uri="{FF2B5EF4-FFF2-40B4-BE49-F238E27FC236}">
              <a16:creationId xmlns:a16="http://schemas.microsoft.com/office/drawing/2014/main" id="{0A34BF5F-6412-4DE9-AB9F-6469ADBA573A}"/>
            </a:ext>
          </a:extLst>
        </xdr:cNvPr>
        <xdr:cNvSpPr txBox="1"/>
      </xdr:nvSpPr>
      <xdr:spPr>
        <a:xfrm>
          <a:off x="12315634" y="33585007"/>
          <a:ext cx="22602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27432" tIns="27432" rIns="27432" bIns="27432" rtlCol="0" anchor="ctr">
          <a:noAutofit/>
        </a:bodyPr>
        <a:lstStyle/>
        <a:p>
          <a:pPr algn="ctr"/>
          <a:r>
            <a:rPr lang="fr-CA" sz="800"/>
            <a:t>Low</a:t>
          </a:r>
        </a:p>
      </xdr:txBody>
    </xdr:sp>
    <xdr:clientData/>
  </xdr:oneCellAnchor>
  <xdr:twoCellAnchor editAs="oneCell">
    <xdr:from>
      <xdr:col>5</xdr:col>
      <xdr:colOff>127</xdr:colOff>
      <xdr:row>205</xdr:row>
      <xdr:rowOff>75884</xdr:rowOff>
    </xdr:from>
    <xdr:to>
      <xdr:col>5</xdr:col>
      <xdr:colOff>162052</xdr:colOff>
      <xdr:row>206</xdr:row>
      <xdr:rowOff>75884</xdr:rowOff>
    </xdr:to>
    <xdr:sp macro="_xll.PtreeEvent_ObjectClick" textlink="">
      <xdr:nvSpPr>
        <xdr:cNvPr id="435" name="PTObj_DNode_2_108">
          <a:extLst>
            <a:ext uri="{FF2B5EF4-FFF2-40B4-BE49-F238E27FC236}">
              <a16:creationId xmlns:a16="http://schemas.microsoft.com/office/drawing/2014/main" id="{CDD5D68C-43D2-465C-B8A9-247DA0CE9D6B}"/>
            </a:ext>
          </a:extLst>
        </xdr:cNvPr>
        <xdr:cNvSpPr/>
      </xdr:nvSpPr>
      <xdr:spPr>
        <a:xfrm>
          <a:off x="7562977" y="44929109"/>
          <a:ext cx="161925" cy="161925"/>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266510</xdr:colOff>
      <xdr:row>205</xdr:row>
      <xdr:rowOff>66532</xdr:rowOff>
    </xdr:from>
    <xdr:ext cx="238847" cy="180627"/>
    <xdr:sp macro="_xll.PtreeEvent_ObjectClick" textlink="">
      <xdr:nvSpPr>
        <xdr:cNvPr id="438" name="PTObj_DBranchName_2_108">
          <a:extLst>
            <a:ext uri="{FF2B5EF4-FFF2-40B4-BE49-F238E27FC236}">
              <a16:creationId xmlns:a16="http://schemas.microsoft.com/office/drawing/2014/main" id="{519EBFCF-57F0-4B31-A655-8F39829FC226}"/>
            </a:ext>
          </a:extLst>
        </xdr:cNvPr>
        <xdr:cNvSpPr txBox="1"/>
      </xdr:nvSpPr>
      <xdr:spPr>
        <a:xfrm>
          <a:off x="6333935" y="44919757"/>
          <a:ext cx="23884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Fails</a:t>
          </a:r>
        </a:p>
      </xdr:txBody>
    </xdr:sp>
    <xdr:clientData/>
  </xdr:oneCellAnchor>
  <xdr:twoCellAnchor editAs="oneCell">
    <xdr:from>
      <xdr:col>6</xdr:col>
      <xdr:colOff>127</xdr:colOff>
      <xdr:row>207</xdr:row>
      <xdr:rowOff>75884</xdr:rowOff>
    </xdr:from>
    <xdr:to>
      <xdr:col>6</xdr:col>
      <xdr:colOff>162052</xdr:colOff>
      <xdr:row>208</xdr:row>
      <xdr:rowOff>75884</xdr:rowOff>
    </xdr:to>
    <xdr:sp macro="_xll.PtreeEvent_ObjectClick" textlink="">
      <xdr:nvSpPr>
        <xdr:cNvPr id="563" name="PTObj_DNode_2_140">
          <a:extLst>
            <a:ext uri="{FF2B5EF4-FFF2-40B4-BE49-F238E27FC236}">
              <a16:creationId xmlns:a16="http://schemas.microsoft.com/office/drawing/2014/main" id="{AB94C579-CC8D-40B5-8C68-AD078297F70F}"/>
            </a:ext>
          </a:extLst>
        </xdr:cNvPr>
        <xdr:cNvSpPr/>
      </xdr:nvSpPr>
      <xdr:spPr>
        <a:xfrm rot="-5400000">
          <a:off x="9058402" y="45252959"/>
          <a:ext cx="161925" cy="161925"/>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5</xdr:col>
      <xdr:colOff>266509</xdr:colOff>
      <xdr:row>207</xdr:row>
      <xdr:rowOff>66532</xdr:rowOff>
    </xdr:from>
    <xdr:ext cx="175753" cy="180627"/>
    <xdr:sp macro="_xll.PtreeEvent_ObjectClick" textlink="">
      <xdr:nvSpPr>
        <xdr:cNvPr id="566" name="PTObj_DBranchName_2_140">
          <a:extLst>
            <a:ext uri="{FF2B5EF4-FFF2-40B4-BE49-F238E27FC236}">
              <a16:creationId xmlns:a16="http://schemas.microsoft.com/office/drawing/2014/main" id="{0C0FDFC5-2BF7-43D2-BF0D-3CF309C75F70}"/>
            </a:ext>
          </a:extLst>
        </xdr:cNvPr>
        <xdr:cNvSpPr txBox="1"/>
      </xdr:nvSpPr>
      <xdr:spPr>
        <a:xfrm>
          <a:off x="7829359" y="45243607"/>
          <a:ext cx="17575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No</a:t>
          </a:r>
        </a:p>
      </xdr:txBody>
    </xdr:sp>
    <xdr:clientData/>
  </xdr:oneCellAnchor>
  <xdr:twoCellAnchor editAs="oneCell">
    <xdr:from>
      <xdr:col>6</xdr:col>
      <xdr:colOff>162052</xdr:colOff>
      <xdr:row>25</xdr:row>
      <xdr:rowOff>156845</xdr:rowOff>
    </xdr:from>
    <xdr:to>
      <xdr:col>6</xdr:col>
      <xdr:colOff>352552</xdr:colOff>
      <xdr:row>67</xdr:row>
      <xdr:rowOff>23495</xdr:rowOff>
    </xdr:to>
    <xdr:sp macro="_xll.PtreeEvent_ObjectClick" textlink="">
      <xdr:nvSpPr>
        <xdr:cNvPr id="587" name="PTObj_DTreeExpand_2_6">
          <a:extLst>
            <a:ext uri="{FF2B5EF4-FFF2-40B4-BE49-F238E27FC236}">
              <a16:creationId xmlns:a16="http://schemas.microsoft.com/office/drawing/2014/main" id="{A13A9535-0CD6-4105-B2A0-189A5D4820A8}"/>
            </a:ext>
          </a:extLst>
        </xdr:cNvPr>
        <xdr:cNvSpPr txBox="1"/>
      </xdr:nvSpPr>
      <xdr:spPr>
        <a:xfrm>
          <a:off x="9220327" y="966470"/>
          <a:ext cx="190500" cy="190500"/>
        </a:xfrm>
        <a:prstGeom prst="rect">
          <a:avLst/>
        </a:prstGeom>
        <a:solidFill>
          <a:schemeClr val="lt1">
            <a:alpha val="0"/>
          </a:schemeClr>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noAutofit/>
        </a:bodyPr>
        <a:lstStyle/>
        <a:p>
          <a:pPr algn="ctr"/>
          <a:r>
            <a:rPr lang="fr-CA" sz="1200" b="1"/>
            <a:t>+</a:t>
          </a:r>
        </a:p>
      </xdr:txBody>
    </xdr:sp>
    <xdr:clientData/>
  </xdr:twoCellAnchor>
  <xdr:twoCellAnchor editAs="oneCell">
    <xdr:from>
      <xdr:col>6</xdr:col>
      <xdr:colOff>162052</xdr:colOff>
      <xdr:row>91</xdr:row>
      <xdr:rowOff>156844</xdr:rowOff>
    </xdr:from>
    <xdr:to>
      <xdr:col>6</xdr:col>
      <xdr:colOff>352552</xdr:colOff>
      <xdr:row>133</xdr:row>
      <xdr:rowOff>23494</xdr:rowOff>
    </xdr:to>
    <xdr:sp macro="_xll.PtreeEvent_ObjectClick" textlink="">
      <xdr:nvSpPr>
        <xdr:cNvPr id="588" name="PTObj_DTreeExpand_2_39">
          <a:extLst>
            <a:ext uri="{FF2B5EF4-FFF2-40B4-BE49-F238E27FC236}">
              <a16:creationId xmlns:a16="http://schemas.microsoft.com/office/drawing/2014/main" id="{5169E5DF-9ED4-47FA-A8F2-0F95398660B5}"/>
            </a:ext>
          </a:extLst>
        </xdr:cNvPr>
        <xdr:cNvSpPr txBox="1"/>
      </xdr:nvSpPr>
      <xdr:spPr>
        <a:xfrm>
          <a:off x="9220327" y="2261869"/>
          <a:ext cx="190500" cy="190500"/>
        </a:xfrm>
        <a:prstGeom prst="rect">
          <a:avLst/>
        </a:prstGeom>
        <a:solidFill>
          <a:schemeClr val="lt1">
            <a:alpha val="0"/>
          </a:schemeClr>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noAutofit/>
        </a:bodyPr>
        <a:lstStyle/>
        <a:p>
          <a:pPr algn="ctr"/>
          <a:r>
            <a:rPr lang="fr-CA" sz="1200" b="1"/>
            <a:t>+</a:t>
          </a:r>
        </a:p>
      </xdr:txBody>
    </xdr:sp>
    <xdr:clientData/>
  </xdr:twoCellAnchor>
  <xdr:twoCellAnchor editAs="oneCell">
    <xdr:from>
      <xdr:col>6</xdr:col>
      <xdr:colOff>162052</xdr:colOff>
      <xdr:row>159</xdr:row>
      <xdr:rowOff>156847</xdr:rowOff>
    </xdr:from>
    <xdr:to>
      <xdr:col>6</xdr:col>
      <xdr:colOff>352552</xdr:colOff>
      <xdr:row>201</xdr:row>
      <xdr:rowOff>23497</xdr:rowOff>
    </xdr:to>
    <xdr:sp macro="_xll.PtreeEvent_ObjectClick" textlink="">
      <xdr:nvSpPr>
        <xdr:cNvPr id="589" name="PTObj_DTreeExpand_2_76">
          <a:extLst>
            <a:ext uri="{FF2B5EF4-FFF2-40B4-BE49-F238E27FC236}">
              <a16:creationId xmlns:a16="http://schemas.microsoft.com/office/drawing/2014/main" id="{14D1BFF0-FE12-4F83-8681-FFE128B0C971}"/>
            </a:ext>
          </a:extLst>
        </xdr:cNvPr>
        <xdr:cNvSpPr txBox="1"/>
      </xdr:nvSpPr>
      <xdr:spPr>
        <a:xfrm>
          <a:off x="9220327" y="4528822"/>
          <a:ext cx="190500" cy="190500"/>
        </a:xfrm>
        <a:prstGeom prst="rect">
          <a:avLst/>
        </a:prstGeom>
        <a:solidFill>
          <a:schemeClr val="lt1">
            <a:alpha val="0"/>
          </a:schemeClr>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noAutofit/>
        </a:bodyPr>
        <a:lstStyle/>
        <a:p>
          <a:pPr algn="ctr"/>
          <a:r>
            <a:rPr lang="fr-CA" sz="1200" b="1"/>
            <a:t>+</a:t>
          </a:r>
        </a:p>
      </xdr:txBody>
    </xdr:sp>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68"/>
  <sheetViews>
    <sheetView topLeftCell="A15" zoomScale="115" zoomScaleNormal="115" zoomScalePageLayoutView="115" workbookViewId="0">
      <selection activeCell="C29" sqref="C29"/>
    </sheetView>
  </sheetViews>
  <sheetFormatPr baseColWidth="10" defaultColWidth="5.7109375" defaultRowHeight="12.75" x14ac:dyDescent="0.2"/>
  <cols>
    <col min="1" max="1" width="19.42578125" style="4" customWidth="1"/>
    <col min="2" max="2" width="28.85546875" style="4" customWidth="1"/>
    <col min="3" max="3" width="6.85546875" style="4" customWidth="1"/>
    <col min="4" max="4" width="5.42578125" style="4" customWidth="1"/>
    <col min="5" max="7" width="9.140625" style="4" customWidth="1"/>
    <col min="8" max="8" width="8.7109375" style="4" bestFit="1" customWidth="1"/>
    <col min="9" max="9" width="7.42578125" style="4" bestFit="1" customWidth="1"/>
    <col min="10" max="10" width="5.85546875" style="4" bestFit="1" customWidth="1"/>
    <col min="11" max="18" width="5.7109375" style="4"/>
    <col min="19" max="19" width="5.85546875" style="4" customWidth="1"/>
    <col min="20" max="16384" width="5.7109375" style="4"/>
  </cols>
  <sheetData>
    <row r="1" spans="1:64" x14ac:dyDescent="0.2">
      <c r="A1" s="14" t="s">
        <v>48</v>
      </c>
      <c r="C1" s="4" t="s">
        <v>6</v>
      </c>
      <c r="D1" s="4" t="s">
        <v>7</v>
      </c>
      <c r="E1" s="4" t="s">
        <v>8</v>
      </c>
      <c r="G1" s="4" t="s">
        <v>11</v>
      </c>
      <c r="H1" s="4">
        <v>2018</v>
      </c>
      <c r="I1" s="4">
        <f>H1+1</f>
        <v>2019</v>
      </c>
      <c r="J1" s="4">
        <f t="shared" ref="J1:BF1" si="0">I1+1</f>
        <v>2020</v>
      </c>
      <c r="K1" s="4">
        <f t="shared" si="0"/>
        <v>2021</v>
      </c>
      <c r="L1" s="4">
        <f t="shared" si="0"/>
        <v>2022</v>
      </c>
      <c r="M1" s="4">
        <f t="shared" si="0"/>
        <v>2023</v>
      </c>
      <c r="N1" s="4">
        <f t="shared" si="0"/>
        <v>2024</v>
      </c>
      <c r="O1" s="4">
        <f t="shared" si="0"/>
        <v>2025</v>
      </c>
      <c r="P1" s="4">
        <f t="shared" si="0"/>
        <v>2026</v>
      </c>
      <c r="Q1" s="4">
        <f t="shared" si="0"/>
        <v>2027</v>
      </c>
      <c r="R1" s="4">
        <f t="shared" si="0"/>
        <v>2028</v>
      </c>
      <c r="S1" s="4">
        <f t="shared" si="0"/>
        <v>2029</v>
      </c>
      <c r="T1" s="4">
        <f t="shared" si="0"/>
        <v>2030</v>
      </c>
      <c r="U1" s="4">
        <f t="shared" si="0"/>
        <v>2031</v>
      </c>
      <c r="V1" s="4">
        <f t="shared" si="0"/>
        <v>2032</v>
      </c>
      <c r="W1" s="4">
        <f t="shared" si="0"/>
        <v>2033</v>
      </c>
      <c r="X1" s="4">
        <f t="shared" si="0"/>
        <v>2034</v>
      </c>
      <c r="Y1" s="4">
        <f t="shared" si="0"/>
        <v>2035</v>
      </c>
      <c r="Z1" s="4">
        <f t="shared" si="0"/>
        <v>2036</v>
      </c>
      <c r="AA1" s="4">
        <f t="shared" si="0"/>
        <v>2037</v>
      </c>
      <c r="AB1" s="4">
        <f t="shared" si="0"/>
        <v>2038</v>
      </c>
      <c r="AC1" s="4">
        <f t="shared" si="0"/>
        <v>2039</v>
      </c>
      <c r="AD1" s="4">
        <f t="shared" si="0"/>
        <v>2040</v>
      </c>
      <c r="AE1" s="4">
        <f t="shared" si="0"/>
        <v>2041</v>
      </c>
      <c r="AF1" s="4">
        <f t="shared" si="0"/>
        <v>2042</v>
      </c>
      <c r="AG1" s="4">
        <f t="shared" si="0"/>
        <v>2043</v>
      </c>
      <c r="AH1" s="4">
        <f t="shared" si="0"/>
        <v>2044</v>
      </c>
      <c r="AI1" s="4">
        <f t="shared" si="0"/>
        <v>2045</v>
      </c>
      <c r="AJ1" s="4">
        <f t="shared" si="0"/>
        <v>2046</v>
      </c>
      <c r="AK1" s="4">
        <f t="shared" si="0"/>
        <v>2047</v>
      </c>
      <c r="AL1" s="4">
        <f t="shared" si="0"/>
        <v>2048</v>
      </c>
      <c r="AM1" s="4">
        <f t="shared" si="0"/>
        <v>2049</v>
      </c>
      <c r="AN1" s="4">
        <f t="shared" si="0"/>
        <v>2050</v>
      </c>
      <c r="AO1" s="4">
        <f t="shared" si="0"/>
        <v>2051</v>
      </c>
      <c r="AP1" s="4">
        <f t="shared" si="0"/>
        <v>2052</v>
      </c>
      <c r="AQ1" s="4">
        <f t="shared" si="0"/>
        <v>2053</v>
      </c>
      <c r="AR1" s="4">
        <f t="shared" si="0"/>
        <v>2054</v>
      </c>
      <c r="AS1" s="4">
        <f t="shared" si="0"/>
        <v>2055</v>
      </c>
      <c r="AT1" s="4">
        <f t="shared" si="0"/>
        <v>2056</v>
      </c>
      <c r="AU1" s="4">
        <f t="shared" si="0"/>
        <v>2057</v>
      </c>
      <c r="AV1" s="4">
        <f t="shared" si="0"/>
        <v>2058</v>
      </c>
      <c r="AW1" s="4">
        <f t="shared" si="0"/>
        <v>2059</v>
      </c>
      <c r="AX1" s="4">
        <f t="shared" si="0"/>
        <v>2060</v>
      </c>
      <c r="AY1" s="4">
        <f t="shared" si="0"/>
        <v>2061</v>
      </c>
      <c r="AZ1" s="4">
        <f t="shared" si="0"/>
        <v>2062</v>
      </c>
      <c r="BA1" s="4">
        <f t="shared" si="0"/>
        <v>2063</v>
      </c>
      <c r="BB1" s="4">
        <f t="shared" si="0"/>
        <v>2064</v>
      </c>
      <c r="BC1" s="4">
        <f t="shared" si="0"/>
        <v>2065</v>
      </c>
      <c r="BD1" s="4">
        <f t="shared" si="0"/>
        <v>2066</v>
      </c>
      <c r="BE1" s="4">
        <f t="shared" si="0"/>
        <v>2067</v>
      </c>
      <c r="BF1" s="4">
        <f t="shared" si="0"/>
        <v>2068</v>
      </c>
      <c r="BG1" s="4">
        <f t="shared" ref="BG1:BL1" si="1">BF1+1</f>
        <v>2069</v>
      </c>
      <c r="BH1" s="4">
        <f t="shared" si="1"/>
        <v>2070</v>
      </c>
      <c r="BI1" s="4">
        <f t="shared" si="1"/>
        <v>2071</v>
      </c>
      <c r="BJ1" s="4">
        <f t="shared" si="1"/>
        <v>2072</v>
      </c>
      <c r="BK1" s="4">
        <f t="shared" si="1"/>
        <v>2073</v>
      </c>
      <c r="BL1" s="4">
        <f t="shared" si="1"/>
        <v>2074</v>
      </c>
    </row>
    <row r="2" spans="1:64" x14ac:dyDescent="0.2">
      <c r="B2" s="4" t="s">
        <v>16</v>
      </c>
      <c r="E2" s="15">
        <v>2</v>
      </c>
      <c r="G2" s="4">
        <f>SUM(H2:BL2)</f>
        <v>2282.3493842135272</v>
      </c>
      <c r="H2" s="4">
        <f>IF($E$2=1,H3,IF($E$2=2,H6,H9))</f>
        <v>34</v>
      </c>
      <c r="I2" s="4">
        <f t="shared" ref="I2:BL2" si="2">IF($E$2=1,I3,IF($E$2=2,I6,I9))</f>
        <v>34.067999999999998</v>
      </c>
      <c r="J2" s="4">
        <f t="shared" si="2"/>
        <v>34.136136</v>
      </c>
      <c r="K2" s="4">
        <f t="shared" si="2"/>
        <v>34.204408272000002</v>
      </c>
      <c r="L2" s="4">
        <f t="shared" si="2"/>
        <v>34.272817088544002</v>
      </c>
      <c r="M2" s="4">
        <f t="shared" si="2"/>
        <v>34.341362722721094</v>
      </c>
      <c r="N2" s="4">
        <f t="shared" si="2"/>
        <v>34.410045448166535</v>
      </c>
      <c r="O2" s="4">
        <f t="shared" si="2"/>
        <v>34.478865539062866</v>
      </c>
      <c r="P2" s="4">
        <f t="shared" si="2"/>
        <v>34.547823270140995</v>
      </c>
      <c r="Q2" s="4">
        <f t="shared" si="2"/>
        <v>34.616918916681279</v>
      </c>
      <c r="R2" s="4">
        <f t="shared" si="2"/>
        <v>34.686152754514644</v>
      </c>
      <c r="S2" s="4">
        <f t="shared" si="2"/>
        <v>34.755525060023672</v>
      </c>
      <c r="T2" s="4">
        <f t="shared" si="2"/>
        <v>34.825036110143721</v>
      </c>
      <c r="U2" s="4">
        <f t="shared" si="2"/>
        <v>34.894686182364005</v>
      </c>
      <c r="V2" s="4">
        <f t="shared" si="2"/>
        <v>34.964475554728736</v>
      </c>
      <c r="W2" s="4">
        <f t="shared" si="2"/>
        <v>35.034404505838197</v>
      </c>
      <c r="X2" s="4">
        <f t="shared" si="2"/>
        <v>35.104473314849876</v>
      </c>
      <c r="Y2" s="4">
        <f t="shared" si="2"/>
        <v>35.174682261479575</v>
      </c>
      <c r="Z2" s="4">
        <f t="shared" si="2"/>
        <v>35.245031626002536</v>
      </c>
      <c r="AA2" s="4">
        <f t="shared" si="2"/>
        <v>35.315521689254538</v>
      </c>
      <c r="AB2" s="4">
        <f t="shared" si="2"/>
        <v>35.38615273263305</v>
      </c>
      <c r="AC2" s="4">
        <f t="shared" si="2"/>
        <v>35.456925038098319</v>
      </c>
      <c r="AD2" s="4">
        <f t="shared" si="2"/>
        <v>35.527838888174514</v>
      </c>
      <c r="AE2" s="4">
        <f t="shared" si="2"/>
        <v>35.598894565950864</v>
      </c>
      <c r="AF2" s="4">
        <f t="shared" si="2"/>
        <v>35.670092355082765</v>
      </c>
      <c r="AG2" s="4">
        <f t="shared" si="2"/>
        <v>36.347824109829332</v>
      </c>
      <c r="AH2" s="4">
        <f t="shared" si="2"/>
        <v>37.038432767916085</v>
      </c>
      <c r="AI2" s="4">
        <f t="shared" si="2"/>
        <v>37.742162990506486</v>
      </c>
      <c r="AJ2" s="4">
        <f t="shared" si="2"/>
        <v>38.459264087326105</v>
      </c>
      <c r="AK2" s="4">
        <f t="shared" si="2"/>
        <v>39.189990104985299</v>
      </c>
      <c r="AL2" s="4">
        <f t="shared" si="2"/>
        <v>39.934599916980012</v>
      </c>
      <c r="AM2" s="4">
        <f t="shared" si="2"/>
        <v>40.693357315402629</v>
      </c>
      <c r="AN2" s="4">
        <f t="shared" si="2"/>
        <v>41.466531104395273</v>
      </c>
      <c r="AO2" s="4">
        <f t="shared" si="2"/>
        <v>42.254395195378777</v>
      </c>
      <c r="AP2" s="4">
        <f t="shared" si="2"/>
        <v>43.057228704090967</v>
      </c>
      <c r="AQ2" s="4">
        <f t="shared" si="2"/>
        <v>43.315572076315512</v>
      </c>
      <c r="AR2" s="4">
        <f t="shared" si="2"/>
        <v>43.575465508773405</v>
      </c>
      <c r="AS2" s="4">
        <f t="shared" si="2"/>
        <v>43.836918301826046</v>
      </c>
      <c r="AT2" s="4">
        <f t="shared" si="2"/>
        <v>44.099939811637</v>
      </c>
      <c r="AU2" s="4">
        <f t="shared" si="2"/>
        <v>44.364539450506825</v>
      </c>
      <c r="AV2" s="4">
        <f t="shared" si="2"/>
        <v>44.630726687209865</v>
      </c>
      <c r="AW2" s="4">
        <f t="shared" si="2"/>
        <v>44.898511047333123</v>
      </c>
      <c r="AX2" s="4">
        <f t="shared" si="2"/>
        <v>45.167902113617124</v>
      </c>
      <c r="AY2" s="4">
        <f t="shared" si="2"/>
        <v>45.438909526298829</v>
      </c>
      <c r="AZ2" s="4">
        <f t="shared" si="2"/>
        <v>45.711542983456624</v>
      </c>
      <c r="BA2" s="4">
        <f t="shared" si="2"/>
        <v>45.985812241357365</v>
      </c>
      <c r="BB2" s="4">
        <f t="shared" si="2"/>
        <v>46.26172711480551</v>
      </c>
      <c r="BC2" s="4">
        <f t="shared" si="2"/>
        <v>46.539297477494344</v>
      </c>
      <c r="BD2" s="4">
        <f t="shared" si="2"/>
        <v>46.81853326235931</v>
      </c>
      <c r="BE2" s="4">
        <f t="shared" si="2"/>
        <v>47.099444461933466</v>
      </c>
      <c r="BF2" s="4">
        <f t="shared" si="2"/>
        <v>47.382041128705069</v>
      </c>
      <c r="BG2" s="4">
        <f t="shared" si="2"/>
        <v>47.666333375477301</v>
      </c>
      <c r="BH2" s="4">
        <f t="shared" si="2"/>
        <v>47.952331375730168</v>
      </c>
      <c r="BI2" s="4">
        <f t="shared" si="2"/>
        <v>48.240045363984549</v>
      </c>
      <c r="BJ2" s="4">
        <f t="shared" si="2"/>
        <v>48.529485636168459</v>
      </c>
      <c r="BK2" s="4">
        <f t="shared" si="2"/>
        <v>48.820662549985471</v>
      </c>
      <c r="BL2" s="4">
        <f t="shared" si="2"/>
        <v>49.113586525285385</v>
      </c>
    </row>
    <row r="3" spans="1:64" x14ac:dyDescent="0.2">
      <c r="B3" s="4" t="s">
        <v>17</v>
      </c>
      <c r="D3" s="5">
        <v>0</v>
      </c>
      <c r="E3" s="4">
        <v>34</v>
      </c>
      <c r="G3" s="4">
        <f>SUM(H3:BL3)</f>
        <v>1938</v>
      </c>
      <c r="H3" s="4">
        <f>E3</f>
        <v>34</v>
      </c>
      <c r="I3" s="4">
        <f>IF(I$1&lt;$C4,H3*(1+$D3),IF(I$1&lt;$C5,H3*(1+$D4),H3*(1+$D5)))</f>
        <v>34</v>
      </c>
      <c r="J3" s="4">
        <f t="shared" ref="J3:BL3" si="3">IF(J$1&lt;$C4,I3*(1+$D3),IF(J$1&lt;$C5,I3*(1+$D4),I3*(1+$D5)))</f>
        <v>34</v>
      </c>
      <c r="K3" s="4">
        <f t="shared" si="3"/>
        <v>34</v>
      </c>
      <c r="L3" s="4">
        <f t="shared" si="3"/>
        <v>34</v>
      </c>
      <c r="M3" s="4">
        <f t="shared" si="3"/>
        <v>34</v>
      </c>
      <c r="N3" s="4">
        <f t="shared" si="3"/>
        <v>34</v>
      </c>
      <c r="O3" s="4">
        <f t="shared" si="3"/>
        <v>34</v>
      </c>
      <c r="P3" s="4">
        <f t="shared" si="3"/>
        <v>34</v>
      </c>
      <c r="Q3" s="4">
        <f t="shared" si="3"/>
        <v>34</v>
      </c>
      <c r="R3" s="4">
        <f t="shared" si="3"/>
        <v>34</v>
      </c>
      <c r="S3" s="4">
        <f t="shared" si="3"/>
        <v>34</v>
      </c>
      <c r="T3" s="4">
        <f t="shared" si="3"/>
        <v>34</v>
      </c>
      <c r="U3" s="4">
        <f t="shared" si="3"/>
        <v>34</v>
      </c>
      <c r="V3" s="4">
        <f t="shared" si="3"/>
        <v>34</v>
      </c>
      <c r="W3" s="4">
        <f t="shared" si="3"/>
        <v>34</v>
      </c>
      <c r="X3" s="4">
        <f t="shared" si="3"/>
        <v>34</v>
      </c>
      <c r="Y3" s="4">
        <f t="shared" si="3"/>
        <v>34</v>
      </c>
      <c r="Z3" s="4">
        <f t="shared" si="3"/>
        <v>34</v>
      </c>
      <c r="AA3" s="4">
        <f t="shared" si="3"/>
        <v>34</v>
      </c>
      <c r="AB3" s="4">
        <f t="shared" si="3"/>
        <v>34</v>
      </c>
      <c r="AC3" s="4">
        <f t="shared" si="3"/>
        <v>34</v>
      </c>
      <c r="AD3" s="4">
        <f t="shared" si="3"/>
        <v>34</v>
      </c>
      <c r="AE3" s="4">
        <f t="shared" si="3"/>
        <v>34</v>
      </c>
      <c r="AF3" s="4">
        <f t="shared" si="3"/>
        <v>34</v>
      </c>
      <c r="AG3" s="4">
        <f t="shared" si="3"/>
        <v>34</v>
      </c>
      <c r="AH3" s="4">
        <f t="shared" si="3"/>
        <v>34</v>
      </c>
      <c r="AI3" s="4">
        <f t="shared" si="3"/>
        <v>34</v>
      </c>
      <c r="AJ3" s="4">
        <f t="shared" si="3"/>
        <v>34</v>
      </c>
      <c r="AK3" s="4">
        <f t="shared" si="3"/>
        <v>34</v>
      </c>
      <c r="AL3" s="4">
        <f t="shared" si="3"/>
        <v>34</v>
      </c>
      <c r="AM3" s="4">
        <f t="shared" si="3"/>
        <v>34</v>
      </c>
      <c r="AN3" s="4">
        <f t="shared" si="3"/>
        <v>34</v>
      </c>
      <c r="AO3" s="4">
        <f t="shared" si="3"/>
        <v>34</v>
      </c>
      <c r="AP3" s="4">
        <f t="shared" si="3"/>
        <v>34</v>
      </c>
      <c r="AQ3" s="4">
        <f t="shared" si="3"/>
        <v>34</v>
      </c>
      <c r="AR3" s="4">
        <f t="shared" si="3"/>
        <v>34</v>
      </c>
      <c r="AS3" s="4">
        <f t="shared" si="3"/>
        <v>34</v>
      </c>
      <c r="AT3" s="4">
        <f t="shared" si="3"/>
        <v>34</v>
      </c>
      <c r="AU3" s="4">
        <f t="shared" si="3"/>
        <v>34</v>
      </c>
      <c r="AV3" s="4">
        <f t="shared" si="3"/>
        <v>34</v>
      </c>
      <c r="AW3" s="4">
        <f t="shared" si="3"/>
        <v>34</v>
      </c>
      <c r="AX3" s="4">
        <f t="shared" si="3"/>
        <v>34</v>
      </c>
      <c r="AY3" s="4">
        <f t="shared" si="3"/>
        <v>34</v>
      </c>
      <c r="AZ3" s="4">
        <f t="shared" si="3"/>
        <v>34</v>
      </c>
      <c r="BA3" s="4">
        <f t="shared" si="3"/>
        <v>34</v>
      </c>
      <c r="BB3" s="4">
        <f t="shared" si="3"/>
        <v>34</v>
      </c>
      <c r="BC3" s="4">
        <f t="shared" si="3"/>
        <v>34</v>
      </c>
      <c r="BD3" s="4">
        <f t="shared" si="3"/>
        <v>34</v>
      </c>
      <c r="BE3" s="4">
        <f t="shared" si="3"/>
        <v>34</v>
      </c>
      <c r="BF3" s="4">
        <f t="shared" si="3"/>
        <v>34</v>
      </c>
      <c r="BG3" s="4">
        <f t="shared" si="3"/>
        <v>34</v>
      </c>
      <c r="BH3" s="4">
        <f t="shared" si="3"/>
        <v>34</v>
      </c>
      <c r="BI3" s="4">
        <f t="shared" si="3"/>
        <v>34</v>
      </c>
      <c r="BJ3" s="4">
        <f t="shared" si="3"/>
        <v>34</v>
      </c>
      <c r="BK3" s="4">
        <f t="shared" si="3"/>
        <v>34</v>
      </c>
      <c r="BL3" s="4">
        <f t="shared" si="3"/>
        <v>34</v>
      </c>
    </row>
    <row r="4" spans="1:64" x14ac:dyDescent="0.2">
      <c r="C4" s="4">
        <f>H1+25</f>
        <v>2043</v>
      </c>
      <c r="D4" s="5">
        <v>0</v>
      </c>
    </row>
    <row r="5" spans="1:64" x14ac:dyDescent="0.2">
      <c r="C5" s="4">
        <f>H1+35</f>
        <v>2053</v>
      </c>
      <c r="D5" s="5">
        <v>0</v>
      </c>
    </row>
    <row r="6" spans="1:64" x14ac:dyDescent="0.2">
      <c r="B6" s="4" t="s">
        <v>18</v>
      </c>
      <c r="D6" s="5">
        <v>2E-3</v>
      </c>
      <c r="E6" s="4">
        <v>34</v>
      </c>
      <c r="G6" s="4">
        <f>SUM(H6:BL6)</f>
        <v>2282.3493842135272</v>
      </c>
      <c r="H6" s="4">
        <f>E6</f>
        <v>34</v>
      </c>
      <c r="I6" s="4">
        <f>IF($I4&lt;$C7,H6*(1+$D6),IF($I4&lt;$C8,H6*(1+$D7),H6*(1+$D8)))</f>
        <v>34.067999999999998</v>
      </c>
      <c r="J6" s="4">
        <f t="shared" ref="J6:BL6" si="4">IF(J$1&lt;$C7,I6*(1+$D6),IF(J$1&lt;$C8,I6*(1+$D7),I6*(1+$D8)))</f>
        <v>34.136136</v>
      </c>
      <c r="K6" s="4">
        <f t="shared" si="4"/>
        <v>34.204408272000002</v>
      </c>
      <c r="L6" s="4">
        <f t="shared" si="4"/>
        <v>34.272817088544002</v>
      </c>
      <c r="M6" s="4">
        <f t="shared" si="4"/>
        <v>34.341362722721094</v>
      </c>
      <c r="N6" s="4">
        <f t="shared" si="4"/>
        <v>34.410045448166535</v>
      </c>
      <c r="O6" s="4">
        <f t="shared" si="4"/>
        <v>34.478865539062866</v>
      </c>
      <c r="P6" s="4">
        <f t="shared" si="4"/>
        <v>34.547823270140995</v>
      </c>
      <c r="Q6" s="4">
        <f t="shared" si="4"/>
        <v>34.616918916681279</v>
      </c>
      <c r="R6" s="4">
        <f t="shared" si="4"/>
        <v>34.686152754514644</v>
      </c>
      <c r="S6" s="4">
        <f t="shared" si="4"/>
        <v>34.755525060023672</v>
      </c>
      <c r="T6" s="4">
        <f t="shared" si="4"/>
        <v>34.825036110143721</v>
      </c>
      <c r="U6" s="4">
        <f t="shared" si="4"/>
        <v>34.894686182364005</v>
      </c>
      <c r="V6" s="4">
        <f t="shared" si="4"/>
        <v>34.964475554728736</v>
      </c>
      <c r="W6" s="4">
        <f t="shared" si="4"/>
        <v>35.034404505838197</v>
      </c>
      <c r="X6" s="4">
        <f t="shared" si="4"/>
        <v>35.104473314849876</v>
      </c>
      <c r="Y6" s="4">
        <f t="shared" si="4"/>
        <v>35.174682261479575</v>
      </c>
      <c r="Z6" s="4">
        <f t="shared" si="4"/>
        <v>35.245031626002536</v>
      </c>
      <c r="AA6" s="4">
        <f t="shared" si="4"/>
        <v>35.315521689254538</v>
      </c>
      <c r="AB6" s="4">
        <f t="shared" si="4"/>
        <v>35.38615273263305</v>
      </c>
      <c r="AC6" s="4">
        <f t="shared" si="4"/>
        <v>35.456925038098319</v>
      </c>
      <c r="AD6" s="4">
        <f t="shared" si="4"/>
        <v>35.527838888174514</v>
      </c>
      <c r="AE6" s="4">
        <f t="shared" si="4"/>
        <v>35.598894565950864</v>
      </c>
      <c r="AF6" s="4">
        <f t="shared" si="4"/>
        <v>35.670092355082765</v>
      </c>
      <c r="AG6" s="4">
        <f t="shared" si="4"/>
        <v>36.347824109829332</v>
      </c>
      <c r="AH6" s="4">
        <f t="shared" si="4"/>
        <v>37.038432767916085</v>
      </c>
      <c r="AI6" s="4">
        <f t="shared" si="4"/>
        <v>37.742162990506486</v>
      </c>
      <c r="AJ6" s="4">
        <f t="shared" si="4"/>
        <v>38.459264087326105</v>
      </c>
      <c r="AK6" s="4">
        <f t="shared" si="4"/>
        <v>39.189990104985299</v>
      </c>
      <c r="AL6" s="4">
        <f t="shared" si="4"/>
        <v>39.934599916980012</v>
      </c>
      <c r="AM6" s="4">
        <f t="shared" si="4"/>
        <v>40.693357315402629</v>
      </c>
      <c r="AN6" s="4">
        <f t="shared" si="4"/>
        <v>41.466531104395273</v>
      </c>
      <c r="AO6" s="4">
        <f t="shared" si="4"/>
        <v>42.254395195378777</v>
      </c>
      <c r="AP6" s="4">
        <f t="shared" si="4"/>
        <v>43.057228704090967</v>
      </c>
      <c r="AQ6" s="4">
        <f t="shared" si="4"/>
        <v>43.315572076315512</v>
      </c>
      <c r="AR6" s="4">
        <f t="shared" si="4"/>
        <v>43.575465508773405</v>
      </c>
      <c r="AS6" s="4">
        <f t="shared" si="4"/>
        <v>43.836918301826046</v>
      </c>
      <c r="AT6" s="4">
        <f t="shared" si="4"/>
        <v>44.099939811637</v>
      </c>
      <c r="AU6" s="4">
        <f t="shared" si="4"/>
        <v>44.364539450506825</v>
      </c>
      <c r="AV6" s="4">
        <f t="shared" si="4"/>
        <v>44.630726687209865</v>
      </c>
      <c r="AW6" s="4">
        <f t="shared" si="4"/>
        <v>44.898511047333123</v>
      </c>
      <c r="AX6" s="4">
        <f t="shared" si="4"/>
        <v>45.167902113617124</v>
      </c>
      <c r="AY6" s="4">
        <f t="shared" si="4"/>
        <v>45.438909526298829</v>
      </c>
      <c r="AZ6" s="4">
        <f t="shared" si="4"/>
        <v>45.711542983456624</v>
      </c>
      <c r="BA6" s="4">
        <f t="shared" si="4"/>
        <v>45.985812241357365</v>
      </c>
      <c r="BB6" s="4">
        <f t="shared" si="4"/>
        <v>46.26172711480551</v>
      </c>
      <c r="BC6" s="4">
        <f t="shared" si="4"/>
        <v>46.539297477494344</v>
      </c>
      <c r="BD6" s="4">
        <f t="shared" si="4"/>
        <v>46.81853326235931</v>
      </c>
      <c r="BE6" s="4">
        <f t="shared" si="4"/>
        <v>47.099444461933466</v>
      </c>
      <c r="BF6" s="4">
        <f t="shared" si="4"/>
        <v>47.382041128705069</v>
      </c>
      <c r="BG6" s="4">
        <f t="shared" si="4"/>
        <v>47.666333375477301</v>
      </c>
      <c r="BH6" s="4">
        <f t="shared" si="4"/>
        <v>47.952331375730168</v>
      </c>
      <c r="BI6" s="4">
        <f t="shared" si="4"/>
        <v>48.240045363984549</v>
      </c>
      <c r="BJ6" s="4">
        <f t="shared" si="4"/>
        <v>48.529485636168459</v>
      </c>
      <c r="BK6" s="4">
        <f t="shared" si="4"/>
        <v>48.820662549985471</v>
      </c>
      <c r="BL6" s="4">
        <f t="shared" si="4"/>
        <v>49.113586525285385</v>
      </c>
    </row>
    <row r="7" spans="1:64" x14ac:dyDescent="0.2">
      <c r="C7" s="4">
        <f>H1+25</f>
        <v>2043</v>
      </c>
      <c r="D7" s="5">
        <v>1.9E-2</v>
      </c>
    </row>
    <row r="8" spans="1:64" x14ac:dyDescent="0.2">
      <c r="C8" s="4">
        <f>H1+35</f>
        <v>2053</v>
      </c>
      <c r="D8" s="5">
        <v>6.0000000000000001E-3</v>
      </c>
    </row>
    <row r="9" spans="1:64" x14ac:dyDescent="0.2">
      <c r="B9" s="4" t="s">
        <v>19</v>
      </c>
      <c r="D9" s="5">
        <v>0</v>
      </c>
      <c r="E9" s="4">
        <v>34</v>
      </c>
      <c r="G9" s="4">
        <f>SUM(H9:BL9)</f>
        <v>2859.1880062869454</v>
      </c>
      <c r="H9" s="4">
        <f>E9</f>
        <v>34</v>
      </c>
      <c r="I9" s="4">
        <f t="shared" ref="I9:BL9" si="5">IF(I$1&lt;$C10,H9*(1+$D9),IF(I$1&lt;$C11,H9*(1+$D10),H9*(1+$D11)))</f>
        <v>34</v>
      </c>
      <c r="J9" s="4">
        <f t="shared" si="5"/>
        <v>34</v>
      </c>
      <c r="K9" s="4">
        <f t="shared" si="5"/>
        <v>34</v>
      </c>
      <c r="L9" s="4">
        <f t="shared" si="5"/>
        <v>34</v>
      </c>
      <c r="M9" s="4">
        <f t="shared" si="5"/>
        <v>34.51</v>
      </c>
      <c r="N9" s="4">
        <f t="shared" si="5"/>
        <v>35.027649999999994</v>
      </c>
      <c r="O9" s="4">
        <f t="shared" si="5"/>
        <v>35.55306474999999</v>
      </c>
      <c r="P9" s="4">
        <f t="shared" si="5"/>
        <v>36.086360721249989</v>
      </c>
      <c r="Q9" s="4">
        <f t="shared" si="5"/>
        <v>36.627656132068736</v>
      </c>
      <c r="R9" s="4">
        <f t="shared" si="5"/>
        <v>37.177070974049762</v>
      </c>
      <c r="S9" s="4">
        <f t="shared" si="5"/>
        <v>37.734727038660502</v>
      </c>
      <c r="T9" s="4">
        <f t="shared" si="5"/>
        <v>38.300747944240406</v>
      </c>
      <c r="U9" s="4">
        <f t="shared" si="5"/>
        <v>38.87525916340401</v>
      </c>
      <c r="V9" s="4">
        <f t="shared" si="5"/>
        <v>39.458388050855064</v>
      </c>
      <c r="W9" s="4">
        <f t="shared" si="5"/>
        <v>40.050263871617886</v>
      </c>
      <c r="X9" s="4">
        <f t="shared" si="5"/>
        <v>40.651017829692151</v>
      </c>
      <c r="Y9" s="4">
        <f t="shared" si="5"/>
        <v>41.260783097137526</v>
      </c>
      <c r="Z9" s="4">
        <f t="shared" si="5"/>
        <v>41.879694843594585</v>
      </c>
      <c r="AA9" s="4">
        <f t="shared" si="5"/>
        <v>42.507890266248502</v>
      </c>
      <c r="AB9" s="4">
        <f t="shared" si="5"/>
        <v>43.145508620242225</v>
      </c>
      <c r="AC9" s="4">
        <f t="shared" si="5"/>
        <v>43.792691249545854</v>
      </c>
      <c r="AD9" s="4">
        <f t="shared" si="5"/>
        <v>44.449581618289038</v>
      </c>
      <c r="AE9" s="4">
        <f t="shared" si="5"/>
        <v>45.116325342563371</v>
      </c>
      <c r="AF9" s="4">
        <f t="shared" si="5"/>
        <v>45.793070222701814</v>
      </c>
      <c r="AG9" s="4">
        <f t="shared" si="5"/>
        <v>46.47996627604234</v>
      </c>
      <c r="AH9" s="4">
        <f t="shared" si="5"/>
        <v>47.177165770182974</v>
      </c>
      <c r="AI9" s="4">
        <f t="shared" si="5"/>
        <v>47.884823256735714</v>
      </c>
      <c r="AJ9" s="4">
        <f t="shared" si="5"/>
        <v>48.603095605586745</v>
      </c>
      <c r="AK9" s="4">
        <f t="shared" si="5"/>
        <v>49.332142039670543</v>
      </c>
      <c r="AL9" s="4">
        <f t="shared" si="5"/>
        <v>50.072124170265596</v>
      </c>
      <c r="AM9" s="4">
        <f t="shared" si="5"/>
        <v>50.823206032819577</v>
      </c>
      <c r="AN9" s="4">
        <f t="shared" si="5"/>
        <v>51.585554123311866</v>
      </c>
      <c r="AO9" s="4">
        <f t="shared" si="5"/>
        <v>52.359337435161535</v>
      </c>
      <c r="AP9" s="4">
        <f t="shared" si="5"/>
        <v>53.144727496688951</v>
      </c>
      <c r="AQ9" s="4">
        <f t="shared" si="5"/>
        <v>53.941898409139277</v>
      </c>
      <c r="AR9" s="4">
        <f t="shared" si="5"/>
        <v>54.75102688527636</v>
      </c>
      <c r="AS9" s="4">
        <f t="shared" si="5"/>
        <v>55.572292288555502</v>
      </c>
      <c r="AT9" s="4">
        <f t="shared" si="5"/>
        <v>56.405876672883828</v>
      </c>
      <c r="AU9" s="4">
        <f t="shared" si="5"/>
        <v>57.251964822977079</v>
      </c>
      <c r="AV9" s="4">
        <f t="shared" si="5"/>
        <v>58.11074429532173</v>
      </c>
      <c r="AW9" s="4">
        <f t="shared" si="5"/>
        <v>58.982405459751547</v>
      </c>
      <c r="AX9" s="4">
        <f t="shared" si="5"/>
        <v>59.867141541647811</v>
      </c>
      <c r="AY9" s="4">
        <f t="shared" si="5"/>
        <v>60.765148664772525</v>
      </c>
      <c r="AZ9" s="4">
        <f t="shared" si="5"/>
        <v>61.676625894744106</v>
      </c>
      <c r="BA9" s="4">
        <f t="shared" si="5"/>
        <v>62.60177528316526</v>
      </c>
      <c r="BB9" s="4">
        <f t="shared" si="5"/>
        <v>63.540801912412732</v>
      </c>
      <c r="BC9" s="4">
        <f t="shared" si="5"/>
        <v>64.49391394109891</v>
      </c>
      <c r="BD9" s="4">
        <f t="shared" si="5"/>
        <v>65.461322650215394</v>
      </c>
      <c r="BE9" s="4">
        <f t="shared" si="5"/>
        <v>66.443242489968611</v>
      </c>
      <c r="BF9" s="4">
        <f t="shared" si="5"/>
        <v>67.439891127318134</v>
      </c>
      <c r="BG9" s="4">
        <f t="shared" si="5"/>
        <v>68.4514894942279</v>
      </c>
      <c r="BH9" s="4">
        <f t="shared" si="5"/>
        <v>69.478261836641309</v>
      </c>
      <c r="BI9" s="4">
        <f t="shared" si="5"/>
        <v>70.520435764190921</v>
      </c>
      <c r="BJ9" s="4">
        <f t="shared" si="5"/>
        <v>71.578242300653784</v>
      </c>
      <c r="BK9" s="4">
        <f t="shared" si="5"/>
        <v>72.651915935163586</v>
      </c>
      <c r="BL9" s="4">
        <f t="shared" si="5"/>
        <v>73.741694674191038</v>
      </c>
    </row>
    <row r="10" spans="1:64" x14ac:dyDescent="0.2">
      <c r="C10" s="4">
        <f>H1+5</f>
        <v>2023</v>
      </c>
      <c r="D10" s="5">
        <v>1.4999999999999999E-2</v>
      </c>
    </row>
    <row r="11" spans="1:64" x14ac:dyDescent="0.2">
      <c r="C11" s="4">
        <f>H1+25</f>
        <v>2043</v>
      </c>
      <c r="D11" s="5">
        <v>1.4999999999999999E-2</v>
      </c>
    </row>
    <row r="12" spans="1:64" x14ac:dyDescent="0.2">
      <c r="B12" s="4" t="s">
        <v>1</v>
      </c>
      <c r="E12" s="4">
        <v>2000</v>
      </c>
    </row>
    <row r="13" spans="1:64" x14ac:dyDescent="0.2">
      <c r="B13" s="4" t="s">
        <v>0</v>
      </c>
      <c r="E13" s="16">
        <v>0.9</v>
      </c>
      <c r="F13" s="6"/>
      <c r="G13" s="6"/>
    </row>
    <row r="14" spans="1:64" x14ac:dyDescent="0.2">
      <c r="B14" s="4" t="s">
        <v>68</v>
      </c>
      <c r="F14" s="9"/>
      <c r="G14" s="4">
        <f>SUM(H14:BL14)</f>
        <v>20</v>
      </c>
      <c r="H14" s="4">
        <v>10</v>
      </c>
      <c r="I14" s="4">
        <v>10</v>
      </c>
    </row>
    <row r="15" spans="1:64" x14ac:dyDescent="0.2">
      <c r="B15" s="4" t="s">
        <v>49</v>
      </c>
      <c r="D15" s="6"/>
      <c r="F15" s="9"/>
      <c r="G15" s="4">
        <f>SUM(H15:BL15)</f>
        <v>140</v>
      </c>
      <c r="H15" s="4">
        <v>0</v>
      </c>
      <c r="I15" s="4">
        <v>0</v>
      </c>
      <c r="J15" s="4">
        <v>15</v>
      </c>
      <c r="K15" s="4">
        <v>15</v>
      </c>
      <c r="L15" s="4">
        <v>15</v>
      </c>
      <c r="M15" s="4">
        <v>95</v>
      </c>
    </row>
    <row r="16" spans="1:64" x14ac:dyDescent="0.2">
      <c r="B16" s="4" t="s">
        <v>65</v>
      </c>
      <c r="D16" s="6"/>
      <c r="E16" s="15">
        <v>1.5</v>
      </c>
      <c r="F16" s="9" t="s">
        <v>66</v>
      </c>
      <c r="G16" s="4">
        <f>SUM(H16:BL16)</f>
        <v>3000</v>
      </c>
      <c r="H16" s="4">
        <v>0</v>
      </c>
      <c r="I16" s="4">
        <v>0</v>
      </c>
      <c r="J16" s="4">
        <v>0</v>
      </c>
      <c r="K16" s="4">
        <v>0</v>
      </c>
      <c r="L16" s="4">
        <v>0</v>
      </c>
      <c r="M16" s="4">
        <v>0</v>
      </c>
      <c r="N16" s="4">
        <f>$E16*$E$12*0.2</f>
        <v>600</v>
      </c>
      <c r="O16" s="4">
        <f>$E16*$E$12*0.4</f>
        <v>1200</v>
      </c>
      <c r="P16" s="4">
        <f>$E16*$E$12*0.25</f>
        <v>750</v>
      </c>
      <c r="Q16" s="4">
        <f>$E16*$E$12*0.1</f>
        <v>300</v>
      </c>
      <c r="R16" s="4">
        <f>$E16*$E$12*0.05</f>
        <v>150</v>
      </c>
    </row>
    <row r="17" spans="1:64" x14ac:dyDescent="0.2">
      <c r="B17" s="4" t="s">
        <v>2</v>
      </c>
      <c r="D17" s="6"/>
      <c r="E17" s="18">
        <v>15</v>
      </c>
      <c r="F17" s="7"/>
      <c r="G17" s="7"/>
    </row>
    <row r="18" spans="1:64" x14ac:dyDescent="0.2">
      <c r="B18" s="4" t="s">
        <v>3</v>
      </c>
      <c r="C18" s="4">
        <f>H1+30</f>
        <v>2048</v>
      </c>
      <c r="D18" s="16">
        <v>0.06</v>
      </c>
      <c r="E18" s="4">
        <v>17</v>
      </c>
      <c r="G18" s="4">
        <f>SUM(H18:BL18)</f>
        <v>1657.977897524702</v>
      </c>
      <c r="H18" s="4">
        <f>E18</f>
        <v>17</v>
      </c>
      <c r="I18" s="4">
        <f t="shared" ref="I18:BL18" si="6">IF(I1&lt;$C$18,H18,H18*(1+$D$18))</f>
        <v>17</v>
      </c>
      <c r="J18" s="4">
        <f t="shared" si="6"/>
        <v>17</v>
      </c>
      <c r="K18" s="4">
        <f t="shared" si="6"/>
        <v>17</v>
      </c>
      <c r="L18" s="4">
        <f t="shared" si="6"/>
        <v>17</v>
      </c>
      <c r="M18" s="4">
        <f t="shared" si="6"/>
        <v>17</v>
      </c>
      <c r="N18" s="4">
        <f t="shared" si="6"/>
        <v>17</v>
      </c>
      <c r="O18" s="4">
        <f t="shared" si="6"/>
        <v>17</v>
      </c>
      <c r="P18" s="4">
        <f t="shared" si="6"/>
        <v>17</v>
      </c>
      <c r="Q18" s="4">
        <f t="shared" si="6"/>
        <v>17</v>
      </c>
      <c r="R18" s="4">
        <f t="shared" si="6"/>
        <v>17</v>
      </c>
      <c r="S18" s="4">
        <f t="shared" si="6"/>
        <v>17</v>
      </c>
      <c r="T18" s="4">
        <f t="shared" si="6"/>
        <v>17</v>
      </c>
      <c r="U18" s="4">
        <f t="shared" si="6"/>
        <v>17</v>
      </c>
      <c r="V18" s="4">
        <f t="shared" si="6"/>
        <v>17</v>
      </c>
      <c r="W18" s="4">
        <f t="shared" si="6"/>
        <v>17</v>
      </c>
      <c r="X18" s="4">
        <f t="shared" si="6"/>
        <v>17</v>
      </c>
      <c r="Y18" s="4">
        <f t="shared" si="6"/>
        <v>17</v>
      </c>
      <c r="Z18" s="4">
        <f t="shared" si="6"/>
        <v>17</v>
      </c>
      <c r="AA18" s="4">
        <f t="shared" si="6"/>
        <v>17</v>
      </c>
      <c r="AB18" s="4">
        <f t="shared" si="6"/>
        <v>17</v>
      </c>
      <c r="AC18" s="4">
        <f t="shared" si="6"/>
        <v>17</v>
      </c>
      <c r="AD18" s="4">
        <f t="shared" si="6"/>
        <v>17</v>
      </c>
      <c r="AE18" s="4">
        <f t="shared" si="6"/>
        <v>17</v>
      </c>
      <c r="AF18" s="4">
        <f t="shared" si="6"/>
        <v>17</v>
      </c>
      <c r="AG18" s="4">
        <f t="shared" si="6"/>
        <v>17</v>
      </c>
      <c r="AH18" s="4">
        <f t="shared" si="6"/>
        <v>17</v>
      </c>
      <c r="AI18" s="4">
        <f t="shared" si="6"/>
        <v>17</v>
      </c>
      <c r="AJ18" s="4">
        <f t="shared" si="6"/>
        <v>17</v>
      </c>
      <c r="AK18" s="4">
        <f t="shared" si="6"/>
        <v>17</v>
      </c>
      <c r="AL18" s="4">
        <f t="shared" si="6"/>
        <v>18.02</v>
      </c>
      <c r="AM18" s="4">
        <f t="shared" si="6"/>
        <v>19.101200000000002</v>
      </c>
      <c r="AN18" s="4">
        <f t="shared" si="6"/>
        <v>20.247272000000002</v>
      </c>
      <c r="AO18" s="4">
        <f t="shared" si="6"/>
        <v>21.462108320000002</v>
      </c>
      <c r="AP18" s="4">
        <f t="shared" si="6"/>
        <v>22.749834819200004</v>
      </c>
      <c r="AQ18" s="4">
        <f t="shared" si="6"/>
        <v>24.114824908352006</v>
      </c>
      <c r="AR18" s="4">
        <f t="shared" si="6"/>
        <v>25.561714402853127</v>
      </c>
      <c r="AS18" s="4">
        <f t="shared" si="6"/>
        <v>27.095417267024317</v>
      </c>
      <c r="AT18" s="4">
        <f t="shared" si="6"/>
        <v>28.721142303045777</v>
      </c>
      <c r="AU18" s="4">
        <f t="shared" si="6"/>
        <v>30.444410841228525</v>
      </c>
      <c r="AV18" s="4">
        <f t="shared" si="6"/>
        <v>32.271075491702234</v>
      </c>
      <c r="AW18" s="4">
        <f t="shared" si="6"/>
        <v>34.207340021204367</v>
      </c>
      <c r="AX18" s="4">
        <f t="shared" si="6"/>
        <v>36.259780422476631</v>
      </c>
      <c r="AY18" s="4">
        <f t="shared" si="6"/>
        <v>38.435367247825234</v>
      </c>
      <c r="AZ18" s="4">
        <f t="shared" si="6"/>
        <v>40.741489282694751</v>
      </c>
      <c r="BA18" s="4">
        <f t="shared" si="6"/>
        <v>43.18597863965644</v>
      </c>
      <c r="BB18" s="4">
        <f t="shared" si="6"/>
        <v>45.77713735803583</v>
      </c>
      <c r="BC18" s="4">
        <f t="shared" si="6"/>
        <v>48.523765599517979</v>
      </c>
      <c r="BD18" s="4">
        <f t="shared" si="6"/>
        <v>51.435191535489061</v>
      </c>
      <c r="BE18" s="4">
        <f t="shared" si="6"/>
        <v>54.521303027618409</v>
      </c>
      <c r="BF18" s="4">
        <f t="shared" si="6"/>
        <v>57.792581209275518</v>
      </c>
      <c r="BG18" s="4">
        <f t="shared" si="6"/>
        <v>61.260136081832052</v>
      </c>
      <c r="BH18" s="4">
        <f t="shared" si="6"/>
        <v>64.935744246741976</v>
      </c>
      <c r="BI18" s="4">
        <f t="shared" si="6"/>
        <v>68.831888901546492</v>
      </c>
      <c r="BJ18" s="4">
        <f t="shared" si="6"/>
        <v>72.961802235639283</v>
      </c>
      <c r="BK18" s="4">
        <f t="shared" si="6"/>
        <v>77.339510369777642</v>
      </c>
      <c r="BL18" s="4">
        <f t="shared" si="6"/>
        <v>81.979880991964308</v>
      </c>
    </row>
    <row r="19" spans="1:64" x14ac:dyDescent="0.2">
      <c r="B19" s="4" t="s">
        <v>69</v>
      </c>
      <c r="E19" s="4">
        <f>E12*E13*365*24/1000000</f>
        <v>15.768000000000001</v>
      </c>
    </row>
    <row r="20" spans="1:64" x14ac:dyDescent="0.2">
      <c r="B20" s="4" t="s">
        <v>67</v>
      </c>
      <c r="D20" s="6"/>
      <c r="E20" s="41">
        <v>500</v>
      </c>
    </row>
    <row r="21" spans="1:64" x14ac:dyDescent="0.2">
      <c r="D21" s="6"/>
    </row>
    <row r="22" spans="1:64" x14ac:dyDescent="0.2">
      <c r="A22" s="4" t="s">
        <v>199</v>
      </c>
      <c r="D22" s="6"/>
    </row>
    <row r="23" spans="1:64" x14ac:dyDescent="0.2">
      <c r="B23" s="4" t="s">
        <v>200</v>
      </c>
      <c r="C23" s="34">
        <v>0</v>
      </c>
      <c r="D23" s="6"/>
    </row>
    <row r="24" spans="1:64" x14ac:dyDescent="0.2">
      <c r="B24" s="4" t="s">
        <v>51</v>
      </c>
      <c r="C24" s="34">
        <v>0</v>
      </c>
      <c r="D24" s="6"/>
    </row>
    <row r="25" spans="1:64" x14ac:dyDescent="0.2">
      <c r="B25" s="4" t="s">
        <v>52</v>
      </c>
      <c r="C25" s="34">
        <v>0</v>
      </c>
      <c r="D25" s="6"/>
    </row>
    <row r="26" spans="1:64" x14ac:dyDescent="0.2">
      <c r="D26" s="6"/>
    </row>
    <row r="27" spans="1:64" x14ac:dyDescent="0.2">
      <c r="A27" s="14" t="s">
        <v>4</v>
      </c>
      <c r="D27" s="6"/>
    </row>
    <row r="28" spans="1:64" x14ac:dyDescent="0.2">
      <c r="A28" s="14"/>
      <c r="B28" s="14" t="s">
        <v>50</v>
      </c>
      <c r="C28" s="4">
        <f>H1</f>
        <v>2018</v>
      </c>
      <c r="D28" s="6"/>
      <c r="H28" s="40">
        <f>IF(H1=$C$28,$C$23,0)</f>
        <v>0</v>
      </c>
      <c r="I28" s="4">
        <f t="shared" ref="I28:BL28" si="7">IF(I1=$C$28,$C$23,0)</f>
        <v>0</v>
      </c>
      <c r="J28" s="4">
        <f t="shared" si="7"/>
        <v>0</v>
      </c>
      <c r="K28" s="4">
        <f t="shared" si="7"/>
        <v>0</v>
      </c>
      <c r="L28" s="4">
        <f t="shared" si="7"/>
        <v>0</v>
      </c>
      <c r="M28" s="4">
        <f t="shared" si="7"/>
        <v>0</v>
      </c>
      <c r="N28" s="4">
        <f t="shared" si="7"/>
        <v>0</v>
      </c>
      <c r="O28" s="4">
        <f t="shared" si="7"/>
        <v>0</v>
      </c>
      <c r="P28" s="4">
        <f t="shared" si="7"/>
        <v>0</v>
      </c>
      <c r="Q28" s="4">
        <f t="shared" si="7"/>
        <v>0</v>
      </c>
      <c r="R28" s="4">
        <f t="shared" si="7"/>
        <v>0</v>
      </c>
      <c r="S28" s="4">
        <f t="shared" si="7"/>
        <v>0</v>
      </c>
      <c r="T28" s="4">
        <f t="shared" si="7"/>
        <v>0</v>
      </c>
      <c r="U28" s="4">
        <f t="shared" si="7"/>
        <v>0</v>
      </c>
      <c r="V28" s="4">
        <f t="shared" si="7"/>
        <v>0</v>
      </c>
      <c r="W28" s="4">
        <f t="shared" si="7"/>
        <v>0</v>
      </c>
      <c r="X28" s="4">
        <f t="shared" si="7"/>
        <v>0</v>
      </c>
      <c r="Y28" s="4">
        <f t="shared" si="7"/>
        <v>0</v>
      </c>
      <c r="Z28" s="4">
        <f t="shared" si="7"/>
        <v>0</v>
      </c>
      <c r="AA28" s="4">
        <f t="shared" si="7"/>
        <v>0</v>
      </c>
      <c r="AB28" s="4">
        <f t="shared" si="7"/>
        <v>0</v>
      </c>
      <c r="AC28" s="4">
        <f t="shared" si="7"/>
        <v>0</v>
      </c>
      <c r="AD28" s="4">
        <f t="shared" si="7"/>
        <v>0</v>
      </c>
      <c r="AE28" s="4">
        <f t="shared" si="7"/>
        <v>0</v>
      </c>
      <c r="AF28" s="4">
        <f t="shared" si="7"/>
        <v>0</v>
      </c>
      <c r="AG28" s="4">
        <f t="shared" si="7"/>
        <v>0</v>
      </c>
      <c r="AH28" s="4">
        <f t="shared" si="7"/>
        <v>0</v>
      </c>
      <c r="AI28" s="4">
        <f t="shared" si="7"/>
        <v>0</v>
      </c>
      <c r="AJ28" s="4">
        <f t="shared" si="7"/>
        <v>0</v>
      </c>
      <c r="AK28" s="4">
        <f t="shared" si="7"/>
        <v>0</v>
      </c>
      <c r="AL28" s="4">
        <f t="shared" si="7"/>
        <v>0</v>
      </c>
      <c r="AM28" s="4">
        <f t="shared" si="7"/>
        <v>0</v>
      </c>
      <c r="AN28" s="4">
        <f t="shared" si="7"/>
        <v>0</v>
      </c>
      <c r="AO28" s="4">
        <f t="shared" si="7"/>
        <v>0</v>
      </c>
      <c r="AP28" s="4">
        <f t="shared" si="7"/>
        <v>0</v>
      </c>
      <c r="AQ28" s="4">
        <f t="shared" si="7"/>
        <v>0</v>
      </c>
      <c r="AR28" s="4">
        <f t="shared" si="7"/>
        <v>0</v>
      </c>
      <c r="AS28" s="4">
        <f t="shared" si="7"/>
        <v>0</v>
      </c>
      <c r="AT28" s="4">
        <f t="shared" si="7"/>
        <v>0</v>
      </c>
      <c r="AU28" s="4">
        <f t="shared" si="7"/>
        <v>0</v>
      </c>
      <c r="AV28" s="4">
        <f t="shared" si="7"/>
        <v>0</v>
      </c>
      <c r="AW28" s="4">
        <f t="shared" si="7"/>
        <v>0</v>
      </c>
      <c r="AX28" s="4">
        <f t="shared" si="7"/>
        <v>0</v>
      </c>
      <c r="AY28" s="4">
        <f t="shared" si="7"/>
        <v>0</v>
      </c>
      <c r="AZ28" s="4">
        <f t="shared" si="7"/>
        <v>0</v>
      </c>
      <c r="BA28" s="4">
        <f t="shared" si="7"/>
        <v>0</v>
      </c>
      <c r="BB28" s="4">
        <f t="shared" si="7"/>
        <v>0</v>
      </c>
      <c r="BC28" s="4">
        <f t="shared" si="7"/>
        <v>0</v>
      </c>
      <c r="BD28" s="4">
        <f t="shared" si="7"/>
        <v>0</v>
      </c>
      <c r="BE28" s="4">
        <f t="shared" si="7"/>
        <v>0</v>
      </c>
      <c r="BF28" s="4">
        <f t="shared" si="7"/>
        <v>0</v>
      </c>
      <c r="BG28" s="4">
        <f t="shared" si="7"/>
        <v>0</v>
      </c>
      <c r="BH28" s="4">
        <f t="shared" si="7"/>
        <v>0</v>
      </c>
      <c r="BI28" s="4">
        <f t="shared" si="7"/>
        <v>0</v>
      </c>
      <c r="BJ28" s="4">
        <f t="shared" si="7"/>
        <v>0</v>
      </c>
      <c r="BK28" s="4">
        <f t="shared" si="7"/>
        <v>0</v>
      </c>
      <c r="BL28" s="4">
        <f t="shared" si="7"/>
        <v>0</v>
      </c>
    </row>
    <row r="29" spans="1:64" x14ac:dyDescent="0.2">
      <c r="A29" s="14"/>
      <c r="B29" s="14" t="s">
        <v>51</v>
      </c>
      <c r="C29" s="4">
        <f>C28+2</f>
        <v>2020</v>
      </c>
      <c r="D29" s="6"/>
      <c r="H29" s="40">
        <f>IF(H1=$C$29,$C$24,0)</f>
        <v>0</v>
      </c>
      <c r="I29" s="4">
        <f t="shared" ref="I29:BL29" si="8">IF(I1=$C$29,$C$24,0)</f>
        <v>0</v>
      </c>
      <c r="J29" s="4">
        <f t="shared" si="8"/>
        <v>0</v>
      </c>
      <c r="K29" s="4">
        <f t="shared" si="8"/>
        <v>0</v>
      </c>
      <c r="L29" s="4">
        <f t="shared" si="8"/>
        <v>0</v>
      </c>
      <c r="M29" s="4">
        <f t="shared" si="8"/>
        <v>0</v>
      </c>
      <c r="N29" s="4">
        <f t="shared" si="8"/>
        <v>0</v>
      </c>
      <c r="O29" s="4">
        <f t="shared" si="8"/>
        <v>0</v>
      </c>
      <c r="P29" s="4">
        <f t="shared" si="8"/>
        <v>0</v>
      </c>
      <c r="Q29" s="4">
        <f t="shared" si="8"/>
        <v>0</v>
      </c>
      <c r="R29" s="4">
        <f t="shared" si="8"/>
        <v>0</v>
      </c>
      <c r="S29" s="4">
        <f t="shared" si="8"/>
        <v>0</v>
      </c>
      <c r="T29" s="4">
        <f t="shared" si="8"/>
        <v>0</v>
      </c>
      <c r="U29" s="4">
        <f t="shared" si="8"/>
        <v>0</v>
      </c>
      <c r="V29" s="4">
        <f t="shared" si="8"/>
        <v>0</v>
      </c>
      <c r="W29" s="4">
        <f t="shared" si="8"/>
        <v>0</v>
      </c>
      <c r="X29" s="4">
        <f t="shared" si="8"/>
        <v>0</v>
      </c>
      <c r="Y29" s="4">
        <f t="shared" si="8"/>
        <v>0</v>
      </c>
      <c r="Z29" s="4">
        <f t="shared" si="8"/>
        <v>0</v>
      </c>
      <c r="AA29" s="4">
        <f t="shared" si="8"/>
        <v>0</v>
      </c>
      <c r="AB29" s="4">
        <f t="shared" si="8"/>
        <v>0</v>
      </c>
      <c r="AC29" s="4">
        <f t="shared" si="8"/>
        <v>0</v>
      </c>
      <c r="AD29" s="4">
        <f t="shared" si="8"/>
        <v>0</v>
      </c>
      <c r="AE29" s="4">
        <f t="shared" si="8"/>
        <v>0</v>
      </c>
      <c r="AF29" s="4">
        <f t="shared" si="8"/>
        <v>0</v>
      </c>
      <c r="AG29" s="4">
        <f t="shared" si="8"/>
        <v>0</v>
      </c>
      <c r="AH29" s="4">
        <f t="shared" si="8"/>
        <v>0</v>
      </c>
      <c r="AI29" s="4">
        <f t="shared" si="8"/>
        <v>0</v>
      </c>
      <c r="AJ29" s="4">
        <f t="shared" si="8"/>
        <v>0</v>
      </c>
      <c r="AK29" s="4">
        <f t="shared" si="8"/>
        <v>0</v>
      </c>
      <c r="AL29" s="4">
        <f t="shared" si="8"/>
        <v>0</v>
      </c>
      <c r="AM29" s="4">
        <f t="shared" si="8"/>
        <v>0</v>
      </c>
      <c r="AN29" s="4">
        <f t="shared" si="8"/>
        <v>0</v>
      </c>
      <c r="AO29" s="4">
        <f t="shared" si="8"/>
        <v>0</v>
      </c>
      <c r="AP29" s="4">
        <f t="shared" si="8"/>
        <v>0</v>
      </c>
      <c r="AQ29" s="4">
        <f t="shared" si="8"/>
        <v>0</v>
      </c>
      <c r="AR29" s="4">
        <f t="shared" si="8"/>
        <v>0</v>
      </c>
      <c r="AS29" s="4">
        <f t="shared" si="8"/>
        <v>0</v>
      </c>
      <c r="AT29" s="4">
        <f t="shared" si="8"/>
        <v>0</v>
      </c>
      <c r="AU29" s="4">
        <f t="shared" si="8"/>
        <v>0</v>
      </c>
      <c r="AV29" s="4">
        <f t="shared" si="8"/>
        <v>0</v>
      </c>
      <c r="AW29" s="4">
        <f t="shared" si="8"/>
        <v>0</v>
      </c>
      <c r="AX29" s="4">
        <f t="shared" si="8"/>
        <v>0</v>
      </c>
      <c r="AY29" s="4">
        <f t="shared" si="8"/>
        <v>0</v>
      </c>
      <c r="AZ29" s="4">
        <f t="shared" si="8"/>
        <v>0</v>
      </c>
      <c r="BA29" s="4">
        <f t="shared" si="8"/>
        <v>0</v>
      </c>
      <c r="BB29" s="4">
        <f t="shared" si="8"/>
        <v>0</v>
      </c>
      <c r="BC29" s="4">
        <f t="shared" si="8"/>
        <v>0</v>
      </c>
      <c r="BD29" s="4">
        <f t="shared" si="8"/>
        <v>0</v>
      </c>
      <c r="BE29" s="4">
        <f t="shared" si="8"/>
        <v>0</v>
      </c>
      <c r="BF29" s="4">
        <f t="shared" si="8"/>
        <v>0</v>
      </c>
      <c r="BG29" s="4">
        <f t="shared" si="8"/>
        <v>0</v>
      </c>
      <c r="BH29" s="4">
        <f t="shared" si="8"/>
        <v>0</v>
      </c>
      <c r="BI29" s="4">
        <f t="shared" si="8"/>
        <v>0</v>
      </c>
      <c r="BJ29" s="4">
        <f t="shared" si="8"/>
        <v>0</v>
      </c>
      <c r="BK29" s="4">
        <f t="shared" si="8"/>
        <v>0</v>
      </c>
      <c r="BL29" s="4">
        <f t="shared" si="8"/>
        <v>0</v>
      </c>
    </row>
    <row r="30" spans="1:64" x14ac:dyDescent="0.2">
      <c r="A30" s="14"/>
      <c r="B30" s="14" t="s">
        <v>52</v>
      </c>
      <c r="C30" s="4">
        <f>C28+6</f>
        <v>2024</v>
      </c>
      <c r="H30" s="40">
        <f>IF(AND(G33=3,H1=$C$30),$C$25,0)</f>
        <v>0</v>
      </c>
      <c r="I30" s="4">
        <f t="shared" ref="I30:BL30" si="9">IF(AND(H33=3,I1=$C$30),$C$25,0)</f>
        <v>0</v>
      </c>
      <c r="J30" s="4">
        <f t="shared" si="9"/>
        <v>0</v>
      </c>
      <c r="K30" s="4">
        <f t="shared" si="9"/>
        <v>0</v>
      </c>
      <c r="L30" s="4">
        <f t="shared" si="9"/>
        <v>0</v>
      </c>
      <c r="M30" s="4">
        <f t="shared" si="9"/>
        <v>0</v>
      </c>
      <c r="N30" s="4">
        <f t="shared" si="9"/>
        <v>0</v>
      </c>
      <c r="O30" s="4">
        <f t="shared" si="9"/>
        <v>0</v>
      </c>
      <c r="P30" s="4">
        <f t="shared" si="9"/>
        <v>0</v>
      </c>
      <c r="Q30" s="4">
        <f t="shared" si="9"/>
        <v>0</v>
      </c>
      <c r="R30" s="4">
        <f t="shared" si="9"/>
        <v>0</v>
      </c>
      <c r="S30" s="4">
        <f t="shared" si="9"/>
        <v>0</v>
      </c>
      <c r="T30" s="4">
        <f t="shared" si="9"/>
        <v>0</v>
      </c>
      <c r="U30" s="4">
        <f t="shared" si="9"/>
        <v>0</v>
      </c>
      <c r="V30" s="4">
        <f t="shared" si="9"/>
        <v>0</v>
      </c>
      <c r="W30" s="4">
        <f t="shared" si="9"/>
        <v>0</v>
      </c>
      <c r="X30" s="4">
        <f t="shared" si="9"/>
        <v>0</v>
      </c>
      <c r="Y30" s="4">
        <f t="shared" si="9"/>
        <v>0</v>
      </c>
      <c r="Z30" s="4">
        <f t="shared" si="9"/>
        <v>0</v>
      </c>
      <c r="AA30" s="4">
        <f t="shared" si="9"/>
        <v>0</v>
      </c>
      <c r="AB30" s="4">
        <f t="shared" si="9"/>
        <v>0</v>
      </c>
      <c r="AC30" s="4">
        <f t="shared" si="9"/>
        <v>0</v>
      </c>
      <c r="AD30" s="4">
        <f t="shared" si="9"/>
        <v>0</v>
      </c>
      <c r="AE30" s="4">
        <f t="shared" si="9"/>
        <v>0</v>
      </c>
      <c r="AF30" s="4">
        <f t="shared" si="9"/>
        <v>0</v>
      </c>
      <c r="AG30" s="4">
        <f t="shared" si="9"/>
        <v>0</v>
      </c>
      <c r="AH30" s="4">
        <f t="shared" si="9"/>
        <v>0</v>
      </c>
      <c r="AI30" s="4">
        <f t="shared" si="9"/>
        <v>0</v>
      </c>
      <c r="AJ30" s="4">
        <f t="shared" si="9"/>
        <v>0</v>
      </c>
      <c r="AK30" s="4">
        <f t="shared" si="9"/>
        <v>0</v>
      </c>
      <c r="AL30" s="4">
        <f t="shared" si="9"/>
        <v>0</v>
      </c>
      <c r="AM30" s="4">
        <f t="shared" si="9"/>
        <v>0</v>
      </c>
      <c r="AN30" s="4">
        <f t="shared" si="9"/>
        <v>0</v>
      </c>
      <c r="AO30" s="4">
        <f t="shared" si="9"/>
        <v>0</v>
      </c>
      <c r="AP30" s="4">
        <f t="shared" si="9"/>
        <v>0</v>
      </c>
      <c r="AQ30" s="4">
        <f t="shared" si="9"/>
        <v>0</v>
      </c>
      <c r="AR30" s="4">
        <f t="shared" si="9"/>
        <v>0</v>
      </c>
      <c r="AS30" s="4">
        <f t="shared" si="9"/>
        <v>0</v>
      </c>
      <c r="AT30" s="4">
        <f t="shared" si="9"/>
        <v>0</v>
      </c>
      <c r="AU30" s="4">
        <f t="shared" si="9"/>
        <v>0</v>
      </c>
      <c r="AV30" s="4">
        <f t="shared" si="9"/>
        <v>0</v>
      </c>
      <c r="AW30" s="4">
        <f t="shared" si="9"/>
        <v>0</v>
      </c>
      <c r="AX30" s="4">
        <f t="shared" si="9"/>
        <v>0</v>
      </c>
      <c r="AY30" s="4">
        <f t="shared" si="9"/>
        <v>0</v>
      </c>
      <c r="AZ30" s="4">
        <f t="shared" si="9"/>
        <v>0</v>
      </c>
      <c r="BA30" s="4">
        <f t="shared" si="9"/>
        <v>0</v>
      </c>
      <c r="BB30" s="4">
        <f t="shared" si="9"/>
        <v>0</v>
      </c>
      <c r="BC30" s="4">
        <f t="shared" si="9"/>
        <v>0</v>
      </c>
      <c r="BD30" s="4">
        <f t="shared" si="9"/>
        <v>0</v>
      </c>
      <c r="BE30" s="4">
        <f t="shared" si="9"/>
        <v>0</v>
      </c>
      <c r="BF30" s="4">
        <f t="shared" si="9"/>
        <v>0</v>
      </c>
      <c r="BG30" s="4">
        <f t="shared" si="9"/>
        <v>0</v>
      </c>
      <c r="BH30" s="4">
        <f t="shared" si="9"/>
        <v>0</v>
      </c>
      <c r="BI30" s="4">
        <f t="shared" si="9"/>
        <v>0</v>
      </c>
      <c r="BJ30" s="4">
        <f t="shared" si="9"/>
        <v>0</v>
      </c>
      <c r="BK30" s="4">
        <f t="shared" si="9"/>
        <v>0</v>
      </c>
      <c r="BL30" s="4">
        <f t="shared" si="9"/>
        <v>0</v>
      </c>
    </row>
    <row r="31" spans="1:64" x14ac:dyDescent="0.2">
      <c r="A31" s="14"/>
      <c r="B31" s="14" t="s">
        <v>53</v>
      </c>
      <c r="C31" s="4">
        <f>C28+10</f>
        <v>2028</v>
      </c>
      <c r="H31" s="4">
        <f>IF(AND(G33=4,H1=$C$31),1,0)</f>
        <v>0</v>
      </c>
      <c r="I31" s="4">
        <f t="shared" ref="I31:BL31" si="10">IF(AND(H33=4,I1=$C$31),1,0)</f>
        <v>0</v>
      </c>
      <c r="J31" s="4">
        <f t="shared" si="10"/>
        <v>0</v>
      </c>
      <c r="K31" s="4">
        <f t="shared" si="10"/>
        <v>0</v>
      </c>
      <c r="L31" s="4">
        <f t="shared" si="10"/>
        <v>0</v>
      </c>
      <c r="M31" s="4">
        <f t="shared" si="10"/>
        <v>0</v>
      </c>
      <c r="N31" s="4">
        <f t="shared" si="10"/>
        <v>0</v>
      </c>
      <c r="O31" s="4">
        <f t="shared" si="10"/>
        <v>0</v>
      </c>
      <c r="P31" s="4">
        <f t="shared" si="10"/>
        <v>0</v>
      </c>
      <c r="Q31" s="4">
        <f t="shared" si="10"/>
        <v>0</v>
      </c>
      <c r="R31" s="4">
        <f t="shared" si="10"/>
        <v>0</v>
      </c>
      <c r="S31" s="4">
        <f t="shared" si="10"/>
        <v>0</v>
      </c>
      <c r="T31" s="4">
        <f t="shared" si="10"/>
        <v>0</v>
      </c>
      <c r="U31" s="4">
        <f t="shared" si="10"/>
        <v>0</v>
      </c>
      <c r="V31" s="4">
        <f t="shared" si="10"/>
        <v>0</v>
      </c>
      <c r="W31" s="4">
        <f t="shared" si="10"/>
        <v>0</v>
      </c>
      <c r="X31" s="4">
        <f t="shared" si="10"/>
        <v>0</v>
      </c>
      <c r="Y31" s="4">
        <f t="shared" si="10"/>
        <v>0</v>
      </c>
      <c r="Z31" s="4">
        <f t="shared" si="10"/>
        <v>0</v>
      </c>
      <c r="AA31" s="4">
        <f t="shared" si="10"/>
        <v>0</v>
      </c>
      <c r="AB31" s="4">
        <f t="shared" si="10"/>
        <v>0</v>
      </c>
      <c r="AC31" s="4">
        <f t="shared" si="10"/>
        <v>0</v>
      </c>
      <c r="AD31" s="4">
        <f t="shared" si="10"/>
        <v>0</v>
      </c>
      <c r="AE31" s="4">
        <f t="shared" si="10"/>
        <v>0</v>
      </c>
      <c r="AF31" s="4">
        <f t="shared" si="10"/>
        <v>0</v>
      </c>
      <c r="AG31" s="4">
        <f t="shared" si="10"/>
        <v>0</v>
      </c>
      <c r="AH31" s="4">
        <f t="shared" si="10"/>
        <v>0</v>
      </c>
      <c r="AI31" s="4">
        <f t="shared" si="10"/>
        <v>0</v>
      </c>
      <c r="AJ31" s="4">
        <f t="shared" si="10"/>
        <v>0</v>
      </c>
      <c r="AK31" s="4">
        <f t="shared" si="10"/>
        <v>0</v>
      </c>
      <c r="AL31" s="4">
        <f t="shared" si="10"/>
        <v>0</v>
      </c>
      <c r="AM31" s="4">
        <f t="shared" si="10"/>
        <v>0</v>
      </c>
      <c r="AN31" s="4">
        <f t="shared" si="10"/>
        <v>0</v>
      </c>
      <c r="AO31" s="4">
        <f t="shared" si="10"/>
        <v>0</v>
      </c>
      <c r="AP31" s="4">
        <f t="shared" si="10"/>
        <v>0</v>
      </c>
      <c r="AQ31" s="4">
        <f t="shared" si="10"/>
        <v>0</v>
      </c>
      <c r="AR31" s="4">
        <f t="shared" si="10"/>
        <v>0</v>
      </c>
      <c r="AS31" s="4">
        <f t="shared" si="10"/>
        <v>0</v>
      </c>
      <c r="AT31" s="4">
        <f t="shared" si="10"/>
        <v>0</v>
      </c>
      <c r="AU31" s="4">
        <f t="shared" si="10"/>
        <v>0</v>
      </c>
      <c r="AV31" s="4">
        <f t="shared" si="10"/>
        <v>0</v>
      </c>
      <c r="AW31" s="4">
        <f t="shared" si="10"/>
        <v>0</v>
      </c>
      <c r="AX31" s="4">
        <f t="shared" si="10"/>
        <v>0</v>
      </c>
      <c r="AY31" s="4">
        <f t="shared" si="10"/>
        <v>0</v>
      </c>
      <c r="AZ31" s="4">
        <f t="shared" si="10"/>
        <v>0</v>
      </c>
      <c r="BA31" s="4">
        <f t="shared" si="10"/>
        <v>0</v>
      </c>
      <c r="BB31" s="4">
        <f t="shared" si="10"/>
        <v>0</v>
      </c>
      <c r="BC31" s="4">
        <f t="shared" si="10"/>
        <v>0</v>
      </c>
      <c r="BD31" s="4">
        <f t="shared" si="10"/>
        <v>0</v>
      </c>
      <c r="BE31" s="4">
        <f t="shared" si="10"/>
        <v>0</v>
      </c>
      <c r="BF31" s="4">
        <f t="shared" si="10"/>
        <v>0</v>
      </c>
      <c r="BG31" s="4">
        <f t="shared" si="10"/>
        <v>0</v>
      </c>
      <c r="BH31" s="4">
        <f t="shared" si="10"/>
        <v>0</v>
      </c>
      <c r="BI31" s="4">
        <f t="shared" si="10"/>
        <v>0</v>
      </c>
      <c r="BJ31" s="4">
        <f t="shared" si="10"/>
        <v>0</v>
      </c>
      <c r="BK31" s="4">
        <f t="shared" si="10"/>
        <v>0</v>
      </c>
      <c r="BL31" s="4">
        <f t="shared" si="10"/>
        <v>0</v>
      </c>
    </row>
    <row r="32" spans="1:64" x14ac:dyDescent="0.2">
      <c r="A32" s="14"/>
      <c r="B32" s="14" t="s">
        <v>54</v>
      </c>
      <c r="C32" s="4">
        <f>C28+56</f>
        <v>2074</v>
      </c>
      <c r="D32" s="6"/>
      <c r="H32" s="4">
        <f>IF(OR(G33=4,G33=5),IF(OR(H34*$E$19&lt;$E$17,H1=$C$32),1,0),0)</f>
        <v>0</v>
      </c>
      <c r="I32" s="4">
        <f t="shared" ref="I32:BL32" si="11">IF(OR(H33=4,H33=5),IF(OR(I34*$E$19&lt;$E$17,I1=$C$32),1,0),0)</f>
        <v>0</v>
      </c>
      <c r="J32" s="4">
        <f t="shared" si="11"/>
        <v>0</v>
      </c>
      <c r="K32" s="4">
        <f t="shared" si="11"/>
        <v>0</v>
      </c>
      <c r="L32" s="4">
        <f t="shared" si="11"/>
        <v>0</v>
      </c>
      <c r="M32" s="4">
        <f t="shared" si="11"/>
        <v>0</v>
      </c>
      <c r="N32" s="4">
        <f t="shared" si="11"/>
        <v>0</v>
      </c>
      <c r="O32" s="4">
        <f t="shared" si="11"/>
        <v>0</v>
      </c>
      <c r="P32" s="4">
        <f t="shared" si="11"/>
        <v>0</v>
      </c>
      <c r="Q32" s="4">
        <f t="shared" si="11"/>
        <v>0</v>
      </c>
      <c r="R32" s="4">
        <f t="shared" si="11"/>
        <v>0</v>
      </c>
      <c r="S32" s="4">
        <f t="shared" si="11"/>
        <v>0</v>
      </c>
      <c r="T32" s="4">
        <f t="shared" si="11"/>
        <v>0</v>
      </c>
      <c r="U32" s="4">
        <f t="shared" si="11"/>
        <v>0</v>
      </c>
      <c r="V32" s="4">
        <f t="shared" si="11"/>
        <v>0</v>
      </c>
      <c r="W32" s="4">
        <f t="shared" si="11"/>
        <v>0</v>
      </c>
      <c r="X32" s="4">
        <f t="shared" si="11"/>
        <v>0</v>
      </c>
      <c r="Y32" s="4">
        <f t="shared" si="11"/>
        <v>0</v>
      </c>
      <c r="Z32" s="4">
        <f t="shared" si="11"/>
        <v>0</v>
      </c>
      <c r="AA32" s="4">
        <f t="shared" si="11"/>
        <v>0</v>
      </c>
      <c r="AB32" s="4">
        <f t="shared" si="11"/>
        <v>0</v>
      </c>
      <c r="AC32" s="4">
        <f t="shared" si="11"/>
        <v>0</v>
      </c>
      <c r="AD32" s="4">
        <f t="shared" si="11"/>
        <v>0</v>
      </c>
      <c r="AE32" s="4">
        <f t="shared" si="11"/>
        <v>0</v>
      </c>
      <c r="AF32" s="4">
        <f t="shared" si="11"/>
        <v>0</v>
      </c>
      <c r="AG32" s="4">
        <f t="shared" si="11"/>
        <v>0</v>
      </c>
      <c r="AH32" s="4">
        <f t="shared" si="11"/>
        <v>0</v>
      </c>
      <c r="AI32" s="4">
        <f t="shared" si="11"/>
        <v>0</v>
      </c>
      <c r="AJ32" s="4">
        <f t="shared" si="11"/>
        <v>0</v>
      </c>
      <c r="AK32" s="4">
        <f t="shared" si="11"/>
        <v>0</v>
      </c>
      <c r="AL32" s="4">
        <f t="shared" si="11"/>
        <v>0</v>
      </c>
      <c r="AM32" s="4">
        <f t="shared" si="11"/>
        <v>0</v>
      </c>
      <c r="AN32" s="4">
        <f t="shared" si="11"/>
        <v>0</v>
      </c>
      <c r="AO32" s="4">
        <f t="shared" si="11"/>
        <v>0</v>
      </c>
      <c r="AP32" s="4">
        <f t="shared" si="11"/>
        <v>0</v>
      </c>
      <c r="AQ32" s="4">
        <f t="shared" si="11"/>
        <v>0</v>
      </c>
      <c r="AR32" s="4">
        <f t="shared" si="11"/>
        <v>0</v>
      </c>
      <c r="AS32" s="4">
        <f t="shared" si="11"/>
        <v>0</v>
      </c>
      <c r="AT32" s="4">
        <f t="shared" si="11"/>
        <v>0</v>
      </c>
      <c r="AU32" s="4">
        <f t="shared" si="11"/>
        <v>0</v>
      </c>
      <c r="AV32" s="4">
        <f t="shared" si="11"/>
        <v>0</v>
      </c>
      <c r="AW32" s="4">
        <f t="shared" si="11"/>
        <v>0</v>
      </c>
      <c r="AX32" s="4">
        <f t="shared" si="11"/>
        <v>0</v>
      </c>
      <c r="AY32" s="4">
        <f t="shared" si="11"/>
        <v>0</v>
      </c>
      <c r="AZ32" s="4">
        <f t="shared" si="11"/>
        <v>0</v>
      </c>
      <c r="BA32" s="4">
        <f t="shared" si="11"/>
        <v>0</v>
      </c>
      <c r="BB32" s="4">
        <f t="shared" si="11"/>
        <v>0</v>
      </c>
      <c r="BC32" s="4">
        <f t="shared" si="11"/>
        <v>0</v>
      </c>
      <c r="BD32" s="4">
        <f t="shared" si="11"/>
        <v>0</v>
      </c>
      <c r="BE32" s="4">
        <f t="shared" si="11"/>
        <v>0</v>
      </c>
      <c r="BF32" s="4">
        <f t="shared" si="11"/>
        <v>0</v>
      </c>
      <c r="BG32" s="4">
        <f t="shared" si="11"/>
        <v>0</v>
      </c>
      <c r="BH32" s="4">
        <f t="shared" si="11"/>
        <v>0</v>
      </c>
      <c r="BI32" s="4">
        <f t="shared" si="11"/>
        <v>0</v>
      </c>
      <c r="BJ32" s="4">
        <f t="shared" si="11"/>
        <v>0</v>
      </c>
      <c r="BK32" s="4">
        <f t="shared" si="11"/>
        <v>0</v>
      </c>
      <c r="BL32" s="4">
        <f t="shared" si="11"/>
        <v>0</v>
      </c>
    </row>
    <row r="33" spans="1:64" x14ac:dyDescent="0.2">
      <c r="A33" s="14"/>
      <c r="B33" s="14" t="s">
        <v>55</v>
      </c>
      <c r="D33" s="6"/>
      <c r="G33" s="4">
        <v>1</v>
      </c>
      <c r="H33" s="14">
        <f>CHOOSE(G33,IF(H28=1,2,IF(H29=1,3,1)),IF(H29=1,3,2),IF(H30=1,4,3),IF(H31,5,4),IF(H32=1,6,5),6)</f>
        <v>1</v>
      </c>
      <c r="I33" s="14">
        <f t="shared" ref="I33:BL33" si="12">CHOOSE(H33,IF(I28=1,2,IF(I29=1,3,1)),IF(I29=1,3,2),IF(I30=1,4,3),IF(I31,5,4),IF(I32=1,6,5),6)</f>
        <v>1</v>
      </c>
      <c r="J33" s="14">
        <f t="shared" si="12"/>
        <v>1</v>
      </c>
      <c r="K33" s="14">
        <f t="shared" si="12"/>
        <v>1</v>
      </c>
      <c r="L33" s="14">
        <f t="shared" si="12"/>
        <v>1</v>
      </c>
      <c r="M33" s="14">
        <f t="shared" si="12"/>
        <v>1</v>
      </c>
      <c r="N33" s="14">
        <f t="shared" si="12"/>
        <v>1</v>
      </c>
      <c r="O33" s="14">
        <f t="shared" si="12"/>
        <v>1</v>
      </c>
      <c r="P33" s="14">
        <f t="shared" si="12"/>
        <v>1</v>
      </c>
      <c r="Q33" s="14">
        <f t="shared" si="12"/>
        <v>1</v>
      </c>
      <c r="R33" s="14">
        <f t="shared" si="12"/>
        <v>1</v>
      </c>
      <c r="S33" s="14">
        <f t="shared" si="12"/>
        <v>1</v>
      </c>
      <c r="T33" s="14">
        <f t="shared" si="12"/>
        <v>1</v>
      </c>
      <c r="U33" s="14">
        <f t="shared" si="12"/>
        <v>1</v>
      </c>
      <c r="V33" s="14">
        <f t="shared" si="12"/>
        <v>1</v>
      </c>
      <c r="W33" s="14">
        <f t="shared" si="12"/>
        <v>1</v>
      </c>
      <c r="X33" s="14">
        <f t="shared" si="12"/>
        <v>1</v>
      </c>
      <c r="Y33" s="14">
        <f t="shared" si="12"/>
        <v>1</v>
      </c>
      <c r="Z33" s="14">
        <f t="shared" si="12"/>
        <v>1</v>
      </c>
      <c r="AA33" s="14">
        <f t="shared" si="12"/>
        <v>1</v>
      </c>
      <c r="AB33" s="14">
        <f t="shared" si="12"/>
        <v>1</v>
      </c>
      <c r="AC33" s="14">
        <f t="shared" si="12"/>
        <v>1</v>
      </c>
      <c r="AD33" s="14">
        <f t="shared" si="12"/>
        <v>1</v>
      </c>
      <c r="AE33" s="14">
        <f t="shared" si="12"/>
        <v>1</v>
      </c>
      <c r="AF33" s="14">
        <f t="shared" si="12"/>
        <v>1</v>
      </c>
      <c r="AG33" s="14">
        <f t="shared" si="12"/>
        <v>1</v>
      </c>
      <c r="AH33" s="14">
        <f t="shared" si="12"/>
        <v>1</v>
      </c>
      <c r="AI33" s="14">
        <f t="shared" si="12"/>
        <v>1</v>
      </c>
      <c r="AJ33" s="14">
        <f t="shared" si="12"/>
        <v>1</v>
      </c>
      <c r="AK33" s="14">
        <f t="shared" si="12"/>
        <v>1</v>
      </c>
      <c r="AL33" s="14">
        <f t="shared" si="12"/>
        <v>1</v>
      </c>
      <c r="AM33" s="14">
        <f t="shared" si="12"/>
        <v>1</v>
      </c>
      <c r="AN33" s="14">
        <f t="shared" si="12"/>
        <v>1</v>
      </c>
      <c r="AO33" s="14">
        <f t="shared" si="12"/>
        <v>1</v>
      </c>
      <c r="AP33" s="14">
        <f t="shared" si="12"/>
        <v>1</v>
      </c>
      <c r="AQ33" s="14">
        <f t="shared" si="12"/>
        <v>1</v>
      </c>
      <c r="AR33" s="14">
        <f t="shared" si="12"/>
        <v>1</v>
      </c>
      <c r="AS33" s="14">
        <f t="shared" si="12"/>
        <v>1</v>
      </c>
      <c r="AT33" s="14">
        <f t="shared" si="12"/>
        <v>1</v>
      </c>
      <c r="AU33" s="14">
        <f t="shared" si="12"/>
        <v>1</v>
      </c>
      <c r="AV33" s="14">
        <f t="shared" si="12"/>
        <v>1</v>
      </c>
      <c r="AW33" s="14">
        <f t="shared" si="12"/>
        <v>1</v>
      </c>
      <c r="AX33" s="14">
        <f t="shared" si="12"/>
        <v>1</v>
      </c>
      <c r="AY33" s="14">
        <f t="shared" si="12"/>
        <v>1</v>
      </c>
      <c r="AZ33" s="14">
        <f t="shared" si="12"/>
        <v>1</v>
      </c>
      <c r="BA33" s="14">
        <f t="shared" si="12"/>
        <v>1</v>
      </c>
      <c r="BB33" s="14">
        <f t="shared" si="12"/>
        <v>1</v>
      </c>
      <c r="BC33" s="14">
        <f t="shared" si="12"/>
        <v>1</v>
      </c>
      <c r="BD33" s="14">
        <f t="shared" si="12"/>
        <v>1</v>
      </c>
      <c r="BE33" s="14">
        <f t="shared" si="12"/>
        <v>1</v>
      </c>
      <c r="BF33" s="14">
        <f t="shared" si="12"/>
        <v>1</v>
      </c>
      <c r="BG33" s="14">
        <f t="shared" si="12"/>
        <v>1</v>
      </c>
      <c r="BH33" s="14">
        <f t="shared" si="12"/>
        <v>1</v>
      </c>
      <c r="BI33" s="14">
        <f t="shared" si="12"/>
        <v>1</v>
      </c>
      <c r="BJ33" s="14">
        <f t="shared" si="12"/>
        <v>1</v>
      </c>
      <c r="BK33" s="14">
        <f t="shared" si="12"/>
        <v>1</v>
      </c>
      <c r="BL33" s="14">
        <f t="shared" si="12"/>
        <v>1</v>
      </c>
    </row>
    <row r="34" spans="1:64" x14ac:dyDescent="0.2">
      <c r="B34" s="4" t="s">
        <v>63</v>
      </c>
      <c r="D34" s="6"/>
      <c r="G34" s="4">
        <f t="shared" ref="G34:G40" si="13">SUM(H34:BL34)</f>
        <v>624.3714866888256</v>
      </c>
      <c r="H34" s="4">
        <f t="shared" ref="H34:BL34" si="14">H2-H18</f>
        <v>17</v>
      </c>
      <c r="I34" s="4">
        <f t="shared" si="14"/>
        <v>17.067999999999998</v>
      </c>
      <c r="J34" s="4">
        <f t="shared" si="14"/>
        <v>17.136136</v>
      </c>
      <c r="K34" s="4">
        <f t="shared" si="14"/>
        <v>17.204408272000002</v>
      </c>
      <c r="L34" s="4">
        <f t="shared" si="14"/>
        <v>17.272817088544002</v>
      </c>
      <c r="M34" s="4">
        <f t="shared" si="14"/>
        <v>17.341362722721094</v>
      </c>
      <c r="N34" s="4">
        <f t="shared" si="14"/>
        <v>17.410045448166535</v>
      </c>
      <c r="O34" s="4">
        <f t="shared" si="14"/>
        <v>17.478865539062866</v>
      </c>
      <c r="P34" s="4">
        <f t="shared" si="14"/>
        <v>17.547823270140995</v>
      </c>
      <c r="Q34" s="4">
        <f t="shared" si="14"/>
        <v>17.616918916681279</v>
      </c>
      <c r="R34" s="4">
        <f t="shared" si="14"/>
        <v>17.686152754514644</v>
      </c>
      <c r="S34" s="4">
        <f t="shared" si="14"/>
        <v>17.755525060023672</v>
      </c>
      <c r="T34" s="4">
        <f t="shared" si="14"/>
        <v>17.825036110143721</v>
      </c>
      <c r="U34" s="4">
        <f t="shared" si="14"/>
        <v>17.894686182364005</v>
      </c>
      <c r="V34" s="4">
        <f t="shared" si="14"/>
        <v>17.964475554728736</v>
      </c>
      <c r="W34" s="4">
        <f t="shared" si="14"/>
        <v>18.034404505838197</v>
      </c>
      <c r="X34" s="4">
        <f t="shared" si="14"/>
        <v>18.104473314849876</v>
      </c>
      <c r="Y34" s="4">
        <f t="shared" si="14"/>
        <v>18.174682261479575</v>
      </c>
      <c r="Z34" s="4">
        <f t="shared" si="14"/>
        <v>18.245031626002536</v>
      </c>
      <c r="AA34" s="4">
        <f t="shared" si="14"/>
        <v>18.315521689254538</v>
      </c>
      <c r="AB34" s="4">
        <f t="shared" si="14"/>
        <v>18.38615273263305</v>
      </c>
      <c r="AC34" s="4">
        <f t="shared" si="14"/>
        <v>18.456925038098319</v>
      </c>
      <c r="AD34" s="4">
        <f t="shared" si="14"/>
        <v>18.527838888174514</v>
      </c>
      <c r="AE34" s="4">
        <f t="shared" si="14"/>
        <v>18.598894565950864</v>
      </c>
      <c r="AF34" s="4">
        <f t="shared" si="14"/>
        <v>18.670092355082765</v>
      </c>
      <c r="AG34" s="4">
        <f t="shared" si="14"/>
        <v>19.347824109829332</v>
      </c>
      <c r="AH34" s="4">
        <f t="shared" si="14"/>
        <v>20.038432767916085</v>
      </c>
      <c r="AI34" s="4">
        <f t="shared" si="14"/>
        <v>20.742162990506486</v>
      </c>
      <c r="AJ34" s="4">
        <f t="shared" si="14"/>
        <v>21.459264087326105</v>
      </c>
      <c r="AK34" s="4">
        <f t="shared" si="14"/>
        <v>22.189990104985299</v>
      </c>
      <c r="AL34" s="4">
        <f t="shared" si="14"/>
        <v>21.914599916980013</v>
      </c>
      <c r="AM34" s="4">
        <f t="shared" si="14"/>
        <v>21.592157315402627</v>
      </c>
      <c r="AN34" s="4">
        <f t="shared" si="14"/>
        <v>21.21925910439527</v>
      </c>
      <c r="AO34" s="4">
        <f t="shared" si="14"/>
        <v>20.792286875378775</v>
      </c>
      <c r="AP34" s="4">
        <f t="shared" si="14"/>
        <v>20.307393884890963</v>
      </c>
      <c r="AQ34" s="4">
        <f t="shared" si="14"/>
        <v>19.200747167963506</v>
      </c>
      <c r="AR34" s="4">
        <f t="shared" si="14"/>
        <v>18.013751105920278</v>
      </c>
      <c r="AS34" s="4">
        <f t="shared" si="14"/>
        <v>16.741501034801729</v>
      </c>
      <c r="AT34" s="4">
        <f t="shared" si="14"/>
        <v>15.378797508591223</v>
      </c>
      <c r="AU34" s="4">
        <f t="shared" si="14"/>
        <v>13.920128609278301</v>
      </c>
      <c r="AV34" s="4">
        <f t="shared" si="14"/>
        <v>12.359651195507631</v>
      </c>
      <c r="AW34" s="4">
        <f t="shared" si="14"/>
        <v>10.691171026128757</v>
      </c>
      <c r="AX34" s="4">
        <f t="shared" si="14"/>
        <v>8.9081216911404937</v>
      </c>
      <c r="AY34" s="4">
        <f t="shared" si="14"/>
        <v>7.0035422784735957</v>
      </c>
      <c r="AZ34" s="4">
        <f t="shared" si="14"/>
        <v>4.9700537007618735</v>
      </c>
      <c r="BA34" s="4">
        <f t="shared" si="14"/>
        <v>2.7998336017009251</v>
      </c>
      <c r="BB34" s="4">
        <f t="shared" si="14"/>
        <v>0.48458975676967952</v>
      </c>
      <c r="BC34" s="4">
        <f t="shared" si="14"/>
        <v>-1.9844681220236353</v>
      </c>
      <c r="BD34" s="4">
        <f t="shared" si="14"/>
        <v>-4.616658273129751</v>
      </c>
      <c r="BE34" s="4">
        <f t="shared" si="14"/>
        <v>-7.4218585656849427</v>
      </c>
      <c r="BF34" s="4">
        <f t="shared" si="14"/>
        <v>-10.410540080570449</v>
      </c>
      <c r="BG34" s="4">
        <f t="shared" si="14"/>
        <v>-13.593802706354751</v>
      </c>
      <c r="BH34" s="4">
        <f t="shared" si="14"/>
        <v>-16.983412871011808</v>
      </c>
      <c r="BI34" s="4">
        <f t="shared" si="14"/>
        <v>-20.591843537561942</v>
      </c>
      <c r="BJ34" s="4">
        <f t="shared" si="14"/>
        <v>-24.432316599470823</v>
      </c>
      <c r="BK34" s="4">
        <f t="shared" si="14"/>
        <v>-28.518847819792171</v>
      </c>
      <c r="BL34" s="4">
        <f t="shared" si="14"/>
        <v>-32.866294466678923</v>
      </c>
    </row>
    <row r="35" spans="1:64" x14ac:dyDescent="0.2">
      <c r="B35" s="14" t="s">
        <v>69</v>
      </c>
      <c r="D35" s="6"/>
      <c r="G35" s="4">
        <f t="shared" si="13"/>
        <v>0</v>
      </c>
      <c r="H35" s="4">
        <f>IF(H33=5,$E$19,0)</f>
        <v>0</v>
      </c>
      <c r="I35" s="4">
        <f t="shared" ref="I35:BL35" si="15">IF(I33=5,$E$19,0)</f>
        <v>0</v>
      </c>
      <c r="J35" s="4">
        <f t="shared" si="15"/>
        <v>0</v>
      </c>
      <c r="K35" s="4">
        <f t="shared" si="15"/>
        <v>0</v>
      </c>
      <c r="L35" s="4">
        <f t="shared" si="15"/>
        <v>0</v>
      </c>
      <c r="M35" s="4">
        <f t="shared" si="15"/>
        <v>0</v>
      </c>
      <c r="N35" s="4">
        <f t="shared" si="15"/>
        <v>0</v>
      </c>
      <c r="O35" s="4">
        <f t="shared" si="15"/>
        <v>0</v>
      </c>
      <c r="P35" s="4">
        <f t="shared" si="15"/>
        <v>0</v>
      </c>
      <c r="Q35" s="4">
        <f t="shared" si="15"/>
        <v>0</v>
      </c>
      <c r="R35" s="4">
        <f t="shared" si="15"/>
        <v>0</v>
      </c>
      <c r="S35" s="4">
        <f t="shared" si="15"/>
        <v>0</v>
      </c>
      <c r="T35" s="4">
        <f t="shared" si="15"/>
        <v>0</v>
      </c>
      <c r="U35" s="4">
        <f t="shared" si="15"/>
        <v>0</v>
      </c>
      <c r="V35" s="4">
        <f t="shared" si="15"/>
        <v>0</v>
      </c>
      <c r="W35" s="4">
        <f t="shared" si="15"/>
        <v>0</v>
      </c>
      <c r="X35" s="4">
        <f t="shared" si="15"/>
        <v>0</v>
      </c>
      <c r="Y35" s="4">
        <f t="shared" si="15"/>
        <v>0</v>
      </c>
      <c r="Z35" s="4">
        <f t="shared" si="15"/>
        <v>0</v>
      </c>
      <c r="AA35" s="4">
        <f t="shared" si="15"/>
        <v>0</v>
      </c>
      <c r="AB35" s="4">
        <f t="shared" si="15"/>
        <v>0</v>
      </c>
      <c r="AC35" s="4">
        <f t="shared" si="15"/>
        <v>0</v>
      </c>
      <c r="AD35" s="4">
        <f t="shared" si="15"/>
        <v>0</v>
      </c>
      <c r="AE35" s="4">
        <f t="shared" si="15"/>
        <v>0</v>
      </c>
      <c r="AF35" s="4">
        <f t="shared" si="15"/>
        <v>0</v>
      </c>
      <c r="AG35" s="4">
        <f t="shared" si="15"/>
        <v>0</v>
      </c>
      <c r="AH35" s="4">
        <f t="shared" si="15"/>
        <v>0</v>
      </c>
      <c r="AI35" s="4">
        <f t="shared" si="15"/>
        <v>0</v>
      </c>
      <c r="AJ35" s="4">
        <f t="shared" si="15"/>
        <v>0</v>
      </c>
      <c r="AK35" s="4">
        <f t="shared" si="15"/>
        <v>0</v>
      </c>
      <c r="AL35" s="4">
        <f t="shared" si="15"/>
        <v>0</v>
      </c>
      <c r="AM35" s="4">
        <f t="shared" si="15"/>
        <v>0</v>
      </c>
      <c r="AN35" s="4">
        <f t="shared" si="15"/>
        <v>0</v>
      </c>
      <c r="AO35" s="4">
        <f t="shared" si="15"/>
        <v>0</v>
      </c>
      <c r="AP35" s="4">
        <f t="shared" si="15"/>
        <v>0</v>
      </c>
      <c r="AQ35" s="4">
        <f t="shared" si="15"/>
        <v>0</v>
      </c>
      <c r="AR35" s="4">
        <f t="shared" si="15"/>
        <v>0</v>
      </c>
      <c r="AS35" s="4">
        <f t="shared" si="15"/>
        <v>0</v>
      </c>
      <c r="AT35" s="4">
        <f t="shared" si="15"/>
        <v>0</v>
      </c>
      <c r="AU35" s="4">
        <f t="shared" si="15"/>
        <v>0</v>
      </c>
      <c r="AV35" s="4">
        <f t="shared" si="15"/>
        <v>0</v>
      </c>
      <c r="AW35" s="4">
        <f t="shared" si="15"/>
        <v>0</v>
      </c>
      <c r="AX35" s="4">
        <f t="shared" si="15"/>
        <v>0</v>
      </c>
      <c r="AY35" s="4">
        <f t="shared" si="15"/>
        <v>0</v>
      </c>
      <c r="AZ35" s="4">
        <f t="shared" si="15"/>
        <v>0</v>
      </c>
      <c r="BA35" s="4">
        <f t="shared" si="15"/>
        <v>0</v>
      </c>
      <c r="BB35" s="4">
        <f t="shared" si="15"/>
        <v>0</v>
      </c>
      <c r="BC35" s="4">
        <f t="shared" si="15"/>
        <v>0</v>
      </c>
      <c r="BD35" s="4">
        <f t="shared" si="15"/>
        <v>0</v>
      </c>
      <c r="BE35" s="4">
        <f t="shared" si="15"/>
        <v>0</v>
      </c>
      <c r="BF35" s="4">
        <f t="shared" si="15"/>
        <v>0</v>
      </c>
      <c r="BG35" s="4">
        <f t="shared" si="15"/>
        <v>0</v>
      </c>
      <c r="BH35" s="4">
        <f t="shared" si="15"/>
        <v>0</v>
      </c>
      <c r="BI35" s="4">
        <f t="shared" si="15"/>
        <v>0</v>
      </c>
      <c r="BJ35" s="4">
        <f t="shared" si="15"/>
        <v>0</v>
      </c>
      <c r="BK35" s="4">
        <f t="shared" si="15"/>
        <v>0</v>
      </c>
      <c r="BL35" s="4">
        <f t="shared" si="15"/>
        <v>0</v>
      </c>
    </row>
    <row r="36" spans="1:64" x14ac:dyDescent="0.2">
      <c r="B36" s="4" t="s">
        <v>62</v>
      </c>
      <c r="E36" s="8"/>
      <c r="F36" s="8"/>
      <c r="G36" s="4">
        <f t="shared" si="13"/>
        <v>0</v>
      </c>
      <c r="H36" s="4">
        <f t="shared" ref="H36:BL36" si="16">H$2*H$35</f>
        <v>0</v>
      </c>
      <c r="I36" s="4">
        <f t="shared" si="16"/>
        <v>0</v>
      </c>
      <c r="J36" s="4">
        <f t="shared" si="16"/>
        <v>0</v>
      </c>
      <c r="K36" s="4">
        <f t="shared" si="16"/>
        <v>0</v>
      </c>
      <c r="L36" s="4">
        <f t="shared" si="16"/>
        <v>0</v>
      </c>
      <c r="M36" s="4">
        <f t="shared" si="16"/>
        <v>0</v>
      </c>
      <c r="N36" s="4">
        <f t="shared" si="16"/>
        <v>0</v>
      </c>
      <c r="O36" s="4">
        <f t="shared" si="16"/>
        <v>0</v>
      </c>
      <c r="P36" s="4">
        <f t="shared" si="16"/>
        <v>0</v>
      </c>
      <c r="Q36" s="4">
        <f t="shared" si="16"/>
        <v>0</v>
      </c>
      <c r="R36" s="4">
        <f t="shared" si="16"/>
        <v>0</v>
      </c>
      <c r="S36" s="4">
        <f t="shared" si="16"/>
        <v>0</v>
      </c>
      <c r="T36" s="4">
        <f t="shared" si="16"/>
        <v>0</v>
      </c>
      <c r="U36" s="4">
        <f t="shared" si="16"/>
        <v>0</v>
      </c>
      <c r="V36" s="4">
        <f t="shared" si="16"/>
        <v>0</v>
      </c>
      <c r="W36" s="4">
        <f t="shared" si="16"/>
        <v>0</v>
      </c>
      <c r="X36" s="4">
        <f t="shared" si="16"/>
        <v>0</v>
      </c>
      <c r="Y36" s="4">
        <f t="shared" si="16"/>
        <v>0</v>
      </c>
      <c r="Z36" s="4">
        <f t="shared" si="16"/>
        <v>0</v>
      </c>
      <c r="AA36" s="4">
        <f t="shared" si="16"/>
        <v>0</v>
      </c>
      <c r="AB36" s="4">
        <f t="shared" si="16"/>
        <v>0</v>
      </c>
      <c r="AC36" s="4">
        <f t="shared" si="16"/>
        <v>0</v>
      </c>
      <c r="AD36" s="4">
        <f t="shared" si="16"/>
        <v>0</v>
      </c>
      <c r="AE36" s="4">
        <f t="shared" si="16"/>
        <v>0</v>
      </c>
      <c r="AF36" s="4">
        <f t="shared" si="16"/>
        <v>0</v>
      </c>
      <c r="AG36" s="4">
        <f t="shared" si="16"/>
        <v>0</v>
      </c>
      <c r="AH36" s="4">
        <f t="shared" si="16"/>
        <v>0</v>
      </c>
      <c r="AI36" s="4">
        <f t="shared" si="16"/>
        <v>0</v>
      </c>
      <c r="AJ36" s="4">
        <f t="shared" si="16"/>
        <v>0</v>
      </c>
      <c r="AK36" s="4">
        <f t="shared" si="16"/>
        <v>0</v>
      </c>
      <c r="AL36" s="4">
        <f t="shared" si="16"/>
        <v>0</v>
      </c>
      <c r="AM36" s="4">
        <f t="shared" si="16"/>
        <v>0</v>
      </c>
      <c r="AN36" s="4">
        <f t="shared" si="16"/>
        <v>0</v>
      </c>
      <c r="AO36" s="4">
        <f t="shared" si="16"/>
        <v>0</v>
      </c>
      <c r="AP36" s="4">
        <f t="shared" si="16"/>
        <v>0</v>
      </c>
      <c r="AQ36" s="4">
        <f t="shared" si="16"/>
        <v>0</v>
      </c>
      <c r="AR36" s="4">
        <f t="shared" si="16"/>
        <v>0</v>
      </c>
      <c r="AS36" s="4">
        <f t="shared" si="16"/>
        <v>0</v>
      </c>
      <c r="AT36" s="4">
        <f t="shared" si="16"/>
        <v>0</v>
      </c>
      <c r="AU36" s="4">
        <f t="shared" si="16"/>
        <v>0</v>
      </c>
      <c r="AV36" s="4">
        <f t="shared" si="16"/>
        <v>0</v>
      </c>
      <c r="AW36" s="4">
        <f t="shared" si="16"/>
        <v>0</v>
      </c>
      <c r="AX36" s="4">
        <f t="shared" si="16"/>
        <v>0</v>
      </c>
      <c r="AY36" s="4">
        <f t="shared" si="16"/>
        <v>0</v>
      </c>
      <c r="AZ36" s="4">
        <f t="shared" si="16"/>
        <v>0</v>
      </c>
      <c r="BA36" s="4">
        <f t="shared" si="16"/>
        <v>0</v>
      </c>
      <c r="BB36" s="4">
        <f t="shared" si="16"/>
        <v>0</v>
      </c>
      <c r="BC36" s="4">
        <f t="shared" si="16"/>
        <v>0</v>
      </c>
      <c r="BD36" s="4">
        <f t="shared" si="16"/>
        <v>0</v>
      </c>
      <c r="BE36" s="4">
        <f t="shared" si="16"/>
        <v>0</v>
      </c>
      <c r="BF36" s="4">
        <f t="shared" si="16"/>
        <v>0</v>
      </c>
      <c r="BG36" s="4">
        <f t="shared" si="16"/>
        <v>0</v>
      </c>
      <c r="BH36" s="4">
        <f t="shared" si="16"/>
        <v>0</v>
      </c>
      <c r="BI36" s="4">
        <f t="shared" si="16"/>
        <v>0</v>
      </c>
      <c r="BJ36" s="4">
        <f t="shared" si="16"/>
        <v>0</v>
      </c>
      <c r="BK36" s="4">
        <f t="shared" si="16"/>
        <v>0</v>
      </c>
      <c r="BL36" s="4">
        <f t="shared" si="16"/>
        <v>0</v>
      </c>
    </row>
    <row r="37" spans="1:64" x14ac:dyDescent="0.2">
      <c r="B37" s="4" t="s">
        <v>61</v>
      </c>
      <c r="E37" s="8"/>
      <c r="F37" s="8"/>
      <c r="G37" s="4">
        <f t="shared" si="13"/>
        <v>0</v>
      </c>
      <c r="H37" s="4">
        <f t="shared" ref="H37:BL37" si="17">IF(H33=5,H18*H35+$E$17,0)</f>
        <v>0</v>
      </c>
      <c r="I37" s="4">
        <f t="shared" si="17"/>
        <v>0</v>
      </c>
      <c r="J37" s="4">
        <f t="shared" si="17"/>
        <v>0</v>
      </c>
      <c r="K37" s="4">
        <f t="shared" si="17"/>
        <v>0</v>
      </c>
      <c r="L37" s="4">
        <f t="shared" si="17"/>
        <v>0</v>
      </c>
      <c r="M37" s="4">
        <f t="shared" si="17"/>
        <v>0</v>
      </c>
      <c r="N37" s="4">
        <f t="shared" si="17"/>
        <v>0</v>
      </c>
      <c r="O37" s="4">
        <f t="shared" si="17"/>
        <v>0</v>
      </c>
      <c r="P37" s="4">
        <f t="shared" si="17"/>
        <v>0</v>
      </c>
      <c r="Q37" s="4">
        <f t="shared" si="17"/>
        <v>0</v>
      </c>
      <c r="R37" s="4">
        <f t="shared" si="17"/>
        <v>0</v>
      </c>
      <c r="S37" s="4">
        <f t="shared" si="17"/>
        <v>0</v>
      </c>
      <c r="T37" s="4">
        <f t="shared" si="17"/>
        <v>0</v>
      </c>
      <c r="U37" s="4">
        <f t="shared" si="17"/>
        <v>0</v>
      </c>
      <c r="V37" s="4">
        <f t="shared" si="17"/>
        <v>0</v>
      </c>
      <c r="W37" s="4">
        <f t="shared" si="17"/>
        <v>0</v>
      </c>
      <c r="X37" s="4">
        <f t="shared" si="17"/>
        <v>0</v>
      </c>
      <c r="Y37" s="4">
        <f t="shared" si="17"/>
        <v>0</v>
      </c>
      <c r="Z37" s="4">
        <f t="shared" si="17"/>
        <v>0</v>
      </c>
      <c r="AA37" s="4">
        <f t="shared" si="17"/>
        <v>0</v>
      </c>
      <c r="AB37" s="4">
        <f t="shared" si="17"/>
        <v>0</v>
      </c>
      <c r="AC37" s="4">
        <f t="shared" si="17"/>
        <v>0</v>
      </c>
      <c r="AD37" s="4">
        <f t="shared" si="17"/>
        <v>0</v>
      </c>
      <c r="AE37" s="4">
        <f t="shared" si="17"/>
        <v>0</v>
      </c>
      <c r="AF37" s="4">
        <f t="shared" si="17"/>
        <v>0</v>
      </c>
      <c r="AG37" s="4">
        <f t="shared" si="17"/>
        <v>0</v>
      </c>
      <c r="AH37" s="4">
        <f t="shared" si="17"/>
        <v>0</v>
      </c>
      <c r="AI37" s="4">
        <f t="shared" si="17"/>
        <v>0</v>
      </c>
      <c r="AJ37" s="4">
        <f t="shared" si="17"/>
        <v>0</v>
      </c>
      <c r="AK37" s="4">
        <f t="shared" si="17"/>
        <v>0</v>
      </c>
      <c r="AL37" s="4">
        <f t="shared" si="17"/>
        <v>0</v>
      </c>
      <c r="AM37" s="4">
        <f t="shared" si="17"/>
        <v>0</v>
      </c>
      <c r="AN37" s="4">
        <f t="shared" si="17"/>
        <v>0</v>
      </c>
      <c r="AO37" s="4">
        <f t="shared" si="17"/>
        <v>0</v>
      </c>
      <c r="AP37" s="4">
        <f t="shared" si="17"/>
        <v>0</v>
      </c>
      <c r="AQ37" s="4">
        <f t="shared" si="17"/>
        <v>0</v>
      </c>
      <c r="AR37" s="4">
        <f t="shared" si="17"/>
        <v>0</v>
      </c>
      <c r="AS37" s="4">
        <f t="shared" si="17"/>
        <v>0</v>
      </c>
      <c r="AT37" s="4">
        <f t="shared" si="17"/>
        <v>0</v>
      </c>
      <c r="AU37" s="4">
        <f t="shared" si="17"/>
        <v>0</v>
      </c>
      <c r="AV37" s="4">
        <f t="shared" si="17"/>
        <v>0</v>
      </c>
      <c r="AW37" s="4">
        <f t="shared" si="17"/>
        <v>0</v>
      </c>
      <c r="AX37" s="4">
        <f t="shared" si="17"/>
        <v>0</v>
      </c>
      <c r="AY37" s="4">
        <f t="shared" si="17"/>
        <v>0</v>
      </c>
      <c r="AZ37" s="4">
        <f t="shared" si="17"/>
        <v>0</v>
      </c>
      <c r="BA37" s="4">
        <f t="shared" si="17"/>
        <v>0</v>
      </c>
      <c r="BB37" s="4">
        <f t="shared" si="17"/>
        <v>0</v>
      </c>
      <c r="BC37" s="4">
        <f t="shared" si="17"/>
        <v>0</v>
      </c>
      <c r="BD37" s="4">
        <f t="shared" si="17"/>
        <v>0</v>
      </c>
      <c r="BE37" s="4">
        <f t="shared" si="17"/>
        <v>0</v>
      </c>
      <c r="BF37" s="4">
        <f t="shared" si="17"/>
        <v>0</v>
      </c>
      <c r="BG37" s="4">
        <f t="shared" si="17"/>
        <v>0</v>
      </c>
      <c r="BH37" s="4">
        <f t="shared" si="17"/>
        <v>0</v>
      </c>
      <c r="BI37" s="4">
        <f t="shared" si="17"/>
        <v>0</v>
      </c>
      <c r="BJ37" s="4">
        <f t="shared" si="17"/>
        <v>0</v>
      </c>
      <c r="BK37" s="4">
        <f t="shared" si="17"/>
        <v>0</v>
      </c>
      <c r="BL37" s="4">
        <f t="shared" si="17"/>
        <v>0</v>
      </c>
    </row>
    <row r="38" spans="1:64" x14ac:dyDescent="0.2">
      <c r="B38" s="4" t="s">
        <v>60</v>
      </c>
      <c r="D38" s="7"/>
      <c r="E38" s="8"/>
      <c r="F38" s="9"/>
      <c r="G38" s="4">
        <f>SUM(H38:BL38)</f>
        <v>0</v>
      </c>
      <c r="H38" s="4">
        <f>H36-H37</f>
        <v>0</v>
      </c>
      <c r="I38" s="4">
        <f t="shared" ref="I38:BL38" si="18">I36-I37</f>
        <v>0</v>
      </c>
      <c r="J38" s="4">
        <f t="shared" si="18"/>
        <v>0</v>
      </c>
      <c r="K38" s="4">
        <f t="shared" si="18"/>
        <v>0</v>
      </c>
      <c r="L38" s="4">
        <f t="shared" si="18"/>
        <v>0</v>
      </c>
      <c r="M38" s="4">
        <f t="shared" si="18"/>
        <v>0</v>
      </c>
      <c r="N38" s="4">
        <f t="shared" si="18"/>
        <v>0</v>
      </c>
      <c r="O38" s="4">
        <f t="shared" si="18"/>
        <v>0</v>
      </c>
      <c r="P38" s="4">
        <f t="shared" si="18"/>
        <v>0</v>
      </c>
      <c r="Q38" s="4">
        <f t="shared" si="18"/>
        <v>0</v>
      </c>
      <c r="R38" s="4">
        <f t="shared" si="18"/>
        <v>0</v>
      </c>
      <c r="S38" s="4">
        <f t="shared" si="18"/>
        <v>0</v>
      </c>
      <c r="T38" s="4">
        <f t="shared" si="18"/>
        <v>0</v>
      </c>
      <c r="U38" s="4">
        <f t="shared" si="18"/>
        <v>0</v>
      </c>
      <c r="V38" s="4">
        <f t="shared" si="18"/>
        <v>0</v>
      </c>
      <c r="W38" s="4">
        <f t="shared" si="18"/>
        <v>0</v>
      </c>
      <c r="X38" s="4">
        <f t="shared" si="18"/>
        <v>0</v>
      </c>
      <c r="Y38" s="4">
        <f t="shared" si="18"/>
        <v>0</v>
      </c>
      <c r="Z38" s="4">
        <f t="shared" si="18"/>
        <v>0</v>
      </c>
      <c r="AA38" s="4">
        <f t="shared" si="18"/>
        <v>0</v>
      </c>
      <c r="AB38" s="4">
        <f t="shared" si="18"/>
        <v>0</v>
      </c>
      <c r="AC38" s="4">
        <f t="shared" si="18"/>
        <v>0</v>
      </c>
      <c r="AD38" s="4">
        <f t="shared" si="18"/>
        <v>0</v>
      </c>
      <c r="AE38" s="4">
        <f t="shared" si="18"/>
        <v>0</v>
      </c>
      <c r="AF38" s="4">
        <f t="shared" si="18"/>
        <v>0</v>
      </c>
      <c r="AG38" s="4">
        <f t="shared" si="18"/>
        <v>0</v>
      </c>
      <c r="AH38" s="4">
        <f t="shared" si="18"/>
        <v>0</v>
      </c>
      <c r="AI38" s="4">
        <f t="shared" si="18"/>
        <v>0</v>
      </c>
      <c r="AJ38" s="4">
        <f t="shared" si="18"/>
        <v>0</v>
      </c>
      <c r="AK38" s="4">
        <f t="shared" si="18"/>
        <v>0</v>
      </c>
      <c r="AL38" s="4">
        <f t="shared" si="18"/>
        <v>0</v>
      </c>
      <c r="AM38" s="4">
        <f t="shared" si="18"/>
        <v>0</v>
      </c>
      <c r="AN38" s="4">
        <f t="shared" si="18"/>
        <v>0</v>
      </c>
      <c r="AO38" s="4">
        <f t="shared" si="18"/>
        <v>0</v>
      </c>
      <c r="AP38" s="4">
        <f t="shared" si="18"/>
        <v>0</v>
      </c>
      <c r="AQ38" s="4">
        <f t="shared" si="18"/>
        <v>0</v>
      </c>
      <c r="AR38" s="4">
        <f t="shared" si="18"/>
        <v>0</v>
      </c>
      <c r="AS38" s="4">
        <f t="shared" si="18"/>
        <v>0</v>
      </c>
      <c r="AT38" s="4">
        <f t="shared" si="18"/>
        <v>0</v>
      </c>
      <c r="AU38" s="4">
        <f t="shared" si="18"/>
        <v>0</v>
      </c>
      <c r="AV38" s="4">
        <f t="shared" si="18"/>
        <v>0</v>
      </c>
      <c r="AW38" s="4">
        <f t="shared" si="18"/>
        <v>0</v>
      </c>
      <c r="AX38" s="4">
        <f t="shared" si="18"/>
        <v>0</v>
      </c>
      <c r="AY38" s="4">
        <f t="shared" si="18"/>
        <v>0</v>
      </c>
      <c r="AZ38" s="4">
        <f t="shared" si="18"/>
        <v>0</v>
      </c>
      <c r="BA38" s="4">
        <f t="shared" si="18"/>
        <v>0</v>
      </c>
      <c r="BB38" s="4">
        <f t="shared" si="18"/>
        <v>0</v>
      </c>
      <c r="BC38" s="4">
        <f t="shared" si="18"/>
        <v>0</v>
      </c>
      <c r="BD38" s="4">
        <f t="shared" si="18"/>
        <v>0</v>
      </c>
      <c r="BE38" s="4">
        <f t="shared" si="18"/>
        <v>0</v>
      </c>
      <c r="BF38" s="4">
        <f t="shared" si="18"/>
        <v>0</v>
      </c>
      <c r="BG38" s="4">
        <f t="shared" si="18"/>
        <v>0</v>
      </c>
      <c r="BH38" s="4">
        <f t="shared" si="18"/>
        <v>0</v>
      </c>
      <c r="BI38" s="4">
        <f t="shared" si="18"/>
        <v>0</v>
      </c>
      <c r="BJ38" s="4">
        <f t="shared" si="18"/>
        <v>0</v>
      </c>
      <c r="BK38" s="4">
        <f t="shared" si="18"/>
        <v>0</v>
      </c>
      <c r="BL38" s="4">
        <f t="shared" si="18"/>
        <v>0</v>
      </c>
    </row>
    <row r="39" spans="1:64" x14ac:dyDescent="0.2">
      <c r="B39" s="14" t="s">
        <v>59</v>
      </c>
      <c r="D39" s="6"/>
      <c r="F39" s="9"/>
      <c r="G39" s="4">
        <f t="shared" si="13"/>
        <v>0</v>
      </c>
      <c r="H39" s="40">
        <f>IF($C$23=1,H14,0)+IF($C$24=1,H15,0)+IF($C$25=1,H16,0) +IF(H32=1,$E$20,0)</f>
        <v>0</v>
      </c>
      <c r="I39" s="4">
        <f t="shared" ref="I39:BL39" si="19">IF($C$23=1,I14,0)+IF($C$24=1,I15,0)+IF($C$25=1,I16,0) +IF(I32=1,$E$20,0)</f>
        <v>0</v>
      </c>
      <c r="J39" s="4">
        <f t="shared" si="19"/>
        <v>0</v>
      </c>
      <c r="K39" s="4">
        <f t="shared" si="19"/>
        <v>0</v>
      </c>
      <c r="L39" s="4">
        <f t="shared" si="19"/>
        <v>0</v>
      </c>
      <c r="M39" s="4">
        <f t="shared" si="19"/>
        <v>0</v>
      </c>
      <c r="N39" s="4">
        <f t="shared" si="19"/>
        <v>0</v>
      </c>
      <c r="O39" s="4">
        <f t="shared" si="19"/>
        <v>0</v>
      </c>
      <c r="P39" s="4">
        <f t="shared" si="19"/>
        <v>0</v>
      </c>
      <c r="Q39" s="4">
        <f t="shared" si="19"/>
        <v>0</v>
      </c>
      <c r="R39" s="4">
        <f t="shared" si="19"/>
        <v>0</v>
      </c>
      <c r="S39" s="4">
        <f t="shared" si="19"/>
        <v>0</v>
      </c>
      <c r="T39" s="4">
        <f t="shared" si="19"/>
        <v>0</v>
      </c>
      <c r="U39" s="4">
        <f t="shared" si="19"/>
        <v>0</v>
      </c>
      <c r="V39" s="4">
        <f t="shared" si="19"/>
        <v>0</v>
      </c>
      <c r="W39" s="4">
        <f t="shared" si="19"/>
        <v>0</v>
      </c>
      <c r="X39" s="4">
        <f t="shared" si="19"/>
        <v>0</v>
      </c>
      <c r="Y39" s="4">
        <f t="shared" si="19"/>
        <v>0</v>
      </c>
      <c r="Z39" s="4">
        <f t="shared" si="19"/>
        <v>0</v>
      </c>
      <c r="AA39" s="4">
        <f t="shared" si="19"/>
        <v>0</v>
      </c>
      <c r="AB39" s="4">
        <f t="shared" si="19"/>
        <v>0</v>
      </c>
      <c r="AC39" s="4">
        <f t="shared" si="19"/>
        <v>0</v>
      </c>
      <c r="AD39" s="4">
        <f t="shared" si="19"/>
        <v>0</v>
      </c>
      <c r="AE39" s="4">
        <f t="shared" si="19"/>
        <v>0</v>
      </c>
      <c r="AF39" s="4">
        <f t="shared" si="19"/>
        <v>0</v>
      </c>
      <c r="AG39" s="4">
        <f t="shared" si="19"/>
        <v>0</v>
      </c>
      <c r="AH39" s="4">
        <f t="shared" si="19"/>
        <v>0</v>
      </c>
      <c r="AI39" s="4">
        <f t="shared" si="19"/>
        <v>0</v>
      </c>
      <c r="AJ39" s="4">
        <f t="shared" si="19"/>
        <v>0</v>
      </c>
      <c r="AK39" s="4">
        <f t="shared" si="19"/>
        <v>0</v>
      </c>
      <c r="AL39" s="4">
        <f t="shared" si="19"/>
        <v>0</v>
      </c>
      <c r="AM39" s="4">
        <f t="shared" si="19"/>
        <v>0</v>
      </c>
      <c r="AN39" s="4">
        <f t="shared" si="19"/>
        <v>0</v>
      </c>
      <c r="AO39" s="4">
        <f t="shared" si="19"/>
        <v>0</v>
      </c>
      <c r="AP39" s="4">
        <f t="shared" si="19"/>
        <v>0</v>
      </c>
      <c r="AQ39" s="4">
        <f t="shared" si="19"/>
        <v>0</v>
      </c>
      <c r="AR39" s="4">
        <f t="shared" si="19"/>
        <v>0</v>
      </c>
      <c r="AS39" s="4">
        <f t="shared" si="19"/>
        <v>0</v>
      </c>
      <c r="AT39" s="4">
        <f t="shared" si="19"/>
        <v>0</v>
      </c>
      <c r="AU39" s="4">
        <f t="shared" si="19"/>
        <v>0</v>
      </c>
      <c r="AV39" s="4">
        <f t="shared" si="19"/>
        <v>0</v>
      </c>
      <c r="AW39" s="4">
        <f t="shared" si="19"/>
        <v>0</v>
      </c>
      <c r="AX39" s="4">
        <f t="shared" si="19"/>
        <v>0</v>
      </c>
      <c r="AY39" s="4">
        <f t="shared" si="19"/>
        <v>0</v>
      </c>
      <c r="AZ39" s="4">
        <f t="shared" si="19"/>
        <v>0</v>
      </c>
      <c r="BA39" s="4">
        <f t="shared" si="19"/>
        <v>0</v>
      </c>
      <c r="BB39" s="4">
        <f t="shared" si="19"/>
        <v>0</v>
      </c>
      <c r="BC39" s="4">
        <f t="shared" si="19"/>
        <v>0</v>
      </c>
      <c r="BD39" s="4">
        <f t="shared" si="19"/>
        <v>0</v>
      </c>
      <c r="BE39" s="4">
        <f t="shared" si="19"/>
        <v>0</v>
      </c>
      <c r="BF39" s="4">
        <f t="shared" si="19"/>
        <v>0</v>
      </c>
      <c r="BG39" s="4">
        <f t="shared" si="19"/>
        <v>0</v>
      </c>
      <c r="BH39" s="4">
        <f t="shared" si="19"/>
        <v>0</v>
      </c>
      <c r="BI39" s="4">
        <f t="shared" si="19"/>
        <v>0</v>
      </c>
      <c r="BJ39" s="4">
        <f t="shared" si="19"/>
        <v>0</v>
      </c>
      <c r="BK39" s="4">
        <f t="shared" si="19"/>
        <v>0</v>
      </c>
      <c r="BL39" s="4">
        <f t="shared" si="19"/>
        <v>0</v>
      </c>
    </row>
    <row r="40" spans="1:64" x14ac:dyDescent="0.2">
      <c r="B40" s="14" t="s">
        <v>47</v>
      </c>
      <c r="G40" s="4">
        <f t="shared" si="13"/>
        <v>0</v>
      </c>
      <c r="H40" s="4">
        <f t="shared" ref="H40:BL40" si="20">H38-H39</f>
        <v>0</v>
      </c>
      <c r="I40" s="4">
        <f t="shared" si="20"/>
        <v>0</v>
      </c>
      <c r="J40" s="4">
        <f t="shared" si="20"/>
        <v>0</v>
      </c>
      <c r="K40" s="4">
        <f t="shared" si="20"/>
        <v>0</v>
      </c>
      <c r="L40" s="4">
        <f t="shared" si="20"/>
        <v>0</v>
      </c>
      <c r="M40" s="4">
        <f t="shared" si="20"/>
        <v>0</v>
      </c>
      <c r="N40" s="4">
        <f t="shared" si="20"/>
        <v>0</v>
      </c>
      <c r="O40" s="4">
        <f t="shared" si="20"/>
        <v>0</v>
      </c>
      <c r="P40" s="4">
        <f t="shared" si="20"/>
        <v>0</v>
      </c>
      <c r="Q40" s="4">
        <f t="shared" si="20"/>
        <v>0</v>
      </c>
      <c r="R40" s="4">
        <f t="shared" si="20"/>
        <v>0</v>
      </c>
      <c r="S40" s="4">
        <f t="shared" si="20"/>
        <v>0</v>
      </c>
      <c r="T40" s="4">
        <f t="shared" si="20"/>
        <v>0</v>
      </c>
      <c r="U40" s="4">
        <f t="shared" si="20"/>
        <v>0</v>
      </c>
      <c r="V40" s="4">
        <f t="shared" si="20"/>
        <v>0</v>
      </c>
      <c r="W40" s="4">
        <f t="shared" si="20"/>
        <v>0</v>
      </c>
      <c r="X40" s="4">
        <f t="shared" si="20"/>
        <v>0</v>
      </c>
      <c r="Y40" s="4">
        <f t="shared" si="20"/>
        <v>0</v>
      </c>
      <c r="Z40" s="4">
        <f t="shared" si="20"/>
        <v>0</v>
      </c>
      <c r="AA40" s="4">
        <f t="shared" si="20"/>
        <v>0</v>
      </c>
      <c r="AB40" s="4">
        <f t="shared" si="20"/>
        <v>0</v>
      </c>
      <c r="AC40" s="4">
        <f t="shared" si="20"/>
        <v>0</v>
      </c>
      <c r="AD40" s="4">
        <f t="shared" si="20"/>
        <v>0</v>
      </c>
      <c r="AE40" s="4">
        <f t="shared" si="20"/>
        <v>0</v>
      </c>
      <c r="AF40" s="4">
        <f t="shared" si="20"/>
        <v>0</v>
      </c>
      <c r="AG40" s="4">
        <f t="shared" si="20"/>
        <v>0</v>
      </c>
      <c r="AH40" s="4">
        <f t="shared" si="20"/>
        <v>0</v>
      </c>
      <c r="AI40" s="4">
        <f t="shared" si="20"/>
        <v>0</v>
      </c>
      <c r="AJ40" s="4">
        <f t="shared" si="20"/>
        <v>0</v>
      </c>
      <c r="AK40" s="4">
        <f t="shared" si="20"/>
        <v>0</v>
      </c>
      <c r="AL40" s="4">
        <f t="shared" si="20"/>
        <v>0</v>
      </c>
      <c r="AM40" s="4">
        <f t="shared" si="20"/>
        <v>0</v>
      </c>
      <c r="AN40" s="4">
        <f t="shared" si="20"/>
        <v>0</v>
      </c>
      <c r="AO40" s="4">
        <f t="shared" si="20"/>
        <v>0</v>
      </c>
      <c r="AP40" s="4">
        <f t="shared" si="20"/>
        <v>0</v>
      </c>
      <c r="AQ40" s="4">
        <f t="shared" si="20"/>
        <v>0</v>
      </c>
      <c r="AR40" s="4">
        <f t="shared" si="20"/>
        <v>0</v>
      </c>
      <c r="AS40" s="4">
        <f t="shared" si="20"/>
        <v>0</v>
      </c>
      <c r="AT40" s="4">
        <f t="shared" si="20"/>
        <v>0</v>
      </c>
      <c r="AU40" s="4">
        <f t="shared" si="20"/>
        <v>0</v>
      </c>
      <c r="AV40" s="4">
        <f t="shared" si="20"/>
        <v>0</v>
      </c>
      <c r="AW40" s="4">
        <f t="shared" si="20"/>
        <v>0</v>
      </c>
      <c r="AX40" s="4">
        <f t="shared" si="20"/>
        <v>0</v>
      </c>
      <c r="AY40" s="4">
        <f t="shared" si="20"/>
        <v>0</v>
      </c>
      <c r="AZ40" s="4">
        <f t="shared" si="20"/>
        <v>0</v>
      </c>
      <c r="BA40" s="4">
        <f t="shared" si="20"/>
        <v>0</v>
      </c>
      <c r="BB40" s="4">
        <f t="shared" si="20"/>
        <v>0</v>
      </c>
      <c r="BC40" s="4">
        <f t="shared" si="20"/>
        <v>0</v>
      </c>
      <c r="BD40" s="4">
        <f t="shared" si="20"/>
        <v>0</v>
      </c>
      <c r="BE40" s="4">
        <f t="shared" si="20"/>
        <v>0</v>
      </c>
      <c r="BF40" s="4">
        <f t="shared" si="20"/>
        <v>0</v>
      </c>
      <c r="BG40" s="4">
        <f t="shared" si="20"/>
        <v>0</v>
      </c>
      <c r="BH40" s="4">
        <f t="shared" si="20"/>
        <v>0</v>
      </c>
      <c r="BI40" s="4">
        <f t="shared" si="20"/>
        <v>0</v>
      </c>
      <c r="BJ40" s="4">
        <f t="shared" si="20"/>
        <v>0</v>
      </c>
      <c r="BK40" s="4">
        <f t="shared" si="20"/>
        <v>0</v>
      </c>
      <c r="BL40" s="4">
        <f t="shared" si="20"/>
        <v>0</v>
      </c>
    </row>
    <row r="41" spans="1:64" x14ac:dyDescent="0.2">
      <c r="B41" s="4" t="s">
        <v>64</v>
      </c>
      <c r="D41" s="6">
        <v>0.06</v>
      </c>
      <c r="E41" s="17">
        <f>NPV($D$41,I40:BL40)+H40</f>
        <v>0</v>
      </c>
    </row>
    <row r="42" spans="1:64" x14ac:dyDescent="0.2">
      <c r="B42" s="4" t="s">
        <v>152</v>
      </c>
      <c r="D42" s="6"/>
      <c r="H42" s="4">
        <f>H40</f>
        <v>0</v>
      </c>
      <c r="I42" s="4">
        <f>H42+I40</f>
        <v>0</v>
      </c>
      <c r="J42" s="4">
        <f t="shared" ref="J42:BL42" si="21">I42+J40</f>
        <v>0</v>
      </c>
      <c r="K42" s="4">
        <f t="shared" si="21"/>
        <v>0</v>
      </c>
      <c r="L42" s="4">
        <f t="shared" si="21"/>
        <v>0</v>
      </c>
      <c r="M42" s="4">
        <f t="shared" si="21"/>
        <v>0</v>
      </c>
      <c r="N42" s="4">
        <f t="shared" si="21"/>
        <v>0</v>
      </c>
      <c r="O42" s="4">
        <f t="shared" si="21"/>
        <v>0</v>
      </c>
      <c r="P42" s="4">
        <f t="shared" si="21"/>
        <v>0</v>
      </c>
      <c r="Q42" s="4">
        <f t="shared" si="21"/>
        <v>0</v>
      </c>
      <c r="R42" s="4">
        <f t="shared" si="21"/>
        <v>0</v>
      </c>
      <c r="S42" s="4">
        <f t="shared" si="21"/>
        <v>0</v>
      </c>
      <c r="T42" s="4">
        <f t="shared" si="21"/>
        <v>0</v>
      </c>
      <c r="U42" s="4">
        <f t="shared" si="21"/>
        <v>0</v>
      </c>
      <c r="V42" s="4">
        <f t="shared" si="21"/>
        <v>0</v>
      </c>
      <c r="W42" s="4">
        <f t="shared" si="21"/>
        <v>0</v>
      </c>
      <c r="X42" s="4">
        <f t="shared" si="21"/>
        <v>0</v>
      </c>
      <c r="Y42" s="4">
        <f t="shared" si="21"/>
        <v>0</v>
      </c>
      <c r="Z42" s="4">
        <f t="shared" si="21"/>
        <v>0</v>
      </c>
      <c r="AA42" s="4">
        <f t="shared" si="21"/>
        <v>0</v>
      </c>
      <c r="AB42" s="4">
        <f t="shared" si="21"/>
        <v>0</v>
      </c>
      <c r="AC42" s="4">
        <f t="shared" si="21"/>
        <v>0</v>
      </c>
      <c r="AD42" s="4">
        <f t="shared" si="21"/>
        <v>0</v>
      </c>
      <c r="AE42" s="4">
        <f t="shared" si="21"/>
        <v>0</v>
      </c>
      <c r="AF42" s="4">
        <f t="shared" si="21"/>
        <v>0</v>
      </c>
      <c r="AG42" s="4">
        <f t="shared" si="21"/>
        <v>0</v>
      </c>
      <c r="AH42" s="4">
        <f t="shared" si="21"/>
        <v>0</v>
      </c>
      <c r="AI42" s="4">
        <f t="shared" si="21"/>
        <v>0</v>
      </c>
      <c r="AJ42" s="4">
        <f t="shared" si="21"/>
        <v>0</v>
      </c>
      <c r="AK42" s="4">
        <f t="shared" si="21"/>
        <v>0</v>
      </c>
      <c r="AL42" s="4">
        <f t="shared" si="21"/>
        <v>0</v>
      </c>
      <c r="AM42" s="4">
        <f t="shared" si="21"/>
        <v>0</v>
      </c>
      <c r="AN42" s="4">
        <f t="shared" si="21"/>
        <v>0</v>
      </c>
      <c r="AO42" s="4">
        <f t="shared" si="21"/>
        <v>0</v>
      </c>
      <c r="AP42" s="4">
        <f t="shared" si="21"/>
        <v>0</v>
      </c>
      <c r="AQ42" s="4">
        <f t="shared" si="21"/>
        <v>0</v>
      </c>
      <c r="AR42" s="4">
        <f t="shared" si="21"/>
        <v>0</v>
      </c>
      <c r="AS42" s="4">
        <f t="shared" si="21"/>
        <v>0</v>
      </c>
      <c r="AT42" s="4">
        <f t="shared" si="21"/>
        <v>0</v>
      </c>
      <c r="AU42" s="4">
        <f t="shared" si="21"/>
        <v>0</v>
      </c>
      <c r="AV42" s="4">
        <f t="shared" si="21"/>
        <v>0</v>
      </c>
      <c r="AW42" s="4">
        <f t="shared" si="21"/>
        <v>0</v>
      </c>
      <c r="AX42" s="4">
        <f t="shared" si="21"/>
        <v>0</v>
      </c>
      <c r="AY42" s="4">
        <f t="shared" si="21"/>
        <v>0</v>
      </c>
      <c r="AZ42" s="4">
        <f t="shared" si="21"/>
        <v>0</v>
      </c>
      <c r="BA42" s="4">
        <f t="shared" si="21"/>
        <v>0</v>
      </c>
      <c r="BB42" s="4">
        <f t="shared" si="21"/>
        <v>0</v>
      </c>
      <c r="BC42" s="4">
        <f t="shared" si="21"/>
        <v>0</v>
      </c>
      <c r="BD42" s="4">
        <f t="shared" si="21"/>
        <v>0</v>
      </c>
      <c r="BE42" s="4">
        <f t="shared" si="21"/>
        <v>0</v>
      </c>
      <c r="BF42" s="4">
        <f t="shared" si="21"/>
        <v>0</v>
      </c>
      <c r="BG42" s="4">
        <f t="shared" si="21"/>
        <v>0</v>
      </c>
      <c r="BH42" s="4">
        <f t="shared" si="21"/>
        <v>0</v>
      </c>
      <c r="BI42" s="4">
        <f t="shared" si="21"/>
        <v>0</v>
      </c>
      <c r="BJ42" s="4">
        <f t="shared" si="21"/>
        <v>0</v>
      </c>
      <c r="BK42" s="4">
        <f t="shared" si="21"/>
        <v>0</v>
      </c>
      <c r="BL42" s="4">
        <f t="shared" si="21"/>
        <v>0</v>
      </c>
    </row>
    <row r="43" spans="1:64" x14ac:dyDescent="0.2">
      <c r="B43" s="4" t="s">
        <v>153</v>
      </c>
      <c r="E43" s="7">
        <f>ABS(MIN(H42:BL42))</f>
        <v>0</v>
      </c>
    </row>
    <row r="44" spans="1:64" x14ac:dyDescent="0.2">
      <c r="B44" s="4" t="s">
        <v>154</v>
      </c>
      <c r="E44" s="7">
        <f>SUMIF(H44:BL44,"=1",H1:BL1)</f>
        <v>0</v>
      </c>
      <c r="H44" s="4">
        <v>0</v>
      </c>
      <c r="I44" s="4">
        <f>IF(AND(H42&lt;0,I42&gt;0),1,0)</f>
        <v>0</v>
      </c>
      <c r="J44" s="4">
        <f t="shared" ref="J44:BL44" si="22">IF(AND(I42&lt;0,J42&gt;0),1,0)</f>
        <v>0</v>
      </c>
      <c r="K44" s="4">
        <f t="shared" si="22"/>
        <v>0</v>
      </c>
      <c r="L44" s="4">
        <f t="shared" si="22"/>
        <v>0</v>
      </c>
      <c r="M44" s="4">
        <f t="shared" si="22"/>
        <v>0</v>
      </c>
      <c r="N44" s="4">
        <f t="shared" si="22"/>
        <v>0</v>
      </c>
      <c r="O44" s="4">
        <f t="shared" si="22"/>
        <v>0</v>
      </c>
      <c r="P44" s="4">
        <f t="shared" si="22"/>
        <v>0</v>
      </c>
      <c r="Q44" s="4">
        <f t="shared" si="22"/>
        <v>0</v>
      </c>
      <c r="R44" s="4">
        <f t="shared" si="22"/>
        <v>0</v>
      </c>
      <c r="S44" s="4">
        <f t="shared" si="22"/>
        <v>0</v>
      </c>
      <c r="T44" s="4">
        <f t="shared" si="22"/>
        <v>0</v>
      </c>
      <c r="U44" s="4">
        <f t="shared" si="22"/>
        <v>0</v>
      </c>
      <c r="V44" s="4">
        <f t="shared" si="22"/>
        <v>0</v>
      </c>
      <c r="W44" s="4">
        <f t="shared" si="22"/>
        <v>0</v>
      </c>
      <c r="X44" s="4">
        <f t="shared" si="22"/>
        <v>0</v>
      </c>
      <c r="Y44" s="4">
        <f t="shared" si="22"/>
        <v>0</v>
      </c>
      <c r="Z44" s="4">
        <f t="shared" si="22"/>
        <v>0</v>
      </c>
      <c r="AA44" s="4">
        <f t="shared" si="22"/>
        <v>0</v>
      </c>
      <c r="AB44" s="4">
        <f t="shared" si="22"/>
        <v>0</v>
      </c>
      <c r="AC44" s="4">
        <f t="shared" si="22"/>
        <v>0</v>
      </c>
      <c r="AD44" s="4">
        <f t="shared" si="22"/>
        <v>0</v>
      </c>
      <c r="AE44" s="4">
        <f t="shared" si="22"/>
        <v>0</v>
      </c>
      <c r="AF44" s="4">
        <f t="shared" si="22"/>
        <v>0</v>
      </c>
      <c r="AG44" s="4">
        <f t="shared" si="22"/>
        <v>0</v>
      </c>
      <c r="AH44" s="4">
        <f t="shared" si="22"/>
        <v>0</v>
      </c>
      <c r="AI44" s="4">
        <f t="shared" si="22"/>
        <v>0</v>
      </c>
      <c r="AJ44" s="4">
        <f t="shared" si="22"/>
        <v>0</v>
      </c>
      <c r="AK44" s="4">
        <f t="shared" si="22"/>
        <v>0</v>
      </c>
      <c r="AL44" s="4">
        <f t="shared" si="22"/>
        <v>0</v>
      </c>
      <c r="AM44" s="4">
        <f t="shared" si="22"/>
        <v>0</v>
      </c>
      <c r="AN44" s="4">
        <f t="shared" si="22"/>
        <v>0</v>
      </c>
      <c r="AO44" s="4">
        <f t="shared" si="22"/>
        <v>0</v>
      </c>
      <c r="AP44" s="4">
        <f t="shared" si="22"/>
        <v>0</v>
      </c>
      <c r="AQ44" s="4">
        <f t="shared" si="22"/>
        <v>0</v>
      </c>
      <c r="AR44" s="4">
        <f t="shared" si="22"/>
        <v>0</v>
      </c>
      <c r="AS44" s="4">
        <f t="shared" si="22"/>
        <v>0</v>
      </c>
      <c r="AT44" s="4">
        <f t="shared" si="22"/>
        <v>0</v>
      </c>
      <c r="AU44" s="4">
        <f t="shared" si="22"/>
        <v>0</v>
      </c>
      <c r="AV44" s="4">
        <f t="shared" si="22"/>
        <v>0</v>
      </c>
      <c r="AW44" s="4">
        <f t="shared" si="22"/>
        <v>0</v>
      </c>
      <c r="AX44" s="4">
        <f t="shared" si="22"/>
        <v>0</v>
      </c>
      <c r="AY44" s="4">
        <f t="shared" si="22"/>
        <v>0</v>
      </c>
      <c r="AZ44" s="4">
        <f t="shared" si="22"/>
        <v>0</v>
      </c>
      <c r="BA44" s="4">
        <f t="shared" si="22"/>
        <v>0</v>
      </c>
      <c r="BB44" s="4">
        <f t="shared" si="22"/>
        <v>0</v>
      </c>
      <c r="BC44" s="4">
        <f t="shared" si="22"/>
        <v>0</v>
      </c>
      <c r="BD44" s="4">
        <f t="shared" si="22"/>
        <v>0</v>
      </c>
      <c r="BE44" s="4">
        <f t="shared" si="22"/>
        <v>0</v>
      </c>
      <c r="BF44" s="4">
        <f t="shared" si="22"/>
        <v>0</v>
      </c>
      <c r="BG44" s="4">
        <f t="shared" si="22"/>
        <v>0</v>
      </c>
      <c r="BH44" s="4">
        <f t="shared" si="22"/>
        <v>0</v>
      </c>
      <c r="BI44" s="4">
        <f t="shared" si="22"/>
        <v>0</v>
      </c>
      <c r="BJ44" s="4">
        <f t="shared" si="22"/>
        <v>0</v>
      </c>
      <c r="BK44" s="4">
        <f t="shared" si="22"/>
        <v>0</v>
      </c>
      <c r="BL44" s="4">
        <f t="shared" si="22"/>
        <v>0</v>
      </c>
    </row>
    <row r="45" spans="1:64" x14ac:dyDescent="0.2">
      <c r="B45" s="4" t="s">
        <v>155</v>
      </c>
      <c r="E45" s="26" t="e">
        <f>IRR(H40:BL40)</f>
        <v>#NUM!</v>
      </c>
    </row>
    <row r="46" spans="1:64" x14ac:dyDescent="0.2">
      <c r="E46" s="6"/>
    </row>
    <row r="47" spans="1:64" x14ac:dyDescent="0.2">
      <c r="A47" s="4" t="s">
        <v>56</v>
      </c>
      <c r="E47" s="6"/>
    </row>
    <row r="48" spans="1:64" x14ac:dyDescent="0.2">
      <c r="B48" s="4" t="s">
        <v>9</v>
      </c>
      <c r="D48" s="6">
        <v>0.5</v>
      </c>
    </row>
    <row r="49" spans="2:64" x14ac:dyDescent="0.2">
      <c r="B49" s="14" t="s">
        <v>57</v>
      </c>
      <c r="D49" s="6"/>
      <c r="H49" s="4">
        <f>H15+H16+IF(H32=1,$E$20,0)</f>
        <v>0</v>
      </c>
      <c r="I49" s="4">
        <f t="shared" ref="I49:BL49" si="23">I15+I16+IF(I32=1,$E$20,0)</f>
        <v>0</v>
      </c>
      <c r="J49" s="4">
        <f t="shared" si="23"/>
        <v>15</v>
      </c>
      <c r="K49" s="4">
        <f t="shared" si="23"/>
        <v>15</v>
      </c>
      <c r="L49" s="4">
        <f t="shared" si="23"/>
        <v>15</v>
      </c>
      <c r="M49" s="4">
        <f t="shared" si="23"/>
        <v>95</v>
      </c>
      <c r="N49" s="4">
        <f t="shared" si="23"/>
        <v>600</v>
      </c>
      <c r="O49" s="4">
        <f t="shared" si="23"/>
        <v>1200</v>
      </c>
      <c r="P49" s="4">
        <f t="shared" si="23"/>
        <v>750</v>
      </c>
      <c r="Q49" s="4">
        <f t="shared" si="23"/>
        <v>300</v>
      </c>
      <c r="R49" s="4">
        <f t="shared" si="23"/>
        <v>150</v>
      </c>
      <c r="S49" s="4">
        <f t="shared" si="23"/>
        <v>0</v>
      </c>
      <c r="T49" s="4">
        <f t="shared" si="23"/>
        <v>0</v>
      </c>
      <c r="U49" s="4">
        <f t="shared" si="23"/>
        <v>0</v>
      </c>
      <c r="V49" s="4">
        <f t="shared" si="23"/>
        <v>0</v>
      </c>
      <c r="W49" s="4">
        <f t="shared" si="23"/>
        <v>0</v>
      </c>
      <c r="X49" s="4">
        <f t="shared" si="23"/>
        <v>0</v>
      </c>
      <c r="Y49" s="4">
        <f t="shared" si="23"/>
        <v>0</v>
      </c>
      <c r="Z49" s="4">
        <f t="shared" si="23"/>
        <v>0</v>
      </c>
      <c r="AA49" s="4">
        <f t="shared" si="23"/>
        <v>0</v>
      </c>
      <c r="AB49" s="4">
        <f t="shared" si="23"/>
        <v>0</v>
      </c>
      <c r="AC49" s="4">
        <f t="shared" si="23"/>
        <v>0</v>
      </c>
      <c r="AD49" s="4">
        <f t="shared" si="23"/>
        <v>0</v>
      </c>
      <c r="AE49" s="4">
        <f t="shared" si="23"/>
        <v>0</v>
      </c>
      <c r="AF49" s="4">
        <f t="shared" si="23"/>
        <v>0</v>
      </c>
      <c r="AG49" s="4">
        <f t="shared" si="23"/>
        <v>0</v>
      </c>
      <c r="AH49" s="4">
        <f t="shared" si="23"/>
        <v>0</v>
      </c>
      <c r="AI49" s="4">
        <f t="shared" si="23"/>
        <v>0</v>
      </c>
      <c r="AJ49" s="4">
        <f t="shared" si="23"/>
        <v>0</v>
      </c>
      <c r="AK49" s="4">
        <f t="shared" si="23"/>
        <v>0</v>
      </c>
      <c r="AL49" s="4">
        <f t="shared" si="23"/>
        <v>0</v>
      </c>
      <c r="AM49" s="4">
        <f t="shared" si="23"/>
        <v>0</v>
      </c>
      <c r="AN49" s="4">
        <f t="shared" si="23"/>
        <v>0</v>
      </c>
      <c r="AO49" s="4">
        <f t="shared" si="23"/>
        <v>0</v>
      </c>
      <c r="AP49" s="4">
        <f t="shared" si="23"/>
        <v>0</v>
      </c>
      <c r="AQ49" s="4">
        <f t="shared" si="23"/>
        <v>0</v>
      </c>
      <c r="AR49" s="4">
        <f t="shared" si="23"/>
        <v>0</v>
      </c>
      <c r="AS49" s="4">
        <f t="shared" si="23"/>
        <v>0</v>
      </c>
      <c r="AT49" s="4">
        <f t="shared" si="23"/>
        <v>0</v>
      </c>
      <c r="AU49" s="4">
        <f t="shared" si="23"/>
        <v>0</v>
      </c>
      <c r="AV49" s="4">
        <f t="shared" si="23"/>
        <v>0</v>
      </c>
      <c r="AW49" s="4">
        <f t="shared" si="23"/>
        <v>0</v>
      </c>
      <c r="AX49" s="4">
        <f t="shared" si="23"/>
        <v>0</v>
      </c>
      <c r="AY49" s="4">
        <f t="shared" si="23"/>
        <v>0</v>
      </c>
      <c r="AZ49" s="4">
        <f t="shared" si="23"/>
        <v>0</v>
      </c>
      <c r="BA49" s="4">
        <f t="shared" si="23"/>
        <v>0</v>
      </c>
      <c r="BB49" s="4">
        <f t="shared" si="23"/>
        <v>0</v>
      </c>
      <c r="BC49" s="4">
        <f t="shared" si="23"/>
        <v>0</v>
      </c>
      <c r="BD49" s="4">
        <f t="shared" si="23"/>
        <v>0</v>
      </c>
      <c r="BE49" s="4">
        <f t="shared" si="23"/>
        <v>0</v>
      </c>
      <c r="BF49" s="4">
        <f t="shared" si="23"/>
        <v>0</v>
      </c>
      <c r="BG49" s="4">
        <f t="shared" si="23"/>
        <v>0</v>
      </c>
      <c r="BH49" s="4">
        <f t="shared" si="23"/>
        <v>0</v>
      </c>
      <c r="BI49" s="4">
        <f t="shared" si="23"/>
        <v>0</v>
      </c>
      <c r="BJ49" s="4">
        <f t="shared" si="23"/>
        <v>0</v>
      </c>
      <c r="BK49" s="4">
        <f t="shared" si="23"/>
        <v>0</v>
      </c>
      <c r="BL49" s="4">
        <f t="shared" si="23"/>
        <v>0</v>
      </c>
    </row>
    <row r="50" spans="2:64" x14ac:dyDescent="0.2">
      <c r="B50" s="4" t="s">
        <v>10</v>
      </c>
      <c r="D50" s="6">
        <v>0.2</v>
      </c>
      <c r="G50" s="4">
        <f>SUM(H50:BK50)</f>
        <v>3140</v>
      </c>
      <c r="H50" s="4">
        <f>IF(H1&lt;2010,SUM($H$49:H49)*$D$50,SUM(D49:H49)*$D$50)</f>
        <v>0</v>
      </c>
      <c r="I50" s="4">
        <f>IF(I1&lt;2010,SUM($H$49:I49)*$D$50,SUM(E49:I49)*$D$50)</f>
        <v>0</v>
      </c>
      <c r="J50" s="4">
        <f>IF(J1&lt;2010,SUM($H$49:J49)*$D$50,SUM(F49:J49)*$D$50)</f>
        <v>3</v>
      </c>
      <c r="K50" s="4">
        <f>IF(K1&lt;2010,SUM($H$49:K49)*$D$50,SUM(G49:K49)*$D$50)</f>
        <v>6</v>
      </c>
      <c r="L50" s="4">
        <f>IF(L1&lt;2010,SUM($H$49:L49)*$D$50,SUM(H49:L49)*$D$50)</f>
        <v>9</v>
      </c>
      <c r="M50" s="4">
        <f>IF(M1&lt;2010,SUM($H$49:M49)*$D$50,SUM(I49:M49)*$D$50)</f>
        <v>28</v>
      </c>
      <c r="N50" s="4">
        <f>IF(N1&lt;2010,SUM($H$49:N49)*$D$50,SUM(J49:N49)*$D$50)</f>
        <v>148</v>
      </c>
      <c r="O50" s="4">
        <f>IF(O1&lt;2010,SUM($H$49:O49)*$D$50,SUM(K49:O49)*$D$50)</f>
        <v>385</v>
      </c>
      <c r="P50" s="4">
        <f>IF(P1&lt;2010,SUM($H$49:P49)*$D$50,SUM(L49:P49)*$D$50)</f>
        <v>532</v>
      </c>
      <c r="Q50" s="4">
        <f>IF(Q1&lt;2010,SUM($H$49:Q49)*$D$50,SUM(M49:Q49)*$D$50)</f>
        <v>589</v>
      </c>
      <c r="R50" s="4">
        <f>IF(R1&lt;2010,SUM($H$49:R49)*$D$50,SUM(N49:R49)*$D$50)</f>
        <v>600</v>
      </c>
      <c r="S50" s="4">
        <f>IF(S1&lt;2010,SUM($H$49:S49)*$D$50,SUM(O49:S49)*$D$50)</f>
        <v>480</v>
      </c>
      <c r="T50" s="4">
        <f>IF(T1&lt;2010,SUM($H$49:T49)*$D$50,SUM(P49:T49)*$D$50)</f>
        <v>240</v>
      </c>
      <c r="U50" s="4">
        <f>IF(U1&lt;2010,SUM($H$49:U49)*$D$50,SUM(Q49:U49)*$D$50)</f>
        <v>90</v>
      </c>
      <c r="V50" s="4">
        <f>IF(V1&lt;2010,SUM($H$49:V49)*$D$50,SUM(R49:V49)*$D$50)</f>
        <v>30</v>
      </c>
      <c r="W50" s="4">
        <f>IF(W1&lt;2010,SUM($H$49:W49)*$D$50,SUM(S49:W49)*$D$50)</f>
        <v>0</v>
      </c>
      <c r="X50" s="4">
        <f>IF(X1&lt;2010,SUM($H$49:X49)*$D$50,SUM(T49:X49)*$D$50)</f>
        <v>0</v>
      </c>
      <c r="Y50" s="4">
        <f>IF(Y1&lt;2010,SUM($H$49:Y49)*$D$50,SUM(U49:Y49)*$D$50)</f>
        <v>0</v>
      </c>
      <c r="Z50" s="4">
        <f>IF(Z1&lt;2010,SUM($H$49:Z49)*$D$50,SUM(V49:Z49)*$D$50)</f>
        <v>0</v>
      </c>
      <c r="AA50" s="4">
        <f>IF(AA1&lt;2010,SUM($H$49:AA49)*$D$50,SUM(W49:AA49)*$D$50)</f>
        <v>0</v>
      </c>
      <c r="AB50" s="4">
        <f>IF(AB1&lt;2010,SUM($H$49:AB49)*$D$50,SUM(X49:AB49)*$D$50)</f>
        <v>0</v>
      </c>
      <c r="AC50" s="4">
        <f>IF(AC1&lt;2010,SUM($H$49:AC49)*$D$50,SUM(Y49:AC49)*$D$50)</f>
        <v>0</v>
      </c>
      <c r="AD50" s="4">
        <f>IF(AD1&lt;2010,SUM($H$49:AD49)*$D$50,SUM(Z49:AD49)*$D$50)</f>
        <v>0</v>
      </c>
      <c r="AE50" s="4">
        <f>IF(AE1&lt;2010,SUM($H$49:AE49)*$D$50,SUM(AA49:AE49)*$D$50)</f>
        <v>0</v>
      </c>
      <c r="AF50" s="4">
        <f>IF(AF1&lt;2010,SUM($H$49:AF49)*$D$50,SUM(AB49:AF49)*$D$50)</f>
        <v>0</v>
      </c>
      <c r="AG50" s="4">
        <f>IF(AG1&lt;2010,SUM($H$49:AG49)*$D$50,SUM(AC49:AG49)*$D$50)</f>
        <v>0</v>
      </c>
      <c r="AH50" s="4">
        <f>IF(AH1&lt;2010,SUM($H$49:AH49)*$D$50,SUM(AD49:AH49)*$D$50)</f>
        <v>0</v>
      </c>
      <c r="AI50" s="4">
        <f>IF(AI1&lt;2010,SUM($H$49:AI49)*$D$50,SUM(AE49:AI49)*$D$50)</f>
        <v>0</v>
      </c>
      <c r="AJ50" s="4">
        <f>IF(AJ1&lt;2010,SUM($H$49:AJ49)*$D$50,SUM(AF49:AJ49)*$D$50)</f>
        <v>0</v>
      </c>
      <c r="AK50" s="4">
        <f>IF(AK1&lt;2010,SUM($H$49:AK49)*$D$50,SUM(AG49:AK49)*$D$50)</f>
        <v>0</v>
      </c>
      <c r="AL50" s="4">
        <f>IF(AL1&lt;2010,SUM($H$49:AL49)*$D$50,SUM(AH49:AL49)*$D$50)</f>
        <v>0</v>
      </c>
      <c r="AM50" s="4">
        <f>IF(AM1&lt;2010,SUM($H$49:AM49)*$D$50,SUM(AI49:AM49)*$D$50)</f>
        <v>0</v>
      </c>
      <c r="AN50" s="4">
        <f>IF(AN1&lt;2010,SUM($H$49:AN49)*$D$50,SUM(AJ49:AN49)*$D$50)</f>
        <v>0</v>
      </c>
      <c r="AO50" s="4">
        <f>IF(AO1&lt;2010,SUM($H$49:AO49)*$D$50,SUM(AK49:AO49)*$D$50)</f>
        <v>0</v>
      </c>
      <c r="AP50" s="4">
        <f>IF(AP1&lt;2010,SUM($H$49:AP49)*$D$50,SUM(AL49:AP49)*$D$50)</f>
        <v>0</v>
      </c>
      <c r="AQ50" s="4">
        <f>IF(AQ1&lt;2010,SUM($H$49:AQ49)*$D$50,SUM(AM49:AQ49)*$D$50)</f>
        <v>0</v>
      </c>
      <c r="AR50" s="4">
        <f>IF(AR1&lt;2010,SUM($H$49:AR49)*$D$50,SUM(AN49:AR49)*$D$50)</f>
        <v>0</v>
      </c>
      <c r="AS50" s="4">
        <f>IF(AS1&lt;2010,SUM($H$49:AS49)*$D$50,SUM(AO49:AS49)*$D$50)</f>
        <v>0</v>
      </c>
      <c r="AT50" s="4">
        <f>IF(AT1&lt;2010,SUM($H$49:AT49)*$D$50,SUM(AP49:AT49)*$D$50)</f>
        <v>0</v>
      </c>
      <c r="AU50" s="4">
        <f>IF(AU1&lt;2010,SUM($H$49:AU49)*$D$50,SUM(AQ49:AU49)*$D$50)</f>
        <v>0</v>
      </c>
      <c r="AV50" s="4">
        <f>IF(AV1&lt;2010,SUM($H$49:AV49)*$D$50,SUM(AR49:AV49)*$D$50)</f>
        <v>0</v>
      </c>
      <c r="AW50" s="4">
        <f>IF(AW1&lt;2010,SUM($H$49:AW49)*$D$50,SUM(AS49:AW49)*$D$50)</f>
        <v>0</v>
      </c>
      <c r="AX50" s="4">
        <f>IF(AX1&lt;2010,SUM($H$49:AX49)*$D$50,SUM(AT49:AX49)*$D$50)</f>
        <v>0</v>
      </c>
      <c r="AY50" s="4">
        <f>IF(AY1&lt;2010,SUM($H$49:AY49)*$D$50,SUM(AU49:AY49)*$D$50)</f>
        <v>0</v>
      </c>
      <c r="AZ50" s="4">
        <f>IF(AZ1&lt;2010,SUM($H$49:AZ49)*$D$50,SUM(AV49:AZ49)*$D$50)</f>
        <v>0</v>
      </c>
      <c r="BA50" s="4">
        <f>IF(BA1&lt;2010,SUM($H$49:BA49)*$D$50,SUM(AW49:BA49)*$D$50)</f>
        <v>0</v>
      </c>
      <c r="BB50" s="4">
        <f>IF(BB1&lt;2010,SUM($H$49:BB49)*$D$50,SUM(AX49:BB49)*$D$50)</f>
        <v>0</v>
      </c>
      <c r="BC50" s="4">
        <f>IF(BC1&lt;2010,SUM($H$49:BC49)*$D$50,SUM(AY49:BC49)*$D$50)</f>
        <v>0</v>
      </c>
      <c r="BD50" s="4">
        <f>IF(BD1&lt;2010,SUM($H$49:BD49)*$D$50,SUM(AZ49:BD49)*$D$50)</f>
        <v>0</v>
      </c>
      <c r="BE50" s="4">
        <f>IF(BE1&lt;2010,SUM($H$49:BE49)*$D$50,SUM(BA49:BE49)*$D$50)</f>
        <v>0</v>
      </c>
      <c r="BF50" s="4">
        <f>IF(BF1&lt;2010,SUM($H$49:BF49)*$D$50,SUM(BB49:BF49)*$D$50)</f>
        <v>0</v>
      </c>
      <c r="BG50" s="4">
        <f>IF(BG1&lt;2010,SUM($H$49:BG49)*$D$50,SUM(BC49:BG49)*$D$50)</f>
        <v>0</v>
      </c>
      <c r="BH50" s="4">
        <f>IF(BH1&lt;2010,SUM($H$49:BH49)*$D$50,SUM(BD49:BH49)*$D$50)</f>
        <v>0</v>
      </c>
      <c r="BI50" s="4">
        <f>IF(BI1&lt;2010,SUM($H$49:BI49)*$D$50,SUM(BE49:BI49)*$D$50)</f>
        <v>0</v>
      </c>
      <c r="BJ50" s="4">
        <f>IF(BJ1&lt;2010,SUM($H$49:BJ49)*$D$50,SUM(BF49:BJ49)*$D$50)</f>
        <v>0</v>
      </c>
      <c r="BK50" s="4">
        <f>IF(BK1&lt;2010,SUM($H$49:BK49)*$D$50,SUM(BG49:BK49)*$D$50)</f>
        <v>0</v>
      </c>
      <c r="BL50" s="4">
        <f>IF(BL1&lt;2010,SUM($H$49:BL49)*$D$50,SUM(BH49:BL49)*$D$50)</f>
        <v>0</v>
      </c>
    </row>
    <row r="51" spans="2:64" x14ac:dyDescent="0.2">
      <c r="B51" s="14" t="s">
        <v>58</v>
      </c>
      <c r="C51" s="10"/>
      <c r="G51" s="4">
        <f>SUM(H51:BK51)</f>
        <v>0</v>
      </c>
      <c r="H51" s="4">
        <f t="shared" ref="H51:BL51" si="24">H36-H37-(H39-H49)-H50</f>
        <v>0</v>
      </c>
      <c r="I51" s="4">
        <f t="shared" si="24"/>
        <v>0</v>
      </c>
      <c r="J51" s="4">
        <f t="shared" si="24"/>
        <v>12</v>
      </c>
      <c r="K51" s="4">
        <f t="shared" si="24"/>
        <v>9</v>
      </c>
      <c r="L51" s="4">
        <f t="shared" si="24"/>
        <v>6</v>
      </c>
      <c r="M51" s="4">
        <f t="shared" si="24"/>
        <v>67</v>
      </c>
      <c r="N51" s="4">
        <f t="shared" si="24"/>
        <v>452</v>
      </c>
      <c r="O51" s="4">
        <f t="shared" si="24"/>
        <v>815</v>
      </c>
      <c r="P51" s="4">
        <f t="shared" si="24"/>
        <v>218</v>
      </c>
      <c r="Q51" s="4">
        <f t="shared" si="24"/>
        <v>-289</v>
      </c>
      <c r="R51" s="4">
        <f t="shared" si="24"/>
        <v>-450</v>
      </c>
      <c r="S51" s="4">
        <f t="shared" si="24"/>
        <v>-480</v>
      </c>
      <c r="T51" s="4">
        <f t="shared" si="24"/>
        <v>-240</v>
      </c>
      <c r="U51" s="4">
        <f t="shared" si="24"/>
        <v>-90</v>
      </c>
      <c r="V51" s="4">
        <f t="shared" si="24"/>
        <v>-30</v>
      </c>
      <c r="W51" s="4">
        <f t="shared" si="24"/>
        <v>0</v>
      </c>
      <c r="X51" s="4">
        <f t="shared" si="24"/>
        <v>0</v>
      </c>
      <c r="Y51" s="4">
        <f t="shared" si="24"/>
        <v>0</v>
      </c>
      <c r="Z51" s="4">
        <f t="shared" si="24"/>
        <v>0</v>
      </c>
      <c r="AA51" s="4">
        <f t="shared" si="24"/>
        <v>0</v>
      </c>
      <c r="AB51" s="4">
        <f t="shared" si="24"/>
        <v>0</v>
      </c>
      <c r="AC51" s="4">
        <f t="shared" si="24"/>
        <v>0</v>
      </c>
      <c r="AD51" s="4">
        <f t="shared" si="24"/>
        <v>0</v>
      </c>
      <c r="AE51" s="4">
        <f t="shared" si="24"/>
        <v>0</v>
      </c>
      <c r="AF51" s="4">
        <f t="shared" si="24"/>
        <v>0</v>
      </c>
      <c r="AG51" s="4">
        <f t="shared" si="24"/>
        <v>0</v>
      </c>
      <c r="AH51" s="4">
        <f t="shared" si="24"/>
        <v>0</v>
      </c>
      <c r="AI51" s="4">
        <f t="shared" si="24"/>
        <v>0</v>
      </c>
      <c r="AJ51" s="4">
        <f t="shared" si="24"/>
        <v>0</v>
      </c>
      <c r="AK51" s="4">
        <f t="shared" si="24"/>
        <v>0</v>
      </c>
      <c r="AL51" s="4">
        <f t="shared" si="24"/>
        <v>0</v>
      </c>
      <c r="AM51" s="4">
        <f t="shared" si="24"/>
        <v>0</v>
      </c>
      <c r="AN51" s="4">
        <f t="shared" si="24"/>
        <v>0</v>
      </c>
      <c r="AO51" s="4">
        <f t="shared" si="24"/>
        <v>0</v>
      </c>
      <c r="AP51" s="4">
        <f t="shared" si="24"/>
        <v>0</v>
      </c>
      <c r="AQ51" s="4">
        <f t="shared" si="24"/>
        <v>0</v>
      </c>
      <c r="AR51" s="4">
        <f t="shared" si="24"/>
        <v>0</v>
      </c>
      <c r="AS51" s="4">
        <f t="shared" si="24"/>
        <v>0</v>
      </c>
      <c r="AT51" s="4">
        <f t="shared" si="24"/>
        <v>0</v>
      </c>
      <c r="AU51" s="4">
        <f t="shared" si="24"/>
        <v>0</v>
      </c>
      <c r="AV51" s="4">
        <f t="shared" si="24"/>
        <v>0</v>
      </c>
      <c r="AW51" s="4">
        <f t="shared" si="24"/>
        <v>0</v>
      </c>
      <c r="AX51" s="4">
        <f t="shared" si="24"/>
        <v>0</v>
      </c>
      <c r="AY51" s="4">
        <f t="shared" si="24"/>
        <v>0</v>
      </c>
      <c r="AZ51" s="4">
        <f t="shared" si="24"/>
        <v>0</v>
      </c>
      <c r="BA51" s="4">
        <f t="shared" si="24"/>
        <v>0</v>
      </c>
      <c r="BB51" s="4">
        <f t="shared" si="24"/>
        <v>0</v>
      </c>
      <c r="BC51" s="4">
        <f t="shared" si="24"/>
        <v>0</v>
      </c>
      <c r="BD51" s="4">
        <f t="shared" si="24"/>
        <v>0</v>
      </c>
      <c r="BE51" s="4">
        <f t="shared" si="24"/>
        <v>0</v>
      </c>
      <c r="BF51" s="4">
        <f t="shared" si="24"/>
        <v>0</v>
      </c>
      <c r="BG51" s="4">
        <f t="shared" si="24"/>
        <v>0</v>
      </c>
      <c r="BH51" s="4">
        <f t="shared" si="24"/>
        <v>0</v>
      </c>
      <c r="BI51" s="4">
        <f t="shared" si="24"/>
        <v>0</v>
      </c>
      <c r="BJ51" s="4">
        <f t="shared" si="24"/>
        <v>0</v>
      </c>
      <c r="BK51" s="4">
        <f t="shared" si="24"/>
        <v>0</v>
      </c>
      <c r="BL51" s="4">
        <f t="shared" si="24"/>
        <v>0</v>
      </c>
    </row>
    <row r="52" spans="2:64" x14ac:dyDescent="0.2">
      <c r="C52" s="10"/>
    </row>
    <row r="53" spans="2:64" x14ac:dyDescent="0.2">
      <c r="B53" s="4" t="s">
        <v>12</v>
      </c>
      <c r="C53" s="10"/>
      <c r="G53" s="4">
        <f>SUM(H53:BK53)</f>
        <v>0</v>
      </c>
      <c r="H53" s="4">
        <f>$D$48*H51</f>
        <v>0</v>
      </c>
      <c r="I53" s="4">
        <f t="shared" ref="I53:BL53" si="25">$D$48*I51</f>
        <v>0</v>
      </c>
      <c r="J53" s="4">
        <f t="shared" si="25"/>
        <v>6</v>
      </c>
      <c r="K53" s="4">
        <f t="shared" si="25"/>
        <v>4.5</v>
      </c>
      <c r="L53" s="4">
        <f t="shared" si="25"/>
        <v>3</v>
      </c>
      <c r="M53" s="4">
        <f t="shared" si="25"/>
        <v>33.5</v>
      </c>
      <c r="N53" s="4">
        <f t="shared" si="25"/>
        <v>226</v>
      </c>
      <c r="O53" s="4">
        <f t="shared" si="25"/>
        <v>407.5</v>
      </c>
      <c r="P53" s="4">
        <f t="shared" si="25"/>
        <v>109</v>
      </c>
      <c r="Q53" s="4">
        <f t="shared" si="25"/>
        <v>-144.5</v>
      </c>
      <c r="R53" s="4">
        <f t="shared" si="25"/>
        <v>-225</v>
      </c>
      <c r="S53" s="4">
        <f t="shared" si="25"/>
        <v>-240</v>
      </c>
      <c r="T53" s="4">
        <f t="shared" si="25"/>
        <v>-120</v>
      </c>
      <c r="U53" s="4">
        <f t="shared" si="25"/>
        <v>-45</v>
      </c>
      <c r="V53" s="4">
        <f t="shared" si="25"/>
        <v>-15</v>
      </c>
      <c r="W53" s="4">
        <f t="shared" si="25"/>
        <v>0</v>
      </c>
      <c r="X53" s="4">
        <f t="shared" si="25"/>
        <v>0</v>
      </c>
      <c r="Y53" s="4">
        <f t="shared" si="25"/>
        <v>0</v>
      </c>
      <c r="Z53" s="4">
        <f t="shared" si="25"/>
        <v>0</v>
      </c>
      <c r="AA53" s="4">
        <f t="shared" si="25"/>
        <v>0</v>
      </c>
      <c r="AB53" s="4">
        <f t="shared" si="25"/>
        <v>0</v>
      </c>
      <c r="AC53" s="4">
        <f t="shared" si="25"/>
        <v>0</v>
      </c>
      <c r="AD53" s="4">
        <f t="shared" si="25"/>
        <v>0</v>
      </c>
      <c r="AE53" s="4">
        <f t="shared" si="25"/>
        <v>0</v>
      </c>
      <c r="AF53" s="4">
        <f t="shared" si="25"/>
        <v>0</v>
      </c>
      <c r="AG53" s="4">
        <f t="shared" si="25"/>
        <v>0</v>
      </c>
      <c r="AH53" s="4">
        <f t="shared" si="25"/>
        <v>0</v>
      </c>
      <c r="AI53" s="4">
        <f t="shared" si="25"/>
        <v>0</v>
      </c>
      <c r="AJ53" s="4">
        <f t="shared" si="25"/>
        <v>0</v>
      </c>
      <c r="AK53" s="4">
        <f t="shared" si="25"/>
        <v>0</v>
      </c>
      <c r="AL53" s="4">
        <f t="shared" si="25"/>
        <v>0</v>
      </c>
      <c r="AM53" s="4">
        <f t="shared" si="25"/>
        <v>0</v>
      </c>
      <c r="AN53" s="4">
        <f t="shared" si="25"/>
        <v>0</v>
      </c>
      <c r="AO53" s="4">
        <f t="shared" si="25"/>
        <v>0</v>
      </c>
      <c r="AP53" s="4">
        <f t="shared" si="25"/>
        <v>0</v>
      </c>
      <c r="AQ53" s="4">
        <f t="shared" si="25"/>
        <v>0</v>
      </c>
      <c r="AR53" s="4">
        <f t="shared" si="25"/>
        <v>0</v>
      </c>
      <c r="AS53" s="4">
        <f t="shared" si="25"/>
        <v>0</v>
      </c>
      <c r="AT53" s="4">
        <f t="shared" si="25"/>
        <v>0</v>
      </c>
      <c r="AU53" s="4">
        <f t="shared" si="25"/>
        <v>0</v>
      </c>
      <c r="AV53" s="4">
        <f t="shared" si="25"/>
        <v>0</v>
      </c>
      <c r="AW53" s="4">
        <f t="shared" si="25"/>
        <v>0</v>
      </c>
      <c r="AX53" s="4">
        <f t="shared" si="25"/>
        <v>0</v>
      </c>
      <c r="AY53" s="4">
        <f t="shared" si="25"/>
        <v>0</v>
      </c>
      <c r="AZ53" s="4">
        <f t="shared" si="25"/>
        <v>0</v>
      </c>
      <c r="BA53" s="4">
        <f t="shared" si="25"/>
        <v>0</v>
      </c>
      <c r="BB53" s="4">
        <f t="shared" si="25"/>
        <v>0</v>
      </c>
      <c r="BC53" s="4">
        <f t="shared" si="25"/>
        <v>0</v>
      </c>
      <c r="BD53" s="4">
        <f t="shared" si="25"/>
        <v>0</v>
      </c>
      <c r="BE53" s="4">
        <f t="shared" si="25"/>
        <v>0</v>
      </c>
      <c r="BF53" s="4">
        <f t="shared" si="25"/>
        <v>0</v>
      </c>
      <c r="BG53" s="4">
        <f t="shared" si="25"/>
        <v>0</v>
      </c>
      <c r="BH53" s="4">
        <f t="shared" si="25"/>
        <v>0</v>
      </c>
      <c r="BI53" s="4">
        <f t="shared" si="25"/>
        <v>0</v>
      </c>
      <c r="BJ53" s="4">
        <f t="shared" si="25"/>
        <v>0</v>
      </c>
      <c r="BK53" s="4">
        <f t="shared" si="25"/>
        <v>0</v>
      </c>
      <c r="BL53" s="4">
        <f t="shared" si="25"/>
        <v>0</v>
      </c>
    </row>
    <row r="54" spans="2:64" x14ac:dyDescent="0.2">
      <c r="B54" s="4" t="s">
        <v>4</v>
      </c>
      <c r="G54" s="4">
        <f>SUM(H54:BK54)</f>
        <v>0</v>
      </c>
      <c r="H54" s="4">
        <f>H40-H53</f>
        <v>0</v>
      </c>
      <c r="I54" s="4">
        <f t="shared" ref="I54:BL54" si="26">I40-I53</f>
        <v>0</v>
      </c>
      <c r="J54" s="4">
        <f t="shared" si="26"/>
        <v>-6</v>
      </c>
      <c r="K54" s="4">
        <f t="shared" si="26"/>
        <v>-4.5</v>
      </c>
      <c r="L54" s="4">
        <f t="shared" si="26"/>
        <v>-3</v>
      </c>
      <c r="M54" s="4">
        <f t="shared" si="26"/>
        <v>-33.5</v>
      </c>
      <c r="N54" s="4">
        <f t="shared" si="26"/>
        <v>-226</v>
      </c>
      <c r="O54" s="4">
        <f t="shared" si="26"/>
        <v>-407.5</v>
      </c>
      <c r="P54" s="4">
        <f t="shared" si="26"/>
        <v>-109</v>
      </c>
      <c r="Q54" s="4">
        <f t="shared" si="26"/>
        <v>144.5</v>
      </c>
      <c r="R54" s="4">
        <f t="shared" si="26"/>
        <v>225</v>
      </c>
      <c r="S54" s="4">
        <f t="shared" si="26"/>
        <v>240</v>
      </c>
      <c r="T54" s="4">
        <f t="shared" si="26"/>
        <v>120</v>
      </c>
      <c r="U54" s="4">
        <f t="shared" si="26"/>
        <v>45</v>
      </c>
      <c r="V54" s="4">
        <f t="shared" si="26"/>
        <v>15</v>
      </c>
      <c r="W54" s="4">
        <f t="shared" si="26"/>
        <v>0</v>
      </c>
      <c r="X54" s="4">
        <f t="shared" si="26"/>
        <v>0</v>
      </c>
      <c r="Y54" s="4">
        <f t="shared" si="26"/>
        <v>0</v>
      </c>
      <c r="Z54" s="4">
        <f t="shared" si="26"/>
        <v>0</v>
      </c>
      <c r="AA54" s="4">
        <f t="shared" si="26"/>
        <v>0</v>
      </c>
      <c r="AB54" s="4">
        <f t="shared" si="26"/>
        <v>0</v>
      </c>
      <c r="AC54" s="4">
        <f t="shared" si="26"/>
        <v>0</v>
      </c>
      <c r="AD54" s="4">
        <f t="shared" si="26"/>
        <v>0</v>
      </c>
      <c r="AE54" s="4">
        <f t="shared" si="26"/>
        <v>0</v>
      </c>
      <c r="AF54" s="4">
        <f t="shared" si="26"/>
        <v>0</v>
      </c>
      <c r="AG54" s="4">
        <f t="shared" si="26"/>
        <v>0</v>
      </c>
      <c r="AH54" s="4">
        <f t="shared" si="26"/>
        <v>0</v>
      </c>
      <c r="AI54" s="4">
        <f t="shared" si="26"/>
        <v>0</v>
      </c>
      <c r="AJ54" s="4">
        <f t="shared" si="26"/>
        <v>0</v>
      </c>
      <c r="AK54" s="4">
        <f t="shared" si="26"/>
        <v>0</v>
      </c>
      <c r="AL54" s="4">
        <f t="shared" si="26"/>
        <v>0</v>
      </c>
      <c r="AM54" s="4">
        <f t="shared" si="26"/>
        <v>0</v>
      </c>
      <c r="AN54" s="4">
        <f t="shared" si="26"/>
        <v>0</v>
      </c>
      <c r="AO54" s="4">
        <f t="shared" si="26"/>
        <v>0</v>
      </c>
      <c r="AP54" s="4">
        <f t="shared" si="26"/>
        <v>0</v>
      </c>
      <c r="AQ54" s="4">
        <f t="shared" si="26"/>
        <v>0</v>
      </c>
      <c r="AR54" s="4">
        <f t="shared" si="26"/>
        <v>0</v>
      </c>
      <c r="AS54" s="4">
        <f t="shared" si="26"/>
        <v>0</v>
      </c>
      <c r="AT54" s="4">
        <f t="shared" si="26"/>
        <v>0</v>
      </c>
      <c r="AU54" s="4">
        <f t="shared" si="26"/>
        <v>0</v>
      </c>
      <c r="AV54" s="4">
        <f t="shared" si="26"/>
        <v>0</v>
      </c>
      <c r="AW54" s="4">
        <f t="shared" si="26"/>
        <v>0</v>
      </c>
      <c r="AX54" s="4">
        <f t="shared" si="26"/>
        <v>0</v>
      </c>
      <c r="AY54" s="4">
        <f t="shared" si="26"/>
        <v>0</v>
      </c>
      <c r="AZ54" s="4">
        <f t="shared" si="26"/>
        <v>0</v>
      </c>
      <c r="BA54" s="4">
        <f t="shared" si="26"/>
        <v>0</v>
      </c>
      <c r="BB54" s="4">
        <f t="shared" si="26"/>
        <v>0</v>
      </c>
      <c r="BC54" s="4">
        <f t="shared" si="26"/>
        <v>0</v>
      </c>
      <c r="BD54" s="4">
        <f t="shared" si="26"/>
        <v>0</v>
      </c>
      <c r="BE54" s="4">
        <f t="shared" si="26"/>
        <v>0</v>
      </c>
      <c r="BF54" s="4">
        <f t="shared" si="26"/>
        <v>0</v>
      </c>
      <c r="BG54" s="4">
        <f t="shared" si="26"/>
        <v>0</v>
      </c>
      <c r="BH54" s="4">
        <f t="shared" si="26"/>
        <v>0</v>
      </c>
      <c r="BI54" s="4">
        <f t="shared" si="26"/>
        <v>0</v>
      </c>
      <c r="BJ54" s="4">
        <f t="shared" si="26"/>
        <v>0</v>
      </c>
      <c r="BK54" s="4">
        <f t="shared" si="26"/>
        <v>0</v>
      </c>
      <c r="BL54" s="4">
        <f t="shared" si="26"/>
        <v>0</v>
      </c>
    </row>
    <row r="55" spans="2:64" x14ac:dyDescent="0.2">
      <c r="B55" s="4" t="s">
        <v>5</v>
      </c>
      <c r="D55" s="6">
        <f>D41</f>
        <v>0.06</v>
      </c>
      <c r="E55" s="9">
        <f>NPV($D$55,I54:BL54)+H54</f>
        <v>-110.28174663536093</v>
      </c>
      <c r="F55" s="9"/>
    </row>
    <row r="57" spans="2:64" x14ac:dyDescent="0.2">
      <c r="B57" s="11" t="s">
        <v>13</v>
      </c>
      <c r="C57" s="12"/>
      <c r="H57" s="4">
        <f t="shared" ref="H57:BL57" si="27">MIN(0,H58)</f>
        <v>0</v>
      </c>
      <c r="I57" s="4">
        <f t="shared" si="27"/>
        <v>0</v>
      </c>
      <c r="J57" s="4">
        <f t="shared" si="27"/>
        <v>0</v>
      </c>
      <c r="K57" s="4">
        <f t="shared" si="27"/>
        <v>0</v>
      </c>
      <c r="L57" s="4">
        <f t="shared" si="27"/>
        <v>0</v>
      </c>
      <c r="M57" s="4">
        <f t="shared" si="27"/>
        <v>0</v>
      </c>
      <c r="N57" s="4">
        <f t="shared" si="27"/>
        <v>0</v>
      </c>
      <c r="O57" s="4">
        <f t="shared" si="27"/>
        <v>0</v>
      </c>
      <c r="P57" s="4">
        <f t="shared" si="27"/>
        <v>0</v>
      </c>
      <c r="Q57" s="4">
        <f t="shared" si="27"/>
        <v>-289</v>
      </c>
      <c r="R57" s="4">
        <f t="shared" si="27"/>
        <v>-739</v>
      </c>
      <c r="S57" s="4">
        <f t="shared" si="27"/>
        <v>-1219</v>
      </c>
      <c r="T57" s="4">
        <f t="shared" si="27"/>
        <v>-1459</v>
      </c>
      <c r="U57" s="4">
        <f t="shared" si="27"/>
        <v>-1549</v>
      </c>
      <c r="V57" s="4">
        <f t="shared" si="27"/>
        <v>-1579</v>
      </c>
      <c r="W57" s="4">
        <f t="shared" si="27"/>
        <v>-1579</v>
      </c>
      <c r="X57" s="4">
        <f t="shared" si="27"/>
        <v>-1579</v>
      </c>
      <c r="Y57" s="4">
        <f t="shared" si="27"/>
        <v>-1579</v>
      </c>
      <c r="Z57" s="4">
        <f t="shared" si="27"/>
        <v>-1579</v>
      </c>
      <c r="AA57" s="4">
        <f t="shared" si="27"/>
        <v>-1579</v>
      </c>
      <c r="AB57" s="4">
        <f t="shared" si="27"/>
        <v>-1579</v>
      </c>
      <c r="AC57" s="4">
        <f t="shared" si="27"/>
        <v>-1579</v>
      </c>
      <c r="AD57" s="4">
        <f t="shared" si="27"/>
        <v>-1579</v>
      </c>
      <c r="AE57" s="4">
        <f t="shared" si="27"/>
        <v>-1579</v>
      </c>
      <c r="AF57" s="4">
        <f t="shared" si="27"/>
        <v>-1579</v>
      </c>
      <c r="AG57" s="4">
        <f t="shared" si="27"/>
        <v>-1579</v>
      </c>
      <c r="AH57" s="4">
        <f t="shared" si="27"/>
        <v>-1579</v>
      </c>
      <c r="AI57" s="4">
        <f t="shared" si="27"/>
        <v>-1579</v>
      </c>
      <c r="AJ57" s="4">
        <f t="shared" si="27"/>
        <v>-1579</v>
      </c>
      <c r="AK57" s="4">
        <f t="shared" si="27"/>
        <v>-1579</v>
      </c>
      <c r="AL57" s="4">
        <f t="shared" si="27"/>
        <v>-1579</v>
      </c>
      <c r="AM57" s="4">
        <f t="shared" si="27"/>
        <v>-1579</v>
      </c>
      <c r="AN57" s="4">
        <f t="shared" si="27"/>
        <v>-1579</v>
      </c>
      <c r="AO57" s="4">
        <f t="shared" si="27"/>
        <v>-1579</v>
      </c>
      <c r="AP57" s="4">
        <f t="shared" si="27"/>
        <v>-1579</v>
      </c>
      <c r="AQ57" s="4">
        <f t="shared" si="27"/>
        <v>-1579</v>
      </c>
      <c r="AR57" s="4">
        <f t="shared" si="27"/>
        <v>-1579</v>
      </c>
      <c r="AS57" s="4">
        <f t="shared" si="27"/>
        <v>-1579</v>
      </c>
      <c r="AT57" s="4">
        <f t="shared" si="27"/>
        <v>-1579</v>
      </c>
      <c r="AU57" s="4">
        <f t="shared" si="27"/>
        <v>-1579</v>
      </c>
      <c r="AV57" s="4">
        <f t="shared" si="27"/>
        <v>-1579</v>
      </c>
      <c r="AW57" s="4">
        <f t="shared" si="27"/>
        <v>-1579</v>
      </c>
      <c r="AX57" s="4">
        <f t="shared" si="27"/>
        <v>-1579</v>
      </c>
      <c r="AY57" s="4">
        <f t="shared" si="27"/>
        <v>-1579</v>
      </c>
      <c r="AZ57" s="4">
        <f t="shared" si="27"/>
        <v>-1579</v>
      </c>
      <c r="BA57" s="4">
        <f t="shared" si="27"/>
        <v>-1579</v>
      </c>
      <c r="BB57" s="4">
        <f t="shared" si="27"/>
        <v>-1579</v>
      </c>
      <c r="BC57" s="4">
        <f t="shared" si="27"/>
        <v>-1579</v>
      </c>
      <c r="BD57" s="4">
        <f t="shared" si="27"/>
        <v>-1579</v>
      </c>
      <c r="BE57" s="4">
        <f t="shared" si="27"/>
        <v>-1579</v>
      </c>
      <c r="BF57" s="4">
        <f t="shared" si="27"/>
        <v>-1579</v>
      </c>
      <c r="BG57" s="4">
        <f t="shared" si="27"/>
        <v>-1579</v>
      </c>
      <c r="BH57" s="4">
        <f t="shared" si="27"/>
        <v>-1579</v>
      </c>
      <c r="BI57" s="4">
        <f t="shared" si="27"/>
        <v>-1579</v>
      </c>
      <c r="BJ57" s="4">
        <f t="shared" si="27"/>
        <v>-1579</v>
      </c>
      <c r="BK57" s="4">
        <f t="shared" si="27"/>
        <v>-1579</v>
      </c>
      <c r="BL57" s="4">
        <f t="shared" si="27"/>
        <v>-1579</v>
      </c>
    </row>
    <row r="58" spans="2:64" x14ac:dyDescent="0.2">
      <c r="B58" s="4" t="s">
        <v>14</v>
      </c>
      <c r="H58" s="4">
        <f>G57+H51</f>
        <v>0</v>
      </c>
      <c r="I58" s="4">
        <f t="shared" ref="I58:BL58" si="28">H57+I51</f>
        <v>0</v>
      </c>
      <c r="J58" s="4">
        <f t="shared" si="28"/>
        <v>12</v>
      </c>
      <c r="K58" s="4">
        <f t="shared" si="28"/>
        <v>9</v>
      </c>
      <c r="L58" s="4">
        <f t="shared" si="28"/>
        <v>6</v>
      </c>
      <c r="M58" s="4">
        <f t="shared" si="28"/>
        <v>67</v>
      </c>
      <c r="N58" s="4">
        <f t="shared" si="28"/>
        <v>452</v>
      </c>
      <c r="O58" s="4">
        <f t="shared" si="28"/>
        <v>815</v>
      </c>
      <c r="P58" s="4">
        <f t="shared" si="28"/>
        <v>218</v>
      </c>
      <c r="Q58" s="4">
        <f t="shared" si="28"/>
        <v>-289</v>
      </c>
      <c r="R58" s="4">
        <f t="shared" si="28"/>
        <v>-739</v>
      </c>
      <c r="S58" s="4">
        <f t="shared" si="28"/>
        <v>-1219</v>
      </c>
      <c r="T58" s="4">
        <f t="shared" si="28"/>
        <v>-1459</v>
      </c>
      <c r="U58" s="4">
        <f t="shared" si="28"/>
        <v>-1549</v>
      </c>
      <c r="V58" s="4">
        <f t="shared" si="28"/>
        <v>-1579</v>
      </c>
      <c r="W58" s="4">
        <f t="shared" si="28"/>
        <v>-1579</v>
      </c>
      <c r="X58" s="4">
        <f t="shared" si="28"/>
        <v>-1579</v>
      </c>
      <c r="Y58" s="4">
        <f t="shared" si="28"/>
        <v>-1579</v>
      </c>
      <c r="Z58" s="4">
        <f t="shared" si="28"/>
        <v>-1579</v>
      </c>
      <c r="AA58" s="4">
        <f t="shared" si="28"/>
        <v>-1579</v>
      </c>
      <c r="AB58" s="4">
        <f t="shared" si="28"/>
        <v>-1579</v>
      </c>
      <c r="AC58" s="4">
        <f t="shared" si="28"/>
        <v>-1579</v>
      </c>
      <c r="AD58" s="4">
        <f t="shared" si="28"/>
        <v>-1579</v>
      </c>
      <c r="AE58" s="4">
        <f t="shared" si="28"/>
        <v>-1579</v>
      </c>
      <c r="AF58" s="4">
        <f t="shared" si="28"/>
        <v>-1579</v>
      </c>
      <c r="AG58" s="4">
        <f t="shared" si="28"/>
        <v>-1579</v>
      </c>
      <c r="AH58" s="4">
        <f t="shared" si="28"/>
        <v>-1579</v>
      </c>
      <c r="AI58" s="4">
        <f t="shared" si="28"/>
        <v>-1579</v>
      </c>
      <c r="AJ58" s="4">
        <f t="shared" si="28"/>
        <v>-1579</v>
      </c>
      <c r="AK58" s="4">
        <f t="shared" si="28"/>
        <v>-1579</v>
      </c>
      <c r="AL58" s="4">
        <f t="shared" si="28"/>
        <v>-1579</v>
      </c>
      <c r="AM58" s="4">
        <f t="shared" si="28"/>
        <v>-1579</v>
      </c>
      <c r="AN58" s="4">
        <f t="shared" si="28"/>
        <v>-1579</v>
      </c>
      <c r="AO58" s="4">
        <f t="shared" si="28"/>
        <v>-1579</v>
      </c>
      <c r="AP58" s="4">
        <f t="shared" si="28"/>
        <v>-1579</v>
      </c>
      <c r="AQ58" s="4">
        <f t="shared" si="28"/>
        <v>-1579</v>
      </c>
      <c r="AR58" s="4">
        <f t="shared" si="28"/>
        <v>-1579</v>
      </c>
      <c r="AS58" s="4">
        <f t="shared" si="28"/>
        <v>-1579</v>
      </c>
      <c r="AT58" s="4">
        <f t="shared" si="28"/>
        <v>-1579</v>
      </c>
      <c r="AU58" s="4">
        <f t="shared" si="28"/>
        <v>-1579</v>
      </c>
      <c r="AV58" s="4">
        <f t="shared" si="28"/>
        <v>-1579</v>
      </c>
      <c r="AW58" s="4">
        <f t="shared" si="28"/>
        <v>-1579</v>
      </c>
      <c r="AX58" s="4">
        <f t="shared" si="28"/>
        <v>-1579</v>
      </c>
      <c r="AY58" s="4">
        <f t="shared" si="28"/>
        <v>-1579</v>
      </c>
      <c r="AZ58" s="4">
        <f t="shared" si="28"/>
        <v>-1579</v>
      </c>
      <c r="BA58" s="4">
        <f t="shared" si="28"/>
        <v>-1579</v>
      </c>
      <c r="BB58" s="4">
        <f t="shared" si="28"/>
        <v>-1579</v>
      </c>
      <c r="BC58" s="4">
        <f t="shared" si="28"/>
        <v>-1579</v>
      </c>
      <c r="BD58" s="4">
        <f t="shared" si="28"/>
        <v>-1579</v>
      </c>
      <c r="BE58" s="4">
        <f t="shared" si="28"/>
        <v>-1579</v>
      </c>
      <c r="BF58" s="4">
        <f t="shared" si="28"/>
        <v>-1579</v>
      </c>
      <c r="BG58" s="4">
        <f t="shared" si="28"/>
        <v>-1579</v>
      </c>
      <c r="BH58" s="4">
        <f t="shared" si="28"/>
        <v>-1579</v>
      </c>
      <c r="BI58" s="4">
        <f t="shared" si="28"/>
        <v>-1579</v>
      </c>
      <c r="BJ58" s="4">
        <f t="shared" si="28"/>
        <v>-1579</v>
      </c>
      <c r="BK58" s="4">
        <f t="shared" si="28"/>
        <v>-1579</v>
      </c>
      <c r="BL58" s="4">
        <f t="shared" si="28"/>
        <v>-1579</v>
      </c>
    </row>
    <row r="59" spans="2:64" x14ac:dyDescent="0.2">
      <c r="B59" s="4" t="s">
        <v>15</v>
      </c>
      <c r="G59" s="4">
        <f>SUM(H59:BK59)</f>
        <v>789.5</v>
      </c>
      <c r="H59" s="4">
        <f>MAX(0,$D$48*H58)</f>
        <v>0</v>
      </c>
      <c r="I59" s="4">
        <f t="shared" ref="I59:BL59" si="29">MAX(0,$D$48*I58)</f>
        <v>0</v>
      </c>
      <c r="J59" s="4">
        <f t="shared" si="29"/>
        <v>6</v>
      </c>
      <c r="K59" s="4">
        <f t="shared" si="29"/>
        <v>4.5</v>
      </c>
      <c r="L59" s="4">
        <f t="shared" si="29"/>
        <v>3</v>
      </c>
      <c r="M59" s="4">
        <f t="shared" si="29"/>
        <v>33.5</v>
      </c>
      <c r="N59" s="4">
        <f t="shared" si="29"/>
        <v>226</v>
      </c>
      <c r="O59" s="4">
        <f t="shared" si="29"/>
        <v>407.5</v>
      </c>
      <c r="P59" s="4">
        <f t="shared" si="29"/>
        <v>109</v>
      </c>
      <c r="Q59" s="4">
        <f t="shared" si="29"/>
        <v>0</v>
      </c>
      <c r="R59" s="4">
        <f t="shared" si="29"/>
        <v>0</v>
      </c>
      <c r="S59" s="4">
        <f t="shared" si="29"/>
        <v>0</v>
      </c>
      <c r="T59" s="4">
        <f t="shared" si="29"/>
        <v>0</v>
      </c>
      <c r="U59" s="4">
        <f t="shared" si="29"/>
        <v>0</v>
      </c>
      <c r="V59" s="4">
        <f t="shared" si="29"/>
        <v>0</v>
      </c>
      <c r="W59" s="4">
        <f t="shared" si="29"/>
        <v>0</v>
      </c>
      <c r="X59" s="4">
        <f t="shared" si="29"/>
        <v>0</v>
      </c>
      <c r="Y59" s="4">
        <f t="shared" si="29"/>
        <v>0</v>
      </c>
      <c r="Z59" s="4">
        <f t="shared" si="29"/>
        <v>0</v>
      </c>
      <c r="AA59" s="4">
        <f t="shared" si="29"/>
        <v>0</v>
      </c>
      <c r="AB59" s="4">
        <f t="shared" si="29"/>
        <v>0</v>
      </c>
      <c r="AC59" s="4">
        <f t="shared" si="29"/>
        <v>0</v>
      </c>
      <c r="AD59" s="4">
        <f t="shared" si="29"/>
        <v>0</v>
      </c>
      <c r="AE59" s="4">
        <f t="shared" si="29"/>
        <v>0</v>
      </c>
      <c r="AF59" s="4">
        <f t="shared" si="29"/>
        <v>0</v>
      </c>
      <c r="AG59" s="4">
        <f t="shared" si="29"/>
        <v>0</v>
      </c>
      <c r="AH59" s="4">
        <f t="shared" si="29"/>
        <v>0</v>
      </c>
      <c r="AI59" s="4">
        <f t="shared" si="29"/>
        <v>0</v>
      </c>
      <c r="AJ59" s="4">
        <f t="shared" si="29"/>
        <v>0</v>
      </c>
      <c r="AK59" s="4">
        <f t="shared" si="29"/>
        <v>0</v>
      </c>
      <c r="AL59" s="4">
        <f t="shared" si="29"/>
        <v>0</v>
      </c>
      <c r="AM59" s="4">
        <f t="shared" si="29"/>
        <v>0</v>
      </c>
      <c r="AN59" s="4">
        <f t="shared" si="29"/>
        <v>0</v>
      </c>
      <c r="AO59" s="4">
        <f t="shared" si="29"/>
        <v>0</v>
      </c>
      <c r="AP59" s="4">
        <f t="shared" si="29"/>
        <v>0</v>
      </c>
      <c r="AQ59" s="4">
        <f t="shared" si="29"/>
        <v>0</v>
      </c>
      <c r="AR59" s="4">
        <f t="shared" si="29"/>
        <v>0</v>
      </c>
      <c r="AS59" s="4">
        <f t="shared" si="29"/>
        <v>0</v>
      </c>
      <c r="AT59" s="4">
        <f t="shared" si="29"/>
        <v>0</v>
      </c>
      <c r="AU59" s="4">
        <f t="shared" si="29"/>
        <v>0</v>
      </c>
      <c r="AV59" s="4">
        <f t="shared" si="29"/>
        <v>0</v>
      </c>
      <c r="AW59" s="4">
        <f t="shared" si="29"/>
        <v>0</v>
      </c>
      <c r="AX59" s="4">
        <f t="shared" si="29"/>
        <v>0</v>
      </c>
      <c r="AY59" s="4">
        <f t="shared" si="29"/>
        <v>0</v>
      </c>
      <c r="AZ59" s="4">
        <f t="shared" si="29"/>
        <v>0</v>
      </c>
      <c r="BA59" s="4">
        <f t="shared" si="29"/>
        <v>0</v>
      </c>
      <c r="BB59" s="4">
        <f t="shared" si="29"/>
        <v>0</v>
      </c>
      <c r="BC59" s="4">
        <f t="shared" si="29"/>
        <v>0</v>
      </c>
      <c r="BD59" s="4">
        <f t="shared" si="29"/>
        <v>0</v>
      </c>
      <c r="BE59" s="4">
        <f t="shared" si="29"/>
        <v>0</v>
      </c>
      <c r="BF59" s="4">
        <f t="shared" si="29"/>
        <v>0</v>
      </c>
      <c r="BG59" s="4">
        <f t="shared" si="29"/>
        <v>0</v>
      </c>
      <c r="BH59" s="4">
        <f t="shared" si="29"/>
        <v>0</v>
      </c>
      <c r="BI59" s="4">
        <f t="shared" si="29"/>
        <v>0</v>
      </c>
      <c r="BJ59" s="4">
        <f t="shared" si="29"/>
        <v>0</v>
      </c>
      <c r="BK59" s="4">
        <f t="shared" si="29"/>
        <v>0</v>
      </c>
      <c r="BL59" s="4">
        <f t="shared" si="29"/>
        <v>0</v>
      </c>
    </row>
    <row r="60" spans="2:64" x14ac:dyDescent="0.2">
      <c r="B60" s="4" t="s">
        <v>4</v>
      </c>
      <c r="G60" s="4">
        <f>SUM(H60:BK60)</f>
        <v>-789.5</v>
      </c>
      <c r="H60" s="4">
        <f>H40-H59</f>
        <v>0</v>
      </c>
      <c r="I60" s="4">
        <f t="shared" ref="I60:BL60" si="30">I40-I59</f>
        <v>0</v>
      </c>
      <c r="J60" s="4">
        <f t="shared" si="30"/>
        <v>-6</v>
      </c>
      <c r="K60" s="4">
        <f t="shared" si="30"/>
        <v>-4.5</v>
      </c>
      <c r="L60" s="4">
        <f t="shared" si="30"/>
        <v>-3</v>
      </c>
      <c r="M60" s="4">
        <f t="shared" si="30"/>
        <v>-33.5</v>
      </c>
      <c r="N60" s="4">
        <f t="shared" si="30"/>
        <v>-226</v>
      </c>
      <c r="O60" s="4">
        <f t="shared" si="30"/>
        <v>-407.5</v>
      </c>
      <c r="P60" s="4">
        <f t="shared" si="30"/>
        <v>-109</v>
      </c>
      <c r="Q60" s="4">
        <f t="shared" si="30"/>
        <v>0</v>
      </c>
      <c r="R60" s="4">
        <f t="shared" si="30"/>
        <v>0</v>
      </c>
      <c r="S60" s="4">
        <f t="shared" si="30"/>
        <v>0</v>
      </c>
      <c r="T60" s="4">
        <f t="shared" si="30"/>
        <v>0</v>
      </c>
      <c r="U60" s="4">
        <f t="shared" si="30"/>
        <v>0</v>
      </c>
      <c r="V60" s="4">
        <f t="shared" si="30"/>
        <v>0</v>
      </c>
      <c r="W60" s="4">
        <f t="shared" si="30"/>
        <v>0</v>
      </c>
      <c r="X60" s="4">
        <f t="shared" si="30"/>
        <v>0</v>
      </c>
      <c r="Y60" s="4">
        <f t="shared" si="30"/>
        <v>0</v>
      </c>
      <c r="Z60" s="4">
        <f t="shared" si="30"/>
        <v>0</v>
      </c>
      <c r="AA60" s="4">
        <f t="shared" si="30"/>
        <v>0</v>
      </c>
      <c r="AB60" s="4">
        <f t="shared" si="30"/>
        <v>0</v>
      </c>
      <c r="AC60" s="4">
        <f t="shared" si="30"/>
        <v>0</v>
      </c>
      <c r="AD60" s="4">
        <f t="shared" si="30"/>
        <v>0</v>
      </c>
      <c r="AE60" s="4">
        <f t="shared" si="30"/>
        <v>0</v>
      </c>
      <c r="AF60" s="4">
        <f t="shared" si="30"/>
        <v>0</v>
      </c>
      <c r="AG60" s="4">
        <f t="shared" si="30"/>
        <v>0</v>
      </c>
      <c r="AH60" s="4">
        <f t="shared" si="30"/>
        <v>0</v>
      </c>
      <c r="AI60" s="4">
        <f t="shared" si="30"/>
        <v>0</v>
      </c>
      <c r="AJ60" s="4">
        <f t="shared" si="30"/>
        <v>0</v>
      </c>
      <c r="AK60" s="4">
        <f t="shared" si="30"/>
        <v>0</v>
      </c>
      <c r="AL60" s="4">
        <f t="shared" si="30"/>
        <v>0</v>
      </c>
      <c r="AM60" s="4">
        <f t="shared" si="30"/>
        <v>0</v>
      </c>
      <c r="AN60" s="4">
        <f t="shared" si="30"/>
        <v>0</v>
      </c>
      <c r="AO60" s="4">
        <f t="shared" si="30"/>
        <v>0</v>
      </c>
      <c r="AP60" s="4">
        <f t="shared" si="30"/>
        <v>0</v>
      </c>
      <c r="AQ60" s="4">
        <f t="shared" si="30"/>
        <v>0</v>
      </c>
      <c r="AR60" s="4">
        <f t="shared" si="30"/>
        <v>0</v>
      </c>
      <c r="AS60" s="4">
        <f t="shared" si="30"/>
        <v>0</v>
      </c>
      <c r="AT60" s="4">
        <f t="shared" si="30"/>
        <v>0</v>
      </c>
      <c r="AU60" s="4">
        <f t="shared" si="30"/>
        <v>0</v>
      </c>
      <c r="AV60" s="4">
        <f t="shared" si="30"/>
        <v>0</v>
      </c>
      <c r="AW60" s="4">
        <f t="shared" si="30"/>
        <v>0</v>
      </c>
      <c r="AX60" s="4">
        <f t="shared" si="30"/>
        <v>0</v>
      </c>
      <c r="AY60" s="4">
        <f t="shared" si="30"/>
        <v>0</v>
      </c>
      <c r="AZ60" s="4">
        <f t="shared" si="30"/>
        <v>0</v>
      </c>
      <c r="BA60" s="4">
        <f t="shared" si="30"/>
        <v>0</v>
      </c>
      <c r="BB60" s="4">
        <f t="shared" si="30"/>
        <v>0</v>
      </c>
      <c r="BC60" s="4">
        <f t="shared" si="30"/>
        <v>0</v>
      </c>
      <c r="BD60" s="4">
        <f t="shared" si="30"/>
        <v>0</v>
      </c>
      <c r="BE60" s="4">
        <f t="shared" si="30"/>
        <v>0</v>
      </c>
      <c r="BF60" s="4">
        <f t="shared" si="30"/>
        <v>0</v>
      </c>
      <c r="BG60" s="4">
        <f t="shared" si="30"/>
        <v>0</v>
      </c>
      <c r="BH60" s="4">
        <f t="shared" si="30"/>
        <v>0</v>
      </c>
      <c r="BI60" s="4">
        <f t="shared" si="30"/>
        <v>0</v>
      </c>
      <c r="BJ60" s="4">
        <f t="shared" si="30"/>
        <v>0</v>
      </c>
      <c r="BK60" s="4">
        <f t="shared" si="30"/>
        <v>0</v>
      </c>
      <c r="BL60" s="4">
        <f t="shared" si="30"/>
        <v>0</v>
      </c>
    </row>
    <row r="61" spans="2:64" x14ac:dyDescent="0.2">
      <c r="B61" s="4" t="s">
        <v>5</v>
      </c>
      <c r="D61" s="6">
        <f>D41</f>
        <v>0.06</v>
      </c>
      <c r="E61" s="9">
        <f>NPV($D$61,I60:BL60)+H60</f>
        <v>-535.24749961118562</v>
      </c>
      <c r="F61" s="9"/>
    </row>
    <row r="62" spans="2:64" x14ac:dyDescent="0.2">
      <c r="D62" s="6"/>
    </row>
    <row r="65" spans="7:7" x14ac:dyDescent="0.2">
      <c r="G65" s="9"/>
    </row>
    <row r="68" spans="7:7" x14ac:dyDescent="0.2">
      <c r="G68" s="9"/>
    </row>
  </sheetData>
  <pageMargins left="0.7" right="0.7" top="0.75" bottom="0.75" header="0.3" footer="0.3"/>
  <pageSetup scale="22"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4"/>
  <sheetViews>
    <sheetView workbookViewId="0"/>
  </sheetViews>
  <sheetFormatPr baseColWidth="10" defaultColWidth="11.42578125" defaultRowHeight="12.75" x14ac:dyDescent="0.2"/>
  <cols>
    <col min="1" max="2" width="36.7109375" customWidth="1"/>
  </cols>
  <sheetData>
    <row r="1" spans="1:3" x14ac:dyDescent="0.2">
      <c r="A1" s="2" t="s">
        <v>24</v>
      </c>
    </row>
    <row r="3" spans="1:3" x14ac:dyDescent="0.2">
      <c r="A3" t="s">
        <v>25</v>
      </c>
      <c r="B3" t="s">
        <v>26</v>
      </c>
      <c r="C3">
        <v>0</v>
      </c>
    </row>
    <row r="4" spans="1:3" x14ac:dyDescent="0.2">
      <c r="A4" t="s">
        <v>27</v>
      </c>
    </row>
    <row r="5" spans="1:3" x14ac:dyDescent="0.2">
      <c r="A5" t="s">
        <v>28</v>
      </c>
    </row>
    <row r="7" spans="1:3" x14ac:dyDescent="0.2">
      <c r="A7" s="2" t="s">
        <v>29</v>
      </c>
      <c r="B7" t="s">
        <v>30</v>
      </c>
    </row>
    <row r="8" spans="1:3" x14ac:dyDescent="0.2">
      <c r="B8">
        <v>2</v>
      </c>
    </row>
    <row r="10" spans="1:3" x14ac:dyDescent="0.2">
      <c r="A10" t="s">
        <v>31</v>
      </c>
    </row>
    <row r="11" spans="1:3" x14ac:dyDescent="0.2">
      <c r="A11" t="e">
        <f>CB_DATA_!#REF!</f>
        <v>#REF!</v>
      </c>
      <c r="B11" t="e">
        <f>#REF!</f>
        <v>#REF!</v>
      </c>
    </row>
    <row r="13" spans="1:3" x14ac:dyDescent="0.2">
      <c r="A13" t="s">
        <v>32</v>
      </c>
    </row>
    <row r="14" spans="1:3" x14ac:dyDescent="0.2">
      <c r="A14" t="s">
        <v>36</v>
      </c>
      <c r="B14" t="s">
        <v>42</v>
      </c>
    </row>
    <row r="16" spans="1:3" x14ac:dyDescent="0.2">
      <c r="A16" t="s">
        <v>33</v>
      </c>
    </row>
    <row r="19" spans="1:2" x14ac:dyDescent="0.2">
      <c r="A19" t="s">
        <v>34</v>
      </c>
    </row>
    <row r="20" spans="1:2" x14ac:dyDescent="0.2">
      <c r="A20">
        <v>31</v>
      </c>
      <c r="B20">
        <v>34</v>
      </c>
    </row>
    <row r="25" spans="1:2" x14ac:dyDescent="0.2">
      <c r="A25" s="2" t="s">
        <v>35</v>
      </c>
    </row>
    <row r="26" spans="1:2" x14ac:dyDescent="0.2">
      <c r="A26" s="3" t="s">
        <v>37</v>
      </c>
      <c r="B26" s="3" t="s">
        <v>37</v>
      </c>
    </row>
    <row r="27" spans="1:2" x14ac:dyDescent="0.2">
      <c r="A27" t="s">
        <v>38</v>
      </c>
      <c r="B27" t="s">
        <v>43</v>
      </c>
    </row>
    <row r="28" spans="1:2" x14ac:dyDescent="0.2">
      <c r="A28" s="3" t="s">
        <v>39</v>
      </c>
      <c r="B28" s="3" t="s">
        <v>39</v>
      </c>
    </row>
    <row r="29" spans="1:2" x14ac:dyDescent="0.2">
      <c r="A29" s="3" t="s">
        <v>40</v>
      </c>
      <c r="B29" s="3" t="s">
        <v>44</v>
      </c>
    </row>
    <row r="30" spans="1:2" x14ac:dyDescent="0.2">
      <c r="A30" t="s">
        <v>41</v>
      </c>
      <c r="B30" t="s">
        <v>45</v>
      </c>
    </row>
    <row r="31" spans="1:2" x14ac:dyDescent="0.2">
      <c r="A31" s="3" t="s">
        <v>39</v>
      </c>
      <c r="B31" s="3" t="s">
        <v>39</v>
      </c>
    </row>
    <row r="32" spans="1:2" x14ac:dyDescent="0.2">
      <c r="B32" s="3" t="s">
        <v>40</v>
      </c>
    </row>
    <row r="33" spans="2:2" x14ac:dyDescent="0.2">
      <c r="B33" t="s">
        <v>46</v>
      </c>
    </row>
    <row r="34" spans="2:2" x14ac:dyDescent="0.2">
      <c r="B34" s="3" t="s">
        <v>39</v>
      </c>
    </row>
  </sheetData>
  <phoneticPr fontId="3"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27"/>
  <sheetViews>
    <sheetView workbookViewId="0"/>
  </sheetViews>
  <sheetFormatPr baseColWidth="10" defaultColWidth="15.7109375" defaultRowHeight="12.75" x14ac:dyDescent="0.2"/>
  <cols>
    <col min="1" max="16384" width="15.7109375" style="1"/>
  </cols>
  <sheetData>
    <row r="1" spans="1:62" x14ac:dyDescent="0.2">
      <c r="A1" s="1" t="s">
        <v>110</v>
      </c>
      <c r="B1" s="21" t="e">
        <f>#REF!</f>
        <v>#REF!</v>
      </c>
      <c r="C1" s="22">
        <v>1</v>
      </c>
      <c r="D1" s="22">
        <v>0.5</v>
      </c>
      <c r="E1" s="20"/>
      <c r="F1" s="1" t="s">
        <v>128</v>
      </c>
      <c r="I1" s="1" t="s">
        <v>103</v>
      </c>
      <c r="J1" s="20">
        <v>3</v>
      </c>
      <c r="L1" s="1" t="s">
        <v>100</v>
      </c>
      <c r="M1" s="20" t="b">
        <v>1</v>
      </c>
      <c r="O1" s="1" t="s">
        <v>97</v>
      </c>
    </row>
    <row r="2" spans="1:62" x14ac:dyDescent="0.2">
      <c r="A2" s="1" t="s">
        <v>111</v>
      </c>
      <c r="B2" s="21">
        <v>2</v>
      </c>
      <c r="C2" s="21">
        <v>0</v>
      </c>
      <c r="F2" s="1" t="s">
        <v>129</v>
      </c>
      <c r="G2" s="21" t="b">
        <v>0</v>
      </c>
      <c r="H2" s="21"/>
      <c r="I2" s="1" t="s">
        <v>95</v>
      </c>
      <c r="J2" s="20"/>
      <c r="L2" s="1" t="s">
        <v>122</v>
      </c>
      <c r="M2" s="22">
        <v>200</v>
      </c>
      <c r="O2" s="1" t="s">
        <v>22</v>
      </c>
      <c r="P2" s="20"/>
      <c r="R2" s="1" t="s">
        <v>104</v>
      </c>
      <c r="S2" s="23" t="s">
        <v>136</v>
      </c>
      <c r="U2" s="1" t="s">
        <v>108</v>
      </c>
      <c r="V2" s="20"/>
    </row>
    <row r="3" spans="1:62" x14ac:dyDescent="0.2">
      <c r="A3" s="1" t="s">
        <v>117</v>
      </c>
      <c r="B3" s="21" t="b">
        <v>0</v>
      </c>
      <c r="C3" s="21">
        <v>1000</v>
      </c>
      <c r="F3" s="1" t="s">
        <v>130</v>
      </c>
      <c r="G3" s="21" t="b">
        <v>0</v>
      </c>
      <c r="H3" s="21"/>
      <c r="I3" s="1" t="s">
        <v>96</v>
      </c>
      <c r="J3" s="25">
        <v>29</v>
      </c>
      <c r="L3" s="1" t="s">
        <v>121</v>
      </c>
      <c r="M3" s="22">
        <v>0</v>
      </c>
      <c r="N3" s="22">
        <v>0</v>
      </c>
      <c r="O3" s="1" t="s">
        <v>23</v>
      </c>
      <c r="P3" s="20"/>
      <c r="R3" s="1" t="s">
        <v>105</v>
      </c>
      <c r="S3" s="23" t="s">
        <v>137</v>
      </c>
      <c r="U3" s="1" t="s">
        <v>109</v>
      </c>
      <c r="V3" s="20"/>
    </row>
    <row r="4" spans="1:62" x14ac:dyDescent="0.2">
      <c r="A4" s="1" t="s">
        <v>119</v>
      </c>
      <c r="B4" s="21" t="b">
        <v>0</v>
      </c>
      <c r="C4" s="21">
        <v>5</v>
      </c>
      <c r="D4" s="21">
        <v>2</v>
      </c>
      <c r="F4" s="1" t="s">
        <v>131</v>
      </c>
      <c r="G4" s="21" t="b">
        <v>0</v>
      </c>
      <c r="H4" s="21"/>
      <c r="L4" s="1" t="s">
        <v>114</v>
      </c>
      <c r="M4" s="22" t="b">
        <v>1</v>
      </c>
      <c r="O4" s="1" t="s">
        <v>98</v>
      </c>
      <c r="P4" s="20"/>
      <c r="R4" s="1" t="s">
        <v>106</v>
      </c>
      <c r="S4" s="23" t="s">
        <v>137</v>
      </c>
    </row>
    <row r="5" spans="1:62" x14ac:dyDescent="0.2">
      <c r="A5" s="1" t="s">
        <v>120</v>
      </c>
      <c r="B5" s="21" t="b">
        <v>0</v>
      </c>
      <c r="C5" s="21">
        <v>100</v>
      </c>
      <c r="D5" s="21">
        <v>0.01</v>
      </c>
      <c r="E5" s="21" t="b">
        <v>1</v>
      </c>
      <c r="F5" s="1" t="s">
        <v>132</v>
      </c>
      <c r="G5" s="21" t="b">
        <v>0</v>
      </c>
      <c r="H5" s="21"/>
      <c r="L5" s="1" t="s">
        <v>115</v>
      </c>
      <c r="M5" s="22">
        <v>3</v>
      </c>
      <c r="O5" s="1" t="s">
        <v>99</v>
      </c>
      <c r="P5" s="20"/>
      <c r="R5" s="1" t="s">
        <v>107</v>
      </c>
      <c r="S5" s="23" t="s">
        <v>136</v>
      </c>
    </row>
    <row r="6" spans="1:62" x14ac:dyDescent="0.2">
      <c r="A6" s="1" t="s">
        <v>118</v>
      </c>
      <c r="B6" s="21" t="b">
        <v>0</v>
      </c>
      <c r="C6" s="21"/>
      <c r="F6" s="1" t="s">
        <v>133</v>
      </c>
      <c r="G6" s="21" t="b">
        <v>0</v>
      </c>
      <c r="H6" s="21"/>
      <c r="L6" s="1" t="s">
        <v>134</v>
      </c>
      <c r="M6" s="22" t="b">
        <v>0</v>
      </c>
      <c r="N6" s="22"/>
    </row>
    <row r="7" spans="1:62" x14ac:dyDescent="0.2">
      <c r="A7" s="1" t="s">
        <v>112</v>
      </c>
      <c r="B7" s="21">
        <v>50</v>
      </c>
      <c r="L7" s="1" t="s">
        <v>135</v>
      </c>
      <c r="M7" s="22" t="b">
        <v>0</v>
      </c>
      <c r="N7" s="22"/>
    </row>
    <row r="8" spans="1:62" x14ac:dyDescent="0.2">
      <c r="A8" s="1" t="s">
        <v>70</v>
      </c>
      <c r="B8" s="1" t="s">
        <v>70</v>
      </c>
      <c r="F8" s="1" t="s">
        <v>113</v>
      </c>
      <c r="G8" s="21" t="b">
        <v>1</v>
      </c>
      <c r="H8" s="21">
        <v>1</v>
      </c>
    </row>
    <row r="9" spans="1:62" x14ac:dyDescent="0.2">
      <c r="A9" s="1" t="s">
        <v>127</v>
      </c>
      <c r="B9" s="21">
        <v>3</v>
      </c>
      <c r="F9" s="1" t="s">
        <v>124</v>
      </c>
      <c r="G9" s="21" t="b">
        <v>0</v>
      </c>
    </row>
    <row r="10" spans="1:62" x14ac:dyDescent="0.2">
      <c r="A10" s="1" t="s">
        <v>116</v>
      </c>
      <c r="B10" s="21" t="b">
        <v>0</v>
      </c>
    </row>
    <row r="11" spans="1:62" x14ac:dyDescent="0.2">
      <c r="A11" s="1" t="s">
        <v>123</v>
      </c>
      <c r="B11" s="21" t="b">
        <v>1</v>
      </c>
    </row>
    <row r="12" spans="1:62" x14ac:dyDescent="0.2">
      <c r="A12" s="1" t="s">
        <v>126</v>
      </c>
      <c r="B12" s="21" t="b">
        <v>0</v>
      </c>
      <c r="F12" s="1" t="s">
        <v>125</v>
      </c>
      <c r="G12" s="21">
        <v>2</v>
      </c>
    </row>
    <row r="14" spans="1:62" ht="13.5" thickBot="1" x14ac:dyDescent="0.25">
      <c r="A14" s="1" t="s">
        <v>101</v>
      </c>
      <c r="B14" s="20">
        <v>1</v>
      </c>
      <c r="AX14" s="1" t="s">
        <v>102</v>
      </c>
      <c r="AY14" s="20">
        <v>0</v>
      </c>
    </row>
    <row r="15" spans="1:62" s="19" customFormat="1" ht="13.5" thickTop="1" x14ac:dyDescent="0.2">
      <c r="A15" s="19" t="s">
        <v>71</v>
      </c>
      <c r="B15" s="19" t="s">
        <v>72</v>
      </c>
      <c r="C15" s="19" t="s">
        <v>73</v>
      </c>
      <c r="D15" s="19" t="s">
        <v>74</v>
      </c>
      <c r="E15" s="19" t="s">
        <v>75</v>
      </c>
      <c r="F15" s="19" t="s">
        <v>76</v>
      </c>
      <c r="G15" s="19" t="s">
        <v>77</v>
      </c>
      <c r="H15" s="19" t="s">
        <v>78</v>
      </c>
      <c r="I15" s="19" t="s">
        <v>79</v>
      </c>
      <c r="J15" s="19" t="s">
        <v>80</v>
      </c>
      <c r="K15" s="19" t="s">
        <v>81</v>
      </c>
      <c r="AR15" s="19" t="s">
        <v>82</v>
      </c>
      <c r="AX15" s="19" t="s">
        <v>83</v>
      </c>
      <c r="AY15" s="19" t="s">
        <v>84</v>
      </c>
      <c r="AZ15" s="19" t="s">
        <v>85</v>
      </c>
      <c r="BA15" s="19" t="s">
        <v>74</v>
      </c>
      <c r="BB15" s="19" t="s">
        <v>86</v>
      </c>
      <c r="BC15" s="19" t="s">
        <v>87</v>
      </c>
      <c r="BD15" s="19" t="s">
        <v>88</v>
      </c>
      <c r="BE15" s="19" t="s">
        <v>89</v>
      </c>
      <c r="BF15" s="19" t="s">
        <v>90</v>
      </c>
      <c r="BG15" s="19" t="s">
        <v>91</v>
      </c>
      <c r="BH15" s="19" t="s">
        <v>92</v>
      </c>
      <c r="BI15" s="19" t="s">
        <v>93</v>
      </c>
      <c r="BJ15" s="19" t="s">
        <v>94</v>
      </c>
    </row>
    <row r="16" spans="1:62" x14ac:dyDescent="0.2">
      <c r="A16" s="1" t="s">
        <v>150</v>
      </c>
      <c r="B16" s="1">
        <v>0.1</v>
      </c>
      <c r="C16" s="1">
        <v>0.5</v>
      </c>
      <c r="D16" s="24" t="s">
        <v>142</v>
      </c>
      <c r="G16" s="1">
        <v>1</v>
      </c>
      <c r="H16" s="1" t="e">
        <f>#REF!</f>
        <v>#REF!</v>
      </c>
      <c r="I16" s="1">
        <v>36.5</v>
      </c>
      <c r="J16" s="1">
        <v>39.5</v>
      </c>
      <c r="K16" s="1" t="s">
        <v>151</v>
      </c>
    </row>
    <row r="17" spans="1:1" x14ac:dyDescent="0.2">
      <c r="A17" s="1" t="s">
        <v>138</v>
      </c>
    </row>
    <row r="18" spans="1:1" x14ac:dyDescent="0.2">
      <c r="A18" s="1" t="s">
        <v>139</v>
      </c>
    </row>
    <row r="19" spans="1:1" x14ac:dyDescent="0.2">
      <c r="A19" s="1" t="s">
        <v>140</v>
      </c>
    </row>
    <row r="20" spans="1:1" x14ac:dyDescent="0.2">
      <c r="A20" s="1" t="s">
        <v>141</v>
      </c>
    </row>
    <row r="21" spans="1:1" x14ac:dyDescent="0.2">
      <c r="A21" s="1" t="s">
        <v>143</v>
      </c>
    </row>
    <row r="22" spans="1:1" x14ac:dyDescent="0.2">
      <c r="A22" s="1" t="s">
        <v>144</v>
      </c>
    </row>
    <row r="23" spans="1:1" x14ac:dyDescent="0.2">
      <c r="A23" s="1" t="s">
        <v>145</v>
      </c>
    </row>
    <row r="24" spans="1:1" x14ac:dyDescent="0.2">
      <c r="A24" s="1" t="s">
        <v>146</v>
      </c>
    </row>
    <row r="25" spans="1:1" x14ac:dyDescent="0.2">
      <c r="A25" s="1" t="s">
        <v>147</v>
      </c>
    </row>
    <row r="26" spans="1:1" x14ac:dyDescent="0.2">
      <c r="A26" s="1" t="s">
        <v>148</v>
      </c>
    </row>
    <row r="27" spans="1:1" x14ac:dyDescent="0.2">
      <c r="A27" s="1"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6:D34"/>
  <sheetViews>
    <sheetView workbookViewId="0">
      <selection activeCell="A5" sqref="A5:E35"/>
    </sheetView>
  </sheetViews>
  <sheetFormatPr baseColWidth="10" defaultColWidth="9.140625" defaultRowHeight="12.75" x14ac:dyDescent="0.2"/>
  <cols>
    <col min="2" max="2" width="11.42578125" customWidth="1"/>
  </cols>
  <sheetData>
    <row r="6" spans="1:4" x14ac:dyDescent="0.2">
      <c r="A6" s="39" t="s">
        <v>220</v>
      </c>
    </row>
    <row r="8" spans="1:4" x14ac:dyDescent="0.2">
      <c r="B8" s="13" t="s">
        <v>20</v>
      </c>
    </row>
    <row r="9" spans="1:4" x14ac:dyDescent="0.2">
      <c r="C9" s="13" t="s">
        <v>221</v>
      </c>
      <c r="D9">
        <v>0.55000000000000004</v>
      </c>
    </row>
    <row r="10" spans="1:4" x14ac:dyDescent="0.2">
      <c r="B10" s="13"/>
      <c r="C10" s="13" t="s">
        <v>222</v>
      </c>
      <c r="D10">
        <f>1-D9</f>
        <v>0.44999999999999996</v>
      </c>
    </row>
    <row r="11" spans="1:4" x14ac:dyDescent="0.2">
      <c r="B11" s="13"/>
      <c r="C11" s="13"/>
    </row>
    <row r="12" spans="1:4" x14ac:dyDescent="0.2">
      <c r="B12" s="13" t="s">
        <v>205</v>
      </c>
      <c r="C12" s="13"/>
    </row>
    <row r="13" spans="1:4" x14ac:dyDescent="0.2">
      <c r="C13" s="13" t="s">
        <v>224</v>
      </c>
      <c r="D13">
        <v>0.2</v>
      </c>
    </row>
    <row r="14" spans="1:4" x14ac:dyDescent="0.2">
      <c r="C14" s="13" t="s">
        <v>225</v>
      </c>
      <c r="D14">
        <f>1-D13</f>
        <v>0.8</v>
      </c>
    </row>
    <row r="15" spans="1:4" x14ac:dyDescent="0.2">
      <c r="C15" s="13"/>
    </row>
    <row r="16" spans="1:4" x14ac:dyDescent="0.2">
      <c r="B16" s="13" t="s">
        <v>212</v>
      </c>
      <c r="C16" s="13"/>
    </row>
    <row r="17" spans="2:4" x14ac:dyDescent="0.2">
      <c r="C17" s="13" t="s">
        <v>221</v>
      </c>
      <c r="D17">
        <v>0.5</v>
      </c>
    </row>
    <row r="18" spans="2:4" x14ac:dyDescent="0.2">
      <c r="C18" s="13" t="s">
        <v>222</v>
      </c>
      <c r="D18">
        <f>1-D17</f>
        <v>0.5</v>
      </c>
    </row>
    <row r="19" spans="2:4" x14ac:dyDescent="0.2">
      <c r="C19" s="13"/>
    </row>
    <row r="20" spans="2:4" x14ac:dyDescent="0.2">
      <c r="B20" s="13" t="s">
        <v>229</v>
      </c>
      <c r="C20" s="13"/>
    </row>
    <row r="21" spans="2:4" x14ac:dyDescent="0.2">
      <c r="C21" s="13" t="s">
        <v>221</v>
      </c>
      <c r="D21">
        <f>0.25</f>
        <v>0.25</v>
      </c>
    </row>
    <row r="22" spans="2:4" x14ac:dyDescent="0.2">
      <c r="C22" s="13" t="s">
        <v>223</v>
      </c>
      <c r="D22">
        <v>0.5</v>
      </c>
    </row>
    <row r="23" spans="2:4" x14ac:dyDescent="0.2">
      <c r="C23" s="13" t="s">
        <v>222</v>
      </c>
      <c r="D23">
        <f>1-D22-D21</f>
        <v>0.25</v>
      </c>
    </row>
    <row r="24" spans="2:4" x14ac:dyDescent="0.2">
      <c r="C24" s="13"/>
    </row>
    <row r="25" spans="2:4" x14ac:dyDescent="0.2">
      <c r="B25" s="13" t="s">
        <v>226</v>
      </c>
    </row>
    <row r="26" spans="2:4" x14ac:dyDescent="0.2">
      <c r="B26" s="13" t="s">
        <v>228</v>
      </c>
      <c r="C26" s="13" t="s">
        <v>221</v>
      </c>
      <c r="D26">
        <v>1</v>
      </c>
    </row>
    <row r="27" spans="2:4" x14ac:dyDescent="0.2">
      <c r="C27" s="13" t="s">
        <v>223</v>
      </c>
      <c r="D27">
        <v>0</v>
      </c>
    </row>
    <row r="28" spans="2:4" x14ac:dyDescent="0.2">
      <c r="C28" s="13" t="s">
        <v>222</v>
      </c>
      <c r="D28">
        <f>1-D26</f>
        <v>0</v>
      </c>
    </row>
    <row r="29" spans="2:4" x14ac:dyDescent="0.2">
      <c r="B29" s="13" t="s">
        <v>227</v>
      </c>
      <c r="C29" s="13" t="s">
        <v>221</v>
      </c>
      <c r="D29">
        <v>0</v>
      </c>
    </row>
    <row r="30" spans="2:4" x14ac:dyDescent="0.2">
      <c r="C30" s="13" t="s">
        <v>223</v>
      </c>
      <c r="D30">
        <f>5/8</f>
        <v>0.625</v>
      </c>
    </row>
    <row r="31" spans="2:4" x14ac:dyDescent="0.2">
      <c r="C31" s="13" t="s">
        <v>222</v>
      </c>
      <c r="D31">
        <f>1-D30-D29</f>
        <v>0.375</v>
      </c>
    </row>
    <row r="32" spans="2:4" x14ac:dyDescent="0.2">
      <c r="B32" s="13" t="s">
        <v>11</v>
      </c>
      <c r="C32" s="13" t="s">
        <v>221</v>
      </c>
      <c r="D32">
        <f>D26*$D$13+D29*$D$14</f>
        <v>0.2</v>
      </c>
    </row>
    <row r="33" spans="3:4" x14ac:dyDescent="0.2">
      <c r="C33" s="13" t="s">
        <v>223</v>
      </c>
      <c r="D33">
        <f>D27*$D$13+D30*$D$14</f>
        <v>0.5</v>
      </c>
    </row>
    <row r="34" spans="3:4" x14ac:dyDescent="0.2">
      <c r="C34" s="13" t="s">
        <v>222</v>
      </c>
      <c r="D34">
        <f>D28*$D$13+D31*$D$14</f>
        <v>0.30000000000000004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0:J299"/>
  <sheetViews>
    <sheetView topLeftCell="A277" zoomScale="85" zoomScaleNormal="85" zoomScalePageLayoutView="85" workbookViewId="0">
      <selection activeCell="E135" sqref="E135"/>
    </sheetView>
  </sheetViews>
  <sheetFormatPr baseColWidth="10" defaultColWidth="9.140625" defaultRowHeight="12.75" x14ac:dyDescent="0.2"/>
  <cols>
    <col min="1" max="1" width="19" customWidth="1"/>
    <col min="2" max="12" width="22.42578125" customWidth="1"/>
    <col min="13" max="13" width="16.7109375" customWidth="1"/>
  </cols>
  <sheetData>
    <row r="10" spans="7:10" ht="12.75" customHeight="1" x14ac:dyDescent="0.2">
      <c r="I10" s="38">
        <v>0.5</v>
      </c>
      <c r="J10" s="29">
        <f>_xll.PTreeNodeProbability(treeCalc_1!$F$2,14)</f>
        <v>1.3750000000000002E-2</v>
      </c>
    </row>
    <row r="11" spans="7:10" ht="12.75" customHeight="1" x14ac:dyDescent="0.2">
      <c r="I11" s="30">
        <v>7.0000000000000007E-2</v>
      </c>
      <c r="J11" s="28">
        <f>_xll.PTreeNodeValue(treeCalc_1!$F$2,14)</f>
        <v>1010.0219193213368</v>
      </c>
    </row>
    <row r="12" spans="7:10" ht="12.75" customHeight="1" x14ac:dyDescent="0.2">
      <c r="H12" s="38">
        <v>0.25</v>
      </c>
      <c r="I12" s="35" t="s">
        <v>212</v>
      </c>
    </row>
    <row r="13" spans="7:10" ht="12.75" customHeight="1" x14ac:dyDescent="0.2">
      <c r="H13" s="30">
        <v>1.7</v>
      </c>
      <c r="I13" s="36">
        <f>_xll.PTreeNodeValue(treeCalc_1!$F$2,13)</f>
        <v>1217.2422424675374</v>
      </c>
    </row>
    <row r="14" spans="7:10" ht="12.75" customHeight="1" x14ac:dyDescent="0.2">
      <c r="I14" s="38">
        <v>0.5</v>
      </c>
      <c r="J14" s="29">
        <f>_xll.PTreeNodeProbability(treeCalc_1!$F$2,18)</f>
        <v>1.3750000000000002E-2</v>
      </c>
    </row>
    <row r="15" spans="7:10" ht="12.75" customHeight="1" x14ac:dyDescent="0.2">
      <c r="I15" s="30">
        <v>0.04</v>
      </c>
      <c r="J15" s="28">
        <f>_xll.PTreeNodeValue(treeCalc_1!$F$2,18)</f>
        <v>1424.4625656137378</v>
      </c>
    </row>
    <row r="16" spans="7:10" ht="12.75" customHeight="1" x14ac:dyDescent="0.2">
      <c r="G16" s="38">
        <v>1</v>
      </c>
      <c r="H16" s="35" t="s">
        <v>21</v>
      </c>
    </row>
    <row r="17" spans="6:10" ht="12.75" customHeight="1" x14ac:dyDescent="0.2">
      <c r="G17" s="30">
        <v>3</v>
      </c>
      <c r="H17" s="36">
        <f>_xll.PTreeNodeValue(treeCalc_1!$F$2,12)</f>
        <v>1477.6332950959713</v>
      </c>
    </row>
    <row r="18" spans="6:10" ht="12.75" customHeight="1" x14ac:dyDescent="0.2">
      <c r="I18" s="38">
        <v>0.5</v>
      </c>
      <c r="J18" s="29">
        <f>_xll.PTreeNodeProbability(treeCalc_1!$F$2,23)</f>
        <v>2.7500000000000004E-2</v>
      </c>
    </row>
    <row r="19" spans="6:10" ht="12.75" customHeight="1" x14ac:dyDescent="0.2">
      <c r="I19" s="30">
        <v>7.0000000000000007E-2</v>
      </c>
      <c r="J19" s="28">
        <f>_xll.PTreeNodeValue(treeCalc_1!$F$2,23)</f>
        <v>1270.4129719497707</v>
      </c>
    </row>
    <row r="20" spans="6:10" ht="12.75" customHeight="1" x14ac:dyDescent="0.2">
      <c r="H20" s="38">
        <v>0.5</v>
      </c>
      <c r="I20" s="35" t="s">
        <v>212</v>
      </c>
    </row>
    <row r="21" spans="6:10" ht="12.75" customHeight="1" x14ac:dyDescent="0.2">
      <c r="H21" s="30">
        <v>1.5</v>
      </c>
      <c r="I21" s="36">
        <f>_xll.PTreeNodeValue(treeCalc_1!$F$2,22)</f>
        <v>1477.6332950959709</v>
      </c>
    </row>
    <row r="22" spans="6:10" ht="12.75" customHeight="1" x14ac:dyDescent="0.2">
      <c r="I22" s="38">
        <v>0.5</v>
      </c>
      <c r="J22" s="29">
        <f>_xll.PTreeNodeProbability(treeCalc_1!$F$2,27)</f>
        <v>2.7500000000000004E-2</v>
      </c>
    </row>
    <row r="23" spans="6:10" ht="12.75" customHeight="1" x14ac:dyDescent="0.2">
      <c r="I23" s="30">
        <v>0.04</v>
      </c>
      <c r="J23" s="28">
        <f>_xll.PTreeNodeValue(treeCalc_1!$F$2,27)</f>
        <v>1684.8536182421713</v>
      </c>
    </row>
    <row r="24" spans="6:10" ht="12.75" customHeight="1" x14ac:dyDescent="0.2">
      <c r="I24" s="38">
        <v>0.5</v>
      </c>
      <c r="J24" s="29">
        <f>_xll.PTreeNodeProbability(treeCalc_1!$F$2,32)</f>
        <v>1.3750000000000002E-2</v>
      </c>
    </row>
    <row r="25" spans="6:10" ht="12.75" customHeight="1" x14ac:dyDescent="0.2">
      <c r="I25" s="30">
        <v>7.0000000000000007E-2</v>
      </c>
      <c r="J25" s="28">
        <f>_xll.PTreeNodeValue(treeCalc_1!$F$2,32)</f>
        <v>1530.8040245782047</v>
      </c>
    </row>
    <row r="26" spans="6:10" ht="12.75" customHeight="1" x14ac:dyDescent="0.2">
      <c r="H26" s="38">
        <v>0.25</v>
      </c>
      <c r="I26" s="35" t="s">
        <v>212</v>
      </c>
    </row>
    <row r="27" spans="6:10" ht="12.75" customHeight="1" x14ac:dyDescent="0.2">
      <c r="H27" s="30">
        <v>1.3</v>
      </c>
      <c r="I27" s="36">
        <f>_xll.PTreeNodeValue(treeCalc_1!$F$2,31)</f>
        <v>1738.0243477244053</v>
      </c>
    </row>
    <row r="28" spans="6:10" ht="12.75" customHeight="1" x14ac:dyDescent="0.2">
      <c r="I28" s="38">
        <v>0.5</v>
      </c>
      <c r="J28" s="29">
        <f>_xll.PTreeNodeProbability(treeCalc_1!$F$2,36)</f>
        <v>1.3750000000000002E-2</v>
      </c>
    </row>
    <row r="29" spans="6:10" ht="12.75" customHeight="1" x14ac:dyDescent="0.2">
      <c r="I29" s="30">
        <v>0.04</v>
      </c>
      <c r="J29" s="28">
        <f>_xll.PTreeNodeValue(treeCalc_1!$F$2,36)</f>
        <v>1945.2446708706061</v>
      </c>
    </row>
    <row r="30" spans="6:10" ht="12.75" customHeight="1" x14ac:dyDescent="0.2">
      <c r="F30" s="33" t="b">
        <f>_xll.PTreeNodeDecision(treeCalc_1!$F$2,10)</f>
        <v>1</v>
      </c>
      <c r="G30" s="35" t="s">
        <v>213</v>
      </c>
    </row>
    <row r="31" spans="6:10" ht="12.75" customHeight="1" x14ac:dyDescent="0.2">
      <c r="F31" s="30">
        <v>1</v>
      </c>
      <c r="G31" s="36">
        <f>_xll.PTreeNodeValue(treeCalc_1!$F$2,10)</f>
        <v>1477.6332950959713</v>
      </c>
    </row>
    <row r="32" spans="6:10" ht="12.75" customHeight="1" x14ac:dyDescent="0.2">
      <c r="I32" s="38">
        <v>0.5</v>
      </c>
      <c r="J32" s="29">
        <f>_xll.PTreeNodeProbability(treeCalc_1!$F$2,16)</f>
        <v>0</v>
      </c>
    </row>
    <row r="33" spans="7:10" ht="12.75" customHeight="1" x14ac:dyDescent="0.2">
      <c r="I33" s="30">
        <v>7.0000000000000007E-2</v>
      </c>
      <c r="J33" s="28">
        <f>_xll.PTreeNodeValue(treeCalc_1!$F$2,16)</f>
        <v>-56.035975174849185</v>
      </c>
    </row>
    <row r="34" spans="7:10" ht="12.75" customHeight="1" x14ac:dyDescent="0.2">
      <c r="H34" s="38">
        <v>0.25</v>
      </c>
      <c r="I34" s="35" t="s">
        <v>212</v>
      </c>
    </row>
    <row r="35" spans="7:10" ht="12.75" customHeight="1" x14ac:dyDescent="0.2">
      <c r="H35" s="30">
        <v>1.7</v>
      </c>
      <c r="I35" s="36">
        <f>_xll.PTreeNodeValue(treeCalc_1!$F$2,15)</f>
        <v>74.593267138846898</v>
      </c>
    </row>
    <row r="36" spans="7:10" ht="12.75" customHeight="1" x14ac:dyDescent="0.2">
      <c r="I36" s="38">
        <v>0.5</v>
      </c>
      <c r="J36" s="29">
        <f>_xll.PTreeNodeProbability(treeCalc_1!$F$2,17)</f>
        <v>0</v>
      </c>
    </row>
    <row r="37" spans="7:10" ht="12.75" customHeight="1" x14ac:dyDescent="0.2">
      <c r="I37" s="30">
        <v>0.04</v>
      </c>
      <c r="J37" s="28">
        <f>_xll.PTreeNodeValue(treeCalc_1!$F$2,17)</f>
        <v>205.22250945254299</v>
      </c>
    </row>
    <row r="38" spans="7:10" ht="12.75" customHeight="1" x14ac:dyDescent="0.2">
      <c r="G38" s="38">
        <v>0</v>
      </c>
      <c r="H38" s="35" t="s">
        <v>21</v>
      </c>
    </row>
    <row r="39" spans="7:10" ht="12.75" customHeight="1" x14ac:dyDescent="0.2">
      <c r="G39" s="30">
        <v>2</v>
      </c>
      <c r="H39" s="36">
        <f>_xll.PTreeNodeValue(treeCalc_1!$F$2,134)</f>
        <v>334.98431976728062</v>
      </c>
    </row>
    <row r="40" spans="7:10" ht="12.75" customHeight="1" x14ac:dyDescent="0.2">
      <c r="I40" s="38">
        <v>0.5</v>
      </c>
      <c r="J40" s="29">
        <f>_xll.PTreeNodeProbability(treeCalc_1!$F$2,20)</f>
        <v>0</v>
      </c>
    </row>
    <row r="41" spans="7:10" ht="12.75" customHeight="1" x14ac:dyDescent="0.2">
      <c r="I41" s="30">
        <v>7.0000000000000007E-2</v>
      </c>
      <c r="J41" s="28">
        <f>_xll.PTreeNodeValue(treeCalc_1!$F$2,20)</f>
        <v>204.3550774535843</v>
      </c>
    </row>
    <row r="42" spans="7:10" ht="12.75" customHeight="1" x14ac:dyDescent="0.2">
      <c r="H42" s="38">
        <v>0.5</v>
      </c>
      <c r="I42" s="35" t="s">
        <v>212</v>
      </c>
    </row>
    <row r="43" spans="7:10" ht="12.75" customHeight="1" x14ac:dyDescent="0.2">
      <c r="H43" s="30">
        <v>1.5</v>
      </c>
      <c r="I43" s="36">
        <f>_xll.PTreeNodeValue(treeCalc_1!$F$2,19)</f>
        <v>334.9843197672804</v>
      </c>
    </row>
    <row r="44" spans="7:10" ht="12.75" customHeight="1" x14ac:dyDescent="0.2">
      <c r="I44" s="38">
        <v>0.5</v>
      </c>
      <c r="J44" s="29">
        <f>_xll.PTreeNodeProbability(treeCalc_1!$F$2,21)</f>
        <v>0</v>
      </c>
    </row>
    <row r="45" spans="7:10" ht="12.75" customHeight="1" x14ac:dyDescent="0.2">
      <c r="I45" s="30">
        <v>0.04</v>
      </c>
      <c r="J45" s="28">
        <f>_xll.PTreeNodeValue(treeCalc_1!$F$2,21)</f>
        <v>465.61356208097646</v>
      </c>
    </row>
    <row r="46" spans="7:10" ht="12.75" customHeight="1" x14ac:dyDescent="0.2">
      <c r="I46" s="38">
        <v>0.5</v>
      </c>
      <c r="J46" s="29">
        <f>_xll.PTreeNodeProbability(treeCalc_1!$F$2,25)</f>
        <v>0</v>
      </c>
    </row>
    <row r="47" spans="7:10" ht="12.75" customHeight="1" x14ac:dyDescent="0.2">
      <c r="I47" s="30">
        <v>7.0000000000000007E-2</v>
      </c>
      <c r="J47" s="28">
        <f>_xll.PTreeNodeValue(treeCalc_1!$F$2,25)</f>
        <v>464.74613008201857</v>
      </c>
    </row>
    <row r="48" spans="7:10" ht="12.75" customHeight="1" x14ac:dyDescent="0.2">
      <c r="H48" s="38">
        <v>0.25</v>
      </c>
      <c r="I48" s="35" t="s">
        <v>212</v>
      </c>
    </row>
    <row r="49" spans="7:10" ht="12.75" customHeight="1" x14ac:dyDescent="0.2">
      <c r="H49" s="30">
        <v>1.3</v>
      </c>
      <c r="I49" s="36">
        <f>_xll.PTreeNodeValue(treeCalc_1!$F$2,24)</f>
        <v>595.37537239571475</v>
      </c>
    </row>
    <row r="50" spans="7:10" ht="12.75" customHeight="1" x14ac:dyDescent="0.2">
      <c r="I50" s="38">
        <v>0.5</v>
      </c>
      <c r="J50" s="29">
        <f>_xll.PTreeNodeProbability(treeCalc_1!$F$2,26)</f>
        <v>0</v>
      </c>
    </row>
    <row r="51" spans="7:10" ht="12.75" customHeight="1" x14ac:dyDescent="0.2">
      <c r="I51" s="30">
        <v>0.04</v>
      </c>
      <c r="J51" s="28">
        <f>_xll.PTreeNodeValue(treeCalc_1!$F$2,26)</f>
        <v>726.00461470941104</v>
      </c>
    </row>
    <row r="52" spans="7:10" ht="12.75" customHeight="1" x14ac:dyDescent="0.2">
      <c r="I52" s="38">
        <v>0.5</v>
      </c>
      <c r="J52" s="29">
        <f>_xll.PTreeNodeProbability(treeCalc_1!$F$2,29)</f>
        <v>0</v>
      </c>
    </row>
    <row r="53" spans="7:10" ht="12.75" customHeight="1" x14ac:dyDescent="0.2">
      <c r="I53" s="30">
        <v>7.0000000000000007E-2</v>
      </c>
      <c r="J53" s="28">
        <f>_xll.PTreeNodeValue(treeCalc_1!$F$2,29)</f>
        <v>-442.7055192773737</v>
      </c>
    </row>
    <row r="54" spans="7:10" ht="12.75" customHeight="1" x14ac:dyDescent="0.2">
      <c r="H54" s="38">
        <v>0.25</v>
      </c>
      <c r="I54" s="35" t="s">
        <v>212</v>
      </c>
    </row>
    <row r="55" spans="7:10" ht="12.75" customHeight="1" x14ac:dyDescent="0.2">
      <c r="H55" s="30">
        <v>1.7</v>
      </c>
      <c r="I55" s="36">
        <f>_xll.PTreeNodeValue(treeCalc_1!$F$2,28)</f>
        <v>-378.39490180490964</v>
      </c>
    </row>
    <row r="56" spans="7:10" ht="12.75" customHeight="1" x14ac:dyDescent="0.2">
      <c r="I56" s="38">
        <v>0.5</v>
      </c>
      <c r="J56" s="29">
        <f>_xll.PTreeNodeProbability(treeCalc_1!$F$2,30)</f>
        <v>0</v>
      </c>
    </row>
    <row r="57" spans="7:10" ht="12.75" customHeight="1" x14ac:dyDescent="0.2">
      <c r="I57" s="30">
        <v>0.04</v>
      </c>
      <c r="J57" s="28">
        <f>_xll.PTreeNodeValue(treeCalc_1!$F$2,30)</f>
        <v>-314.08428433244563</v>
      </c>
    </row>
    <row r="58" spans="7:10" ht="12.75" customHeight="1" x14ac:dyDescent="0.2">
      <c r="G58" s="38">
        <v>0</v>
      </c>
      <c r="H58" s="35" t="s">
        <v>21</v>
      </c>
    </row>
    <row r="59" spans="7:10" ht="12.75" customHeight="1" x14ac:dyDescent="0.2">
      <c r="G59" s="30">
        <v>1</v>
      </c>
      <c r="H59" s="36">
        <f>_xll.PTreeNodeValue(treeCalc_1!$F$2,136)</f>
        <v>-118.00384917647638</v>
      </c>
    </row>
    <row r="60" spans="7:10" ht="12.75" customHeight="1" x14ac:dyDescent="0.2">
      <c r="I60" s="38">
        <v>0.5</v>
      </c>
      <c r="J60" s="29">
        <f>_xll.PTreeNodeProbability(treeCalc_1!$F$2,34)</f>
        <v>0</v>
      </c>
    </row>
    <row r="61" spans="7:10" ht="12.75" customHeight="1" x14ac:dyDescent="0.2">
      <c r="I61" s="30">
        <v>7.0000000000000007E-2</v>
      </c>
      <c r="J61" s="28">
        <f>_xll.PTreeNodeValue(treeCalc_1!$F$2,34)</f>
        <v>-182.31446664894077</v>
      </c>
    </row>
    <row r="62" spans="7:10" ht="12.75" customHeight="1" x14ac:dyDescent="0.2">
      <c r="H62" s="38">
        <v>0.5</v>
      </c>
      <c r="I62" s="35" t="s">
        <v>212</v>
      </c>
    </row>
    <row r="63" spans="7:10" ht="12.75" customHeight="1" x14ac:dyDescent="0.2">
      <c r="H63" s="30">
        <v>1.5</v>
      </c>
      <c r="I63" s="36">
        <f>_xll.PTreeNodeValue(treeCalc_1!$F$2,33)</f>
        <v>-118.00384917647672</v>
      </c>
    </row>
    <row r="64" spans="7:10" ht="12.75" customHeight="1" x14ac:dyDescent="0.2">
      <c r="I64" s="38">
        <v>0.5</v>
      </c>
      <c r="J64" s="29">
        <f>_xll.PTreeNodeProbability(treeCalc_1!$F$2,35)</f>
        <v>0</v>
      </c>
    </row>
    <row r="65" spans="4:10" ht="12.75" customHeight="1" x14ac:dyDescent="0.2">
      <c r="I65" s="30">
        <v>0.04</v>
      </c>
      <c r="J65" s="28">
        <f>_xll.PTreeNodeValue(treeCalc_1!$F$2,35)</f>
        <v>-53.693231704012682</v>
      </c>
    </row>
    <row r="66" spans="4:10" ht="12.75" customHeight="1" x14ac:dyDescent="0.2">
      <c r="I66" s="38">
        <v>0.5</v>
      </c>
      <c r="J66" s="29">
        <f>_xll.PTreeNodeProbability(treeCalc_1!$F$2,38)</f>
        <v>0</v>
      </c>
    </row>
    <row r="67" spans="4:10" ht="12.75" customHeight="1" x14ac:dyDescent="0.2">
      <c r="I67" s="30">
        <v>7.0000000000000007E-2</v>
      </c>
      <c r="J67" s="28">
        <f>_xll.PTreeNodeValue(treeCalc_1!$F$2,38)</f>
        <v>78.076585979493458</v>
      </c>
    </row>
    <row r="68" spans="4:10" ht="12.75" customHeight="1" x14ac:dyDescent="0.2">
      <c r="H68" s="38">
        <v>0.25</v>
      </c>
      <c r="I68" s="35" t="s">
        <v>212</v>
      </c>
    </row>
    <row r="69" spans="4:10" ht="12.75" customHeight="1" x14ac:dyDescent="0.2">
      <c r="H69" s="30">
        <v>1.3</v>
      </c>
      <c r="I69" s="36">
        <f>_xll.PTreeNodeValue(treeCalc_1!$F$2,37)</f>
        <v>142.38720345195753</v>
      </c>
    </row>
    <row r="70" spans="4:10" ht="12.75" customHeight="1" x14ac:dyDescent="0.2">
      <c r="I70" s="38">
        <v>0.5</v>
      </c>
      <c r="J70" s="29">
        <f>_xll.PTreeNodeProbability(treeCalc_1!$F$2,132)</f>
        <v>0</v>
      </c>
    </row>
    <row r="71" spans="4:10" ht="12.75" customHeight="1" x14ac:dyDescent="0.2">
      <c r="I71" s="30">
        <v>0.04</v>
      </c>
      <c r="J71" s="28">
        <f>_xll.PTreeNodeValue(treeCalc_1!$F$2,132)</f>
        <v>206.69782092442159</v>
      </c>
    </row>
    <row r="72" spans="4:10" ht="12.75" customHeight="1" x14ac:dyDescent="0.2">
      <c r="E72" s="38">
        <v>0.2</v>
      </c>
      <c r="F72" s="31" t="s">
        <v>52</v>
      </c>
    </row>
    <row r="73" spans="4:10" ht="12.75" customHeight="1" x14ac:dyDescent="0.2">
      <c r="E73" s="30">
        <v>1</v>
      </c>
      <c r="F73" s="32">
        <f>_xll.PTreeNodeValue(treeCalc_1!$F$2,8)</f>
        <v>1477.6332950959713</v>
      </c>
    </row>
    <row r="74" spans="4:10" ht="12.75" customHeight="1" x14ac:dyDescent="0.2">
      <c r="F74" s="33" t="b">
        <f>_xll.PTreeNodeDecision(treeCalc_1!$F$2,11)</f>
        <v>0</v>
      </c>
      <c r="G74" s="29">
        <f>_xll.PTreeNodeProbability(treeCalc_1!$F$2,11)</f>
        <v>0</v>
      </c>
    </row>
    <row r="75" spans="4:10" ht="12.75" customHeight="1" x14ac:dyDescent="0.2">
      <c r="F75" s="30">
        <v>0</v>
      </c>
      <c r="G75" s="28">
        <f>_xll.PTreeNodeValue(treeCalc_1!$F$2,11)</f>
        <v>-128.24912948069479</v>
      </c>
    </row>
    <row r="76" spans="4:10" ht="12.75" customHeight="1" x14ac:dyDescent="0.2">
      <c r="D76" s="33" t="b">
        <f>_xll.PTreeNodeDecision(treeCalc_1!$F$2,6)</f>
        <v>1</v>
      </c>
      <c r="E76" s="35" t="s">
        <v>205</v>
      </c>
    </row>
    <row r="77" spans="4:10" ht="12.75" customHeight="1" x14ac:dyDescent="0.2">
      <c r="D77" s="30">
        <v>1</v>
      </c>
      <c r="E77" s="36">
        <f>_xll.PTreeNodeValue(treeCalc_1!$F$2,6)</f>
        <v>427.61766414989165</v>
      </c>
    </row>
    <row r="78" spans="4:10" ht="12.75" customHeight="1" x14ac:dyDescent="0.2">
      <c r="I78" s="38">
        <v>0.5</v>
      </c>
      <c r="J78" s="29">
        <f>_xll.PTreeNodeProbability(treeCalc_1!$F$2,42)</f>
        <v>0</v>
      </c>
    </row>
    <row r="79" spans="4:10" ht="12.75" customHeight="1" x14ac:dyDescent="0.2">
      <c r="I79" s="30">
        <v>7.0000000000000007E-2</v>
      </c>
      <c r="J79" s="28">
        <f>_xll.PTreeNodeValue(treeCalc_1!$F$2,42)</f>
        <v>1010.0219193213368</v>
      </c>
    </row>
    <row r="80" spans="4:10" ht="12.75" customHeight="1" x14ac:dyDescent="0.2">
      <c r="H80" s="38">
        <v>0.25</v>
      </c>
      <c r="I80" s="35" t="s">
        <v>212</v>
      </c>
    </row>
    <row r="81" spans="7:10" ht="12.75" customHeight="1" x14ac:dyDescent="0.2">
      <c r="H81" s="30">
        <v>1.7</v>
      </c>
      <c r="I81" s="36">
        <f>_xll.PTreeNodeValue(treeCalc_1!$F$2,41)</f>
        <v>1217.2422424675374</v>
      </c>
    </row>
    <row r="82" spans="7:10" ht="12.75" customHeight="1" x14ac:dyDescent="0.2">
      <c r="I82" s="38">
        <v>0.5</v>
      </c>
      <c r="J82" s="29">
        <f>_xll.PTreeNodeProbability(treeCalc_1!$F$2,43)</f>
        <v>0</v>
      </c>
    </row>
    <row r="83" spans="7:10" ht="12.75" customHeight="1" x14ac:dyDescent="0.2">
      <c r="I83" s="30">
        <v>0.04</v>
      </c>
      <c r="J83" s="28">
        <f>_xll.PTreeNodeValue(treeCalc_1!$F$2,43)</f>
        <v>1424.4625656137378</v>
      </c>
    </row>
    <row r="84" spans="7:10" ht="12.75" customHeight="1" x14ac:dyDescent="0.2">
      <c r="G84" s="38">
        <v>0</v>
      </c>
      <c r="H84" s="35" t="s">
        <v>21</v>
      </c>
    </row>
    <row r="85" spans="7:10" ht="12.75" customHeight="1" x14ac:dyDescent="0.2">
      <c r="G85" s="30">
        <v>3</v>
      </c>
      <c r="H85" s="36">
        <f>_xll.PTreeNodeValue(treeCalc_1!$F$2,40)</f>
        <v>1477.6332950959713</v>
      </c>
    </row>
    <row r="86" spans="7:10" ht="12.75" customHeight="1" x14ac:dyDescent="0.2">
      <c r="I86" s="38">
        <v>0.5</v>
      </c>
      <c r="J86" s="29">
        <f>_xll.PTreeNodeProbability(treeCalc_1!$F$2,45)</f>
        <v>0</v>
      </c>
    </row>
    <row r="87" spans="7:10" ht="12.75" customHeight="1" x14ac:dyDescent="0.2">
      <c r="I87" s="30">
        <v>7.0000000000000007E-2</v>
      </c>
      <c r="J87" s="28">
        <f>_xll.PTreeNodeValue(treeCalc_1!$F$2,45)</f>
        <v>1270.4129719497707</v>
      </c>
    </row>
    <row r="88" spans="7:10" ht="12.75" customHeight="1" x14ac:dyDescent="0.2">
      <c r="H88" s="38">
        <v>0.5</v>
      </c>
      <c r="I88" s="35" t="s">
        <v>212</v>
      </c>
    </row>
    <row r="89" spans="7:10" ht="12.75" customHeight="1" x14ac:dyDescent="0.2">
      <c r="H89" s="30">
        <v>1.5</v>
      </c>
      <c r="I89" s="36">
        <f>_xll.PTreeNodeValue(treeCalc_1!$F$2,44)</f>
        <v>1477.6332950959709</v>
      </c>
    </row>
    <row r="90" spans="7:10" ht="12.75" customHeight="1" x14ac:dyDescent="0.2">
      <c r="I90" s="38">
        <v>0.5</v>
      </c>
      <c r="J90" s="29">
        <f>_xll.PTreeNodeProbability(treeCalc_1!$F$2,46)</f>
        <v>0</v>
      </c>
    </row>
    <row r="91" spans="7:10" ht="12.75" customHeight="1" x14ac:dyDescent="0.2">
      <c r="I91" s="30">
        <v>0.04</v>
      </c>
      <c r="J91" s="28">
        <f>_xll.PTreeNodeValue(treeCalc_1!$F$2,46)</f>
        <v>1684.8536182421713</v>
      </c>
    </row>
    <row r="92" spans="7:10" ht="12.75" customHeight="1" x14ac:dyDescent="0.2">
      <c r="I92" s="38">
        <v>0.5</v>
      </c>
      <c r="J92" s="29">
        <f>_xll.PTreeNodeProbability(treeCalc_1!$F$2,48)</f>
        <v>0</v>
      </c>
    </row>
    <row r="93" spans="7:10" ht="12.75" customHeight="1" x14ac:dyDescent="0.2">
      <c r="I93" s="30">
        <v>7.0000000000000007E-2</v>
      </c>
      <c r="J93" s="28">
        <f>_xll.PTreeNodeValue(treeCalc_1!$F$2,48)</f>
        <v>1530.8040245782047</v>
      </c>
    </row>
    <row r="94" spans="7:10" ht="12.75" customHeight="1" x14ac:dyDescent="0.2">
      <c r="H94" s="38">
        <v>0.25</v>
      </c>
      <c r="I94" s="35" t="s">
        <v>212</v>
      </c>
    </row>
    <row r="95" spans="7:10" ht="12.75" customHeight="1" x14ac:dyDescent="0.2">
      <c r="H95" s="30">
        <v>1.3</v>
      </c>
      <c r="I95" s="36">
        <f>_xll.PTreeNodeValue(treeCalc_1!$F$2,47)</f>
        <v>1738.0243477244053</v>
      </c>
    </row>
    <row r="96" spans="7:10" ht="12.75" customHeight="1" x14ac:dyDescent="0.2">
      <c r="I96" s="38">
        <v>0.5</v>
      </c>
      <c r="J96" s="29">
        <f>_xll.PTreeNodeProbability(treeCalc_1!$F$2,49)</f>
        <v>0</v>
      </c>
    </row>
    <row r="97" spans="6:10" ht="12.75" customHeight="1" x14ac:dyDescent="0.2">
      <c r="I97" s="30">
        <v>0.04</v>
      </c>
      <c r="J97" s="28">
        <f>_xll.PTreeNodeValue(treeCalc_1!$F$2,49)</f>
        <v>1945.2446708706061</v>
      </c>
    </row>
    <row r="98" spans="6:10" ht="12.75" customHeight="1" x14ac:dyDescent="0.2">
      <c r="F98" s="33" t="b">
        <f>_xll.PTreeNodeDecision(treeCalc_1!$F$2,39)</f>
        <v>1</v>
      </c>
      <c r="G98" s="35" t="s">
        <v>213</v>
      </c>
    </row>
    <row r="99" spans="6:10" ht="12.75" customHeight="1" x14ac:dyDescent="0.2">
      <c r="F99" s="30">
        <v>1</v>
      </c>
      <c r="G99" s="36">
        <f>_xll.PTreeNodeValue(treeCalc_1!$F$2,39)</f>
        <v>165.11375641337173</v>
      </c>
    </row>
    <row r="100" spans="6:10" ht="12.75" customHeight="1" x14ac:dyDescent="0.2">
      <c r="I100" s="38">
        <v>0.5</v>
      </c>
      <c r="J100" s="29">
        <f>_xll.PTreeNodeProbability(treeCalc_1!$F$2,52)</f>
        <v>3.4375000000000003E-2</v>
      </c>
    </row>
    <row r="101" spans="6:10" ht="12.75" customHeight="1" x14ac:dyDescent="0.2">
      <c r="I101" s="30">
        <v>7.0000000000000007E-2</v>
      </c>
      <c r="J101" s="28">
        <f>_xll.PTreeNodeValue(treeCalc_1!$F$2,52)</f>
        <v>-56.035975174849185</v>
      </c>
    </row>
    <row r="102" spans="6:10" ht="12.75" customHeight="1" x14ac:dyDescent="0.2">
      <c r="H102" s="38">
        <v>0.25</v>
      </c>
      <c r="I102" s="35" t="s">
        <v>212</v>
      </c>
    </row>
    <row r="103" spans="6:10" ht="12.75" customHeight="1" x14ac:dyDescent="0.2">
      <c r="H103" s="30">
        <v>1.7</v>
      </c>
      <c r="I103" s="36">
        <f>_xll.PTreeNodeValue(treeCalc_1!$F$2,51)</f>
        <v>74.593267138846898</v>
      </c>
    </row>
    <row r="104" spans="6:10" ht="12.75" customHeight="1" x14ac:dyDescent="0.2">
      <c r="I104" s="38">
        <v>0.5</v>
      </c>
      <c r="J104" s="29">
        <f>_xll.PTreeNodeProbability(treeCalc_1!$F$2,53)</f>
        <v>3.4375000000000003E-2</v>
      </c>
    </row>
    <row r="105" spans="6:10" ht="12.75" customHeight="1" x14ac:dyDescent="0.2">
      <c r="I105" s="30">
        <v>0.04</v>
      </c>
      <c r="J105" s="28">
        <f>_xll.PTreeNodeValue(treeCalc_1!$F$2,53)</f>
        <v>205.22250945254299</v>
      </c>
    </row>
    <row r="106" spans="6:10" ht="12.75" customHeight="1" x14ac:dyDescent="0.2">
      <c r="G106" s="38">
        <v>0.625</v>
      </c>
      <c r="H106" s="35" t="s">
        <v>21</v>
      </c>
    </row>
    <row r="107" spans="6:10" ht="12.75" customHeight="1" x14ac:dyDescent="0.2">
      <c r="G107" s="30">
        <v>2</v>
      </c>
      <c r="H107" s="36">
        <f>_xll.PTreeNodeValue(treeCalc_1!$F$2,50)</f>
        <v>334.98431976728062</v>
      </c>
    </row>
    <row r="108" spans="6:10" ht="12.75" customHeight="1" x14ac:dyDescent="0.2">
      <c r="I108" s="38">
        <v>0.5</v>
      </c>
      <c r="J108" s="29">
        <f>_xll.PTreeNodeProbability(treeCalc_1!$F$2,55)</f>
        <v>6.8750000000000006E-2</v>
      </c>
    </row>
    <row r="109" spans="6:10" ht="12.75" customHeight="1" x14ac:dyDescent="0.2">
      <c r="I109" s="30">
        <v>7.0000000000000007E-2</v>
      </c>
      <c r="J109" s="28">
        <f>_xll.PTreeNodeValue(treeCalc_1!$F$2,55)</f>
        <v>204.3550774535843</v>
      </c>
    </row>
    <row r="110" spans="6:10" ht="12.75" customHeight="1" x14ac:dyDescent="0.2">
      <c r="H110" s="38">
        <v>0.5</v>
      </c>
      <c r="I110" s="35" t="s">
        <v>212</v>
      </c>
    </row>
    <row r="111" spans="6:10" ht="12.75" customHeight="1" x14ac:dyDescent="0.2">
      <c r="H111" s="30">
        <v>1.5</v>
      </c>
      <c r="I111" s="36">
        <f>_xll.PTreeNodeValue(treeCalc_1!$F$2,54)</f>
        <v>334.9843197672804</v>
      </c>
    </row>
    <row r="112" spans="6:10" ht="12.75" customHeight="1" x14ac:dyDescent="0.2">
      <c r="I112" s="38">
        <v>0.5</v>
      </c>
      <c r="J112" s="29">
        <f>_xll.PTreeNodeProbability(treeCalc_1!$F$2,56)</f>
        <v>6.8750000000000006E-2</v>
      </c>
    </row>
    <row r="113" spans="7:10" ht="12.75" customHeight="1" x14ac:dyDescent="0.2">
      <c r="I113" s="30">
        <v>0.04</v>
      </c>
      <c r="J113" s="28">
        <f>_xll.PTreeNodeValue(treeCalc_1!$F$2,56)</f>
        <v>465.61356208097646</v>
      </c>
    </row>
    <row r="114" spans="7:10" ht="12.75" customHeight="1" x14ac:dyDescent="0.2">
      <c r="I114" s="38">
        <v>0.5</v>
      </c>
      <c r="J114" s="29">
        <f>_xll.PTreeNodeProbability(treeCalc_1!$F$2,58)</f>
        <v>3.4375000000000003E-2</v>
      </c>
    </row>
    <row r="115" spans="7:10" ht="12.75" customHeight="1" x14ac:dyDescent="0.2">
      <c r="I115" s="30">
        <v>7.0000000000000007E-2</v>
      </c>
      <c r="J115" s="28">
        <f>_xll.PTreeNodeValue(treeCalc_1!$F$2,58)</f>
        <v>464.74613008201857</v>
      </c>
    </row>
    <row r="116" spans="7:10" ht="12.75" customHeight="1" x14ac:dyDescent="0.2">
      <c r="H116" s="38">
        <v>0.25</v>
      </c>
      <c r="I116" s="35" t="s">
        <v>212</v>
      </c>
    </row>
    <row r="117" spans="7:10" ht="12.75" customHeight="1" x14ac:dyDescent="0.2">
      <c r="H117" s="30">
        <v>1.3</v>
      </c>
      <c r="I117" s="36">
        <f>_xll.PTreeNodeValue(treeCalc_1!$F$2,57)</f>
        <v>595.37537239571475</v>
      </c>
    </row>
    <row r="118" spans="7:10" ht="12.75" customHeight="1" x14ac:dyDescent="0.2">
      <c r="I118" s="38">
        <v>0.5</v>
      </c>
      <c r="J118" s="29">
        <f>_xll.PTreeNodeProbability(treeCalc_1!$F$2,59)</f>
        <v>3.4375000000000003E-2</v>
      </c>
    </row>
    <row r="119" spans="7:10" ht="12.75" customHeight="1" x14ac:dyDescent="0.2">
      <c r="I119" s="30">
        <v>0.04</v>
      </c>
      <c r="J119" s="28">
        <f>_xll.PTreeNodeValue(treeCalc_1!$F$2,59)</f>
        <v>726.00461470941104</v>
      </c>
    </row>
    <row r="120" spans="7:10" ht="12.75" customHeight="1" x14ac:dyDescent="0.2">
      <c r="I120" s="38">
        <v>0.5</v>
      </c>
      <c r="J120" s="29">
        <f>_xll.PTreeNodeProbability(treeCalc_1!$F$2,62)</f>
        <v>2.0625000000000004E-2</v>
      </c>
    </row>
    <row r="121" spans="7:10" ht="12.75" customHeight="1" x14ac:dyDescent="0.2">
      <c r="I121" s="30">
        <v>7.0000000000000007E-2</v>
      </c>
      <c r="J121" s="28">
        <f>_xll.PTreeNodeValue(treeCalc_1!$F$2,62)</f>
        <v>-442.7055192773737</v>
      </c>
    </row>
    <row r="122" spans="7:10" ht="12.75" customHeight="1" x14ac:dyDescent="0.2">
      <c r="H122" s="38">
        <v>0.25</v>
      </c>
      <c r="I122" s="35" t="s">
        <v>212</v>
      </c>
    </row>
    <row r="123" spans="7:10" ht="12.75" customHeight="1" x14ac:dyDescent="0.2">
      <c r="H123" s="30">
        <v>1.7</v>
      </c>
      <c r="I123" s="36">
        <f>_xll.PTreeNodeValue(treeCalc_1!$F$2,61)</f>
        <v>-378.39490180490964</v>
      </c>
    </row>
    <row r="124" spans="7:10" ht="12.75" customHeight="1" x14ac:dyDescent="0.2">
      <c r="I124" s="38">
        <v>0.5</v>
      </c>
      <c r="J124" s="29">
        <f>_xll.PTreeNodeProbability(treeCalc_1!$F$2,63)</f>
        <v>2.0625000000000004E-2</v>
      </c>
    </row>
    <row r="125" spans="7:10" ht="12.75" customHeight="1" x14ac:dyDescent="0.2">
      <c r="I125" s="30">
        <v>0.04</v>
      </c>
      <c r="J125" s="28">
        <f>_xll.PTreeNodeValue(treeCalc_1!$F$2,63)</f>
        <v>-314.08428433244563</v>
      </c>
    </row>
    <row r="126" spans="7:10" ht="12.75" customHeight="1" x14ac:dyDescent="0.2">
      <c r="G126" s="38">
        <v>0.375</v>
      </c>
      <c r="H126" s="35" t="s">
        <v>21</v>
      </c>
    </row>
    <row r="127" spans="7:10" ht="12.75" customHeight="1" x14ac:dyDescent="0.2">
      <c r="G127" s="30">
        <v>1</v>
      </c>
      <c r="H127" s="36">
        <f>_xll.PTreeNodeValue(treeCalc_1!$F$2,60)</f>
        <v>-118.00384917647638</v>
      </c>
    </row>
    <row r="128" spans="7:10" ht="12.75" customHeight="1" x14ac:dyDescent="0.2">
      <c r="I128" s="38">
        <v>0.5</v>
      </c>
      <c r="J128" s="29">
        <f>_xll.PTreeNodeProbability(treeCalc_1!$F$2,65)</f>
        <v>4.1250000000000009E-2</v>
      </c>
    </row>
    <row r="129" spans="3:10" ht="12.75" customHeight="1" x14ac:dyDescent="0.2">
      <c r="I129" s="30">
        <v>7.0000000000000007E-2</v>
      </c>
      <c r="J129" s="28">
        <f>_xll.PTreeNodeValue(treeCalc_1!$F$2,65)</f>
        <v>-182.31446664894077</v>
      </c>
    </row>
    <row r="130" spans="3:10" ht="12.75" customHeight="1" x14ac:dyDescent="0.2">
      <c r="H130" s="38">
        <v>0.5</v>
      </c>
      <c r="I130" s="35" t="s">
        <v>212</v>
      </c>
    </row>
    <row r="131" spans="3:10" ht="12.75" customHeight="1" x14ac:dyDescent="0.2">
      <c r="H131" s="30">
        <v>1.5</v>
      </c>
      <c r="I131" s="36">
        <f>_xll.PTreeNodeValue(treeCalc_1!$F$2,64)</f>
        <v>-118.00384917647672</v>
      </c>
    </row>
    <row r="132" spans="3:10" ht="12.75" customHeight="1" x14ac:dyDescent="0.2">
      <c r="I132" s="38">
        <v>0.5</v>
      </c>
      <c r="J132" s="29">
        <f>_xll.PTreeNodeProbability(treeCalc_1!$F$2,66)</f>
        <v>4.1250000000000009E-2</v>
      </c>
    </row>
    <row r="133" spans="3:10" ht="12.75" customHeight="1" x14ac:dyDescent="0.2">
      <c r="I133" s="30">
        <v>0.04</v>
      </c>
      <c r="J133" s="28">
        <f>_xll.PTreeNodeValue(treeCalc_1!$F$2,66)</f>
        <v>-53.693231704012682</v>
      </c>
    </row>
    <row r="134" spans="3:10" ht="12.75" customHeight="1" x14ac:dyDescent="0.2">
      <c r="I134" s="38">
        <v>0.5</v>
      </c>
      <c r="J134" s="29">
        <f>_xll.PTreeNodeProbability(treeCalc_1!$F$2,138)</f>
        <v>2.0625000000000004E-2</v>
      </c>
    </row>
    <row r="135" spans="3:10" ht="12.75" customHeight="1" x14ac:dyDescent="0.2">
      <c r="I135" s="30">
        <v>7.0000000000000007E-2</v>
      </c>
      <c r="J135" s="28">
        <f>_xll.PTreeNodeValue(treeCalc_1!$F$2,138)</f>
        <v>78.076585979493458</v>
      </c>
    </row>
    <row r="136" spans="3:10" ht="12.75" customHeight="1" x14ac:dyDescent="0.2">
      <c r="H136" s="38">
        <v>0.25</v>
      </c>
      <c r="I136" s="35" t="s">
        <v>212</v>
      </c>
    </row>
    <row r="137" spans="3:10" ht="12.75" customHeight="1" x14ac:dyDescent="0.2">
      <c r="H137" s="30">
        <v>1.3</v>
      </c>
      <c r="I137" s="36">
        <f>_xll.PTreeNodeValue(treeCalc_1!$F$2,137)</f>
        <v>142.38720345195753</v>
      </c>
    </row>
    <row r="138" spans="3:10" ht="12.75" customHeight="1" x14ac:dyDescent="0.2">
      <c r="I138" s="38">
        <v>0.5</v>
      </c>
      <c r="J138" s="29">
        <f>_xll.PTreeNodeProbability(treeCalc_1!$F$2,139)</f>
        <v>2.0625000000000004E-2</v>
      </c>
    </row>
    <row r="139" spans="3:10" ht="12.75" customHeight="1" x14ac:dyDescent="0.2">
      <c r="I139" s="30">
        <v>0.04</v>
      </c>
      <c r="J139" s="28">
        <f>_xll.PTreeNodeValue(treeCalc_1!$F$2,139)</f>
        <v>206.69782092442159</v>
      </c>
    </row>
    <row r="140" spans="3:10" ht="12.75" customHeight="1" x14ac:dyDescent="0.2">
      <c r="E140" s="38">
        <v>0.8</v>
      </c>
      <c r="F140" s="31" t="s">
        <v>52</v>
      </c>
    </row>
    <row r="141" spans="3:10" ht="12.75" customHeight="1" x14ac:dyDescent="0.2">
      <c r="E141" s="30">
        <v>0</v>
      </c>
      <c r="F141" s="32">
        <f>_xll.PTreeNodeValue(treeCalc_1!$F$2,9)</f>
        <v>165.11375641337173</v>
      </c>
    </row>
    <row r="142" spans="3:10" ht="12.75" customHeight="1" x14ac:dyDescent="0.2">
      <c r="F142" s="33" t="b">
        <f>_xll.PTreeNodeDecision(treeCalc_1!$F$2,67)</f>
        <v>0</v>
      </c>
      <c r="G142" s="29">
        <f>_xll.PTreeNodeProbability(treeCalc_1!$F$2,67)</f>
        <v>0</v>
      </c>
    </row>
    <row r="143" spans="3:10" ht="12.75" customHeight="1" x14ac:dyDescent="0.2">
      <c r="F143" s="30">
        <v>0</v>
      </c>
      <c r="G143" s="28">
        <f>_xll.PTreeNodeValue(treeCalc_1!$F$2,67)</f>
        <v>-128.24912948069479</v>
      </c>
    </row>
    <row r="144" spans="3:10" ht="12.75" customHeight="1" x14ac:dyDescent="0.2">
      <c r="C144" s="38">
        <v>0.55000000000000004</v>
      </c>
      <c r="D144" s="31" t="s">
        <v>51</v>
      </c>
    </row>
    <row r="145" spans="2:10" ht="12.75" customHeight="1" x14ac:dyDescent="0.2">
      <c r="C145" s="30">
        <v>0.92</v>
      </c>
      <c r="D145" s="32">
        <f>_xll.PTreeNodeValue(treeCalc_1!$F$2,4)</f>
        <v>427.61766414989165</v>
      </c>
    </row>
    <row r="146" spans="2:10" ht="12.75" customHeight="1" x14ac:dyDescent="0.2">
      <c r="D146" s="33" t="b">
        <f>_xll.PTreeNodeDecision(treeCalc_1!$F$2,7)</f>
        <v>0</v>
      </c>
      <c r="E146" s="31" t="s">
        <v>52</v>
      </c>
    </row>
    <row r="147" spans="2:10" ht="12.75" customHeight="1" x14ac:dyDescent="0.2">
      <c r="D147" s="30">
        <v>0</v>
      </c>
      <c r="E147" s="32">
        <f>_xll.PTreeNodeValue(treeCalc_1!$F$2,7)</f>
        <v>-19.433962264150942</v>
      </c>
    </row>
    <row r="148" spans="2:10" ht="12.75" customHeight="1" x14ac:dyDescent="0.2">
      <c r="E148" s="33" t="b">
        <f>_xll.PTreeNodeDecision(treeCalc_1!$F$2,69)</f>
        <v>1</v>
      </c>
      <c r="F148" s="29">
        <f>_xll.PTreeNodeProbability(treeCalc_1!$F$2,69)</f>
        <v>0</v>
      </c>
    </row>
    <row r="149" spans="2:10" ht="12.75" customHeight="1" x14ac:dyDescent="0.2">
      <c r="E149" s="30">
        <v>0</v>
      </c>
      <c r="F149" s="28">
        <f>_xll.PTreeNodeValue(treeCalc_1!$F$2,69)</f>
        <v>-19.433962264150942</v>
      </c>
    </row>
    <row r="150" spans="2:10" ht="12.75" customHeight="1" x14ac:dyDescent="0.2">
      <c r="B150" s="33" t="b">
        <f>_xll.PTreeNodeDecision(treeCalc_1!$F$2,2)</f>
        <v>1</v>
      </c>
      <c r="C150" s="35" t="s">
        <v>20</v>
      </c>
    </row>
    <row r="151" spans="2:10" ht="12.75" customHeight="1" x14ac:dyDescent="0.2">
      <c r="B151" s="30">
        <v>1</v>
      </c>
      <c r="C151" s="36">
        <f>_xll.PTreeNodeValue(treeCalc_1!$F$2,2)</f>
        <v>278.36036996727938</v>
      </c>
    </row>
    <row r="152" spans="2:10" ht="12.75" customHeight="1" x14ac:dyDescent="0.2">
      <c r="I152" s="38">
        <v>0.5</v>
      </c>
      <c r="J152" s="29">
        <f>_xll.PTreeNodeProbability(treeCalc_1!$F$2,74)</f>
        <v>1.1250000000000001E-2</v>
      </c>
    </row>
    <row r="153" spans="2:10" ht="12.75" customHeight="1" x14ac:dyDescent="0.2">
      <c r="I153" s="30">
        <v>7.0000000000000007E-2</v>
      </c>
      <c r="J153" s="28">
        <f>_xll.PTreeNodeValue(treeCalc_1!$F$2,74)</f>
        <v>551.79241806636855</v>
      </c>
    </row>
    <row r="154" spans="2:10" ht="12.75" customHeight="1" x14ac:dyDescent="0.2">
      <c r="H154" s="38">
        <v>0.25</v>
      </c>
      <c r="I154" s="35" t="s">
        <v>212</v>
      </c>
    </row>
    <row r="155" spans="2:10" ht="12.75" customHeight="1" x14ac:dyDescent="0.2">
      <c r="H155" s="30">
        <v>1.7</v>
      </c>
      <c r="I155" s="36">
        <f>_xll.PTreeNodeValue(treeCalc_1!$F$2,73)</f>
        <v>732.2794062370009</v>
      </c>
    </row>
    <row r="156" spans="2:10" ht="12.75" customHeight="1" x14ac:dyDescent="0.2">
      <c r="I156" s="38">
        <v>0.5</v>
      </c>
      <c r="J156" s="29">
        <f>_xll.PTreeNodeProbability(treeCalc_1!$F$2,75)</f>
        <v>1.1250000000000001E-2</v>
      </c>
    </row>
    <row r="157" spans="2:10" ht="12.75" customHeight="1" x14ac:dyDescent="0.2">
      <c r="I157" s="30">
        <v>0.04</v>
      </c>
      <c r="J157" s="28">
        <f>_xll.PTreeNodeValue(treeCalc_1!$F$2,75)</f>
        <v>912.76639440763324</v>
      </c>
    </row>
    <row r="158" spans="2:10" ht="12.75" customHeight="1" x14ac:dyDescent="0.2">
      <c r="G158" s="38">
        <v>1</v>
      </c>
      <c r="H158" s="35" t="s">
        <v>21</v>
      </c>
    </row>
    <row r="159" spans="2:10" ht="12.75" customHeight="1" x14ac:dyDescent="0.2">
      <c r="G159" s="30">
        <v>3</v>
      </c>
      <c r="H159" s="36">
        <f>_xll.PTreeNodeValue(treeCalc_1!$F$2,72)</f>
        <v>992.67045886543406</v>
      </c>
    </row>
    <row r="160" spans="2:10" ht="12.75" customHeight="1" x14ac:dyDescent="0.2">
      <c r="I160" s="38">
        <v>0.5</v>
      </c>
      <c r="J160" s="29">
        <f>_xll.PTreeNodeProbability(treeCalc_1!$F$2,77)</f>
        <v>2.2500000000000003E-2</v>
      </c>
    </row>
    <row r="161" spans="6:10" ht="12.75" customHeight="1" x14ac:dyDescent="0.2">
      <c r="I161" s="30">
        <v>7.0000000000000007E-2</v>
      </c>
      <c r="J161" s="28">
        <f>_xll.PTreeNodeValue(treeCalc_1!$F$2,77)</f>
        <v>812.18347069480137</v>
      </c>
    </row>
    <row r="162" spans="6:10" ht="12.75" customHeight="1" x14ac:dyDescent="0.2">
      <c r="H162" s="38">
        <v>0.5</v>
      </c>
      <c r="I162" s="35" t="s">
        <v>212</v>
      </c>
    </row>
    <row r="163" spans="6:10" ht="12.75" customHeight="1" x14ac:dyDescent="0.2">
      <c r="H163" s="30">
        <v>1.5</v>
      </c>
      <c r="I163" s="36">
        <f>_xll.PTreeNodeValue(treeCalc_1!$F$2,76)</f>
        <v>992.67045886543383</v>
      </c>
    </row>
    <row r="164" spans="6:10" ht="12.75" customHeight="1" x14ac:dyDescent="0.2">
      <c r="I164" s="38">
        <v>0.5</v>
      </c>
      <c r="J164" s="29">
        <f>_xll.PTreeNodeProbability(treeCalc_1!$F$2,78)</f>
        <v>2.2500000000000003E-2</v>
      </c>
    </row>
    <row r="165" spans="6:10" ht="12.75" customHeight="1" x14ac:dyDescent="0.2">
      <c r="I165" s="30">
        <v>0.04</v>
      </c>
      <c r="J165" s="28">
        <f>_xll.PTreeNodeValue(treeCalc_1!$F$2,78)</f>
        <v>1173.1574470360663</v>
      </c>
    </row>
    <row r="166" spans="6:10" ht="12.75" customHeight="1" x14ac:dyDescent="0.2">
      <c r="I166" s="38">
        <v>0.5</v>
      </c>
      <c r="J166" s="29">
        <f>_xll.PTreeNodeProbability(treeCalc_1!$F$2,80)</f>
        <v>1.1250000000000001E-2</v>
      </c>
    </row>
    <row r="167" spans="6:10" ht="12.75" customHeight="1" x14ac:dyDescent="0.2">
      <c r="I167" s="30">
        <v>7.0000000000000007E-2</v>
      </c>
      <c r="J167" s="28">
        <f>_xll.PTreeNodeValue(treeCalc_1!$F$2,80)</f>
        <v>1072.5745233232353</v>
      </c>
    </row>
    <row r="168" spans="6:10" ht="12.75" customHeight="1" x14ac:dyDescent="0.2">
      <c r="H168" s="38">
        <v>0.25</v>
      </c>
      <c r="I168" s="35" t="s">
        <v>212</v>
      </c>
    </row>
    <row r="169" spans="6:10" ht="12.75" customHeight="1" x14ac:dyDescent="0.2">
      <c r="H169" s="30">
        <v>1.3</v>
      </c>
      <c r="I169" s="36">
        <f>_xll.PTreeNodeValue(treeCalc_1!$F$2,79)</f>
        <v>1253.0615114938678</v>
      </c>
    </row>
    <row r="170" spans="6:10" ht="12.75" customHeight="1" x14ac:dyDescent="0.2">
      <c r="I170" s="38">
        <v>0.5</v>
      </c>
      <c r="J170" s="29">
        <f>_xll.PTreeNodeProbability(treeCalc_1!$F$2,81)</f>
        <v>1.1250000000000001E-2</v>
      </c>
    </row>
    <row r="171" spans="6:10" ht="12.75" customHeight="1" x14ac:dyDescent="0.2">
      <c r="I171" s="30">
        <v>0.04</v>
      </c>
      <c r="J171" s="28">
        <f>_xll.PTreeNodeValue(treeCalc_1!$F$2,81)</f>
        <v>1433.5484996645002</v>
      </c>
    </row>
    <row r="172" spans="6:10" ht="12.75" customHeight="1" x14ac:dyDescent="0.2">
      <c r="F172" s="33" t="b">
        <f>_xll.PTreeNodeDecision(treeCalc_1!$F$2,71)</f>
        <v>1</v>
      </c>
      <c r="G172" s="35" t="s">
        <v>213</v>
      </c>
    </row>
    <row r="173" spans="6:10" ht="12.75" customHeight="1" x14ac:dyDescent="0.2">
      <c r="F173" s="30">
        <v>1</v>
      </c>
      <c r="G173" s="36">
        <f>_xll.PTreeNodeValue(treeCalc_1!$F$2,71)</f>
        <v>992.67045886543406</v>
      </c>
    </row>
    <row r="174" spans="6:10" ht="12.75" customHeight="1" x14ac:dyDescent="0.2">
      <c r="I174" s="38">
        <v>0.5</v>
      </c>
      <c r="J174" s="29">
        <f>_xll.PTreeNodeProbability(treeCalc_1!$F$2,84)</f>
        <v>0</v>
      </c>
    </row>
    <row r="175" spans="6:10" ht="12.75" customHeight="1" x14ac:dyDescent="0.2">
      <c r="I175" s="30">
        <v>7.0000000000000007E-2</v>
      </c>
      <c r="J175" s="28">
        <f>_xll.PTreeNodeValue(treeCalc_1!$F$2,84)</f>
        <v>-375.81104270316206</v>
      </c>
    </row>
    <row r="176" spans="6:10" ht="12.75" customHeight="1" x14ac:dyDescent="0.2">
      <c r="H176" s="38">
        <v>0.25</v>
      </c>
      <c r="I176" s="35" t="s">
        <v>212</v>
      </c>
    </row>
    <row r="177" spans="7:10" ht="12.75" customHeight="1" x14ac:dyDescent="0.2">
      <c r="H177" s="30">
        <v>1.7</v>
      </c>
      <c r="I177" s="36">
        <f>_xll.PTreeNodeValue(treeCalc_1!$F$2,83)</f>
        <v>-261.62669639176249</v>
      </c>
    </row>
    <row r="178" spans="7:10" ht="12.75" customHeight="1" x14ac:dyDescent="0.2">
      <c r="I178" s="38">
        <v>0.5</v>
      </c>
      <c r="J178" s="29">
        <f>_xll.PTreeNodeProbability(treeCalc_1!$F$2,85)</f>
        <v>0</v>
      </c>
    </row>
    <row r="179" spans="7:10" ht="12.75" customHeight="1" x14ac:dyDescent="0.2">
      <c r="I179" s="30">
        <v>0.04</v>
      </c>
      <c r="J179" s="28">
        <f>_xll.PTreeNodeValue(treeCalc_1!$F$2,85)</f>
        <v>-147.4423500803629</v>
      </c>
    </row>
    <row r="180" spans="7:10" ht="12.75" customHeight="1" x14ac:dyDescent="0.2">
      <c r="G180" s="38">
        <v>0</v>
      </c>
      <c r="H180" s="35" t="s">
        <v>21</v>
      </c>
    </row>
    <row r="181" spans="7:10" ht="12.75" customHeight="1" x14ac:dyDescent="0.2">
      <c r="G181" s="30">
        <v>2</v>
      </c>
      <c r="H181" s="36">
        <f>_xll.PTreeNodeValue(treeCalc_1!$F$2,82)</f>
        <v>-1.2356437633284258</v>
      </c>
    </row>
    <row r="182" spans="7:10" ht="12.75" customHeight="1" x14ac:dyDescent="0.2">
      <c r="I182" s="38">
        <v>0.5</v>
      </c>
      <c r="J182" s="29">
        <f>_xll.PTreeNodeProbability(treeCalc_1!$F$2,87)</f>
        <v>0</v>
      </c>
    </row>
    <row r="183" spans="7:10" ht="12.75" customHeight="1" x14ac:dyDescent="0.2">
      <c r="I183" s="30">
        <v>7.0000000000000007E-2</v>
      </c>
      <c r="J183" s="28">
        <f>_xll.PTreeNodeValue(treeCalc_1!$F$2,87)</f>
        <v>-115.41999007472789</v>
      </c>
    </row>
    <row r="184" spans="7:10" ht="12.75" customHeight="1" x14ac:dyDescent="0.2">
      <c r="H184" s="38">
        <v>0.5</v>
      </c>
      <c r="I184" s="35" t="s">
        <v>212</v>
      </c>
    </row>
    <row r="185" spans="7:10" ht="12.75" customHeight="1" x14ac:dyDescent="0.2">
      <c r="H185" s="30">
        <v>1.5</v>
      </c>
      <c r="I185" s="36">
        <f>_xll.PTreeNodeValue(treeCalc_1!$F$2,86)</f>
        <v>-1.2356437633283335</v>
      </c>
    </row>
    <row r="186" spans="7:10" ht="12.75" customHeight="1" x14ac:dyDescent="0.2">
      <c r="I186" s="38">
        <v>0.5</v>
      </c>
      <c r="J186" s="29">
        <f>_xll.PTreeNodeProbability(treeCalc_1!$F$2,88)</f>
        <v>0</v>
      </c>
    </row>
    <row r="187" spans="7:10" ht="12.75" customHeight="1" x14ac:dyDescent="0.2">
      <c r="I187" s="30">
        <v>0.04</v>
      </c>
      <c r="J187" s="28">
        <f>_xll.PTreeNodeValue(treeCalc_1!$F$2,88)</f>
        <v>112.94870254807122</v>
      </c>
    </row>
    <row r="188" spans="7:10" ht="12.75" customHeight="1" x14ac:dyDescent="0.2">
      <c r="I188" s="38">
        <v>0.5</v>
      </c>
      <c r="J188" s="29">
        <f>_xll.PTreeNodeProbability(treeCalc_1!$F$2,90)</f>
        <v>0</v>
      </c>
    </row>
    <row r="189" spans="7:10" ht="12.75" customHeight="1" x14ac:dyDescent="0.2">
      <c r="I189" s="30">
        <v>7.0000000000000007E-2</v>
      </c>
      <c r="J189" s="28">
        <f>_xll.PTreeNodeValue(treeCalc_1!$F$2,90)</f>
        <v>144.97106255370585</v>
      </c>
    </row>
    <row r="190" spans="7:10" ht="12.75" customHeight="1" x14ac:dyDescent="0.2">
      <c r="H190" s="38">
        <v>0.25</v>
      </c>
      <c r="I190" s="35" t="s">
        <v>212</v>
      </c>
    </row>
    <row r="191" spans="7:10" ht="12.75" customHeight="1" x14ac:dyDescent="0.2">
      <c r="H191" s="30">
        <v>1.3</v>
      </c>
      <c r="I191" s="36">
        <f>_xll.PTreeNodeValue(treeCalc_1!$F$2,89)</f>
        <v>259.15540886510547</v>
      </c>
    </row>
    <row r="192" spans="7:10" ht="12.75" customHeight="1" x14ac:dyDescent="0.2">
      <c r="I192" s="38">
        <v>0.5</v>
      </c>
      <c r="J192" s="29">
        <f>_xll.PTreeNodeProbability(treeCalc_1!$F$2,91)</f>
        <v>0</v>
      </c>
    </row>
    <row r="193" spans="7:10" ht="12.75" customHeight="1" x14ac:dyDescent="0.2">
      <c r="I193" s="30">
        <v>0.04</v>
      </c>
      <c r="J193" s="28">
        <f>_xll.PTreeNodeValue(treeCalc_1!$F$2,91)</f>
        <v>373.33975517650509</v>
      </c>
    </row>
    <row r="194" spans="7:10" ht="12.75" customHeight="1" x14ac:dyDescent="0.2">
      <c r="I194" s="38">
        <v>0.5</v>
      </c>
      <c r="J194" s="29">
        <f>_xll.PTreeNodeProbability(treeCalc_1!$F$2,94)</f>
        <v>0</v>
      </c>
    </row>
    <row r="195" spans="7:10" ht="12.75" customHeight="1" x14ac:dyDescent="0.2">
      <c r="I195" s="30">
        <v>7.0000000000000007E-2</v>
      </c>
      <c r="J195" s="28">
        <f>_xll.PTreeNodeValue(treeCalc_1!$F$2,94)</f>
        <v>-712.84380889290094</v>
      </c>
    </row>
    <row r="196" spans="7:10" ht="12.75" customHeight="1" x14ac:dyDescent="0.2">
      <c r="H196" s="38">
        <v>0.25</v>
      </c>
      <c r="I196" s="35" t="s">
        <v>212</v>
      </c>
    </row>
    <row r="197" spans="7:10" ht="12.75" customHeight="1" x14ac:dyDescent="0.2">
      <c r="H197" s="30">
        <v>1.7</v>
      </c>
      <c r="I197" s="36">
        <f>_xll.PTreeNodeValue(treeCalc_1!$F$2,93)</f>
        <v>-656.39251135919699</v>
      </c>
    </row>
    <row r="198" spans="7:10" ht="12.75" customHeight="1" x14ac:dyDescent="0.2">
      <c r="I198" s="38">
        <v>0.5</v>
      </c>
      <c r="J198" s="29">
        <f>_xll.PTreeNodeProbability(treeCalc_1!$F$2,95)</f>
        <v>0</v>
      </c>
    </row>
    <row r="199" spans="7:10" ht="12.75" customHeight="1" x14ac:dyDescent="0.2">
      <c r="I199" s="30">
        <v>0.04</v>
      </c>
      <c r="J199" s="28">
        <f>_xll.PTreeNodeValue(treeCalc_1!$F$2,95)</f>
        <v>-599.94121382549304</v>
      </c>
    </row>
    <row r="200" spans="7:10" ht="12.75" customHeight="1" x14ac:dyDescent="0.2">
      <c r="G200" s="38">
        <v>0</v>
      </c>
      <c r="H200" s="35" t="s">
        <v>21</v>
      </c>
    </row>
    <row r="201" spans="7:10" ht="12.75" customHeight="1" x14ac:dyDescent="0.2">
      <c r="G201" s="30">
        <v>1</v>
      </c>
      <c r="H201" s="36">
        <f>_xll.PTreeNodeValue(treeCalc_1!$F$2,92)</f>
        <v>-396.00145873076332</v>
      </c>
    </row>
    <row r="202" spans="7:10" ht="12.75" customHeight="1" x14ac:dyDescent="0.2">
      <c r="I202" s="38">
        <v>0.5</v>
      </c>
      <c r="J202" s="29">
        <f>_xll.PTreeNodeProbability(treeCalc_1!$F$2,97)</f>
        <v>0</v>
      </c>
    </row>
    <row r="203" spans="7:10" ht="12.75" customHeight="1" x14ac:dyDescent="0.2">
      <c r="I203" s="30">
        <v>7.0000000000000007E-2</v>
      </c>
      <c r="J203" s="28">
        <f>_xll.PTreeNodeValue(treeCalc_1!$F$2,97)</f>
        <v>-452.45275626446715</v>
      </c>
    </row>
    <row r="204" spans="7:10" ht="12.75" customHeight="1" x14ac:dyDescent="0.2">
      <c r="H204" s="38">
        <v>0.5</v>
      </c>
      <c r="I204" s="35" t="s">
        <v>212</v>
      </c>
    </row>
    <row r="205" spans="7:10" ht="12.75" customHeight="1" x14ac:dyDescent="0.2">
      <c r="H205" s="30">
        <v>1.5</v>
      </c>
      <c r="I205" s="36">
        <f>_xll.PTreeNodeValue(treeCalc_1!$F$2,96)</f>
        <v>-396.00145873076332</v>
      </c>
    </row>
    <row r="206" spans="7:10" ht="12.75" customHeight="1" x14ac:dyDescent="0.2">
      <c r="I206" s="38">
        <v>0.5</v>
      </c>
      <c r="J206" s="29">
        <f>_xll.PTreeNodeProbability(treeCalc_1!$F$2,98)</f>
        <v>0</v>
      </c>
    </row>
    <row r="207" spans="7:10" ht="12.75" customHeight="1" x14ac:dyDescent="0.2">
      <c r="I207" s="30">
        <v>0.04</v>
      </c>
      <c r="J207" s="28">
        <f>_xll.PTreeNodeValue(treeCalc_1!$F$2,98)</f>
        <v>-339.55016119705948</v>
      </c>
    </row>
    <row r="208" spans="7:10" ht="12.75" customHeight="1" x14ac:dyDescent="0.2">
      <c r="I208" s="38">
        <v>0.5</v>
      </c>
      <c r="J208" s="29">
        <f>_xll.PTreeNodeProbability(treeCalc_1!$F$2,100)</f>
        <v>0</v>
      </c>
    </row>
    <row r="209" spans="4:10" ht="12.75" customHeight="1" x14ac:dyDescent="0.2">
      <c r="I209" s="30">
        <v>7.0000000000000007E-2</v>
      </c>
      <c r="J209" s="28">
        <f>_xll.PTreeNodeValue(treeCalc_1!$F$2,100)</f>
        <v>-192.06170363603346</v>
      </c>
    </row>
    <row r="210" spans="4:10" ht="12.75" customHeight="1" x14ac:dyDescent="0.2">
      <c r="H210" s="38">
        <v>0.25</v>
      </c>
      <c r="I210" s="35" t="s">
        <v>212</v>
      </c>
    </row>
    <row r="211" spans="4:10" ht="12.75" customHeight="1" x14ac:dyDescent="0.2">
      <c r="H211" s="30">
        <v>1.3</v>
      </c>
      <c r="I211" s="36">
        <f>_xll.PTreeNodeValue(treeCalc_1!$F$2,99)</f>
        <v>-135.61040610232956</v>
      </c>
    </row>
    <row r="212" spans="4:10" ht="12.75" customHeight="1" x14ac:dyDescent="0.2">
      <c r="I212" s="38">
        <v>0.5</v>
      </c>
      <c r="J212" s="29">
        <f>_xll.PTreeNodeProbability(treeCalc_1!$F$2,101)</f>
        <v>0</v>
      </c>
    </row>
    <row r="213" spans="4:10" ht="12.75" customHeight="1" x14ac:dyDescent="0.2">
      <c r="I213" s="30">
        <v>0.04</v>
      </c>
      <c r="J213" s="28">
        <f>_xll.PTreeNodeValue(treeCalc_1!$F$2,101)</f>
        <v>-79.159108568625683</v>
      </c>
    </row>
    <row r="214" spans="4:10" ht="12.75" customHeight="1" x14ac:dyDescent="0.2">
      <c r="E214" s="38">
        <v>0.2</v>
      </c>
      <c r="F214" s="31" t="s">
        <v>52</v>
      </c>
    </row>
    <row r="215" spans="4:10" ht="12.75" customHeight="1" x14ac:dyDescent="0.2">
      <c r="E215" s="30">
        <v>1</v>
      </c>
      <c r="F215" s="32">
        <f>_xll.PTreeNodeValue(treeCalc_1!$F$2,70)</f>
        <v>992.67045886543406</v>
      </c>
    </row>
    <row r="216" spans="4:10" ht="12.75" customHeight="1" x14ac:dyDescent="0.2">
      <c r="F216" s="33" t="b">
        <f>_xll.PTreeNodeDecision(treeCalc_1!$F$2,102)</f>
        <v>0</v>
      </c>
      <c r="G216" s="29">
        <f>_xll.PTreeNodeProbability(treeCalc_1!$F$2,102)</f>
        <v>0</v>
      </c>
    </row>
    <row r="217" spans="4:10" ht="12.75" customHeight="1" x14ac:dyDescent="0.2">
      <c r="F217" s="30">
        <v>0</v>
      </c>
      <c r="G217" s="28">
        <f>_xll.PTreeNodeValue(treeCalc_1!$F$2,102)</f>
        <v>-128.24912948069479</v>
      </c>
    </row>
    <row r="218" spans="4:10" ht="12.75" customHeight="1" x14ac:dyDescent="0.2">
      <c r="D218" s="33" t="b">
        <f>_xll.PTreeNodeDecision(treeCalc_1!$F$2,68)</f>
        <v>1</v>
      </c>
      <c r="E218" s="35" t="s">
        <v>205</v>
      </c>
    </row>
    <row r="219" spans="4:10" ht="12.75" customHeight="1" x14ac:dyDescent="0.2">
      <c r="D219" s="30">
        <v>1</v>
      </c>
      <c r="E219" s="36">
        <f>_xll.PTreeNodeValue(treeCalc_1!$F$2,68)</f>
        <v>95.934788188530987</v>
      </c>
    </row>
    <row r="220" spans="4:10" ht="12.75" customHeight="1" x14ac:dyDescent="0.2">
      <c r="I220" s="38">
        <v>0.5</v>
      </c>
      <c r="J220" s="29">
        <f>_xll.PTreeNodeProbability(treeCalc_1!$F$2,107)</f>
        <v>0</v>
      </c>
    </row>
    <row r="221" spans="4:10" ht="12.75" customHeight="1" x14ac:dyDescent="0.2">
      <c r="I221" s="30">
        <v>7.0000000000000007E-2</v>
      </c>
      <c r="J221" s="28">
        <f>_xll.PTreeNodeValue(treeCalc_1!$F$2,107)</f>
        <v>551.79241806636855</v>
      </c>
    </row>
    <row r="222" spans="4:10" ht="12.75" customHeight="1" x14ac:dyDescent="0.2">
      <c r="H222" s="38">
        <v>0.25</v>
      </c>
      <c r="I222" s="35" t="s">
        <v>212</v>
      </c>
    </row>
    <row r="223" spans="4:10" ht="12.75" customHeight="1" x14ac:dyDescent="0.2">
      <c r="H223" s="30">
        <v>1.7</v>
      </c>
      <c r="I223" s="36">
        <f>_xll.PTreeNodeValue(treeCalc_1!$F$2,106)</f>
        <v>732.2794062370009</v>
      </c>
    </row>
    <row r="224" spans="4:10" ht="12.75" customHeight="1" x14ac:dyDescent="0.2">
      <c r="I224" s="38">
        <v>0.5</v>
      </c>
      <c r="J224" s="29">
        <f>_xll.PTreeNodeProbability(treeCalc_1!$F$2,108)</f>
        <v>0</v>
      </c>
    </row>
    <row r="225" spans="6:10" ht="12.75" customHeight="1" x14ac:dyDescent="0.2">
      <c r="I225" s="30">
        <v>0.04</v>
      </c>
      <c r="J225" s="28">
        <f>_xll.PTreeNodeValue(treeCalc_1!$F$2,108)</f>
        <v>912.76639440763324</v>
      </c>
    </row>
    <row r="226" spans="6:10" ht="12.75" customHeight="1" x14ac:dyDescent="0.2">
      <c r="G226" s="38">
        <v>0</v>
      </c>
      <c r="H226" s="35" t="s">
        <v>21</v>
      </c>
    </row>
    <row r="227" spans="6:10" ht="12.75" customHeight="1" x14ac:dyDescent="0.2">
      <c r="G227" s="30">
        <v>3</v>
      </c>
      <c r="H227" s="36">
        <f>_xll.PTreeNodeValue(treeCalc_1!$F$2,105)</f>
        <v>992.67045886543406</v>
      </c>
    </row>
    <row r="228" spans="6:10" ht="12.75" customHeight="1" x14ac:dyDescent="0.2">
      <c r="I228" s="38">
        <v>0.5</v>
      </c>
      <c r="J228" s="29">
        <f>_xll.PTreeNodeProbability(treeCalc_1!$F$2,110)</f>
        <v>0</v>
      </c>
    </row>
    <row r="229" spans="6:10" ht="12.75" customHeight="1" x14ac:dyDescent="0.2">
      <c r="I229" s="30">
        <v>7.0000000000000007E-2</v>
      </c>
      <c r="J229" s="28">
        <f>_xll.PTreeNodeValue(treeCalc_1!$F$2,110)</f>
        <v>812.18347069480137</v>
      </c>
    </row>
    <row r="230" spans="6:10" ht="12.75" customHeight="1" x14ac:dyDescent="0.2">
      <c r="H230" s="38">
        <v>0.5</v>
      </c>
      <c r="I230" s="35" t="s">
        <v>212</v>
      </c>
    </row>
    <row r="231" spans="6:10" ht="12.75" customHeight="1" x14ac:dyDescent="0.2">
      <c r="H231" s="30">
        <v>1.5</v>
      </c>
      <c r="I231" s="36">
        <f>_xll.PTreeNodeValue(treeCalc_1!$F$2,109)</f>
        <v>992.67045886543383</v>
      </c>
    </row>
    <row r="232" spans="6:10" ht="12.75" customHeight="1" x14ac:dyDescent="0.2">
      <c r="I232" s="38">
        <v>0.5</v>
      </c>
      <c r="J232" s="29">
        <f>_xll.PTreeNodeProbability(treeCalc_1!$F$2,111)</f>
        <v>0</v>
      </c>
    </row>
    <row r="233" spans="6:10" ht="12.75" customHeight="1" x14ac:dyDescent="0.2">
      <c r="I233" s="30">
        <v>0.04</v>
      </c>
      <c r="J233" s="28">
        <f>_xll.PTreeNodeValue(treeCalc_1!$F$2,111)</f>
        <v>1173.1574470360663</v>
      </c>
    </row>
    <row r="234" spans="6:10" ht="12.75" customHeight="1" x14ac:dyDescent="0.2">
      <c r="I234" s="38">
        <v>0.5</v>
      </c>
      <c r="J234" s="29">
        <f>_xll.PTreeNodeProbability(treeCalc_1!$F$2,113)</f>
        <v>0</v>
      </c>
    </row>
    <row r="235" spans="6:10" ht="12.75" customHeight="1" x14ac:dyDescent="0.2">
      <c r="I235" s="30">
        <v>7.0000000000000007E-2</v>
      </c>
      <c r="J235" s="28">
        <f>_xll.PTreeNodeValue(treeCalc_1!$F$2,113)</f>
        <v>1072.5745233232353</v>
      </c>
    </row>
    <row r="236" spans="6:10" ht="12.75" customHeight="1" x14ac:dyDescent="0.2">
      <c r="H236" s="38">
        <v>0.25</v>
      </c>
      <c r="I236" s="35" t="s">
        <v>212</v>
      </c>
    </row>
    <row r="237" spans="6:10" ht="12.75" customHeight="1" x14ac:dyDescent="0.2">
      <c r="H237" s="30">
        <v>1.3</v>
      </c>
      <c r="I237" s="36">
        <f>_xll.PTreeNodeValue(treeCalc_1!$F$2,112)</f>
        <v>1253.0615114938678</v>
      </c>
    </row>
    <row r="238" spans="6:10" ht="12.75" customHeight="1" x14ac:dyDescent="0.2">
      <c r="I238" s="38">
        <v>0.5</v>
      </c>
      <c r="J238" s="29">
        <f>_xll.PTreeNodeProbability(treeCalc_1!$F$2,114)</f>
        <v>0</v>
      </c>
    </row>
    <row r="239" spans="6:10" ht="12.75" customHeight="1" x14ac:dyDescent="0.2">
      <c r="I239" s="30">
        <v>0.04</v>
      </c>
      <c r="J239" s="28">
        <f>_xll.PTreeNodeValue(treeCalc_1!$F$2,114)</f>
        <v>1433.5484996645002</v>
      </c>
    </row>
    <row r="240" spans="6:10" ht="12.75" customHeight="1" x14ac:dyDescent="0.2">
      <c r="F240" s="33" t="b">
        <f>_xll.PTreeNodeDecision(treeCalc_1!$F$2,104)</f>
        <v>0</v>
      </c>
      <c r="G240" s="35" t="s">
        <v>213</v>
      </c>
    </row>
    <row r="241" spans="6:10" ht="12.75" customHeight="1" x14ac:dyDescent="0.2">
      <c r="F241" s="30">
        <v>1</v>
      </c>
      <c r="G241" s="36">
        <f>_xll.PTreeNodeValue(treeCalc_1!$F$2,104)</f>
        <v>-149.27282437611652</v>
      </c>
    </row>
    <row r="242" spans="6:10" ht="12.75" customHeight="1" x14ac:dyDescent="0.2">
      <c r="I242" s="38">
        <v>0.5</v>
      </c>
      <c r="J242" s="29">
        <f>_xll.PTreeNodeProbability(treeCalc_1!$F$2,117)</f>
        <v>0</v>
      </c>
    </row>
    <row r="243" spans="6:10" ht="12.75" customHeight="1" x14ac:dyDescent="0.2">
      <c r="I243" s="30">
        <v>7.0000000000000007E-2</v>
      </c>
      <c r="J243" s="28">
        <f>_xll.PTreeNodeValue(treeCalc_1!$F$2,117)</f>
        <v>-375.81104270316206</v>
      </c>
    </row>
    <row r="244" spans="6:10" ht="12.75" customHeight="1" x14ac:dyDescent="0.2">
      <c r="H244" s="38">
        <v>0.25</v>
      </c>
      <c r="I244" s="35" t="s">
        <v>212</v>
      </c>
    </row>
    <row r="245" spans="6:10" ht="12.75" customHeight="1" x14ac:dyDescent="0.2">
      <c r="H245" s="30">
        <v>1.7</v>
      </c>
      <c r="I245" s="36">
        <f>_xll.PTreeNodeValue(treeCalc_1!$F$2,116)</f>
        <v>-261.62669639176249</v>
      </c>
    </row>
    <row r="246" spans="6:10" ht="12.75" customHeight="1" x14ac:dyDescent="0.2">
      <c r="I246" s="38">
        <v>0.5</v>
      </c>
      <c r="J246" s="29">
        <f>_xll.PTreeNodeProbability(treeCalc_1!$F$2,118)</f>
        <v>0</v>
      </c>
    </row>
    <row r="247" spans="6:10" ht="12.75" customHeight="1" x14ac:dyDescent="0.2">
      <c r="I247" s="30">
        <v>0.04</v>
      </c>
      <c r="J247" s="28">
        <f>_xll.PTreeNodeValue(treeCalc_1!$F$2,118)</f>
        <v>-147.4423500803629</v>
      </c>
    </row>
    <row r="248" spans="6:10" ht="12.75" customHeight="1" x14ac:dyDescent="0.2">
      <c r="G248" s="38">
        <v>0.625</v>
      </c>
      <c r="H248" s="35" t="s">
        <v>21</v>
      </c>
    </row>
    <row r="249" spans="6:10" ht="12.75" customHeight="1" x14ac:dyDescent="0.2">
      <c r="G249" s="30">
        <v>2</v>
      </c>
      <c r="H249" s="36">
        <f>_xll.PTreeNodeValue(treeCalc_1!$F$2,115)</f>
        <v>-1.2356437633284258</v>
      </c>
    </row>
    <row r="250" spans="6:10" ht="12.75" customHeight="1" x14ac:dyDescent="0.2">
      <c r="I250" s="38">
        <v>0.5</v>
      </c>
      <c r="J250" s="29">
        <f>_xll.PTreeNodeProbability(treeCalc_1!$F$2,120)</f>
        <v>0</v>
      </c>
    </row>
    <row r="251" spans="6:10" ht="12.75" customHeight="1" x14ac:dyDescent="0.2">
      <c r="I251" s="30">
        <v>7.0000000000000007E-2</v>
      </c>
      <c r="J251" s="28">
        <f>_xll.PTreeNodeValue(treeCalc_1!$F$2,120)</f>
        <v>-115.41999007472789</v>
      </c>
    </row>
    <row r="252" spans="6:10" ht="12.75" customHeight="1" x14ac:dyDescent="0.2">
      <c r="H252" s="38">
        <v>0.5</v>
      </c>
      <c r="I252" s="35" t="s">
        <v>212</v>
      </c>
    </row>
    <row r="253" spans="6:10" ht="12.75" customHeight="1" x14ac:dyDescent="0.2">
      <c r="H253" s="30">
        <v>1.5</v>
      </c>
      <c r="I253" s="36">
        <f>_xll.PTreeNodeValue(treeCalc_1!$F$2,119)</f>
        <v>-1.2356437633283335</v>
      </c>
    </row>
    <row r="254" spans="6:10" ht="12.75" customHeight="1" x14ac:dyDescent="0.2">
      <c r="I254" s="38">
        <v>0.5</v>
      </c>
      <c r="J254" s="29">
        <f>_xll.PTreeNodeProbability(treeCalc_1!$F$2,121)</f>
        <v>0</v>
      </c>
    </row>
    <row r="255" spans="6:10" ht="12.75" customHeight="1" x14ac:dyDescent="0.2">
      <c r="I255" s="30">
        <v>0.04</v>
      </c>
      <c r="J255" s="28">
        <f>_xll.PTreeNodeValue(treeCalc_1!$F$2,121)</f>
        <v>112.94870254807122</v>
      </c>
    </row>
    <row r="256" spans="6:10" ht="12.75" customHeight="1" x14ac:dyDescent="0.2">
      <c r="I256" s="38">
        <v>0.5</v>
      </c>
      <c r="J256" s="29">
        <f>_xll.PTreeNodeProbability(treeCalc_1!$F$2,123)</f>
        <v>0</v>
      </c>
    </row>
    <row r="257" spans="7:10" ht="12.75" customHeight="1" x14ac:dyDescent="0.2">
      <c r="I257" s="30">
        <v>7.0000000000000007E-2</v>
      </c>
      <c r="J257" s="28">
        <f>_xll.PTreeNodeValue(treeCalc_1!$F$2,123)</f>
        <v>144.97106255370585</v>
      </c>
    </row>
    <row r="258" spans="7:10" ht="12.75" customHeight="1" x14ac:dyDescent="0.2">
      <c r="H258" s="38">
        <v>0.25</v>
      </c>
      <c r="I258" s="35" t="s">
        <v>212</v>
      </c>
    </row>
    <row r="259" spans="7:10" ht="12.75" customHeight="1" x14ac:dyDescent="0.2">
      <c r="H259" s="30">
        <v>1.3</v>
      </c>
      <c r="I259" s="36">
        <f>_xll.PTreeNodeValue(treeCalc_1!$F$2,122)</f>
        <v>259.15540886510547</v>
      </c>
    </row>
    <row r="260" spans="7:10" ht="12.75" customHeight="1" x14ac:dyDescent="0.2">
      <c r="I260" s="38">
        <v>0.5</v>
      </c>
      <c r="J260" s="29">
        <f>_xll.PTreeNodeProbability(treeCalc_1!$F$2,124)</f>
        <v>0</v>
      </c>
    </row>
    <row r="261" spans="7:10" ht="12.75" customHeight="1" x14ac:dyDescent="0.2">
      <c r="I261" s="30">
        <v>0.04</v>
      </c>
      <c r="J261" s="28">
        <f>_xll.PTreeNodeValue(treeCalc_1!$F$2,124)</f>
        <v>373.33975517650509</v>
      </c>
    </row>
    <row r="262" spans="7:10" ht="12.75" customHeight="1" x14ac:dyDescent="0.2">
      <c r="I262" s="38">
        <v>0.5</v>
      </c>
      <c r="J262" s="29">
        <f>_xll.PTreeNodeProbability(treeCalc_1!$F$2,127)</f>
        <v>0</v>
      </c>
    </row>
    <row r="263" spans="7:10" ht="12.75" customHeight="1" x14ac:dyDescent="0.2">
      <c r="I263" s="30">
        <v>7.0000000000000007E-2</v>
      </c>
      <c r="J263" s="28">
        <f>_xll.PTreeNodeValue(treeCalc_1!$F$2,127)</f>
        <v>-712.84380889290094</v>
      </c>
    </row>
    <row r="264" spans="7:10" ht="12.75" customHeight="1" x14ac:dyDescent="0.2">
      <c r="H264" s="38">
        <v>0.25</v>
      </c>
      <c r="I264" s="35" t="s">
        <v>212</v>
      </c>
    </row>
    <row r="265" spans="7:10" ht="12.75" customHeight="1" x14ac:dyDescent="0.2">
      <c r="H265" s="30">
        <v>1.7</v>
      </c>
      <c r="I265" s="36">
        <f>_xll.PTreeNodeValue(treeCalc_1!$F$2,126)</f>
        <v>-656.39251135919699</v>
      </c>
    </row>
    <row r="266" spans="7:10" ht="12.75" customHeight="1" x14ac:dyDescent="0.2">
      <c r="I266" s="38">
        <v>0.5</v>
      </c>
      <c r="J266" s="29">
        <f>_xll.PTreeNodeProbability(treeCalc_1!$F$2,128)</f>
        <v>0</v>
      </c>
    </row>
    <row r="267" spans="7:10" ht="12.75" customHeight="1" x14ac:dyDescent="0.2">
      <c r="I267" s="30">
        <v>0.04</v>
      </c>
      <c r="J267" s="28">
        <f>_xll.PTreeNodeValue(treeCalc_1!$F$2,128)</f>
        <v>-599.94121382549304</v>
      </c>
    </row>
    <row r="268" spans="7:10" ht="12.75" customHeight="1" x14ac:dyDescent="0.2">
      <c r="G268" s="38">
        <v>0.375</v>
      </c>
      <c r="H268" s="35" t="s">
        <v>21</v>
      </c>
    </row>
    <row r="269" spans="7:10" ht="12.75" customHeight="1" x14ac:dyDescent="0.2">
      <c r="G269" s="30">
        <v>1</v>
      </c>
      <c r="H269" s="36">
        <f>_xll.PTreeNodeValue(treeCalc_1!$F$2,125)</f>
        <v>-396.00145873076332</v>
      </c>
    </row>
    <row r="270" spans="7:10" ht="12.75" customHeight="1" x14ac:dyDescent="0.2">
      <c r="I270" s="38">
        <v>0.5</v>
      </c>
      <c r="J270" s="29">
        <f>_xll.PTreeNodeProbability(treeCalc_1!$F$2,130)</f>
        <v>0</v>
      </c>
    </row>
    <row r="271" spans="7:10" ht="12.75" customHeight="1" x14ac:dyDescent="0.2">
      <c r="I271" s="30">
        <v>7.0000000000000007E-2</v>
      </c>
      <c r="J271" s="28">
        <f>_xll.PTreeNodeValue(treeCalc_1!$F$2,130)</f>
        <v>-452.45275626446715</v>
      </c>
    </row>
    <row r="272" spans="7:10" ht="12.75" customHeight="1" x14ac:dyDescent="0.2">
      <c r="H272" s="38">
        <v>0.5</v>
      </c>
      <c r="I272" s="35" t="s">
        <v>212</v>
      </c>
    </row>
    <row r="273" spans="3:10" ht="12.75" customHeight="1" x14ac:dyDescent="0.2">
      <c r="H273" s="30">
        <v>1.5</v>
      </c>
      <c r="I273" s="36">
        <f>_xll.PTreeNodeValue(treeCalc_1!$F$2,129)</f>
        <v>-396.00145873076332</v>
      </c>
    </row>
    <row r="274" spans="3:10" ht="12.75" customHeight="1" x14ac:dyDescent="0.2">
      <c r="I274" s="38">
        <v>0.5</v>
      </c>
      <c r="J274" s="29">
        <f>_xll.PTreeNodeProbability(treeCalc_1!$F$2,131)</f>
        <v>0</v>
      </c>
    </row>
    <row r="275" spans="3:10" ht="12.75" customHeight="1" x14ac:dyDescent="0.2">
      <c r="I275" s="30">
        <v>0.04</v>
      </c>
      <c r="J275" s="28">
        <f>_xll.PTreeNodeValue(treeCalc_1!$F$2,131)</f>
        <v>-339.55016119705948</v>
      </c>
    </row>
    <row r="276" spans="3:10" ht="12.75" customHeight="1" x14ac:dyDescent="0.2">
      <c r="I276" s="38">
        <v>0.5</v>
      </c>
      <c r="J276" s="29">
        <f>_xll.PTreeNodeProbability(treeCalc_1!$F$2,141)</f>
        <v>0</v>
      </c>
    </row>
    <row r="277" spans="3:10" ht="12.75" customHeight="1" x14ac:dyDescent="0.2">
      <c r="I277" s="30">
        <v>7.0000000000000007E-2</v>
      </c>
      <c r="J277" s="28">
        <f>_xll.PTreeNodeValue(treeCalc_1!$F$2,141)</f>
        <v>-192.06170363603346</v>
      </c>
    </row>
    <row r="278" spans="3:10" ht="12.75" customHeight="1" x14ac:dyDescent="0.2">
      <c r="H278" s="38">
        <v>0.25</v>
      </c>
      <c r="I278" s="35" t="s">
        <v>212</v>
      </c>
    </row>
    <row r="279" spans="3:10" ht="12.75" customHeight="1" x14ac:dyDescent="0.2">
      <c r="H279" s="30">
        <v>1.3</v>
      </c>
      <c r="I279" s="36">
        <f>_xll.PTreeNodeValue(treeCalc_1!$F$2,140)</f>
        <v>-135.61040610232956</v>
      </c>
    </row>
    <row r="280" spans="3:10" ht="12.75" customHeight="1" x14ac:dyDescent="0.2">
      <c r="I280" s="38">
        <v>0.5</v>
      </c>
      <c r="J280" s="29">
        <f>_xll.PTreeNodeProbability(treeCalc_1!$F$2,142)</f>
        <v>0</v>
      </c>
    </row>
    <row r="281" spans="3:10" ht="12.75" customHeight="1" x14ac:dyDescent="0.2">
      <c r="I281" s="30">
        <v>0.04</v>
      </c>
      <c r="J281" s="28">
        <f>_xll.PTreeNodeValue(treeCalc_1!$F$2,142)</f>
        <v>-79.159108568625683</v>
      </c>
    </row>
    <row r="282" spans="3:10" ht="12.75" customHeight="1" x14ac:dyDescent="0.2">
      <c r="E282" s="38">
        <v>0.8</v>
      </c>
      <c r="F282" s="31" t="s">
        <v>52</v>
      </c>
    </row>
    <row r="283" spans="3:10" ht="12.75" customHeight="1" x14ac:dyDescent="0.2">
      <c r="E283" s="30">
        <v>0</v>
      </c>
      <c r="F283" s="32">
        <f>_xll.PTreeNodeValue(treeCalc_1!$F$2,103)</f>
        <v>-128.24912948069479</v>
      </c>
    </row>
    <row r="284" spans="3:10" ht="12.75" customHeight="1" x14ac:dyDescent="0.2">
      <c r="F284" s="33" t="b">
        <f>_xll.PTreeNodeDecision(treeCalc_1!$F$2,143)</f>
        <v>1</v>
      </c>
      <c r="G284" s="29">
        <f>_xll.PTreeNodeProbability(treeCalc_1!$F$2,143)</f>
        <v>0.36000000000000004</v>
      </c>
    </row>
    <row r="285" spans="3:10" ht="12.75" customHeight="1" x14ac:dyDescent="0.2">
      <c r="F285" s="30">
        <v>0</v>
      </c>
      <c r="G285" s="28">
        <f>_xll.PTreeNodeValue(treeCalc_1!$F$2,143)</f>
        <v>-128.24912948069479</v>
      </c>
    </row>
    <row r="286" spans="3:10" ht="12.75" customHeight="1" x14ac:dyDescent="0.2">
      <c r="C286" s="38">
        <v>0.45</v>
      </c>
      <c r="D286" s="31" t="s">
        <v>51</v>
      </c>
    </row>
    <row r="287" spans="3:10" ht="12.75" customHeight="1" x14ac:dyDescent="0.2">
      <c r="C287" s="30">
        <v>0.8</v>
      </c>
      <c r="D287" s="32">
        <f>_xll.PTreeNodeValue(treeCalc_1!$F$2,5)</f>
        <v>95.934788188530987</v>
      </c>
    </row>
    <row r="288" spans="3:10" ht="12.75" customHeight="1" x14ac:dyDescent="0.2">
      <c r="D288" s="33" t="b">
        <f>_xll.PTreeNodeDecision(treeCalc_1!$F$2,144)</f>
        <v>0</v>
      </c>
      <c r="E288" s="31" t="s">
        <v>52</v>
      </c>
    </row>
    <row r="289" spans="1:6" ht="12.75" customHeight="1" x14ac:dyDescent="0.2">
      <c r="D289" s="30">
        <v>0</v>
      </c>
      <c r="E289" s="32">
        <f>_xll.PTreeNodeValue(treeCalc_1!$F$2,144)</f>
        <v>-19.433962264150942</v>
      </c>
    </row>
    <row r="290" spans="1:6" ht="12.75" customHeight="1" x14ac:dyDescent="0.2">
      <c r="E290" s="33" t="b">
        <f>_xll.PTreeNodeDecision(treeCalc_1!$F$2,145)</f>
        <v>1</v>
      </c>
      <c r="F290" s="29">
        <f>_xll.PTreeNodeProbability(treeCalc_1!$F$2,145)</f>
        <v>0</v>
      </c>
    </row>
    <row r="291" spans="1:6" ht="12.75" customHeight="1" x14ac:dyDescent="0.2">
      <c r="E291" s="30">
        <v>0</v>
      </c>
      <c r="F291" s="28">
        <f>_xll.PTreeNodeValue(treeCalc_1!$F$2,145)</f>
        <v>-19.433962264150942</v>
      </c>
    </row>
    <row r="292" spans="1:6" ht="12.75" customHeight="1" x14ac:dyDescent="0.2">
      <c r="A292" s="30"/>
      <c r="B292" s="31" t="s">
        <v>195</v>
      </c>
    </row>
    <row r="293" spans="1:6" ht="12.75" customHeight="1" x14ac:dyDescent="0.2">
      <c r="A293" s="30"/>
      <c r="B293" s="32">
        <f>_xll.PTreeNodeValue(treeCalc_1!$F$2,1)</f>
        <v>278.36036996727938</v>
      </c>
    </row>
    <row r="294" spans="1:6" ht="12.75" customHeight="1" x14ac:dyDescent="0.2">
      <c r="B294" s="33" t="b">
        <f>_xll.PTreeNodeDecision(treeCalc_1!$F$2,3)</f>
        <v>0</v>
      </c>
      <c r="C294" s="31" t="s">
        <v>51</v>
      </c>
    </row>
    <row r="295" spans="1:6" ht="12.75" customHeight="1" x14ac:dyDescent="0.2">
      <c r="B295" s="30">
        <v>0</v>
      </c>
      <c r="C295" s="32">
        <f>_xll.PTreeNodeValue(treeCalc_1!$F$2,3)</f>
        <v>0</v>
      </c>
    </row>
    <row r="296" spans="1:6" ht="12.75" customHeight="1" x14ac:dyDescent="0.2">
      <c r="C296" s="33" t="b">
        <f>_xll.PTreeNodeDecision(treeCalc_1!$F$2,133)</f>
        <v>1</v>
      </c>
      <c r="D296" s="31" t="s">
        <v>52</v>
      </c>
    </row>
    <row r="297" spans="1:6" ht="12.75" customHeight="1" x14ac:dyDescent="0.2">
      <c r="C297" s="30">
        <v>0</v>
      </c>
      <c r="D297" s="32">
        <f>_xll.PTreeNodeValue(treeCalc_1!$F$2,133)</f>
        <v>0</v>
      </c>
    </row>
    <row r="298" spans="1:6" ht="12.75" customHeight="1" x14ac:dyDescent="0.2">
      <c r="D298" s="33" t="b">
        <f>_xll.PTreeNodeDecision(treeCalc_1!$F$2,135)</f>
        <v>1</v>
      </c>
      <c r="E298" s="29">
        <f>_xll.PTreeNodeProbability(treeCalc_1!$F$2,135)</f>
        <v>0</v>
      </c>
    </row>
    <row r="299" spans="1:6" ht="12.75" customHeight="1" x14ac:dyDescent="0.2">
      <c r="D299" s="30">
        <v>0</v>
      </c>
      <c r="E299" s="28">
        <f>_xll.PTreeNodeValue(treeCalc_1!$F$2,135)</f>
        <v>0</v>
      </c>
    </row>
  </sheetData>
  <pageMargins left="0.7" right="0.7" top="0.75" bottom="0.75" header="0.3" footer="0.3"/>
  <pageSetup scale="1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AE62-C714-4EF9-92FD-8509EA425C03}">
  <dimension ref="A6:J213"/>
  <sheetViews>
    <sheetView tabSelected="1" topLeftCell="A2" workbookViewId="0">
      <selection activeCell="F135" sqref="F135"/>
    </sheetView>
  </sheetViews>
  <sheetFormatPr baseColWidth="10" defaultRowHeight="12.75" x14ac:dyDescent="0.2"/>
  <cols>
    <col min="1" max="1" width="23.7109375" customWidth="1"/>
    <col min="2" max="10" width="22.42578125" customWidth="1"/>
  </cols>
  <sheetData>
    <row r="6" spans="7:10" ht="12.75" hidden="1" customHeight="1" x14ac:dyDescent="0.2">
      <c r="I6" s="38">
        <v>0.5</v>
      </c>
      <c r="J6" s="29">
        <f>_xll.PTreeNodeProbability(treeCalc_2!$F$2,9)</f>
        <v>1.3750000000000002E-2</v>
      </c>
    </row>
    <row r="7" spans="7:10" ht="12.75" hidden="1" customHeight="1" x14ac:dyDescent="0.2">
      <c r="I7" s="30">
        <v>7.0000000000000007E-2</v>
      </c>
      <c r="J7" s="28">
        <f>_xll.PTreeNodeValue(treeCalc_2!$F$2,9)</f>
        <v>1010.0219193213368</v>
      </c>
    </row>
    <row r="8" spans="7:10" ht="12.75" hidden="1" customHeight="1" x14ac:dyDescent="0.2">
      <c r="H8" s="38">
        <v>0.25</v>
      </c>
      <c r="I8" s="35" t="s">
        <v>212</v>
      </c>
    </row>
    <row r="9" spans="7:10" ht="12.75" hidden="1" customHeight="1" x14ac:dyDescent="0.2">
      <c r="H9" s="30">
        <v>1.7</v>
      </c>
      <c r="I9" s="36">
        <f>_xll.PTreeNodeValue(treeCalc_2!$F$2,8)</f>
        <v>1217.2422424675374</v>
      </c>
    </row>
    <row r="10" spans="7:10" ht="12.75" hidden="1" customHeight="1" x14ac:dyDescent="0.2">
      <c r="I10" s="38">
        <v>0.5</v>
      </c>
      <c r="J10" s="29">
        <f>_xll.PTreeNodeProbability(treeCalc_2!$F$2,10)</f>
        <v>1.3750000000000002E-2</v>
      </c>
    </row>
    <row r="11" spans="7:10" ht="12.75" hidden="1" customHeight="1" x14ac:dyDescent="0.2">
      <c r="I11" s="30">
        <v>0.04</v>
      </c>
      <c r="J11" s="28">
        <f>_xll.PTreeNodeValue(treeCalc_2!$F$2,10)</f>
        <v>1424.4625656137378</v>
      </c>
    </row>
    <row r="12" spans="7:10" ht="12.75" hidden="1" customHeight="1" x14ac:dyDescent="0.2">
      <c r="G12" s="38">
        <v>1</v>
      </c>
      <c r="H12" s="35" t="s">
        <v>21</v>
      </c>
    </row>
    <row r="13" spans="7:10" ht="12.75" hidden="1" customHeight="1" x14ac:dyDescent="0.2">
      <c r="G13" s="30">
        <v>3</v>
      </c>
      <c r="H13" s="36">
        <f>_xll.PTreeNodeValue(treeCalc_2!$F$2,7)</f>
        <v>1477.6332950959713</v>
      </c>
    </row>
    <row r="14" spans="7:10" ht="12.75" hidden="1" customHeight="1" x14ac:dyDescent="0.2">
      <c r="I14" s="38">
        <v>0.5</v>
      </c>
      <c r="J14" s="29">
        <f>_xll.PTreeNodeProbability(treeCalc_2!$F$2,12)</f>
        <v>2.7500000000000004E-2</v>
      </c>
    </row>
    <row r="15" spans="7:10" ht="12.75" hidden="1" customHeight="1" x14ac:dyDescent="0.2">
      <c r="I15" s="30">
        <v>7.0000000000000007E-2</v>
      </c>
      <c r="J15" s="28">
        <f>_xll.PTreeNodeValue(treeCalc_2!$F$2,12)</f>
        <v>1270.4129719497707</v>
      </c>
    </row>
    <row r="16" spans="7:10" ht="12.75" hidden="1" customHeight="1" x14ac:dyDescent="0.2">
      <c r="H16" s="38">
        <v>0.5</v>
      </c>
      <c r="I16" s="35" t="s">
        <v>212</v>
      </c>
    </row>
    <row r="17" spans="6:10" ht="12.75" hidden="1" customHeight="1" x14ac:dyDescent="0.2">
      <c r="H17" s="30">
        <v>1.5</v>
      </c>
      <c r="I17" s="36">
        <f>_xll.PTreeNodeValue(treeCalc_2!$F$2,11)</f>
        <v>1477.6332950959709</v>
      </c>
    </row>
    <row r="18" spans="6:10" ht="12.75" hidden="1" customHeight="1" x14ac:dyDescent="0.2">
      <c r="I18" s="38">
        <v>0.5</v>
      </c>
      <c r="J18" s="29">
        <f>_xll.PTreeNodeProbability(treeCalc_2!$F$2,13)</f>
        <v>2.7500000000000004E-2</v>
      </c>
    </row>
    <row r="19" spans="6:10" ht="12.75" hidden="1" customHeight="1" x14ac:dyDescent="0.2">
      <c r="I19" s="30">
        <v>0.04</v>
      </c>
      <c r="J19" s="28">
        <f>_xll.PTreeNodeValue(treeCalc_2!$F$2,13)</f>
        <v>1684.8536182421713</v>
      </c>
    </row>
    <row r="20" spans="6:10" ht="12.75" hidden="1" customHeight="1" x14ac:dyDescent="0.2">
      <c r="I20" s="38">
        <v>0.5</v>
      </c>
      <c r="J20" s="29">
        <f>_xll.PTreeNodeProbability(treeCalc_2!$F$2,15)</f>
        <v>1.3750000000000002E-2</v>
      </c>
    </row>
    <row r="21" spans="6:10" ht="12.75" hidden="1" customHeight="1" x14ac:dyDescent="0.2">
      <c r="I21" s="30">
        <v>7.0000000000000007E-2</v>
      </c>
      <c r="J21" s="28">
        <f>_xll.PTreeNodeValue(treeCalc_2!$F$2,15)</f>
        <v>1530.8040245782047</v>
      </c>
    </row>
    <row r="22" spans="6:10" ht="12.75" hidden="1" customHeight="1" x14ac:dyDescent="0.2">
      <c r="H22" s="38">
        <v>0.25</v>
      </c>
      <c r="I22" s="35" t="s">
        <v>212</v>
      </c>
    </row>
    <row r="23" spans="6:10" ht="12.75" hidden="1" customHeight="1" x14ac:dyDescent="0.2">
      <c r="H23" s="30">
        <v>1.3</v>
      </c>
      <c r="I23" s="36">
        <f>_xll.PTreeNodeValue(treeCalc_2!$F$2,14)</f>
        <v>1738.0243477244053</v>
      </c>
    </row>
    <row r="24" spans="6:10" ht="12.75" hidden="1" customHeight="1" x14ac:dyDescent="0.2">
      <c r="I24" s="38">
        <v>0.5</v>
      </c>
      <c r="J24" s="29">
        <f>_xll.PTreeNodeProbability(treeCalc_2!$F$2,16)</f>
        <v>1.3750000000000002E-2</v>
      </c>
    </row>
    <row r="25" spans="6:10" ht="12.75" hidden="1" customHeight="1" x14ac:dyDescent="0.2">
      <c r="I25" s="30">
        <v>0.04</v>
      </c>
      <c r="J25" s="28">
        <f>_xll.PTreeNodeValue(treeCalc_2!$F$2,16)</f>
        <v>1945.2446708706061</v>
      </c>
    </row>
    <row r="26" spans="6:10" ht="12.75" customHeight="1" x14ac:dyDescent="0.2">
      <c r="F26" s="33" t="b">
        <f>_xll.PTreeNodeDecision(treeCalc_2!$F$2,6)</f>
        <v>1</v>
      </c>
      <c r="G26" s="35" t="s">
        <v>213</v>
      </c>
    </row>
    <row r="27" spans="6:10" ht="12.75" customHeight="1" x14ac:dyDescent="0.2">
      <c r="F27" s="30">
        <v>1</v>
      </c>
      <c r="G27" s="36">
        <f>_xll.PTreeNodeValue(treeCalc_2!$F$2,6)</f>
        <v>1477.6332950959713</v>
      </c>
    </row>
    <row r="28" spans="6:10" ht="12.75" hidden="1" customHeight="1" x14ac:dyDescent="0.2">
      <c r="I28" s="38">
        <v>0.5</v>
      </c>
      <c r="J28" s="29">
        <f>_xll.PTreeNodeProbability(treeCalc_2!$F$2,19)</f>
        <v>0</v>
      </c>
    </row>
    <row r="29" spans="6:10" ht="12.75" hidden="1" customHeight="1" x14ac:dyDescent="0.2">
      <c r="I29" s="30">
        <v>7.0000000000000007E-2</v>
      </c>
      <c r="J29" s="28">
        <f>_xll.PTreeNodeValue(treeCalc_2!$F$2,19)</f>
        <v>-56.035975174849185</v>
      </c>
    </row>
    <row r="30" spans="6:10" ht="12.75" hidden="1" customHeight="1" x14ac:dyDescent="0.2">
      <c r="H30" s="38">
        <v>0.25</v>
      </c>
      <c r="I30" s="35" t="s">
        <v>212</v>
      </c>
    </row>
    <row r="31" spans="6:10" ht="12.75" hidden="1" customHeight="1" x14ac:dyDescent="0.2">
      <c r="H31" s="30">
        <v>1.7</v>
      </c>
      <c r="I31" s="36">
        <f>_xll.PTreeNodeValue(treeCalc_2!$F$2,18)</f>
        <v>74.593267138846898</v>
      </c>
    </row>
    <row r="32" spans="6:10" ht="12.75" hidden="1" customHeight="1" x14ac:dyDescent="0.2">
      <c r="I32" s="38">
        <v>0.5</v>
      </c>
      <c r="J32" s="29">
        <f>_xll.PTreeNodeProbability(treeCalc_2!$F$2,20)</f>
        <v>0</v>
      </c>
    </row>
    <row r="33" spans="7:10" ht="12.75" hidden="1" customHeight="1" x14ac:dyDescent="0.2">
      <c r="I33" s="30">
        <v>0.04</v>
      </c>
      <c r="J33" s="28">
        <f>_xll.PTreeNodeValue(treeCalc_2!$F$2,20)</f>
        <v>205.22250945254299</v>
      </c>
    </row>
    <row r="34" spans="7:10" ht="12.75" hidden="1" customHeight="1" x14ac:dyDescent="0.2">
      <c r="G34" s="38">
        <v>0</v>
      </c>
      <c r="H34" s="35" t="s">
        <v>21</v>
      </c>
    </row>
    <row r="35" spans="7:10" ht="12.75" hidden="1" customHeight="1" x14ac:dyDescent="0.2">
      <c r="G35" s="30">
        <v>2</v>
      </c>
      <c r="H35" s="36">
        <f>_xll.PTreeNodeValue(treeCalc_2!$F$2,17)</f>
        <v>334.98431976728062</v>
      </c>
    </row>
    <row r="36" spans="7:10" ht="12.75" hidden="1" customHeight="1" x14ac:dyDescent="0.2">
      <c r="I36" s="38">
        <v>0.5</v>
      </c>
      <c r="J36" s="29">
        <f>_xll.PTreeNodeProbability(treeCalc_2!$F$2,22)</f>
        <v>0</v>
      </c>
    </row>
    <row r="37" spans="7:10" ht="12.75" hidden="1" customHeight="1" x14ac:dyDescent="0.2">
      <c r="I37" s="30">
        <v>7.0000000000000007E-2</v>
      </c>
      <c r="J37" s="28">
        <f>_xll.PTreeNodeValue(treeCalc_2!$F$2,22)</f>
        <v>204.3550774535843</v>
      </c>
    </row>
    <row r="38" spans="7:10" ht="12.75" hidden="1" customHeight="1" x14ac:dyDescent="0.2">
      <c r="H38" s="38">
        <v>0.5</v>
      </c>
      <c r="I38" s="35" t="s">
        <v>212</v>
      </c>
    </row>
    <row r="39" spans="7:10" ht="12.75" hidden="1" customHeight="1" x14ac:dyDescent="0.2">
      <c r="H39" s="30">
        <v>1.5</v>
      </c>
      <c r="I39" s="36">
        <f>_xll.PTreeNodeValue(treeCalc_2!$F$2,21)</f>
        <v>334.9843197672804</v>
      </c>
    </row>
    <row r="40" spans="7:10" ht="12.75" hidden="1" customHeight="1" x14ac:dyDescent="0.2">
      <c r="I40" s="38">
        <v>0.5</v>
      </c>
      <c r="J40" s="29">
        <f>_xll.PTreeNodeProbability(treeCalc_2!$F$2,23)</f>
        <v>0</v>
      </c>
    </row>
    <row r="41" spans="7:10" ht="12.75" hidden="1" customHeight="1" x14ac:dyDescent="0.2">
      <c r="I41" s="30">
        <v>0.04</v>
      </c>
      <c r="J41" s="28">
        <f>_xll.PTreeNodeValue(treeCalc_2!$F$2,23)</f>
        <v>465.61356208097646</v>
      </c>
    </row>
    <row r="42" spans="7:10" ht="12.75" hidden="1" customHeight="1" x14ac:dyDescent="0.2">
      <c r="I42" s="38">
        <v>0.5</v>
      </c>
      <c r="J42" s="29">
        <f>_xll.PTreeNodeProbability(treeCalc_2!$F$2,25)</f>
        <v>0</v>
      </c>
    </row>
    <row r="43" spans="7:10" ht="12.75" hidden="1" customHeight="1" x14ac:dyDescent="0.2">
      <c r="I43" s="30">
        <v>7.0000000000000007E-2</v>
      </c>
      <c r="J43" s="28">
        <f>_xll.PTreeNodeValue(treeCalc_2!$F$2,25)</f>
        <v>464.74613008201857</v>
      </c>
    </row>
    <row r="44" spans="7:10" ht="12.75" hidden="1" customHeight="1" x14ac:dyDescent="0.2">
      <c r="H44" s="38">
        <v>0.25</v>
      </c>
      <c r="I44" s="35" t="s">
        <v>212</v>
      </c>
    </row>
    <row r="45" spans="7:10" ht="12.75" hidden="1" customHeight="1" x14ac:dyDescent="0.2">
      <c r="H45" s="30">
        <v>1.3</v>
      </c>
      <c r="I45" s="36">
        <f>_xll.PTreeNodeValue(treeCalc_2!$F$2,24)</f>
        <v>595.37537239571475</v>
      </c>
    </row>
    <row r="46" spans="7:10" ht="12.75" hidden="1" customHeight="1" x14ac:dyDescent="0.2">
      <c r="I46" s="38">
        <v>0.5</v>
      </c>
      <c r="J46" s="29">
        <f>_xll.PTreeNodeProbability(treeCalc_2!$F$2,26)</f>
        <v>0</v>
      </c>
    </row>
    <row r="47" spans="7:10" ht="12.75" hidden="1" customHeight="1" x14ac:dyDescent="0.2">
      <c r="I47" s="30">
        <v>0.04</v>
      </c>
      <c r="J47" s="28">
        <f>_xll.PTreeNodeValue(treeCalc_2!$F$2,26)</f>
        <v>726.00461470941104</v>
      </c>
    </row>
    <row r="48" spans="7:10" ht="12.75" hidden="1" customHeight="1" x14ac:dyDescent="0.2">
      <c r="I48" s="38">
        <v>0.5</v>
      </c>
      <c r="J48" s="29">
        <f>_xll.PTreeNodeProbability(treeCalc_2!$F$2,29)</f>
        <v>0</v>
      </c>
    </row>
    <row r="49" spans="7:10" ht="12.75" hidden="1" customHeight="1" x14ac:dyDescent="0.2">
      <c r="I49" s="30">
        <v>7.0000000000000007E-2</v>
      </c>
      <c r="J49" s="28">
        <f>_xll.PTreeNodeValue(treeCalc_2!$F$2,29)</f>
        <v>-442.7055192773737</v>
      </c>
    </row>
    <row r="50" spans="7:10" ht="12.75" hidden="1" customHeight="1" x14ac:dyDescent="0.2">
      <c r="H50" s="38">
        <v>0.25</v>
      </c>
      <c r="I50" s="35" t="s">
        <v>212</v>
      </c>
    </row>
    <row r="51" spans="7:10" ht="12.75" hidden="1" customHeight="1" x14ac:dyDescent="0.2">
      <c r="H51" s="30">
        <v>1.7</v>
      </c>
      <c r="I51" s="36">
        <f>_xll.PTreeNodeValue(treeCalc_2!$F$2,28)</f>
        <v>-378.39490180490964</v>
      </c>
    </row>
    <row r="52" spans="7:10" ht="12.75" hidden="1" customHeight="1" x14ac:dyDescent="0.2">
      <c r="I52" s="38">
        <v>0.5</v>
      </c>
      <c r="J52" s="29">
        <f>_xll.PTreeNodeProbability(treeCalc_2!$F$2,30)</f>
        <v>0</v>
      </c>
    </row>
    <row r="53" spans="7:10" ht="12.75" hidden="1" customHeight="1" x14ac:dyDescent="0.2">
      <c r="I53" s="30">
        <v>0.04</v>
      </c>
      <c r="J53" s="28">
        <f>_xll.PTreeNodeValue(treeCalc_2!$F$2,30)</f>
        <v>-314.08428433244563</v>
      </c>
    </row>
    <row r="54" spans="7:10" ht="12.75" hidden="1" customHeight="1" x14ac:dyDescent="0.2">
      <c r="G54" s="38">
        <v>0</v>
      </c>
      <c r="H54" s="35" t="s">
        <v>21</v>
      </c>
    </row>
    <row r="55" spans="7:10" ht="12.75" hidden="1" customHeight="1" x14ac:dyDescent="0.2">
      <c r="G55" s="30">
        <v>1</v>
      </c>
      <c r="H55" s="36">
        <f>_xll.PTreeNodeValue(treeCalc_2!$F$2,27)</f>
        <v>-118.00384917647638</v>
      </c>
    </row>
    <row r="56" spans="7:10" ht="12.75" hidden="1" customHeight="1" x14ac:dyDescent="0.2">
      <c r="I56" s="38">
        <v>0.5</v>
      </c>
      <c r="J56" s="29">
        <f>_xll.PTreeNodeProbability(treeCalc_2!$F$2,32)</f>
        <v>0</v>
      </c>
    </row>
    <row r="57" spans="7:10" ht="12.75" hidden="1" customHeight="1" x14ac:dyDescent="0.2">
      <c r="I57" s="30">
        <v>7.0000000000000007E-2</v>
      </c>
      <c r="J57" s="28">
        <f>_xll.PTreeNodeValue(treeCalc_2!$F$2,32)</f>
        <v>-182.31446664894077</v>
      </c>
    </row>
    <row r="58" spans="7:10" ht="12.75" hidden="1" customHeight="1" x14ac:dyDescent="0.2">
      <c r="H58" s="38">
        <v>0.5</v>
      </c>
      <c r="I58" s="35" t="s">
        <v>212</v>
      </c>
    </row>
    <row r="59" spans="7:10" ht="12.75" hidden="1" customHeight="1" x14ac:dyDescent="0.2">
      <c r="H59" s="30">
        <v>1.5</v>
      </c>
      <c r="I59" s="36">
        <f>_xll.PTreeNodeValue(treeCalc_2!$F$2,31)</f>
        <v>-118.00384917647672</v>
      </c>
    </row>
    <row r="60" spans="7:10" ht="12.75" hidden="1" customHeight="1" x14ac:dyDescent="0.2">
      <c r="I60" s="38">
        <v>0.5</v>
      </c>
      <c r="J60" s="29">
        <f>_xll.PTreeNodeProbability(treeCalc_2!$F$2,33)</f>
        <v>0</v>
      </c>
    </row>
    <row r="61" spans="7:10" ht="12.75" hidden="1" customHeight="1" x14ac:dyDescent="0.2">
      <c r="I61" s="30">
        <v>0.04</v>
      </c>
      <c r="J61" s="28">
        <f>_xll.PTreeNodeValue(treeCalc_2!$F$2,33)</f>
        <v>-53.693231704012682</v>
      </c>
    </row>
    <row r="62" spans="7:10" ht="12.75" hidden="1" customHeight="1" x14ac:dyDescent="0.2">
      <c r="I62" s="38">
        <v>0.5</v>
      </c>
      <c r="J62" s="29">
        <f>_xll.PTreeNodeProbability(treeCalc_2!$F$2,35)</f>
        <v>0</v>
      </c>
    </row>
    <row r="63" spans="7:10" ht="12.75" hidden="1" customHeight="1" x14ac:dyDescent="0.2">
      <c r="I63" s="30">
        <v>7.0000000000000007E-2</v>
      </c>
      <c r="J63" s="28">
        <f>_xll.PTreeNodeValue(treeCalc_2!$F$2,35)</f>
        <v>78.076585979493458</v>
      </c>
    </row>
    <row r="64" spans="7:10" ht="12.75" hidden="1" customHeight="1" x14ac:dyDescent="0.2">
      <c r="H64" s="38">
        <v>0.25</v>
      </c>
      <c r="I64" s="35" t="s">
        <v>212</v>
      </c>
    </row>
    <row r="65" spans="4:10" ht="12.75" hidden="1" customHeight="1" x14ac:dyDescent="0.2">
      <c r="H65" s="30">
        <v>1.3</v>
      </c>
      <c r="I65" s="36">
        <f>_xll.PTreeNodeValue(treeCalc_2!$F$2,34)</f>
        <v>142.38720345195753</v>
      </c>
    </row>
    <row r="66" spans="4:10" ht="12.75" hidden="1" customHeight="1" x14ac:dyDescent="0.2">
      <c r="I66" s="38">
        <v>0.5</v>
      </c>
      <c r="J66" s="29">
        <f>_xll.PTreeNodeProbability(treeCalc_2!$F$2,36)</f>
        <v>0</v>
      </c>
    </row>
    <row r="67" spans="4:10" ht="12.75" hidden="1" customHeight="1" x14ac:dyDescent="0.2">
      <c r="I67" s="30">
        <v>0.04</v>
      </c>
      <c r="J67" s="28">
        <f>_xll.PTreeNodeValue(treeCalc_2!$F$2,36)</f>
        <v>206.69782092442159</v>
      </c>
    </row>
    <row r="68" spans="4:10" ht="12.75" customHeight="1" x14ac:dyDescent="0.2">
      <c r="E68" s="38">
        <v>0.2</v>
      </c>
      <c r="F68" s="31" t="s">
        <v>52</v>
      </c>
    </row>
    <row r="69" spans="4:10" ht="12.75" customHeight="1" x14ac:dyDescent="0.2">
      <c r="E69" s="30">
        <v>1</v>
      </c>
      <c r="F69" s="32">
        <f>_xll.PTreeNodeValue(treeCalc_2!$F$2,5)</f>
        <v>1477.6332950959713</v>
      </c>
    </row>
    <row r="70" spans="4:10" ht="12.75" customHeight="1" x14ac:dyDescent="0.2">
      <c r="D70" s="33" t="b">
        <f>_xll.PTreeNodeDecision(treeCalc_2!$F$2,4)</f>
        <v>1</v>
      </c>
      <c r="E70" s="35" t="s">
        <v>205</v>
      </c>
    </row>
    <row r="71" spans="4:10" ht="12.75" customHeight="1" x14ac:dyDescent="0.2">
      <c r="D71" s="30">
        <v>1</v>
      </c>
      <c r="E71" s="36">
        <f>_xll.PTreeNodeValue(treeCalc_2!$F$2,4)</f>
        <v>427.61766414989165</v>
      </c>
    </row>
    <row r="72" spans="4:10" ht="12.75" hidden="1" customHeight="1" x14ac:dyDescent="0.2">
      <c r="I72" s="38">
        <v>0.5</v>
      </c>
      <c r="J72" s="29">
        <f>_xll.PTreeNodeProbability(treeCalc_2!$F$2,42)</f>
        <v>0</v>
      </c>
    </row>
    <row r="73" spans="4:10" ht="12.75" hidden="1" customHeight="1" x14ac:dyDescent="0.2">
      <c r="I73" s="30">
        <v>7.0000000000000007E-2</v>
      </c>
      <c r="J73" s="28">
        <f>_xll.PTreeNodeValue(treeCalc_2!$F$2,42)</f>
        <v>1010.0219193213368</v>
      </c>
    </row>
    <row r="74" spans="4:10" ht="12.75" hidden="1" customHeight="1" x14ac:dyDescent="0.2">
      <c r="H74" s="38">
        <v>0.25</v>
      </c>
      <c r="I74" s="35" t="s">
        <v>212</v>
      </c>
    </row>
    <row r="75" spans="4:10" ht="12.75" hidden="1" customHeight="1" x14ac:dyDescent="0.2">
      <c r="H75" s="30">
        <v>1.7</v>
      </c>
      <c r="I75" s="36">
        <f>_xll.PTreeNodeValue(treeCalc_2!$F$2,41)</f>
        <v>1217.2422424675374</v>
      </c>
    </row>
    <row r="76" spans="4:10" ht="12.75" hidden="1" customHeight="1" x14ac:dyDescent="0.2">
      <c r="I76" s="38">
        <v>0.5</v>
      </c>
      <c r="J76" s="29">
        <f>_xll.PTreeNodeProbability(treeCalc_2!$F$2,43)</f>
        <v>0</v>
      </c>
    </row>
    <row r="77" spans="4:10" ht="12.75" hidden="1" customHeight="1" x14ac:dyDescent="0.2">
      <c r="I77" s="30">
        <v>0.04</v>
      </c>
      <c r="J77" s="28">
        <f>_xll.PTreeNodeValue(treeCalc_2!$F$2,43)</f>
        <v>1424.4625656137378</v>
      </c>
    </row>
    <row r="78" spans="4:10" ht="12.75" hidden="1" customHeight="1" x14ac:dyDescent="0.2">
      <c r="G78" s="38">
        <v>0</v>
      </c>
      <c r="H78" s="35" t="s">
        <v>21</v>
      </c>
    </row>
    <row r="79" spans="4:10" ht="12.75" hidden="1" customHeight="1" x14ac:dyDescent="0.2">
      <c r="G79" s="30">
        <v>3</v>
      </c>
      <c r="H79" s="36">
        <f>_xll.PTreeNodeValue(treeCalc_2!$F$2,40)</f>
        <v>1477.6332950959713</v>
      </c>
    </row>
    <row r="80" spans="4:10" ht="12.75" hidden="1" customHeight="1" x14ac:dyDescent="0.2">
      <c r="I80" s="38">
        <v>0.5</v>
      </c>
      <c r="J80" s="29">
        <f>_xll.PTreeNodeProbability(treeCalc_2!$F$2,45)</f>
        <v>0</v>
      </c>
    </row>
    <row r="81" spans="6:10" ht="12.75" hidden="1" customHeight="1" x14ac:dyDescent="0.2">
      <c r="I81" s="30">
        <v>7.0000000000000007E-2</v>
      </c>
      <c r="J81" s="28">
        <f>_xll.PTreeNodeValue(treeCalc_2!$F$2,45)</f>
        <v>1270.4129719497707</v>
      </c>
    </row>
    <row r="82" spans="6:10" ht="12.75" hidden="1" customHeight="1" x14ac:dyDescent="0.2">
      <c r="H82" s="38">
        <v>0.5</v>
      </c>
      <c r="I82" s="35" t="s">
        <v>212</v>
      </c>
    </row>
    <row r="83" spans="6:10" ht="12.75" hidden="1" customHeight="1" x14ac:dyDescent="0.2">
      <c r="H83" s="30">
        <v>1.5</v>
      </c>
      <c r="I83" s="36">
        <f>_xll.PTreeNodeValue(treeCalc_2!$F$2,44)</f>
        <v>1477.6332950959709</v>
      </c>
    </row>
    <row r="84" spans="6:10" ht="12.75" hidden="1" customHeight="1" x14ac:dyDescent="0.2">
      <c r="I84" s="38">
        <v>0.5</v>
      </c>
      <c r="J84" s="29">
        <f>_xll.PTreeNodeProbability(treeCalc_2!$F$2,46)</f>
        <v>0</v>
      </c>
    </row>
    <row r="85" spans="6:10" ht="12.75" hidden="1" customHeight="1" x14ac:dyDescent="0.2">
      <c r="I85" s="30">
        <v>0.04</v>
      </c>
      <c r="J85" s="28">
        <f>_xll.PTreeNodeValue(treeCalc_2!$F$2,46)</f>
        <v>1684.8536182421713</v>
      </c>
    </row>
    <row r="86" spans="6:10" ht="12.75" hidden="1" customHeight="1" x14ac:dyDescent="0.2">
      <c r="I86" s="38">
        <v>0.5</v>
      </c>
      <c r="J86" s="29">
        <f>_xll.PTreeNodeProbability(treeCalc_2!$F$2,48)</f>
        <v>0</v>
      </c>
    </row>
    <row r="87" spans="6:10" ht="12.75" hidden="1" customHeight="1" x14ac:dyDescent="0.2">
      <c r="I87" s="30">
        <v>7.0000000000000007E-2</v>
      </c>
      <c r="J87" s="28">
        <f>_xll.PTreeNodeValue(treeCalc_2!$F$2,48)</f>
        <v>1530.8040245782047</v>
      </c>
    </row>
    <row r="88" spans="6:10" ht="12.75" hidden="1" customHeight="1" x14ac:dyDescent="0.2">
      <c r="H88" s="38">
        <v>0.25</v>
      </c>
      <c r="I88" s="35" t="s">
        <v>212</v>
      </c>
    </row>
    <row r="89" spans="6:10" ht="12.75" hidden="1" customHeight="1" x14ac:dyDescent="0.2">
      <c r="H89" s="30">
        <v>1.3</v>
      </c>
      <c r="I89" s="36">
        <f>_xll.PTreeNodeValue(treeCalc_2!$F$2,47)</f>
        <v>1738.0243477244053</v>
      </c>
    </row>
    <row r="90" spans="6:10" ht="12.75" hidden="1" customHeight="1" x14ac:dyDescent="0.2">
      <c r="I90" s="38">
        <v>0.5</v>
      </c>
      <c r="J90" s="29">
        <f>_xll.PTreeNodeProbability(treeCalc_2!$F$2,49)</f>
        <v>0</v>
      </c>
    </row>
    <row r="91" spans="6:10" ht="12.75" hidden="1" customHeight="1" x14ac:dyDescent="0.2">
      <c r="I91" s="30">
        <v>0.04</v>
      </c>
      <c r="J91" s="28">
        <f>_xll.PTreeNodeValue(treeCalc_2!$F$2,49)</f>
        <v>1945.2446708706061</v>
      </c>
    </row>
    <row r="92" spans="6:10" ht="12.75" customHeight="1" x14ac:dyDescent="0.2">
      <c r="F92" s="33" t="b">
        <f>_xll.PTreeNodeDecision(treeCalc_2!$F$2,39)</f>
        <v>1</v>
      </c>
      <c r="G92" s="35" t="s">
        <v>213</v>
      </c>
    </row>
    <row r="93" spans="6:10" ht="12.75" customHeight="1" x14ac:dyDescent="0.2">
      <c r="F93" s="30">
        <v>1</v>
      </c>
      <c r="G93" s="36">
        <f>_xll.PTreeNodeValue(treeCalc_2!$F$2,39)</f>
        <v>165.11375641337173</v>
      </c>
    </row>
    <row r="94" spans="6:10" ht="12.75" hidden="1" customHeight="1" x14ac:dyDescent="0.2">
      <c r="I94" s="38">
        <v>0.5</v>
      </c>
      <c r="J94" s="29">
        <f>_xll.PTreeNodeProbability(treeCalc_2!$F$2,52)</f>
        <v>3.4375000000000003E-2</v>
      </c>
    </row>
    <row r="95" spans="6:10" ht="12.75" hidden="1" customHeight="1" x14ac:dyDescent="0.2">
      <c r="I95" s="30">
        <v>7.0000000000000007E-2</v>
      </c>
      <c r="J95" s="28">
        <f>_xll.PTreeNodeValue(treeCalc_2!$F$2,52)</f>
        <v>-56.035975174849185</v>
      </c>
    </row>
    <row r="96" spans="6:10" ht="12.75" hidden="1" customHeight="1" x14ac:dyDescent="0.2">
      <c r="H96" s="38">
        <v>0.25</v>
      </c>
      <c r="I96" s="35" t="s">
        <v>212</v>
      </c>
    </row>
    <row r="97" spans="7:10" ht="12.75" hidden="1" customHeight="1" x14ac:dyDescent="0.2">
      <c r="H97" s="30">
        <v>1.7</v>
      </c>
      <c r="I97" s="36">
        <f>_xll.PTreeNodeValue(treeCalc_2!$F$2,51)</f>
        <v>74.593267138846898</v>
      </c>
    </row>
    <row r="98" spans="7:10" ht="12.75" hidden="1" customHeight="1" x14ac:dyDescent="0.2">
      <c r="I98" s="38">
        <v>0.5</v>
      </c>
      <c r="J98" s="29">
        <f>_xll.PTreeNodeProbability(treeCalc_2!$F$2,53)</f>
        <v>3.4375000000000003E-2</v>
      </c>
    </row>
    <row r="99" spans="7:10" ht="12.75" hidden="1" customHeight="1" x14ac:dyDescent="0.2">
      <c r="I99" s="30">
        <v>0.04</v>
      </c>
      <c r="J99" s="28">
        <f>_xll.PTreeNodeValue(treeCalc_2!$F$2,53)</f>
        <v>205.22250945254299</v>
      </c>
    </row>
    <row r="100" spans="7:10" ht="12.75" hidden="1" customHeight="1" x14ac:dyDescent="0.2">
      <c r="G100" s="38">
        <v>0.625</v>
      </c>
      <c r="H100" s="35" t="s">
        <v>21</v>
      </c>
    </row>
    <row r="101" spans="7:10" ht="12.75" hidden="1" customHeight="1" x14ac:dyDescent="0.2">
      <c r="G101" s="30">
        <v>2</v>
      </c>
      <c r="H101" s="36">
        <f>_xll.PTreeNodeValue(treeCalc_2!$F$2,50)</f>
        <v>334.98431976728062</v>
      </c>
    </row>
    <row r="102" spans="7:10" ht="12.75" hidden="1" customHeight="1" x14ac:dyDescent="0.2">
      <c r="I102" s="38">
        <v>0.5</v>
      </c>
      <c r="J102" s="29">
        <f>_xll.PTreeNodeProbability(treeCalc_2!$F$2,55)</f>
        <v>6.8750000000000006E-2</v>
      </c>
    </row>
    <row r="103" spans="7:10" ht="12.75" hidden="1" customHeight="1" x14ac:dyDescent="0.2">
      <c r="I103" s="30">
        <v>7.0000000000000007E-2</v>
      </c>
      <c r="J103" s="28">
        <f>_xll.PTreeNodeValue(treeCalc_2!$F$2,55)</f>
        <v>204.3550774535843</v>
      </c>
    </row>
    <row r="104" spans="7:10" ht="12.75" hidden="1" customHeight="1" x14ac:dyDescent="0.2">
      <c r="H104" s="38">
        <v>0.5</v>
      </c>
      <c r="I104" s="35" t="s">
        <v>212</v>
      </c>
    </row>
    <row r="105" spans="7:10" ht="12.75" hidden="1" customHeight="1" x14ac:dyDescent="0.2">
      <c r="H105" s="30">
        <v>1.5</v>
      </c>
      <c r="I105" s="36">
        <f>_xll.PTreeNodeValue(treeCalc_2!$F$2,54)</f>
        <v>334.9843197672804</v>
      </c>
    </row>
    <row r="106" spans="7:10" ht="12.75" hidden="1" customHeight="1" x14ac:dyDescent="0.2">
      <c r="I106" s="38">
        <v>0.5</v>
      </c>
      <c r="J106" s="29">
        <f>_xll.PTreeNodeProbability(treeCalc_2!$F$2,56)</f>
        <v>6.8750000000000006E-2</v>
      </c>
    </row>
    <row r="107" spans="7:10" ht="12.75" hidden="1" customHeight="1" x14ac:dyDescent="0.2">
      <c r="I107" s="30">
        <v>0.04</v>
      </c>
      <c r="J107" s="28">
        <f>_xll.PTreeNodeValue(treeCalc_2!$F$2,56)</f>
        <v>465.61356208097646</v>
      </c>
    </row>
    <row r="108" spans="7:10" ht="12.75" hidden="1" customHeight="1" x14ac:dyDescent="0.2">
      <c r="I108" s="38">
        <v>0.5</v>
      </c>
      <c r="J108" s="29">
        <f>_xll.PTreeNodeProbability(treeCalc_2!$F$2,58)</f>
        <v>3.4375000000000003E-2</v>
      </c>
    </row>
    <row r="109" spans="7:10" ht="12.75" hidden="1" customHeight="1" x14ac:dyDescent="0.2">
      <c r="I109" s="30">
        <v>7.0000000000000007E-2</v>
      </c>
      <c r="J109" s="28">
        <f>_xll.PTreeNodeValue(treeCalc_2!$F$2,58)</f>
        <v>464.74613008201857</v>
      </c>
    </row>
    <row r="110" spans="7:10" ht="12.75" hidden="1" customHeight="1" x14ac:dyDescent="0.2">
      <c r="H110" s="38">
        <v>0.25</v>
      </c>
      <c r="I110" s="35" t="s">
        <v>212</v>
      </c>
    </row>
    <row r="111" spans="7:10" ht="12.75" hidden="1" customHeight="1" x14ac:dyDescent="0.2">
      <c r="H111" s="30">
        <v>1.3</v>
      </c>
      <c r="I111" s="36">
        <f>_xll.PTreeNodeValue(treeCalc_2!$F$2,57)</f>
        <v>595.37537239571475</v>
      </c>
    </row>
    <row r="112" spans="7:10" ht="12.75" hidden="1" customHeight="1" x14ac:dyDescent="0.2">
      <c r="I112" s="38">
        <v>0.5</v>
      </c>
      <c r="J112" s="29">
        <f>_xll.PTreeNodeProbability(treeCalc_2!$F$2,59)</f>
        <v>3.4375000000000003E-2</v>
      </c>
    </row>
    <row r="113" spans="7:10" ht="12.75" hidden="1" customHeight="1" x14ac:dyDescent="0.2">
      <c r="I113" s="30">
        <v>0.04</v>
      </c>
      <c r="J113" s="28">
        <f>_xll.PTreeNodeValue(treeCalc_2!$F$2,59)</f>
        <v>726.00461470941104</v>
      </c>
    </row>
    <row r="114" spans="7:10" ht="12.75" hidden="1" customHeight="1" x14ac:dyDescent="0.2">
      <c r="I114" s="38">
        <v>0.5</v>
      </c>
      <c r="J114" s="29">
        <f>_xll.PTreeNodeProbability(treeCalc_2!$F$2,62)</f>
        <v>2.0625000000000004E-2</v>
      </c>
    </row>
    <row r="115" spans="7:10" ht="12.75" hidden="1" customHeight="1" x14ac:dyDescent="0.2">
      <c r="I115" s="30">
        <v>7.0000000000000007E-2</v>
      </c>
      <c r="J115" s="28">
        <f>_xll.PTreeNodeValue(treeCalc_2!$F$2,62)</f>
        <v>-442.7055192773737</v>
      </c>
    </row>
    <row r="116" spans="7:10" ht="12.75" hidden="1" customHeight="1" x14ac:dyDescent="0.2">
      <c r="H116" s="38">
        <v>0.25</v>
      </c>
      <c r="I116" s="35" t="s">
        <v>212</v>
      </c>
    </row>
    <row r="117" spans="7:10" ht="12.75" hidden="1" customHeight="1" x14ac:dyDescent="0.2">
      <c r="H117" s="30">
        <v>1.7</v>
      </c>
      <c r="I117" s="36">
        <f>_xll.PTreeNodeValue(treeCalc_2!$F$2,61)</f>
        <v>-378.39490180490964</v>
      </c>
    </row>
    <row r="118" spans="7:10" ht="12.75" hidden="1" customHeight="1" x14ac:dyDescent="0.2">
      <c r="I118" s="38">
        <v>0.5</v>
      </c>
      <c r="J118" s="29">
        <f>_xll.PTreeNodeProbability(treeCalc_2!$F$2,63)</f>
        <v>2.0625000000000004E-2</v>
      </c>
    </row>
    <row r="119" spans="7:10" ht="12.75" hidden="1" customHeight="1" x14ac:dyDescent="0.2">
      <c r="I119" s="30">
        <v>0.04</v>
      </c>
      <c r="J119" s="28">
        <f>_xll.PTreeNodeValue(treeCalc_2!$F$2,63)</f>
        <v>-314.08428433244563</v>
      </c>
    </row>
    <row r="120" spans="7:10" ht="12.75" hidden="1" customHeight="1" x14ac:dyDescent="0.2">
      <c r="G120" s="38">
        <v>0.375</v>
      </c>
      <c r="H120" s="35" t="s">
        <v>21</v>
      </c>
    </row>
    <row r="121" spans="7:10" ht="12.75" hidden="1" customHeight="1" x14ac:dyDescent="0.2">
      <c r="G121" s="30">
        <v>1</v>
      </c>
      <c r="H121" s="36">
        <f>_xll.PTreeNodeValue(treeCalc_2!$F$2,60)</f>
        <v>-118.00384917647638</v>
      </c>
    </row>
    <row r="122" spans="7:10" ht="12.75" hidden="1" customHeight="1" x14ac:dyDescent="0.2">
      <c r="I122" s="38">
        <v>0.5</v>
      </c>
      <c r="J122" s="29">
        <f>_xll.PTreeNodeProbability(treeCalc_2!$F$2,65)</f>
        <v>4.1250000000000009E-2</v>
      </c>
    </row>
    <row r="123" spans="7:10" ht="12.75" hidden="1" customHeight="1" x14ac:dyDescent="0.2">
      <c r="I123" s="30">
        <v>7.0000000000000007E-2</v>
      </c>
      <c r="J123" s="28">
        <f>_xll.PTreeNodeValue(treeCalc_2!$F$2,65)</f>
        <v>-182.31446664894077</v>
      </c>
    </row>
    <row r="124" spans="7:10" ht="12.75" hidden="1" customHeight="1" x14ac:dyDescent="0.2">
      <c r="H124" s="38">
        <v>0.5</v>
      </c>
      <c r="I124" s="35" t="s">
        <v>212</v>
      </c>
    </row>
    <row r="125" spans="7:10" ht="12.75" hidden="1" customHeight="1" x14ac:dyDescent="0.2">
      <c r="H125" s="30">
        <v>1.5</v>
      </c>
      <c r="I125" s="36">
        <f>_xll.PTreeNodeValue(treeCalc_2!$F$2,64)</f>
        <v>-118.00384917647672</v>
      </c>
    </row>
    <row r="126" spans="7:10" ht="12.75" hidden="1" customHeight="1" x14ac:dyDescent="0.2">
      <c r="I126" s="38">
        <v>0.5</v>
      </c>
      <c r="J126" s="29">
        <f>_xll.PTreeNodeProbability(treeCalc_2!$F$2,66)</f>
        <v>4.1250000000000009E-2</v>
      </c>
    </row>
    <row r="127" spans="7:10" ht="12.75" hidden="1" customHeight="1" x14ac:dyDescent="0.2">
      <c r="I127" s="30">
        <v>0.04</v>
      </c>
      <c r="J127" s="28">
        <f>_xll.PTreeNodeValue(treeCalc_2!$F$2,66)</f>
        <v>-53.693231704012682</v>
      </c>
    </row>
    <row r="128" spans="7:10" ht="12.75" hidden="1" customHeight="1" x14ac:dyDescent="0.2">
      <c r="I128" s="38">
        <v>0.5</v>
      </c>
      <c r="J128" s="29">
        <f>_xll.PTreeNodeProbability(treeCalc_2!$F$2,68)</f>
        <v>2.0625000000000004E-2</v>
      </c>
    </row>
    <row r="129" spans="2:10" ht="12.75" hidden="1" customHeight="1" x14ac:dyDescent="0.2">
      <c r="I129" s="30">
        <v>7.0000000000000007E-2</v>
      </c>
      <c r="J129" s="28">
        <f>_xll.PTreeNodeValue(treeCalc_2!$F$2,68)</f>
        <v>78.076585979493458</v>
      </c>
    </row>
    <row r="130" spans="2:10" ht="12.75" hidden="1" customHeight="1" x14ac:dyDescent="0.2">
      <c r="H130" s="38">
        <v>0.25</v>
      </c>
      <c r="I130" s="35" t="s">
        <v>212</v>
      </c>
    </row>
    <row r="131" spans="2:10" ht="12.75" hidden="1" customHeight="1" x14ac:dyDescent="0.2">
      <c r="H131" s="30">
        <v>1.3</v>
      </c>
      <c r="I131" s="36">
        <f>_xll.PTreeNodeValue(treeCalc_2!$F$2,67)</f>
        <v>142.38720345195753</v>
      </c>
    </row>
    <row r="132" spans="2:10" ht="12.75" hidden="1" customHeight="1" x14ac:dyDescent="0.2">
      <c r="I132" s="38">
        <v>0.5</v>
      </c>
      <c r="J132" s="29">
        <f>_xll.PTreeNodeProbability(treeCalc_2!$F$2,69)</f>
        <v>2.0625000000000004E-2</v>
      </c>
    </row>
    <row r="133" spans="2:10" ht="12.75" hidden="1" customHeight="1" x14ac:dyDescent="0.2">
      <c r="I133" s="30">
        <v>0.04</v>
      </c>
      <c r="J133" s="28">
        <f>_xll.PTreeNodeValue(treeCalc_2!$F$2,69)</f>
        <v>206.69782092442159</v>
      </c>
    </row>
    <row r="134" spans="2:10" ht="12.75" customHeight="1" x14ac:dyDescent="0.2">
      <c r="E134" s="38">
        <v>0.8</v>
      </c>
      <c r="F134" s="31" t="s">
        <v>52</v>
      </c>
    </row>
    <row r="135" spans="2:10" ht="12.75" customHeight="1" x14ac:dyDescent="0.2">
      <c r="E135" s="30">
        <v>0</v>
      </c>
      <c r="F135" s="32">
        <f>_xll.PTreeNodeValue(treeCalc_2!$F$2,38)</f>
        <v>165.11375641337173</v>
      </c>
    </row>
    <row r="136" spans="2:10" ht="12.75" customHeight="1" x14ac:dyDescent="0.2">
      <c r="C136" s="38">
        <v>0.55000000000000004</v>
      </c>
      <c r="D136" s="31" t="s">
        <v>51</v>
      </c>
    </row>
    <row r="137" spans="2:10" ht="12.75" customHeight="1" x14ac:dyDescent="0.2">
      <c r="C137" s="30">
        <v>0.92</v>
      </c>
      <c r="D137" s="32">
        <f>_xll.PTreeNodeValue(treeCalc_2!$F$2,3)</f>
        <v>427.61766414989165</v>
      </c>
    </row>
    <row r="138" spans="2:10" ht="12.75" customHeight="1" x14ac:dyDescent="0.2">
      <c r="B138" s="33" t="b">
        <f>_xll.PTreeNodeDecision(treeCalc_2!$F$2,2)</f>
        <v>1</v>
      </c>
      <c r="C138" s="35" t="s">
        <v>20</v>
      </c>
    </row>
    <row r="139" spans="2:10" ht="12.75" customHeight="1" x14ac:dyDescent="0.2">
      <c r="B139" s="30">
        <v>1</v>
      </c>
      <c r="C139" s="36">
        <f>_xll.PTreeNodeValue(treeCalc_2!$F$2,2)</f>
        <v>278.36036996727938</v>
      </c>
    </row>
    <row r="140" spans="2:10" ht="12.75" hidden="1" customHeight="1" x14ac:dyDescent="0.2">
      <c r="I140" s="38">
        <v>0.5</v>
      </c>
      <c r="J140" s="29">
        <f>_xll.PTreeNodeProbability(treeCalc_2!$F$2,79)</f>
        <v>1.1250000000000001E-2</v>
      </c>
    </row>
    <row r="141" spans="2:10" ht="12.75" hidden="1" customHeight="1" x14ac:dyDescent="0.2">
      <c r="I141" s="30">
        <v>7.0000000000000007E-2</v>
      </c>
      <c r="J141" s="28">
        <f>_xll.PTreeNodeValue(treeCalc_2!$F$2,79)</f>
        <v>551.79241806636855</v>
      </c>
    </row>
    <row r="142" spans="2:10" ht="12.75" hidden="1" customHeight="1" x14ac:dyDescent="0.2">
      <c r="H142" s="38">
        <v>0.25</v>
      </c>
      <c r="I142" s="35" t="s">
        <v>212</v>
      </c>
    </row>
    <row r="143" spans="2:10" ht="12.75" hidden="1" customHeight="1" x14ac:dyDescent="0.2">
      <c r="H143" s="30">
        <v>1.7</v>
      </c>
      <c r="I143" s="36">
        <f>_xll.PTreeNodeValue(treeCalc_2!$F$2,78)</f>
        <v>732.2794062370009</v>
      </c>
    </row>
    <row r="144" spans="2:10" ht="12.75" hidden="1" customHeight="1" x14ac:dyDescent="0.2">
      <c r="I144" s="38">
        <v>0.5</v>
      </c>
      <c r="J144" s="29">
        <f>_xll.PTreeNodeProbability(treeCalc_2!$F$2,80)</f>
        <v>1.1250000000000001E-2</v>
      </c>
    </row>
    <row r="145" spans="6:10" ht="12.75" hidden="1" customHeight="1" x14ac:dyDescent="0.2">
      <c r="I145" s="30">
        <v>0.04</v>
      </c>
      <c r="J145" s="28">
        <f>_xll.PTreeNodeValue(treeCalc_2!$F$2,80)</f>
        <v>912.76639440763324</v>
      </c>
    </row>
    <row r="146" spans="6:10" ht="12.75" hidden="1" customHeight="1" x14ac:dyDescent="0.2">
      <c r="G146" s="38">
        <v>1</v>
      </c>
      <c r="H146" s="35" t="s">
        <v>21</v>
      </c>
    </row>
    <row r="147" spans="6:10" ht="12.75" hidden="1" customHeight="1" x14ac:dyDescent="0.2">
      <c r="G147" s="30">
        <v>3</v>
      </c>
      <c r="H147" s="36">
        <f>_xll.PTreeNodeValue(treeCalc_2!$F$2,77)</f>
        <v>992.67045886543406</v>
      </c>
    </row>
    <row r="148" spans="6:10" ht="12.75" hidden="1" customHeight="1" x14ac:dyDescent="0.2">
      <c r="I148" s="38">
        <v>0.5</v>
      </c>
      <c r="J148" s="29">
        <f>_xll.PTreeNodeProbability(treeCalc_2!$F$2,82)</f>
        <v>2.2500000000000003E-2</v>
      </c>
    </row>
    <row r="149" spans="6:10" ht="12.75" hidden="1" customHeight="1" x14ac:dyDescent="0.2">
      <c r="I149" s="30">
        <v>7.0000000000000007E-2</v>
      </c>
      <c r="J149" s="28">
        <f>_xll.PTreeNodeValue(treeCalc_2!$F$2,82)</f>
        <v>812.18347069480137</v>
      </c>
    </row>
    <row r="150" spans="6:10" ht="12.75" hidden="1" customHeight="1" x14ac:dyDescent="0.2">
      <c r="H150" s="38">
        <v>0.5</v>
      </c>
      <c r="I150" s="35" t="s">
        <v>212</v>
      </c>
    </row>
    <row r="151" spans="6:10" ht="12.75" hidden="1" customHeight="1" x14ac:dyDescent="0.2">
      <c r="H151" s="30">
        <v>1.5</v>
      </c>
      <c r="I151" s="36">
        <f>_xll.PTreeNodeValue(treeCalc_2!$F$2,81)</f>
        <v>992.67045886543383</v>
      </c>
    </row>
    <row r="152" spans="6:10" ht="12.75" hidden="1" customHeight="1" x14ac:dyDescent="0.2">
      <c r="I152" s="38">
        <v>0.5</v>
      </c>
      <c r="J152" s="29">
        <f>_xll.PTreeNodeProbability(treeCalc_2!$F$2,83)</f>
        <v>2.2500000000000003E-2</v>
      </c>
    </row>
    <row r="153" spans="6:10" ht="12.75" hidden="1" customHeight="1" x14ac:dyDescent="0.2">
      <c r="I153" s="30">
        <v>0.04</v>
      </c>
      <c r="J153" s="28">
        <f>_xll.PTreeNodeValue(treeCalc_2!$F$2,83)</f>
        <v>1173.1574470360663</v>
      </c>
    </row>
    <row r="154" spans="6:10" ht="12.75" hidden="1" customHeight="1" x14ac:dyDescent="0.2">
      <c r="I154" s="38">
        <v>0.5</v>
      </c>
      <c r="J154" s="29">
        <f>_xll.PTreeNodeProbability(treeCalc_2!$F$2,85)</f>
        <v>1.1250000000000001E-2</v>
      </c>
    </row>
    <row r="155" spans="6:10" ht="12.75" hidden="1" customHeight="1" x14ac:dyDescent="0.2">
      <c r="I155" s="30">
        <v>7.0000000000000007E-2</v>
      </c>
      <c r="J155" s="28">
        <f>_xll.PTreeNodeValue(treeCalc_2!$F$2,85)</f>
        <v>1072.5745233232353</v>
      </c>
    </row>
    <row r="156" spans="6:10" ht="12.75" hidden="1" customHeight="1" x14ac:dyDescent="0.2">
      <c r="H156" s="38">
        <v>0.25</v>
      </c>
      <c r="I156" s="35" t="s">
        <v>212</v>
      </c>
    </row>
    <row r="157" spans="6:10" ht="12.75" hidden="1" customHeight="1" x14ac:dyDescent="0.2">
      <c r="H157" s="30">
        <v>1.3</v>
      </c>
      <c r="I157" s="36">
        <f>_xll.PTreeNodeValue(treeCalc_2!$F$2,84)</f>
        <v>1253.0615114938678</v>
      </c>
    </row>
    <row r="158" spans="6:10" ht="12.75" hidden="1" customHeight="1" x14ac:dyDescent="0.2">
      <c r="I158" s="38">
        <v>0.5</v>
      </c>
      <c r="J158" s="29">
        <f>_xll.PTreeNodeProbability(treeCalc_2!$F$2,86)</f>
        <v>1.1250000000000001E-2</v>
      </c>
    </row>
    <row r="159" spans="6:10" ht="12.75" hidden="1" customHeight="1" x14ac:dyDescent="0.2">
      <c r="I159" s="30">
        <v>0.04</v>
      </c>
      <c r="J159" s="28">
        <f>_xll.PTreeNodeValue(treeCalc_2!$F$2,86)</f>
        <v>1433.5484996645002</v>
      </c>
    </row>
    <row r="160" spans="6:10" ht="12.75" customHeight="1" x14ac:dyDescent="0.2">
      <c r="F160" s="33" t="b">
        <f>_xll.PTreeNodeDecision(treeCalc_2!$F$2,76)</f>
        <v>1</v>
      </c>
      <c r="G160" s="35" t="s">
        <v>213</v>
      </c>
    </row>
    <row r="161" spans="6:10" ht="12.75" customHeight="1" x14ac:dyDescent="0.2">
      <c r="F161" s="30">
        <v>1</v>
      </c>
      <c r="G161" s="36">
        <f>_xll.PTreeNodeValue(treeCalc_2!$F$2,76)</f>
        <v>992.67045886543406</v>
      </c>
    </row>
    <row r="162" spans="6:10" ht="12.75" hidden="1" customHeight="1" x14ac:dyDescent="0.2">
      <c r="I162" s="38">
        <v>0.5</v>
      </c>
      <c r="J162" s="29">
        <f>_xll.PTreeNodeProbability(treeCalc_2!$F$2,89)</f>
        <v>0</v>
      </c>
    </row>
    <row r="163" spans="6:10" ht="12.75" hidden="1" customHeight="1" x14ac:dyDescent="0.2">
      <c r="I163" s="30">
        <v>7.0000000000000007E-2</v>
      </c>
      <c r="J163" s="28">
        <f>_xll.PTreeNodeValue(treeCalc_2!$F$2,89)</f>
        <v>-375.81104270316206</v>
      </c>
    </row>
    <row r="164" spans="6:10" ht="12.75" hidden="1" customHeight="1" x14ac:dyDescent="0.2">
      <c r="H164" s="38">
        <v>0.25</v>
      </c>
      <c r="I164" s="35" t="s">
        <v>212</v>
      </c>
    </row>
    <row r="165" spans="6:10" ht="12.75" hidden="1" customHeight="1" x14ac:dyDescent="0.2">
      <c r="H165" s="30">
        <v>1.7</v>
      </c>
      <c r="I165" s="36">
        <f>_xll.PTreeNodeValue(treeCalc_2!$F$2,88)</f>
        <v>-261.62669639176249</v>
      </c>
    </row>
    <row r="166" spans="6:10" ht="12.75" hidden="1" customHeight="1" x14ac:dyDescent="0.2">
      <c r="I166" s="38">
        <v>0.5</v>
      </c>
      <c r="J166" s="29">
        <f>_xll.PTreeNodeProbability(treeCalc_2!$F$2,90)</f>
        <v>0</v>
      </c>
    </row>
    <row r="167" spans="6:10" ht="12.75" hidden="1" customHeight="1" x14ac:dyDescent="0.2">
      <c r="I167" s="30">
        <v>0.04</v>
      </c>
      <c r="J167" s="28">
        <f>_xll.PTreeNodeValue(treeCalc_2!$F$2,90)</f>
        <v>-147.4423500803629</v>
      </c>
    </row>
    <row r="168" spans="6:10" ht="12.75" hidden="1" customHeight="1" x14ac:dyDescent="0.2">
      <c r="G168" s="38">
        <v>0</v>
      </c>
      <c r="H168" s="35" t="s">
        <v>21</v>
      </c>
    </row>
    <row r="169" spans="6:10" ht="12.75" hidden="1" customHeight="1" x14ac:dyDescent="0.2">
      <c r="G169" s="30">
        <v>2</v>
      </c>
      <c r="H169" s="36">
        <f>_xll.PTreeNodeValue(treeCalc_2!$F$2,87)</f>
        <v>-1.2356437633284258</v>
      </c>
    </row>
    <row r="170" spans="6:10" ht="12.75" hidden="1" customHeight="1" x14ac:dyDescent="0.2">
      <c r="I170" s="38">
        <v>0.5</v>
      </c>
      <c r="J170" s="29">
        <f>_xll.PTreeNodeProbability(treeCalc_2!$F$2,92)</f>
        <v>0</v>
      </c>
    </row>
    <row r="171" spans="6:10" ht="12.75" hidden="1" customHeight="1" x14ac:dyDescent="0.2">
      <c r="I171" s="30">
        <v>7.0000000000000007E-2</v>
      </c>
      <c r="J171" s="28">
        <f>_xll.PTreeNodeValue(treeCalc_2!$F$2,92)</f>
        <v>-115.41999007472789</v>
      </c>
    </row>
    <row r="172" spans="6:10" ht="12.75" hidden="1" customHeight="1" x14ac:dyDescent="0.2">
      <c r="H172" s="38">
        <v>0.5</v>
      </c>
      <c r="I172" s="35" t="s">
        <v>212</v>
      </c>
    </row>
    <row r="173" spans="6:10" ht="12.75" hidden="1" customHeight="1" x14ac:dyDescent="0.2">
      <c r="H173" s="30">
        <v>1.5</v>
      </c>
      <c r="I173" s="36">
        <f>_xll.PTreeNodeValue(treeCalc_2!$F$2,91)</f>
        <v>-1.2356437633283335</v>
      </c>
    </row>
    <row r="174" spans="6:10" ht="12.75" hidden="1" customHeight="1" x14ac:dyDescent="0.2">
      <c r="I174" s="38">
        <v>0.5</v>
      </c>
      <c r="J174" s="29">
        <f>_xll.PTreeNodeProbability(treeCalc_2!$F$2,93)</f>
        <v>0</v>
      </c>
    </row>
    <row r="175" spans="6:10" ht="12.75" hidden="1" customHeight="1" x14ac:dyDescent="0.2">
      <c r="I175" s="30">
        <v>0.04</v>
      </c>
      <c r="J175" s="28">
        <f>_xll.PTreeNodeValue(treeCalc_2!$F$2,93)</f>
        <v>112.94870254807122</v>
      </c>
    </row>
    <row r="176" spans="6:10" ht="12.75" hidden="1" customHeight="1" x14ac:dyDescent="0.2">
      <c r="I176" s="38">
        <v>0.5</v>
      </c>
      <c r="J176" s="29">
        <f>_xll.PTreeNodeProbability(treeCalc_2!$F$2,95)</f>
        <v>0</v>
      </c>
    </row>
    <row r="177" spans="7:10" ht="12.75" hidden="1" customHeight="1" x14ac:dyDescent="0.2">
      <c r="I177" s="30">
        <v>7.0000000000000007E-2</v>
      </c>
      <c r="J177" s="28">
        <f>_xll.PTreeNodeValue(treeCalc_2!$F$2,95)</f>
        <v>144.97106255370585</v>
      </c>
    </row>
    <row r="178" spans="7:10" ht="12.75" hidden="1" customHeight="1" x14ac:dyDescent="0.2">
      <c r="H178" s="38">
        <v>0.25</v>
      </c>
      <c r="I178" s="35" t="s">
        <v>212</v>
      </c>
    </row>
    <row r="179" spans="7:10" ht="12.75" hidden="1" customHeight="1" x14ac:dyDescent="0.2">
      <c r="H179" s="30">
        <v>1.3</v>
      </c>
      <c r="I179" s="36">
        <f>_xll.PTreeNodeValue(treeCalc_2!$F$2,94)</f>
        <v>259.15540886510547</v>
      </c>
    </row>
    <row r="180" spans="7:10" ht="12.75" hidden="1" customHeight="1" x14ac:dyDescent="0.2">
      <c r="I180" s="38">
        <v>0.5</v>
      </c>
      <c r="J180" s="29">
        <f>_xll.PTreeNodeProbability(treeCalc_2!$F$2,96)</f>
        <v>0</v>
      </c>
    </row>
    <row r="181" spans="7:10" ht="12.75" hidden="1" customHeight="1" x14ac:dyDescent="0.2">
      <c r="I181" s="30">
        <v>0.04</v>
      </c>
      <c r="J181" s="28">
        <f>_xll.PTreeNodeValue(treeCalc_2!$F$2,96)</f>
        <v>373.33975517650509</v>
      </c>
    </row>
    <row r="182" spans="7:10" ht="12.75" hidden="1" customHeight="1" x14ac:dyDescent="0.2">
      <c r="I182" s="38">
        <v>0.5</v>
      </c>
      <c r="J182" s="29">
        <f>_xll.PTreeNodeProbability(treeCalc_2!$F$2,99)</f>
        <v>0</v>
      </c>
    </row>
    <row r="183" spans="7:10" ht="12.75" hidden="1" customHeight="1" x14ac:dyDescent="0.2">
      <c r="I183" s="30">
        <v>7.0000000000000007E-2</v>
      </c>
      <c r="J183" s="28">
        <f>_xll.PTreeNodeValue(treeCalc_2!$F$2,99)</f>
        <v>-712.84380889290094</v>
      </c>
    </row>
    <row r="184" spans="7:10" ht="12.75" hidden="1" customHeight="1" x14ac:dyDescent="0.2">
      <c r="H184" s="38">
        <v>0.25</v>
      </c>
      <c r="I184" s="35" t="s">
        <v>212</v>
      </c>
    </row>
    <row r="185" spans="7:10" ht="12.75" hidden="1" customHeight="1" x14ac:dyDescent="0.2">
      <c r="H185" s="30">
        <v>1.7</v>
      </c>
      <c r="I185" s="36">
        <f>_xll.PTreeNodeValue(treeCalc_2!$F$2,98)</f>
        <v>-656.39251135919699</v>
      </c>
    </row>
    <row r="186" spans="7:10" ht="12.75" hidden="1" customHeight="1" x14ac:dyDescent="0.2">
      <c r="I186" s="38">
        <v>0.5</v>
      </c>
      <c r="J186" s="29">
        <f>_xll.PTreeNodeProbability(treeCalc_2!$F$2,100)</f>
        <v>0</v>
      </c>
    </row>
    <row r="187" spans="7:10" ht="12.75" hidden="1" customHeight="1" x14ac:dyDescent="0.2">
      <c r="I187" s="30">
        <v>0.04</v>
      </c>
      <c r="J187" s="28">
        <f>_xll.PTreeNodeValue(treeCalc_2!$F$2,100)</f>
        <v>-599.94121382549304</v>
      </c>
    </row>
    <row r="188" spans="7:10" ht="12.75" hidden="1" customHeight="1" x14ac:dyDescent="0.2">
      <c r="G188" s="38">
        <v>0</v>
      </c>
      <c r="H188" s="35" t="s">
        <v>21</v>
      </c>
    </row>
    <row r="189" spans="7:10" ht="12.75" hidden="1" customHeight="1" x14ac:dyDescent="0.2">
      <c r="G189" s="30">
        <v>1</v>
      </c>
      <c r="H189" s="36">
        <f>_xll.PTreeNodeValue(treeCalc_2!$F$2,97)</f>
        <v>-396.00145873076332</v>
      </c>
    </row>
    <row r="190" spans="7:10" ht="12.75" hidden="1" customHeight="1" x14ac:dyDescent="0.2">
      <c r="I190" s="38">
        <v>0.5</v>
      </c>
      <c r="J190" s="29">
        <f>_xll.PTreeNodeProbability(treeCalc_2!$F$2,102)</f>
        <v>0</v>
      </c>
    </row>
    <row r="191" spans="7:10" ht="12.75" hidden="1" customHeight="1" x14ac:dyDescent="0.2">
      <c r="I191" s="30">
        <v>7.0000000000000007E-2</v>
      </c>
      <c r="J191" s="28">
        <f>_xll.PTreeNodeValue(treeCalc_2!$F$2,102)</f>
        <v>-452.45275626446715</v>
      </c>
    </row>
    <row r="192" spans="7:10" ht="12.75" hidden="1" customHeight="1" x14ac:dyDescent="0.2">
      <c r="H192" s="38">
        <v>0.5</v>
      </c>
      <c r="I192" s="35" t="s">
        <v>212</v>
      </c>
    </row>
    <row r="193" spans="4:10" ht="12.75" hidden="1" customHeight="1" x14ac:dyDescent="0.2">
      <c r="H193" s="30">
        <v>1.5</v>
      </c>
      <c r="I193" s="36">
        <f>_xll.PTreeNodeValue(treeCalc_2!$F$2,101)</f>
        <v>-396.00145873076332</v>
      </c>
    </row>
    <row r="194" spans="4:10" ht="12.75" hidden="1" customHeight="1" x14ac:dyDescent="0.2">
      <c r="I194" s="38">
        <v>0.5</v>
      </c>
      <c r="J194" s="29">
        <f>_xll.PTreeNodeProbability(treeCalc_2!$F$2,103)</f>
        <v>0</v>
      </c>
    </row>
    <row r="195" spans="4:10" ht="12.75" hidden="1" customHeight="1" x14ac:dyDescent="0.2">
      <c r="I195" s="30">
        <v>0.04</v>
      </c>
      <c r="J195" s="28">
        <f>_xll.PTreeNodeValue(treeCalc_2!$F$2,103)</f>
        <v>-339.55016119705948</v>
      </c>
    </row>
    <row r="196" spans="4:10" ht="12.75" hidden="1" customHeight="1" x14ac:dyDescent="0.2">
      <c r="I196" s="38">
        <v>0.5</v>
      </c>
      <c r="J196" s="29">
        <f>_xll.PTreeNodeProbability(treeCalc_2!$F$2,105)</f>
        <v>0</v>
      </c>
    </row>
    <row r="197" spans="4:10" ht="12.75" hidden="1" customHeight="1" x14ac:dyDescent="0.2">
      <c r="I197" s="30">
        <v>7.0000000000000007E-2</v>
      </c>
      <c r="J197" s="28">
        <f>_xll.PTreeNodeValue(treeCalc_2!$F$2,105)</f>
        <v>-192.06170363603346</v>
      </c>
    </row>
    <row r="198" spans="4:10" ht="12.75" hidden="1" customHeight="1" x14ac:dyDescent="0.2">
      <c r="H198" s="38">
        <v>0.25</v>
      </c>
      <c r="I198" s="35" t="s">
        <v>212</v>
      </c>
    </row>
    <row r="199" spans="4:10" ht="12.75" hidden="1" customHeight="1" x14ac:dyDescent="0.2">
      <c r="H199" s="30">
        <v>1.3</v>
      </c>
      <c r="I199" s="36">
        <f>_xll.PTreeNodeValue(treeCalc_2!$F$2,104)</f>
        <v>-135.61040610232956</v>
      </c>
    </row>
    <row r="200" spans="4:10" ht="12.75" hidden="1" customHeight="1" x14ac:dyDescent="0.2">
      <c r="I200" s="38">
        <v>0.5</v>
      </c>
      <c r="J200" s="29">
        <f>_xll.PTreeNodeProbability(treeCalc_2!$F$2,106)</f>
        <v>0</v>
      </c>
    </row>
    <row r="201" spans="4:10" ht="12.75" hidden="1" customHeight="1" x14ac:dyDescent="0.2">
      <c r="I201" s="30">
        <v>0.04</v>
      </c>
      <c r="J201" s="28">
        <f>_xll.PTreeNodeValue(treeCalc_2!$F$2,106)</f>
        <v>-79.159108568625683</v>
      </c>
    </row>
    <row r="202" spans="4:10" ht="12.75" customHeight="1" x14ac:dyDescent="0.2">
      <c r="E202" s="38">
        <v>0.2</v>
      </c>
      <c r="F202" s="31" t="s">
        <v>52</v>
      </c>
    </row>
    <row r="203" spans="4:10" ht="12.75" customHeight="1" x14ac:dyDescent="0.2">
      <c r="E203" s="30">
        <v>1</v>
      </c>
      <c r="F203" s="32">
        <f>_xll.PTreeNodeValue(treeCalc_2!$F$2,75)</f>
        <v>992.67045886543406</v>
      </c>
    </row>
    <row r="204" spans="4:10" ht="12.75" customHeight="1" x14ac:dyDescent="0.2">
      <c r="D204" s="33" t="b">
        <f>_xll.PTreeNodeDecision(treeCalc_2!$F$2,74)</f>
        <v>1</v>
      </c>
      <c r="E204" s="35" t="s">
        <v>205</v>
      </c>
    </row>
    <row r="205" spans="4:10" ht="12.75" customHeight="1" x14ac:dyDescent="0.2">
      <c r="D205" s="30">
        <v>1</v>
      </c>
      <c r="E205" s="36">
        <f>_xll.PTreeNodeValue(treeCalc_2!$F$2,74)</f>
        <v>95.934788188530987</v>
      </c>
    </row>
    <row r="206" spans="4:10" ht="12.75" customHeight="1" x14ac:dyDescent="0.2">
      <c r="E206" s="38">
        <v>0.8</v>
      </c>
      <c r="F206" s="31" t="s">
        <v>52</v>
      </c>
    </row>
    <row r="207" spans="4:10" ht="12.75" customHeight="1" x14ac:dyDescent="0.2">
      <c r="E207" s="30">
        <v>0</v>
      </c>
      <c r="F207" s="32">
        <f>_xll.PTreeNodeValue(treeCalc_2!$F$2,108)</f>
        <v>-128.24912948069479</v>
      </c>
    </row>
    <row r="208" spans="4:10" ht="12.75" customHeight="1" x14ac:dyDescent="0.2">
      <c r="F208" s="33" t="b">
        <f>_xll.PTreeNodeDecision(treeCalc_2!$F$2,140)</f>
        <v>1</v>
      </c>
      <c r="G208" s="29">
        <f>_xll.PTreeNodeProbability(treeCalc_2!$F$2,140)</f>
        <v>0.36000000000000004</v>
      </c>
    </row>
    <row r="209" spans="1:7" ht="12.75" customHeight="1" x14ac:dyDescent="0.2">
      <c r="F209" s="30">
        <v>0</v>
      </c>
      <c r="G209" s="28">
        <f>_xll.PTreeNodeValue(treeCalc_2!$F$2,140)</f>
        <v>-128.24912948069479</v>
      </c>
    </row>
    <row r="210" spans="1:7" ht="12.75" customHeight="1" x14ac:dyDescent="0.2">
      <c r="C210" s="38">
        <v>0.45</v>
      </c>
      <c r="D210" s="31" t="s">
        <v>51</v>
      </c>
    </row>
    <row r="211" spans="1:7" ht="12.75" customHeight="1" x14ac:dyDescent="0.2">
      <c r="C211" s="30">
        <v>0.8</v>
      </c>
      <c r="D211" s="32">
        <f>_xll.PTreeNodeValue(treeCalc_2!$F$2,73)</f>
        <v>95.934788188530987</v>
      </c>
    </row>
    <row r="212" spans="1:7" ht="12.75" customHeight="1" x14ac:dyDescent="0.2">
      <c r="A212" s="30"/>
      <c r="B212" s="31" t="s">
        <v>195</v>
      </c>
    </row>
    <row r="213" spans="1:7" ht="12.75" customHeight="1" x14ac:dyDescent="0.2">
      <c r="A213" s="30"/>
      <c r="B213" s="32">
        <f>_xll.PTreeNodeValue(treeCalc_2!$F$2,1)</f>
        <v>278.36036996727938</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6A14-9008-45DD-A07D-EA126E85D7EC}">
  <dimension ref="A1:P155"/>
  <sheetViews>
    <sheetView workbookViewId="0"/>
  </sheetViews>
  <sheetFormatPr baseColWidth="10" defaultColWidth="15.7109375" defaultRowHeight="12.75" x14ac:dyDescent="0.2"/>
  <cols>
    <col min="1" max="16384" width="15.7109375" style="1"/>
  </cols>
  <sheetData>
    <row r="1" spans="1:16" x14ac:dyDescent="0.2">
      <c r="A1" s="1" t="s">
        <v>156</v>
      </c>
      <c r="B1" s="24" t="s">
        <v>331</v>
      </c>
      <c r="E1" s="1" t="s">
        <v>164</v>
      </c>
      <c r="F1" s="1">
        <v>3</v>
      </c>
      <c r="H1" s="1" t="s">
        <v>167</v>
      </c>
      <c r="I1" s="24" t="s">
        <v>142</v>
      </c>
      <c r="K1" s="1" t="s">
        <v>172</v>
      </c>
      <c r="L1" s="1">
        <v>100</v>
      </c>
    </row>
    <row r="2" spans="1:16" x14ac:dyDescent="0.2">
      <c r="A2" s="1" t="s">
        <v>157</v>
      </c>
      <c r="B2" s="1" t="e">
        <f>'optimal solution'!#REF!</f>
        <v>#REF!</v>
      </c>
      <c r="E2" s="1" t="s">
        <v>165</v>
      </c>
      <c r="F2" s="1">
        <f>_xll.PTreeEvaluate5(B3,$L$11:$L$155,$J$11:$J$155,$K$11:$K$155,$N$11:$N$155,$G$11:$G$155,,L1)</f>
        <v>694658</v>
      </c>
    </row>
    <row r="3" spans="1:16" x14ac:dyDescent="0.2">
      <c r="A3" s="1" t="s">
        <v>158</v>
      </c>
      <c r="B3" s="1" t="s">
        <v>332</v>
      </c>
      <c r="E3" s="1" t="s">
        <v>104</v>
      </c>
      <c r="F3" s="24" t="s">
        <v>328</v>
      </c>
      <c r="H3" s="1" t="s">
        <v>168</v>
      </c>
      <c r="I3" s="27" t="s">
        <v>189</v>
      </c>
    </row>
    <row r="4" spans="1:16" x14ac:dyDescent="0.2">
      <c r="A4" s="1" t="s">
        <v>159</v>
      </c>
      <c r="B4" s="1">
        <f>'cash flows'!$E$41</f>
        <v>0</v>
      </c>
      <c r="E4" s="1" t="s">
        <v>105</v>
      </c>
      <c r="F4" s="24" t="s">
        <v>188</v>
      </c>
      <c r="H4" s="1" t="s">
        <v>169</v>
      </c>
      <c r="I4" s="24" t="s">
        <v>190</v>
      </c>
    </row>
    <row r="5" spans="1:16" x14ac:dyDescent="0.2">
      <c r="A5" s="1" t="s">
        <v>160</v>
      </c>
      <c r="B5" s="1">
        <v>0</v>
      </c>
      <c r="E5" s="1" t="s">
        <v>106</v>
      </c>
      <c r="F5" s="24" t="s">
        <v>188</v>
      </c>
      <c r="H5" s="1" t="s">
        <v>170</v>
      </c>
      <c r="I5" s="27" t="s">
        <v>189</v>
      </c>
    </row>
    <row r="6" spans="1:16" x14ac:dyDescent="0.2">
      <c r="A6" s="1" t="s">
        <v>161</v>
      </c>
      <c r="E6" s="1" t="s">
        <v>166</v>
      </c>
      <c r="F6" s="24" t="s">
        <v>328</v>
      </c>
      <c r="H6" s="1" t="s">
        <v>171</v>
      </c>
      <c r="I6" s="24" t="s">
        <v>190</v>
      </c>
    </row>
    <row r="7" spans="1:16" x14ac:dyDescent="0.2">
      <c r="A7" s="1" t="s">
        <v>162</v>
      </c>
      <c r="E7" s="1" t="s">
        <v>330</v>
      </c>
      <c r="F7" s="24" t="s">
        <v>329</v>
      </c>
    </row>
    <row r="8" spans="1:16" x14ac:dyDescent="0.2">
      <c r="A8" s="1" t="s">
        <v>163</v>
      </c>
      <c r="B8" s="1">
        <v>145</v>
      </c>
    </row>
    <row r="10" spans="1:16" x14ac:dyDescent="0.2">
      <c r="A10" s="1" t="s">
        <v>173</v>
      </c>
      <c r="B10" s="1" t="s">
        <v>174</v>
      </c>
      <c r="C10" s="1" t="s">
        <v>175</v>
      </c>
      <c r="D10" s="1" t="s">
        <v>176</v>
      </c>
      <c r="E10" s="1" t="s">
        <v>177</v>
      </c>
      <c r="F10" s="1" t="s">
        <v>178</v>
      </c>
      <c r="G10" s="1" t="s">
        <v>179</v>
      </c>
      <c r="H10" s="1" t="s">
        <v>180</v>
      </c>
      <c r="I10" s="1" t="s">
        <v>181</v>
      </c>
      <c r="J10" s="1" t="s">
        <v>182</v>
      </c>
      <c r="K10" s="1" t="s">
        <v>183</v>
      </c>
      <c r="L10" s="1" t="s">
        <v>158</v>
      </c>
      <c r="M10" s="1" t="s">
        <v>184</v>
      </c>
      <c r="N10" s="1" t="s">
        <v>185</v>
      </c>
      <c r="O10" s="1" t="s">
        <v>186</v>
      </c>
      <c r="P10" s="1" t="s">
        <v>187</v>
      </c>
    </row>
    <row r="11" spans="1:16" x14ac:dyDescent="0.2">
      <c r="A11" s="1">
        <f>'optimal solution'!$B$213</f>
        <v>278.36036996727938</v>
      </c>
      <c r="B11" s="1" t="str">
        <f>B1</f>
        <v>Nuclear tree solution</v>
      </c>
      <c r="C11" s="1">
        <v>0</v>
      </c>
      <c r="H11" s="1">
        <f>'cash flows'!$C$23</f>
        <v>0</v>
      </c>
      <c r="I11" s="1" t="s">
        <v>191</v>
      </c>
      <c r="J11" s="1">
        <f>'optimal solution'!$A$213</f>
        <v>0</v>
      </c>
      <c r="K11" s="1">
        <f>'optimal solution'!$A$212</f>
        <v>0</v>
      </c>
      <c r="L11" s="1" t="s">
        <v>381</v>
      </c>
      <c r="M11" s="24" t="s">
        <v>192</v>
      </c>
      <c r="O11" s="1" t="str">
        <f>'optimal solution'!$B$212</f>
        <v>Feasibility study</v>
      </c>
      <c r="P11" s="1" t="b">
        <v>0</v>
      </c>
    </row>
    <row r="12" spans="1:16" x14ac:dyDescent="0.2">
      <c r="A12" s="1">
        <f>'optimal solution'!$C$139</f>
        <v>278.36036996727938</v>
      </c>
      <c r="B12" s="24" t="s">
        <v>197</v>
      </c>
      <c r="C12" s="1">
        <v>0</v>
      </c>
      <c r="H12" s="37">
        <f>'cash flows'!$E$13</f>
        <v>0.9</v>
      </c>
      <c r="I12" s="1" t="s">
        <v>191</v>
      </c>
      <c r="J12" s="1">
        <f>'optimal solution'!$B$139</f>
        <v>1</v>
      </c>
      <c r="L12" s="1" t="s">
        <v>333</v>
      </c>
      <c r="M12" s="24" t="s">
        <v>192</v>
      </c>
      <c r="O12" s="1" t="str">
        <f>'optimal solution'!$C$138</f>
        <v>Plant efficiency</v>
      </c>
      <c r="P12" s="1" t="b">
        <v>0</v>
      </c>
    </row>
    <row r="13" spans="1:16" x14ac:dyDescent="0.2">
      <c r="A13" s="1">
        <f>'optimal solution'!$D$137</f>
        <v>427.61766414989165</v>
      </c>
      <c r="B13" s="24" t="s">
        <v>202</v>
      </c>
      <c r="C13" s="1">
        <v>0</v>
      </c>
      <c r="H13" s="1">
        <f>'cash flows'!$C$24</f>
        <v>0</v>
      </c>
      <c r="I13" s="1" t="s">
        <v>191</v>
      </c>
      <c r="J13" s="1">
        <f>'optimal solution'!$C$137</f>
        <v>0.92</v>
      </c>
      <c r="K13" s="1">
        <f>'optimal solution'!$C$136</f>
        <v>0.55000000000000004</v>
      </c>
      <c r="L13" s="1" t="s">
        <v>383</v>
      </c>
      <c r="M13" s="24" t="s">
        <v>192</v>
      </c>
      <c r="O13" s="1" t="str">
        <f>'optimal solution'!$D$136</f>
        <v>Apply for permit</v>
      </c>
      <c r="P13" s="1" t="b">
        <v>0</v>
      </c>
    </row>
    <row r="14" spans="1:16" x14ac:dyDescent="0.2">
      <c r="A14" s="1">
        <f>'optimal solution'!$E$71</f>
        <v>427.61766414989165</v>
      </c>
      <c r="B14" s="24" t="s">
        <v>197</v>
      </c>
      <c r="C14" s="1">
        <v>0</v>
      </c>
      <c r="I14" s="1" t="s">
        <v>191</v>
      </c>
      <c r="J14" s="1">
        <f>'optimal solution'!$D$71</f>
        <v>1</v>
      </c>
      <c r="L14" s="1" t="s">
        <v>334</v>
      </c>
      <c r="M14" s="24" t="s">
        <v>192</v>
      </c>
      <c r="O14" s="1" t="str">
        <f>'optimal solution'!$E$70</f>
        <v>Environmental legislation</v>
      </c>
      <c r="P14" s="1" t="b">
        <v>0</v>
      </c>
    </row>
    <row r="15" spans="1:16" x14ac:dyDescent="0.2">
      <c r="A15" s="1">
        <f>'optimal solution'!$F$69</f>
        <v>1477.6332950959713</v>
      </c>
      <c r="B15" s="24" t="s">
        <v>207</v>
      </c>
      <c r="C15" s="1">
        <v>0</v>
      </c>
      <c r="H15" s="1">
        <f>'cash flows'!$C$25</f>
        <v>0</v>
      </c>
      <c r="I15" s="1" t="s">
        <v>191</v>
      </c>
      <c r="J15" s="1">
        <f>'optimal solution'!$E$69</f>
        <v>1</v>
      </c>
      <c r="K15" s="1">
        <f>'optimal solution'!$E$68</f>
        <v>0.2</v>
      </c>
      <c r="L15" s="1" t="s">
        <v>386</v>
      </c>
      <c r="M15" s="24" t="s">
        <v>192</v>
      </c>
      <c r="O15" s="1" t="str">
        <f>'optimal solution'!$F$68</f>
        <v>Start construction</v>
      </c>
      <c r="P15" s="1" t="b">
        <v>0</v>
      </c>
    </row>
    <row r="16" spans="1:16" x14ac:dyDescent="0.2">
      <c r="A16" s="1">
        <f>'optimal solution'!$G$27</f>
        <v>1477.6332950959713</v>
      </c>
      <c r="B16" s="24" t="s">
        <v>197</v>
      </c>
      <c r="C16" s="1">
        <v>0</v>
      </c>
      <c r="H16" s="1">
        <f>'cash flows'!$E$2</f>
        <v>2</v>
      </c>
      <c r="I16" s="1" t="s">
        <v>191</v>
      </c>
      <c r="J16" s="1">
        <f>'optimal solution'!$F$27</f>
        <v>1</v>
      </c>
      <c r="L16" s="1" t="s">
        <v>335</v>
      </c>
      <c r="M16" s="24" t="s">
        <v>192</v>
      </c>
      <c r="O16" s="1" t="str">
        <f>'optimal solution'!$G$26</f>
        <v>Electricity prices</v>
      </c>
      <c r="P16" s="1" t="b">
        <v>1</v>
      </c>
    </row>
    <row r="17" spans="1:16" x14ac:dyDescent="0.2">
      <c r="A17" s="1">
        <f>'optimal solution'!$H$13</f>
        <v>1477.6332950959713</v>
      </c>
      <c r="B17" s="24" t="s">
        <v>202</v>
      </c>
      <c r="C17" s="1">
        <v>0</v>
      </c>
      <c r="H17" s="1">
        <f>'cash flows'!$E$16</f>
        <v>1.5</v>
      </c>
      <c r="I17" s="1" t="s">
        <v>191</v>
      </c>
      <c r="J17" s="1">
        <f>'optimal solution'!$G$13</f>
        <v>3</v>
      </c>
      <c r="K17" s="1">
        <f>'optimal solution'!$G$12</f>
        <v>1</v>
      </c>
      <c r="L17" s="1" t="s">
        <v>336</v>
      </c>
      <c r="M17" s="24" t="s">
        <v>192</v>
      </c>
      <c r="O17" s="1" t="str">
        <f>'optimal solution'!$H$12</f>
        <v>Construction costs</v>
      </c>
      <c r="P17" s="1" t="b">
        <v>0</v>
      </c>
    </row>
    <row r="18" spans="1:16" x14ac:dyDescent="0.2">
      <c r="A18" s="1">
        <f>'optimal solution'!$I$9</f>
        <v>1217.2422424675374</v>
      </c>
      <c r="B18" s="24" t="s">
        <v>202</v>
      </c>
      <c r="C18" s="1">
        <v>0</v>
      </c>
      <c r="H18" s="37">
        <f>'cash flows'!$D$18</f>
        <v>0.06</v>
      </c>
      <c r="I18" s="1" t="s">
        <v>191</v>
      </c>
      <c r="J18" s="1">
        <f>'optimal solution'!$H$9</f>
        <v>1.7</v>
      </c>
      <c r="K18" s="1">
        <f>'optimal solution'!$H$8</f>
        <v>0.25</v>
      </c>
      <c r="L18" s="1" t="s">
        <v>337</v>
      </c>
      <c r="M18" s="24" t="s">
        <v>192</v>
      </c>
      <c r="O18" s="1" t="str">
        <f>'optimal solution'!$I$8</f>
        <v>Variable cost increase</v>
      </c>
      <c r="P18" s="1" t="b">
        <v>0</v>
      </c>
    </row>
    <row r="19" spans="1:16" x14ac:dyDescent="0.2">
      <c r="A19" s="1">
        <f>'optimal solution'!$J$7</f>
        <v>1010.0219193213368</v>
      </c>
      <c r="B19" s="24" t="s">
        <v>202</v>
      </c>
      <c r="C19" s="1">
        <v>0</v>
      </c>
      <c r="H19" s="1" t="s">
        <v>191</v>
      </c>
      <c r="I19" s="1" t="s">
        <v>191</v>
      </c>
      <c r="J19" s="1">
        <f>'optimal solution'!$I$7</f>
        <v>7.0000000000000007E-2</v>
      </c>
      <c r="K19" s="1">
        <f>'optimal solution'!$I$6</f>
        <v>0.5</v>
      </c>
      <c r="L19" s="1" t="s">
        <v>209</v>
      </c>
      <c r="M19" s="24" t="s">
        <v>192</v>
      </c>
      <c r="P19" s="1" t="b">
        <v>0</v>
      </c>
    </row>
    <row r="20" spans="1:16" x14ac:dyDescent="0.2">
      <c r="A20" s="1">
        <f>'optimal solution'!$J$11</f>
        <v>1424.4625656137378</v>
      </c>
      <c r="B20" s="24" t="s">
        <v>203</v>
      </c>
      <c r="C20" s="1">
        <v>0</v>
      </c>
      <c r="H20" s="1" t="s">
        <v>191</v>
      </c>
      <c r="I20" s="1" t="s">
        <v>191</v>
      </c>
      <c r="J20" s="1">
        <f>'optimal solution'!$I$11</f>
        <v>0.04</v>
      </c>
      <c r="K20" s="1">
        <f>'optimal solution'!$I$10</f>
        <v>0.5</v>
      </c>
      <c r="L20" s="1" t="s">
        <v>209</v>
      </c>
      <c r="M20" s="24" t="s">
        <v>192</v>
      </c>
      <c r="P20" s="1" t="b">
        <v>0</v>
      </c>
    </row>
    <row r="21" spans="1:16" x14ac:dyDescent="0.2">
      <c r="A21" s="1">
        <f>'optimal solution'!$I$17</f>
        <v>1477.6332950959709</v>
      </c>
      <c r="B21" s="24" t="s">
        <v>211</v>
      </c>
      <c r="C21" s="1">
        <v>0</v>
      </c>
      <c r="H21" s="37">
        <f>'cash flows'!$D$18</f>
        <v>0.06</v>
      </c>
      <c r="I21" s="1" t="s">
        <v>191</v>
      </c>
      <c r="J21" s="1">
        <f>'optimal solution'!$H$17</f>
        <v>1.5</v>
      </c>
      <c r="K21" s="1">
        <f>'optimal solution'!$H$16</f>
        <v>0.5</v>
      </c>
      <c r="L21" s="1" t="s">
        <v>338</v>
      </c>
      <c r="M21" s="24" t="s">
        <v>192</v>
      </c>
      <c r="O21" s="1" t="str">
        <f>'optimal solution'!$I$16</f>
        <v>Variable cost increase</v>
      </c>
      <c r="P21" s="1" t="b">
        <v>0</v>
      </c>
    </row>
    <row r="22" spans="1:16" x14ac:dyDescent="0.2">
      <c r="A22" s="1">
        <f>'optimal solution'!$J$15</f>
        <v>1270.4129719497707</v>
      </c>
      <c r="B22" s="24" t="s">
        <v>202</v>
      </c>
      <c r="C22" s="1">
        <v>0</v>
      </c>
      <c r="H22" s="1" t="s">
        <v>191</v>
      </c>
      <c r="I22" s="1" t="s">
        <v>191</v>
      </c>
      <c r="J22" s="1">
        <f>'optimal solution'!$I$15</f>
        <v>7.0000000000000007E-2</v>
      </c>
      <c r="K22" s="1">
        <f>'optimal solution'!$I$14</f>
        <v>0.5</v>
      </c>
      <c r="L22" s="1" t="s">
        <v>339</v>
      </c>
      <c r="M22" s="24" t="s">
        <v>192</v>
      </c>
      <c r="P22" s="1" t="b">
        <v>0</v>
      </c>
    </row>
    <row r="23" spans="1:16" x14ac:dyDescent="0.2">
      <c r="A23" s="1">
        <f>'optimal solution'!$J$19</f>
        <v>1684.8536182421713</v>
      </c>
      <c r="B23" s="24" t="s">
        <v>203</v>
      </c>
      <c r="C23" s="1">
        <v>0</v>
      </c>
      <c r="H23" s="1" t="s">
        <v>191</v>
      </c>
      <c r="I23" s="1" t="s">
        <v>191</v>
      </c>
      <c r="J23" s="1">
        <f>'optimal solution'!$I$19</f>
        <v>0.04</v>
      </c>
      <c r="K23" s="1">
        <f>'optimal solution'!$I$18</f>
        <v>0.5</v>
      </c>
      <c r="L23" s="1" t="s">
        <v>339</v>
      </c>
      <c r="M23" s="24" t="s">
        <v>192</v>
      </c>
      <c r="P23" s="1" t="b">
        <v>0</v>
      </c>
    </row>
    <row r="24" spans="1:16" x14ac:dyDescent="0.2">
      <c r="A24" s="1">
        <f>'optimal solution'!$I$23</f>
        <v>1738.0243477244053</v>
      </c>
      <c r="B24" s="24" t="s">
        <v>203</v>
      </c>
      <c r="C24" s="1">
        <v>0</v>
      </c>
      <c r="H24" s="37">
        <f>'cash flows'!$D$18</f>
        <v>0.06</v>
      </c>
      <c r="I24" s="1" t="s">
        <v>191</v>
      </c>
      <c r="J24" s="1">
        <f>'optimal solution'!$H$23</f>
        <v>1.3</v>
      </c>
      <c r="K24" s="1">
        <f>'optimal solution'!$H$22</f>
        <v>0.25</v>
      </c>
      <c r="L24" s="1" t="s">
        <v>340</v>
      </c>
      <c r="M24" s="24" t="s">
        <v>192</v>
      </c>
      <c r="O24" s="1" t="str">
        <f>'optimal solution'!$I$22</f>
        <v>Variable cost increase</v>
      </c>
      <c r="P24" s="1" t="b">
        <v>0</v>
      </c>
    </row>
    <row r="25" spans="1:16" x14ac:dyDescent="0.2">
      <c r="A25" s="1">
        <f>'optimal solution'!$J$21</f>
        <v>1530.8040245782047</v>
      </c>
      <c r="B25" s="24" t="s">
        <v>202</v>
      </c>
      <c r="C25" s="1">
        <v>0</v>
      </c>
      <c r="H25" s="1" t="s">
        <v>191</v>
      </c>
      <c r="I25" s="1" t="s">
        <v>191</v>
      </c>
      <c r="J25" s="1">
        <f>'optimal solution'!$I$21</f>
        <v>7.0000000000000007E-2</v>
      </c>
      <c r="K25" s="1">
        <f>'optimal solution'!$I$20</f>
        <v>0.5</v>
      </c>
      <c r="L25" s="1" t="s">
        <v>341</v>
      </c>
      <c r="M25" s="24" t="s">
        <v>192</v>
      </c>
      <c r="P25" s="1" t="b">
        <v>0</v>
      </c>
    </row>
    <row r="26" spans="1:16" x14ac:dyDescent="0.2">
      <c r="A26" s="1">
        <f>'optimal solution'!$J$25</f>
        <v>1945.2446708706061</v>
      </c>
      <c r="B26" s="24" t="s">
        <v>203</v>
      </c>
      <c r="C26" s="1">
        <v>0</v>
      </c>
      <c r="H26" s="1" t="s">
        <v>191</v>
      </c>
      <c r="I26" s="1" t="s">
        <v>191</v>
      </c>
      <c r="J26" s="1">
        <f>'optimal solution'!$I$25</f>
        <v>0.04</v>
      </c>
      <c r="K26" s="1">
        <f>'optimal solution'!$I$24</f>
        <v>0.5</v>
      </c>
      <c r="L26" s="1" t="s">
        <v>341</v>
      </c>
      <c r="M26" s="24" t="s">
        <v>192</v>
      </c>
      <c r="P26" s="1" t="b">
        <v>0</v>
      </c>
    </row>
    <row r="27" spans="1:16" x14ac:dyDescent="0.2">
      <c r="A27" s="1">
        <f>'optimal solution'!$H$35</f>
        <v>334.98431976728062</v>
      </c>
      <c r="B27" s="24" t="s">
        <v>211</v>
      </c>
      <c r="C27" s="1">
        <v>0</v>
      </c>
      <c r="H27" s="1">
        <f>'cash flows'!$E$16</f>
        <v>1.5</v>
      </c>
      <c r="I27" s="1" t="s">
        <v>191</v>
      </c>
      <c r="J27" s="1">
        <f>'optimal solution'!$G$35</f>
        <v>2</v>
      </c>
      <c r="K27" s="1">
        <f>'optimal solution'!$G$34</f>
        <v>0</v>
      </c>
      <c r="L27" s="1" t="s">
        <v>342</v>
      </c>
      <c r="M27" s="24" t="s">
        <v>192</v>
      </c>
      <c r="O27" s="1" t="str">
        <f>'optimal solution'!$H$34</f>
        <v>Construction costs</v>
      </c>
      <c r="P27" s="1" t="b">
        <v>0</v>
      </c>
    </row>
    <row r="28" spans="1:16" x14ac:dyDescent="0.2">
      <c r="A28" s="1">
        <f>'optimal solution'!$I$31</f>
        <v>74.593267138846898</v>
      </c>
      <c r="B28" s="24" t="s">
        <v>202</v>
      </c>
      <c r="C28" s="1">
        <v>0</v>
      </c>
      <c r="H28" s="37">
        <f>'cash flows'!$D$18</f>
        <v>0.06</v>
      </c>
      <c r="I28" s="1" t="s">
        <v>191</v>
      </c>
      <c r="J28" s="1">
        <f>'optimal solution'!$H$31</f>
        <v>1.7</v>
      </c>
      <c r="K28" s="1">
        <f>'optimal solution'!$H$30</f>
        <v>0.25</v>
      </c>
      <c r="L28" s="1" t="s">
        <v>343</v>
      </c>
      <c r="M28" s="24" t="s">
        <v>192</v>
      </c>
      <c r="O28" s="1" t="str">
        <f>'optimal solution'!$I$30</f>
        <v>Variable cost increase</v>
      </c>
      <c r="P28" s="1" t="b">
        <v>0</v>
      </c>
    </row>
    <row r="29" spans="1:16" x14ac:dyDescent="0.2">
      <c r="A29" s="1">
        <f>'optimal solution'!$J$29</f>
        <v>-56.035975174849185</v>
      </c>
      <c r="B29" s="24" t="s">
        <v>202</v>
      </c>
      <c r="C29" s="1">
        <v>0</v>
      </c>
      <c r="H29" s="1" t="s">
        <v>191</v>
      </c>
      <c r="I29" s="1" t="s">
        <v>191</v>
      </c>
      <c r="J29" s="1">
        <f>'optimal solution'!$I$29</f>
        <v>7.0000000000000007E-2</v>
      </c>
      <c r="K29" s="1">
        <f>'optimal solution'!$I$28</f>
        <v>0.5</v>
      </c>
      <c r="L29" s="1" t="s">
        <v>344</v>
      </c>
      <c r="M29" s="24" t="s">
        <v>192</v>
      </c>
      <c r="P29" s="1" t="b">
        <v>0</v>
      </c>
    </row>
    <row r="30" spans="1:16" x14ac:dyDescent="0.2">
      <c r="A30" s="1">
        <f>'optimal solution'!$J$33</f>
        <v>205.22250945254299</v>
      </c>
      <c r="B30" s="24" t="s">
        <v>203</v>
      </c>
      <c r="C30" s="1">
        <v>0</v>
      </c>
      <c r="H30" s="1" t="s">
        <v>191</v>
      </c>
      <c r="I30" s="1" t="s">
        <v>191</v>
      </c>
      <c r="J30" s="1">
        <f>'optimal solution'!$I$33</f>
        <v>0.04</v>
      </c>
      <c r="K30" s="1">
        <f>'optimal solution'!$I$32</f>
        <v>0.5</v>
      </c>
      <c r="L30" s="1" t="s">
        <v>344</v>
      </c>
      <c r="M30" s="24" t="s">
        <v>192</v>
      </c>
      <c r="P30" s="1" t="b">
        <v>0</v>
      </c>
    </row>
    <row r="31" spans="1:16" x14ac:dyDescent="0.2">
      <c r="A31" s="1">
        <f>'optimal solution'!$I$39</f>
        <v>334.9843197672804</v>
      </c>
      <c r="B31" s="24" t="s">
        <v>211</v>
      </c>
      <c r="C31" s="1">
        <v>0</v>
      </c>
      <c r="H31" s="37">
        <f>'cash flows'!$D$18</f>
        <v>0.06</v>
      </c>
      <c r="I31" s="1" t="s">
        <v>191</v>
      </c>
      <c r="J31" s="1">
        <f>'optimal solution'!$H$39</f>
        <v>1.5</v>
      </c>
      <c r="K31" s="1">
        <f>'optimal solution'!$H$38</f>
        <v>0.5</v>
      </c>
      <c r="L31" s="1" t="s">
        <v>345</v>
      </c>
      <c r="M31" s="24" t="s">
        <v>192</v>
      </c>
      <c r="O31" s="1" t="str">
        <f>'optimal solution'!$I$38</f>
        <v>Variable cost increase</v>
      </c>
      <c r="P31" s="1" t="b">
        <v>0</v>
      </c>
    </row>
    <row r="32" spans="1:16" x14ac:dyDescent="0.2">
      <c r="A32" s="1">
        <f>'optimal solution'!$J$37</f>
        <v>204.3550774535843</v>
      </c>
      <c r="B32" s="24" t="s">
        <v>202</v>
      </c>
      <c r="C32" s="1">
        <v>0</v>
      </c>
      <c r="H32" s="1" t="s">
        <v>191</v>
      </c>
      <c r="I32" s="1" t="s">
        <v>191</v>
      </c>
      <c r="J32" s="1">
        <f>'optimal solution'!$I$37</f>
        <v>7.0000000000000007E-2</v>
      </c>
      <c r="K32" s="1">
        <f>'optimal solution'!$I$36</f>
        <v>0.5</v>
      </c>
      <c r="L32" s="1" t="s">
        <v>346</v>
      </c>
      <c r="M32" s="24" t="s">
        <v>192</v>
      </c>
      <c r="P32" s="1" t="b">
        <v>0</v>
      </c>
    </row>
    <row r="33" spans="1:16" x14ac:dyDescent="0.2">
      <c r="A33" s="1">
        <f>'optimal solution'!$J$41</f>
        <v>465.61356208097646</v>
      </c>
      <c r="B33" s="24" t="s">
        <v>203</v>
      </c>
      <c r="C33" s="1">
        <v>0</v>
      </c>
      <c r="H33" s="1" t="s">
        <v>191</v>
      </c>
      <c r="I33" s="1" t="s">
        <v>191</v>
      </c>
      <c r="J33" s="1">
        <f>'optimal solution'!$I$41</f>
        <v>0.04</v>
      </c>
      <c r="K33" s="1">
        <f>'optimal solution'!$I$40</f>
        <v>0.5</v>
      </c>
      <c r="L33" s="1" t="s">
        <v>346</v>
      </c>
      <c r="M33" s="24" t="s">
        <v>192</v>
      </c>
      <c r="P33" s="1" t="b">
        <v>0</v>
      </c>
    </row>
    <row r="34" spans="1:16" x14ac:dyDescent="0.2">
      <c r="A34" s="1">
        <f>'optimal solution'!$I$45</f>
        <v>595.37537239571475</v>
      </c>
      <c r="B34" s="24" t="s">
        <v>203</v>
      </c>
      <c r="C34" s="1">
        <v>0</v>
      </c>
      <c r="H34" s="37">
        <f>'cash flows'!$D$18</f>
        <v>0.06</v>
      </c>
      <c r="I34" s="1" t="s">
        <v>191</v>
      </c>
      <c r="J34" s="1">
        <f>'optimal solution'!$H$45</f>
        <v>1.3</v>
      </c>
      <c r="K34" s="1">
        <f>'optimal solution'!$H$44</f>
        <v>0.25</v>
      </c>
      <c r="L34" s="1" t="s">
        <v>347</v>
      </c>
      <c r="M34" s="24" t="s">
        <v>192</v>
      </c>
      <c r="O34" s="1" t="str">
        <f>'optimal solution'!$I$44</f>
        <v>Variable cost increase</v>
      </c>
      <c r="P34" s="1" t="b">
        <v>0</v>
      </c>
    </row>
    <row r="35" spans="1:16" x14ac:dyDescent="0.2">
      <c r="A35" s="1">
        <f>'optimal solution'!$J$43</f>
        <v>464.74613008201857</v>
      </c>
      <c r="B35" s="24" t="s">
        <v>202</v>
      </c>
      <c r="C35" s="1">
        <v>0</v>
      </c>
      <c r="H35" s="1" t="s">
        <v>191</v>
      </c>
      <c r="I35" s="1" t="s">
        <v>191</v>
      </c>
      <c r="J35" s="1">
        <f>'optimal solution'!$I$43</f>
        <v>7.0000000000000007E-2</v>
      </c>
      <c r="K35" s="1">
        <f>'optimal solution'!$I$42</f>
        <v>0.5</v>
      </c>
      <c r="L35" s="1" t="s">
        <v>255</v>
      </c>
      <c r="M35" s="24" t="s">
        <v>192</v>
      </c>
      <c r="P35" s="1" t="b">
        <v>0</v>
      </c>
    </row>
    <row r="36" spans="1:16" x14ac:dyDescent="0.2">
      <c r="A36" s="1">
        <f>'optimal solution'!$J$47</f>
        <v>726.00461470941104</v>
      </c>
      <c r="B36" s="24" t="s">
        <v>203</v>
      </c>
      <c r="C36" s="1">
        <v>0</v>
      </c>
      <c r="H36" s="1" t="s">
        <v>191</v>
      </c>
      <c r="I36" s="1" t="s">
        <v>191</v>
      </c>
      <c r="J36" s="1">
        <f>'optimal solution'!$I$47</f>
        <v>0.04</v>
      </c>
      <c r="K36" s="1">
        <f>'optimal solution'!$I$46</f>
        <v>0.5</v>
      </c>
      <c r="L36" s="1" t="s">
        <v>255</v>
      </c>
      <c r="M36" s="24" t="s">
        <v>192</v>
      </c>
      <c r="P36" s="1" t="b">
        <v>0</v>
      </c>
    </row>
    <row r="37" spans="1:16" x14ac:dyDescent="0.2">
      <c r="A37" s="1">
        <f>'optimal solution'!$H$55</f>
        <v>-118.00384917647638</v>
      </c>
      <c r="B37" s="24" t="s">
        <v>203</v>
      </c>
      <c r="C37" s="1">
        <v>0</v>
      </c>
      <c r="H37" s="1">
        <f>'cash flows'!$E$16</f>
        <v>1.5</v>
      </c>
      <c r="I37" s="1" t="s">
        <v>191</v>
      </c>
      <c r="J37" s="1">
        <f>'optimal solution'!$G$55</f>
        <v>1</v>
      </c>
      <c r="K37" s="1">
        <f>'optimal solution'!$G$54</f>
        <v>0</v>
      </c>
      <c r="L37" s="1" t="s">
        <v>348</v>
      </c>
      <c r="M37" s="24" t="s">
        <v>192</v>
      </c>
      <c r="O37" s="1" t="str">
        <f>'optimal solution'!$H$54</f>
        <v>Construction costs</v>
      </c>
      <c r="P37" s="1" t="b">
        <v>0</v>
      </c>
    </row>
    <row r="38" spans="1:16" x14ac:dyDescent="0.2">
      <c r="A38" s="1">
        <f>'optimal solution'!$I$51</f>
        <v>-378.39490180490964</v>
      </c>
      <c r="B38" s="24" t="s">
        <v>202</v>
      </c>
      <c r="C38" s="1">
        <v>0</v>
      </c>
      <c r="H38" s="37">
        <f>'cash flows'!$D$18</f>
        <v>0.06</v>
      </c>
      <c r="I38" s="1" t="s">
        <v>191</v>
      </c>
      <c r="J38" s="1">
        <f>'optimal solution'!$H$51</f>
        <v>1.7</v>
      </c>
      <c r="K38" s="1">
        <f>'optimal solution'!$H$50</f>
        <v>0.25</v>
      </c>
      <c r="L38" s="1" t="s">
        <v>349</v>
      </c>
      <c r="M38" s="24" t="s">
        <v>192</v>
      </c>
      <c r="O38" s="1" t="str">
        <f>'optimal solution'!$I$50</f>
        <v>Variable cost increase</v>
      </c>
      <c r="P38" s="1" t="b">
        <v>0</v>
      </c>
    </row>
    <row r="39" spans="1:16" x14ac:dyDescent="0.2">
      <c r="A39" s="1">
        <f>'optimal solution'!$J$49</f>
        <v>-442.7055192773737</v>
      </c>
      <c r="B39" s="24" t="s">
        <v>202</v>
      </c>
      <c r="C39" s="1">
        <v>0</v>
      </c>
      <c r="H39" s="1" t="s">
        <v>191</v>
      </c>
      <c r="I39" s="1" t="s">
        <v>191</v>
      </c>
      <c r="J39" s="1">
        <f>'optimal solution'!$I$49</f>
        <v>7.0000000000000007E-2</v>
      </c>
      <c r="K39" s="1">
        <f>'optimal solution'!$I$48</f>
        <v>0.5</v>
      </c>
      <c r="L39" s="1" t="s">
        <v>258</v>
      </c>
      <c r="M39" s="24" t="s">
        <v>192</v>
      </c>
      <c r="P39" s="1" t="b">
        <v>0</v>
      </c>
    </row>
    <row r="40" spans="1:16" x14ac:dyDescent="0.2">
      <c r="A40" s="1">
        <f>'optimal solution'!$J$53</f>
        <v>-314.08428433244563</v>
      </c>
      <c r="B40" s="24" t="s">
        <v>203</v>
      </c>
      <c r="C40" s="1">
        <v>0</v>
      </c>
      <c r="H40" s="1" t="s">
        <v>191</v>
      </c>
      <c r="I40" s="1" t="s">
        <v>191</v>
      </c>
      <c r="J40" s="1">
        <f>'optimal solution'!$I$53</f>
        <v>0.04</v>
      </c>
      <c r="K40" s="1">
        <f>'optimal solution'!$I$52</f>
        <v>0.5</v>
      </c>
      <c r="L40" s="1" t="s">
        <v>258</v>
      </c>
      <c r="M40" s="24" t="s">
        <v>192</v>
      </c>
      <c r="P40" s="1" t="b">
        <v>0</v>
      </c>
    </row>
    <row r="41" spans="1:16" x14ac:dyDescent="0.2">
      <c r="A41" s="1">
        <f>'optimal solution'!$I$59</f>
        <v>-118.00384917647672</v>
      </c>
      <c r="B41" s="24" t="s">
        <v>211</v>
      </c>
      <c r="C41" s="1">
        <v>0</v>
      </c>
      <c r="H41" s="37">
        <f>'cash flows'!$D$18</f>
        <v>0.06</v>
      </c>
      <c r="I41" s="1" t="s">
        <v>191</v>
      </c>
      <c r="J41" s="1">
        <f>'optimal solution'!$H$59</f>
        <v>1.5</v>
      </c>
      <c r="K41" s="1">
        <f>'optimal solution'!$H$58</f>
        <v>0.5</v>
      </c>
      <c r="L41" s="1" t="s">
        <v>350</v>
      </c>
      <c r="M41" s="24" t="s">
        <v>192</v>
      </c>
      <c r="O41" s="1" t="str">
        <f>'optimal solution'!$I$58</f>
        <v>Variable cost increase</v>
      </c>
      <c r="P41" s="1" t="b">
        <v>0</v>
      </c>
    </row>
    <row r="42" spans="1:16" x14ac:dyDescent="0.2">
      <c r="A42" s="1">
        <f>'optimal solution'!$J$57</f>
        <v>-182.31446664894077</v>
      </c>
      <c r="B42" s="24" t="s">
        <v>202</v>
      </c>
      <c r="C42" s="1">
        <v>0</v>
      </c>
      <c r="H42" s="1" t="s">
        <v>191</v>
      </c>
      <c r="I42" s="1" t="s">
        <v>191</v>
      </c>
      <c r="J42" s="1">
        <f>'optimal solution'!$I$57</f>
        <v>7.0000000000000007E-2</v>
      </c>
      <c r="K42" s="1">
        <f>'optimal solution'!$I$56</f>
        <v>0.5</v>
      </c>
      <c r="L42" s="1" t="s">
        <v>215</v>
      </c>
      <c r="M42" s="24" t="s">
        <v>192</v>
      </c>
      <c r="P42" s="1" t="b">
        <v>0</v>
      </c>
    </row>
    <row r="43" spans="1:16" x14ac:dyDescent="0.2">
      <c r="A43" s="1">
        <f>'optimal solution'!$J$61</f>
        <v>-53.693231704012682</v>
      </c>
      <c r="B43" s="24" t="s">
        <v>203</v>
      </c>
      <c r="C43" s="1">
        <v>0</v>
      </c>
      <c r="H43" s="1" t="s">
        <v>191</v>
      </c>
      <c r="I43" s="1" t="s">
        <v>191</v>
      </c>
      <c r="J43" s="1">
        <f>'optimal solution'!$I$61</f>
        <v>0.04</v>
      </c>
      <c r="K43" s="1">
        <f>'optimal solution'!$I$60</f>
        <v>0.5</v>
      </c>
      <c r="L43" s="1" t="s">
        <v>215</v>
      </c>
      <c r="M43" s="24" t="s">
        <v>192</v>
      </c>
      <c r="P43" s="1" t="b">
        <v>0</v>
      </c>
    </row>
    <row r="44" spans="1:16" x14ac:dyDescent="0.2">
      <c r="A44" s="1">
        <f>'optimal solution'!$I$65</f>
        <v>142.38720345195753</v>
      </c>
      <c r="B44" s="24" t="s">
        <v>203</v>
      </c>
      <c r="C44" s="1">
        <v>0</v>
      </c>
      <c r="H44" s="37">
        <f>'cash flows'!$D$18</f>
        <v>0.06</v>
      </c>
      <c r="I44" s="1" t="s">
        <v>191</v>
      </c>
      <c r="J44" s="1">
        <f>'optimal solution'!$H$65</f>
        <v>1.3</v>
      </c>
      <c r="K44" s="1">
        <f>'optimal solution'!$H$64</f>
        <v>0.25</v>
      </c>
      <c r="L44" s="1" t="s">
        <v>351</v>
      </c>
      <c r="M44" s="24" t="s">
        <v>192</v>
      </c>
      <c r="O44" s="1" t="str">
        <f>'optimal solution'!$I$64</f>
        <v>Variable cost increase</v>
      </c>
      <c r="P44" s="1" t="b">
        <v>0</v>
      </c>
    </row>
    <row r="45" spans="1:16" x14ac:dyDescent="0.2">
      <c r="A45" s="1">
        <f>'optimal solution'!$J$63</f>
        <v>78.076585979493458</v>
      </c>
      <c r="B45" s="24" t="s">
        <v>202</v>
      </c>
      <c r="C45" s="1">
        <v>0</v>
      </c>
      <c r="H45" s="1" t="s">
        <v>191</v>
      </c>
      <c r="I45" s="1" t="s">
        <v>191</v>
      </c>
      <c r="J45" s="1">
        <f>'optimal solution'!$I$63</f>
        <v>7.0000000000000007E-2</v>
      </c>
      <c r="K45" s="1">
        <f>'optimal solution'!$I$62</f>
        <v>0.5</v>
      </c>
      <c r="L45" s="1" t="s">
        <v>352</v>
      </c>
      <c r="M45" s="24" t="s">
        <v>192</v>
      </c>
      <c r="P45" s="1" t="b">
        <v>0</v>
      </c>
    </row>
    <row r="46" spans="1:16" x14ac:dyDescent="0.2">
      <c r="A46" s="1">
        <f>'optimal solution'!$J$67</f>
        <v>206.69782092442159</v>
      </c>
      <c r="B46" s="24" t="s">
        <v>203</v>
      </c>
      <c r="C46" s="1">
        <v>0</v>
      </c>
      <c r="H46" s="1" t="s">
        <v>191</v>
      </c>
      <c r="I46" s="1" t="s">
        <v>191</v>
      </c>
      <c r="J46" s="1">
        <f>'optimal solution'!$I$67</f>
        <v>0.04</v>
      </c>
      <c r="K46" s="1">
        <f>'optimal solution'!$I$66</f>
        <v>0.5</v>
      </c>
      <c r="L46" s="1" t="s">
        <v>352</v>
      </c>
      <c r="M46" s="24" t="s">
        <v>192</v>
      </c>
      <c r="P46" s="1" t="b">
        <v>0</v>
      </c>
    </row>
    <row r="47" spans="1:16" x14ac:dyDescent="0.2">
      <c r="B47" s="24"/>
      <c r="M47" s="24"/>
    </row>
    <row r="48" spans="1:16" x14ac:dyDescent="0.2">
      <c r="A48" s="1">
        <f>'optimal solution'!$F$135</f>
        <v>165.11375641337173</v>
      </c>
      <c r="B48" s="24" t="s">
        <v>208</v>
      </c>
      <c r="C48" s="1">
        <v>0</v>
      </c>
      <c r="H48" s="1">
        <f>'cash flows'!$C$25</f>
        <v>0</v>
      </c>
      <c r="I48" s="1" t="s">
        <v>191</v>
      </c>
      <c r="J48" s="1">
        <f>'optimal solution'!$E$135</f>
        <v>0</v>
      </c>
      <c r="K48" s="1">
        <f>'optimal solution'!$E$134</f>
        <v>0.8</v>
      </c>
      <c r="L48" s="1" t="s">
        <v>387</v>
      </c>
      <c r="M48" s="24" t="s">
        <v>192</v>
      </c>
      <c r="O48" s="1" t="str">
        <f>'optimal solution'!$F$134</f>
        <v>Start construction</v>
      </c>
      <c r="P48" s="1" t="b">
        <v>0</v>
      </c>
    </row>
    <row r="49" spans="1:16" x14ac:dyDescent="0.2">
      <c r="A49" s="1">
        <f>'optimal solution'!$G$93</f>
        <v>165.11375641337173</v>
      </c>
      <c r="B49" s="24" t="s">
        <v>197</v>
      </c>
      <c r="C49" s="1">
        <v>0</v>
      </c>
      <c r="H49" s="1">
        <f>'cash flows'!$E$2</f>
        <v>2</v>
      </c>
      <c r="I49" s="1" t="s">
        <v>191</v>
      </c>
      <c r="J49" s="1">
        <f>'optimal solution'!$F$93</f>
        <v>1</v>
      </c>
      <c r="L49" s="1" t="s">
        <v>353</v>
      </c>
      <c r="M49" s="24" t="s">
        <v>192</v>
      </c>
      <c r="O49" s="1" t="str">
        <f>'optimal solution'!$G$92</f>
        <v>Electricity prices</v>
      </c>
      <c r="P49" s="1" t="b">
        <v>1</v>
      </c>
    </row>
    <row r="50" spans="1:16" x14ac:dyDescent="0.2">
      <c r="A50" s="1">
        <f>'optimal solution'!$H$79</f>
        <v>1477.6332950959713</v>
      </c>
      <c r="B50" s="24" t="s">
        <v>202</v>
      </c>
      <c r="C50" s="1">
        <v>0</v>
      </c>
      <c r="H50" s="1">
        <f>'cash flows'!$E$16</f>
        <v>1.5</v>
      </c>
      <c r="I50" s="1" t="s">
        <v>191</v>
      </c>
      <c r="J50" s="1">
        <f>'optimal solution'!$G$79</f>
        <v>3</v>
      </c>
      <c r="K50" s="1">
        <f>'optimal solution'!$G$78</f>
        <v>0</v>
      </c>
      <c r="L50" s="1" t="s">
        <v>264</v>
      </c>
      <c r="M50" s="24" t="s">
        <v>192</v>
      </c>
      <c r="O50" s="1" t="str">
        <f>'optimal solution'!$H$78</f>
        <v>Construction costs</v>
      </c>
      <c r="P50" s="1" t="b">
        <v>0</v>
      </c>
    </row>
    <row r="51" spans="1:16" x14ac:dyDescent="0.2">
      <c r="A51" s="1">
        <f>'optimal solution'!$I$75</f>
        <v>1217.2422424675374</v>
      </c>
      <c r="B51" s="24" t="s">
        <v>202</v>
      </c>
      <c r="C51" s="1">
        <v>0</v>
      </c>
      <c r="H51" s="37">
        <f>'cash flows'!$D$18</f>
        <v>0.06</v>
      </c>
      <c r="I51" s="1" t="s">
        <v>191</v>
      </c>
      <c r="J51" s="1">
        <f>'optimal solution'!$H$75</f>
        <v>1.7</v>
      </c>
      <c r="K51" s="1">
        <f>'optimal solution'!$H$74</f>
        <v>0.25</v>
      </c>
      <c r="L51" s="1" t="s">
        <v>265</v>
      </c>
      <c r="M51" s="24" t="s">
        <v>192</v>
      </c>
      <c r="O51" s="1" t="str">
        <f>'optimal solution'!$I$74</f>
        <v>Variable cost increase</v>
      </c>
      <c r="P51" s="1" t="b">
        <v>0</v>
      </c>
    </row>
    <row r="52" spans="1:16" x14ac:dyDescent="0.2">
      <c r="A52" s="1">
        <f>'optimal solution'!$J$73</f>
        <v>1010.0219193213368</v>
      </c>
      <c r="B52" s="24" t="s">
        <v>202</v>
      </c>
      <c r="C52" s="1">
        <v>0</v>
      </c>
      <c r="H52" s="1" t="s">
        <v>191</v>
      </c>
      <c r="I52" s="1" t="s">
        <v>191</v>
      </c>
      <c r="J52" s="1">
        <f>'optimal solution'!$I$73</f>
        <v>7.0000000000000007E-2</v>
      </c>
      <c r="K52" s="1">
        <f>'optimal solution'!$I$72</f>
        <v>0.5</v>
      </c>
      <c r="L52" s="1" t="s">
        <v>217</v>
      </c>
      <c r="M52" s="24" t="s">
        <v>192</v>
      </c>
      <c r="P52" s="1" t="b">
        <v>0</v>
      </c>
    </row>
    <row r="53" spans="1:16" x14ac:dyDescent="0.2">
      <c r="A53" s="1">
        <f>'optimal solution'!$J$77</f>
        <v>1424.4625656137378</v>
      </c>
      <c r="B53" s="24" t="s">
        <v>203</v>
      </c>
      <c r="C53" s="1">
        <v>0</v>
      </c>
      <c r="H53" s="1" t="s">
        <v>191</v>
      </c>
      <c r="I53" s="1" t="s">
        <v>191</v>
      </c>
      <c r="J53" s="1">
        <f>'optimal solution'!$I$77</f>
        <v>0.04</v>
      </c>
      <c r="K53" s="1">
        <f>'optimal solution'!$I$76</f>
        <v>0.5</v>
      </c>
      <c r="L53" s="1" t="s">
        <v>217</v>
      </c>
      <c r="M53" s="24" t="s">
        <v>192</v>
      </c>
      <c r="P53" s="1" t="b">
        <v>0</v>
      </c>
    </row>
    <row r="54" spans="1:16" x14ac:dyDescent="0.2">
      <c r="A54" s="1">
        <f>'optimal solution'!$I$83</f>
        <v>1477.6332950959709</v>
      </c>
      <c r="B54" s="24" t="s">
        <v>211</v>
      </c>
      <c r="C54" s="1">
        <v>0</v>
      </c>
      <c r="H54" s="37">
        <f>'cash flows'!$D$18</f>
        <v>0.06</v>
      </c>
      <c r="I54" s="1" t="s">
        <v>191</v>
      </c>
      <c r="J54" s="1">
        <f>'optimal solution'!$H$83</f>
        <v>1.5</v>
      </c>
      <c r="K54" s="1">
        <f>'optimal solution'!$H$82</f>
        <v>0.5</v>
      </c>
      <c r="L54" s="1" t="s">
        <v>266</v>
      </c>
      <c r="M54" s="24" t="s">
        <v>192</v>
      </c>
      <c r="O54" s="1" t="str">
        <f>'optimal solution'!$I$82</f>
        <v>Variable cost increase</v>
      </c>
      <c r="P54" s="1" t="b">
        <v>0</v>
      </c>
    </row>
    <row r="55" spans="1:16" x14ac:dyDescent="0.2">
      <c r="A55" s="1">
        <f>'optimal solution'!$J$81</f>
        <v>1270.4129719497707</v>
      </c>
      <c r="B55" s="24" t="s">
        <v>202</v>
      </c>
      <c r="C55" s="1">
        <v>0</v>
      </c>
      <c r="H55" s="1" t="s">
        <v>191</v>
      </c>
      <c r="I55" s="1" t="s">
        <v>191</v>
      </c>
      <c r="J55" s="1">
        <f>'optimal solution'!$I$81</f>
        <v>7.0000000000000007E-2</v>
      </c>
      <c r="K55" s="1">
        <f>'optimal solution'!$I$80</f>
        <v>0.5</v>
      </c>
      <c r="L55" s="1" t="s">
        <v>267</v>
      </c>
      <c r="M55" s="24" t="s">
        <v>192</v>
      </c>
      <c r="P55" s="1" t="b">
        <v>0</v>
      </c>
    </row>
    <row r="56" spans="1:16" x14ac:dyDescent="0.2">
      <c r="A56" s="1">
        <f>'optimal solution'!$J$85</f>
        <v>1684.8536182421713</v>
      </c>
      <c r="B56" s="24" t="s">
        <v>203</v>
      </c>
      <c r="C56" s="1">
        <v>0</v>
      </c>
      <c r="H56" s="1" t="s">
        <v>191</v>
      </c>
      <c r="I56" s="1" t="s">
        <v>191</v>
      </c>
      <c r="J56" s="1">
        <f>'optimal solution'!$I$85</f>
        <v>0.04</v>
      </c>
      <c r="K56" s="1">
        <f>'optimal solution'!$I$84</f>
        <v>0.5</v>
      </c>
      <c r="L56" s="1" t="s">
        <v>267</v>
      </c>
      <c r="M56" s="24" t="s">
        <v>192</v>
      </c>
      <c r="P56" s="1" t="b">
        <v>0</v>
      </c>
    </row>
    <row r="57" spans="1:16" x14ac:dyDescent="0.2">
      <c r="A57" s="1">
        <f>'optimal solution'!$I$89</f>
        <v>1738.0243477244053</v>
      </c>
      <c r="B57" s="24" t="s">
        <v>203</v>
      </c>
      <c r="C57" s="1">
        <v>0</v>
      </c>
      <c r="H57" s="37">
        <f>'cash flows'!$D$18</f>
        <v>0.06</v>
      </c>
      <c r="I57" s="1" t="s">
        <v>191</v>
      </c>
      <c r="J57" s="1">
        <f>'optimal solution'!$H$89</f>
        <v>1.3</v>
      </c>
      <c r="K57" s="1">
        <f>'optimal solution'!$H$88</f>
        <v>0.25</v>
      </c>
      <c r="L57" s="1" t="s">
        <v>268</v>
      </c>
      <c r="M57" s="24" t="s">
        <v>192</v>
      </c>
      <c r="O57" s="1" t="str">
        <f>'optimal solution'!$I$88</f>
        <v>Variable cost increase</v>
      </c>
      <c r="P57" s="1" t="b">
        <v>0</v>
      </c>
    </row>
    <row r="58" spans="1:16" x14ac:dyDescent="0.2">
      <c r="A58" s="1">
        <f>'optimal solution'!$J$87</f>
        <v>1530.8040245782047</v>
      </c>
      <c r="B58" s="24" t="s">
        <v>202</v>
      </c>
      <c r="C58" s="1">
        <v>0</v>
      </c>
      <c r="H58" s="1" t="s">
        <v>191</v>
      </c>
      <c r="I58" s="1" t="s">
        <v>191</v>
      </c>
      <c r="J58" s="1">
        <f>'optimal solution'!$I$87</f>
        <v>7.0000000000000007E-2</v>
      </c>
      <c r="K58" s="1">
        <f>'optimal solution'!$I$86</f>
        <v>0.5</v>
      </c>
      <c r="L58" s="1" t="s">
        <v>269</v>
      </c>
      <c r="M58" s="24" t="s">
        <v>192</v>
      </c>
      <c r="P58" s="1" t="b">
        <v>0</v>
      </c>
    </row>
    <row r="59" spans="1:16" x14ac:dyDescent="0.2">
      <c r="A59" s="1">
        <f>'optimal solution'!$J$91</f>
        <v>1945.2446708706061</v>
      </c>
      <c r="B59" s="24" t="s">
        <v>203</v>
      </c>
      <c r="C59" s="1">
        <v>0</v>
      </c>
      <c r="H59" s="1" t="s">
        <v>191</v>
      </c>
      <c r="I59" s="1" t="s">
        <v>191</v>
      </c>
      <c r="J59" s="1">
        <f>'optimal solution'!$I$91</f>
        <v>0.04</v>
      </c>
      <c r="K59" s="1">
        <f>'optimal solution'!$I$90</f>
        <v>0.5</v>
      </c>
      <c r="L59" s="1" t="s">
        <v>269</v>
      </c>
      <c r="M59" s="24" t="s">
        <v>192</v>
      </c>
      <c r="P59" s="1" t="b">
        <v>0</v>
      </c>
    </row>
    <row r="60" spans="1:16" x14ac:dyDescent="0.2">
      <c r="A60" s="1">
        <f>'optimal solution'!$H$101</f>
        <v>334.98431976728062</v>
      </c>
      <c r="B60" s="24" t="s">
        <v>211</v>
      </c>
      <c r="C60" s="1">
        <v>0</v>
      </c>
      <c r="H60" s="1">
        <f>'cash flows'!$E$16</f>
        <v>1.5</v>
      </c>
      <c r="I60" s="1" t="s">
        <v>191</v>
      </c>
      <c r="J60" s="1">
        <f>'optimal solution'!$G$101</f>
        <v>2</v>
      </c>
      <c r="K60" s="1">
        <f>'optimal solution'!$G$100</f>
        <v>0.625</v>
      </c>
      <c r="L60" s="1" t="s">
        <v>270</v>
      </c>
      <c r="M60" s="24" t="s">
        <v>192</v>
      </c>
      <c r="O60" s="1" t="str">
        <f>'optimal solution'!$H$100</f>
        <v>Construction costs</v>
      </c>
      <c r="P60" s="1" t="b">
        <v>0</v>
      </c>
    </row>
    <row r="61" spans="1:16" x14ac:dyDescent="0.2">
      <c r="A61" s="1">
        <f>'optimal solution'!$I$97</f>
        <v>74.593267138846898</v>
      </c>
      <c r="B61" s="24" t="s">
        <v>202</v>
      </c>
      <c r="C61" s="1">
        <v>0</v>
      </c>
      <c r="H61" s="37">
        <f>'cash flows'!$D$18</f>
        <v>0.06</v>
      </c>
      <c r="I61" s="1" t="s">
        <v>191</v>
      </c>
      <c r="J61" s="1">
        <f>'optimal solution'!$H$97</f>
        <v>1.7</v>
      </c>
      <c r="K61" s="1">
        <f>'optimal solution'!$H$96</f>
        <v>0.25</v>
      </c>
      <c r="L61" s="1" t="s">
        <v>271</v>
      </c>
      <c r="M61" s="24" t="s">
        <v>192</v>
      </c>
      <c r="O61" s="1" t="str">
        <f>'optimal solution'!$I$96</f>
        <v>Variable cost increase</v>
      </c>
      <c r="P61" s="1" t="b">
        <v>0</v>
      </c>
    </row>
    <row r="62" spans="1:16" x14ac:dyDescent="0.2">
      <c r="A62" s="1">
        <f>'optimal solution'!$J$95</f>
        <v>-56.035975174849185</v>
      </c>
      <c r="B62" s="24" t="s">
        <v>202</v>
      </c>
      <c r="C62" s="1">
        <v>0</v>
      </c>
      <c r="H62" s="1" t="s">
        <v>191</v>
      </c>
      <c r="I62" s="1" t="s">
        <v>191</v>
      </c>
      <c r="J62" s="1">
        <f>'optimal solution'!$I$95</f>
        <v>7.0000000000000007E-2</v>
      </c>
      <c r="K62" s="1">
        <f>'optimal solution'!$I$94</f>
        <v>0.5</v>
      </c>
      <c r="L62" s="1" t="s">
        <v>272</v>
      </c>
      <c r="M62" s="24" t="s">
        <v>192</v>
      </c>
      <c r="P62" s="1" t="b">
        <v>0</v>
      </c>
    </row>
    <row r="63" spans="1:16" x14ac:dyDescent="0.2">
      <c r="A63" s="1">
        <f>'optimal solution'!$J$99</f>
        <v>205.22250945254299</v>
      </c>
      <c r="B63" s="24" t="s">
        <v>203</v>
      </c>
      <c r="C63" s="1">
        <v>0</v>
      </c>
      <c r="H63" s="1" t="s">
        <v>191</v>
      </c>
      <c r="I63" s="1" t="s">
        <v>191</v>
      </c>
      <c r="J63" s="1">
        <f>'optimal solution'!$I$99</f>
        <v>0.04</v>
      </c>
      <c r="K63" s="1">
        <f>'optimal solution'!$I$98</f>
        <v>0.5</v>
      </c>
      <c r="L63" s="1" t="s">
        <v>272</v>
      </c>
      <c r="M63" s="24" t="s">
        <v>192</v>
      </c>
      <c r="P63" s="1" t="b">
        <v>0</v>
      </c>
    </row>
    <row r="64" spans="1:16" x14ac:dyDescent="0.2">
      <c r="A64" s="1">
        <f>'optimal solution'!$I$105</f>
        <v>334.9843197672804</v>
      </c>
      <c r="B64" s="24" t="s">
        <v>211</v>
      </c>
      <c r="C64" s="1">
        <v>0</v>
      </c>
      <c r="H64" s="37">
        <f>'cash flows'!$D$18</f>
        <v>0.06</v>
      </c>
      <c r="I64" s="1" t="s">
        <v>191</v>
      </c>
      <c r="J64" s="1">
        <f>'optimal solution'!$H$105</f>
        <v>1.5</v>
      </c>
      <c r="K64" s="1">
        <f>'optimal solution'!$H$104</f>
        <v>0.5</v>
      </c>
      <c r="L64" s="1" t="s">
        <v>273</v>
      </c>
      <c r="M64" s="24" t="s">
        <v>192</v>
      </c>
      <c r="O64" s="1" t="str">
        <f>'optimal solution'!$I$104</f>
        <v>Variable cost increase</v>
      </c>
      <c r="P64" s="1" t="b">
        <v>0</v>
      </c>
    </row>
    <row r="65" spans="1:16" x14ac:dyDescent="0.2">
      <c r="A65" s="1">
        <f>'optimal solution'!$J$103</f>
        <v>204.3550774535843</v>
      </c>
      <c r="B65" s="24" t="s">
        <v>202</v>
      </c>
      <c r="C65" s="1">
        <v>0</v>
      </c>
      <c r="H65" s="1" t="s">
        <v>191</v>
      </c>
      <c r="I65" s="1" t="s">
        <v>191</v>
      </c>
      <c r="J65" s="1">
        <f>'optimal solution'!$I$103</f>
        <v>7.0000000000000007E-2</v>
      </c>
      <c r="K65" s="1">
        <f>'optimal solution'!$I$102</f>
        <v>0.5</v>
      </c>
      <c r="L65" s="1" t="s">
        <v>218</v>
      </c>
      <c r="M65" s="24" t="s">
        <v>192</v>
      </c>
      <c r="P65" s="1" t="b">
        <v>0</v>
      </c>
    </row>
    <row r="66" spans="1:16" x14ac:dyDescent="0.2">
      <c r="A66" s="1">
        <f>'optimal solution'!$J$107</f>
        <v>465.61356208097646</v>
      </c>
      <c r="B66" s="24" t="s">
        <v>203</v>
      </c>
      <c r="C66" s="1">
        <v>0</v>
      </c>
      <c r="H66" s="1" t="s">
        <v>191</v>
      </c>
      <c r="I66" s="1" t="s">
        <v>191</v>
      </c>
      <c r="J66" s="1">
        <f>'optimal solution'!$I$107</f>
        <v>0.04</v>
      </c>
      <c r="K66" s="1">
        <f>'optimal solution'!$I$106</f>
        <v>0.5</v>
      </c>
      <c r="L66" s="1" t="s">
        <v>218</v>
      </c>
      <c r="M66" s="24" t="s">
        <v>192</v>
      </c>
      <c r="P66" s="1" t="b">
        <v>0</v>
      </c>
    </row>
    <row r="67" spans="1:16" x14ac:dyDescent="0.2">
      <c r="A67" s="1">
        <f>'optimal solution'!$I$111</f>
        <v>595.37537239571475</v>
      </c>
      <c r="B67" s="24" t="s">
        <v>203</v>
      </c>
      <c r="C67" s="1">
        <v>0</v>
      </c>
      <c r="H67" s="37">
        <f>'cash flows'!$D$18</f>
        <v>0.06</v>
      </c>
      <c r="I67" s="1" t="s">
        <v>191</v>
      </c>
      <c r="J67" s="1">
        <f>'optimal solution'!$H$111</f>
        <v>1.3</v>
      </c>
      <c r="K67" s="1">
        <f>'optimal solution'!$H$110</f>
        <v>0.25</v>
      </c>
      <c r="L67" s="1" t="s">
        <v>274</v>
      </c>
      <c r="M67" s="24" t="s">
        <v>192</v>
      </c>
      <c r="O67" s="1" t="str">
        <f>'optimal solution'!$I$110</f>
        <v>Variable cost increase</v>
      </c>
      <c r="P67" s="1" t="b">
        <v>0</v>
      </c>
    </row>
    <row r="68" spans="1:16" x14ac:dyDescent="0.2">
      <c r="A68" s="1">
        <f>'optimal solution'!$J$109</f>
        <v>464.74613008201857</v>
      </c>
      <c r="B68" s="24" t="s">
        <v>202</v>
      </c>
      <c r="C68" s="1">
        <v>0</v>
      </c>
      <c r="H68" s="1" t="s">
        <v>191</v>
      </c>
      <c r="I68" s="1" t="s">
        <v>191</v>
      </c>
      <c r="J68" s="1">
        <f>'optimal solution'!$I$109</f>
        <v>7.0000000000000007E-2</v>
      </c>
      <c r="K68" s="1">
        <f>'optimal solution'!$I$108</f>
        <v>0.5</v>
      </c>
      <c r="L68" s="1" t="s">
        <v>275</v>
      </c>
      <c r="M68" s="24" t="s">
        <v>192</v>
      </c>
      <c r="P68" s="1" t="b">
        <v>0</v>
      </c>
    </row>
    <row r="69" spans="1:16" x14ac:dyDescent="0.2">
      <c r="A69" s="1">
        <f>'optimal solution'!$J$113</f>
        <v>726.00461470941104</v>
      </c>
      <c r="B69" s="24" t="s">
        <v>203</v>
      </c>
      <c r="C69" s="1">
        <v>0</v>
      </c>
      <c r="H69" s="1" t="s">
        <v>191</v>
      </c>
      <c r="I69" s="1" t="s">
        <v>191</v>
      </c>
      <c r="J69" s="1">
        <f>'optimal solution'!$I$113</f>
        <v>0.04</v>
      </c>
      <c r="K69" s="1">
        <f>'optimal solution'!$I$112</f>
        <v>0.5</v>
      </c>
      <c r="L69" s="1" t="s">
        <v>275</v>
      </c>
      <c r="M69" s="24" t="s">
        <v>192</v>
      </c>
      <c r="P69" s="1" t="b">
        <v>0</v>
      </c>
    </row>
    <row r="70" spans="1:16" x14ac:dyDescent="0.2">
      <c r="A70" s="1">
        <f>'optimal solution'!$H$121</f>
        <v>-118.00384917647638</v>
      </c>
      <c r="B70" s="24" t="s">
        <v>203</v>
      </c>
      <c r="C70" s="1">
        <v>0</v>
      </c>
      <c r="H70" s="1">
        <f>'cash flows'!$E$16</f>
        <v>1.5</v>
      </c>
      <c r="I70" s="1" t="s">
        <v>191</v>
      </c>
      <c r="J70" s="1">
        <f>'optimal solution'!$G$121</f>
        <v>1</v>
      </c>
      <c r="K70" s="1">
        <f>'optimal solution'!$G$120</f>
        <v>0.375</v>
      </c>
      <c r="L70" s="1" t="s">
        <v>354</v>
      </c>
      <c r="M70" s="24" t="s">
        <v>192</v>
      </c>
      <c r="O70" s="1" t="str">
        <f>'optimal solution'!$H$120</f>
        <v>Construction costs</v>
      </c>
      <c r="P70" s="1" t="b">
        <v>0</v>
      </c>
    </row>
    <row r="71" spans="1:16" x14ac:dyDescent="0.2">
      <c r="A71" s="1">
        <f>'optimal solution'!$I$117</f>
        <v>-378.39490180490964</v>
      </c>
      <c r="B71" s="24" t="s">
        <v>202</v>
      </c>
      <c r="C71" s="1">
        <v>0</v>
      </c>
      <c r="H71" s="37">
        <f>'cash flows'!$D$18</f>
        <v>0.06</v>
      </c>
      <c r="I71" s="1" t="s">
        <v>191</v>
      </c>
      <c r="J71" s="1">
        <f>'optimal solution'!$H$117</f>
        <v>1.7</v>
      </c>
      <c r="K71" s="1">
        <f>'optimal solution'!$H$116</f>
        <v>0.25</v>
      </c>
      <c r="L71" s="1" t="s">
        <v>277</v>
      </c>
      <c r="M71" s="24" t="s">
        <v>192</v>
      </c>
      <c r="O71" s="1" t="str">
        <f>'optimal solution'!$I$116</f>
        <v>Variable cost increase</v>
      </c>
      <c r="P71" s="1" t="b">
        <v>0</v>
      </c>
    </row>
    <row r="72" spans="1:16" x14ac:dyDescent="0.2">
      <c r="A72" s="1">
        <f>'optimal solution'!$J$115</f>
        <v>-442.7055192773737</v>
      </c>
      <c r="B72" s="24" t="s">
        <v>202</v>
      </c>
      <c r="C72" s="1">
        <v>0</v>
      </c>
      <c r="H72" s="1" t="s">
        <v>191</v>
      </c>
      <c r="I72" s="1" t="s">
        <v>191</v>
      </c>
      <c r="J72" s="1">
        <f>'optimal solution'!$I$115</f>
        <v>7.0000000000000007E-2</v>
      </c>
      <c r="K72" s="1">
        <f>'optimal solution'!$I$114</f>
        <v>0.5</v>
      </c>
      <c r="L72" s="1" t="s">
        <v>278</v>
      </c>
      <c r="M72" s="24" t="s">
        <v>192</v>
      </c>
      <c r="P72" s="1" t="b">
        <v>0</v>
      </c>
    </row>
    <row r="73" spans="1:16" x14ac:dyDescent="0.2">
      <c r="A73" s="1">
        <f>'optimal solution'!$J$119</f>
        <v>-314.08428433244563</v>
      </c>
      <c r="B73" s="24" t="s">
        <v>203</v>
      </c>
      <c r="C73" s="1">
        <v>0</v>
      </c>
      <c r="H73" s="1" t="s">
        <v>191</v>
      </c>
      <c r="I73" s="1" t="s">
        <v>191</v>
      </c>
      <c r="J73" s="1">
        <f>'optimal solution'!$I$119</f>
        <v>0.04</v>
      </c>
      <c r="K73" s="1">
        <f>'optimal solution'!$I$118</f>
        <v>0.5</v>
      </c>
      <c r="L73" s="1" t="s">
        <v>278</v>
      </c>
      <c r="M73" s="24" t="s">
        <v>192</v>
      </c>
      <c r="P73" s="1" t="b">
        <v>0</v>
      </c>
    </row>
    <row r="74" spans="1:16" x14ac:dyDescent="0.2">
      <c r="A74" s="1">
        <f>'optimal solution'!$I$125</f>
        <v>-118.00384917647672</v>
      </c>
      <c r="B74" s="24" t="s">
        <v>211</v>
      </c>
      <c r="C74" s="1">
        <v>0</v>
      </c>
      <c r="H74" s="37">
        <f>'cash flows'!$D$18</f>
        <v>0.06</v>
      </c>
      <c r="I74" s="1" t="s">
        <v>191</v>
      </c>
      <c r="J74" s="1">
        <f>'optimal solution'!$H$125</f>
        <v>1.5</v>
      </c>
      <c r="K74" s="1">
        <f>'optimal solution'!$H$124</f>
        <v>0.5</v>
      </c>
      <c r="L74" s="1" t="s">
        <v>279</v>
      </c>
      <c r="M74" s="24" t="s">
        <v>192</v>
      </c>
      <c r="O74" s="1" t="str">
        <f>'optimal solution'!$I$124</f>
        <v>Variable cost increase</v>
      </c>
      <c r="P74" s="1" t="b">
        <v>0</v>
      </c>
    </row>
    <row r="75" spans="1:16" x14ac:dyDescent="0.2">
      <c r="A75" s="1">
        <f>'optimal solution'!$J$123</f>
        <v>-182.31446664894077</v>
      </c>
      <c r="B75" s="24" t="s">
        <v>202</v>
      </c>
      <c r="C75" s="1">
        <v>0</v>
      </c>
      <c r="H75" s="1" t="s">
        <v>191</v>
      </c>
      <c r="I75" s="1" t="s">
        <v>191</v>
      </c>
      <c r="J75" s="1">
        <f>'optimal solution'!$I$123</f>
        <v>7.0000000000000007E-2</v>
      </c>
      <c r="K75" s="1">
        <f>'optimal solution'!$I$122</f>
        <v>0.5</v>
      </c>
      <c r="L75" s="1" t="s">
        <v>280</v>
      </c>
      <c r="M75" s="24" t="s">
        <v>192</v>
      </c>
      <c r="P75" s="1" t="b">
        <v>0</v>
      </c>
    </row>
    <row r="76" spans="1:16" x14ac:dyDescent="0.2">
      <c r="A76" s="1">
        <f>'optimal solution'!$J$127</f>
        <v>-53.693231704012682</v>
      </c>
      <c r="B76" s="24" t="s">
        <v>203</v>
      </c>
      <c r="C76" s="1">
        <v>0</v>
      </c>
      <c r="H76" s="1" t="s">
        <v>191</v>
      </c>
      <c r="I76" s="1" t="s">
        <v>191</v>
      </c>
      <c r="J76" s="1">
        <f>'optimal solution'!$I$127</f>
        <v>0.04</v>
      </c>
      <c r="K76" s="1">
        <f>'optimal solution'!$I$126</f>
        <v>0.5</v>
      </c>
      <c r="L76" s="1" t="s">
        <v>280</v>
      </c>
      <c r="M76" s="24" t="s">
        <v>192</v>
      </c>
      <c r="P76" s="1" t="b">
        <v>0</v>
      </c>
    </row>
    <row r="77" spans="1:16" x14ac:dyDescent="0.2">
      <c r="A77" s="1">
        <f>'optimal solution'!$I$131</f>
        <v>142.38720345195753</v>
      </c>
      <c r="B77" s="24" t="s">
        <v>203</v>
      </c>
      <c r="C77" s="1">
        <v>0</v>
      </c>
      <c r="H77" s="37">
        <f>'cash flows'!$D$18</f>
        <v>0.06</v>
      </c>
      <c r="I77" s="1" t="s">
        <v>191</v>
      </c>
      <c r="J77" s="1">
        <f>'optimal solution'!$H$131</f>
        <v>1.3</v>
      </c>
      <c r="K77" s="1">
        <f>'optimal solution'!$H$130</f>
        <v>0.25</v>
      </c>
      <c r="L77" s="1" t="s">
        <v>355</v>
      </c>
      <c r="M77" s="24" t="s">
        <v>192</v>
      </c>
      <c r="O77" s="1" t="str">
        <f>'optimal solution'!$I$130</f>
        <v>Variable cost increase</v>
      </c>
      <c r="P77" s="1" t="b">
        <v>0</v>
      </c>
    </row>
    <row r="78" spans="1:16" x14ac:dyDescent="0.2">
      <c r="A78" s="1">
        <f>'optimal solution'!$J$129</f>
        <v>78.076585979493458</v>
      </c>
      <c r="B78" s="24" t="s">
        <v>202</v>
      </c>
      <c r="C78" s="1">
        <v>0</v>
      </c>
      <c r="H78" s="1" t="s">
        <v>191</v>
      </c>
      <c r="I78" s="1" t="s">
        <v>191</v>
      </c>
      <c r="J78" s="1">
        <f>'optimal solution'!$I$129</f>
        <v>7.0000000000000007E-2</v>
      </c>
      <c r="K78" s="1">
        <f>'optimal solution'!$I$128</f>
        <v>0.5</v>
      </c>
      <c r="L78" s="1" t="s">
        <v>356</v>
      </c>
      <c r="M78" s="24" t="s">
        <v>192</v>
      </c>
      <c r="P78" s="1" t="b">
        <v>0</v>
      </c>
    </row>
    <row r="79" spans="1:16" x14ac:dyDescent="0.2">
      <c r="A79" s="1">
        <f>'optimal solution'!$J$133</f>
        <v>206.69782092442159</v>
      </c>
      <c r="B79" s="24" t="s">
        <v>203</v>
      </c>
      <c r="C79" s="1">
        <v>0</v>
      </c>
      <c r="H79" s="1" t="s">
        <v>191</v>
      </c>
      <c r="I79" s="1" t="s">
        <v>191</v>
      </c>
      <c r="J79" s="1">
        <f>'optimal solution'!$I$133</f>
        <v>0.04</v>
      </c>
      <c r="K79" s="1">
        <f>'optimal solution'!$I$132</f>
        <v>0.5</v>
      </c>
      <c r="L79" s="1" t="s">
        <v>356</v>
      </c>
      <c r="M79" s="24" t="s">
        <v>192</v>
      </c>
      <c r="P79" s="1" t="b">
        <v>0</v>
      </c>
    </row>
    <row r="80" spans="1:16" x14ac:dyDescent="0.2">
      <c r="B80" s="24"/>
      <c r="M80" s="24"/>
    </row>
    <row r="81" spans="1:16" x14ac:dyDescent="0.2">
      <c r="B81" s="24"/>
      <c r="M81" s="24"/>
    </row>
    <row r="82" spans="1:16" x14ac:dyDescent="0.2">
      <c r="B82" s="24"/>
      <c r="M82" s="24"/>
    </row>
    <row r="83" spans="1:16" x14ac:dyDescent="0.2">
      <c r="A83" s="1">
        <f>'optimal solution'!$D$211</f>
        <v>95.934788188530987</v>
      </c>
      <c r="B83" s="24" t="s">
        <v>203</v>
      </c>
      <c r="C83" s="1">
        <v>0</v>
      </c>
      <c r="H83" s="1">
        <f>'cash flows'!$C$24</f>
        <v>0</v>
      </c>
      <c r="I83" s="1" t="s">
        <v>191</v>
      </c>
      <c r="J83" s="1">
        <f>'optimal solution'!$C$211</f>
        <v>0.8</v>
      </c>
      <c r="K83" s="1">
        <f>'optimal solution'!$C$210</f>
        <v>0.45</v>
      </c>
      <c r="L83" s="1" t="s">
        <v>382</v>
      </c>
      <c r="M83" s="24" t="s">
        <v>192</v>
      </c>
      <c r="O83" s="1" t="str">
        <f>'optimal solution'!$D$210</f>
        <v>Apply for permit</v>
      </c>
      <c r="P83" s="1" t="b">
        <v>0</v>
      </c>
    </row>
    <row r="84" spans="1:16" x14ac:dyDescent="0.2">
      <c r="A84" s="1">
        <f>'optimal solution'!$E$205</f>
        <v>95.934788188530987</v>
      </c>
      <c r="B84" s="24" t="s">
        <v>197</v>
      </c>
      <c r="C84" s="1">
        <v>0</v>
      </c>
      <c r="I84" s="1" t="s">
        <v>191</v>
      </c>
      <c r="J84" s="1">
        <f>'optimal solution'!$D$205</f>
        <v>1</v>
      </c>
      <c r="L84" s="1" t="s">
        <v>357</v>
      </c>
      <c r="M84" s="24" t="s">
        <v>192</v>
      </c>
      <c r="O84" s="1" t="str">
        <f>'optimal solution'!$E$204</f>
        <v>Environmental legislation</v>
      </c>
      <c r="P84" s="1" t="b">
        <v>0</v>
      </c>
    </row>
    <row r="85" spans="1:16" x14ac:dyDescent="0.2">
      <c r="A85" s="1">
        <f>'optimal solution'!$F$203</f>
        <v>992.67045886543406</v>
      </c>
      <c r="B85" s="24" t="s">
        <v>207</v>
      </c>
      <c r="C85" s="1">
        <v>0</v>
      </c>
      <c r="H85" s="1">
        <f>'cash flows'!$C$25</f>
        <v>0</v>
      </c>
      <c r="I85" s="1" t="s">
        <v>191</v>
      </c>
      <c r="J85" s="1">
        <f>'optimal solution'!$E$203</f>
        <v>1</v>
      </c>
      <c r="K85" s="1">
        <f>'optimal solution'!$E$202</f>
        <v>0.2</v>
      </c>
      <c r="L85" s="1" t="s">
        <v>384</v>
      </c>
      <c r="M85" s="24" t="s">
        <v>192</v>
      </c>
      <c r="O85" s="1" t="str">
        <f>'optimal solution'!$F$202</f>
        <v>Start construction</v>
      </c>
      <c r="P85" s="1" t="b">
        <v>0</v>
      </c>
    </row>
    <row r="86" spans="1:16" x14ac:dyDescent="0.2">
      <c r="A86" s="1">
        <f>'optimal solution'!$G$161</f>
        <v>992.67045886543406</v>
      </c>
      <c r="B86" s="24" t="s">
        <v>197</v>
      </c>
      <c r="C86" s="1">
        <v>0</v>
      </c>
      <c r="H86" s="1">
        <f>'cash flows'!$E$2</f>
        <v>2</v>
      </c>
      <c r="I86" s="1" t="s">
        <v>191</v>
      </c>
      <c r="J86" s="1">
        <f>'optimal solution'!$F$161</f>
        <v>1</v>
      </c>
      <c r="L86" s="1" t="s">
        <v>358</v>
      </c>
      <c r="M86" s="24" t="s">
        <v>192</v>
      </c>
      <c r="O86" s="1" t="str">
        <f>'optimal solution'!$G$160</f>
        <v>Electricity prices</v>
      </c>
      <c r="P86" s="1" t="b">
        <v>1</v>
      </c>
    </row>
    <row r="87" spans="1:16" x14ac:dyDescent="0.2">
      <c r="A87" s="1">
        <f>'optimal solution'!$H$147</f>
        <v>992.67045886543406</v>
      </c>
      <c r="B87" s="24" t="s">
        <v>202</v>
      </c>
      <c r="C87" s="1">
        <v>0</v>
      </c>
      <c r="H87" s="1">
        <f>'cash flows'!$E$16</f>
        <v>1.5</v>
      </c>
      <c r="I87" s="1" t="s">
        <v>191</v>
      </c>
      <c r="J87" s="1">
        <f>'optimal solution'!$G$147</f>
        <v>3</v>
      </c>
      <c r="K87" s="1">
        <f>'optimal solution'!$G$146</f>
        <v>1</v>
      </c>
      <c r="L87" s="1" t="s">
        <v>359</v>
      </c>
      <c r="M87" s="24" t="s">
        <v>192</v>
      </c>
      <c r="O87" s="1" t="str">
        <f>'optimal solution'!$H$146</f>
        <v>Construction costs</v>
      </c>
      <c r="P87" s="1" t="b">
        <v>0</v>
      </c>
    </row>
    <row r="88" spans="1:16" x14ac:dyDescent="0.2">
      <c r="A88" s="1">
        <f>'optimal solution'!$I$143</f>
        <v>732.2794062370009</v>
      </c>
      <c r="B88" s="24" t="s">
        <v>202</v>
      </c>
      <c r="C88" s="1">
        <v>0</v>
      </c>
      <c r="H88" s="37">
        <f>'cash flows'!$D$18</f>
        <v>0.06</v>
      </c>
      <c r="I88" s="1" t="s">
        <v>191</v>
      </c>
      <c r="J88" s="1">
        <f>'optimal solution'!$H$143</f>
        <v>1.7</v>
      </c>
      <c r="K88" s="1">
        <f>'optimal solution'!$H$142</f>
        <v>0.25</v>
      </c>
      <c r="L88" s="1" t="s">
        <v>360</v>
      </c>
      <c r="M88" s="24" t="s">
        <v>192</v>
      </c>
      <c r="O88" s="1" t="str">
        <f>'optimal solution'!$I$142</f>
        <v>Variable cost increase</v>
      </c>
      <c r="P88" s="1" t="b">
        <v>0</v>
      </c>
    </row>
    <row r="89" spans="1:16" x14ac:dyDescent="0.2">
      <c r="A89" s="1">
        <f>'optimal solution'!$J$141</f>
        <v>551.79241806636855</v>
      </c>
      <c r="B89" s="24" t="s">
        <v>202</v>
      </c>
      <c r="C89" s="1">
        <v>0</v>
      </c>
      <c r="H89" s="1" t="s">
        <v>191</v>
      </c>
      <c r="I89" s="1" t="s">
        <v>191</v>
      </c>
      <c r="J89" s="1">
        <f>'optimal solution'!$I$141</f>
        <v>7.0000000000000007E-2</v>
      </c>
      <c r="K89" s="1">
        <f>'optimal solution'!$I$140</f>
        <v>0.5</v>
      </c>
      <c r="L89" s="1" t="s">
        <v>361</v>
      </c>
      <c r="M89" s="24" t="s">
        <v>192</v>
      </c>
      <c r="P89" s="1" t="b">
        <v>0</v>
      </c>
    </row>
    <row r="90" spans="1:16" x14ac:dyDescent="0.2">
      <c r="A90" s="1">
        <f>'optimal solution'!$J$145</f>
        <v>912.76639440763324</v>
      </c>
      <c r="B90" s="24" t="s">
        <v>203</v>
      </c>
      <c r="C90" s="1">
        <v>0</v>
      </c>
      <c r="H90" s="1" t="s">
        <v>191</v>
      </c>
      <c r="I90" s="1" t="s">
        <v>191</v>
      </c>
      <c r="J90" s="1">
        <f>'optimal solution'!$I$145</f>
        <v>0.04</v>
      </c>
      <c r="K90" s="1">
        <f>'optimal solution'!$I$144</f>
        <v>0.5</v>
      </c>
      <c r="L90" s="1" t="s">
        <v>361</v>
      </c>
      <c r="M90" s="24" t="s">
        <v>192</v>
      </c>
      <c r="P90" s="1" t="b">
        <v>0</v>
      </c>
    </row>
    <row r="91" spans="1:16" x14ac:dyDescent="0.2">
      <c r="A91" s="1">
        <f>'optimal solution'!$I$151</f>
        <v>992.67045886543383</v>
      </c>
      <c r="B91" s="24" t="s">
        <v>211</v>
      </c>
      <c r="C91" s="1">
        <v>0</v>
      </c>
      <c r="H91" s="37">
        <f>'cash flows'!$D$18</f>
        <v>0.06</v>
      </c>
      <c r="I91" s="1" t="s">
        <v>191</v>
      </c>
      <c r="J91" s="1">
        <f>'optimal solution'!$H$151</f>
        <v>1.5</v>
      </c>
      <c r="K91" s="1">
        <f>'optimal solution'!$H$150</f>
        <v>0.5</v>
      </c>
      <c r="L91" s="1" t="s">
        <v>362</v>
      </c>
      <c r="M91" s="24" t="s">
        <v>192</v>
      </c>
      <c r="O91" s="1" t="str">
        <f>'optimal solution'!$I$150</f>
        <v>Variable cost increase</v>
      </c>
      <c r="P91" s="1" t="b">
        <v>0</v>
      </c>
    </row>
    <row r="92" spans="1:16" x14ac:dyDescent="0.2">
      <c r="A92" s="1">
        <f>'optimal solution'!$J$149</f>
        <v>812.18347069480137</v>
      </c>
      <c r="B92" s="24" t="s">
        <v>202</v>
      </c>
      <c r="C92" s="1">
        <v>0</v>
      </c>
      <c r="H92" s="1" t="s">
        <v>191</v>
      </c>
      <c r="I92" s="1" t="s">
        <v>191</v>
      </c>
      <c r="J92" s="1">
        <f>'optimal solution'!$I$149</f>
        <v>7.0000000000000007E-2</v>
      </c>
      <c r="K92" s="1">
        <f>'optimal solution'!$I$148</f>
        <v>0.5</v>
      </c>
      <c r="L92" s="1" t="s">
        <v>363</v>
      </c>
      <c r="M92" s="24" t="s">
        <v>192</v>
      </c>
      <c r="P92" s="1" t="b">
        <v>0</v>
      </c>
    </row>
    <row r="93" spans="1:16" x14ac:dyDescent="0.2">
      <c r="A93" s="1">
        <f>'optimal solution'!$J$153</f>
        <v>1173.1574470360663</v>
      </c>
      <c r="B93" s="24" t="s">
        <v>203</v>
      </c>
      <c r="C93" s="1">
        <v>0</v>
      </c>
      <c r="H93" s="1" t="s">
        <v>191</v>
      </c>
      <c r="I93" s="1" t="s">
        <v>191</v>
      </c>
      <c r="J93" s="1">
        <f>'optimal solution'!$I$153</f>
        <v>0.04</v>
      </c>
      <c r="K93" s="1">
        <f>'optimal solution'!$I$152</f>
        <v>0.5</v>
      </c>
      <c r="L93" s="1" t="s">
        <v>363</v>
      </c>
      <c r="M93" s="24" t="s">
        <v>192</v>
      </c>
      <c r="P93" s="1" t="b">
        <v>0</v>
      </c>
    </row>
    <row r="94" spans="1:16" x14ac:dyDescent="0.2">
      <c r="A94" s="1">
        <f>'optimal solution'!$I$157</f>
        <v>1253.0615114938678</v>
      </c>
      <c r="B94" s="24" t="s">
        <v>203</v>
      </c>
      <c r="C94" s="1">
        <v>0</v>
      </c>
      <c r="H94" s="37">
        <f>'cash flows'!$D$18</f>
        <v>0.06</v>
      </c>
      <c r="I94" s="1" t="s">
        <v>191</v>
      </c>
      <c r="J94" s="1">
        <f>'optimal solution'!$H$157</f>
        <v>1.3</v>
      </c>
      <c r="K94" s="1">
        <f>'optimal solution'!$H$156</f>
        <v>0.25</v>
      </c>
      <c r="L94" s="1" t="s">
        <v>364</v>
      </c>
      <c r="M94" s="24" t="s">
        <v>192</v>
      </c>
      <c r="O94" s="1" t="str">
        <f>'optimal solution'!$I$156</f>
        <v>Variable cost increase</v>
      </c>
      <c r="P94" s="1" t="b">
        <v>0</v>
      </c>
    </row>
    <row r="95" spans="1:16" x14ac:dyDescent="0.2">
      <c r="A95" s="1">
        <f>'optimal solution'!$J$155</f>
        <v>1072.5745233232353</v>
      </c>
      <c r="B95" s="24" t="s">
        <v>202</v>
      </c>
      <c r="C95" s="1">
        <v>0</v>
      </c>
      <c r="H95" s="1" t="s">
        <v>191</v>
      </c>
      <c r="I95" s="1" t="s">
        <v>191</v>
      </c>
      <c r="J95" s="1">
        <f>'optimal solution'!$I$155</f>
        <v>7.0000000000000007E-2</v>
      </c>
      <c r="K95" s="1">
        <f>'optimal solution'!$I$154</f>
        <v>0.5</v>
      </c>
      <c r="L95" s="1" t="s">
        <v>365</v>
      </c>
      <c r="M95" s="24" t="s">
        <v>192</v>
      </c>
      <c r="P95" s="1" t="b">
        <v>0</v>
      </c>
    </row>
    <row r="96" spans="1:16" x14ac:dyDescent="0.2">
      <c r="A96" s="1">
        <f>'optimal solution'!$J$159</f>
        <v>1433.5484996645002</v>
      </c>
      <c r="B96" s="24" t="s">
        <v>203</v>
      </c>
      <c r="C96" s="1">
        <v>0</v>
      </c>
      <c r="H96" s="1" t="s">
        <v>191</v>
      </c>
      <c r="I96" s="1" t="s">
        <v>191</v>
      </c>
      <c r="J96" s="1">
        <f>'optimal solution'!$I$159</f>
        <v>0.04</v>
      </c>
      <c r="K96" s="1">
        <f>'optimal solution'!$I$158</f>
        <v>0.5</v>
      </c>
      <c r="L96" s="1" t="s">
        <v>365</v>
      </c>
      <c r="M96" s="24" t="s">
        <v>192</v>
      </c>
      <c r="P96" s="1" t="b">
        <v>0</v>
      </c>
    </row>
    <row r="97" spans="1:16" x14ac:dyDescent="0.2">
      <c r="A97" s="1">
        <f>'optimal solution'!$H$169</f>
        <v>-1.2356437633284258</v>
      </c>
      <c r="B97" s="24" t="s">
        <v>211</v>
      </c>
      <c r="C97" s="1">
        <v>0</v>
      </c>
      <c r="H97" s="1">
        <f>'cash flows'!$E$16</f>
        <v>1.5</v>
      </c>
      <c r="I97" s="1" t="s">
        <v>191</v>
      </c>
      <c r="J97" s="1">
        <f>'optimal solution'!$G$169</f>
        <v>2</v>
      </c>
      <c r="K97" s="1">
        <f>'optimal solution'!$G$168</f>
        <v>0</v>
      </c>
      <c r="L97" s="1" t="s">
        <v>366</v>
      </c>
      <c r="M97" s="24" t="s">
        <v>192</v>
      </c>
      <c r="O97" s="1" t="str">
        <f>'optimal solution'!$H$168</f>
        <v>Construction costs</v>
      </c>
      <c r="P97" s="1" t="b">
        <v>0</v>
      </c>
    </row>
    <row r="98" spans="1:16" x14ac:dyDescent="0.2">
      <c r="A98" s="1">
        <f>'optimal solution'!$I$165</f>
        <v>-261.62669639176249</v>
      </c>
      <c r="B98" s="24" t="s">
        <v>202</v>
      </c>
      <c r="C98" s="1">
        <v>0</v>
      </c>
      <c r="H98" s="37">
        <f>'cash flows'!$D$18</f>
        <v>0.06</v>
      </c>
      <c r="I98" s="1" t="s">
        <v>191</v>
      </c>
      <c r="J98" s="1">
        <f>'optimal solution'!$H$165</f>
        <v>1.7</v>
      </c>
      <c r="K98" s="1">
        <f>'optimal solution'!$H$164</f>
        <v>0.25</v>
      </c>
      <c r="L98" s="1" t="s">
        <v>367</v>
      </c>
      <c r="M98" s="24" t="s">
        <v>192</v>
      </c>
      <c r="O98" s="1" t="str">
        <f>'optimal solution'!$I$164</f>
        <v>Variable cost increase</v>
      </c>
      <c r="P98" s="1" t="b">
        <v>0</v>
      </c>
    </row>
    <row r="99" spans="1:16" x14ac:dyDescent="0.2">
      <c r="A99" s="1">
        <f>'optimal solution'!$J$163</f>
        <v>-375.81104270316206</v>
      </c>
      <c r="B99" s="24" t="s">
        <v>202</v>
      </c>
      <c r="C99" s="1">
        <v>0</v>
      </c>
      <c r="H99" s="1" t="s">
        <v>191</v>
      </c>
      <c r="I99" s="1" t="s">
        <v>191</v>
      </c>
      <c r="J99" s="1">
        <f>'optimal solution'!$I$163</f>
        <v>7.0000000000000007E-2</v>
      </c>
      <c r="K99" s="1">
        <f>'optimal solution'!$I$162</f>
        <v>0.5</v>
      </c>
      <c r="L99" s="1" t="s">
        <v>368</v>
      </c>
      <c r="M99" s="24" t="s">
        <v>192</v>
      </c>
      <c r="P99" s="1" t="b">
        <v>0</v>
      </c>
    </row>
    <row r="100" spans="1:16" x14ac:dyDescent="0.2">
      <c r="A100" s="1">
        <f>'optimal solution'!$J$167</f>
        <v>-147.4423500803629</v>
      </c>
      <c r="B100" s="24" t="s">
        <v>203</v>
      </c>
      <c r="C100" s="1">
        <v>0</v>
      </c>
      <c r="H100" s="1" t="s">
        <v>191</v>
      </c>
      <c r="I100" s="1" t="s">
        <v>191</v>
      </c>
      <c r="J100" s="1">
        <f>'optimal solution'!$I$167</f>
        <v>0.04</v>
      </c>
      <c r="K100" s="1">
        <f>'optimal solution'!$I$166</f>
        <v>0.5</v>
      </c>
      <c r="L100" s="1" t="s">
        <v>368</v>
      </c>
      <c r="M100" s="24" t="s">
        <v>192</v>
      </c>
      <c r="P100" s="1" t="b">
        <v>0</v>
      </c>
    </row>
    <row r="101" spans="1:16" x14ac:dyDescent="0.2">
      <c r="A101" s="1">
        <f>'optimal solution'!$I$173</f>
        <v>-1.2356437633283335</v>
      </c>
      <c r="B101" s="24" t="s">
        <v>211</v>
      </c>
      <c r="C101" s="1">
        <v>0</v>
      </c>
      <c r="H101" s="37">
        <f>'cash flows'!$D$18</f>
        <v>0.06</v>
      </c>
      <c r="I101" s="1" t="s">
        <v>191</v>
      </c>
      <c r="J101" s="1">
        <f>'optimal solution'!$H$173</f>
        <v>1.5</v>
      </c>
      <c r="K101" s="1">
        <f>'optimal solution'!$H$172</f>
        <v>0.5</v>
      </c>
      <c r="L101" s="1" t="s">
        <v>369</v>
      </c>
      <c r="M101" s="24" t="s">
        <v>192</v>
      </c>
      <c r="O101" s="1" t="str">
        <f>'optimal solution'!$I$172</f>
        <v>Variable cost increase</v>
      </c>
      <c r="P101" s="1" t="b">
        <v>0</v>
      </c>
    </row>
    <row r="102" spans="1:16" x14ac:dyDescent="0.2">
      <c r="A102" s="1">
        <f>'optimal solution'!$J$171</f>
        <v>-115.41999007472789</v>
      </c>
      <c r="B102" s="24" t="s">
        <v>202</v>
      </c>
      <c r="C102" s="1">
        <v>0</v>
      </c>
      <c r="H102" s="1" t="s">
        <v>191</v>
      </c>
      <c r="I102" s="1" t="s">
        <v>191</v>
      </c>
      <c r="J102" s="1">
        <f>'optimal solution'!$I$171</f>
        <v>7.0000000000000007E-2</v>
      </c>
      <c r="K102" s="1">
        <f>'optimal solution'!$I$170</f>
        <v>0.5</v>
      </c>
      <c r="L102" s="1" t="s">
        <v>370</v>
      </c>
      <c r="M102" s="24" t="s">
        <v>192</v>
      </c>
      <c r="P102" s="1" t="b">
        <v>0</v>
      </c>
    </row>
    <row r="103" spans="1:16" x14ac:dyDescent="0.2">
      <c r="A103" s="1">
        <f>'optimal solution'!$J$175</f>
        <v>112.94870254807122</v>
      </c>
      <c r="B103" s="24" t="s">
        <v>203</v>
      </c>
      <c r="C103" s="1">
        <v>0</v>
      </c>
      <c r="H103" s="1" t="s">
        <v>191</v>
      </c>
      <c r="I103" s="1" t="s">
        <v>191</v>
      </c>
      <c r="J103" s="1">
        <f>'optimal solution'!$I$175</f>
        <v>0.04</v>
      </c>
      <c r="K103" s="1">
        <f>'optimal solution'!$I$174</f>
        <v>0.5</v>
      </c>
      <c r="L103" s="1" t="s">
        <v>370</v>
      </c>
      <c r="M103" s="24" t="s">
        <v>192</v>
      </c>
      <c r="P103" s="1" t="b">
        <v>0</v>
      </c>
    </row>
    <row r="104" spans="1:16" x14ac:dyDescent="0.2">
      <c r="A104" s="1">
        <f>'optimal solution'!$I$179</f>
        <v>259.15540886510547</v>
      </c>
      <c r="B104" s="24" t="s">
        <v>203</v>
      </c>
      <c r="C104" s="1">
        <v>0</v>
      </c>
      <c r="H104" s="37">
        <f>'cash flows'!$D$18</f>
        <v>0.06</v>
      </c>
      <c r="I104" s="1" t="s">
        <v>191</v>
      </c>
      <c r="J104" s="1">
        <f>'optimal solution'!$H$179</f>
        <v>1.3</v>
      </c>
      <c r="K104" s="1">
        <f>'optimal solution'!$H$178</f>
        <v>0.25</v>
      </c>
      <c r="L104" s="1" t="s">
        <v>371</v>
      </c>
      <c r="M104" s="24" t="s">
        <v>192</v>
      </c>
      <c r="O104" s="1" t="str">
        <f>'optimal solution'!$I$178</f>
        <v>Variable cost increase</v>
      </c>
      <c r="P104" s="1" t="b">
        <v>0</v>
      </c>
    </row>
    <row r="105" spans="1:16" x14ac:dyDescent="0.2">
      <c r="A105" s="1">
        <f>'optimal solution'!$J$177</f>
        <v>144.97106255370585</v>
      </c>
      <c r="B105" s="24" t="s">
        <v>202</v>
      </c>
      <c r="C105" s="1">
        <v>0</v>
      </c>
      <c r="H105" s="1" t="s">
        <v>191</v>
      </c>
      <c r="I105" s="1" t="s">
        <v>191</v>
      </c>
      <c r="J105" s="1">
        <f>'optimal solution'!$I$177</f>
        <v>7.0000000000000007E-2</v>
      </c>
      <c r="K105" s="1">
        <f>'optimal solution'!$I$176</f>
        <v>0.5</v>
      </c>
      <c r="L105" s="1" t="s">
        <v>372</v>
      </c>
      <c r="M105" s="24" t="s">
        <v>192</v>
      </c>
      <c r="P105" s="1" t="b">
        <v>0</v>
      </c>
    </row>
    <row r="106" spans="1:16" x14ac:dyDescent="0.2">
      <c r="A106" s="1">
        <f>'optimal solution'!$J$181</f>
        <v>373.33975517650509</v>
      </c>
      <c r="B106" s="24" t="s">
        <v>203</v>
      </c>
      <c r="C106" s="1">
        <v>0</v>
      </c>
      <c r="H106" s="1" t="s">
        <v>191</v>
      </c>
      <c r="I106" s="1" t="s">
        <v>191</v>
      </c>
      <c r="J106" s="1">
        <f>'optimal solution'!$I$181</f>
        <v>0.04</v>
      </c>
      <c r="K106" s="1">
        <f>'optimal solution'!$I$180</f>
        <v>0.5</v>
      </c>
      <c r="L106" s="1" t="s">
        <v>372</v>
      </c>
      <c r="M106" s="24" t="s">
        <v>192</v>
      </c>
      <c r="P106" s="1" t="b">
        <v>0</v>
      </c>
    </row>
    <row r="107" spans="1:16" x14ac:dyDescent="0.2">
      <c r="A107" s="1">
        <f>'optimal solution'!$H$189</f>
        <v>-396.00145873076332</v>
      </c>
      <c r="B107" s="24" t="s">
        <v>203</v>
      </c>
      <c r="C107" s="1">
        <v>0</v>
      </c>
      <c r="H107" s="1">
        <f>'cash flows'!$E$16</f>
        <v>1.5</v>
      </c>
      <c r="I107" s="1" t="s">
        <v>191</v>
      </c>
      <c r="J107" s="1">
        <f>'optimal solution'!$G$189</f>
        <v>1</v>
      </c>
      <c r="K107" s="1">
        <f>'optimal solution'!$G$188</f>
        <v>0</v>
      </c>
      <c r="L107" s="1" t="s">
        <v>373</v>
      </c>
      <c r="M107" s="24" t="s">
        <v>192</v>
      </c>
      <c r="O107" s="1" t="str">
        <f>'optimal solution'!$H$188</f>
        <v>Construction costs</v>
      </c>
      <c r="P107" s="1" t="b">
        <v>0</v>
      </c>
    </row>
    <row r="108" spans="1:16" x14ac:dyDescent="0.2">
      <c r="A108" s="1">
        <f>'optimal solution'!$I$185</f>
        <v>-656.39251135919699</v>
      </c>
      <c r="B108" s="24" t="s">
        <v>202</v>
      </c>
      <c r="C108" s="1">
        <v>0</v>
      </c>
      <c r="H108" s="37">
        <f>'cash flows'!$D$18</f>
        <v>0.06</v>
      </c>
      <c r="I108" s="1" t="s">
        <v>191</v>
      </c>
      <c r="J108" s="1">
        <f>'optimal solution'!$H$185</f>
        <v>1.7</v>
      </c>
      <c r="K108" s="1">
        <f>'optimal solution'!$H$184</f>
        <v>0.25</v>
      </c>
      <c r="L108" s="1" t="s">
        <v>374</v>
      </c>
      <c r="M108" s="24" t="s">
        <v>192</v>
      </c>
      <c r="O108" s="1" t="str">
        <f>'optimal solution'!$I$184</f>
        <v>Variable cost increase</v>
      </c>
      <c r="P108" s="1" t="b">
        <v>0</v>
      </c>
    </row>
    <row r="109" spans="1:16" x14ac:dyDescent="0.2">
      <c r="A109" s="1">
        <f>'optimal solution'!$J$183</f>
        <v>-712.84380889290094</v>
      </c>
      <c r="B109" s="24" t="s">
        <v>202</v>
      </c>
      <c r="C109" s="1">
        <v>0</v>
      </c>
      <c r="H109" s="1" t="s">
        <v>191</v>
      </c>
      <c r="I109" s="1" t="s">
        <v>191</v>
      </c>
      <c r="J109" s="1">
        <f>'optimal solution'!$I$183</f>
        <v>7.0000000000000007E-2</v>
      </c>
      <c r="K109" s="1">
        <f>'optimal solution'!$I$182</f>
        <v>0.5</v>
      </c>
      <c r="L109" s="1" t="s">
        <v>375</v>
      </c>
      <c r="M109" s="24" t="s">
        <v>192</v>
      </c>
      <c r="P109" s="1" t="b">
        <v>0</v>
      </c>
    </row>
    <row r="110" spans="1:16" x14ac:dyDescent="0.2">
      <c r="A110" s="1">
        <f>'optimal solution'!$J$187</f>
        <v>-599.94121382549304</v>
      </c>
      <c r="B110" s="24" t="s">
        <v>203</v>
      </c>
      <c r="C110" s="1">
        <v>0</v>
      </c>
      <c r="H110" s="1" t="s">
        <v>191</v>
      </c>
      <c r="I110" s="1" t="s">
        <v>191</v>
      </c>
      <c r="J110" s="1">
        <f>'optimal solution'!$I$187</f>
        <v>0.04</v>
      </c>
      <c r="K110" s="1">
        <f>'optimal solution'!$I$186</f>
        <v>0.5</v>
      </c>
      <c r="L110" s="1" t="s">
        <v>375</v>
      </c>
      <c r="M110" s="24" t="s">
        <v>192</v>
      </c>
      <c r="P110" s="1" t="b">
        <v>0</v>
      </c>
    </row>
    <row r="111" spans="1:16" x14ac:dyDescent="0.2">
      <c r="A111" s="1">
        <f>'optimal solution'!$I$193</f>
        <v>-396.00145873076332</v>
      </c>
      <c r="B111" s="24" t="s">
        <v>211</v>
      </c>
      <c r="C111" s="1">
        <v>0</v>
      </c>
      <c r="H111" s="37">
        <f>'cash flows'!$D$18</f>
        <v>0.06</v>
      </c>
      <c r="I111" s="1" t="s">
        <v>191</v>
      </c>
      <c r="J111" s="1">
        <f>'optimal solution'!$H$193</f>
        <v>1.5</v>
      </c>
      <c r="K111" s="1">
        <f>'optimal solution'!$H$192</f>
        <v>0.5</v>
      </c>
      <c r="L111" s="1" t="s">
        <v>376</v>
      </c>
      <c r="M111" s="24" t="s">
        <v>192</v>
      </c>
      <c r="O111" s="1" t="str">
        <f>'optimal solution'!$I$192</f>
        <v>Variable cost increase</v>
      </c>
      <c r="P111" s="1" t="b">
        <v>0</v>
      </c>
    </row>
    <row r="112" spans="1:16" x14ac:dyDescent="0.2">
      <c r="A112" s="1">
        <f>'optimal solution'!$J$191</f>
        <v>-452.45275626446715</v>
      </c>
      <c r="B112" s="24" t="s">
        <v>202</v>
      </c>
      <c r="C112" s="1">
        <v>0</v>
      </c>
      <c r="H112" s="1" t="s">
        <v>191</v>
      </c>
      <c r="I112" s="1" t="s">
        <v>191</v>
      </c>
      <c r="J112" s="1">
        <f>'optimal solution'!$I$191</f>
        <v>7.0000000000000007E-2</v>
      </c>
      <c r="K112" s="1">
        <f>'optimal solution'!$I$190</f>
        <v>0.5</v>
      </c>
      <c r="L112" s="1" t="s">
        <v>377</v>
      </c>
      <c r="M112" s="24" t="s">
        <v>192</v>
      </c>
      <c r="P112" s="1" t="b">
        <v>0</v>
      </c>
    </row>
    <row r="113" spans="1:16" x14ac:dyDescent="0.2">
      <c r="A113" s="1">
        <f>'optimal solution'!$J$195</f>
        <v>-339.55016119705948</v>
      </c>
      <c r="B113" s="24" t="s">
        <v>203</v>
      </c>
      <c r="C113" s="1">
        <v>0</v>
      </c>
      <c r="H113" s="1" t="s">
        <v>191</v>
      </c>
      <c r="I113" s="1" t="s">
        <v>191</v>
      </c>
      <c r="J113" s="1">
        <f>'optimal solution'!$I$195</f>
        <v>0.04</v>
      </c>
      <c r="K113" s="1">
        <f>'optimal solution'!$I$194</f>
        <v>0.5</v>
      </c>
      <c r="L113" s="1" t="s">
        <v>377</v>
      </c>
      <c r="M113" s="24" t="s">
        <v>192</v>
      </c>
      <c r="P113" s="1" t="b">
        <v>0</v>
      </c>
    </row>
    <row r="114" spans="1:16" x14ac:dyDescent="0.2">
      <c r="A114" s="1">
        <f>'optimal solution'!$I$199</f>
        <v>-135.61040610232956</v>
      </c>
      <c r="B114" s="24" t="s">
        <v>203</v>
      </c>
      <c r="C114" s="1">
        <v>0</v>
      </c>
      <c r="H114" s="37">
        <f>'cash flows'!$D$18</f>
        <v>0.06</v>
      </c>
      <c r="I114" s="1" t="s">
        <v>191</v>
      </c>
      <c r="J114" s="1">
        <f>'optimal solution'!$H$199</f>
        <v>1.3</v>
      </c>
      <c r="K114" s="1">
        <f>'optimal solution'!$H$198</f>
        <v>0.25</v>
      </c>
      <c r="L114" s="1" t="s">
        <v>378</v>
      </c>
      <c r="M114" s="24" t="s">
        <v>192</v>
      </c>
      <c r="O114" s="1" t="str">
        <f>'optimal solution'!$I$198</f>
        <v>Variable cost increase</v>
      </c>
      <c r="P114" s="1" t="b">
        <v>0</v>
      </c>
    </row>
    <row r="115" spans="1:16" x14ac:dyDescent="0.2">
      <c r="A115" s="1">
        <f>'optimal solution'!$J$197</f>
        <v>-192.06170363603346</v>
      </c>
      <c r="B115" s="24" t="s">
        <v>202</v>
      </c>
      <c r="C115" s="1">
        <v>0</v>
      </c>
      <c r="H115" s="1" t="s">
        <v>191</v>
      </c>
      <c r="I115" s="1" t="s">
        <v>191</v>
      </c>
      <c r="J115" s="1">
        <f>'optimal solution'!$I$197</f>
        <v>7.0000000000000007E-2</v>
      </c>
      <c r="K115" s="1">
        <f>'optimal solution'!$I$196</f>
        <v>0.5</v>
      </c>
      <c r="L115" s="1" t="s">
        <v>379</v>
      </c>
      <c r="M115" s="24" t="s">
        <v>192</v>
      </c>
      <c r="P115" s="1" t="b">
        <v>0</v>
      </c>
    </row>
    <row r="116" spans="1:16" x14ac:dyDescent="0.2">
      <c r="A116" s="1">
        <f>'optimal solution'!$J$201</f>
        <v>-79.159108568625683</v>
      </c>
      <c r="B116" s="24" t="s">
        <v>203</v>
      </c>
      <c r="C116" s="1">
        <v>0</v>
      </c>
      <c r="H116" s="1" t="s">
        <v>191</v>
      </c>
      <c r="I116" s="1" t="s">
        <v>191</v>
      </c>
      <c r="J116" s="1">
        <f>'optimal solution'!$I$201</f>
        <v>0.04</v>
      </c>
      <c r="K116" s="1">
        <f>'optimal solution'!$I$200</f>
        <v>0.5</v>
      </c>
      <c r="L116" s="1" t="s">
        <v>379</v>
      </c>
      <c r="M116" s="24" t="s">
        <v>192</v>
      </c>
      <c r="P116" s="1" t="b">
        <v>0</v>
      </c>
    </row>
    <row r="117" spans="1:16" x14ac:dyDescent="0.2">
      <c r="B117" s="24"/>
      <c r="M117" s="24"/>
    </row>
    <row r="118" spans="1:16" x14ac:dyDescent="0.2">
      <c r="A118" s="1">
        <f>'optimal solution'!$F$207</f>
        <v>-128.24912948069479</v>
      </c>
      <c r="B118" s="24" t="s">
        <v>208</v>
      </c>
      <c r="C118" s="1">
        <v>0</v>
      </c>
      <c r="H118" s="1">
        <f>'cash flows'!$C$25</f>
        <v>0</v>
      </c>
      <c r="I118" s="1" t="s">
        <v>191</v>
      </c>
      <c r="J118" s="1">
        <f>'optimal solution'!$E$207</f>
        <v>0</v>
      </c>
      <c r="K118" s="1">
        <f>'optimal solution'!$E$206</f>
        <v>0.8</v>
      </c>
      <c r="L118" s="1" t="s">
        <v>385</v>
      </c>
      <c r="M118" s="24" t="s">
        <v>192</v>
      </c>
      <c r="O118" s="1" t="str">
        <f>'optimal solution'!$F$206</f>
        <v>Start construction</v>
      </c>
      <c r="P118" s="1" t="b">
        <v>0</v>
      </c>
    </row>
    <row r="119" spans="1:16" x14ac:dyDescent="0.2">
      <c r="B119" s="24"/>
      <c r="M119" s="24"/>
    </row>
    <row r="120" spans="1:16" x14ac:dyDescent="0.2">
      <c r="B120" s="24"/>
      <c r="M120" s="24"/>
    </row>
    <row r="121" spans="1:16" x14ac:dyDescent="0.2">
      <c r="B121" s="24"/>
      <c r="H121" s="37"/>
      <c r="M121" s="24"/>
    </row>
    <row r="122" spans="1:16" x14ac:dyDescent="0.2">
      <c r="B122" s="24"/>
      <c r="M122" s="24"/>
    </row>
    <row r="123" spans="1:16" x14ac:dyDescent="0.2">
      <c r="B123" s="24"/>
      <c r="M123" s="24"/>
    </row>
    <row r="124" spans="1:16" x14ac:dyDescent="0.2">
      <c r="B124" s="24"/>
      <c r="H124" s="37"/>
      <c r="M124" s="24"/>
    </row>
    <row r="125" spans="1:16" x14ac:dyDescent="0.2">
      <c r="B125" s="24"/>
      <c r="M125" s="24"/>
    </row>
    <row r="126" spans="1:16" x14ac:dyDescent="0.2">
      <c r="B126" s="24"/>
      <c r="M126" s="24"/>
    </row>
    <row r="127" spans="1:16" x14ac:dyDescent="0.2">
      <c r="B127" s="24"/>
      <c r="H127" s="37"/>
      <c r="M127" s="24"/>
    </row>
    <row r="128" spans="1:16" x14ac:dyDescent="0.2">
      <c r="B128" s="24"/>
      <c r="M128" s="24"/>
    </row>
    <row r="129" spans="2:13" x14ac:dyDescent="0.2">
      <c r="B129" s="24"/>
      <c r="M129" s="24"/>
    </row>
    <row r="130" spans="2:13" x14ac:dyDescent="0.2">
      <c r="B130" s="24"/>
      <c r="M130" s="24"/>
    </row>
    <row r="131" spans="2:13" x14ac:dyDescent="0.2">
      <c r="B131" s="24"/>
      <c r="H131" s="37"/>
      <c r="M131" s="24"/>
    </row>
    <row r="132" spans="2:13" x14ac:dyDescent="0.2">
      <c r="B132" s="24"/>
      <c r="M132" s="24"/>
    </row>
    <row r="133" spans="2:13" x14ac:dyDescent="0.2">
      <c r="B133" s="24"/>
      <c r="M133" s="24"/>
    </row>
    <row r="134" spans="2:13" x14ac:dyDescent="0.2">
      <c r="B134" s="24"/>
      <c r="H134" s="37"/>
      <c r="M134" s="24"/>
    </row>
    <row r="135" spans="2:13" x14ac:dyDescent="0.2">
      <c r="B135" s="24"/>
      <c r="M135" s="24"/>
    </row>
    <row r="136" spans="2:13" x14ac:dyDescent="0.2">
      <c r="B136" s="24"/>
      <c r="M136" s="24"/>
    </row>
    <row r="137" spans="2:13" x14ac:dyDescent="0.2">
      <c r="B137" s="24"/>
      <c r="H137" s="37"/>
      <c r="M137" s="24"/>
    </row>
    <row r="138" spans="2:13" x14ac:dyDescent="0.2">
      <c r="B138" s="24"/>
      <c r="M138" s="24"/>
    </row>
    <row r="139" spans="2:13" x14ac:dyDescent="0.2">
      <c r="B139" s="24"/>
      <c r="M139" s="24"/>
    </row>
    <row r="140" spans="2:13" x14ac:dyDescent="0.2">
      <c r="B140" s="24"/>
      <c r="M140" s="24"/>
    </row>
    <row r="141" spans="2:13" x14ac:dyDescent="0.2">
      <c r="B141" s="24"/>
      <c r="H141" s="37"/>
      <c r="M141" s="24"/>
    </row>
    <row r="142" spans="2:13" x14ac:dyDescent="0.2">
      <c r="B142" s="24"/>
      <c r="M142" s="24"/>
    </row>
    <row r="143" spans="2:13" x14ac:dyDescent="0.2">
      <c r="B143" s="24"/>
      <c r="M143" s="24"/>
    </row>
    <row r="144" spans="2:13" x14ac:dyDescent="0.2">
      <c r="B144" s="24"/>
      <c r="H144" s="37"/>
      <c r="M144" s="24"/>
    </row>
    <row r="145" spans="1:16" x14ac:dyDescent="0.2">
      <c r="B145" s="24"/>
      <c r="M145" s="24"/>
    </row>
    <row r="146" spans="1:16" x14ac:dyDescent="0.2">
      <c r="B146" s="24"/>
      <c r="M146" s="24"/>
    </row>
    <row r="147" spans="1:16" x14ac:dyDescent="0.2">
      <c r="B147" s="24"/>
      <c r="H147" s="37"/>
      <c r="M147" s="24"/>
    </row>
    <row r="148" spans="1:16" x14ac:dyDescent="0.2">
      <c r="B148" s="24"/>
      <c r="M148" s="24"/>
    </row>
    <row r="149" spans="1:16" x14ac:dyDescent="0.2">
      <c r="B149" s="24"/>
      <c r="M149" s="24"/>
    </row>
    <row r="150" spans="1:16" x14ac:dyDescent="0.2">
      <c r="A150" s="1">
        <f>'optimal solution'!$G$209</f>
        <v>-128.24912948069479</v>
      </c>
      <c r="B150" s="24" t="s">
        <v>198</v>
      </c>
      <c r="C150" s="1">
        <v>0</v>
      </c>
      <c r="H150" s="1" t="s">
        <v>191</v>
      </c>
      <c r="I150" s="1" t="s">
        <v>191</v>
      </c>
      <c r="J150" s="1">
        <f>'optimal solution'!$F$209</f>
        <v>0</v>
      </c>
      <c r="L150" s="1" t="s">
        <v>380</v>
      </c>
      <c r="M150" s="24" t="s">
        <v>192</v>
      </c>
      <c r="P150" s="1" t="b">
        <v>0</v>
      </c>
    </row>
    <row r="151" spans="1:16" x14ac:dyDescent="0.2">
      <c r="B151" s="24"/>
      <c r="M151" s="24"/>
    </row>
    <row r="152" spans="1:16" x14ac:dyDescent="0.2">
      <c r="B152" s="24"/>
      <c r="M152" s="24"/>
    </row>
    <row r="153" spans="1:16" x14ac:dyDescent="0.2">
      <c r="B153" s="24"/>
      <c r="M153" s="24"/>
    </row>
    <row r="154" spans="1:16" x14ac:dyDescent="0.2">
      <c r="B154" s="24"/>
      <c r="M154" s="24"/>
    </row>
    <row r="155" spans="1:16" x14ac:dyDescent="0.2">
      <c r="B155" s="24"/>
      <c r="M155"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70"/>
  <sheetViews>
    <sheetView workbookViewId="0">
      <selection activeCell="B269" sqref="B269"/>
    </sheetView>
  </sheetViews>
  <sheetFormatPr baseColWidth="10" defaultColWidth="15.7109375" defaultRowHeight="12.75" x14ac:dyDescent="0.2"/>
  <cols>
    <col min="1" max="16384" width="15.7109375" style="1"/>
  </cols>
  <sheetData>
    <row r="1" spans="1:16" x14ac:dyDescent="0.2">
      <c r="A1" s="1" t="s">
        <v>156</v>
      </c>
      <c r="B1" s="24" t="s">
        <v>193</v>
      </c>
      <c r="E1" s="1" t="s">
        <v>164</v>
      </c>
      <c r="F1" s="1">
        <v>3</v>
      </c>
      <c r="H1" s="1" t="s">
        <v>167</v>
      </c>
      <c r="I1" s="24" t="s">
        <v>142</v>
      </c>
      <c r="K1" s="1" t="s">
        <v>172</v>
      </c>
      <c r="L1" s="1">
        <v>100</v>
      </c>
    </row>
    <row r="2" spans="1:16" x14ac:dyDescent="0.2">
      <c r="A2" s="1" t="s">
        <v>157</v>
      </c>
      <c r="B2" s="1" t="e">
        <f>tree!#REF!</f>
        <v>#REF!</v>
      </c>
      <c r="E2" s="1" t="s">
        <v>165</v>
      </c>
      <c r="F2" s="1">
        <f>_xll.PTreeEvaluate5(B3,$L$11:$L$170,$J$11:$J$170,$K$11:$K$170,$N$11:$N$170,$G$11:$G$170,,L1)</f>
        <v>488833</v>
      </c>
    </row>
    <row r="3" spans="1:16" x14ac:dyDescent="0.2">
      <c r="A3" s="1" t="s">
        <v>158</v>
      </c>
      <c r="B3" s="1" t="s">
        <v>194</v>
      </c>
      <c r="E3" s="1" t="s">
        <v>104</v>
      </c>
      <c r="F3" s="24" t="s">
        <v>136</v>
      </c>
      <c r="H3" s="1" t="s">
        <v>168</v>
      </c>
      <c r="I3" s="27" t="s">
        <v>189</v>
      </c>
    </row>
    <row r="4" spans="1:16" x14ac:dyDescent="0.2">
      <c r="A4" s="1" t="s">
        <v>159</v>
      </c>
      <c r="B4" s="1">
        <f>'cash flows'!$E$41</f>
        <v>0</v>
      </c>
      <c r="E4" s="1" t="s">
        <v>105</v>
      </c>
      <c r="F4" s="24" t="s">
        <v>188</v>
      </c>
      <c r="H4" s="1" t="s">
        <v>169</v>
      </c>
      <c r="I4" s="24" t="s">
        <v>190</v>
      </c>
    </row>
    <row r="5" spans="1:16" x14ac:dyDescent="0.2">
      <c r="A5" s="1" t="s">
        <v>160</v>
      </c>
      <c r="B5" s="1">
        <v>0</v>
      </c>
      <c r="E5" s="1" t="s">
        <v>106</v>
      </c>
      <c r="F5" s="24" t="s">
        <v>188</v>
      </c>
      <c r="H5" s="1" t="s">
        <v>170</v>
      </c>
      <c r="I5" s="27" t="s">
        <v>189</v>
      </c>
    </row>
    <row r="6" spans="1:16" x14ac:dyDescent="0.2">
      <c r="A6" s="1" t="s">
        <v>161</v>
      </c>
      <c r="E6" s="1" t="s">
        <v>166</v>
      </c>
      <c r="F6" s="24" t="s">
        <v>328</v>
      </c>
      <c r="H6" s="1" t="s">
        <v>171</v>
      </c>
      <c r="I6" s="24" t="s">
        <v>190</v>
      </c>
    </row>
    <row r="7" spans="1:16" x14ac:dyDescent="0.2">
      <c r="A7" s="1" t="s">
        <v>162</v>
      </c>
      <c r="F7" s="24" t="s">
        <v>241</v>
      </c>
    </row>
    <row r="8" spans="1:16" x14ac:dyDescent="0.2">
      <c r="A8" s="1" t="s">
        <v>163</v>
      </c>
      <c r="B8" s="1">
        <v>160</v>
      </c>
    </row>
    <row r="10" spans="1:16" x14ac:dyDescent="0.2">
      <c r="A10" s="1" t="s">
        <v>173</v>
      </c>
      <c r="B10" s="1" t="s">
        <v>174</v>
      </c>
      <c r="C10" s="1" t="s">
        <v>175</v>
      </c>
      <c r="D10" s="1" t="s">
        <v>176</v>
      </c>
      <c r="E10" s="1" t="s">
        <v>177</v>
      </c>
      <c r="F10" s="1" t="s">
        <v>178</v>
      </c>
      <c r="G10" s="1" t="s">
        <v>179</v>
      </c>
      <c r="H10" s="1" t="s">
        <v>180</v>
      </c>
      <c r="I10" s="1" t="s">
        <v>181</v>
      </c>
      <c r="J10" s="1" t="s">
        <v>182</v>
      </c>
      <c r="K10" s="1" t="s">
        <v>183</v>
      </c>
      <c r="L10" s="1" t="s">
        <v>158</v>
      </c>
      <c r="M10" s="1" t="s">
        <v>184</v>
      </c>
      <c r="N10" s="1" t="s">
        <v>185</v>
      </c>
      <c r="O10" s="1" t="s">
        <v>186</v>
      </c>
      <c r="P10" s="1" t="s">
        <v>187</v>
      </c>
    </row>
    <row r="11" spans="1:16" x14ac:dyDescent="0.2">
      <c r="A11" s="1">
        <f>tree!$B$293</f>
        <v>278.36036996727938</v>
      </c>
      <c r="B11" s="1" t="str">
        <f>B1</f>
        <v>Nuclear Plant</v>
      </c>
      <c r="C11" s="1">
        <v>0</v>
      </c>
      <c r="H11" s="1">
        <f>'cash flows'!$C$23</f>
        <v>0</v>
      </c>
      <c r="I11" s="1" t="s">
        <v>191</v>
      </c>
      <c r="J11" s="1">
        <f>tree!$A$293</f>
        <v>0</v>
      </c>
      <c r="K11" s="1">
        <f>tree!$A$292</f>
        <v>0</v>
      </c>
      <c r="L11" s="1" t="s">
        <v>196</v>
      </c>
      <c r="M11" s="24" t="s">
        <v>192</v>
      </c>
      <c r="O11" s="1" t="str">
        <f>tree!$B$292</f>
        <v>Feasibility study</v>
      </c>
      <c r="P11" s="1" t="b">
        <v>0</v>
      </c>
    </row>
    <row r="12" spans="1:16" x14ac:dyDescent="0.2">
      <c r="A12" s="1">
        <f>tree!$C$151</f>
        <v>278.36036996727938</v>
      </c>
      <c r="B12" s="24" t="s">
        <v>197</v>
      </c>
      <c r="C12" s="1">
        <v>0</v>
      </c>
      <c r="H12" s="37">
        <f>'cash flows'!$E$13</f>
        <v>0.9</v>
      </c>
      <c r="I12" s="1" t="s">
        <v>191</v>
      </c>
      <c r="J12" s="1">
        <f>tree!$B$151</f>
        <v>1</v>
      </c>
      <c r="L12" s="1" t="s">
        <v>201</v>
      </c>
      <c r="M12" s="24" t="s">
        <v>192</v>
      </c>
      <c r="O12" s="1" t="str">
        <f>tree!$C$150</f>
        <v>Plant efficiency</v>
      </c>
      <c r="P12" s="1" t="b">
        <v>0</v>
      </c>
    </row>
    <row r="13" spans="1:16" x14ac:dyDescent="0.2">
      <c r="A13" s="1">
        <f>tree!$C$295</f>
        <v>0</v>
      </c>
      <c r="B13" s="24" t="s">
        <v>198</v>
      </c>
      <c r="C13" s="1">
        <v>0</v>
      </c>
      <c r="H13" s="1">
        <f>'cash flows'!$C$24</f>
        <v>0</v>
      </c>
      <c r="I13" s="1" t="s">
        <v>191</v>
      </c>
      <c r="J13" s="1">
        <f>tree!$B$295</f>
        <v>0</v>
      </c>
      <c r="L13" s="1" t="s">
        <v>239</v>
      </c>
      <c r="M13" s="24" t="s">
        <v>192</v>
      </c>
      <c r="O13" s="1" t="str">
        <f>tree!$C$294</f>
        <v>Apply for permit</v>
      </c>
      <c r="P13" s="1" t="b">
        <v>0</v>
      </c>
    </row>
    <row r="14" spans="1:16" x14ac:dyDescent="0.2">
      <c r="A14" s="1">
        <f>tree!$D$145</f>
        <v>427.61766414989165</v>
      </c>
      <c r="B14" s="24" t="s">
        <v>202</v>
      </c>
      <c r="C14" s="1">
        <v>0</v>
      </c>
      <c r="H14" s="1">
        <f>'cash flows'!$C$24</f>
        <v>0</v>
      </c>
      <c r="I14" s="1" t="s">
        <v>191</v>
      </c>
      <c r="J14" s="1">
        <f>tree!$C$145</f>
        <v>0.92</v>
      </c>
      <c r="K14" s="1">
        <f>tree!$C$144</f>
        <v>0.55000000000000004</v>
      </c>
      <c r="L14" s="1" t="s">
        <v>204</v>
      </c>
      <c r="M14" s="24" t="s">
        <v>192</v>
      </c>
      <c r="O14" s="1" t="str">
        <f>tree!$D$144</f>
        <v>Apply for permit</v>
      </c>
      <c r="P14" s="1" t="b">
        <v>0</v>
      </c>
    </row>
    <row r="15" spans="1:16" x14ac:dyDescent="0.2">
      <c r="A15" s="1">
        <f>tree!$D$287</f>
        <v>95.934788188530987</v>
      </c>
      <c r="B15" s="24" t="s">
        <v>203</v>
      </c>
      <c r="C15" s="1">
        <v>0</v>
      </c>
      <c r="H15" s="1">
        <f>'cash flows'!$C$24</f>
        <v>0</v>
      </c>
      <c r="I15" s="1" t="s">
        <v>191</v>
      </c>
      <c r="J15" s="1">
        <f>tree!$C$287</f>
        <v>0.8</v>
      </c>
      <c r="K15" s="1">
        <f>tree!$C$286</f>
        <v>0.45</v>
      </c>
      <c r="L15" s="1" t="s">
        <v>283</v>
      </c>
      <c r="M15" s="24" t="s">
        <v>192</v>
      </c>
      <c r="O15" s="1" t="str">
        <f>tree!$D$286</f>
        <v>Apply for permit</v>
      </c>
      <c r="P15" s="1" t="b">
        <v>0</v>
      </c>
    </row>
    <row r="16" spans="1:16" x14ac:dyDescent="0.2">
      <c r="A16" s="1">
        <f>tree!$E$77</f>
        <v>427.61766414989165</v>
      </c>
      <c r="B16" s="24" t="s">
        <v>197</v>
      </c>
      <c r="C16" s="1">
        <v>0</v>
      </c>
      <c r="I16" s="1" t="s">
        <v>191</v>
      </c>
      <c r="J16" s="1">
        <f>tree!$D$77</f>
        <v>1</v>
      </c>
      <c r="L16" s="1" t="s">
        <v>206</v>
      </c>
      <c r="M16" s="24" t="s">
        <v>192</v>
      </c>
      <c r="O16" s="1" t="str">
        <f>tree!$E$76</f>
        <v>Environmental legislation</v>
      </c>
      <c r="P16" s="1" t="b">
        <v>0</v>
      </c>
    </row>
    <row r="17" spans="1:16" x14ac:dyDescent="0.2">
      <c r="A17" s="1">
        <f>tree!$E$147</f>
        <v>-19.433962264150942</v>
      </c>
      <c r="B17" s="24" t="s">
        <v>198</v>
      </c>
      <c r="C17" s="1">
        <v>0</v>
      </c>
      <c r="I17" s="1" t="s">
        <v>191</v>
      </c>
      <c r="J17" s="1">
        <f>tree!$D$147</f>
        <v>0</v>
      </c>
      <c r="L17" s="1" t="s">
        <v>231</v>
      </c>
      <c r="M17" s="24" t="s">
        <v>192</v>
      </c>
      <c r="O17" s="1" t="str">
        <f>tree!$E$146</f>
        <v>Start construction</v>
      </c>
      <c r="P17" s="1" t="b">
        <v>0</v>
      </c>
    </row>
    <row r="18" spans="1:16" x14ac:dyDescent="0.2">
      <c r="A18" s="1">
        <f>tree!$F$73</f>
        <v>1477.6332950959713</v>
      </c>
      <c r="B18" s="24" t="s">
        <v>207</v>
      </c>
      <c r="C18" s="1">
        <v>0</v>
      </c>
      <c r="H18" s="1">
        <f>'cash flows'!$C$25</f>
        <v>0</v>
      </c>
      <c r="I18" s="1" t="s">
        <v>191</v>
      </c>
      <c r="J18" s="1">
        <f>tree!$E$73</f>
        <v>1</v>
      </c>
      <c r="K18" s="1">
        <f>tree!$E$72</f>
        <v>0.2</v>
      </c>
      <c r="L18" s="1" t="s">
        <v>210</v>
      </c>
      <c r="M18" s="24" t="s">
        <v>192</v>
      </c>
      <c r="O18" s="1" t="str">
        <f>tree!$F$72</f>
        <v>Start construction</v>
      </c>
      <c r="P18" s="1" t="b">
        <v>0</v>
      </c>
    </row>
    <row r="19" spans="1:16" x14ac:dyDescent="0.2">
      <c r="A19" s="1">
        <f>tree!$F$141</f>
        <v>165.11375641337173</v>
      </c>
      <c r="B19" s="24" t="s">
        <v>208</v>
      </c>
      <c r="C19" s="1">
        <v>0</v>
      </c>
      <c r="H19" s="1">
        <f>'cash flows'!$C$25</f>
        <v>0</v>
      </c>
      <c r="I19" s="1" t="s">
        <v>191</v>
      </c>
      <c r="J19" s="1">
        <f>tree!$E$141</f>
        <v>0</v>
      </c>
      <c r="K19" s="1">
        <f>tree!$E$140</f>
        <v>0.8</v>
      </c>
      <c r="L19" s="1" t="s">
        <v>216</v>
      </c>
      <c r="M19" s="24" t="s">
        <v>192</v>
      </c>
      <c r="O19" s="1" t="str">
        <f>tree!$F$140</f>
        <v>Start construction</v>
      </c>
      <c r="P19" s="1" t="b">
        <v>0</v>
      </c>
    </row>
    <row r="20" spans="1:16" x14ac:dyDescent="0.2">
      <c r="A20" s="1">
        <f>tree!$G$31</f>
        <v>1477.6332950959713</v>
      </c>
      <c r="B20" s="24" t="s">
        <v>197</v>
      </c>
      <c r="C20" s="1">
        <v>0</v>
      </c>
      <c r="H20" s="1">
        <f>'cash flows'!$E$2</f>
        <v>2</v>
      </c>
      <c r="I20" s="1" t="s">
        <v>191</v>
      </c>
      <c r="J20" s="1">
        <f>tree!$F$31</f>
        <v>1</v>
      </c>
      <c r="L20" s="1" t="s">
        <v>243</v>
      </c>
      <c r="M20" s="24" t="s">
        <v>192</v>
      </c>
      <c r="O20" s="1" t="str">
        <f>tree!$G$30</f>
        <v>Electricity prices</v>
      </c>
      <c r="P20" s="1" t="b">
        <v>0</v>
      </c>
    </row>
    <row r="21" spans="1:16" x14ac:dyDescent="0.2">
      <c r="A21" s="1">
        <f>tree!$G$75</f>
        <v>-128.24912948069479</v>
      </c>
      <c r="B21" s="24" t="s">
        <v>198</v>
      </c>
      <c r="C21" s="1">
        <v>0</v>
      </c>
      <c r="H21" s="1" t="s">
        <v>191</v>
      </c>
      <c r="I21" s="1" t="s">
        <v>191</v>
      </c>
      <c r="J21" s="1">
        <f>tree!$F$75</f>
        <v>0</v>
      </c>
      <c r="L21" s="1" t="s">
        <v>209</v>
      </c>
      <c r="M21" s="24" t="s">
        <v>192</v>
      </c>
      <c r="P21" s="1" t="b">
        <v>0</v>
      </c>
    </row>
    <row r="22" spans="1:16" x14ac:dyDescent="0.2">
      <c r="A22" s="1">
        <f>tree!$H$17</f>
        <v>1477.6332950959713</v>
      </c>
      <c r="B22" s="24" t="s">
        <v>202</v>
      </c>
      <c r="C22" s="1">
        <v>0</v>
      </c>
      <c r="H22" s="37">
        <f>'cash flows'!$E$16</f>
        <v>1.5</v>
      </c>
      <c r="I22" s="1" t="s">
        <v>191</v>
      </c>
      <c r="J22" s="1">
        <f>tree!$G$17</f>
        <v>3</v>
      </c>
      <c r="K22" s="1">
        <f>tree!$G$16</f>
        <v>1</v>
      </c>
      <c r="L22" s="1" t="s">
        <v>244</v>
      </c>
      <c r="M22" s="24" t="s">
        <v>192</v>
      </c>
      <c r="O22" s="1" t="str">
        <f>tree!$H$16</f>
        <v>Construction costs</v>
      </c>
      <c r="P22" s="1" t="b">
        <v>0</v>
      </c>
    </row>
    <row r="23" spans="1:16" x14ac:dyDescent="0.2">
      <c r="A23" s="1">
        <f>tree!$I$13</f>
        <v>1217.2422424675374</v>
      </c>
      <c r="B23" s="24" t="s">
        <v>202</v>
      </c>
      <c r="C23" s="1">
        <v>0</v>
      </c>
      <c r="H23" s="37">
        <f>'cash flows'!$D$18</f>
        <v>0.06</v>
      </c>
      <c r="I23" s="1" t="s">
        <v>191</v>
      </c>
      <c r="J23" s="1">
        <f>tree!$H$13</f>
        <v>1.7</v>
      </c>
      <c r="K23" s="1">
        <f>tree!$H$12</f>
        <v>0.25</v>
      </c>
      <c r="L23" s="1" t="s">
        <v>245</v>
      </c>
      <c r="M23" s="24" t="s">
        <v>192</v>
      </c>
      <c r="O23" s="1" t="str">
        <f>tree!$I$12</f>
        <v>Variable cost increase</v>
      </c>
      <c r="P23" s="1" t="b">
        <v>0</v>
      </c>
    </row>
    <row r="24" spans="1:16" x14ac:dyDescent="0.2">
      <c r="A24" s="1">
        <f>tree!$J$11</f>
        <v>1010.0219193213368</v>
      </c>
      <c r="B24" s="24" t="s">
        <v>202</v>
      </c>
      <c r="C24" s="1">
        <v>0</v>
      </c>
      <c r="H24" s="37" t="s">
        <v>191</v>
      </c>
      <c r="I24" s="1" t="s">
        <v>191</v>
      </c>
      <c r="J24" s="1">
        <f>tree!$I$11</f>
        <v>7.0000000000000007E-2</v>
      </c>
      <c r="K24" s="1">
        <f>tree!$I$10</f>
        <v>0.5</v>
      </c>
      <c r="L24" s="1" t="s">
        <v>248</v>
      </c>
      <c r="M24" s="24" t="s">
        <v>192</v>
      </c>
      <c r="P24" s="1" t="b">
        <v>0</v>
      </c>
    </row>
    <row r="25" spans="1:16" x14ac:dyDescent="0.2">
      <c r="A25" s="1">
        <f>tree!$I$35</f>
        <v>74.593267138846898</v>
      </c>
      <c r="B25" s="24" t="s">
        <v>202</v>
      </c>
      <c r="C25" s="1">
        <v>0</v>
      </c>
      <c r="H25" s="37">
        <f>'cash flows'!$D$18</f>
        <v>0.06</v>
      </c>
      <c r="I25" s="1" t="s">
        <v>191</v>
      </c>
      <c r="J25" s="1">
        <f>tree!$H$35</f>
        <v>1.7</v>
      </c>
      <c r="K25" s="1">
        <f>tree!$H$34</f>
        <v>0.25</v>
      </c>
      <c r="L25" s="1" t="s">
        <v>251</v>
      </c>
      <c r="M25" s="24" t="s">
        <v>192</v>
      </c>
      <c r="O25" s="1" t="str">
        <f>tree!$I$34</f>
        <v>Variable cost increase</v>
      </c>
      <c r="P25" s="1" t="b">
        <v>0</v>
      </c>
    </row>
    <row r="26" spans="1:16" x14ac:dyDescent="0.2">
      <c r="A26" s="1">
        <f>tree!$J$33</f>
        <v>-56.035975174849185</v>
      </c>
      <c r="B26" s="24" t="s">
        <v>202</v>
      </c>
      <c r="C26" s="1">
        <v>0</v>
      </c>
      <c r="H26" s="1" t="s">
        <v>191</v>
      </c>
      <c r="I26" s="1" t="s">
        <v>191</v>
      </c>
      <c r="J26" s="1">
        <f>tree!$I$33</f>
        <v>7.0000000000000007E-2</v>
      </c>
      <c r="K26" s="1">
        <f>tree!$I$32</f>
        <v>0.5</v>
      </c>
      <c r="L26" s="1" t="s">
        <v>214</v>
      </c>
      <c r="M26" s="24" t="s">
        <v>192</v>
      </c>
      <c r="P26" s="1" t="b">
        <v>0</v>
      </c>
    </row>
    <row r="27" spans="1:16" x14ac:dyDescent="0.2">
      <c r="A27" s="1">
        <f>tree!$J$37</f>
        <v>205.22250945254299</v>
      </c>
      <c r="B27" s="24" t="s">
        <v>203</v>
      </c>
      <c r="C27" s="1">
        <v>0</v>
      </c>
      <c r="H27" s="1" t="s">
        <v>191</v>
      </c>
      <c r="I27" s="1" t="s">
        <v>191</v>
      </c>
      <c r="J27" s="1">
        <f>tree!$I$37</f>
        <v>0.04</v>
      </c>
      <c r="K27" s="1">
        <f>tree!$I$36</f>
        <v>0.5</v>
      </c>
      <c r="L27" s="1" t="s">
        <v>214</v>
      </c>
      <c r="M27" s="24" t="s">
        <v>192</v>
      </c>
      <c r="P27" s="1" t="b">
        <v>0</v>
      </c>
    </row>
    <row r="28" spans="1:16" x14ac:dyDescent="0.2">
      <c r="A28" s="1">
        <f>tree!$J$15</f>
        <v>1424.4625656137378</v>
      </c>
      <c r="B28" s="24" t="s">
        <v>203</v>
      </c>
      <c r="C28" s="1">
        <v>0</v>
      </c>
      <c r="H28" s="1" t="s">
        <v>191</v>
      </c>
      <c r="I28" s="1" t="s">
        <v>191</v>
      </c>
      <c r="J28" s="1">
        <f>tree!$I$15</f>
        <v>0.04</v>
      </c>
      <c r="K28" s="1">
        <f>tree!$I$14</f>
        <v>0.5</v>
      </c>
      <c r="L28" s="1" t="s">
        <v>248</v>
      </c>
      <c r="M28" s="24" t="s">
        <v>192</v>
      </c>
      <c r="P28" s="1" t="b">
        <v>0</v>
      </c>
    </row>
    <row r="29" spans="1:16" x14ac:dyDescent="0.2">
      <c r="A29" s="1">
        <f>tree!$I$43</f>
        <v>334.9843197672804</v>
      </c>
      <c r="B29" s="24" t="s">
        <v>211</v>
      </c>
      <c r="C29" s="1">
        <v>0</v>
      </c>
      <c r="H29" s="37">
        <f>'cash flows'!$D$18</f>
        <v>0.06</v>
      </c>
      <c r="I29" s="1" t="s">
        <v>191</v>
      </c>
      <c r="J29" s="1">
        <f>tree!$H$43</f>
        <v>1.5</v>
      </c>
      <c r="K29" s="1">
        <f>tree!$H$42</f>
        <v>0.5</v>
      </c>
      <c r="L29" s="1" t="s">
        <v>252</v>
      </c>
      <c r="M29" s="24" t="s">
        <v>192</v>
      </c>
      <c r="O29" s="1" t="str">
        <f>tree!$I$42</f>
        <v>Variable cost increase</v>
      </c>
      <c r="P29" s="1" t="b">
        <v>0</v>
      </c>
    </row>
    <row r="30" spans="1:16" x14ac:dyDescent="0.2">
      <c r="A30" s="1">
        <f>tree!$J$41</f>
        <v>204.3550774535843</v>
      </c>
      <c r="B30" s="24" t="s">
        <v>202</v>
      </c>
      <c r="C30" s="1">
        <v>0</v>
      </c>
      <c r="H30" s="1" t="s">
        <v>191</v>
      </c>
      <c r="I30" s="1" t="s">
        <v>191</v>
      </c>
      <c r="J30" s="1">
        <f>tree!$I$41</f>
        <v>7.0000000000000007E-2</v>
      </c>
      <c r="K30" s="1">
        <f>tree!$I$40</f>
        <v>0.5</v>
      </c>
      <c r="L30" s="1" t="s">
        <v>253</v>
      </c>
      <c r="M30" s="24" t="s">
        <v>192</v>
      </c>
      <c r="P30" s="1" t="b">
        <v>0</v>
      </c>
    </row>
    <row r="31" spans="1:16" x14ac:dyDescent="0.2">
      <c r="A31" s="1">
        <f>tree!$J$45</f>
        <v>465.61356208097646</v>
      </c>
      <c r="B31" s="24" t="s">
        <v>203</v>
      </c>
      <c r="C31" s="1">
        <v>0</v>
      </c>
      <c r="H31" s="1" t="s">
        <v>191</v>
      </c>
      <c r="I31" s="1" t="s">
        <v>191</v>
      </c>
      <c r="J31" s="1">
        <f>tree!$I$45</f>
        <v>0.04</v>
      </c>
      <c r="K31" s="1">
        <f>tree!$I$44</f>
        <v>0.5</v>
      </c>
      <c r="L31" s="1" t="s">
        <v>253</v>
      </c>
      <c r="M31" s="24" t="s">
        <v>192</v>
      </c>
      <c r="P31" s="1" t="b">
        <v>0</v>
      </c>
    </row>
    <row r="32" spans="1:16" x14ac:dyDescent="0.2">
      <c r="A32" s="1">
        <f>tree!$I$21</f>
        <v>1477.6332950959709</v>
      </c>
      <c r="B32" s="24" t="s">
        <v>211</v>
      </c>
      <c r="C32" s="1">
        <v>0</v>
      </c>
      <c r="H32" s="37">
        <f>'cash flows'!$D$18</f>
        <v>0.06</v>
      </c>
      <c r="I32" s="1" t="s">
        <v>191</v>
      </c>
      <c r="J32" s="1">
        <f>tree!$H$21</f>
        <v>1.5</v>
      </c>
      <c r="K32" s="1">
        <f>tree!$H$20</f>
        <v>0.5</v>
      </c>
      <c r="L32" s="1" t="s">
        <v>246</v>
      </c>
      <c r="M32" s="24" t="s">
        <v>192</v>
      </c>
      <c r="O32" s="1" t="str">
        <f>tree!$I$20</f>
        <v>Variable cost increase</v>
      </c>
      <c r="P32" s="1" t="b">
        <v>0</v>
      </c>
    </row>
    <row r="33" spans="1:16" x14ac:dyDescent="0.2">
      <c r="A33" s="1">
        <f>tree!$J$19</f>
        <v>1270.4129719497707</v>
      </c>
      <c r="B33" s="24" t="s">
        <v>202</v>
      </c>
      <c r="C33" s="1">
        <v>0</v>
      </c>
      <c r="H33" s="1" t="s">
        <v>191</v>
      </c>
      <c r="I33" s="1" t="s">
        <v>191</v>
      </c>
      <c r="J33" s="1">
        <f>tree!$I$19</f>
        <v>7.0000000000000007E-2</v>
      </c>
      <c r="K33" s="1">
        <f>tree!$I$18</f>
        <v>0.5</v>
      </c>
      <c r="L33" s="1" t="s">
        <v>249</v>
      </c>
      <c r="M33" s="24" t="s">
        <v>192</v>
      </c>
      <c r="P33" s="1" t="b">
        <v>0</v>
      </c>
    </row>
    <row r="34" spans="1:16" x14ac:dyDescent="0.2">
      <c r="A34" s="1">
        <f>tree!$I$49</f>
        <v>595.37537239571475</v>
      </c>
      <c r="B34" s="24" t="s">
        <v>203</v>
      </c>
      <c r="C34" s="1">
        <v>0</v>
      </c>
      <c r="H34" s="37">
        <f>'cash flows'!$D$18</f>
        <v>0.06</v>
      </c>
      <c r="I34" s="1" t="s">
        <v>191</v>
      </c>
      <c r="J34" s="1">
        <f>tree!$H$49</f>
        <v>1.3</v>
      </c>
      <c r="K34" s="1">
        <f>tree!$H$48</f>
        <v>0.25</v>
      </c>
      <c r="L34" s="1" t="s">
        <v>254</v>
      </c>
      <c r="M34" s="24" t="s">
        <v>192</v>
      </c>
      <c r="O34" s="1" t="str">
        <f>tree!$I$48</f>
        <v>Variable cost increase</v>
      </c>
      <c r="P34" s="1" t="b">
        <v>0</v>
      </c>
    </row>
    <row r="35" spans="1:16" x14ac:dyDescent="0.2">
      <c r="A35" s="1">
        <f>tree!$J$47</f>
        <v>464.74613008201857</v>
      </c>
      <c r="B35" s="24" t="s">
        <v>202</v>
      </c>
      <c r="C35" s="1">
        <v>0</v>
      </c>
      <c r="H35" s="1" t="s">
        <v>191</v>
      </c>
      <c r="I35" s="1" t="s">
        <v>191</v>
      </c>
      <c r="J35" s="1">
        <f>tree!$I$47</f>
        <v>7.0000000000000007E-2</v>
      </c>
      <c r="K35" s="1">
        <f>tree!$I$46</f>
        <v>0.5</v>
      </c>
      <c r="L35" s="1" t="s">
        <v>255</v>
      </c>
      <c r="M35" s="24" t="s">
        <v>192</v>
      </c>
      <c r="P35" s="1" t="b">
        <v>0</v>
      </c>
    </row>
    <row r="36" spans="1:16" x14ac:dyDescent="0.2">
      <c r="A36" s="1">
        <f>tree!$J$51</f>
        <v>726.00461470941104</v>
      </c>
      <c r="B36" s="24" t="s">
        <v>203</v>
      </c>
      <c r="C36" s="1">
        <v>0</v>
      </c>
      <c r="H36" s="1" t="s">
        <v>191</v>
      </c>
      <c r="I36" s="1" t="s">
        <v>191</v>
      </c>
      <c r="J36" s="1">
        <f>tree!$I$51</f>
        <v>0.04</v>
      </c>
      <c r="K36" s="1">
        <f>tree!$I$50</f>
        <v>0.5</v>
      </c>
      <c r="L36" s="1" t="s">
        <v>255</v>
      </c>
      <c r="M36" s="24" t="s">
        <v>192</v>
      </c>
      <c r="P36" s="1" t="b">
        <v>0</v>
      </c>
    </row>
    <row r="37" spans="1:16" x14ac:dyDescent="0.2">
      <c r="A37" s="1">
        <f>tree!$J$23</f>
        <v>1684.8536182421713</v>
      </c>
      <c r="B37" s="24" t="s">
        <v>203</v>
      </c>
      <c r="C37" s="1">
        <v>0</v>
      </c>
      <c r="H37" s="1" t="s">
        <v>191</v>
      </c>
      <c r="I37" s="1" t="s">
        <v>191</v>
      </c>
      <c r="J37" s="1">
        <f>tree!$I$23</f>
        <v>0.04</v>
      </c>
      <c r="K37" s="1">
        <f>tree!$I$22</f>
        <v>0.5</v>
      </c>
      <c r="L37" s="1" t="s">
        <v>249</v>
      </c>
      <c r="M37" s="24" t="s">
        <v>192</v>
      </c>
      <c r="P37" s="1" t="b">
        <v>0</v>
      </c>
    </row>
    <row r="38" spans="1:16" x14ac:dyDescent="0.2">
      <c r="A38" s="1">
        <f>tree!$I$55</f>
        <v>-378.39490180490964</v>
      </c>
      <c r="B38" s="24" t="s">
        <v>202</v>
      </c>
      <c r="C38" s="1">
        <v>0</v>
      </c>
      <c r="H38" s="37">
        <f>'cash flows'!$D$18</f>
        <v>0.06</v>
      </c>
      <c r="I38" s="1" t="s">
        <v>191</v>
      </c>
      <c r="J38" s="1">
        <f>tree!$H$55</f>
        <v>1.7</v>
      </c>
      <c r="K38" s="1">
        <f>tree!$H$54</f>
        <v>0.25</v>
      </c>
      <c r="L38" s="1" t="s">
        <v>257</v>
      </c>
      <c r="M38" s="24" t="s">
        <v>192</v>
      </c>
      <c r="O38" s="1" t="str">
        <f>tree!$I$54</f>
        <v>Variable cost increase</v>
      </c>
      <c r="P38" s="1" t="b">
        <v>0</v>
      </c>
    </row>
    <row r="39" spans="1:16" x14ac:dyDescent="0.2">
      <c r="A39" s="1">
        <f>tree!$J$53</f>
        <v>-442.7055192773737</v>
      </c>
      <c r="B39" s="24" t="s">
        <v>202</v>
      </c>
      <c r="C39" s="1">
        <v>0</v>
      </c>
      <c r="H39" s="1" t="s">
        <v>191</v>
      </c>
      <c r="I39" s="1" t="s">
        <v>191</v>
      </c>
      <c r="J39" s="1">
        <f>tree!$I$53</f>
        <v>7.0000000000000007E-2</v>
      </c>
      <c r="K39" s="1">
        <f>tree!$I$52</f>
        <v>0.5</v>
      </c>
      <c r="L39" s="1" t="s">
        <v>258</v>
      </c>
      <c r="M39" s="24" t="s">
        <v>192</v>
      </c>
      <c r="P39" s="1" t="b">
        <v>0</v>
      </c>
    </row>
    <row r="40" spans="1:16" x14ac:dyDescent="0.2">
      <c r="A40" s="1">
        <f>tree!$J$57</f>
        <v>-314.08428433244563</v>
      </c>
      <c r="B40" s="24" t="s">
        <v>203</v>
      </c>
      <c r="C40" s="1">
        <v>0</v>
      </c>
      <c r="H40" s="1" t="s">
        <v>191</v>
      </c>
      <c r="I40" s="1" t="s">
        <v>191</v>
      </c>
      <c r="J40" s="1">
        <f>tree!$I$57</f>
        <v>0.04</v>
      </c>
      <c r="K40" s="1">
        <f>tree!$I$56</f>
        <v>0.5</v>
      </c>
      <c r="L40" s="1" t="s">
        <v>258</v>
      </c>
      <c r="M40" s="24" t="s">
        <v>192</v>
      </c>
      <c r="P40" s="1" t="b">
        <v>0</v>
      </c>
    </row>
    <row r="41" spans="1:16" x14ac:dyDescent="0.2">
      <c r="A41" s="1">
        <f>tree!$I$27</f>
        <v>1738.0243477244053</v>
      </c>
      <c r="B41" s="24" t="s">
        <v>203</v>
      </c>
      <c r="C41" s="1">
        <v>0</v>
      </c>
      <c r="H41" s="37">
        <f>'cash flows'!$D$18</f>
        <v>0.06</v>
      </c>
      <c r="I41" s="1" t="s">
        <v>191</v>
      </c>
      <c r="J41" s="1">
        <f>tree!$H$27</f>
        <v>1.3</v>
      </c>
      <c r="K41" s="1">
        <f>tree!$H$26</f>
        <v>0.25</v>
      </c>
      <c r="L41" s="1" t="s">
        <v>247</v>
      </c>
      <c r="M41" s="24" t="s">
        <v>192</v>
      </c>
      <c r="O41" s="1" t="str">
        <f>tree!$I$26</f>
        <v>Variable cost increase</v>
      </c>
      <c r="P41" s="1" t="b">
        <v>0</v>
      </c>
    </row>
    <row r="42" spans="1:16" x14ac:dyDescent="0.2">
      <c r="A42" s="1">
        <f>tree!$J$25</f>
        <v>1530.8040245782047</v>
      </c>
      <c r="B42" s="24" t="s">
        <v>202</v>
      </c>
      <c r="C42" s="1">
        <v>0</v>
      </c>
      <c r="H42" s="1" t="s">
        <v>191</v>
      </c>
      <c r="I42" s="1" t="s">
        <v>191</v>
      </c>
      <c r="J42" s="1">
        <f>tree!$I$25</f>
        <v>7.0000000000000007E-2</v>
      </c>
      <c r="K42" s="1">
        <f>tree!$I$24</f>
        <v>0.5</v>
      </c>
      <c r="L42" s="1" t="s">
        <v>215</v>
      </c>
      <c r="M42" s="24" t="s">
        <v>192</v>
      </c>
      <c r="P42" s="1" t="b">
        <v>0</v>
      </c>
    </row>
    <row r="43" spans="1:16" x14ac:dyDescent="0.2">
      <c r="A43" s="1">
        <f>tree!$I$63</f>
        <v>-118.00384917647672</v>
      </c>
      <c r="B43" s="24" t="s">
        <v>211</v>
      </c>
      <c r="C43" s="1">
        <v>0</v>
      </c>
      <c r="H43" s="37">
        <f>'cash flows'!$D$18</f>
        <v>0.06</v>
      </c>
      <c r="I43" s="1" t="s">
        <v>191</v>
      </c>
      <c r="J43" s="1">
        <f>tree!$H$63</f>
        <v>1.5</v>
      </c>
      <c r="K43" s="1">
        <f>tree!$H$62</f>
        <v>0.5</v>
      </c>
      <c r="L43" s="1" t="s">
        <v>259</v>
      </c>
      <c r="M43" s="24" t="s">
        <v>192</v>
      </c>
      <c r="O43" s="1" t="str">
        <f>tree!$I$62</f>
        <v>Variable cost increase</v>
      </c>
      <c r="P43" s="1" t="b">
        <v>0</v>
      </c>
    </row>
    <row r="44" spans="1:16" x14ac:dyDescent="0.2">
      <c r="A44" s="1">
        <f>tree!$J$61</f>
        <v>-182.31446664894077</v>
      </c>
      <c r="B44" s="24" t="s">
        <v>202</v>
      </c>
      <c r="C44" s="1">
        <v>0</v>
      </c>
      <c r="H44" s="1" t="s">
        <v>191</v>
      </c>
      <c r="I44" s="1" t="s">
        <v>191</v>
      </c>
      <c r="J44" s="1">
        <f>tree!$I$61</f>
        <v>7.0000000000000007E-2</v>
      </c>
      <c r="K44" s="1">
        <f>tree!$I$60</f>
        <v>0.5</v>
      </c>
      <c r="L44" s="1" t="s">
        <v>260</v>
      </c>
      <c r="M44" s="24" t="s">
        <v>192</v>
      </c>
      <c r="P44" s="1" t="b">
        <v>0</v>
      </c>
    </row>
    <row r="45" spans="1:16" x14ac:dyDescent="0.2">
      <c r="A45" s="1">
        <f>tree!$J$65</f>
        <v>-53.693231704012682</v>
      </c>
      <c r="B45" s="24" t="s">
        <v>203</v>
      </c>
      <c r="C45" s="1">
        <v>0</v>
      </c>
      <c r="H45" s="1" t="s">
        <v>191</v>
      </c>
      <c r="I45" s="1" t="s">
        <v>191</v>
      </c>
      <c r="J45" s="1">
        <f>tree!$I$65</f>
        <v>0.04</v>
      </c>
      <c r="K45" s="1">
        <f>tree!$I$64</f>
        <v>0.5</v>
      </c>
      <c r="L45" s="1" t="s">
        <v>260</v>
      </c>
      <c r="M45" s="24" t="s">
        <v>192</v>
      </c>
      <c r="P45" s="1" t="b">
        <v>0</v>
      </c>
    </row>
    <row r="46" spans="1:16" x14ac:dyDescent="0.2">
      <c r="A46" s="1">
        <f>tree!$J$29</f>
        <v>1945.2446708706061</v>
      </c>
      <c r="B46" s="24" t="s">
        <v>203</v>
      </c>
      <c r="C46" s="1">
        <v>0</v>
      </c>
      <c r="H46" s="1" t="s">
        <v>191</v>
      </c>
      <c r="I46" s="1" t="s">
        <v>191</v>
      </c>
      <c r="J46" s="1">
        <f>tree!$I$29</f>
        <v>0.04</v>
      </c>
      <c r="K46" s="1">
        <f>tree!$I$28</f>
        <v>0.5</v>
      </c>
      <c r="L46" s="1" t="s">
        <v>215</v>
      </c>
      <c r="M46" s="24" t="s">
        <v>192</v>
      </c>
      <c r="P46" s="1" t="b">
        <v>0</v>
      </c>
    </row>
    <row r="47" spans="1:16" x14ac:dyDescent="0.2">
      <c r="A47" s="1">
        <f>tree!$I$69</f>
        <v>142.38720345195753</v>
      </c>
      <c r="B47" s="24" t="s">
        <v>203</v>
      </c>
      <c r="C47" s="1">
        <v>0</v>
      </c>
      <c r="H47" s="37">
        <f>'cash flows'!$D$18</f>
        <v>0.06</v>
      </c>
      <c r="I47" s="1" t="s">
        <v>191</v>
      </c>
      <c r="J47" s="1">
        <f>tree!$H$69</f>
        <v>1.3</v>
      </c>
      <c r="K47" s="1">
        <f>tree!$H$68</f>
        <v>0.25</v>
      </c>
      <c r="L47" s="1" t="s">
        <v>261</v>
      </c>
      <c r="M47" s="24" t="s">
        <v>192</v>
      </c>
      <c r="O47" s="1" t="str">
        <f>tree!$I$68</f>
        <v>Variable cost increase</v>
      </c>
      <c r="P47" s="1" t="b">
        <v>0</v>
      </c>
    </row>
    <row r="48" spans="1:16" x14ac:dyDescent="0.2">
      <c r="A48" s="1">
        <f>tree!$J$67</f>
        <v>78.076585979493458</v>
      </c>
      <c r="B48" s="24" t="s">
        <v>202</v>
      </c>
      <c r="C48" s="1">
        <v>0</v>
      </c>
      <c r="H48" s="1" t="s">
        <v>191</v>
      </c>
      <c r="I48" s="1" t="s">
        <v>191</v>
      </c>
      <c r="J48" s="1">
        <f>tree!$I$67</f>
        <v>7.0000000000000007E-2</v>
      </c>
      <c r="K48" s="1">
        <f>tree!$I$66</f>
        <v>0.5</v>
      </c>
      <c r="L48" s="1" t="s">
        <v>262</v>
      </c>
      <c r="M48" s="24" t="s">
        <v>192</v>
      </c>
      <c r="P48" s="1" t="b">
        <v>0</v>
      </c>
    </row>
    <row r="49" spans="1:16" x14ac:dyDescent="0.2">
      <c r="A49" s="1">
        <f>tree!$G$99</f>
        <v>165.11375641337173</v>
      </c>
      <c r="B49" s="24" t="s">
        <v>197</v>
      </c>
      <c r="C49" s="1">
        <v>0</v>
      </c>
      <c r="H49" s="1">
        <f>'cash flows'!$E$2</f>
        <v>2</v>
      </c>
      <c r="I49" s="1" t="s">
        <v>191</v>
      </c>
      <c r="J49" s="1">
        <f>tree!$F$99</f>
        <v>1</v>
      </c>
      <c r="L49" s="1" t="s">
        <v>263</v>
      </c>
      <c r="M49" s="24" t="s">
        <v>192</v>
      </c>
      <c r="O49" s="1" t="str">
        <f>tree!$G$98</f>
        <v>Electricity prices</v>
      </c>
      <c r="P49" s="1" t="b">
        <v>0</v>
      </c>
    </row>
    <row r="50" spans="1:16" x14ac:dyDescent="0.2">
      <c r="A50" s="1">
        <f>tree!$H$85</f>
        <v>1477.6332950959713</v>
      </c>
      <c r="B50" s="24" t="s">
        <v>202</v>
      </c>
      <c r="C50" s="1">
        <v>0</v>
      </c>
      <c r="H50" s="37">
        <f>'cash flows'!$E$16</f>
        <v>1.5</v>
      </c>
      <c r="I50" s="1" t="s">
        <v>191</v>
      </c>
      <c r="J50" s="1">
        <f>tree!$G$85</f>
        <v>3</v>
      </c>
      <c r="K50" s="1">
        <f>tree!$G$84</f>
        <v>0</v>
      </c>
      <c r="L50" s="1" t="s">
        <v>264</v>
      </c>
      <c r="M50" s="24" t="s">
        <v>192</v>
      </c>
      <c r="O50" s="1" t="str">
        <f>tree!$H$84</f>
        <v>Construction costs</v>
      </c>
      <c r="P50" s="1" t="b">
        <v>0</v>
      </c>
    </row>
    <row r="51" spans="1:16" x14ac:dyDescent="0.2">
      <c r="A51" s="1">
        <f>tree!$I$81</f>
        <v>1217.2422424675374</v>
      </c>
      <c r="B51" s="24" t="s">
        <v>202</v>
      </c>
      <c r="C51" s="1">
        <v>0</v>
      </c>
      <c r="H51" s="37">
        <f>'cash flows'!$D$18</f>
        <v>0.06</v>
      </c>
      <c r="I51" s="1" t="s">
        <v>191</v>
      </c>
      <c r="J51" s="1">
        <f>tree!$H$81</f>
        <v>1.7</v>
      </c>
      <c r="K51" s="1">
        <f>tree!$H$80</f>
        <v>0.25</v>
      </c>
      <c r="L51" s="1" t="s">
        <v>265</v>
      </c>
      <c r="M51" s="24" t="s">
        <v>192</v>
      </c>
      <c r="O51" s="1" t="str">
        <f>tree!$I$80</f>
        <v>Variable cost increase</v>
      </c>
      <c r="P51" s="1" t="b">
        <v>0</v>
      </c>
    </row>
    <row r="52" spans="1:16" x14ac:dyDescent="0.2">
      <c r="A52" s="1">
        <f>tree!$J$79</f>
        <v>1010.0219193213368</v>
      </c>
      <c r="B52" s="24" t="s">
        <v>202</v>
      </c>
      <c r="C52" s="1">
        <v>0</v>
      </c>
      <c r="H52" s="1" t="s">
        <v>191</v>
      </c>
      <c r="I52" s="1" t="s">
        <v>191</v>
      </c>
      <c r="J52" s="1">
        <f>tree!$I$79</f>
        <v>7.0000000000000007E-2</v>
      </c>
      <c r="K52" s="1">
        <f>tree!$I$78</f>
        <v>0.5</v>
      </c>
      <c r="L52" s="1" t="s">
        <v>217</v>
      </c>
      <c r="M52" s="24" t="s">
        <v>192</v>
      </c>
      <c r="P52" s="1" t="b">
        <v>0</v>
      </c>
    </row>
    <row r="53" spans="1:16" x14ac:dyDescent="0.2">
      <c r="A53" s="1">
        <f>tree!$J$83</f>
        <v>1424.4625656137378</v>
      </c>
      <c r="B53" s="24" t="s">
        <v>203</v>
      </c>
      <c r="C53" s="1">
        <v>0</v>
      </c>
      <c r="H53" s="1" t="s">
        <v>191</v>
      </c>
      <c r="I53" s="1" t="s">
        <v>191</v>
      </c>
      <c r="J53" s="1">
        <f>tree!$I$83</f>
        <v>0.04</v>
      </c>
      <c r="K53" s="1">
        <f>tree!$I$82</f>
        <v>0.5</v>
      </c>
      <c r="L53" s="1" t="s">
        <v>217</v>
      </c>
      <c r="M53" s="24" t="s">
        <v>192</v>
      </c>
      <c r="P53" s="1" t="b">
        <v>0</v>
      </c>
    </row>
    <row r="54" spans="1:16" x14ac:dyDescent="0.2">
      <c r="A54" s="1">
        <f>tree!$I$89</f>
        <v>1477.6332950959709</v>
      </c>
      <c r="B54" s="24" t="s">
        <v>211</v>
      </c>
      <c r="C54" s="1">
        <v>0</v>
      </c>
      <c r="H54" s="37">
        <f>'cash flows'!$D$18</f>
        <v>0.06</v>
      </c>
      <c r="I54" s="1" t="s">
        <v>191</v>
      </c>
      <c r="J54" s="1">
        <f>tree!$H$89</f>
        <v>1.5</v>
      </c>
      <c r="K54" s="1">
        <f>tree!$H$88</f>
        <v>0.5</v>
      </c>
      <c r="L54" s="1" t="s">
        <v>266</v>
      </c>
      <c r="M54" s="24" t="s">
        <v>192</v>
      </c>
      <c r="O54" s="1" t="str">
        <f>tree!$I$88</f>
        <v>Variable cost increase</v>
      </c>
      <c r="P54" s="1" t="b">
        <v>0</v>
      </c>
    </row>
    <row r="55" spans="1:16" x14ac:dyDescent="0.2">
      <c r="A55" s="1">
        <f>tree!$J$87</f>
        <v>1270.4129719497707</v>
      </c>
      <c r="B55" s="24" t="s">
        <v>202</v>
      </c>
      <c r="C55" s="1">
        <v>0</v>
      </c>
      <c r="H55" s="1" t="s">
        <v>191</v>
      </c>
      <c r="I55" s="1" t="s">
        <v>191</v>
      </c>
      <c r="J55" s="1">
        <f>tree!$I$87</f>
        <v>7.0000000000000007E-2</v>
      </c>
      <c r="K55" s="1">
        <f>tree!$I$86</f>
        <v>0.5</v>
      </c>
      <c r="L55" s="1" t="s">
        <v>267</v>
      </c>
      <c r="M55" s="24" t="s">
        <v>192</v>
      </c>
      <c r="P55" s="1" t="b">
        <v>0</v>
      </c>
    </row>
    <row r="56" spans="1:16" x14ac:dyDescent="0.2">
      <c r="A56" s="1">
        <f>tree!$J$91</f>
        <v>1684.8536182421713</v>
      </c>
      <c r="B56" s="24" t="s">
        <v>203</v>
      </c>
      <c r="C56" s="1">
        <v>0</v>
      </c>
      <c r="H56" s="1" t="s">
        <v>191</v>
      </c>
      <c r="I56" s="1" t="s">
        <v>191</v>
      </c>
      <c r="J56" s="1">
        <f>tree!$I$91</f>
        <v>0.04</v>
      </c>
      <c r="K56" s="1">
        <f>tree!$I$90</f>
        <v>0.5</v>
      </c>
      <c r="L56" s="1" t="s">
        <v>267</v>
      </c>
      <c r="M56" s="24" t="s">
        <v>192</v>
      </c>
      <c r="P56" s="1" t="b">
        <v>0</v>
      </c>
    </row>
    <row r="57" spans="1:16" x14ac:dyDescent="0.2">
      <c r="A57" s="1">
        <f>tree!$I$95</f>
        <v>1738.0243477244053</v>
      </c>
      <c r="B57" s="24" t="s">
        <v>203</v>
      </c>
      <c r="C57" s="1">
        <v>0</v>
      </c>
      <c r="H57" s="37">
        <f>'cash flows'!$D$18</f>
        <v>0.06</v>
      </c>
      <c r="I57" s="1" t="s">
        <v>191</v>
      </c>
      <c r="J57" s="1">
        <f>tree!$H$95</f>
        <v>1.3</v>
      </c>
      <c r="K57" s="1">
        <f>tree!$H$94</f>
        <v>0.25</v>
      </c>
      <c r="L57" s="1" t="s">
        <v>268</v>
      </c>
      <c r="M57" s="24" t="s">
        <v>192</v>
      </c>
      <c r="O57" s="1" t="str">
        <f>tree!$I$94</f>
        <v>Variable cost increase</v>
      </c>
      <c r="P57" s="1" t="b">
        <v>0</v>
      </c>
    </row>
    <row r="58" spans="1:16" x14ac:dyDescent="0.2">
      <c r="A58" s="1">
        <f>tree!$J$93</f>
        <v>1530.8040245782047</v>
      </c>
      <c r="B58" s="24" t="s">
        <v>202</v>
      </c>
      <c r="C58" s="1">
        <v>0</v>
      </c>
      <c r="H58" s="1" t="s">
        <v>191</v>
      </c>
      <c r="I58" s="1" t="s">
        <v>191</v>
      </c>
      <c r="J58" s="1">
        <f>tree!$I$93</f>
        <v>7.0000000000000007E-2</v>
      </c>
      <c r="K58" s="1">
        <f>tree!$I$92</f>
        <v>0.5</v>
      </c>
      <c r="L58" s="1" t="s">
        <v>269</v>
      </c>
      <c r="M58" s="24" t="s">
        <v>192</v>
      </c>
      <c r="P58" s="1" t="b">
        <v>0</v>
      </c>
    </row>
    <row r="59" spans="1:16" x14ac:dyDescent="0.2">
      <c r="A59" s="1">
        <f>tree!$J$97</f>
        <v>1945.2446708706061</v>
      </c>
      <c r="B59" s="24" t="s">
        <v>203</v>
      </c>
      <c r="C59" s="1">
        <v>0</v>
      </c>
      <c r="H59" s="37" t="s">
        <v>191</v>
      </c>
      <c r="I59" s="1" t="s">
        <v>191</v>
      </c>
      <c r="J59" s="1">
        <f>tree!$I$97</f>
        <v>0.04</v>
      </c>
      <c r="K59" s="1">
        <f>tree!$I$96</f>
        <v>0.5</v>
      </c>
      <c r="L59" s="1" t="s">
        <v>269</v>
      </c>
      <c r="M59" s="24" t="s">
        <v>192</v>
      </c>
      <c r="P59" s="1" t="b">
        <v>0</v>
      </c>
    </row>
    <row r="60" spans="1:16" x14ac:dyDescent="0.2">
      <c r="A60" s="1">
        <f>tree!$H$107</f>
        <v>334.98431976728062</v>
      </c>
      <c r="B60" s="24" t="s">
        <v>211</v>
      </c>
      <c r="C60" s="1">
        <v>0</v>
      </c>
      <c r="H60" s="1">
        <f>'cash flows'!$E$16</f>
        <v>1.5</v>
      </c>
      <c r="I60" s="1" t="s">
        <v>191</v>
      </c>
      <c r="J60" s="1">
        <f>tree!$G$107</f>
        <v>2</v>
      </c>
      <c r="K60" s="1">
        <f>tree!$G$106</f>
        <v>0.625</v>
      </c>
      <c r="L60" s="1" t="s">
        <v>270</v>
      </c>
      <c r="M60" s="24" t="s">
        <v>192</v>
      </c>
      <c r="O60" s="1" t="str">
        <f>tree!$H$106</f>
        <v>Construction costs</v>
      </c>
      <c r="P60" s="1" t="b">
        <v>0</v>
      </c>
    </row>
    <row r="61" spans="1:16" x14ac:dyDescent="0.2">
      <c r="A61" s="1">
        <f>tree!$I$103</f>
        <v>74.593267138846898</v>
      </c>
      <c r="B61" s="24" t="s">
        <v>202</v>
      </c>
      <c r="C61" s="1">
        <v>0</v>
      </c>
      <c r="H61" s="37">
        <f>'cash flows'!$D$18</f>
        <v>0.06</v>
      </c>
      <c r="I61" s="1" t="s">
        <v>191</v>
      </c>
      <c r="J61" s="1">
        <f>tree!$H$103</f>
        <v>1.7</v>
      </c>
      <c r="K61" s="1">
        <f>tree!$H$102</f>
        <v>0.25</v>
      </c>
      <c r="L61" s="1" t="s">
        <v>271</v>
      </c>
      <c r="M61" s="24" t="s">
        <v>192</v>
      </c>
      <c r="O61" s="1" t="str">
        <f>tree!$I$102</f>
        <v>Variable cost increase</v>
      </c>
      <c r="P61" s="1" t="b">
        <v>0</v>
      </c>
    </row>
    <row r="62" spans="1:16" x14ac:dyDescent="0.2">
      <c r="A62" s="1">
        <f>tree!$J$101</f>
        <v>-56.035975174849185</v>
      </c>
      <c r="B62" s="24" t="s">
        <v>202</v>
      </c>
      <c r="C62" s="1">
        <v>0</v>
      </c>
      <c r="H62" s="1" t="s">
        <v>191</v>
      </c>
      <c r="I62" s="1" t="s">
        <v>191</v>
      </c>
      <c r="J62" s="1">
        <f>tree!$I$101</f>
        <v>7.0000000000000007E-2</v>
      </c>
      <c r="K62" s="1">
        <f>tree!$I$100</f>
        <v>0.5</v>
      </c>
      <c r="L62" s="1" t="s">
        <v>272</v>
      </c>
      <c r="M62" s="24" t="s">
        <v>192</v>
      </c>
      <c r="P62" s="1" t="b">
        <v>0</v>
      </c>
    </row>
    <row r="63" spans="1:16" x14ac:dyDescent="0.2">
      <c r="A63" s="1">
        <f>tree!$J$105</f>
        <v>205.22250945254299</v>
      </c>
      <c r="B63" s="24" t="s">
        <v>203</v>
      </c>
      <c r="C63" s="1">
        <v>0</v>
      </c>
      <c r="H63" s="1" t="s">
        <v>191</v>
      </c>
      <c r="I63" s="1" t="s">
        <v>191</v>
      </c>
      <c r="J63" s="1">
        <f>tree!$I$105</f>
        <v>0.04</v>
      </c>
      <c r="K63" s="1">
        <f>tree!$I$104</f>
        <v>0.5</v>
      </c>
      <c r="L63" s="1" t="s">
        <v>272</v>
      </c>
      <c r="M63" s="24" t="s">
        <v>192</v>
      </c>
      <c r="P63" s="1" t="b">
        <v>0</v>
      </c>
    </row>
    <row r="64" spans="1:16" x14ac:dyDescent="0.2">
      <c r="A64" s="1">
        <f>tree!$I$111</f>
        <v>334.9843197672804</v>
      </c>
      <c r="B64" s="24" t="s">
        <v>211</v>
      </c>
      <c r="C64" s="1">
        <v>0</v>
      </c>
      <c r="H64" s="37">
        <f>'cash flows'!$D$18</f>
        <v>0.06</v>
      </c>
      <c r="I64" s="1" t="s">
        <v>191</v>
      </c>
      <c r="J64" s="1">
        <f>tree!$H$111</f>
        <v>1.5</v>
      </c>
      <c r="K64" s="1">
        <f>tree!$H$110</f>
        <v>0.5</v>
      </c>
      <c r="L64" s="1" t="s">
        <v>273</v>
      </c>
      <c r="M64" s="24" t="s">
        <v>192</v>
      </c>
      <c r="O64" s="1" t="str">
        <f>tree!$I$110</f>
        <v>Variable cost increase</v>
      </c>
      <c r="P64" s="1" t="b">
        <v>0</v>
      </c>
    </row>
    <row r="65" spans="1:16" x14ac:dyDescent="0.2">
      <c r="A65" s="1">
        <f>tree!$J$109</f>
        <v>204.3550774535843</v>
      </c>
      <c r="B65" s="24" t="s">
        <v>202</v>
      </c>
      <c r="C65" s="1">
        <v>0</v>
      </c>
      <c r="H65" s="1" t="s">
        <v>191</v>
      </c>
      <c r="I65" s="1" t="s">
        <v>191</v>
      </c>
      <c r="J65" s="1">
        <f>tree!$I$109</f>
        <v>7.0000000000000007E-2</v>
      </c>
      <c r="K65" s="1">
        <f>tree!$I$108</f>
        <v>0.5</v>
      </c>
      <c r="L65" s="1" t="s">
        <v>218</v>
      </c>
      <c r="M65" s="24" t="s">
        <v>192</v>
      </c>
      <c r="P65" s="1" t="b">
        <v>0</v>
      </c>
    </row>
    <row r="66" spans="1:16" x14ac:dyDescent="0.2">
      <c r="A66" s="1">
        <f>tree!$J$113</f>
        <v>465.61356208097646</v>
      </c>
      <c r="B66" s="24" t="s">
        <v>203</v>
      </c>
      <c r="C66" s="1">
        <v>0</v>
      </c>
      <c r="H66" s="1" t="s">
        <v>191</v>
      </c>
      <c r="I66" s="1" t="s">
        <v>191</v>
      </c>
      <c r="J66" s="1">
        <f>tree!$I$113</f>
        <v>0.04</v>
      </c>
      <c r="K66" s="1">
        <f>tree!$I$112</f>
        <v>0.5</v>
      </c>
      <c r="L66" s="1" t="s">
        <v>218</v>
      </c>
      <c r="M66" s="24" t="s">
        <v>192</v>
      </c>
      <c r="P66" s="1" t="b">
        <v>0</v>
      </c>
    </row>
    <row r="67" spans="1:16" x14ac:dyDescent="0.2">
      <c r="A67" s="1">
        <f>tree!$I$117</f>
        <v>595.37537239571475</v>
      </c>
      <c r="B67" s="24" t="s">
        <v>203</v>
      </c>
      <c r="C67" s="1">
        <v>0</v>
      </c>
      <c r="H67" s="37">
        <f>'cash flows'!$D$18</f>
        <v>0.06</v>
      </c>
      <c r="I67" s="1" t="s">
        <v>191</v>
      </c>
      <c r="J67" s="1">
        <f>tree!$H$117</f>
        <v>1.3</v>
      </c>
      <c r="K67" s="1">
        <f>tree!$H$116</f>
        <v>0.25</v>
      </c>
      <c r="L67" s="1" t="s">
        <v>274</v>
      </c>
      <c r="M67" s="24" t="s">
        <v>192</v>
      </c>
      <c r="O67" s="1" t="str">
        <f>tree!$I$116</f>
        <v>Variable cost increase</v>
      </c>
      <c r="P67" s="1" t="b">
        <v>0</v>
      </c>
    </row>
    <row r="68" spans="1:16" x14ac:dyDescent="0.2">
      <c r="A68" s="1">
        <f>tree!$J$115</f>
        <v>464.74613008201857</v>
      </c>
      <c r="B68" s="24" t="s">
        <v>202</v>
      </c>
      <c r="C68" s="1">
        <v>0</v>
      </c>
      <c r="H68" s="37" t="s">
        <v>191</v>
      </c>
      <c r="I68" s="1" t="s">
        <v>191</v>
      </c>
      <c r="J68" s="1">
        <f>tree!$I$115</f>
        <v>7.0000000000000007E-2</v>
      </c>
      <c r="K68" s="1">
        <f>tree!$I$114</f>
        <v>0.5</v>
      </c>
      <c r="L68" s="1" t="s">
        <v>275</v>
      </c>
      <c r="M68" s="24" t="s">
        <v>192</v>
      </c>
      <c r="P68" s="1" t="b">
        <v>0</v>
      </c>
    </row>
    <row r="69" spans="1:16" x14ac:dyDescent="0.2">
      <c r="A69" s="1">
        <f>tree!$J$119</f>
        <v>726.00461470941104</v>
      </c>
      <c r="B69" s="24" t="s">
        <v>203</v>
      </c>
      <c r="C69" s="1">
        <v>0</v>
      </c>
      <c r="H69" s="1" t="s">
        <v>191</v>
      </c>
      <c r="I69" s="1" t="s">
        <v>191</v>
      </c>
      <c r="J69" s="1">
        <f>tree!$I$119</f>
        <v>0.04</v>
      </c>
      <c r="K69" s="1">
        <f>tree!$I$118</f>
        <v>0.5</v>
      </c>
      <c r="L69" s="1" t="s">
        <v>275</v>
      </c>
      <c r="M69" s="24" t="s">
        <v>192</v>
      </c>
      <c r="P69" s="1" t="b">
        <v>0</v>
      </c>
    </row>
    <row r="70" spans="1:16" x14ac:dyDescent="0.2">
      <c r="A70" s="1">
        <f>tree!$H$127</f>
        <v>-118.00384917647638</v>
      </c>
      <c r="B70" s="24" t="s">
        <v>203</v>
      </c>
      <c r="C70" s="1">
        <v>0</v>
      </c>
      <c r="H70" s="1">
        <f>'cash flows'!$E$16</f>
        <v>1.5</v>
      </c>
      <c r="I70" s="1" t="s">
        <v>191</v>
      </c>
      <c r="J70" s="1">
        <f>tree!$G$127</f>
        <v>1</v>
      </c>
      <c r="K70" s="1">
        <f>tree!$G$126</f>
        <v>0.375</v>
      </c>
      <c r="L70" s="1" t="s">
        <v>276</v>
      </c>
      <c r="M70" s="24" t="s">
        <v>192</v>
      </c>
      <c r="O70" s="1" t="str">
        <f>tree!$H$126</f>
        <v>Construction costs</v>
      </c>
      <c r="P70" s="1" t="b">
        <v>0</v>
      </c>
    </row>
    <row r="71" spans="1:16" x14ac:dyDescent="0.2">
      <c r="A71" s="1">
        <f>tree!$I$123</f>
        <v>-378.39490180490964</v>
      </c>
      <c r="B71" s="24" t="s">
        <v>202</v>
      </c>
      <c r="C71" s="1">
        <v>0</v>
      </c>
      <c r="H71" s="37">
        <f>'cash flows'!$D$18</f>
        <v>0.06</v>
      </c>
      <c r="I71" s="1" t="s">
        <v>191</v>
      </c>
      <c r="J71" s="1">
        <f>tree!$H$123</f>
        <v>1.7</v>
      </c>
      <c r="K71" s="1">
        <f>tree!$H$122</f>
        <v>0.25</v>
      </c>
      <c r="L71" s="1" t="s">
        <v>277</v>
      </c>
      <c r="M71" s="24" t="s">
        <v>192</v>
      </c>
      <c r="O71" s="1" t="str">
        <f>tree!$I$122</f>
        <v>Variable cost increase</v>
      </c>
      <c r="P71" s="1" t="b">
        <v>0</v>
      </c>
    </row>
    <row r="72" spans="1:16" x14ac:dyDescent="0.2">
      <c r="A72" s="1">
        <f>tree!$J$121</f>
        <v>-442.7055192773737</v>
      </c>
      <c r="B72" s="24" t="s">
        <v>202</v>
      </c>
      <c r="C72" s="1">
        <v>0</v>
      </c>
      <c r="H72" s="1" t="s">
        <v>191</v>
      </c>
      <c r="I72" s="1" t="s">
        <v>191</v>
      </c>
      <c r="J72" s="1">
        <f>tree!$I$121</f>
        <v>7.0000000000000007E-2</v>
      </c>
      <c r="K72" s="1">
        <f>tree!$I$120</f>
        <v>0.5</v>
      </c>
      <c r="L72" s="1" t="s">
        <v>278</v>
      </c>
      <c r="M72" s="24" t="s">
        <v>192</v>
      </c>
      <c r="P72" s="1" t="b">
        <v>0</v>
      </c>
    </row>
    <row r="73" spans="1:16" x14ac:dyDescent="0.2">
      <c r="A73" s="1">
        <f>tree!$J$125</f>
        <v>-314.08428433244563</v>
      </c>
      <c r="B73" s="24" t="s">
        <v>203</v>
      </c>
      <c r="C73" s="1">
        <v>0</v>
      </c>
      <c r="H73" s="1" t="s">
        <v>191</v>
      </c>
      <c r="I73" s="1" t="s">
        <v>191</v>
      </c>
      <c r="J73" s="1">
        <f>tree!$I$125</f>
        <v>0.04</v>
      </c>
      <c r="K73" s="1">
        <f>tree!$I$124</f>
        <v>0.5</v>
      </c>
      <c r="L73" s="1" t="s">
        <v>278</v>
      </c>
      <c r="M73" s="24" t="s">
        <v>192</v>
      </c>
      <c r="P73" s="1" t="b">
        <v>0</v>
      </c>
    </row>
    <row r="74" spans="1:16" x14ac:dyDescent="0.2">
      <c r="A74" s="1">
        <f>tree!$I$131</f>
        <v>-118.00384917647672</v>
      </c>
      <c r="B74" s="24" t="s">
        <v>211</v>
      </c>
      <c r="C74" s="1">
        <v>0</v>
      </c>
      <c r="H74" s="37">
        <f>'cash flows'!$D$18</f>
        <v>0.06</v>
      </c>
      <c r="I74" s="1" t="s">
        <v>191</v>
      </c>
      <c r="J74" s="1">
        <f>tree!$H$131</f>
        <v>1.5</v>
      </c>
      <c r="K74" s="1">
        <f>tree!$H$130</f>
        <v>0.5</v>
      </c>
      <c r="L74" s="1" t="s">
        <v>279</v>
      </c>
      <c r="M74" s="24" t="s">
        <v>192</v>
      </c>
      <c r="O74" s="1" t="str">
        <f>tree!$I$130</f>
        <v>Variable cost increase</v>
      </c>
      <c r="P74" s="1" t="b">
        <v>0</v>
      </c>
    </row>
    <row r="75" spans="1:16" x14ac:dyDescent="0.2">
      <c r="A75" s="1">
        <f>tree!$J$129</f>
        <v>-182.31446664894077</v>
      </c>
      <c r="B75" s="24" t="s">
        <v>202</v>
      </c>
      <c r="C75" s="1">
        <v>0</v>
      </c>
      <c r="H75" s="1" t="s">
        <v>191</v>
      </c>
      <c r="I75" s="1" t="s">
        <v>191</v>
      </c>
      <c r="J75" s="1">
        <f>tree!$I$129</f>
        <v>7.0000000000000007E-2</v>
      </c>
      <c r="K75" s="1">
        <f>tree!$I$128</f>
        <v>0.5</v>
      </c>
      <c r="L75" s="1" t="s">
        <v>280</v>
      </c>
      <c r="M75" s="24" t="s">
        <v>192</v>
      </c>
      <c r="P75" s="1" t="b">
        <v>0</v>
      </c>
    </row>
    <row r="76" spans="1:16" x14ac:dyDescent="0.2">
      <c r="A76" s="1">
        <f>tree!$J$133</f>
        <v>-53.693231704012682</v>
      </c>
      <c r="B76" s="24" t="s">
        <v>203</v>
      </c>
      <c r="C76" s="1">
        <v>0</v>
      </c>
      <c r="H76" s="1" t="s">
        <v>191</v>
      </c>
      <c r="I76" s="1" t="s">
        <v>191</v>
      </c>
      <c r="J76" s="1">
        <f>tree!$I$133</f>
        <v>0.04</v>
      </c>
      <c r="K76" s="1">
        <f>tree!$I$132</f>
        <v>0.5</v>
      </c>
      <c r="L76" s="1" t="s">
        <v>280</v>
      </c>
      <c r="M76" s="24" t="s">
        <v>192</v>
      </c>
      <c r="P76" s="1" t="b">
        <v>0</v>
      </c>
    </row>
    <row r="77" spans="1:16" x14ac:dyDescent="0.2">
      <c r="A77" s="1">
        <f>tree!$G$143</f>
        <v>-128.24912948069479</v>
      </c>
      <c r="B77" s="24" t="s">
        <v>198</v>
      </c>
      <c r="C77" s="1">
        <v>0</v>
      </c>
      <c r="H77" s="1" t="s">
        <v>191</v>
      </c>
      <c r="I77" s="1" t="s">
        <v>191</v>
      </c>
      <c r="J77" s="1">
        <f>tree!$F$143</f>
        <v>0</v>
      </c>
      <c r="L77" s="1" t="s">
        <v>219</v>
      </c>
      <c r="M77" s="24" t="s">
        <v>192</v>
      </c>
      <c r="P77" s="1" t="b">
        <v>0</v>
      </c>
    </row>
    <row r="78" spans="1:16" x14ac:dyDescent="0.2">
      <c r="A78" s="1">
        <f>tree!$E$219</f>
        <v>95.934788188530987</v>
      </c>
      <c r="B78" s="24" t="s">
        <v>197</v>
      </c>
      <c r="C78" s="1">
        <v>0</v>
      </c>
      <c r="I78" s="1" t="s">
        <v>191</v>
      </c>
      <c r="J78" s="1">
        <f>tree!$D$219</f>
        <v>1</v>
      </c>
      <c r="L78" s="1" t="s">
        <v>284</v>
      </c>
      <c r="M78" s="24" t="s">
        <v>192</v>
      </c>
      <c r="O78" s="1" t="str">
        <f>tree!$E$218</f>
        <v>Environmental legislation</v>
      </c>
      <c r="P78" s="1" t="b">
        <v>0</v>
      </c>
    </row>
    <row r="79" spans="1:16" x14ac:dyDescent="0.2">
      <c r="A79" s="1">
        <f>tree!$F$149</f>
        <v>-19.433962264150942</v>
      </c>
      <c r="B79" s="24" t="s">
        <v>198</v>
      </c>
      <c r="C79" s="1">
        <v>0</v>
      </c>
      <c r="H79" s="1" t="s">
        <v>191</v>
      </c>
      <c r="I79" s="1" t="s">
        <v>191</v>
      </c>
      <c r="J79" s="1">
        <f>tree!$E$149</f>
        <v>0</v>
      </c>
      <c r="L79" s="1" t="s">
        <v>230</v>
      </c>
      <c r="M79" s="24" t="s">
        <v>192</v>
      </c>
      <c r="P79" s="1" t="b">
        <v>0</v>
      </c>
    </row>
    <row r="80" spans="1:16" x14ac:dyDescent="0.2">
      <c r="A80" s="1">
        <f>tree!$F$215</f>
        <v>992.67045886543406</v>
      </c>
      <c r="B80" s="24" t="s">
        <v>207</v>
      </c>
      <c r="C80" s="1">
        <v>0</v>
      </c>
      <c r="H80" s="1">
        <f>'cash flows'!$C$25</f>
        <v>0</v>
      </c>
      <c r="I80" s="1" t="s">
        <v>191</v>
      </c>
      <c r="J80" s="1">
        <f>tree!$E$215</f>
        <v>1</v>
      </c>
      <c r="K80" s="1">
        <f>tree!$E$214</f>
        <v>0.2</v>
      </c>
      <c r="L80" s="1" t="s">
        <v>285</v>
      </c>
      <c r="M80" s="24" t="s">
        <v>192</v>
      </c>
      <c r="O80" s="1" t="str">
        <f>tree!$F$214</f>
        <v>Start construction</v>
      </c>
      <c r="P80" s="1" t="b">
        <v>0</v>
      </c>
    </row>
    <row r="81" spans="1:16" x14ac:dyDescent="0.2">
      <c r="A81" s="1">
        <f>tree!$G$173</f>
        <v>992.67045886543406</v>
      </c>
      <c r="B81" s="24" t="s">
        <v>197</v>
      </c>
      <c r="C81" s="1">
        <v>0</v>
      </c>
      <c r="H81" s="1">
        <f>'cash flows'!$E$2</f>
        <v>2</v>
      </c>
      <c r="I81" s="1" t="s">
        <v>191</v>
      </c>
      <c r="J81" s="1">
        <f>tree!$F$173</f>
        <v>1</v>
      </c>
      <c r="L81" s="1" t="s">
        <v>286</v>
      </c>
      <c r="M81" s="24" t="s">
        <v>192</v>
      </c>
      <c r="O81" s="1" t="str">
        <f>tree!$G$172</f>
        <v>Electricity prices</v>
      </c>
      <c r="P81" s="1" t="b">
        <v>0</v>
      </c>
    </row>
    <row r="82" spans="1:16" x14ac:dyDescent="0.2">
      <c r="A82" s="1">
        <f>tree!$H$159</f>
        <v>992.67045886543406</v>
      </c>
      <c r="B82" s="24" t="s">
        <v>202</v>
      </c>
      <c r="C82" s="1">
        <v>0</v>
      </c>
      <c r="H82" s="37">
        <f>'cash flows'!$E$16</f>
        <v>1.5</v>
      </c>
      <c r="I82" s="1" t="s">
        <v>191</v>
      </c>
      <c r="J82" s="1">
        <f>tree!$G$159</f>
        <v>3</v>
      </c>
      <c r="K82" s="1">
        <f>tree!$G$158</f>
        <v>1</v>
      </c>
      <c r="L82" s="1" t="s">
        <v>287</v>
      </c>
      <c r="M82" s="24" t="s">
        <v>192</v>
      </c>
      <c r="O82" s="1" t="str">
        <f>tree!$H$158</f>
        <v>Construction costs</v>
      </c>
      <c r="P82" s="1" t="b">
        <v>0</v>
      </c>
    </row>
    <row r="83" spans="1:16" x14ac:dyDescent="0.2">
      <c r="A83" s="1">
        <f>tree!$I$155</f>
        <v>732.2794062370009</v>
      </c>
      <c r="B83" s="24" t="s">
        <v>202</v>
      </c>
      <c r="C83" s="1">
        <v>0</v>
      </c>
      <c r="H83" s="37">
        <f>'cash flows'!$D$18</f>
        <v>0.06</v>
      </c>
      <c r="I83" s="1" t="s">
        <v>191</v>
      </c>
      <c r="J83" s="1">
        <f>tree!$H$155</f>
        <v>1.7</v>
      </c>
      <c r="K83" s="1">
        <f>tree!$H$154</f>
        <v>0.25</v>
      </c>
      <c r="L83" s="1" t="s">
        <v>288</v>
      </c>
      <c r="M83" s="24" t="s">
        <v>192</v>
      </c>
      <c r="O83" s="1" t="str">
        <f>tree!$I$154</f>
        <v>Variable cost increase</v>
      </c>
      <c r="P83" s="1" t="b">
        <v>0</v>
      </c>
    </row>
    <row r="84" spans="1:16" x14ac:dyDescent="0.2">
      <c r="A84" s="1">
        <f>tree!$J$153</f>
        <v>551.79241806636855</v>
      </c>
      <c r="B84" s="24" t="s">
        <v>202</v>
      </c>
      <c r="C84" s="1">
        <v>0</v>
      </c>
      <c r="H84" s="1" t="s">
        <v>191</v>
      </c>
      <c r="I84" s="1" t="s">
        <v>191</v>
      </c>
      <c r="J84" s="1">
        <f>tree!$I$153</f>
        <v>7.0000000000000007E-2</v>
      </c>
      <c r="K84" s="1">
        <f>tree!$I$152</f>
        <v>0.5</v>
      </c>
      <c r="L84" s="1" t="s">
        <v>232</v>
      </c>
      <c r="M84" s="24" t="s">
        <v>192</v>
      </c>
      <c r="P84" s="1" t="b">
        <v>0</v>
      </c>
    </row>
    <row r="85" spans="1:16" x14ac:dyDescent="0.2">
      <c r="A85" s="1">
        <f>tree!$J$157</f>
        <v>912.76639440763324</v>
      </c>
      <c r="B85" s="24" t="s">
        <v>203</v>
      </c>
      <c r="C85" s="1">
        <v>0</v>
      </c>
      <c r="H85" s="1" t="s">
        <v>191</v>
      </c>
      <c r="I85" s="1" t="s">
        <v>191</v>
      </c>
      <c r="J85" s="1">
        <f>tree!$I$157</f>
        <v>0.04</v>
      </c>
      <c r="K85" s="1">
        <f>tree!$I$156</f>
        <v>0.5</v>
      </c>
      <c r="L85" s="1" t="s">
        <v>232</v>
      </c>
      <c r="M85" s="24" t="s">
        <v>192</v>
      </c>
      <c r="P85" s="1" t="b">
        <v>0</v>
      </c>
    </row>
    <row r="86" spans="1:16" x14ac:dyDescent="0.2">
      <c r="A86" s="1">
        <f>tree!$I$163</f>
        <v>992.67045886543383</v>
      </c>
      <c r="B86" s="24" t="s">
        <v>211</v>
      </c>
      <c r="C86" s="1">
        <v>0</v>
      </c>
      <c r="H86" s="37">
        <f>'cash flows'!$D$18</f>
        <v>0.06</v>
      </c>
      <c r="I86" s="1" t="s">
        <v>191</v>
      </c>
      <c r="J86" s="1">
        <f>tree!$H$163</f>
        <v>1.5</v>
      </c>
      <c r="K86" s="1">
        <f>tree!$H$162</f>
        <v>0.5</v>
      </c>
      <c r="L86" s="1" t="s">
        <v>289</v>
      </c>
      <c r="M86" s="24" t="s">
        <v>192</v>
      </c>
      <c r="O86" s="1" t="str">
        <f>tree!$I$162</f>
        <v>Variable cost increase</v>
      </c>
      <c r="P86" s="1" t="b">
        <v>0</v>
      </c>
    </row>
    <row r="87" spans="1:16" x14ac:dyDescent="0.2">
      <c r="A87" s="1">
        <f>tree!$J$161</f>
        <v>812.18347069480137</v>
      </c>
      <c r="B87" s="24" t="s">
        <v>202</v>
      </c>
      <c r="C87" s="1">
        <v>0</v>
      </c>
      <c r="H87" s="1" t="s">
        <v>191</v>
      </c>
      <c r="I87" s="1" t="s">
        <v>191</v>
      </c>
      <c r="J87" s="1">
        <f>tree!$I$161</f>
        <v>7.0000000000000007E-2</v>
      </c>
      <c r="K87" s="1">
        <f>tree!$I$160</f>
        <v>0.5</v>
      </c>
      <c r="L87" s="1" t="s">
        <v>290</v>
      </c>
      <c r="M87" s="24" t="s">
        <v>192</v>
      </c>
      <c r="P87" s="1" t="b">
        <v>0</v>
      </c>
    </row>
    <row r="88" spans="1:16" x14ac:dyDescent="0.2">
      <c r="A88" s="1">
        <f>tree!$J$165</f>
        <v>1173.1574470360663</v>
      </c>
      <c r="B88" s="24" t="s">
        <v>203</v>
      </c>
      <c r="C88" s="1">
        <v>0</v>
      </c>
      <c r="H88" s="1" t="s">
        <v>191</v>
      </c>
      <c r="I88" s="1" t="s">
        <v>191</v>
      </c>
      <c r="J88" s="1">
        <f>tree!$I$165</f>
        <v>0.04</v>
      </c>
      <c r="K88" s="1">
        <f>tree!$I$164</f>
        <v>0.5</v>
      </c>
      <c r="L88" s="1" t="s">
        <v>290</v>
      </c>
      <c r="M88" s="24" t="s">
        <v>192</v>
      </c>
      <c r="P88" s="1" t="b">
        <v>0</v>
      </c>
    </row>
    <row r="89" spans="1:16" x14ac:dyDescent="0.2">
      <c r="A89" s="1">
        <f>tree!$I$169</f>
        <v>1253.0615114938678</v>
      </c>
      <c r="B89" s="24" t="s">
        <v>203</v>
      </c>
      <c r="C89" s="1">
        <v>0</v>
      </c>
      <c r="H89" s="37">
        <f>'cash flows'!$D$18</f>
        <v>0.06</v>
      </c>
      <c r="I89" s="1" t="s">
        <v>191</v>
      </c>
      <c r="J89" s="1">
        <f>tree!$H$169</f>
        <v>1.3</v>
      </c>
      <c r="K89" s="1">
        <f>tree!$H$168</f>
        <v>0.25</v>
      </c>
      <c r="L89" s="1" t="s">
        <v>291</v>
      </c>
      <c r="M89" s="24" t="s">
        <v>192</v>
      </c>
      <c r="O89" s="1" t="str">
        <f>tree!$I$168</f>
        <v>Variable cost increase</v>
      </c>
      <c r="P89" s="1" t="b">
        <v>0</v>
      </c>
    </row>
    <row r="90" spans="1:16" x14ac:dyDescent="0.2">
      <c r="A90" s="1">
        <f>tree!$J$167</f>
        <v>1072.5745233232353</v>
      </c>
      <c r="B90" s="24" t="s">
        <v>202</v>
      </c>
      <c r="C90" s="1">
        <v>0</v>
      </c>
      <c r="H90" s="1" t="s">
        <v>191</v>
      </c>
      <c r="I90" s="1" t="s">
        <v>191</v>
      </c>
      <c r="J90" s="1">
        <f>tree!$I$167</f>
        <v>7.0000000000000007E-2</v>
      </c>
      <c r="K90" s="1">
        <f>tree!$I$166</f>
        <v>0.5</v>
      </c>
      <c r="L90" s="1" t="s">
        <v>292</v>
      </c>
      <c r="M90" s="24" t="s">
        <v>192</v>
      </c>
      <c r="P90" s="1" t="b">
        <v>0</v>
      </c>
    </row>
    <row r="91" spans="1:16" x14ac:dyDescent="0.2">
      <c r="A91" s="1">
        <f>tree!$J$171</f>
        <v>1433.5484996645002</v>
      </c>
      <c r="B91" s="24" t="s">
        <v>203</v>
      </c>
      <c r="C91" s="1">
        <v>0</v>
      </c>
      <c r="H91" s="37" t="s">
        <v>191</v>
      </c>
      <c r="I91" s="1" t="s">
        <v>191</v>
      </c>
      <c r="J91" s="1">
        <f>tree!$I$171</f>
        <v>0.04</v>
      </c>
      <c r="K91" s="1">
        <f>tree!$I$170</f>
        <v>0.5</v>
      </c>
      <c r="L91" s="1" t="s">
        <v>292</v>
      </c>
      <c r="M91" s="24" t="s">
        <v>192</v>
      </c>
      <c r="P91" s="1" t="b">
        <v>0</v>
      </c>
    </row>
    <row r="92" spans="1:16" x14ac:dyDescent="0.2">
      <c r="A92" s="1">
        <f>tree!$H$181</f>
        <v>-1.2356437633284258</v>
      </c>
      <c r="B92" s="24" t="s">
        <v>211</v>
      </c>
      <c r="C92" s="1">
        <v>0</v>
      </c>
      <c r="H92" s="1">
        <f>'cash flows'!$E$16</f>
        <v>1.5</v>
      </c>
      <c r="I92" s="1" t="s">
        <v>191</v>
      </c>
      <c r="J92" s="1">
        <f>tree!$G$181</f>
        <v>2</v>
      </c>
      <c r="K92" s="1">
        <f>tree!$G$180</f>
        <v>0</v>
      </c>
      <c r="L92" s="1" t="s">
        <v>293</v>
      </c>
      <c r="M92" s="24" t="s">
        <v>192</v>
      </c>
      <c r="O92" s="1" t="str">
        <f>tree!$H$180</f>
        <v>Construction costs</v>
      </c>
      <c r="P92" s="1" t="b">
        <v>0</v>
      </c>
    </row>
    <row r="93" spans="1:16" x14ac:dyDescent="0.2">
      <c r="A93" s="1">
        <f>tree!$I$177</f>
        <v>-261.62669639176249</v>
      </c>
      <c r="B93" s="24" t="s">
        <v>202</v>
      </c>
      <c r="C93" s="1">
        <v>0</v>
      </c>
      <c r="H93" s="37">
        <f>'cash flows'!$D$18</f>
        <v>0.06</v>
      </c>
      <c r="I93" s="1" t="s">
        <v>191</v>
      </c>
      <c r="J93" s="1">
        <f>tree!$H$177</f>
        <v>1.7</v>
      </c>
      <c r="K93" s="1">
        <f>tree!$H$176</f>
        <v>0.25</v>
      </c>
      <c r="L93" s="1" t="s">
        <v>294</v>
      </c>
      <c r="M93" s="24" t="s">
        <v>192</v>
      </c>
      <c r="O93" s="1" t="str">
        <f>tree!$I$176</f>
        <v>Variable cost increase</v>
      </c>
      <c r="P93" s="1" t="b">
        <v>0</v>
      </c>
    </row>
    <row r="94" spans="1:16" x14ac:dyDescent="0.2">
      <c r="A94" s="1">
        <f>tree!$J$175</f>
        <v>-375.81104270316206</v>
      </c>
      <c r="B94" s="24" t="s">
        <v>202</v>
      </c>
      <c r="C94" s="1">
        <v>0</v>
      </c>
      <c r="H94" s="1" t="s">
        <v>191</v>
      </c>
      <c r="I94" s="1" t="s">
        <v>191</v>
      </c>
      <c r="J94" s="1">
        <f>tree!$I$175</f>
        <v>7.0000000000000007E-2</v>
      </c>
      <c r="K94" s="1">
        <f>tree!$I$174</f>
        <v>0.5</v>
      </c>
      <c r="L94" s="1" t="s">
        <v>295</v>
      </c>
      <c r="M94" s="24" t="s">
        <v>192</v>
      </c>
      <c r="P94" s="1" t="b">
        <v>0</v>
      </c>
    </row>
    <row r="95" spans="1:16" x14ac:dyDescent="0.2">
      <c r="A95" s="1">
        <f>tree!$J$179</f>
        <v>-147.4423500803629</v>
      </c>
      <c r="B95" s="24" t="s">
        <v>203</v>
      </c>
      <c r="C95" s="1">
        <v>0</v>
      </c>
      <c r="H95" s="1" t="s">
        <v>191</v>
      </c>
      <c r="I95" s="1" t="s">
        <v>191</v>
      </c>
      <c r="J95" s="1">
        <f>tree!$I$179</f>
        <v>0.04</v>
      </c>
      <c r="K95" s="1">
        <f>tree!$I$178</f>
        <v>0.5</v>
      </c>
      <c r="L95" s="1" t="s">
        <v>295</v>
      </c>
      <c r="M95" s="24" t="s">
        <v>192</v>
      </c>
      <c r="P95" s="1" t="b">
        <v>0</v>
      </c>
    </row>
    <row r="96" spans="1:16" x14ac:dyDescent="0.2">
      <c r="A96" s="1">
        <f>tree!$I$185</f>
        <v>-1.2356437633283335</v>
      </c>
      <c r="B96" s="24" t="s">
        <v>211</v>
      </c>
      <c r="C96" s="1">
        <v>0</v>
      </c>
      <c r="H96" s="37">
        <f>'cash flows'!$D$18</f>
        <v>0.06</v>
      </c>
      <c r="I96" s="1" t="s">
        <v>191</v>
      </c>
      <c r="J96" s="1">
        <f>tree!$H$185</f>
        <v>1.5</v>
      </c>
      <c r="K96" s="1">
        <f>tree!$H$184</f>
        <v>0.5</v>
      </c>
      <c r="L96" s="1" t="s">
        <v>296</v>
      </c>
      <c r="M96" s="24" t="s">
        <v>192</v>
      </c>
      <c r="O96" s="1" t="str">
        <f>tree!$I$184</f>
        <v>Variable cost increase</v>
      </c>
      <c r="P96" s="1" t="b">
        <v>0</v>
      </c>
    </row>
    <row r="97" spans="1:16" x14ac:dyDescent="0.2">
      <c r="A97" s="1">
        <f>tree!$J$183</f>
        <v>-115.41999007472789</v>
      </c>
      <c r="B97" s="24" t="s">
        <v>202</v>
      </c>
      <c r="C97" s="1">
        <v>0</v>
      </c>
      <c r="H97" s="1" t="s">
        <v>191</v>
      </c>
      <c r="I97" s="1" t="s">
        <v>191</v>
      </c>
      <c r="J97" s="1">
        <f>tree!$I$183</f>
        <v>7.0000000000000007E-2</v>
      </c>
      <c r="K97" s="1">
        <f>tree!$I$182</f>
        <v>0.5</v>
      </c>
      <c r="L97" s="1" t="s">
        <v>233</v>
      </c>
      <c r="M97" s="24" t="s">
        <v>192</v>
      </c>
      <c r="P97" s="1" t="b">
        <v>0</v>
      </c>
    </row>
    <row r="98" spans="1:16" x14ac:dyDescent="0.2">
      <c r="A98" s="1">
        <f>tree!$J$187</f>
        <v>112.94870254807122</v>
      </c>
      <c r="B98" s="24" t="s">
        <v>203</v>
      </c>
      <c r="C98" s="1">
        <v>0</v>
      </c>
      <c r="H98" s="1" t="s">
        <v>191</v>
      </c>
      <c r="I98" s="1" t="s">
        <v>191</v>
      </c>
      <c r="J98" s="1">
        <f>tree!$I$187</f>
        <v>0.04</v>
      </c>
      <c r="K98" s="1">
        <f>tree!$I$186</f>
        <v>0.5</v>
      </c>
      <c r="L98" s="1" t="s">
        <v>233</v>
      </c>
      <c r="M98" s="24" t="s">
        <v>192</v>
      </c>
      <c r="P98" s="1" t="b">
        <v>0</v>
      </c>
    </row>
    <row r="99" spans="1:16" x14ac:dyDescent="0.2">
      <c r="A99" s="1">
        <f>tree!$I$191</f>
        <v>259.15540886510547</v>
      </c>
      <c r="B99" s="24" t="s">
        <v>203</v>
      </c>
      <c r="C99" s="1">
        <v>0</v>
      </c>
      <c r="H99" s="37">
        <f>'cash flows'!$D$18</f>
        <v>0.06</v>
      </c>
      <c r="I99" s="1" t="s">
        <v>191</v>
      </c>
      <c r="J99" s="1">
        <f>tree!$H$191</f>
        <v>1.3</v>
      </c>
      <c r="K99" s="1">
        <f>tree!$H$190</f>
        <v>0.25</v>
      </c>
      <c r="L99" s="1" t="s">
        <v>297</v>
      </c>
      <c r="M99" s="24" t="s">
        <v>192</v>
      </c>
      <c r="O99" s="1" t="str">
        <f>tree!$I$190</f>
        <v>Variable cost increase</v>
      </c>
      <c r="P99" s="1" t="b">
        <v>0</v>
      </c>
    </row>
    <row r="100" spans="1:16" x14ac:dyDescent="0.2">
      <c r="A100" s="1">
        <f>tree!$J$189</f>
        <v>144.97106255370585</v>
      </c>
      <c r="B100" s="24" t="s">
        <v>202</v>
      </c>
      <c r="C100" s="1">
        <v>0</v>
      </c>
      <c r="H100" s="37" t="s">
        <v>191</v>
      </c>
      <c r="I100" s="1" t="s">
        <v>191</v>
      </c>
      <c r="J100" s="1">
        <f>tree!$I$189</f>
        <v>7.0000000000000007E-2</v>
      </c>
      <c r="K100" s="1">
        <f>tree!$I$188</f>
        <v>0.5</v>
      </c>
      <c r="L100" s="1" t="s">
        <v>298</v>
      </c>
      <c r="M100" s="24" t="s">
        <v>192</v>
      </c>
      <c r="P100" s="1" t="b">
        <v>0</v>
      </c>
    </row>
    <row r="101" spans="1:16" x14ac:dyDescent="0.2">
      <c r="A101" s="1">
        <f>tree!$J$193</f>
        <v>373.33975517650509</v>
      </c>
      <c r="B101" s="24" t="s">
        <v>203</v>
      </c>
      <c r="C101" s="1">
        <v>0</v>
      </c>
      <c r="H101" s="1" t="s">
        <v>191</v>
      </c>
      <c r="I101" s="1" t="s">
        <v>191</v>
      </c>
      <c r="J101" s="1">
        <f>tree!$I$193</f>
        <v>0.04</v>
      </c>
      <c r="K101" s="1">
        <f>tree!$I$192</f>
        <v>0.5</v>
      </c>
      <c r="L101" s="1" t="s">
        <v>298</v>
      </c>
      <c r="M101" s="24" t="s">
        <v>192</v>
      </c>
      <c r="P101" s="1" t="b">
        <v>0</v>
      </c>
    </row>
    <row r="102" spans="1:16" x14ac:dyDescent="0.2">
      <c r="A102" s="1">
        <f>tree!$H$201</f>
        <v>-396.00145873076332</v>
      </c>
      <c r="B102" s="24" t="s">
        <v>203</v>
      </c>
      <c r="C102" s="1">
        <v>0</v>
      </c>
      <c r="H102" s="1">
        <f>'cash flows'!$E$16</f>
        <v>1.5</v>
      </c>
      <c r="I102" s="1" t="s">
        <v>191</v>
      </c>
      <c r="J102" s="1">
        <f>tree!$G$201</f>
        <v>1</v>
      </c>
      <c r="K102" s="1">
        <f>tree!$G$200</f>
        <v>0</v>
      </c>
      <c r="L102" s="1" t="s">
        <v>299</v>
      </c>
      <c r="M102" s="24" t="s">
        <v>192</v>
      </c>
      <c r="O102" s="1" t="str">
        <f>tree!$H$200</f>
        <v>Construction costs</v>
      </c>
      <c r="P102" s="1" t="b">
        <v>0</v>
      </c>
    </row>
    <row r="103" spans="1:16" x14ac:dyDescent="0.2">
      <c r="A103" s="1">
        <f>tree!$I$197</f>
        <v>-656.39251135919699</v>
      </c>
      <c r="B103" s="24" t="s">
        <v>202</v>
      </c>
      <c r="C103" s="1">
        <v>0</v>
      </c>
      <c r="H103" s="37">
        <f>'cash flows'!$D$18</f>
        <v>0.06</v>
      </c>
      <c r="I103" s="1" t="s">
        <v>191</v>
      </c>
      <c r="J103" s="1">
        <f>tree!$H$197</f>
        <v>1.7</v>
      </c>
      <c r="K103" s="1">
        <f>tree!$H$196</f>
        <v>0.25</v>
      </c>
      <c r="L103" s="1" t="s">
        <v>300</v>
      </c>
      <c r="M103" s="24" t="s">
        <v>192</v>
      </c>
      <c r="O103" s="1" t="str">
        <f>tree!$I$196</f>
        <v>Variable cost increase</v>
      </c>
      <c r="P103" s="1" t="b">
        <v>0</v>
      </c>
    </row>
    <row r="104" spans="1:16" x14ac:dyDescent="0.2">
      <c r="A104" s="1">
        <f>tree!$J$195</f>
        <v>-712.84380889290094</v>
      </c>
      <c r="B104" s="24" t="s">
        <v>202</v>
      </c>
      <c r="C104" s="1">
        <v>0</v>
      </c>
      <c r="H104" s="1" t="s">
        <v>191</v>
      </c>
      <c r="I104" s="1" t="s">
        <v>191</v>
      </c>
      <c r="J104" s="1">
        <f>tree!$I$195</f>
        <v>7.0000000000000007E-2</v>
      </c>
      <c r="K104" s="1">
        <f>tree!$I$194</f>
        <v>0.5</v>
      </c>
      <c r="L104" s="1" t="s">
        <v>301</v>
      </c>
      <c r="M104" s="24" t="s">
        <v>192</v>
      </c>
      <c r="P104" s="1" t="b">
        <v>0</v>
      </c>
    </row>
    <row r="105" spans="1:16" x14ac:dyDescent="0.2">
      <c r="A105" s="1">
        <f>tree!$J$199</f>
        <v>-599.94121382549304</v>
      </c>
      <c r="B105" s="24" t="s">
        <v>203</v>
      </c>
      <c r="C105" s="1">
        <v>0</v>
      </c>
      <c r="H105" s="1" t="s">
        <v>191</v>
      </c>
      <c r="I105" s="1" t="s">
        <v>191</v>
      </c>
      <c r="J105" s="1">
        <f>tree!$I$199</f>
        <v>0.04</v>
      </c>
      <c r="K105" s="1">
        <f>tree!$I$198</f>
        <v>0.5</v>
      </c>
      <c r="L105" s="1" t="s">
        <v>301</v>
      </c>
      <c r="M105" s="24" t="s">
        <v>192</v>
      </c>
      <c r="P105" s="1" t="b">
        <v>0</v>
      </c>
    </row>
    <row r="106" spans="1:16" x14ac:dyDescent="0.2">
      <c r="A106" s="1">
        <f>tree!$I$205</f>
        <v>-396.00145873076332</v>
      </c>
      <c r="B106" s="24" t="s">
        <v>211</v>
      </c>
      <c r="C106" s="1">
        <v>0</v>
      </c>
      <c r="H106" s="37">
        <f>'cash flows'!$D$18</f>
        <v>0.06</v>
      </c>
      <c r="I106" s="1" t="s">
        <v>191</v>
      </c>
      <c r="J106" s="1">
        <f>tree!$H$205</f>
        <v>1.5</v>
      </c>
      <c r="K106" s="1">
        <f>tree!$H$204</f>
        <v>0.5</v>
      </c>
      <c r="L106" s="1" t="s">
        <v>302</v>
      </c>
      <c r="M106" s="24" t="s">
        <v>192</v>
      </c>
      <c r="O106" s="1" t="str">
        <f>tree!$I$204</f>
        <v>Variable cost increase</v>
      </c>
      <c r="P106" s="1" t="b">
        <v>0</v>
      </c>
    </row>
    <row r="107" spans="1:16" x14ac:dyDescent="0.2">
      <c r="A107" s="1">
        <f>tree!$J$203</f>
        <v>-452.45275626446715</v>
      </c>
      <c r="B107" s="24" t="s">
        <v>202</v>
      </c>
      <c r="C107" s="1">
        <v>0</v>
      </c>
      <c r="H107" s="1" t="s">
        <v>191</v>
      </c>
      <c r="I107" s="1" t="s">
        <v>191</v>
      </c>
      <c r="J107" s="1">
        <f>tree!$I$203</f>
        <v>7.0000000000000007E-2</v>
      </c>
      <c r="K107" s="1">
        <f>tree!$I$202</f>
        <v>0.5</v>
      </c>
      <c r="L107" s="1" t="s">
        <v>303</v>
      </c>
      <c r="M107" s="24" t="s">
        <v>192</v>
      </c>
      <c r="P107" s="1" t="b">
        <v>0</v>
      </c>
    </row>
    <row r="108" spans="1:16" x14ac:dyDescent="0.2">
      <c r="A108" s="1">
        <f>tree!$J$207</f>
        <v>-339.55016119705948</v>
      </c>
      <c r="B108" s="24" t="s">
        <v>203</v>
      </c>
      <c r="C108" s="1">
        <v>0</v>
      </c>
      <c r="H108" s="1" t="s">
        <v>191</v>
      </c>
      <c r="I108" s="1" t="s">
        <v>191</v>
      </c>
      <c r="J108" s="1">
        <f>tree!$I$207</f>
        <v>0.04</v>
      </c>
      <c r="K108" s="1">
        <f>tree!$I$206</f>
        <v>0.5</v>
      </c>
      <c r="L108" s="1" t="s">
        <v>303</v>
      </c>
      <c r="M108" s="24" t="s">
        <v>192</v>
      </c>
      <c r="P108" s="1" t="b">
        <v>0</v>
      </c>
    </row>
    <row r="109" spans="1:16" x14ac:dyDescent="0.2">
      <c r="A109" s="1">
        <f>tree!$I$211</f>
        <v>-135.61040610232956</v>
      </c>
      <c r="B109" s="24" t="s">
        <v>203</v>
      </c>
      <c r="C109" s="1">
        <v>0</v>
      </c>
      <c r="H109" s="37">
        <f>'cash flows'!$D$18</f>
        <v>0.06</v>
      </c>
      <c r="I109" s="1" t="s">
        <v>191</v>
      </c>
      <c r="J109" s="1">
        <f>tree!$H$211</f>
        <v>1.3</v>
      </c>
      <c r="K109" s="1">
        <f>tree!$H$210</f>
        <v>0.25</v>
      </c>
      <c r="L109" s="1" t="s">
        <v>304</v>
      </c>
      <c r="M109" s="24" t="s">
        <v>192</v>
      </c>
      <c r="O109" s="1" t="str">
        <f>tree!$I$210</f>
        <v>Variable cost increase</v>
      </c>
      <c r="P109" s="1" t="b">
        <v>0</v>
      </c>
    </row>
    <row r="110" spans="1:16" x14ac:dyDescent="0.2">
      <c r="A110" s="1">
        <f>tree!$J$209</f>
        <v>-192.06170363603346</v>
      </c>
      <c r="B110" s="24" t="s">
        <v>202</v>
      </c>
      <c r="C110" s="1">
        <v>0</v>
      </c>
      <c r="H110" s="1" t="s">
        <v>191</v>
      </c>
      <c r="I110" s="1" t="s">
        <v>191</v>
      </c>
      <c r="J110" s="1">
        <f>tree!$I$209</f>
        <v>7.0000000000000007E-2</v>
      </c>
      <c r="K110" s="1">
        <f>tree!$I$208</f>
        <v>0.5</v>
      </c>
      <c r="L110" s="1" t="s">
        <v>305</v>
      </c>
      <c r="M110" s="24" t="s">
        <v>192</v>
      </c>
      <c r="P110" s="1" t="b">
        <v>0</v>
      </c>
    </row>
    <row r="111" spans="1:16" x14ac:dyDescent="0.2">
      <c r="A111" s="1">
        <f>tree!$J$213</f>
        <v>-79.159108568625683</v>
      </c>
      <c r="B111" s="24" t="s">
        <v>203</v>
      </c>
      <c r="C111" s="1">
        <v>0</v>
      </c>
      <c r="H111" s="1" t="s">
        <v>191</v>
      </c>
      <c r="I111" s="1" t="s">
        <v>191</v>
      </c>
      <c r="J111" s="1">
        <f>tree!$I$213</f>
        <v>0.04</v>
      </c>
      <c r="K111" s="1">
        <f>tree!$I$212</f>
        <v>0.5</v>
      </c>
      <c r="L111" s="1" t="s">
        <v>305</v>
      </c>
      <c r="M111" s="24" t="s">
        <v>192</v>
      </c>
      <c r="P111" s="1" t="b">
        <v>0</v>
      </c>
    </row>
    <row r="112" spans="1:16" x14ac:dyDescent="0.2">
      <c r="A112" s="1">
        <f>tree!$G$217</f>
        <v>-128.24912948069479</v>
      </c>
      <c r="B112" s="24" t="s">
        <v>198</v>
      </c>
      <c r="C112" s="1">
        <v>0</v>
      </c>
      <c r="H112" s="37" t="s">
        <v>191</v>
      </c>
      <c r="I112" s="1" t="s">
        <v>191</v>
      </c>
      <c r="J112" s="1">
        <f>tree!$F$217</f>
        <v>0</v>
      </c>
      <c r="L112" s="1" t="s">
        <v>234</v>
      </c>
      <c r="M112" s="24" t="s">
        <v>192</v>
      </c>
      <c r="P112" s="1" t="b">
        <v>0</v>
      </c>
    </row>
    <row r="113" spans="1:16" x14ac:dyDescent="0.2">
      <c r="A113" s="1">
        <f>tree!$F$283</f>
        <v>-128.24912948069479</v>
      </c>
      <c r="B113" s="24" t="s">
        <v>208</v>
      </c>
      <c r="C113" s="1">
        <v>0</v>
      </c>
      <c r="H113" s="1">
        <f>'cash flows'!$C$25</f>
        <v>0</v>
      </c>
      <c r="I113" s="1" t="s">
        <v>191</v>
      </c>
      <c r="J113" s="1">
        <f>tree!$E$283</f>
        <v>0</v>
      </c>
      <c r="K113" s="1">
        <f>tree!$E$282</f>
        <v>0.8</v>
      </c>
      <c r="L113" s="1" t="s">
        <v>306</v>
      </c>
      <c r="M113" s="24" t="s">
        <v>192</v>
      </c>
      <c r="O113" s="1" t="str">
        <f>tree!$F$282</f>
        <v>Start construction</v>
      </c>
      <c r="P113" s="1" t="b">
        <v>0</v>
      </c>
    </row>
    <row r="114" spans="1:16" x14ac:dyDescent="0.2">
      <c r="A114" s="1">
        <f>tree!$G$241</f>
        <v>-149.27282437611652</v>
      </c>
      <c r="B114" s="24" t="s">
        <v>197</v>
      </c>
      <c r="C114" s="1">
        <v>0</v>
      </c>
      <c r="H114" s="1">
        <f>'cash flows'!$E$2</f>
        <v>2</v>
      </c>
      <c r="I114" s="1" t="s">
        <v>191</v>
      </c>
      <c r="J114" s="1">
        <f>tree!$F$241</f>
        <v>1</v>
      </c>
      <c r="L114" s="1" t="s">
        <v>307</v>
      </c>
      <c r="M114" s="24" t="s">
        <v>192</v>
      </c>
      <c r="O114" s="1" t="str">
        <f>tree!$G$240</f>
        <v>Electricity prices</v>
      </c>
      <c r="P114" s="1" t="b">
        <v>0</v>
      </c>
    </row>
    <row r="115" spans="1:16" x14ac:dyDescent="0.2">
      <c r="A115" s="1">
        <f>tree!$H$227</f>
        <v>992.67045886543406</v>
      </c>
      <c r="B115" s="24" t="s">
        <v>202</v>
      </c>
      <c r="C115" s="1">
        <v>0</v>
      </c>
      <c r="H115" s="1">
        <f>'cash flows'!$E$16</f>
        <v>1.5</v>
      </c>
      <c r="I115" s="1" t="s">
        <v>191</v>
      </c>
      <c r="J115" s="1">
        <f>tree!$G$227</f>
        <v>3</v>
      </c>
      <c r="K115" s="1">
        <f>tree!$G$226</f>
        <v>0</v>
      </c>
      <c r="L115" s="1" t="s">
        <v>308</v>
      </c>
      <c r="M115" s="24" t="s">
        <v>192</v>
      </c>
      <c r="O115" s="1" t="str">
        <f>tree!$H$226</f>
        <v>Construction costs</v>
      </c>
      <c r="P115" s="1" t="b">
        <v>0</v>
      </c>
    </row>
    <row r="116" spans="1:16" x14ac:dyDescent="0.2">
      <c r="A116" s="1">
        <f>tree!$I$223</f>
        <v>732.2794062370009</v>
      </c>
      <c r="B116" s="24" t="s">
        <v>202</v>
      </c>
      <c r="C116" s="1">
        <v>0</v>
      </c>
      <c r="H116" s="37">
        <f>'cash flows'!$D$18</f>
        <v>0.06</v>
      </c>
      <c r="I116" s="1" t="s">
        <v>191</v>
      </c>
      <c r="J116" s="1">
        <f>tree!$H$223</f>
        <v>1.7</v>
      </c>
      <c r="K116" s="1">
        <f>tree!$H$222</f>
        <v>0.25</v>
      </c>
      <c r="L116" s="1" t="s">
        <v>309</v>
      </c>
      <c r="M116" s="24" t="s">
        <v>192</v>
      </c>
      <c r="O116" s="1" t="str">
        <f>tree!$I$222</f>
        <v>Variable cost increase</v>
      </c>
      <c r="P116" s="1" t="b">
        <v>0</v>
      </c>
    </row>
    <row r="117" spans="1:16" x14ac:dyDescent="0.2">
      <c r="A117" s="1">
        <f>tree!$J$221</f>
        <v>551.79241806636855</v>
      </c>
      <c r="B117" s="24" t="s">
        <v>202</v>
      </c>
      <c r="C117" s="1">
        <v>0</v>
      </c>
      <c r="H117" s="1" t="s">
        <v>191</v>
      </c>
      <c r="I117" s="1" t="s">
        <v>191</v>
      </c>
      <c r="J117" s="1">
        <f>tree!$I$221</f>
        <v>7.0000000000000007E-2</v>
      </c>
      <c r="K117" s="1">
        <f>tree!$I$220</f>
        <v>0.5</v>
      </c>
      <c r="L117" s="1" t="s">
        <v>310</v>
      </c>
      <c r="M117" s="24" t="s">
        <v>192</v>
      </c>
      <c r="P117" s="1" t="b">
        <v>0</v>
      </c>
    </row>
    <row r="118" spans="1:16" x14ac:dyDescent="0.2">
      <c r="A118" s="1">
        <f>tree!$J$225</f>
        <v>912.76639440763324</v>
      </c>
      <c r="B118" s="24" t="s">
        <v>203</v>
      </c>
      <c r="C118" s="1">
        <v>0</v>
      </c>
      <c r="H118" s="1" t="s">
        <v>191</v>
      </c>
      <c r="I118" s="1" t="s">
        <v>191</v>
      </c>
      <c r="J118" s="1">
        <f>tree!$I$225</f>
        <v>0.04</v>
      </c>
      <c r="K118" s="1">
        <f>tree!$I$224</f>
        <v>0.5</v>
      </c>
      <c r="L118" s="1" t="s">
        <v>310</v>
      </c>
      <c r="M118" s="24" t="s">
        <v>192</v>
      </c>
      <c r="P118" s="1" t="b">
        <v>0</v>
      </c>
    </row>
    <row r="119" spans="1:16" x14ac:dyDescent="0.2">
      <c r="A119" s="1">
        <f>tree!$I$231</f>
        <v>992.67045886543383</v>
      </c>
      <c r="B119" s="24" t="s">
        <v>211</v>
      </c>
      <c r="C119" s="1">
        <v>0</v>
      </c>
      <c r="H119" s="37">
        <f>'cash flows'!$D$18</f>
        <v>0.06</v>
      </c>
      <c r="I119" s="1" t="s">
        <v>191</v>
      </c>
      <c r="J119" s="1">
        <f>tree!$H$231</f>
        <v>1.5</v>
      </c>
      <c r="K119" s="1">
        <f>tree!$H$230</f>
        <v>0.5</v>
      </c>
      <c r="L119" s="1" t="s">
        <v>311</v>
      </c>
      <c r="M119" s="24" t="s">
        <v>192</v>
      </c>
      <c r="O119" s="1" t="str">
        <f>tree!$I$230</f>
        <v>Variable cost increase</v>
      </c>
      <c r="P119" s="1" t="b">
        <v>0</v>
      </c>
    </row>
    <row r="120" spans="1:16" x14ac:dyDescent="0.2">
      <c r="A120" s="1">
        <f>tree!$J$229</f>
        <v>812.18347069480137</v>
      </c>
      <c r="B120" s="24" t="s">
        <v>202</v>
      </c>
      <c r="C120" s="1">
        <v>0</v>
      </c>
      <c r="H120" s="1" t="s">
        <v>191</v>
      </c>
      <c r="I120" s="1" t="s">
        <v>191</v>
      </c>
      <c r="J120" s="1">
        <f>tree!$I$229</f>
        <v>7.0000000000000007E-2</v>
      </c>
      <c r="K120" s="1">
        <f>tree!$I$228</f>
        <v>0.5</v>
      </c>
      <c r="L120" s="1" t="s">
        <v>312</v>
      </c>
      <c r="M120" s="24" t="s">
        <v>192</v>
      </c>
      <c r="P120" s="1" t="b">
        <v>0</v>
      </c>
    </row>
    <row r="121" spans="1:16" x14ac:dyDescent="0.2">
      <c r="A121" s="1">
        <f>tree!$J$233</f>
        <v>1173.1574470360663</v>
      </c>
      <c r="B121" s="24" t="s">
        <v>203</v>
      </c>
      <c r="C121" s="1">
        <v>0</v>
      </c>
      <c r="H121" s="37" t="s">
        <v>191</v>
      </c>
      <c r="I121" s="1" t="s">
        <v>191</v>
      </c>
      <c r="J121" s="1">
        <f>tree!$I$233</f>
        <v>0.04</v>
      </c>
      <c r="K121" s="1">
        <f>tree!$I$232</f>
        <v>0.5</v>
      </c>
      <c r="L121" s="1" t="s">
        <v>312</v>
      </c>
      <c r="M121" s="24" t="s">
        <v>192</v>
      </c>
      <c r="P121" s="1" t="b">
        <v>0</v>
      </c>
    </row>
    <row r="122" spans="1:16" x14ac:dyDescent="0.2">
      <c r="A122" s="1">
        <f>tree!$I$237</f>
        <v>1253.0615114938678</v>
      </c>
      <c r="B122" s="24" t="s">
        <v>203</v>
      </c>
      <c r="C122" s="1">
        <v>0</v>
      </c>
      <c r="H122" s="37">
        <f>'cash flows'!$D$18</f>
        <v>0.06</v>
      </c>
      <c r="I122" s="1" t="s">
        <v>191</v>
      </c>
      <c r="J122" s="1">
        <f>tree!$H$237</f>
        <v>1.3</v>
      </c>
      <c r="K122" s="1">
        <f>tree!$H$236</f>
        <v>0.25</v>
      </c>
      <c r="L122" s="1" t="s">
        <v>313</v>
      </c>
      <c r="M122" s="24" t="s">
        <v>192</v>
      </c>
      <c r="O122" s="1" t="str">
        <f>tree!$I$236</f>
        <v>Variable cost increase</v>
      </c>
      <c r="P122" s="1" t="b">
        <v>0</v>
      </c>
    </row>
    <row r="123" spans="1:16" x14ac:dyDescent="0.2">
      <c r="A123" s="1">
        <f>tree!$J$235</f>
        <v>1072.5745233232353</v>
      </c>
      <c r="B123" s="24" t="s">
        <v>202</v>
      </c>
      <c r="C123" s="1">
        <v>0</v>
      </c>
      <c r="H123" s="1" t="s">
        <v>191</v>
      </c>
      <c r="I123" s="1" t="s">
        <v>191</v>
      </c>
      <c r="J123" s="1">
        <f>tree!$I$235</f>
        <v>7.0000000000000007E-2</v>
      </c>
      <c r="K123" s="1">
        <f>tree!$I$234</f>
        <v>0.5</v>
      </c>
      <c r="L123" s="1" t="s">
        <v>236</v>
      </c>
      <c r="M123" s="24" t="s">
        <v>192</v>
      </c>
      <c r="P123" s="1" t="b">
        <v>0</v>
      </c>
    </row>
    <row r="124" spans="1:16" x14ac:dyDescent="0.2">
      <c r="A124" s="1">
        <f>tree!$J$239</f>
        <v>1433.5484996645002</v>
      </c>
      <c r="B124" s="24" t="s">
        <v>203</v>
      </c>
      <c r="C124" s="1">
        <v>0</v>
      </c>
      <c r="H124" s="1" t="s">
        <v>191</v>
      </c>
      <c r="I124" s="1" t="s">
        <v>191</v>
      </c>
      <c r="J124" s="1">
        <f>tree!$I$239</f>
        <v>0.04</v>
      </c>
      <c r="K124" s="1">
        <f>tree!$I$238</f>
        <v>0.5</v>
      </c>
      <c r="L124" s="1" t="s">
        <v>236</v>
      </c>
      <c r="M124" s="24" t="s">
        <v>192</v>
      </c>
      <c r="P124" s="1" t="b">
        <v>0</v>
      </c>
    </row>
    <row r="125" spans="1:16" x14ac:dyDescent="0.2">
      <c r="A125" s="1">
        <f>tree!$H$249</f>
        <v>-1.2356437633284258</v>
      </c>
      <c r="B125" s="24" t="s">
        <v>211</v>
      </c>
      <c r="C125" s="1">
        <v>0</v>
      </c>
      <c r="H125" s="1">
        <f>'cash flows'!$E$16</f>
        <v>1.5</v>
      </c>
      <c r="I125" s="1" t="s">
        <v>191</v>
      </c>
      <c r="J125" s="1">
        <f>tree!$G$249</f>
        <v>2</v>
      </c>
      <c r="K125" s="1">
        <f>tree!$G$248</f>
        <v>0.625</v>
      </c>
      <c r="L125" s="1" t="s">
        <v>314</v>
      </c>
      <c r="M125" s="24" t="s">
        <v>192</v>
      </c>
      <c r="O125" s="1" t="str">
        <f>tree!$H$248</f>
        <v>Construction costs</v>
      </c>
      <c r="P125" s="1" t="b">
        <v>0</v>
      </c>
    </row>
    <row r="126" spans="1:16" x14ac:dyDescent="0.2">
      <c r="A126" s="1">
        <f>tree!$I$245</f>
        <v>-261.62669639176249</v>
      </c>
      <c r="B126" s="24" t="s">
        <v>202</v>
      </c>
      <c r="C126" s="1">
        <v>0</v>
      </c>
      <c r="H126" s="37">
        <f>'cash flows'!$D$18</f>
        <v>0.06</v>
      </c>
      <c r="I126" s="1" t="s">
        <v>191</v>
      </c>
      <c r="J126" s="1">
        <f>tree!$H$245</f>
        <v>1.7</v>
      </c>
      <c r="K126" s="1">
        <f>tree!$H$244</f>
        <v>0.25</v>
      </c>
      <c r="L126" s="1" t="s">
        <v>315</v>
      </c>
      <c r="M126" s="24" t="s">
        <v>192</v>
      </c>
      <c r="O126" s="1" t="str">
        <f>tree!$I$244</f>
        <v>Variable cost increase</v>
      </c>
      <c r="P126" s="1" t="b">
        <v>0</v>
      </c>
    </row>
    <row r="127" spans="1:16" x14ac:dyDescent="0.2">
      <c r="A127" s="1">
        <f>tree!$J$243</f>
        <v>-375.81104270316206</v>
      </c>
      <c r="B127" s="24" t="s">
        <v>202</v>
      </c>
      <c r="C127" s="1">
        <v>0</v>
      </c>
      <c r="H127" s="1" t="s">
        <v>191</v>
      </c>
      <c r="I127" s="1" t="s">
        <v>191</v>
      </c>
      <c r="J127" s="1">
        <f>tree!$I$243</f>
        <v>7.0000000000000007E-2</v>
      </c>
      <c r="K127" s="1">
        <f>tree!$I$242</f>
        <v>0.5</v>
      </c>
      <c r="L127" s="1" t="s">
        <v>237</v>
      </c>
      <c r="M127" s="24" t="s">
        <v>192</v>
      </c>
      <c r="P127" s="1" t="b">
        <v>0</v>
      </c>
    </row>
    <row r="128" spans="1:16" x14ac:dyDescent="0.2">
      <c r="A128" s="1">
        <f>tree!$J$247</f>
        <v>-147.4423500803629</v>
      </c>
      <c r="B128" s="24" t="s">
        <v>203</v>
      </c>
      <c r="C128" s="1">
        <v>0</v>
      </c>
      <c r="H128" s="1" t="s">
        <v>191</v>
      </c>
      <c r="I128" s="1" t="s">
        <v>191</v>
      </c>
      <c r="J128" s="1">
        <f>tree!$I$247</f>
        <v>0.04</v>
      </c>
      <c r="K128" s="1">
        <f>tree!$I$246</f>
        <v>0.5</v>
      </c>
      <c r="L128" s="1" t="s">
        <v>237</v>
      </c>
      <c r="M128" s="24" t="s">
        <v>192</v>
      </c>
      <c r="P128" s="1" t="b">
        <v>0</v>
      </c>
    </row>
    <row r="129" spans="1:16" x14ac:dyDescent="0.2">
      <c r="A129" s="1">
        <f>tree!$I$253</f>
        <v>-1.2356437633283335</v>
      </c>
      <c r="B129" s="24" t="s">
        <v>211</v>
      </c>
      <c r="C129" s="1">
        <v>0</v>
      </c>
      <c r="H129" s="37">
        <f>'cash flows'!$D$18</f>
        <v>0.06</v>
      </c>
      <c r="I129" s="1" t="s">
        <v>191</v>
      </c>
      <c r="J129" s="1">
        <f>tree!$H$253</f>
        <v>1.5</v>
      </c>
      <c r="K129" s="1">
        <f>tree!$H$252</f>
        <v>0.5</v>
      </c>
      <c r="L129" s="1" t="s">
        <v>316</v>
      </c>
      <c r="M129" s="24" t="s">
        <v>192</v>
      </c>
      <c r="O129" s="1" t="str">
        <f>tree!$I$252</f>
        <v>Variable cost increase</v>
      </c>
      <c r="P129" s="1" t="b">
        <v>0</v>
      </c>
    </row>
    <row r="130" spans="1:16" x14ac:dyDescent="0.2">
      <c r="A130" s="1">
        <f>tree!$J$251</f>
        <v>-115.41999007472789</v>
      </c>
      <c r="B130" s="24" t="s">
        <v>202</v>
      </c>
      <c r="C130" s="1">
        <v>0</v>
      </c>
      <c r="H130" s="37" t="s">
        <v>191</v>
      </c>
      <c r="I130" s="1" t="s">
        <v>191</v>
      </c>
      <c r="J130" s="1">
        <f>tree!$I$251</f>
        <v>7.0000000000000007E-2</v>
      </c>
      <c r="K130" s="1">
        <f>tree!$I$250</f>
        <v>0.5</v>
      </c>
      <c r="L130" s="1" t="s">
        <v>317</v>
      </c>
      <c r="M130" s="24" t="s">
        <v>192</v>
      </c>
      <c r="P130" s="1" t="b">
        <v>0</v>
      </c>
    </row>
    <row r="131" spans="1:16" x14ac:dyDescent="0.2">
      <c r="A131" s="1">
        <f>tree!$J$255</f>
        <v>112.94870254807122</v>
      </c>
      <c r="B131" s="24" t="s">
        <v>203</v>
      </c>
      <c r="C131" s="1">
        <v>0</v>
      </c>
      <c r="H131" s="1" t="s">
        <v>191</v>
      </c>
      <c r="I131" s="1" t="s">
        <v>191</v>
      </c>
      <c r="J131" s="1">
        <f>tree!$I$255</f>
        <v>0.04</v>
      </c>
      <c r="K131" s="1">
        <f>tree!$I$254</f>
        <v>0.5</v>
      </c>
      <c r="L131" s="1" t="s">
        <v>317</v>
      </c>
      <c r="M131" s="24" t="s">
        <v>192</v>
      </c>
      <c r="P131" s="1" t="b">
        <v>0</v>
      </c>
    </row>
    <row r="132" spans="1:16" x14ac:dyDescent="0.2">
      <c r="A132" s="1">
        <f>tree!$I$259</f>
        <v>259.15540886510547</v>
      </c>
      <c r="B132" s="24" t="s">
        <v>203</v>
      </c>
      <c r="C132" s="1">
        <v>0</v>
      </c>
      <c r="H132" s="37">
        <f>'cash flows'!$D$18</f>
        <v>0.06</v>
      </c>
      <c r="I132" s="1" t="s">
        <v>191</v>
      </c>
      <c r="J132" s="1">
        <f>tree!$H$259</f>
        <v>1.3</v>
      </c>
      <c r="K132" s="1">
        <f>tree!$H$258</f>
        <v>0.25</v>
      </c>
      <c r="L132" s="1" t="s">
        <v>318</v>
      </c>
      <c r="M132" s="24" t="s">
        <v>192</v>
      </c>
      <c r="O132" s="1" t="str">
        <f>tree!$I$258</f>
        <v>Variable cost increase</v>
      </c>
      <c r="P132" s="1" t="b">
        <v>0</v>
      </c>
    </row>
    <row r="133" spans="1:16" x14ac:dyDescent="0.2">
      <c r="A133" s="1">
        <f>tree!$J$257</f>
        <v>144.97106255370585</v>
      </c>
      <c r="B133" s="24" t="s">
        <v>202</v>
      </c>
      <c r="C133" s="1">
        <v>0</v>
      </c>
      <c r="H133" s="1" t="s">
        <v>191</v>
      </c>
      <c r="I133" s="1" t="s">
        <v>191</v>
      </c>
      <c r="J133" s="1">
        <f>tree!$I$257</f>
        <v>7.0000000000000007E-2</v>
      </c>
      <c r="K133" s="1">
        <f>tree!$I$256</f>
        <v>0.5</v>
      </c>
      <c r="L133" s="1" t="s">
        <v>319</v>
      </c>
      <c r="M133" s="24" t="s">
        <v>192</v>
      </c>
      <c r="P133" s="1" t="b">
        <v>0</v>
      </c>
    </row>
    <row r="134" spans="1:16" x14ac:dyDescent="0.2">
      <c r="A134" s="1">
        <f>tree!$J$261</f>
        <v>373.33975517650509</v>
      </c>
      <c r="B134" s="24" t="s">
        <v>203</v>
      </c>
      <c r="C134" s="1">
        <v>0</v>
      </c>
      <c r="H134" s="1" t="s">
        <v>191</v>
      </c>
      <c r="I134" s="1" t="s">
        <v>191</v>
      </c>
      <c r="J134" s="1">
        <f>tree!$I$261</f>
        <v>0.04</v>
      </c>
      <c r="K134" s="1">
        <f>tree!$I$260</f>
        <v>0.5</v>
      </c>
      <c r="L134" s="1" t="s">
        <v>319</v>
      </c>
      <c r="M134" s="24" t="s">
        <v>192</v>
      </c>
      <c r="P134" s="1" t="b">
        <v>0</v>
      </c>
    </row>
    <row r="135" spans="1:16" x14ac:dyDescent="0.2">
      <c r="A135" s="1">
        <f>tree!$H$269</f>
        <v>-396.00145873076332</v>
      </c>
      <c r="B135" s="24" t="s">
        <v>203</v>
      </c>
      <c r="C135" s="1">
        <v>0</v>
      </c>
      <c r="H135" s="1">
        <f>'cash flows'!$E$16</f>
        <v>1.5</v>
      </c>
      <c r="I135" s="1" t="s">
        <v>191</v>
      </c>
      <c r="J135" s="1">
        <f>tree!$G$269</f>
        <v>1</v>
      </c>
      <c r="K135" s="1">
        <f>tree!$G$268</f>
        <v>0.375</v>
      </c>
      <c r="L135" s="1" t="s">
        <v>320</v>
      </c>
      <c r="M135" s="24" t="s">
        <v>192</v>
      </c>
      <c r="O135" s="1" t="str">
        <f>tree!$H$268</f>
        <v>Construction costs</v>
      </c>
      <c r="P135" s="1" t="b">
        <v>0</v>
      </c>
    </row>
    <row r="136" spans="1:16" x14ac:dyDescent="0.2">
      <c r="A136" s="1">
        <f>tree!$I$265</f>
        <v>-656.39251135919699</v>
      </c>
      <c r="B136" s="24" t="s">
        <v>202</v>
      </c>
      <c r="C136" s="1">
        <v>0</v>
      </c>
      <c r="H136" s="37">
        <f>'cash flows'!$D$18</f>
        <v>0.06</v>
      </c>
      <c r="I136" s="1" t="s">
        <v>191</v>
      </c>
      <c r="J136" s="1">
        <f>tree!$H$265</f>
        <v>1.7</v>
      </c>
      <c r="K136" s="1">
        <f>tree!$H$264</f>
        <v>0.25</v>
      </c>
      <c r="L136" s="1" t="s">
        <v>321</v>
      </c>
      <c r="M136" s="24" t="s">
        <v>192</v>
      </c>
      <c r="O136" s="1" t="str">
        <f>tree!$I$264</f>
        <v>Variable cost increase</v>
      </c>
      <c r="P136" s="1" t="b">
        <v>0</v>
      </c>
    </row>
    <row r="137" spans="1:16" x14ac:dyDescent="0.2">
      <c r="A137" s="1">
        <f>tree!$J$263</f>
        <v>-712.84380889290094</v>
      </c>
      <c r="B137" s="24" t="s">
        <v>202</v>
      </c>
      <c r="C137" s="1">
        <v>0</v>
      </c>
      <c r="H137" s="1" t="s">
        <v>191</v>
      </c>
      <c r="I137" s="1" t="s">
        <v>191</v>
      </c>
      <c r="J137" s="1">
        <f>tree!$I$263</f>
        <v>7.0000000000000007E-2</v>
      </c>
      <c r="K137" s="1">
        <f>tree!$I$262</f>
        <v>0.5</v>
      </c>
      <c r="L137" s="1" t="s">
        <v>322</v>
      </c>
      <c r="M137" s="24" t="s">
        <v>192</v>
      </c>
      <c r="P137" s="1" t="b">
        <v>0</v>
      </c>
    </row>
    <row r="138" spans="1:16" x14ac:dyDescent="0.2">
      <c r="A138" s="1">
        <f>tree!$J$267</f>
        <v>-599.94121382549304</v>
      </c>
      <c r="B138" s="24" t="s">
        <v>203</v>
      </c>
      <c r="C138" s="1">
        <v>0</v>
      </c>
      <c r="H138" s="1" t="s">
        <v>191</v>
      </c>
      <c r="I138" s="1" t="s">
        <v>191</v>
      </c>
      <c r="J138" s="1">
        <f>tree!$I$267</f>
        <v>0.04</v>
      </c>
      <c r="K138" s="1">
        <f>tree!$I$266</f>
        <v>0.5</v>
      </c>
      <c r="L138" s="1" t="s">
        <v>322</v>
      </c>
      <c r="M138" s="24" t="s">
        <v>192</v>
      </c>
      <c r="P138" s="1" t="b">
        <v>0</v>
      </c>
    </row>
    <row r="139" spans="1:16" x14ac:dyDescent="0.2">
      <c r="A139" s="1">
        <f>tree!$I$273</f>
        <v>-396.00145873076332</v>
      </c>
      <c r="B139" s="24" t="s">
        <v>211</v>
      </c>
      <c r="C139" s="1">
        <v>0</v>
      </c>
      <c r="H139" s="37">
        <f>'cash flows'!$D$18</f>
        <v>0.06</v>
      </c>
      <c r="I139" s="1" t="s">
        <v>191</v>
      </c>
      <c r="J139" s="1">
        <f>tree!$H$273</f>
        <v>1.5</v>
      </c>
      <c r="K139" s="1">
        <f>tree!$H$272</f>
        <v>0.5</v>
      </c>
      <c r="L139" s="1" t="s">
        <v>323</v>
      </c>
      <c r="M139" s="24" t="s">
        <v>192</v>
      </c>
      <c r="O139" s="1" t="str">
        <f>tree!$I$272</f>
        <v>Variable cost increase</v>
      </c>
      <c r="P139" s="1" t="b">
        <v>0</v>
      </c>
    </row>
    <row r="140" spans="1:16" x14ac:dyDescent="0.2">
      <c r="A140" s="1">
        <f>tree!$J$271</f>
        <v>-452.45275626446715</v>
      </c>
      <c r="B140" s="24" t="s">
        <v>202</v>
      </c>
      <c r="C140" s="1">
        <v>0</v>
      </c>
      <c r="H140" s="1" t="s">
        <v>191</v>
      </c>
      <c r="I140" s="1" t="s">
        <v>191</v>
      </c>
      <c r="J140" s="1">
        <f>tree!$I$271</f>
        <v>7.0000000000000007E-2</v>
      </c>
      <c r="K140" s="1">
        <f>tree!$I$270</f>
        <v>0.5</v>
      </c>
      <c r="L140" s="1" t="s">
        <v>324</v>
      </c>
      <c r="M140" s="24" t="s">
        <v>192</v>
      </c>
      <c r="P140" s="1" t="b">
        <v>0</v>
      </c>
    </row>
    <row r="141" spans="1:16" x14ac:dyDescent="0.2">
      <c r="A141" s="1">
        <f>tree!$J$275</f>
        <v>-339.55016119705948</v>
      </c>
      <c r="B141" s="24" t="s">
        <v>203</v>
      </c>
      <c r="C141" s="1">
        <v>0</v>
      </c>
      <c r="H141" s="1" t="s">
        <v>191</v>
      </c>
      <c r="I141" s="1" t="s">
        <v>191</v>
      </c>
      <c r="J141" s="1">
        <f>tree!$I$275</f>
        <v>0.04</v>
      </c>
      <c r="K141" s="1">
        <f>tree!$I$274</f>
        <v>0.5</v>
      </c>
      <c r="L141" s="1" t="s">
        <v>324</v>
      </c>
      <c r="M141" s="24" t="s">
        <v>192</v>
      </c>
      <c r="P141" s="1" t="b">
        <v>0</v>
      </c>
    </row>
    <row r="142" spans="1:16" x14ac:dyDescent="0.2">
      <c r="A142" s="1">
        <f>tree!$J$71</f>
        <v>206.69782092442159</v>
      </c>
      <c r="B142" s="24" t="s">
        <v>203</v>
      </c>
      <c r="C142" s="1">
        <v>0</v>
      </c>
      <c r="H142" s="37" t="s">
        <v>191</v>
      </c>
      <c r="I142" s="1" t="s">
        <v>191</v>
      </c>
      <c r="J142" s="1">
        <f>tree!$I$71</f>
        <v>0.04</v>
      </c>
      <c r="K142" s="1">
        <f>tree!$I$70</f>
        <v>0.5</v>
      </c>
      <c r="L142" s="1" t="s">
        <v>262</v>
      </c>
      <c r="M142" s="24" t="s">
        <v>192</v>
      </c>
      <c r="P142" s="1" t="b">
        <v>0</v>
      </c>
    </row>
    <row r="143" spans="1:16" x14ac:dyDescent="0.2">
      <c r="A143" s="1">
        <f>tree!$D$297</f>
        <v>0</v>
      </c>
      <c r="B143" s="24" t="s">
        <v>198</v>
      </c>
      <c r="C143" s="1">
        <v>0</v>
      </c>
      <c r="H143" s="1">
        <f>'cash flows'!$C$25</f>
        <v>0</v>
      </c>
      <c r="I143" s="1" t="s">
        <v>191</v>
      </c>
      <c r="J143" s="1">
        <f>tree!$C$297</f>
        <v>0</v>
      </c>
      <c r="L143" s="1" t="s">
        <v>240</v>
      </c>
      <c r="M143" s="24" t="s">
        <v>192</v>
      </c>
      <c r="O143" s="1" t="str">
        <f>tree!$D$296</f>
        <v>Start construction</v>
      </c>
      <c r="P143" s="1" t="b">
        <v>0</v>
      </c>
    </row>
    <row r="144" spans="1:16" x14ac:dyDescent="0.2">
      <c r="A144" s="1">
        <f>tree!$H$39</f>
        <v>334.98431976728062</v>
      </c>
      <c r="B144" s="24" t="s">
        <v>211</v>
      </c>
      <c r="C144" s="1">
        <v>0</v>
      </c>
      <c r="H144" s="1">
        <f>'cash flows'!$E$16</f>
        <v>1.5</v>
      </c>
      <c r="I144" s="1" t="s">
        <v>191</v>
      </c>
      <c r="J144" s="1">
        <f>tree!$G$39</f>
        <v>2</v>
      </c>
      <c r="K144" s="1">
        <f>tree!$G$38</f>
        <v>0</v>
      </c>
      <c r="L144" s="1" t="s">
        <v>250</v>
      </c>
      <c r="M144" s="24" t="s">
        <v>192</v>
      </c>
      <c r="O144" s="1" t="str">
        <f>tree!$H$38</f>
        <v>Construction costs</v>
      </c>
      <c r="P144" s="1" t="b">
        <v>0</v>
      </c>
    </row>
    <row r="145" spans="1:16" x14ac:dyDescent="0.2">
      <c r="A145" s="1">
        <f>tree!$E$299</f>
        <v>0</v>
      </c>
      <c r="B145" s="24" t="s">
        <v>198</v>
      </c>
      <c r="C145" s="1">
        <v>0</v>
      </c>
      <c r="H145" s="1" t="s">
        <v>191</v>
      </c>
      <c r="I145" s="1" t="s">
        <v>191</v>
      </c>
      <c r="J145" s="1">
        <f>tree!$D$299</f>
        <v>0</v>
      </c>
      <c r="L145" s="1" t="s">
        <v>238</v>
      </c>
      <c r="M145" s="24" t="s">
        <v>192</v>
      </c>
      <c r="P145" s="1" t="b">
        <v>0</v>
      </c>
    </row>
    <row r="146" spans="1:16" x14ac:dyDescent="0.2">
      <c r="A146" s="1">
        <f>tree!$H$59</f>
        <v>-118.00384917647638</v>
      </c>
      <c r="B146" s="24" t="s">
        <v>203</v>
      </c>
      <c r="C146" s="1">
        <v>0</v>
      </c>
      <c r="H146" s="1">
        <f>'cash flows'!$E$16</f>
        <v>1.5</v>
      </c>
      <c r="I146" s="1" t="s">
        <v>191</v>
      </c>
      <c r="J146" s="1">
        <f>tree!$G$59</f>
        <v>1</v>
      </c>
      <c r="K146" s="1">
        <f>tree!$G$58</f>
        <v>0</v>
      </c>
      <c r="L146" s="1" t="s">
        <v>256</v>
      </c>
      <c r="M146" s="24" t="s">
        <v>192</v>
      </c>
      <c r="O146" s="1" t="str">
        <f>tree!$H$58</f>
        <v>Construction costs</v>
      </c>
      <c r="P146" s="1" t="b">
        <v>0</v>
      </c>
    </row>
    <row r="147" spans="1:16" x14ac:dyDescent="0.2">
      <c r="A147" s="1">
        <f>tree!$I$137</f>
        <v>142.38720345195753</v>
      </c>
      <c r="B147" s="24" t="s">
        <v>203</v>
      </c>
      <c r="C147" s="1">
        <v>0</v>
      </c>
      <c r="H147" s="37">
        <f>'cash flows'!$D$18</f>
        <v>0.06</v>
      </c>
      <c r="I147" s="1" t="s">
        <v>191</v>
      </c>
      <c r="J147" s="1">
        <f>tree!$H$137</f>
        <v>1.3</v>
      </c>
      <c r="K147" s="1">
        <f>tree!$H$136</f>
        <v>0.25</v>
      </c>
      <c r="L147" s="1" t="s">
        <v>281</v>
      </c>
      <c r="M147" s="24" t="s">
        <v>192</v>
      </c>
      <c r="O147" s="1" t="str">
        <f>tree!$I$136</f>
        <v>Variable cost increase</v>
      </c>
      <c r="P147" s="1" t="b">
        <v>0</v>
      </c>
    </row>
    <row r="148" spans="1:16" x14ac:dyDescent="0.2">
      <c r="A148" s="1">
        <f>tree!$J$135</f>
        <v>78.076585979493458</v>
      </c>
      <c r="B148" s="24" t="s">
        <v>202</v>
      </c>
      <c r="C148" s="1">
        <v>0</v>
      </c>
      <c r="H148" s="1" t="s">
        <v>191</v>
      </c>
      <c r="I148" s="1" t="s">
        <v>191</v>
      </c>
      <c r="J148" s="1">
        <f>tree!$I$135</f>
        <v>7.0000000000000007E-2</v>
      </c>
      <c r="K148" s="1">
        <f>tree!$I$134</f>
        <v>0.5</v>
      </c>
      <c r="L148" s="1" t="s">
        <v>282</v>
      </c>
      <c r="M148" s="24" t="s">
        <v>192</v>
      </c>
      <c r="P148" s="1" t="b">
        <v>0</v>
      </c>
    </row>
    <row r="149" spans="1:16" x14ac:dyDescent="0.2">
      <c r="A149" s="1">
        <f>tree!$J$139</f>
        <v>206.69782092442159</v>
      </c>
      <c r="B149" s="24" t="s">
        <v>203</v>
      </c>
      <c r="C149" s="1">
        <v>0</v>
      </c>
      <c r="H149" s="1" t="s">
        <v>191</v>
      </c>
      <c r="I149" s="1" t="s">
        <v>191</v>
      </c>
      <c r="J149" s="1">
        <f>tree!$I$139</f>
        <v>0.04</v>
      </c>
      <c r="K149" s="1">
        <f>tree!$I$138</f>
        <v>0.5</v>
      </c>
      <c r="L149" s="1" t="s">
        <v>282</v>
      </c>
      <c r="M149" s="24" t="s">
        <v>192</v>
      </c>
      <c r="P149" s="1" t="b">
        <v>0</v>
      </c>
    </row>
    <row r="150" spans="1:16" x14ac:dyDescent="0.2">
      <c r="A150" s="1">
        <f>tree!$I$279</f>
        <v>-135.61040610232956</v>
      </c>
      <c r="B150" s="24" t="s">
        <v>203</v>
      </c>
      <c r="C150" s="1">
        <v>0</v>
      </c>
      <c r="H150" s="37">
        <f>'cash flows'!$D$18</f>
        <v>0.06</v>
      </c>
      <c r="I150" s="1" t="s">
        <v>191</v>
      </c>
      <c r="J150" s="1">
        <f>tree!$H$279</f>
        <v>1.3</v>
      </c>
      <c r="K150" s="1">
        <f>tree!$H$278</f>
        <v>0.25</v>
      </c>
      <c r="L150" s="1" t="s">
        <v>325</v>
      </c>
      <c r="M150" s="24" t="s">
        <v>192</v>
      </c>
      <c r="O150" s="1" t="str">
        <f>tree!$I$278</f>
        <v>Variable cost increase</v>
      </c>
      <c r="P150" s="1" t="b">
        <v>0</v>
      </c>
    </row>
    <row r="151" spans="1:16" x14ac:dyDescent="0.2">
      <c r="A151" s="1">
        <f>tree!$J$277</f>
        <v>-192.06170363603346</v>
      </c>
      <c r="B151" s="24" t="s">
        <v>202</v>
      </c>
      <c r="C151" s="1">
        <v>0</v>
      </c>
      <c r="H151" s="1" t="s">
        <v>191</v>
      </c>
      <c r="I151" s="1" t="s">
        <v>191</v>
      </c>
      <c r="J151" s="1">
        <f>tree!$I$277</f>
        <v>7.0000000000000007E-2</v>
      </c>
      <c r="K151" s="1">
        <f>tree!$I$276</f>
        <v>0.5</v>
      </c>
      <c r="L151" s="1" t="s">
        <v>326</v>
      </c>
      <c r="M151" s="24" t="s">
        <v>192</v>
      </c>
      <c r="P151" s="1" t="b">
        <v>0</v>
      </c>
    </row>
    <row r="152" spans="1:16" x14ac:dyDescent="0.2">
      <c r="A152" s="1">
        <f>tree!$J$281</f>
        <v>-79.159108568625683</v>
      </c>
      <c r="B152" s="24" t="s">
        <v>203</v>
      </c>
      <c r="C152" s="1">
        <v>0</v>
      </c>
      <c r="H152" s="1" t="s">
        <v>191</v>
      </c>
      <c r="I152" s="1" t="s">
        <v>191</v>
      </c>
      <c r="J152" s="1">
        <f>tree!$I$281</f>
        <v>0.04</v>
      </c>
      <c r="K152" s="1">
        <f>tree!$I$280</f>
        <v>0.5</v>
      </c>
      <c r="L152" s="1" t="s">
        <v>326</v>
      </c>
      <c r="M152" s="24" t="s">
        <v>192</v>
      </c>
      <c r="P152" s="1" t="b">
        <v>0</v>
      </c>
    </row>
    <row r="153" spans="1:16" x14ac:dyDescent="0.2">
      <c r="A153" s="1">
        <f>tree!$G$285</f>
        <v>-128.24912948069479</v>
      </c>
      <c r="B153" s="24" t="s">
        <v>198</v>
      </c>
      <c r="C153" s="1">
        <v>0</v>
      </c>
      <c r="H153" s="37" t="s">
        <v>191</v>
      </c>
      <c r="I153" s="1" t="s">
        <v>191</v>
      </c>
      <c r="J153" s="1">
        <f>tree!$F$285</f>
        <v>0</v>
      </c>
      <c r="L153" s="1" t="s">
        <v>235</v>
      </c>
      <c r="M153" s="24" t="s">
        <v>192</v>
      </c>
      <c r="P153" s="1" t="b">
        <v>0</v>
      </c>
    </row>
    <row r="154" spans="1:16" x14ac:dyDescent="0.2">
      <c r="A154" s="1">
        <f>tree!$E$289</f>
        <v>-19.433962264150942</v>
      </c>
      <c r="B154" s="24" t="s">
        <v>198</v>
      </c>
      <c r="C154" s="1">
        <v>0</v>
      </c>
      <c r="I154" s="1" t="s">
        <v>191</v>
      </c>
      <c r="J154" s="1">
        <f>tree!$D$289</f>
        <v>0</v>
      </c>
      <c r="L154" s="1" t="s">
        <v>327</v>
      </c>
      <c r="M154" s="24" t="s">
        <v>192</v>
      </c>
      <c r="O154" s="1" t="str">
        <f>tree!$E$288</f>
        <v>Start construction</v>
      </c>
      <c r="P154" s="1" t="b">
        <v>0</v>
      </c>
    </row>
    <row r="155" spans="1:16" x14ac:dyDescent="0.2">
      <c r="A155" s="1">
        <f>tree!$F$291</f>
        <v>-19.433962264150942</v>
      </c>
      <c r="B155" s="24" t="s">
        <v>198</v>
      </c>
      <c r="C155" s="1">
        <v>0</v>
      </c>
      <c r="H155" s="1" t="s">
        <v>191</v>
      </c>
      <c r="I155" s="1" t="s">
        <v>191</v>
      </c>
      <c r="J155" s="1">
        <f>tree!$E$291</f>
        <v>0</v>
      </c>
      <c r="L155" s="1" t="s">
        <v>242</v>
      </c>
      <c r="M155" s="24" t="s">
        <v>192</v>
      </c>
      <c r="P155" s="1" t="b">
        <v>0</v>
      </c>
    </row>
    <row r="156" spans="1:16" x14ac:dyDescent="0.2">
      <c r="B156" s="24"/>
      <c r="M156" s="24"/>
    </row>
    <row r="157" spans="1:16" x14ac:dyDescent="0.2">
      <c r="B157" s="24"/>
      <c r="M157" s="24"/>
    </row>
    <row r="158" spans="1:16" x14ac:dyDescent="0.2">
      <c r="B158" s="24"/>
      <c r="M158" s="24"/>
    </row>
    <row r="159" spans="1:16" x14ac:dyDescent="0.2">
      <c r="B159" s="24"/>
      <c r="M159" s="24"/>
    </row>
    <row r="160" spans="1:16" x14ac:dyDescent="0.2">
      <c r="B160" s="24"/>
      <c r="M160" s="24"/>
    </row>
    <row r="161" spans="2:13" x14ac:dyDescent="0.2">
      <c r="B161" s="24"/>
      <c r="M161" s="24"/>
    </row>
    <row r="162" spans="2:13" x14ac:dyDescent="0.2">
      <c r="B162" s="24"/>
      <c r="H162" s="37"/>
      <c r="M162" s="24"/>
    </row>
    <row r="163" spans="2:13" x14ac:dyDescent="0.2">
      <c r="B163" s="24"/>
      <c r="M163" s="24"/>
    </row>
    <row r="164" spans="2:13" x14ac:dyDescent="0.2">
      <c r="B164" s="24"/>
      <c r="M164" s="24"/>
    </row>
    <row r="165" spans="2:13" x14ac:dyDescent="0.2">
      <c r="B165" s="24"/>
      <c r="M165" s="24"/>
    </row>
    <row r="166" spans="2:13" x14ac:dyDescent="0.2">
      <c r="B166" s="24"/>
      <c r="M166" s="24"/>
    </row>
    <row r="167" spans="2:13" x14ac:dyDescent="0.2">
      <c r="B167" s="24"/>
      <c r="M167" s="24"/>
    </row>
    <row r="168" spans="2:13" x14ac:dyDescent="0.2">
      <c r="B168" s="24"/>
      <c r="M168" s="24"/>
    </row>
    <row r="169" spans="2:13" x14ac:dyDescent="0.2">
      <c r="B169" s="24"/>
      <c r="M169" s="24"/>
    </row>
    <row r="170" spans="2:13" x14ac:dyDescent="0.2">
      <c r="B170" s="24"/>
      <c r="M170"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cash flows</vt:lpstr>
      <vt:lpstr>CB_DATA_</vt:lpstr>
      <vt:lpstr>ro_HiddenInfo</vt:lpstr>
      <vt:lpstr>Assumptions</vt:lpstr>
      <vt:lpstr>tree</vt:lpstr>
      <vt:lpstr>optimal solution</vt:lpstr>
      <vt:lpstr>treeCalc_2</vt:lpstr>
      <vt:lpstr>treeCalc_1</vt:lpstr>
    </vt:vector>
  </TitlesOfParts>
  <Company>HEC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Erick Delage</cp:lastModifiedBy>
  <cp:lastPrinted>2012-04-10T18:16:08Z</cp:lastPrinted>
  <dcterms:created xsi:type="dcterms:W3CDTF">2005-12-16T08:27:19Z</dcterms:created>
  <dcterms:modified xsi:type="dcterms:W3CDTF">2022-02-11T15:17:05Z</dcterms:modified>
</cp:coreProperties>
</file>