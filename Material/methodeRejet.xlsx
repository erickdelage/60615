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filterPrivacy="1" defaultThemeVersion="124226"/>
  <xr:revisionPtr revIDLastSave="0" documentId="13_ncr:1_{2822A462-9773-6B4A-AA40-0395F91C690F}" xr6:coauthVersionLast="47" xr6:coauthVersionMax="47" xr10:uidLastSave="{00000000-0000-0000-0000-000000000000}"/>
  <bookViews>
    <workbookView xWindow="1880" yWindow="500" windowWidth="24700" windowHeight="16020" xr2:uid="{00000000-000D-0000-FFFF-FFFF00000000}"/>
  </bookViews>
  <sheets>
    <sheet name="uniforme cercle (rejet)" sheetId="2" r:id="rId1"/>
    <sheet name="stats du rayon" sheetId="5" r:id="rId2"/>
    <sheet name="Prob zone rouge" sheetId="7" r:id="rId3"/>
    <sheet name="   " sheetId="8" r:id="rId4"/>
    <sheet name="non-uniforme cercle (attention)" sheetId="3" r:id="rId5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256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echantillon" localSheetId="4">'non-uniforme cercle (attention)'!$B$6:$B$505</definedName>
    <definedName name="echantillon" localSheetId="2">'Prob zone rouge'!$D$5:$D$204</definedName>
    <definedName name="echantillon" localSheetId="1">'stats du rayon'!$D$4:$D$503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olver_adj" localSheetId="2" hidden="1">'Prob zone rouge'!#REF!</definedName>
    <definedName name="solver_adj" localSheetId="1" hidden="1">'stats du rayon'!#REF!</definedName>
    <definedName name="solver_adj" localSheetId="0" hidden="1">'uniforme cercle (rejet)'!#REF!</definedName>
    <definedName name="solver_cvg" localSheetId="2" hidden="1">0.0001</definedName>
    <definedName name="solver_cvg" localSheetId="1" hidden="1">0.0001</definedName>
    <definedName name="solver_cvg" localSheetId="0" hidden="1">0.0001</definedName>
    <definedName name="solver_drv" localSheetId="2" hidden="1">1</definedName>
    <definedName name="solver_drv" localSheetId="1" hidden="1">1</definedName>
    <definedName name="solver_drv" localSheetId="0" hidden="1">1</definedName>
    <definedName name="solver_est" localSheetId="2" hidden="1">1</definedName>
    <definedName name="solver_est" localSheetId="1" hidden="1">1</definedName>
    <definedName name="solver_est" localSheetId="0" hidden="1">1</definedName>
    <definedName name="solver_itr" localSheetId="2" hidden="1">100</definedName>
    <definedName name="solver_itr" localSheetId="1" hidden="1">100</definedName>
    <definedName name="solver_itr" localSheetId="0" hidden="1">100</definedName>
    <definedName name="solver_lhs1" localSheetId="0" hidden="1">'uniforme cercle (rejet)'!#REF!</definedName>
    <definedName name="solver_lhs2" localSheetId="0" hidden="1">'uniforme cercle (rejet)'!#REF!</definedName>
    <definedName name="solver_lin" localSheetId="2" hidden="1">2</definedName>
    <definedName name="solver_lin" localSheetId="1" hidden="1">2</definedName>
    <definedName name="solver_lin" localSheetId="0" hidden="1">2</definedName>
    <definedName name="solver_neg" localSheetId="2" hidden="1">1</definedName>
    <definedName name="solver_neg" localSheetId="1" hidden="1">1</definedName>
    <definedName name="solver_neg" localSheetId="0" hidden="1">2</definedName>
    <definedName name="solver_num" localSheetId="2" hidden="1">0</definedName>
    <definedName name="solver_num" localSheetId="1" hidden="1">0</definedName>
    <definedName name="solver_num" localSheetId="0" hidden="1">2</definedName>
    <definedName name="solver_nwt" localSheetId="2" hidden="1">1</definedName>
    <definedName name="solver_nwt" localSheetId="1" hidden="1">1</definedName>
    <definedName name="solver_nwt" localSheetId="0" hidden="1">1</definedName>
    <definedName name="solver_opt" localSheetId="2" hidden="1">'Prob zone rouge'!#REF!</definedName>
    <definedName name="solver_opt" localSheetId="1" hidden="1">'stats du rayon'!#REF!</definedName>
    <definedName name="solver_opt" localSheetId="0" hidden="1">'uniforme cercle (rejet)'!#REF!</definedName>
    <definedName name="solver_pre" localSheetId="2" hidden="1">0.000001</definedName>
    <definedName name="solver_pre" localSheetId="1" hidden="1">0.000001</definedName>
    <definedName name="solver_pre" localSheetId="0" hidden="1">0.000001</definedName>
    <definedName name="solver_rel1" localSheetId="0" hidden="1">1</definedName>
    <definedName name="solver_rel2" localSheetId="0" hidden="1">3</definedName>
    <definedName name="solver_rhs1" localSheetId="0" hidden="1">1</definedName>
    <definedName name="solver_rhs2" localSheetId="0" hidden="1">0</definedName>
    <definedName name="solver_scl" localSheetId="2" hidden="1">2</definedName>
    <definedName name="solver_scl" localSheetId="1" hidden="1">2</definedName>
    <definedName name="solver_scl" localSheetId="0" hidden="1">2</definedName>
    <definedName name="solver_sho" localSheetId="2" hidden="1">2</definedName>
    <definedName name="solver_sho" localSheetId="1" hidden="1">2</definedName>
    <definedName name="solver_sho" localSheetId="0" hidden="1">2</definedName>
    <definedName name="solver_tim" localSheetId="2" hidden="1">100</definedName>
    <definedName name="solver_tim" localSheetId="1" hidden="1">100</definedName>
    <definedName name="solver_tim" localSheetId="0" hidden="1">100</definedName>
    <definedName name="solver_tol" localSheetId="2" hidden="1">0.05</definedName>
    <definedName name="solver_tol" localSheetId="1" hidden="1">0.05</definedName>
    <definedName name="solver_tol" localSheetId="0" hidden="1">0.05</definedName>
    <definedName name="solver_typ" localSheetId="2" hidden="1">1</definedName>
    <definedName name="solver_typ" localSheetId="1" hidden="1">1</definedName>
    <definedName name="solver_typ" localSheetId="0" hidden="1">1</definedName>
    <definedName name="solver_val" localSheetId="2" hidden="1">0</definedName>
    <definedName name="solver_val" localSheetId="1" hidden="1">0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05" i="3" l="1"/>
  <c r="Y504" i="3"/>
  <c r="Y503" i="3"/>
  <c r="Y502" i="3"/>
  <c r="Y501" i="3"/>
  <c r="Y500" i="3"/>
  <c r="Y499" i="3"/>
  <c r="Y498" i="3"/>
  <c r="Y497" i="3"/>
  <c r="Y496" i="3"/>
  <c r="Y495" i="3"/>
  <c r="Y494" i="3"/>
  <c r="Y493" i="3"/>
  <c r="Y492" i="3"/>
  <c r="Y491" i="3"/>
  <c r="Y490" i="3"/>
  <c r="Y489" i="3"/>
  <c r="Y488" i="3"/>
  <c r="Y487" i="3"/>
  <c r="Y486" i="3"/>
  <c r="Y485" i="3"/>
  <c r="Y484" i="3"/>
  <c r="Y483" i="3"/>
  <c r="Y482" i="3"/>
  <c r="Y481" i="3"/>
  <c r="Y480" i="3"/>
  <c r="Y479" i="3"/>
  <c r="Y478" i="3"/>
  <c r="Y477" i="3"/>
  <c r="Y476" i="3"/>
  <c r="Y475" i="3"/>
  <c r="Y474" i="3"/>
  <c r="Y473" i="3"/>
  <c r="Y472" i="3"/>
  <c r="Y471" i="3"/>
  <c r="Y470" i="3"/>
  <c r="Y469" i="3"/>
  <c r="Y468" i="3"/>
  <c r="Y467" i="3"/>
  <c r="Y466" i="3"/>
  <c r="Y465" i="3"/>
  <c r="Y464" i="3"/>
  <c r="Y463" i="3"/>
  <c r="Y462" i="3"/>
  <c r="Y461" i="3"/>
  <c r="Y460" i="3"/>
  <c r="Y459" i="3"/>
  <c r="Y458" i="3"/>
  <c r="Y457" i="3"/>
  <c r="Y456" i="3"/>
  <c r="Y455" i="3"/>
  <c r="Y454" i="3"/>
  <c r="Y453" i="3"/>
  <c r="Y452" i="3"/>
  <c r="Y451" i="3"/>
  <c r="Y450" i="3"/>
  <c r="Y449" i="3"/>
  <c r="Y448" i="3"/>
  <c r="Y447" i="3"/>
  <c r="Y446" i="3"/>
  <c r="Y445" i="3"/>
  <c r="Y444" i="3"/>
  <c r="Y443" i="3"/>
  <c r="Y442" i="3"/>
  <c r="Y441" i="3"/>
  <c r="Y440" i="3"/>
  <c r="Y439" i="3"/>
  <c r="Y438" i="3"/>
  <c r="Y437" i="3"/>
  <c r="Y436" i="3"/>
  <c r="Y435" i="3"/>
  <c r="Y434" i="3"/>
  <c r="Y433" i="3"/>
  <c r="Y432" i="3"/>
  <c r="Y431" i="3"/>
  <c r="Y430" i="3"/>
  <c r="Y429" i="3"/>
  <c r="Y428" i="3"/>
  <c r="Y427" i="3"/>
  <c r="Y426" i="3"/>
  <c r="Y425" i="3"/>
  <c r="Y424" i="3"/>
  <c r="Y423" i="3"/>
  <c r="Y422" i="3"/>
  <c r="Y421" i="3"/>
  <c r="Y420" i="3"/>
  <c r="Y419" i="3"/>
  <c r="Y418" i="3"/>
  <c r="Y417" i="3"/>
  <c r="Y416" i="3"/>
  <c r="Y415" i="3"/>
  <c r="Y414" i="3"/>
  <c r="Y413" i="3"/>
  <c r="Y412" i="3"/>
  <c r="Y411" i="3"/>
  <c r="Y410" i="3"/>
  <c r="Y409" i="3"/>
  <c r="Y408" i="3"/>
  <c r="Y407" i="3"/>
  <c r="Y406" i="3"/>
  <c r="Y405" i="3"/>
  <c r="Y404" i="3"/>
  <c r="Y403" i="3"/>
  <c r="Y402" i="3"/>
  <c r="Y401" i="3"/>
  <c r="Y400" i="3"/>
  <c r="Y399" i="3"/>
  <c r="Y398" i="3"/>
  <c r="Y397" i="3"/>
  <c r="Y396" i="3"/>
  <c r="Y395" i="3"/>
  <c r="Y394" i="3"/>
  <c r="Y393" i="3"/>
  <c r="Y392" i="3"/>
  <c r="Y391" i="3"/>
  <c r="Y390" i="3"/>
  <c r="Y389" i="3"/>
  <c r="Y388" i="3"/>
  <c r="Y387" i="3"/>
  <c r="Y386" i="3"/>
  <c r="Y385" i="3"/>
  <c r="Y384" i="3"/>
  <c r="Y383" i="3"/>
  <c r="Y382" i="3"/>
  <c r="Y381" i="3"/>
  <c r="Y380" i="3"/>
  <c r="Y379" i="3"/>
  <c r="Y378" i="3"/>
  <c r="Y377" i="3"/>
  <c r="Y376" i="3"/>
  <c r="Y375" i="3"/>
  <c r="Y374" i="3"/>
  <c r="Y373" i="3"/>
  <c r="Y372" i="3"/>
  <c r="Y371" i="3"/>
  <c r="Y370" i="3"/>
  <c r="Y369" i="3"/>
  <c r="Y368" i="3"/>
  <c r="Y367" i="3"/>
  <c r="Y366" i="3"/>
  <c r="Y365" i="3"/>
  <c r="Y364" i="3"/>
  <c r="Y363" i="3"/>
  <c r="Y362" i="3"/>
  <c r="Y361" i="3"/>
  <c r="Y360" i="3"/>
  <c r="Y359" i="3"/>
  <c r="Y358" i="3"/>
  <c r="Y357" i="3"/>
  <c r="Y356" i="3"/>
  <c r="Y355" i="3"/>
  <c r="Y354" i="3"/>
  <c r="Y353" i="3"/>
  <c r="Y352" i="3"/>
  <c r="Y351" i="3"/>
  <c r="Y350" i="3"/>
  <c r="Y349" i="3"/>
  <c r="Y348" i="3"/>
  <c r="Y347" i="3"/>
  <c r="Y346" i="3"/>
  <c r="Y345" i="3"/>
  <c r="Y344" i="3"/>
  <c r="Y343" i="3"/>
  <c r="Y342" i="3"/>
  <c r="Y341" i="3"/>
  <c r="Y340" i="3"/>
  <c r="Y339" i="3"/>
  <c r="Y338" i="3"/>
  <c r="Y337" i="3"/>
  <c r="Y336" i="3"/>
  <c r="Y335" i="3"/>
  <c r="Y334" i="3"/>
  <c r="Y333" i="3"/>
  <c r="Y332" i="3"/>
  <c r="Y331" i="3"/>
  <c r="Y330" i="3"/>
  <c r="Y329" i="3"/>
  <c r="Y328" i="3"/>
  <c r="Y327" i="3"/>
  <c r="Y326" i="3"/>
  <c r="Y325" i="3"/>
  <c r="Y324" i="3"/>
  <c r="Y323" i="3"/>
  <c r="Y322" i="3"/>
  <c r="Y321" i="3"/>
  <c r="Y320" i="3"/>
  <c r="Y319" i="3"/>
  <c r="Y318" i="3"/>
  <c r="Y317" i="3"/>
  <c r="Y316" i="3"/>
  <c r="Y315" i="3"/>
  <c r="Y314" i="3"/>
  <c r="Y313" i="3"/>
  <c r="Y312" i="3"/>
  <c r="Y311" i="3"/>
  <c r="Y310" i="3"/>
  <c r="Y309" i="3"/>
  <c r="Y308" i="3"/>
  <c r="Y307" i="3"/>
  <c r="Y306" i="3"/>
  <c r="Y305" i="3"/>
  <c r="Y304" i="3"/>
  <c r="Y303" i="3"/>
  <c r="Y302" i="3"/>
  <c r="Y301" i="3"/>
  <c r="Y300" i="3"/>
  <c r="Y299" i="3"/>
  <c r="Y298" i="3"/>
  <c r="Y297" i="3"/>
  <c r="Y296" i="3"/>
  <c r="Y295" i="3"/>
  <c r="Y294" i="3"/>
  <c r="Y293" i="3"/>
  <c r="Y292" i="3"/>
  <c r="Y291" i="3"/>
  <c r="Y290" i="3"/>
  <c r="Y289" i="3"/>
  <c r="Y288" i="3"/>
  <c r="Y287" i="3"/>
  <c r="Y286" i="3"/>
  <c r="Y285" i="3"/>
  <c r="Y284" i="3"/>
  <c r="Y283" i="3"/>
  <c r="Y282" i="3"/>
  <c r="Y281" i="3"/>
  <c r="Y280" i="3"/>
  <c r="Y279" i="3"/>
  <c r="Y278" i="3"/>
  <c r="Y277" i="3"/>
  <c r="Y276" i="3"/>
  <c r="Y275" i="3"/>
  <c r="Y274" i="3"/>
  <c r="Y273" i="3"/>
  <c r="Y272" i="3"/>
  <c r="Y271" i="3"/>
  <c r="Y270" i="3"/>
  <c r="Y269" i="3"/>
  <c r="Y268" i="3"/>
  <c r="Y267" i="3"/>
  <c r="Y266" i="3"/>
  <c r="Y265" i="3"/>
  <c r="Y264" i="3"/>
  <c r="Y263" i="3"/>
  <c r="Y262" i="3"/>
  <c r="Y261" i="3"/>
  <c r="Y260" i="3"/>
  <c r="Y259" i="3"/>
  <c r="Y258" i="3"/>
  <c r="Y257" i="3"/>
  <c r="Y256" i="3"/>
  <c r="Y255" i="3"/>
  <c r="Y254" i="3"/>
  <c r="Y253" i="3"/>
  <c r="Y252" i="3"/>
  <c r="Y251" i="3"/>
  <c r="Y250" i="3"/>
  <c r="Y249" i="3"/>
  <c r="Y248" i="3"/>
  <c r="Y247" i="3"/>
  <c r="Y246" i="3"/>
  <c r="Y245" i="3"/>
  <c r="Y244" i="3"/>
  <c r="Y243" i="3"/>
  <c r="Y242" i="3"/>
  <c r="Y241" i="3"/>
  <c r="Y240" i="3"/>
  <c r="Y239" i="3"/>
  <c r="Y238" i="3"/>
  <c r="Y237" i="3"/>
  <c r="Y236" i="3"/>
  <c r="Y235" i="3"/>
  <c r="Y234" i="3"/>
  <c r="Y233" i="3"/>
  <c r="Y232" i="3"/>
  <c r="Y231" i="3"/>
  <c r="Y230" i="3"/>
  <c r="Y229" i="3"/>
  <c r="Y228" i="3"/>
  <c r="Y227" i="3"/>
  <c r="Y226" i="3"/>
  <c r="Y225" i="3"/>
  <c r="Y224" i="3"/>
  <c r="Y223" i="3"/>
  <c r="Y222" i="3"/>
  <c r="Y221" i="3"/>
  <c r="Y220" i="3"/>
  <c r="Y219" i="3"/>
  <c r="Y218" i="3"/>
  <c r="Y217" i="3"/>
  <c r="Y216" i="3"/>
  <c r="Y215" i="3"/>
  <c r="Y214" i="3"/>
  <c r="Y213" i="3"/>
  <c r="Y212" i="3"/>
  <c r="Y211" i="3"/>
  <c r="Y210" i="3"/>
  <c r="Y209" i="3"/>
  <c r="Y208" i="3"/>
  <c r="Y207" i="3"/>
  <c r="Y206" i="3"/>
  <c r="Y205" i="3"/>
  <c r="Y204" i="3"/>
  <c r="Y203" i="3"/>
  <c r="Y202" i="3"/>
  <c r="Y201" i="3"/>
  <c r="Y200" i="3"/>
  <c r="Y199" i="3"/>
  <c r="Y198" i="3"/>
  <c r="Y197" i="3"/>
  <c r="Y196" i="3"/>
  <c r="Y195" i="3"/>
  <c r="Y194" i="3"/>
  <c r="Y193" i="3"/>
  <c r="Y192" i="3"/>
  <c r="Y191" i="3"/>
  <c r="Y190" i="3"/>
  <c r="Y189" i="3"/>
  <c r="Y188" i="3"/>
  <c r="Y187" i="3"/>
  <c r="Y186" i="3"/>
  <c r="Y185" i="3"/>
  <c r="Y184" i="3"/>
  <c r="Y183" i="3"/>
  <c r="Y182" i="3"/>
  <c r="Y181" i="3"/>
  <c r="Y180" i="3"/>
  <c r="Y179" i="3"/>
  <c r="Y178" i="3"/>
  <c r="Y177" i="3"/>
  <c r="Y176" i="3"/>
  <c r="Y175" i="3"/>
  <c r="Y174" i="3"/>
  <c r="Y173" i="3"/>
  <c r="Y172" i="3"/>
  <c r="Y171" i="3"/>
  <c r="Y170" i="3"/>
  <c r="Y169" i="3"/>
  <c r="Y168" i="3"/>
  <c r="Y167" i="3"/>
  <c r="Y166" i="3"/>
  <c r="Y165" i="3"/>
  <c r="Y164" i="3"/>
  <c r="Y163" i="3"/>
  <c r="Y162" i="3"/>
  <c r="Y161" i="3"/>
  <c r="Y160" i="3"/>
  <c r="Y159" i="3"/>
  <c r="Y158" i="3"/>
  <c r="Y157" i="3"/>
  <c r="Y156" i="3"/>
  <c r="Y155" i="3"/>
  <c r="Y154" i="3"/>
  <c r="Y153" i="3"/>
  <c r="Y152" i="3"/>
  <c r="Y151" i="3"/>
  <c r="Y150" i="3"/>
  <c r="Y149" i="3"/>
  <c r="Y148" i="3"/>
  <c r="Y147" i="3"/>
  <c r="Y146" i="3"/>
  <c r="Y145" i="3"/>
  <c r="Y144" i="3"/>
  <c r="Y143" i="3"/>
  <c r="Y142" i="3"/>
  <c r="Y141" i="3"/>
  <c r="Y140" i="3"/>
  <c r="Y139" i="3"/>
  <c r="Y138" i="3"/>
  <c r="Y137" i="3"/>
  <c r="Y136" i="3"/>
  <c r="Y135" i="3"/>
  <c r="Y134" i="3"/>
  <c r="Y133" i="3"/>
  <c r="Y132" i="3"/>
  <c r="Y131" i="3"/>
  <c r="Y130" i="3"/>
  <c r="Y129" i="3"/>
  <c r="Y128" i="3"/>
  <c r="Y127" i="3"/>
  <c r="Y126" i="3"/>
  <c r="Y125" i="3"/>
  <c r="Y124" i="3"/>
  <c r="Y123" i="3"/>
  <c r="Y122" i="3"/>
  <c r="Y121" i="3"/>
  <c r="Y120" i="3"/>
  <c r="Y119" i="3"/>
  <c r="Y118" i="3"/>
  <c r="Y117" i="3"/>
  <c r="Y116" i="3"/>
  <c r="Y115" i="3"/>
  <c r="Y114" i="3"/>
  <c r="Y113" i="3"/>
  <c r="Y112" i="3"/>
  <c r="Y111" i="3"/>
  <c r="Y110" i="3"/>
  <c r="Y109" i="3"/>
  <c r="Y108" i="3"/>
  <c r="Y107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B420" i="3"/>
  <c r="C420" i="3"/>
  <c r="B421" i="3"/>
  <c r="C421" i="3"/>
  <c r="B422" i="3"/>
  <c r="C422" i="3"/>
  <c r="B423" i="3"/>
  <c r="C423" i="3"/>
  <c r="B424" i="3"/>
  <c r="C424" i="3"/>
  <c r="B425" i="3"/>
  <c r="C425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2" i="3"/>
  <c r="C432" i="3"/>
  <c r="B433" i="3"/>
  <c r="C433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50" i="3"/>
  <c r="C450" i="3"/>
  <c r="B451" i="3"/>
  <c r="C451" i="3"/>
  <c r="B452" i="3"/>
  <c r="C452" i="3"/>
  <c r="B453" i="3"/>
  <c r="C453" i="3"/>
  <c r="B454" i="3"/>
  <c r="C454" i="3"/>
  <c r="B455" i="3"/>
  <c r="C455" i="3"/>
  <c r="B456" i="3"/>
  <c r="C456" i="3"/>
  <c r="B457" i="3"/>
  <c r="C45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474" i="3"/>
  <c r="C474" i="3"/>
  <c r="B475" i="3"/>
  <c r="C475" i="3"/>
  <c r="B476" i="3"/>
  <c r="C476" i="3"/>
  <c r="B477" i="3"/>
  <c r="C477" i="3"/>
  <c r="B478" i="3"/>
  <c r="C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C487" i="3"/>
  <c r="B488" i="3"/>
  <c r="C488" i="3"/>
  <c r="B489" i="3"/>
  <c r="C489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C497" i="3"/>
  <c r="B498" i="3"/>
  <c r="C498" i="3"/>
  <c r="B499" i="3"/>
  <c r="C499" i="3"/>
  <c r="B500" i="3"/>
  <c r="C500" i="3"/>
  <c r="B501" i="3"/>
  <c r="C501" i="3"/>
  <c r="B502" i="3"/>
  <c r="C502" i="3"/>
  <c r="B503" i="3"/>
  <c r="C503" i="3"/>
  <c r="B504" i="3"/>
  <c r="C504" i="3"/>
  <c r="B505" i="3"/>
  <c r="C505" i="3"/>
  <c r="A5" i="7"/>
  <c r="B364" i="2"/>
  <c r="C364" i="2"/>
  <c r="D364" i="2"/>
  <c r="F364" i="2"/>
  <c r="B365" i="2"/>
  <c r="C365" i="2"/>
  <c r="D365" i="2"/>
  <c r="F365" i="2"/>
  <c r="B366" i="2"/>
  <c r="C366" i="2"/>
  <c r="D366" i="2"/>
  <c r="F366" i="2"/>
  <c r="B367" i="2"/>
  <c r="C367" i="2"/>
  <c r="D367" i="2"/>
  <c r="F367" i="2"/>
  <c r="B368" i="2"/>
  <c r="C368" i="2"/>
  <c r="D368" i="2"/>
  <c r="F368" i="2"/>
  <c r="B369" i="2"/>
  <c r="C369" i="2"/>
  <c r="D369" i="2"/>
  <c r="F369" i="2"/>
  <c r="B370" i="2"/>
  <c r="C370" i="2"/>
  <c r="D370" i="2"/>
  <c r="F370" i="2"/>
  <c r="B371" i="2"/>
  <c r="C371" i="2"/>
  <c r="D371" i="2"/>
  <c r="F371" i="2"/>
  <c r="B372" i="2"/>
  <c r="C372" i="2"/>
  <c r="D372" i="2"/>
  <c r="F372" i="2"/>
  <c r="B373" i="2"/>
  <c r="C373" i="2"/>
  <c r="D373" i="2"/>
  <c r="F373" i="2"/>
  <c r="B374" i="2"/>
  <c r="C374" i="2"/>
  <c r="D374" i="2"/>
  <c r="F374" i="2"/>
  <c r="B375" i="2"/>
  <c r="C375" i="2"/>
  <c r="D375" i="2"/>
  <c r="F375" i="2"/>
  <c r="B376" i="2"/>
  <c r="C376" i="2"/>
  <c r="D376" i="2"/>
  <c r="F376" i="2"/>
  <c r="B377" i="2"/>
  <c r="C377" i="2"/>
  <c r="D377" i="2"/>
  <c r="F377" i="2"/>
  <c r="B378" i="2"/>
  <c r="C378" i="2"/>
  <c r="D378" i="2"/>
  <c r="F378" i="2"/>
  <c r="B379" i="2"/>
  <c r="C379" i="2"/>
  <c r="D379" i="2"/>
  <c r="F379" i="2"/>
  <c r="B380" i="2"/>
  <c r="C380" i="2"/>
  <c r="D380" i="2"/>
  <c r="F380" i="2"/>
  <c r="B381" i="2"/>
  <c r="C381" i="2"/>
  <c r="D381" i="2"/>
  <c r="F381" i="2"/>
  <c r="B382" i="2"/>
  <c r="C382" i="2"/>
  <c r="D382" i="2"/>
  <c r="F382" i="2"/>
  <c r="B383" i="2"/>
  <c r="C383" i="2"/>
  <c r="D383" i="2"/>
  <c r="F383" i="2"/>
  <c r="B384" i="2"/>
  <c r="C384" i="2"/>
  <c r="D384" i="2"/>
  <c r="F384" i="2"/>
  <c r="B385" i="2"/>
  <c r="C385" i="2"/>
  <c r="D385" i="2"/>
  <c r="F385" i="2"/>
  <c r="B386" i="2"/>
  <c r="C386" i="2"/>
  <c r="D386" i="2"/>
  <c r="F386" i="2"/>
  <c r="B387" i="2"/>
  <c r="C387" i="2"/>
  <c r="D387" i="2"/>
  <c r="F387" i="2"/>
  <c r="B388" i="2"/>
  <c r="C388" i="2"/>
  <c r="D388" i="2"/>
  <c r="F388" i="2"/>
  <c r="B389" i="2"/>
  <c r="C389" i="2"/>
  <c r="D389" i="2"/>
  <c r="F389" i="2"/>
  <c r="B390" i="2"/>
  <c r="C390" i="2"/>
  <c r="D390" i="2"/>
  <c r="F390" i="2"/>
  <c r="B391" i="2"/>
  <c r="C391" i="2"/>
  <c r="D391" i="2"/>
  <c r="F391" i="2"/>
  <c r="B392" i="2"/>
  <c r="C392" i="2"/>
  <c r="D392" i="2"/>
  <c r="F392" i="2"/>
  <c r="B393" i="2"/>
  <c r="C393" i="2"/>
  <c r="D393" i="2"/>
  <c r="F393" i="2"/>
  <c r="B394" i="2"/>
  <c r="C394" i="2"/>
  <c r="D394" i="2"/>
  <c r="F394" i="2"/>
  <c r="B395" i="2"/>
  <c r="C395" i="2"/>
  <c r="D395" i="2"/>
  <c r="F395" i="2"/>
  <c r="B396" i="2"/>
  <c r="C396" i="2"/>
  <c r="D396" i="2"/>
  <c r="F396" i="2"/>
  <c r="B397" i="2"/>
  <c r="C397" i="2"/>
  <c r="D397" i="2"/>
  <c r="F397" i="2"/>
  <c r="B398" i="2"/>
  <c r="C398" i="2"/>
  <c r="D398" i="2"/>
  <c r="F398" i="2"/>
  <c r="B399" i="2"/>
  <c r="C399" i="2"/>
  <c r="D399" i="2"/>
  <c r="F399" i="2"/>
  <c r="B400" i="2"/>
  <c r="C400" i="2"/>
  <c r="D400" i="2"/>
  <c r="F400" i="2"/>
  <c r="B401" i="2"/>
  <c r="C401" i="2"/>
  <c r="D401" i="2"/>
  <c r="F401" i="2"/>
  <c r="B402" i="2"/>
  <c r="C402" i="2"/>
  <c r="D402" i="2"/>
  <c r="F402" i="2"/>
  <c r="B403" i="2"/>
  <c r="C403" i="2"/>
  <c r="D403" i="2"/>
  <c r="F403" i="2"/>
  <c r="B404" i="2"/>
  <c r="C404" i="2"/>
  <c r="D404" i="2"/>
  <c r="F404" i="2"/>
  <c r="B405" i="2"/>
  <c r="C405" i="2"/>
  <c r="D405" i="2"/>
  <c r="F405" i="2"/>
  <c r="B406" i="2"/>
  <c r="C406" i="2"/>
  <c r="D406" i="2"/>
  <c r="F406" i="2"/>
  <c r="B407" i="2"/>
  <c r="C407" i="2"/>
  <c r="D407" i="2"/>
  <c r="F407" i="2"/>
  <c r="B408" i="2"/>
  <c r="C408" i="2"/>
  <c r="D408" i="2"/>
  <c r="F408" i="2"/>
  <c r="B409" i="2"/>
  <c r="C409" i="2"/>
  <c r="D409" i="2"/>
  <c r="F409" i="2"/>
  <c r="B410" i="2"/>
  <c r="C410" i="2"/>
  <c r="D410" i="2"/>
  <c r="F410" i="2"/>
  <c r="B411" i="2"/>
  <c r="C411" i="2"/>
  <c r="D411" i="2"/>
  <c r="F411" i="2"/>
  <c r="B412" i="2"/>
  <c r="C412" i="2"/>
  <c r="D412" i="2"/>
  <c r="F412" i="2"/>
  <c r="B413" i="2"/>
  <c r="C413" i="2"/>
  <c r="D413" i="2"/>
  <c r="F413" i="2"/>
  <c r="B414" i="2"/>
  <c r="C414" i="2"/>
  <c r="D414" i="2"/>
  <c r="F414" i="2"/>
  <c r="B415" i="2"/>
  <c r="C415" i="2"/>
  <c r="D415" i="2"/>
  <c r="F415" i="2"/>
  <c r="B416" i="2"/>
  <c r="C416" i="2"/>
  <c r="D416" i="2"/>
  <c r="F416" i="2"/>
  <c r="B417" i="2"/>
  <c r="C417" i="2"/>
  <c r="D417" i="2"/>
  <c r="F417" i="2"/>
  <c r="B418" i="2"/>
  <c r="C418" i="2"/>
  <c r="D418" i="2"/>
  <c r="F418" i="2"/>
  <c r="B419" i="2"/>
  <c r="C419" i="2"/>
  <c r="D419" i="2"/>
  <c r="F419" i="2"/>
  <c r="B420" i="2"/>
  <c r="C420" i="2"/>
  <c r="D420" i="2"/>
  <c r="F420" i="2"/>
  <c r="B421" i="2"/>
  <c r="C421" i="2"/>
  <c r="D421" i="2"/>
  <c r="F421" i="2"/>
  <c r="B422" i="2"/>
  <c r="C422" i="2"/>
  <c r="D422" i="2"/>
  <c r="F422" i="2"/>
  <c r="B423" i="2"/>
  <c r="C423" i="2"/>
  <c r="D423" i="2"/>
  <c r="F423" i="2"/>
  <c r="B424" i="2"/>
  <c r="C424" i="2"/>
  <c r="D424" i="2"/>
  <c r="F424" i="2"/>
  <c r="B425" i="2"/>
  <c r="C425" i="2"/>
  <c r="D425" i="2"/>
  <c r="F425" i="2"/>
  <c r="B426" i="2"/>
  <c r="C426" i="2"/>
  <c r="D426" i="2"/>
  <c r="F426" i="2"/>
  <c r="B427" i="2"/>
  <c r="C427" i="2"/>
  <c r="D427" i="2"/>
  <c r="F427" i="2"/>
  <c r="B428" i="2"/>
  <c r="C428" i="2"/>
  <c r="D428" i="2"/>
  <c r="F428" i="2"/>
  <c r="B429" i="2"/>
  <c r="C429" i="2"/>
  <c r="D429" i="2"/>
  <c r="F429" i="2"/>
  <c r="B430" i="2"/>
  <c r="C430" i="2"/>
  <c r="D430" i="2"/>
  <c r="F430" i="2"/>
  <c r="B431" i="2"/>
  <c r="C431" i="2"/>
  <c r="D431" i="2"/>
  <c r="F431" i="2"/>
  <c r="B432" i="2"/>
  <c r="C432" i="2"/>
  <c r="D432" i="2"/>
  <c r="F432" i="2"/>
  <c r="B433" i="2"/>
  <c r="C433" i="2"/>
  <c r="D433" i="2"/>
  <c r="F433" i="2"/>
  <c r="B434" i="2"/>
  <c r="C434" i="2"/>
  <c r="D434" i="2"/>
  <c r="F434" i="2"/>
  <c r="B435" i="2"/>
  <c r="C435" i="2"/>
  <c r="D435" i="2"/>
  <c r="F435" i="2"/>
  <c r="B436" i="2"/>
  <c r="C436" i="2"/>
  <c r="D436" i="2"/>
  <c r="F436" i="2"/>
  <c r="B437" i="2"/>
  <c r="C437" i="2"/>
  <c r="D437" i="2"/>
  <c r="F437" i="2"/>
  <c r="B438" i="2"/>
  <c r="C438" i="2"/>
  <c r="D438" i="2"/>
  <c r="F438" i="2"/>
  <c r="B439" i="2"/>
  <c r="C439" i="2"/>
  <c r="D439" i="2"/>
  <c r="F439" i="2"/>
  <c r="B440" i="2"/>
  <c r="C440" i="2"/>
  <c r="D440" i="2"/>
  <c r="F440" i="2"/>
  <c r="B441" i="2"/>
  <c r="C441" i="2"/>
  <c r="D441" i="2"/>
  <c r="F441" i="2"/>
  <c r="B442" i="2"/>
  <c r="C442" i="2"/>
  <c r="D442" i="2"/>
  <c r="F442" i="2"/>
  <c r="B443" i="2"/>
  <c r="C443" i="2"/>
  <c r="D443" i="2"/>
  <c r="F443" i="2"/>
  <c r="B444" i="2"/>
  <c r="C444" i="2"/>
  <c r="D444" i="2"/>
  <c r="F444" i="2"/>
  <c r="B445" i="2"/>
  <c r="C445" i="2"/>
  <c r="D445" i="2"/>
  <c r="F445" i="2"/>
  <c r="B446" i="2"/>
  <c r="C446" i="2"/>
  <c r="D446" i="2"/>
  <c r="F446" i="2"/>
  <c r="B447" i="2"/>
  <c r="C447" i="2"/>
  <c r="D447" i="2"/>
  <c r="F447" i="2"/>
  <c r="B448" i="2"/>
  <c r="C448" i="2"/>
  <c r="D448" i="2"/>
  <c r="F448" i="2"/>
  <c r="B449" i="2"/>
  <c r="C449" i="2"/>
  <c r="D449" i="2"/>
  <c r="F449" i="2"/>
  <c r="B450" i="2"/>
  <c r="C450" i="2"/>
  <c r="D450" i="2"/>
  <c r="F450" i="2"/>
  <c r="B451" i="2"/>
  <c r="C451" i="2"/>
  <c r="D451" i="2"/>
  <c r="F451" i="2"/>
  <c r="B452" i="2"/>
  <c r="C452" i="2"/>
  <c r="D452" i="2"/>
  <c r="F452" i="2"/>
  <c r="B453" i="2"/>
  <c r="C453" i="2"/>
  <c r="D453" i="2"/>
  <c r="F453" i="2"/>
  <c r="B454" i="2"/>
  <c r="C454" i="2"/>
  <c r="D454" i="2"/>
  <c r="F454" i="2"/>
  <c r="B455" i="2"/>
  <c r="C455" i="2"/>
  <c r="D455" i="2"/>
  <c r="F455" i="2"/>
  <c r="B456" i="2"/>
  <c r="C456" i="2"/>
  <c r="D456" i="2"/>
  <c r="F456" i="2"/>
  <c r="B457" i="2"/>
  <c r="C457" i="2"/>
  <c r="D457" i="2"/>
  <c r="F457" i="2"/>
  <c r="B458" i="2"/>
  <c r="C458" i="2"/>
  <c r="D458" i="2"/>
  <c r="F458" i="2"/>
  <c r="B459" i="2"/>
  <c r="C459" i="2"/>
  <c r="D459" i="2"/>
  <c r="F459" i="2"/>
  <c r="B460" i="2"/>
  <c r="C460" i="2"/>
  <c r="D460" i="2"/>
  <c r="F460" i="2"/>
  <c r="B461" i="2"/>
  <c r="C461" i="2"/>
  <c r="D461" i="2"/>
  <c r="F461" i="2"/>
  <c r="B462" i="2"/>
  <c r="C462" i="2"/>
  <c r="D462" i="2"/>
  <c r="F462" i="2"/>
  <c r="B463" i="2"/>
  <c r="C463" i="2"/>
  <c r="D463" i="2"/>
  <c r="F463" i="2"/>
  <c r="B464" i="2"/>
  <c r="C464" i="2"/>
  <c r="D464" i="2"/>
  <c r="F464" i="2"/>
  <c r="B465" i="2"/>
  <c r="C465" i="2"/>
  <c r="D465" i="2"/>
  <c r="F465" i="2"/>
  <c r="B466" i="2"/>
  <c r="C466" i="2"/>
  <c r="D466" i="2"/>
  <c r="F466" i="2"/>
  <c r="B467" i="2"/>
  <c r="C467" i="2"/>
  <c r="D467" i="2"/>
  <c r="F467" i="2"/>
  <c r="B468" i="2"/>
  <c r="C468" i="2"/>
  <c r="D468" i="2"/>
  <c r="F468" i="2"/>
  <c r="B469" i="2"/>
  <c r="C469" i="2"/>
  <c r="D469" i="2"/>
  <c r="F469" i="2"/>
  <c r="B470" i="2"/>
  <c r="C470" i="2"/>
  <c r="D470" i="2"/>
  <c r="F470" i="2"/>
  <c r="B471" i="2"/>
  <c r="C471" i="2"/>
  <c r="D471" i="2"/>
  <c r="F471" i="2"/>
  <c r="B472" i="2"/>
  <c r="C472" i="2"/>
  <c r="D472" i="2"/>
  <c r="F472" i="2"/>
  <c r="B473" i="2"/>
  <c r="C473" i="2"/>
  <c r="D473" i="2"/>
  <c r="F473" i="2"/>
  <c r="B474" i="2"/>
  <c r="C474" i="2"/>
  <c r="D474" i="2"/>
  <c r="F474" i="2"/>
  <c r="B475" i="2"/>
  <c r="C475" i="2"/>
  <c r="D475" i="2"/>
  <c r="F475" i="2"/>
  <c r="B476" i="2"/>
  <c r="C476" i="2"/>
  <c r="D476" i="2"/>
  <c r="F476" i="2"/>
  <c r="B477" i="2"/>
  <c r="C477" i="2"/>
  <c r="D477" i="2"/>
  <c r="F477" i="2"/>
  <c r="B478" i="2"/>
  <c r="C478" i="2"/>
  <c r="D478" i="2"/>
  <c r="F478" i="2"/>
  <c r="B479" i="2"/>
  <c r="C479" i="2"/>
  <c r="D479" i="2"/>
  <c r="F479" i="2"/>
  <c r="B480" i="2"/>
  <c r="C480" i="2"/>
  <c r="D480" i="2"/>
  <c r="F480" i="2"/>
  <c r="B481" i="2"/>
  <c r="C481" i="2"/>
  <c r="D481" i="2"/>
  <c r="F481" i="2"/>
  <c r="B482" i="2"/>
  <c r="C482" i="2"/>
  <c r="D482" i="2"/>
  <c r="F482" i="2"/>
  <c r="B483" i="2"/>
  <c r="C483" i="2"/>
  <c r="D483" i="2"/>
  <c r="F483" i="2"/>
  <c r="B484" i="2"/>
  <c r="C484" i="2"/>
  <c r="D484" i="2"/>
  <c r="F484" i="2"/>
  <c r="B485" i="2"/>
  <c r="C485" i="2"/>
  <c r="D485" i="2"/>
  <c r="F485" i="2"/>
  <c r="B486" i="2"/>
  <c r="C486" i="2"/>
  <c r="D486" i="2"/>
  <c r="F486" i="2"/>
  <c r="B487" i="2"/>
  <c r="C487" i="2"/>
  <c r="D487" i="2"/>
  <c r="F487" i="2"/>
  <c r="B488" i="2"/>
  <c r="C488" i="2"/>
  <c r="D488" i="2"/>
  <c r="F488" i="2"/>
  <c r="B489" i="2"/>
  <c r="C489" i="2"/>
  <c r="D489" i="2"/>
  <c r="F489" i="2"/>
  <c r="B490" i="2"/>
  <c r="C490" i="2"/>
  <c r="D490" i="2"/>
  <c r="F490" i="2"/>
  <c r="B491" i="2"/>
  <c r="C491" i="2"/>
  <c r="D491" i="2"/>
  <c r="F491" i="2"/>
  <c r="B492" i="2"/>
  <c r="C492" i="2"/>
  <c r="D492" i="2"/>
  <c r="F492" i="2"/>
  <c r="B493" i="2"/>
  <c r="C493" i="2"/>
  <c r="D493" i="2"/>
  <c r="F493" i="2"/>
  <c r="B494" i="2"/>
  <c r="C494" i="2"/>
  <c r="D494" i="2"/>
  <c r="F494" i="2"/>
  <c r="B495" i="2"/>
  <c r="C495" i="2"/>
  <c r="D495" i="2"/>
  <c r="F495" i="2"/>
  <c r="B496" i="2"/>
  <c r="C496" i="2"/>
  <c r="D496" i="2"/>
  <c r="F496" i="2"/>
  <c r="B497" i="2"/>
  <c r="C497" i="2"/>
  <c r="D497" i="2"/>
  <c r="F497" i="2"/>
  <c r="B498" i="2"/>
  <c r="C498" i="2"/>
  <c r="D498" i="2"/>
  <c r="F498" i="2"/>
  <c r="B499" i="2"/>
  <c r="C499" i="2"/>
  <c r="D499" i="2"/>
  <c r="F499" i="2"/>
  <c r="B500" i="2"/>
  <c r="C500" i="2"/>
  <c r="D500" i="2"/>
  <c r="F500" i="2"/>
  <c r="B501" i="2"/>
  <c r="C501" i="2"/>
  <c r="D501" i="2"/>
  <c r="F501" i="2"/>
  <c r="B502" i="2"/>
  <c r="C502" i="2"/>
  <c r="D502" i="2"/>
  <c r="F502" i="2"/>
  <c r="B503" i="2"/>
  <c r="C503" i="2"/>
  <c r="D503" i="2"/>
  <c r="F503" i="2"/>
  <c r="B504" i="2"/>
  <c r="C504" i="2"/>
  <c r="D504" i="2"/>
  <c r="F504" i="2"/>
  <c r="B505" i="2"/>
  <c r="C505" i="2"/>
  <c r="D505" i="2"/>
  <c r="F505" i="2"/>
  <c r="B506" i="2"/>
  <c r="C506" i="2"/>
  <c r="D506" i="2"/>
  <c r="F506" i="2"/>
  <c r="B507" i="2"/>
  <c r="C507" i="2"/>
  <c r="D507" i="2"/>
  <c r="F507" i="2"/>
  <c r="B508" i="2"/>
  <c r="C508" i="2"/>
  <c r="D508" i="2"/>
  <c r="F508" i="2"/>
  <c r="B509" i="2"/>
  <c r="C509" i="2"/>
  <c r="D509" i="2"/>
  <c r="F509" i="2"/>
  <c r="B510" i="2"/>
  <c r="C510" i="2"/>
  <c r="D510" i="2"/>
  <c r="F510" i="2"/>
  <c r="B511" i="2"/>
  <c r="C511" i="2"/>
  <c r="D511" i="2"/>
  <c r="F511" i="2"/>
  <c r="B512" i="2"/>
  <c r="C512" i="2"/>
  <c r="D512" i="2"/>
  <c r="F512" i="2"/>
  <c r="B513" i="2"/>
  <c r="C513" i="2"/>
  <c r="D513" i="2"/>
  <c r="F513" i="2"/>
  <c r="B514" i="2"/>
  <c r="C514" i="2"/>
  <c r="D514" i="2"/>
  <c r="F514" i="2"/>
  <c r="B515" i="2"/>
  <c r="C515" i="2"/>
  <c r="D515" i="2"/>
  <c r="F515" i="2"/>
  <c r="B516" i="2"/>
  <c r="C516" i="2"/>
  <c r="D516" i="2"/>
  <c r="F516" i="2"/>
  <c r="B517" i="2"/>
  <c r="C517" i="2"/>
  <c r="D517" i="2"/>
  <c r="F517" i="2"/>
  <c r="B518" i="2"/>
  <c r="C518" i="2"/>
  <c r="D518" i="2"/>
  <c r="F518" i="2"/>
  <c r="B519" i="2"/>
  <c r="C519" i="2"/>
  <c r="D519" i="2"/>
  <c r="F519" i="2"/>
  <c r="B520" i="2"/>
  <c r="C520" i="2"/>
  <c r="D520" i="2"/>
  <c r="F520" i="2"/>
  <c r="B521" i="2"/>
  <c r="C521" i="2"/>
  <c r="D521" i="2"/>
  <c r="F521" i="2"/>
  <c r="B522" i="2"/>
  <c r="C522" i="2"/>
  <c r="D522" i="2"/>
  <c r="F522" i="2"/>
  <c r="B523" i="2"/>
  <c r="C523" i="2"/>
  <c r="D523" i="2"/>
  <c r="F523" i="2"/>
  <c r="B524" i="2"/>
  <c r="C524" i="2"/>
  <c r="D524" i="2"/>
  <c r="F524" i="2"/>
  <c r="B525" i="2"/>
  <c r="C525" i="2"/>
  <c r="D525" i="2"/>
  <c r="F525" i="2"/>
  <c r="B526" i="2"/>
  <c r="C526" i="2"/>
  <c r="D526" i="2"/>
  <c r="F526" i="2"/>
  <c r="B527" i="2"/>
  <c r="C527" i="2"/>
  <c r="D527" i="2"/>
  <c r="F527" i="2"/>
  <c r="B528" i="2"/>
  <c r="C528" i="2"/>
  <c r="D528" i="2"/>
  <c r="F528" i="2"/>
  <c r="B529" i="2"/>
  <c r="C529" i="2"/>
  <c r="D529" i="2"/>
  <c r="F529" i="2"/>
  <c r="B530" i="2"/>
  <c r="C530" i="2"/>
  <c r="D530" i="2"/>
  <c r="F530" i="2"/>
  <c r="B531" i="2"/>
  <c r="C531" i="2"/>
  <c r="D531" i="2"/>
  <c r="F531" i="2"/>
  <c r="B532" i="2"/>
  <c r="C532" i="2"/>
  <c r="D532" i="2"/>
  <c r="F532" i="2"/>
  <c r="B533" i="2"/>
  <c r="C533" i="2"/>
  <c r="D533" i="2"/>
  <c r="F533" i="2"/>
  <c r="B534" i="2"/>
  <c r="C534" i="2"/>
  <c r="D534" i="2"/>
  <c r="F534" i="2"/>
  <c r="B535" i="2"/>
  <c r="C535" i="2"/>
  <c r="D535" i="2"/>
  <c r="F535" i="2"/>
  <c r="B536" i="2"/>
  <c r="C536" i="2"/>
  <c r="D536" i="2"/>
  <c r="F536" i="2"/>
  <c r="B537" i="2"/>
  <c r="C537" i="2"/>
  <c r="D537" i="2"/>
  <c r="F537" i="2"/>
  <c r="B538" i="2"/>
  <c r="C538" i="2"/>
  <c r="D538" i="2"/>
  <c r="F538" i="2"/>
  <c r="B539" i="2"/>
  <c r="C539" i="2"/>
  <c r="D539" i="2"/>
  <c r="F539" i="2"/>
  <c r="B540" i="2"/>
  <c r="C540" i="2"/>
  <c r="D540" i="2"/>
  <c r="F540" i="2"/>
  <c r="B541" i="2"/>
  <c r="C541" i="2"/>
  <c r="D541" i="2"/>
  <c r="F541" i="2"/>
  <c r="B542" i="2"/>
  <c r="C542" i="2"/>
  <c r="D542" i="2"/>
  <c r="F542" i="2"/>
  <c r="B543" i="2"/>
  <c r="C543" i="2"/>
  <c r="D543" i="2"/>
  <c r="F543" i="2"/>
  <c r="B544" i="2"/>
  <c r="C544" i="2"/>
  <c r="D544" i="2"/>
  <c r="F544" i="2"/>
  <c r="B545" i="2"/>
  <c r="C545" i="2"/>
  <c r="D545" i="2"/>
  <c r="F545" i="2"/>
  <c r="B546" i="2"/>
  <c r="C546" i="2"/>
  <c r="D546" i="2"/>
  <c r="F546" i="2"/>
  <c r="B547" i="2"/>
  <c r="C547" i="2"/>
  <c r="D547" i="2"/>
  <c r="F547" i="2"/>
  <c r="B548" i="2"/>
  <c r="C548" i="2"/>
  <c r="D548" i="2"/>
  <c r="F548" i="2"/>
  <c r="B549" i="2"/>
  <c r="C549" i="2"/>
  <c r="D549" i="2"/>
  <c r="F549" i="2"/>
  <c r="B550" i="2"/>
  <c r="C550" i="2"/>
  <c r="D550" i="2"/>
  <c r="F550" i="2"/>
  <c r="B551" i="2"/>
  <c r="C551" i="2"/>
  <c r="D551" i="2"/>
  <c r="F551" i="2"/>
  <c r="B552" i="2"/>
  <c r="C552" i="2"/>
  <c r="D552" i="2"/>
  <c r="F552" i="2"/>
  <c r="B553" i="2"/>
  <c r="C553" i="2"/>
  <c r="D553" i="2"/>
  <c r="F553" i="2"/>
  <c r="B554" i="2"/>
  <c r="C554" i="2"/>
  <c r="D554" i="2"/>
  <c r="F554" i="2"/>
  <c r="B555" i="2"/>
  <c r="C555" i="2"/>
  <c r="D555" i="2"/>
  <c r="F555" i="2"/>
  <c r="B556" i="2"/>
  <c r="C556" i="2"/>
  <c r="D556" i="2"/>
  <c r="F556" i="2"/>
  <c r="B557" i="2"/>
  <c r="C557" i="2"/>
  <c r="D557" i="2"/>
  <c r="F557" i="2"/>
  <c r="B558" i="2"/>
  <c r="C558" i="2"/>
  <c r="D558" i="2"/>
  <c r="F558" i="2"/>
  <c r="B559" i="2"/>
  <c r="C559" i="2"/>
  <c r="D559" i="2"/>
  <c r="F559" i="2"/>
  <c r="B560" i="2"/>
  <c r="C560" i="2"/>
  <c r="D560" i="2"/>
  <c r="F560" i="2"/>
  <c r="B561" i="2"/>
  <c r="C561" i="2"/>
  <c r="D561" i="2"/>
  <c r="F561" i="2"/>
  <c r="B562" i="2"/>
  <c r="C562" i="2"/>
  <c r="D562" i="2"/>
  <c r="F562" i="2"/>
  <c r="B563" i="2"/>
  <c r="C563" i="2"/>
  <c r="D563" i="2"/>
  <c r="F563" i="2"/>
  <c r="B564" i="2"/>
  <c r="C564" i="2"/>
  <c r="D564" i="2"/>
  <c r="F564" i="2"/>
  <c r="B565" i="2"/>
  <c r="C565" i="2"/>
  <c r="D565" i="2"/>
  <c r="F565" i="2"/>
  <c r="B566" i="2"/>
  <c r="C566" i="2"/>
  <c r="D566" i="2"/>
  <c r="F566" i="2"/>
  <c r="B567" i="2"/>
  <c r="C567" i="2"/>
  <c r="D567" i="2"/>
  <c r="F567" i="2"/>
  <c r="B568" i="2"/>
  <c r="C568" i="2"/>
  <c r="D568" i="2"/>
  <c r="F568" i="2"/>
  <c r="B569" i="2"/>
  <c r="C569" i="2"/>
  <c r="D569" i="2"/>
  <c r="F569" i="2"/>
  <c r="B570" i="2"/>
  <c r="C570" i="2"/>
  <c r="D570" i="2"/>
  <c r="F570" i="2"/>
  <c r="B571" i="2"/>
  <c r="C571" i="2"/>
  <c r="D571" i="2"/>
  <c r="F571" i="2"/>
  <c r="B572" i="2"/>
  <c r="C572" i="2"/>
  <c r="D572" i="2"/>
  <c r="F572" i="2"/>
  <c r="B573" i="2"/>
  <c r="C573" i="2"/>
  <c r="D573" i="2"/>
  <c r="F573" i="2"/>
  <c r="B574" i="2"/>
  <c r="C574" i="2"/>
  <c r="D574" i="2"/>
  <c r="F574" i="2"/>
  <c r="B575" i="2"/>
  <c r="C575" i="2"/>
  <c r="D575" i="2"/>
  <c r="F575" i="2"/>
  <c r="B576" i="2"/>
  <c r="C576" i="2"/>
  <c r="D576" i="2"/>
  <c r="F576" i="2"/>
  <c r="B577" i="2"/>
  <c r="C577" i="2"/>
  <c r="D577" i="2"/>
  <c r="F577" i="2"/>
  <c r="B578" i="2"/>
  <c r="C578" i="2"/>
  <c r="D578" i="2"/>
  <c r="F578" i="2"/>
  <c r="B579" i="2"/>
  <c r="C579" i="2"/>
  <c r="D579" i="2"/>
  <c r="F579" i="2"/>
  <c r="B580" i="2"/>
  <c r="C580" i="2"/>
  <c r="D580" i="2"/>
  <c r="F580" i="2"/>
  <c r="B581" i="2"/>
  <c r="C581" i="2"/>
  <c r="D581" i="2"/>
  <c r="F581" i="2"/>
  <c r="B582" i="2"/>
  <c r="C582" i="2"/>
  <c r="D582" i="2"/>
  <c r="F582" i="2"/>
  <c r="B583" i="2"/>
  <c r="C583" i="2"/>
  <c r="D583" i="2"/>
  <c r="F583" i="2"/>
  <c r="B584" i="2"/>
  <c r="C584" i="2"/>
  <c r="D584" i="2"/>
  <c r="F584" i="2"/>
  <c r="B585" i="2"/>
  <c r="C585" i="2"/>
  <c r="D585" i="2"/>
  <c r="F585" i="2"/>
  <c r="B586" i="2"/>
  <c r="C586" i="2"/>
  <c r="D586" i="2"/>
  <c r="F586" i="2"/>
  <c r="B587" i="2"/>
  <c r="C587" i="2"/>
  <c r="D587" i="2"/>
  <c r="F587" i="2"/>
  <c r="B588" i="2"/>
  <c r="C588" i="2"/>
  <c r="D588" i="2"/>
  <c r="F588" i="2"/>
  <c r="B589" i="2"/>
  <c r="C589" i="2"/>
  <c r="D589" i="2"/>
  <c r="F589" i="2"/>
  <c r="B590" i="2"/>
  <c r="C590" i="2"/>
  <c r="D590" i="2"/>
  <c r="F590" i="2"/>
  <c r="B591" i="2"/>
  <c r="C591" i="2"/>
  <c r="D591" i="2"/>
  <c r="F591" i="2"/>
  <c r="B592" i="2"/>
  <c r="C592" i="2"/>
  <c r="D592" i="2"/>
  <c r="F592" i="2"/>
  <c r="B593" i="2"/>
  <c r="C593" i="2"/>
  <c r="D593" i="2"/>
  <c r="F593" i="2"/>
  <c r="B594" i="2"/>
  <c r="C594" i="2"/>
  <c r="D594" i="2"/>
  <c r="F594" i="2"/>
  <c r="B595" i="2"/>
  <c r="C595" i="2"/>
  <c r="D595" i="2"/>
  <c r="F595" i="2"/>
  <c r="B596" i="2"/>
  <c r="C596" i="2"/>
  <c r="D596" i="2"/>
  <c r="F596" i="2"/>
  <c r="B597" i="2"/>
  <c r="C597" i="2"/>
  <c r="D597" i="2"/>
  <c r="F597" i="2"/>
  <c r="B598" i="2"/>
  <c r="C598" i="2"/>
  <c r="D598" i="2"/>
  <c r="F598" i="2"/>
  <c r="B599" i="2"/>
  <c r="C599" i="2"/>
  <c r="D599" i="2"/>
  <c r="F599" i="2"/>
  <c r="B600" i="2"/>
  <c r="C600" i="2"/>
  <c r="D600" i="2"/>
  <c r="F600" i="2"/>
  <c r="B601" i="2"/>
  <c r="C601" i="2"/>
  <c r="D601" i="2"/>
  <c r="F601" i="2"/>
  <c r="B602" i="2"/>
  <c r="C602" i="2"/>
  <c r="D602" i="2"/>
  <c r="F602" i="2"/>
  <c r="B603" i="2"/>
  <c r="C603" i="2"/>
  <c r="D603" i="2"/>
  <c r="F603" i="2"/>
  <c r="B604" i="2"/>
  <c r="C604" i="2"/>
  <c r="D604" i="2"/>
  <c r="F604" i="2"/>
  <c r="B605" i="2"/>
  <c r="C605" i="2"/>
  <c r="D605" i="2"/>
  <c r="F605" i="2"/>
  <c r="B606" i="2"/>
  <c r="C606" i="2"/>
  <c r="D606" i="2"/>
  <c r="F606" i="2"/>
  <c r="B607" i="2"/>
  <c r="C607" i="2"/>
  <c r="D607" i="2"/>
  <c r="F607" i="2"/>
  <c r="B608" i="2"/>
  <c r="C608" i="2"/>
  <c r="D608" i="2"/>
  <c r="F608" i="2"/>
  <c r="B609" i="2"/>
  <c r="C609" i="2"/>
  <c r="D609" i="2"/>
  <c r="F609" i="2"/>
  <c r="B610" i="2"/>
  <c r="C610" i="2"/>
  <c r="D610" i="2"/>
  <c r="F610" i="2"/>
  <c r="B611" i="2"/>
  <c r="C611" i="2"/>
  <c r="D611" i="2"/>
  <c r="F611" i="2"/>
  <c r="B612" i="2"/>
  <c r="C612" i="2"/>
  <c r="D612" i="2"/>
  <c r="F612" i="2"/>
  <c r="B613" i="2"/>
  <c r="C613" i="2"/>
  <c r="D613" i="2"/>
  <c r="F613" i="2"/>
  <c r="B614" i="2"/>
  <c r="C614" i="2"/>
  <c r="D614" i="2"/>
  <c r="F614" i="2"/>
  <c r="B615" i="2"/>
  <c r="C615" i="2"/>
  <c r="D615" i="2"/>
  <c r="F615" i="2"/>
  <c r="B616" i="2"/>
  <c r="C616" i="2"/>
  <c r="D616" i="2"/>
  <c r="F616" i="2"/>
  <c r="B617" i="2"/>
  <c r="C617" i="2"/>
  <c r="D617" i="2"/>
  <c r="F617" i="2"/>
  <c r="B618" i="2"/>
  <c r="C618" i="2"/>
  <c r="D618" i="2"/>
  <c r="F618" i="2"/>
  <c r="B619" i="2"/>
  <c r="C619" i="2"/>
  <c r="D619" i="2"/>
  <c r="F619" i="2"/>
  <c r="B620" i="2"/>
  <c r="C620" i="2"/>
  <c r="D620" i="2"/>
  <c r="F620" i="2"/>
  <c r="B621" i="2"/>
  <c r="C621" i="2"/>
  <c r="D621" i="2"/>
  <c r="F621" i="2"/>
  <c r="B622" i="2"/>
  <c r="C622" i="2"/>
  <c r="D622" i="2"/>
  <c r="F622" i="2"/>
  <c r="B623" i="2"/>
  <c r="C623" i="2"/>
  <c r="D623" i="2"/>
  <c r="F623" i="2"/>
  <c r="B624" i="2"/>
  <c r="C624" i="2"/>
  <c r="D624" i="2"/>
  <c r="F624" i="2"/>
  <c r="B625" i="2"/>
  <c r="C625" i="2"/>
  <c r="D625" i="2"/>
  <c r="F625" i="2"/>
  <c r="B626" i="2"/>
  <c r="C626" i="2"/>
  <c r="D626" i="2"/>
  <c r="F626" i="2"/>
  <c r="B627" i="2"/>
  <c r="C627" i="2"/>
  <c r="D627" i="2"/>
  <c r="F627" i="2"/>
  <c r="B628" i="2"/>
  <c r="C628" i="2"/>
  <c r="D628" i="2"/>
  <c r="F628" i="2"/>
  <c r="B629" i="2"/>
  <c r="C629" i="2"/>
  <c r="D629" i="2"/>
  <c r="F629" i="2"/>
  <c r="B630" i="2"/>
  <c r="C630" i="2"/>
  <c r="D630" i="2"/>
  <c r="F630" i="2"/>
  <c r="B631" i="2"/>
  <c r="C631" i="2"/>
  <c r="D631" i="2"/>
  <c r="F631" i="2"/>
  <c r="B632" i="2"/>
  <c r="C632" i="2"/>
  <c r="D632" i="2"/>
  <c r="F632" i="2"/>
  <c r="B633" i="2"/>
  <c r="C633" i="2"/>
  <c r="D633" i="2"/>
  <c r="F633" i="2"/>
  <c r="B634" i="2"/>
  <c r="C634" i="2"/>
  <c r="D634" i="2"/>
  <c r="F634" i="2"/>
  <c r="B635" i="2"/>
  <c r="C635" i="2"/>
  <c r="D635" i="2"/>
  <c r="F635" i="2"/>
  <c r="B636" i="2"/>
  <c r="C636" i="2"/>
  <c r="D636" i="2"/>
  <c r="F636" i="2"/>
  <c r="B637" i="2"/>
  <c r="C637" i="2"/>
  <c r="D637" i="2"/>
  <c r="F637" i="2"/>
  <c r="B638" i="2"/>
  <c r="C638" i="2"/>
  <c r="D638" i="2"/>
  <c r="F638" i="2"/>
  <c r="B639" i="2"/>
  <c r="C639" i="2"/>
  <c r="D639" i="2"/>
  <c r="F639" i="2"/>
  <c r="B640" i="2"/>
  <c r="C640" i="2"/>
  <c r="D640" i="2"/>
  <c r="F640" i="2"/>
  <c r="B641" i="2"/>
  <c r="C641" i="2"/>
  <c r="D641" i="2"/>
  <c r="F641" i="2"/>
  <c r="B642" i="2"/>
  <c r="C642" i="2"/>
  <c r="D642" i="2"/>
  <c r="F642" i="2"/>
  <c r="B643" i="2"/>
  <c r="C643" i="2"/>
  <c r="D643" i="2"/>
  <c r="F643" i="2"/>
  <c r="B644" i="2"/>
  <c r="C644" i="2"/>
  <c r="D644" i="2"/>
  <c r="F644" i="2"/>
  <c r="B645" i="2"/>
  <c r="C645" i="2"/>
  <c r="D645" i="2"/>
  <c r="F645" i="2"/>
  <c r="B646" i="2"/>
  <c r="C646" i="2"/>
  <c r="D646" i="2"/>
  <c r="F646" i="2"/>
  <c r="B647" i="2"/>
  <c r="C647" i="2"/>
  <c r="D647" i="2"/>
  <c r="F647" i="2"/>
  <c r="B648" i="2"/>
  <c r="C648" i="2"/>
  <c r="D648" i="2"/>
  <c r="F648" i="2"/>
  <c r="B649" i="2"/>
  <c r="C649" i="2"/>
  <c r="D649" i="2"/>
  <c r="F649" i="2"/>
  <c r="B650" i="2"/>
  <c r="C650" i="2"/>
  <c r="D650" i="2"/>
  <c r="F650" i="2"/>
  <c r="B651" i="2"/>
  <c r="C651" i="2"/>
  <c r="D651" i="2"/>
  <c r="F651" i="2"/>
  <c r="B652" i="2"/>
  <c r="C652" i="2"/>
  <c r="D652" i="2"/>
  <c r="F652" i="2"/>
  <c r="B653" i="2"/>
  <c r="C653" i="2"/>
  <c r="D653" i="2"/>
  <c r="F653" i="2"/>
  <c r="B654" i="2"/>
  <c r="C654" i="2"/>
  <c r="D654" i="2"/>
  <c r="F654" i="2"/>
  <c r="B655" i="2"/>
  <c r="C655" i="2"/>
  <c r="D655" i="2"/>
  <c r="F655" i="2"/>
  <c r="B656" i="2"/>
  <c r="C656" i="2"/>
  <c r="D656" i="2"/>
  <c r="F656" i="2"/>
  <c r="B657" i="2"/>
  <c r="C657" i="2"/>
  <c r="D657" i="2"/>
  <c r="F657" i="2"/>
  <c r="B658" i="2"/>
  <c r="C658" i="2"/>
  <c r="D658" i="2"/>
  <c r="F658" i="2"/>
  <c r="B659" i="2"/>
  <c r="C659" i="2"/>
  <c r="D659" i="2"/>
  <c r="F659" i="2"/>
  <c r="B660" i="2"/>
  <c r="C660" i="2"/>
  <c r="D660" i="2"/>
  <c r="F660" i="2"/>
  <c r="B661" i="2"/>
  <c r="C661" i="2"/>
  <c r="D661" i="2"/>
  <c r="F661" i="2"/>
  <c r="B662" i="2"/>
  <c r="C662" i="2"/>
  <c r="D662" i="2"/>
  <c r="F662" i="2"/>
  <c r="B663" i="2"/>
  <c r="C663" i="2"/>
  <c r="D663" i="2"/>
  <c r="F663" i="2"/>
  <c r="B664" i="2"/>
  <c r="C664" i="2"/>
  <c r="D664" i="2"/>
  <c r="F664" i="2"/>
  <c r="B665" i="2"/>
  <c r="C665" i="2"/>
  <c r="D665" i="2"/>
  <c r="F665" i="2"/>
  <c r="B666" i="2"/>
  <c r="C666" i="2"/>
  <c r="D666" i="2"/>
  <c r="F666" i="2"/>
  <c r="B667" i="2"/>
  <c r="C667" i="2"/>
  <c r="D667" i="2"/>
  <c r="F667" i="2"/>
  <c r="B668" i="2"/>
  <c r="C668" i="2"/>
  <c r="D668" i="2"/>
  <c r="F668" i="2"/>
  <c r="B669" i="2"/>
  <c r="C669" i="2"/>
  <c r="D669" i="2"/>
  <c r="F669" i="2"/>
  <c r="B670" i="2"/>
  <c r="C670" i="2"/>
  <c r="D670" i="2"/>
  <c r="F670" i="2"/>
  <c r="B671" i="2"/>
  <c r="C671" i="2"/>
  <c r="D671" i="2"/>
  <c r="F671" i="2"/>
  <c r="B672" i="2"/>
  <c r="C672" i="2"/>
  <c r="D672" i="2"/>
  <c r="F672" i="2"/>
  <c r="B673" i="2"/>
  <c r="C673" i="2"/>
  <c r="D673" i="2"/>
  <c r="F673" i="2"/>
  <c r="B674" i="2"/>
  <c r="C674" i="2"/>
  <c r="D674" i="2"/>
  <c r="F674" i="2"/>
  <c r="B675" i="2"/>
  <c r="C675" i="2"/>
  <c r="D675" i="2"/>
  <c r="F675" i="2"/>
  <c r="B676" i="2"/>
  <c r="C676" i="2"/>
  <c r="D676" i="2"/>
  <c r="F676" i="2"/>
  <c r="B677" i="2"/>
  <c r="C677" i="2"/>
  <c r="D677" i="2"/>
  <c r="F677" i="2"/>
  <c r="B678" i="2"/>
  <c r="C678" i="2"/>
  <c r="D678" i="2"/>
  <c r="F678" i="2"/>
  <c r="B679" i="2"/>
  <c r="C679" i="2"/>
  <c r="D679" i="2"/>
  <c r="F679" i="2"/>
  <c r="B680" i="2"/>
  <c r="C680" i="2"/>
  <c r="D680" i="2"/>
  <c r="F680" i="2"/>
  <c r="B681" i="2"/>
  <c r="C681" i="2"/>
  <c r="D681" i="2"/>
  <c r="F681" i="2"/>
  <c r="B682" i="2"/>
  <c r="C682" i="2"/>
  <c r="D682" i="2"/>
  <c r="F682" i="2"/>
  <c r="B683" i="2"/>
  <c r="C683" i="2"/>
  <c r="D683" i="2"/>
  <c r="F683" i="2"/>
  <c r="B684" i="2"/>
  <c r="C684" i="2"/>
  <c r="D684" i="2"/>
  <c r="F684" i="2"/>
  <c r="B685" i="2"/>
  <c r="C685" i="2"/>
  <c r="D685" i="2"/>
  <c r="F685" i="2"/>
  <c r="B686" i="2"/>
  <c r="C686" i="2"/>
  <c r="D686" i="2"/>
  <c r="F686" i="2"/>
  <c r="B687" i="2"/>
  <c r="C687" i="2"/>
  <c r="D687" i="2"/>
  <c r="F687" i="2"/>
  <c r="B350" i="2"/>
  <c r="C350" i="2"/>
  <c r="D350" i="2"/>
  <c r="F350" i="2"/>
  <c r="B351" i="2"/>
  <c r="C351" i="2"/>
  <c r="D351" i="2"/>
  <c r="F351" i="2"/>
  <c r="B352" i="2"/>
  <c r="C352" i="2"/>
  <c r="D352" i="2"/>
  <c r="F352" i="2"/>
  <c r="B353" i="2"/>
  <c r="C353" i="2"/>
  <c r="D353" i="2"/>
  <c r="F353" i="2"/>
  <c r="B354" i="2"/>
  <c r="C354" i="2"/>
  <c r="D354" i="2"/>
  <c r="F354" i="2"/>
  <c r="B355" i="2"/>
  <c r="C355" i="2"/>
  <c r="D355" i="2"/>
  <c r="F355" i="2"/>
  <c r="B356" i="2"/>
  <c r="C356" i="2"/>
  <c r="D356" i="2"/>
  <c r="F356" i="2"/>
  <c r="B357" i="2"/>
  <c r="C357" i="2"/>
  <c r="D357" i="2"/>
  <c r="F357" i="2"/>
  <c r="B358" i="2"/>
  <c r="C358" i="2"/>
  <c r="D358" i="2"/>
  <c r="F358" i="2"/>
  <c r="B359" i="2"/>
  <c r="C359" i="2"/>
  <c r="D359" i="2"/>
  <c r="F359" i="2"/>
  <c r="B360" i="2"/>
  <c r="C360" i="2"/>
  <c r="D360" i="2"/>
  <c r="F360" i="2"/>
  <c r="B361" i="2"/>
  <c r="C361" i="2"/>
  <c r="D361" i="2"/>
  <c r="F361" i="2"/>
  <c r="B362" i="2"/>
  <c r="C362" i="2"/>
  <c r="D362" i="2"/>
  <c r="F362" i="2"/>
  <c r="B363" i="2"/>
  <c r="C363" i="2"/>
  <c r="D363" i="2"/>
  <c r="F363" i="2"/>
  <c r="E496" i="3" l="1"/>
  <c r="X496" i="3" s="1"/>
  <c r="E488" i="3"/>
  <c r="X488" i="3" s="1"/>
  <c r="D484" i="3"/>
  <c r="W484" i="3" s="1"/>
  <c r="D207" i="3"/>
  <c r="W207" i="3" s="1"/>
  <c r="D226" i="3"/>
  <c r="W226" i="3" s="1"/>
  <c r="D235" i="3"/>
  <c r="W235" i="3" s="1"/>
  <c r="E451" i="3"/>
  <c r="X451" i="3" s="1"/>
  <c r="D449" i="3"/>
  <c r="W449" i="3" s="1"/>
  <c r="D401" i="3"/>
  <c r="W401" i="3" s="1"/>
  <c r="D371" i="3"/>
  <c r="W371" i="3" s="1"/>
  <c r="D335" i="3"/>
  <c r="W335" i="3" s="1"/>
  <c r="D333" i="3"/>
  <c r="W333" i="3" s="1"/>
  <c r="E315" i="3"/>
  <c r="X315" i="3" s="1"/>
  <c r="D291" i="3"/>
  <c r="W291" i="3" s="1"/>
  <c r="D283" i="3"/>
  <c r="W283" i="3" s="1"/>
  <c r="D267" i="3"/>
  <c r="W267" i="3" s="1"/>
  <c r="D251" i="3"/>
  <c r="W251" i="3" s="1"/>
  <c r="D247" i="3"/>
  <c r="W247" i="3" s="1"/>
  <c r="D460" i="3"/>
  <c r="W460" i="3" s="1"/>
  <c r="E456" i="3"/>
  <c r="X456" i="3" s="1"/>
  <c r="E360" i="3"/>
  <c r="X360" i="3" s="1"/>
  <c r="E242" i="3"/>
  <c r="X242" i="3" s="1"/>
  <c r="D236" i="3"/>
  <c r="W236" i="3" s="1"/>
  <c r="E226" i="3"/>
  <c r="X226" i="3" s="1"/>
  <c r="D215" i="3"/>
  <c r="W215" i="3" s="1"/>
  <c r="E211" i="3"/>
  <c r="X211" i="3" s="1"/>
  <c r="D464" i="3"/>
  <c r="W464" i="3" s="1"/>
  <c r="D453" i="3"/>
  <c r="W453" i="3" s="1"/>
  <c r="D349" i="3"/>
  <c r="W349" i="3" s="1"/>
  <c r="D332" i="3"/>
  <c r="W332" i="3" s="1"/>
  <c r="E328" i="3"/>
  <c r="X328" i="3" s="1"/>
  <c r="E229" i="3"/>
  <c r="X229" i="3" s="1"/>
  <c r="E440" i="3"/>
  <c r="X440" i="3" s="1"/>
  <c r="E245" i="3"/>
  <c r="X245" i="3" s="1"/>
  <c r="E418" i="3"/>
  <c r="X418" i="3" s="1"/>
  <c r="E408" i="3"/>
  <c r="X408" i="3" s="1"/>
  <c r="E380" i="3"/>
  <c r="X380" i="3" s="1"/>
  <c r="D497" i="3"/>
  <c r="W497" i="3" s="1"/>
  <c r="E495" i="3"/>
  <c r="X495" i="3" s="1"/>
  <c r="E467" i="3"/>
  <c r="X467" i="3" s="1"/>
  <c r="D465" i="3"/>
  <c r="W465" i="3" s="1"/>
  <c r="D367" i="3"/>
  <c r="W367" i="3" s="1"/>
  <c r="D344" i="3"/>
  <c r="W344" i="3" s="1"/>
  <c r="E338" i="3"/>
  <c r="X338" i="3" s="1"/>
  <c r="D242" i="3"/>
  <c r="W242" i="3" s="1"/>
  <c r="D240" i="3"/>
  <c r="W240" i="3" s="1"/>
  <c r="D219" i="3"/>
  <c r="W219" i="3" s="1"/>
  <c r="E210" i="3"/>
  <c r="X210" i="3" s="1"/>
  <c r="E207" i="3"/>
  <c r="X207" i="3" s="1"/>
  <c r="E504" i="3"/>
  <c r="X504" i="3" s="1"/>
  <c r="D355" i="3"/>
  <c r="W355" i="3" s="1"/>
  <c r="E318" i="3"/>
  <c r="X318" i="3" s="1"/>
  <c r="E302" i="3"/>
  <c r="X302" i="3" s="1"/>
  <c r="D260" i="3"/>
  <c r="W260" i="3" s="1"/>
  <c r="D258" i="3"/>
  <c r="W258" i="3" s="1"/>
  <c r="D254" i="3"/>
  <c r="W254" i="3" s="1"/>
  <c r="E219" i="3"/>
  <c r="X219" i="3" s="1"/>
  <c r="D433" i="3"/>
  <c r="W433" i="3" s="1"/>
  <c r="E427" i="3"/>
  <c r="X427" i="3" s="1"/>
  <c r="D399" i="3"/>
  <c r="W399" i="3" s="1"/>
  <c r="D395" i="3"/>
  <c r="W395" i="3" s="1"/>
  <c r="E383" i="3"/>
  <c r="X383" i="3" s="1"/>
  <c r="D364" i="3"/>
  <c r="W364" i="3" s="1"/>
  <c r="E434" i="3"/>
  <c r="X434" i="3" s="1"/>
  <c r="E386" i="3"/>
  <c r="X386" i="3" s="1"/>
  <c r="E335" i="3"/>
  <c r="X335" i="3" s="1"/>
  <c r="E227" i="3"/>
  <c r="X227" i="3" s="1"/>
  <c r="D210" i="3"/>
  <c r="W210" i="3" s="1"/>
  <c r="E478" i="3"/>
  <c r="X478" i="3" s="1"/>
  <c r="D400" i="3"/>
  <c r="W400" i="3" s="1"/>
  <c r="E499" i="3"/>
  <c r="X499" i="3" s="1"/>
  <c r="D481" i="3"/>
  <c r="W481" i="3" s="1"/>
  <c r="D448" i="3"/>
  <c r="W448" i="3" s="1"/>
  <c r="E431" i="3"/>
  <c r="X431" i="3" s="1"/>
  <c r="D429" i="3"/>
  <c r="W429" i="3" s="1"/>
  <c r="E416" i="3"/>
  <c r="X416" i="3" s="1"/>
  <c r="D412" i="3"/>
  <c r="W412" i="3" s="1"/>
  <c r="E370" i="3"/>
  <c r="X370" i="3" s="1"/>
  <c r="D368" i="3"/>
  <c r="W368" i="3" s="1"/>
  <c r="E366" i="3"/>
  <c r="X366" i="3" s="1"/>
  <c r="E334" i="3"/>
  <c r="X334" i="3" s="1"/>
  <c r="D300" i="3"/>
  <c r="W300" i="3" s="1"/>
  <c r="E298" i="3"/>
  <c r="X298" i="3" s="1"/>
  <c r="D288" i="3"/>
  <c r="W288" i="3" s="1"/>
  <c r="E223" i="3"/>
  <c r="X223" i="3" s="1"/>
  <c r="E209" i="3"/>
  <c r="X209" i="3" s="1"/>
  <c r="D504" i="3"/>
  <c r="W504" i="3" s="1"/>
  <c r="E494" i="3"/>
  <c r="X494" i="3" s="1"/>
  <c r="D480" i="3"/>
  <c r="W480" i="3" s="1"/>
  <c r="D427" i="3"/>
  <c r="W427" i="3" s="1"/>
  <c r="D408" i="3"/>
  <c r="W408" i="3" s="1"/>
  <c r="D445" i="3"/>
  <c r="W445" i="3" s="1"/>
  <c r="D432" i="3"/>
  <c r="W432" i="3" s="1"/>
  <c r="E430" i="3"/>
  <c r="X430" i="3" s="1"/>
  <c r="E367" i="3"/>
  <c r="X367" i="3" s="1"/>
  <c r="D365" i="3"/>
  <c r="W365" i="3" s="1"/>
  <c r="D360" i="3"/>
  <c r="W360" i="3" s="1"/>
  <c r="D347" i="3"/>
  <c r="W347" i="3" s="1"/>
  <c r="D317" i="3"/>
  <c r="W317" i="3" s="1"/>
  <c r="E309" i="3"/>
  <c r="X309" i="3" s="1"/>
  <c r="E295" i="3"/>
  <c r="X295" i="3" s="1"/>
  <c r="E273" i="3"/>
  <c r="X273" i="3" s="1"/>
  <c r="D259" i="3"/>
  <c r="W259" i="3" s="1"/>
  <c r="E257" i="3"/>
  <c r="X257" i="3" s="1"/>
  <c r="D379" i="3"/>
  <c r="W379" i="3" s="1"/>
  <c r="E379" i="3"/>
  <c r="X379" i="3" s="1"/>
  <c r="D271" i="3"/>
  <c r="W271" i="3" s="1"/>
  <c r="E271" i="3"/>
  <c r="X271" i="3" s="1"/>
  <c r="E396" i="3"/>
  <c r="X396" i="3" s="1"/>
  <c r="D396" i="3"/>
  <c r="W396" i="3" s="1"/>
  <c r="E392" i="3"/>
  <c r="X392" i="3" s="1"/>
  <c r="E287" i="3"/>
  <c r="X287" i="3" s="1"/>
  <c r="D287" i="3"/>
  <c r="W287" i="3" s="1"/>
  <c r="E483" i="3"/>
  <c r="X483" i="3" s="1"/>
  <c r="D483" i="3"/>
  <c r="W483" i="3" s="1"/>
  <c r="E435" i="3"/>
  <c r="X435" i="3" s="1"/>
  <c r="E424" i="3"/>
  <c r="X424" i="3" s="1"/>
  <c r="E403" i="3"/>
  <c r="X403" i="3" s="1"/>
  <c r="E376" i="3"/>
  <c r="X376" i="3" s="1"/>
  <c r="D376" i="3"/>
  <c r="W376" i="3" s="1"/>
  <c r="AA376" i="3" s="1"/>
  <c r="E332" i="3"/>
  <c r="X332" i="3" s="1"/>
  <c r="D274" i="3"/>
  <c r="W274" i="3" s="1"/>
  <c r="E274" i="3"/>
  <c r="X274" i="3" s="1"/>
  <c r="E452" i="3"/>
  <c r="X452" i="3" s="1"/>
  <c r="D452" i="3"/>
  <c r="W452" i="3" s="1"/>
  <c r="E348" i="3"/>
  <c r="X348" i="3" s="1"/>
  <c r="D314" i="3"/>
  <c r="W314" i="3" s="1"/>
  <c r="E314" i="3"/>
  <c r="X314" i="3" s="1"/>
  <c r="E290" i="3"/>
  <c r="X290" i="3" s="1"/>
  <c r="D290" i="3"/>
  <c r="W290" i="3" s="1"/>
  <c r="E278" i="3"/>
  <c r="X278" i="3" s="1"/>
  <c r="D278" i="3"/>
  <c r="W278" i="3" s="1"/>
  <c r="D250" i="3"/>
  <c r="W250" i="3" s="1"/>
  <c r="E250" i="3"/>
  <c r="X250" i="3" s="1"/>
  <c r="E225" i="3"/>
  <c r="X225" i="3" s="1"/>
  <c r="D223" i="3"/>
  <c r="W223" i="3" s="1"/>
  <c r="E214" i="3"/>
  <c r="X214" i="3" s="1"/>
  <c r="D472" i="3"/>
  <c r="W472" i="3" s="1"/>
  <c r="E472" i="3"/>
  <c r="X472" i="3" s="1"/>
  <c r="E468" i="3"/>
  <c r="X468" i="3" s="1"/>
  <c r="E444" i="3"/>
  <c r="X444" i="3" s="1"/>
  <c r="E382" i="3"/>
  <c r="X382" i="3" s="1"/>
  <c r="E251" i="3"/>
  <c r="X251" i="3" s="1"/>
  <c r="D206" i="3"/>
  <c r="W206" i="3" s="1"/>
  <c r="D496" i="3"/>
  <c r="W496" i="3" s="1"/>
  <c r="Z496" i="3" s="1"/>
  <c r="D492" i="3"/>
  <c r="W492" i="3" s="1"/>
  <c r="E479" i="3"/>
  <c r="X479" i="3" s="1"/>
  <c r="D477" i="3"/>
  <c r="W477" i="3" s="1"/>
  <c r="E460" i="3"/>
  <c r="X460" i="3" s="1"/>
  <c r="D428" i="3"/>
  <c r="W428" i="3" s="1"/>
  <c r="D417" i="3"/>
  <c r="W417" i="3" s="1"/>
  <c r="E415" i="3"/>
  <c r="X415" i="3" s="1"/>
  <c r="D413" i="3"/>
  <c r="W413" i="3" s="1"/>
  <c r="E398" i="3"/>
  <c r="X398" i="3" s="1"/>
  <c r="D385" i="3"/>
  <c r="W385" i="3" s="1"/>
  <c r="D383" i="3"/>
  <c r="W383" i="3" s="1"/>
  <c r="D380" i="3"/>
  <c r="W380" i="3" s="1"/>
  <c r="AA380" i="3" s="1"/>
  <c r="E354" i="3"/>
  <c r="X354" i="3" s="1"/>
  <c r="E350" i="3"/>
  <c r="X350" i="3" s="1"/>
  <c r="D339" i="3"/>
  <c r="W339" i="3" s="1"/>
  <c r="E323" i="3"/>
  <c r="X323" i="3" s="1"/>
  <c r="D323" i="3"/>
  <c r="W323" i="3" s="1"/>
  <c r="D321" i="3"/>
  <c r="W321" i="3" s="1"/>
  <c r="D308" i="3"/>
  <c r="W308" i="3" s="1"/>
  <c r="E306" i="3"/>
  <c r="X306" i="3" s="1"/>
  <c r="D304" i="3"/>
  <c r="W304" i="3" s="1"/>
  <c r="E299" i="3"/>
  <c r="X299" i="3" s="1"/>
  <c r="E293" i="3"/>
  <c r="X293" i="3" s="1"/>
  <c r="E258" i="3"/>
  <c r="X258" i="3" s="1"/>
  <c r="D256" i="3"/>
  <c r="W256" i="3" s="1"/>
  <c r="E254" i="3"/>
  <c r="X254" i="3" s="1"/>
  <c r="D252" i="3"/>
  <c r="W252" i="3" s="1"/>
  <c r="E247" i="3"/>
  <c r="X247" i="3" s="1"/>
  <c r="E235" i="3"/>
  <c r="X235" i="3" s="1"/>
  <c r="E231" i="3"/>
  <c r="X231" i="3" s="1"/>
  <c r="D500" i="3"/>
  <c r="W500" i="3" s="1"/>
  <c r="E498" i="3"/>
  <c r="X498" i="3" s="1"/>
  <c r="D493" i="3"/>
  <c r="W493" i="3" s="1"/>
  <c r="D488" i="3"/>
  <c r="W488" i="3" s="1"/>
  <c r="E482" i="3"/>
  <c r="X482" i="3" s="1"/>
  <c r="E480" i="3"/>
  <c r="X480" i="3" s="1"/>
  <c r="D476" i="3"/>
  <c r="W476" i="3" s="1"/>
  <c r="D469" i="3"/>
  <c r="W469" i="3" s="1"/>
  <c r="D461" i="3"/>
  <c r="W461" i="3" s="1"/>
  <c r="D457" i="3"/>
  <c r="W457" i="3" s="1"/>
  <c r="D456" i="3"/>
  <c r="W456" i="3" s="1"/>
  <c r="D440" i="3"/>
  <c r="W440" i="3" s="1"/>
  <c r="E432" i="3"/>
  <c r="X432" i="3" s="1"/>
  <c r="E414" i="3"/>
  <c r="X414" i="3" s="1"/>
  <c r="E402" i="3"/>
  <c r="X402" i="3" s="1"/>
  <c r="E399" i="3"/>
  <c r="X399" i="3" s="1"/>
  <c r="D397" i="3"/>
  <c r="W397" i="3" s="1"/>
  <c r="D387" i="3"/>
  <c r="W387" i="3" s="1"/>
  <c r="E364" i="3"/>
  <c r="X364" i="3" s="1"/>
  <c r="E355" i="3"/>
  <c r="X355" i="3" s="1"/>
  <c r="Z355" i="3" s="1"/>
  <c r="D353" i="3"/>
  <c r="W353" i="3" s="1"/>
  <c r="E351" i="3"/>
  <c r="X351" i="3" s="1"/>
  <c r="E344" i="3"/>
  <c r="X344" i="3" s="1"/>
  <c r="D320" i="3"/>
  <c r="W320" i="3" s="1"/>
  <c r="D318" i="3"/>
  <c r="W318" i="3" s="1"/>
  <c r="AA318" i="3" s="1"/>
  <c r="D315" i="3"/>
  <c r="W315" i="3" s="1"/>
  <c r="E305" i="3"/>
  <c r="X305" i="3" s="1"/>
  <c r="E300" i="3"/>
  <c r="X300" i="3" s="1"/>
  <c r="D294" i="3"/>
  <c r="W294" i="3" s="1"/>
  <c r="E289" i="3"/>
  <c r="X289" i="3" s="1"/>
  <c r="E283" i="3"/>
  <c r="X283" i="3" s="1"/>
  <c r="D272" i="3"/>
  <c r="W272" i="3" s="1"/>
  <c r="E259" i="3"/>
  <c r="X259" i="3" s="1"/>
  <c r="E255" i="3"/>
  <c r="X255" i="3" s="1"/>
  <c r="E241" i="3"/>
  <c r="X241" i="3" s="1"/>
  <c r="E237" i="3"/>
  <c r="X237" i="3" s="1"/>
  <c r="E236" i="3"/>
  <c r="X236" i="3" s="1"/>
  <c r="D230" i="3"/>
  <c r="W230" i="3" s="1"/>
  <c r="E215" i="3"/>
  <c r="X215" i="3" s="1"/>
  <c r="D208" i="3"/>
  <c r="W208" i="3" s="1"/>
  <c r="E384" i="3"/>
  <c r="X384" i="3" s="1"/>
  <c r="D384" i="3"/>
  <c r="W384" i="3" s="1"/>
  <c r="D253" i="3"/>
  <c r="W253" i="3" s="1"/>
  <c r="E253" i="3"/>
  <c r="X253" i="3" s="1"/>
  <c r="E492" i="3"/>
  <c r="X492" i="3" s="1"/>
  <c r="D479" i="3"/>
  <c r="W479" i="3" s="1"/>
  <c r="E459" i="3"/>
  <c r="X459" i="3" s="1"/>
  <c r="E448" i="3"/>
  <c r="X448" i="3" s="1"/>
  <c r="E428" i="3"/>
  <c r="X428" i="3" s="1"/>
  <c r="D415" i="3"/>
  <c r="W415" i="3" s="1"/>
  <c r="D381" i="3"/>
  <c r="W381" i="3" s="1"/>
  <c r="D369" i="3"/>
  <c r="W369" i="3" s="1"/>
  <c r="E363" i="3"/>
  <c r="X363" i="3" s="1"/>
  <c r="D279" i="3"/>
  <c r="W279" i="3" s="1"/>
  <c r="E279" i="3"/>
  <c r="X279" i="3" s="1"/>
  <c r="E267" i="3"/>
  <c r="X267" i="3" s="1"/>
  <c r="D244" i="3"/>
  <c r="W244" i="3" s="1"/>
  <c r="D468" i="3"/>
  <c r="W468" i="3" s="1"/>
  <c r="D392" i="3"/>
  <c r="W392" i="3" s="1"/>
  <c r="E336" i="3"/>
  <c r="X336" i="3" s="1"/>
  <c r="D336" i="3"/>
  <c r="W336" i="3" s="1"/>
  <c r="E319" i="3"/>
  <c r="X319" i="3" s="1"/>
  <c r="D319" i="3"/>
  <c r="W319" i="3" s="1"/>
  <c r="D311" i="3"/>
  <c r="W311" i="3" s="1"/>
  <c r="E311" i="3"/>
  <c r="X311" i="3" s="1"/>
  <c r="D302" i="3"/>
  <c r="W302" i="3" s="1"/>
  <c r="D299" i="3"/>
  <c r="W299" i="3" s="1"/>
  <c r="E275" i="3"/>
  <c r="X275" i="3" s="1"/>
  <c r="D275" i="3"/>
  <c r="W275" i="3" s="1"/>
  <c r="E238" i="3"/>
  <c r="X238" i="3" s="1"/>
  <c r="D238" i="3"/>
  <c r="W238" i="3" s="1"/>
  <c r="D499" i="3"/>
  <c r="W499" i="3" s="1"/>
  <c r="AA499" i="3" s="1"/>
  <c r="D495" i="3"/>
  <c r="W495" i="3" s="1"/>
  <c r="E476" i="3"/>
  <c r="X476" i="3" s="1"/>
  <c r="E464" i="3"/>
  <c r="X464" i="3" s="1"/>
  <c r="D444" i="3"/>
  <c r="W444" i="3" s="1"/>
  <c r="E443" i="3"/>
  <c r="X443" i="3" s="1"/>
  <c r="D435" i="3"/>
  <c r="W435" i="3" s="1"/>
  <c r="D431" i="3"/>
  <c r="W431" i="3" s="1"/>
  <c r="D424" i="3"/>
  <c r="W424" i="3" s="1"/>
  <c r="Z424" i="3" s="1"/>
  <c r="D419" i="3"/>
  <c r="W419" i="3" s="1"/>
  <c r="E412" i="3"/>
  <c r="X412" i="3" s="1"/>
  <c r="D403" i="3"/>
  <c r="W403" i="3" s="1"/>
  <c r="D351" i="3"/>
  <c r="W351" i="3" s="1"/>
  <c r="D348" i="3"/>
  <c r="W348" i="3" s="1"/>
  <c r="D328" i="3"/>
  <c r="W328" i="3" s="1"/>
  <c r="E317" i="3"/>
  <c r="X317" i="3" s="1"/>
  <c r="D306" i="3"/>
  <c r="W306" i="3" s="1"/>
  <c r="AA306" i="3" s="1"/>
  <c r="D224" i="3"/>
  <c r="W224" i="3" s="1"/>
  <c r="D503" i="3"/>
  <c r="W503" i="3" s="1"/>
  <c r="D490" i="3"/>
  <c r="W490" i="3" s="1"/>
  <c r="D487" i="3"/>
  <c r="W487" i="3" s="1"/>
  <c r="D474" i="3"/>
  <c r="W474" i="3" s="1"/>
  <c r="D471" i="3"/>
  <c r="W471" i="3" s="1"/>
  <c r="D467" i="3"/>
  <c r="W467" i="3" s="1"/>
  <c r="D455" i="3"/>
  <c r="W455" i="3" s="1"/>
  <c r="D451" i="3"/>
  <c r="W451" i="3" s="1"/>
  <c r="AA451" i="3" s="1"/>
  <c r="E400" i="3"/>
  <c r="X400" i="3" s="1"/>
  <c r="E387" i="3"/>
  <c r="X387" i="3" s="1"/>
  <c r="E371" i="3"/>
  <c r="X371" i="3" s="1"/>
  <c r="E368" i="3"/>
  <c r="X368" i="3" s="1"/>
  <c r="E352" i="3"/>
  <c r="X352" i="3" s="1"/>
  <c r="E339" i="3"/>
  <c r="X339" i="3" s="1"/>
  <c r="D337" i="3"/>
  <c r="W337" i="3" s="1"/>
  <c r="D331" i="3"/>
  <c r="W331" i="3" s="1"/>
  <c r="E322" i="3"/>
  <c r="X322" i="3" s="1"/>
  <c r="E316" i="3"/>
  <c r="X316" i="3" s="1"/>
  <c r="D301" i="3"/>
  <c r="W301" i="3" s="1"/>
  <c r="D295" i="3"/>
  <c r="W295" i="3" s="1"/>
  <c r="E294" i="3"/>
  <c r="X294" i="3" s="1"/>
  <c r="D234" i="3"/>
  <c r="W234" i="3" s="1"/>
  <c r="D227" i="3"/>
  <c r="W227" i="3" s="1"/>
  <c r="Z227" i="3" s="1"/>
  <c r="D211" i="3"/>
  <c r="W211" i="3" s="1"/>
  <c r="Z211" i="3" s="1"/>
  <c r="D214" i="3"/>
  <c r="W214" i="3" s="1"/>
  <c r="E505" i="3"/>
  <c r="X505" i="3" s="1"/>
  <c r="D491" i="3"/>
  <c r="W491" i="3" s="1"/>
  <c r="E489" i="3"/>
  <c r="X489" i="3" s="1"/>
  <c r="D475" i="3"/>
  <c r="W475" i="3" s="1"/>
  <c r="E473" i="3"/>
  <c r="X473" i="3" s="1"/>
  <c r="D463" i="3"/>
  <c r="W463" i="3" s="1"/>
  <c r="D459" i="3"/>
  <c r="W459" i="3" s="1"/>
  <c r="Z459" i="3" s="1"/>
  <c r="D447" i="3"/>
  <c r="W447" i="3" s="1"/>
  <c r="D443" i="3"/>
  <c r="W443" i="3" s="1"/>
  <c r="E419" i="3"/>
  <c r="X419" i="3" s="1"/>
  <c r="D411" i="3"/>
  <c r="W411" i="3" s="1"/>
  <c r="D363" i="3"/>
  <c r="W363" i="3" s="1"/>
  <c r="E320" i="3"/>
  <c r="X320" i="3" s="1"/>
  <c r="D316" i="3"/>
  <c r="W316" i="3" s="1"/>
  <c r="E301" i="3"/>
  <c r="X301" i="3" s="1"/>
  <c r="D298" i="3"/>
  <c r="W298" i="3" s="1"/>
  <c r="E291" i="3"/>
  <c r="X291" i="3" s="1"/>
  <c r="D270" i="3"/>
  <c r="W270" i="3" s="1"/>
  <c r="E252" i="3"/>
  <c r="X252" i="3" s="1"/>
  <c r="D237" i="3"/>
  <c r="W237" i="3" s="1"/>
  <c r="AA237" i="3" s="1"/>
  <c r="E234" i="3"/>
  <c r="X234" i="3" s="1"/>
  <c r="D231" i="3"/>
  <c r="W231" i="3" s="1"/>
  <c r="E230" i="3"/>
  <c r="X230" i="3" s="1"/>
  <c r="D470" i="3"/>
  <c r="W470" i="3" s="1"/>
  <c r="E470" i="3"/>
  <c r="X470" i="3" s="1"/>
  <c r="D462" i="3"/>
  <c r="W462" i="3" s="1"/>
  <c r="E462" i="3"/>
  <c r="X462" i="3" s="1"/>
  <c r="D454" i="3"/>
  <c r="W454" i="3" s="1"/>
  <c r="E454" i="3"/>
  <c r="X454" i="3" s="1"/>
  <c r="D446" i="3"/>
  <c r="W446" i="3" s="1"/>
  <c r="E446" i="3"/>
  <c r="X446" i="3" s="1"/>
  <c r="D439" i="3"/>
  <c r="W439" i="3" s="1"/>
  <c r="E439" i="3"/>
  <c r="X439" i="3" s="1"/>
  <c r="E437" i="3"/>
  <c r="X437" i="3" s="1"/>
  <c r="D437" i="3"/>
  <c r="W437" i="3" s="1"/>
  <c r="E425" i="3"/>
  <c r="X425" i="3" s="1"/>
  <c r="D425" i="3"/>
  <c r="W425" i="3" s="1"/>
  <c r="D420" i="3"/>
  <c r="W420" i="3" s="1"/>
  <c r="E420" i="3"/>
  <c r="X420" i="3" s="1"/>
  <c r="D410" i="3"/>
  <c r="W410" i="3" s="1"/>
  <c r="E410" i="3"/>
  <c r="X410" i="3" s="1"/>
  <c r="D406" i="3"/>
  <c r="W406" i="3" s="1"/>
  <c r="E406" i="3"/>
  <c r="X406" i="3" s="1"/>
  <c r="D375" i="3"/>
  <c r="W375" i="3" s="1"/>
  <c r="E375" i="3"/>
  <c r="X375" i="3" s="1"/>
  <c r="E373" i="3"/>
  <c r="X373" i="3" s="1"/>
  <c r="D373" i="3"/>
  <c r="W373" i="3" s="1"/>
  <c r="E361" i="3"/>
  <c r="X361" i="3" s="1"/>
  <c r="D361" i="3"/>
  <c r="W361" i="3" s="1"/>
  <c r="D356" i="3"/>
  <c r="W356" i="3" s="1"/>
  <c r="E356" i="3"/>
  <c r="X356" i="3" s="1"/>
  <c r="D346" i="3"/>
  <c r="W346" i="3" s="1"/>
  <c r="E346" i="3"/>
  <c r="X346" i="3" s="1"/>
  <c r="D342" i="3"/>
  <c r="W342" i="3" s="1"/>
  <c r="E342" i="3"/>
  <c r="X342" i="3" s="1"/>
  <c r="E307" i="3"/>
  <c r="X307" i="3" s="1"/>
  <c r="D307" i="3"/>
  <c r="W307" i="3" s="1"/>
  <c r="D277" i="3"/>
  <c r="W277" i="3" s="1"/>
  <c r="E277" i="3"/>
  <c r="X277" i="3" s="1"/>
  <c r="D269" i="3"/>
  <c r="W269" i="3" s="1"/>
  <c r="E269" i="3"/>
  <c r="X269" i="3" s="1"/>
  <c r="E262" i="3"/>
  <c r="X262" i="3" s="1"/>
  <c r="D262" i="3"/>
  <c r="W262" i="3" s="1"/>
  <c r="E246" i="3"/>
  <c r="X246" i="3" s="1"/>
  <c r="D246" i="3"/>
  <c r="W246" i="3" s="1"/>
  <c r="D233" i="3"/>
  <c r="W233" i="3" s="1"/>
  <c r="E233" i="3"/>
  <c r="X233" i="3" s="1"/>
  <c r="D222" i="3"/>
  <c r="W222" i="3" s="1"/>
  <c r="E222" i="3"/>
  <c r="X222" i="3" s="1"/>
  <c r="E220" i="3"/>
  <c r="X220" i="3" s="1"/>
  <c r="D220" i="3"/>
  <c r="W220" i="3" s="1"/>
  <c r="D217" i="3"/>
  <c r="W217" i="3" s="1"/>
  <c r="E217" i="3"/>
  <c r="X217" i="3" s="1"/>
  <c r="D502" i="3"/>
  <c r="W502" i="3" s="1"/>
  <c r="E501" i="3"/>
  <c r="X501" i="3" s="1"/>
  <c r="E491" i="3"/>
  <c r="X491" i="3" s="1"/>
  <c r="D486" i="3"/>
  <c r="W486" i="3" s="1"/>
  <c r="E485" i="3"/>
  <c r="X485" i="3" s="1"/>
  <c r="E475" i="3"/>
  <c r="X475" i="3" s="1"/>
  <c r="E465" i="3"/>
  <c r="X465" i="3" s="1"/>
  <c r="AA465" i="3" s="1"/>
  <c r="E457" i="3"/>
  <c r="X457" i="3" s="1"/>
  <c r="E449" i="3"/>
  <c r="X449" i="3" s="1"/>
  <c r="E441" i="3"/>
  <c r="X441" i="3" s="1"/>
  <c r="D441" i="3"/>
  <c r="W441" i="3" s="1"/>
  <c r="D436" i="3"/>
  <c r="W436" i="3" s="1"/>
  <c r="E436" i="3"/>
  <c r="X436" i="3" s="1"/>
  <c r="D426" i="3"/>
  <c r="W426" i="3" s="1"/>
  <c r="E426" i="3"/>
  <c r="X426" i="3" s="1"/>
  <c r="D422" i="3"/>
  <c r="W422" i="3" s="1"/>
  <c r="E422" i="3"/>
  <c r="X422" i="3" s="1"/>
  <c r="D391" i="3"/>
  <c r="W391" i="3" s="1"/>
  <c r="E391" i="3"/>
  <c r="X391" i="3" s="1"/>
  <c r="E389" i="3"/>
  <c r="X389" i="3" s="1"/>
  <c r="D389" i="3"/>
  <c r="W389" i="3" s="1"/>
  <c r="E377" i="3"/>
  <c r="X377" i="3" s="1"/>
  <c r="D377" i="3"/>
  <c r="W377" i="3" s="1"/>
  <c r="D372" i="3"/>
  <c r="W372" i="3" s="1"/>
  <c r="E372" i="3"/>
  <c r="X372" i="3" s="1"/>
  <c r="D362" i="3"/>
  <c r="W362" i="3" s="1"/>
  <c r="E362" i="3"/>
  <c r="X362" i="3" s="1"/>
  <c r="D358" i="3"/>
  <c r="W358" i="3" s="1"/>
  <c r="E358" i="3"/>
  <c r="X358" i="3" s="1"/>
  <c r="D327" i="3"/>
  <c r="W327" i="3" s="1"/>
  <c r="E327" i="3"/>
  <c r="X327" i="3" s="1"/>
  <c r="E325" i="3"/>
  <c r="X325" i="3" s="1"/>
  <c r="D325" i="3"/>
  <c r="W325" i="3" s="1"/>
  <c r="E310" i="3"/>
  <c r="X310" i="3" s="1"/>
  <c r="D310" i="3"/>
  <c r="W310" i="3" s="1"/>
  <c r="D297" i="3"/>
  <c r="W297" i="3" s="1"/>
  <c r="E297" i="3"/>
  <c r="X297" i="3" s="1"/>
  <c r="D286" i="3"/>
  <c r="W286" i="3" s="1"/>
  <c r="E286" i="3"/>
  <c r="X286" i="3" s="1"/>
  <c r="E284" i="3"/>
  <c r="X284" i="3" s="1"/>
  <c r="D284" i="3"/>
  <c r="W284" i="3" s="1"/>
  <c r="D281" i="3"/>
  <c r="W281" i="3" s="1"/>
  <c r="E281" i="3"/>
  <c r="X281" i="3" s="1"/>
  <c r="D263" i="3"/>
  <c r="W263" i="3" s="1"/>
  <c r="E263" i="3"/>
  <c r="X263" i="3" s="1"/>
  <c r="D239" i="3"/>
  <c r="W239" i="3" s="1"/>
  <c r="E239" i="3"/>
  <c r="X239" i="3" s="1"/>
  <c r="E212" i="3"/>
  <c r="X212" i="3" s="1"/>
  <c r="D212" i="3"/>
  <c r="W212" i="3" s="1"/>
  <c r="D505" i="3"/>
  <c r="W505" i="3" s="1"/>
  <c r="E503" i="3"/>
  <c r="X503" i="3" s="1"/>
  <c r="E500" i="3"/>
  <c r="X500" i="3" s="1"/>
  <c r="D498" i="3"/>
  <c r="W498" i="3" s="1"/>
  <c r="E497" i="3"/>
  <c r="X497" i="3" s="1"/>
  <c r="E490" i="3"/>
  <c r="X490" i="3" s="1"/>
  <c r="D489" i="3"/>
  <c r="W489" i="3" s="1"/>
  <c r="E487" i="3"/>
  <c r="X487" i="3" s="1"/>
  <c r="E484" i="3"/>
  <c r="X484" i="3" s="1"/>
  <c r="D482" i="3"/>
  <c r="W482" i="3" s="1"/>
  <c r="E481" i="3"/>
  <c r="X481" i="3" s="1"/>
  <c r="E474" i="3"/>
  <c r="X474" i="3" s="1"/>
  <c r="D473" i="3"/>
  <c r="W473" i="3" s="1"/>
  <c r="AA473" i="3" s="1"/>
  <c r="E471" i="3"/>
  <c r="X471" i="3" s="1"/>
  <c r="D466" i="3"/>
  <c r="W466" i="3" s="1"/>
  <c r="E466" i="3"/>
  <c r="X466" i="3" s="1"/>
  <c r="D458" i="3"/>
  <c r="W458" i="3" s="1"/>
  <c r="E458" i="3"/>
  <c r="X458" i="3" s="1"/>
  <c r="D450" i="3"/>
  <c r="W450" i="3" s="1"/>
  <c r="E450" i="3"/>
  <c r="X450" i="3" s="1"/>
  <c r="D442" i="3"/>
  <c r="W442" i="3" s="1"/>
  <c r="E442" i="3"/>
  <c r="X442" i="3" s="1"/>
  <c r="D438" i="3"/>
  <c r="W438" i="3" s="1"/>
  <c r="E438" i="3"/>
  <c r="X438" i="3" s="1"/>
  <c r="D407" i="3"/>
  <c r="W407" i="3" s="1"/>
  <c r="E407" i="3"/>
  <c r="X407" i="3" s="1"/>
  <c r="E405" i="3"/>
  <c r="X405" i="3" s="1"/>
  <c r="D405" i="3"/>
  <c r="W405" i="3" s="1"/>
  <c r="E395" i="3"/>
  <c r="X395" i="3" s="1"/>
  <c r="E393" i="3"/>
  <c r="X393" i="3" s="1"/>
  <c r="D393" i="3"/>
  <c r="W393" i="3" s="1"/>
  <c r="D388" i="3"/>
  <c r="W388" i="3" s="1"/>
  <c r="E388" i="3"/>
  <c r="X388" i="3" s="1"/>
  <c r="D378" i="3"/>
  <c r="W378" i="3" s="1"/>
  <c r="E378" i="3"/>
  <c r="X378" i="3" s="1"/>
  <c r="D374" i="3"/>
  <c r="W374" i="3" s="1"/>
  <c r="E374" i="3"/>
  <c r="X374" i="3" s="1"/>
  <c r="D343" i="3"/>
  <c r="W343" i="3" s="1"/>
  <c r="E343" i="3"/>
  <c r="X343" i="3" s="1"/>
  <c r="E341" i="3"/>
  <c r="X341" i="3" s="1"/>
  <c r="D341" i="3"/>
  <c r="W341" i="3" s="1"/>
  <c r="E331" i="3"/>
  <c r="X331" i="3" s="1"/>
  <c r="E329" i="3"/>
  <c r="X329" i="3" s="1"/>
  <c r="D329" i="3"/>
  <c r="W329" i="3" s="1"/>
  <c r="D324" i="3"/>
  <c r="W324" i="3" s="1"/>
  <c r="E324" i="3"/>
  <c r="X324" i="3" s="1"/>
  <c r="D303" i="3"/>
  <c r="W303" i="3" s="1"/>
  <c r="E303" i="3"/>
  <c r="X303" i="3" s="1"/>
  <c r="E276" i="3"/>
  <c r="X276" i="3" s="1"/>
  <c r="D276" i="3"/>
  <c r="W276" i="3" s="1"/>
  <c r="D266" i="3"/>
  <c r="W266" i="3" s="1"/>
  <c r="E266" i="3"/>
  <c r="X266" i="3" s="1"/>
  <c r="D261" i="3"/>
  <c r="W261" i="3" s="1"/>
  <c r="E261" i="3"/>
  <c r="X261" i="3" s="1"/>
  <c r="E248" i="3"/>
  <c r="X248" i="3" s="1"/>
  <c r="D248" i="3"/>
  <c r="W248" i="3" s="1"/>
  <c r="E232" i="3"/>
  <c r="X232" i="3" s="1"/>
  <c r="D232" i="3"/>
  <c r="W232" i="3" s="1"/>
  <c r="E228" i="3"/>
  <c r="X228" i="3" s="1"/>
  <c r="D228" i="3"/>
  <c r="W228" i="3" s="1"/>
  <c r="D221" i="3"/>
  <c r="W221" i="3" s="1"/>
  <c r="E221" i="3"/>
  <c r="X221" i="3" s="1"/>
  <c r="D218" i="3"/>
  <c r="W218" i="3" s="1"/>
  <c r="E218" i="3"/>
  <c r="X218" i="3" s="1"/>
  <c r="E206" i="3"/>
  <c r="X206" i="3" s="1"/>
  <c r="E502" i="3"/>
  <c r="X502" i="3" s="1"/>
  <c r="D501" i="3"/>
  <c r="W501" i="3" s="1"/>
  <c r="D494" i="3"/>
  <c r="W494" i="3" s="1"/>
  <c r="E493" i="3"/>
  <c r="X493" i="3" s="1"/>
  <c r="E486" i="3"/>
  <c r="X486" i="3" s="1"/>
  <c r="D485" i="3"/>
  <c r="W485" i="3" s="1"/>
  <c r="D478" i="3"/>
  <c r="W478" i="3" s="1"/>
  <c r="E477" i="3"/>
  <c r="X477" i="3" s="1"/>
  <c r="E469" i="3"/>
  <c r="X469" i="3" s="1"/>
  <c r="E463" i="3"/>
  <c r="X463" i="3" s="1"/>
  <c r="E461" i="3"/>
  <c r="X461" i="3" s="1"/>
  <c r="E455" i="3"/>
  <c r="X455" i="3" s="1"/>
  <c r="E453" i="3"/>
  <c r="X453" i="3" s="1"/>
  <c r="E447" i="3"/>
  <c r="X447" i="3" s="1"/>
  <c r="E445" i="3"/>
  <c r="X445" i="3" s="1"/>
  <c r="D423" i="3"/>
  <c r="W423" i="3" s="1"/>
  <c r="E423" i="3"/>
  <c r="X423" i="3" s="1"/>
  <c r="E421" i="3"/>
  <c r="X421" i="3" s="1"/>
  <c r="D421" i="3"/>
  <c r="W421" i="3" s="1"/>
  <c r="D416" i="3"/>
  <c r="W416" i="3" s="1"/>
  <c r="AA416" i="3" s="1"/>
  <c r="E411" i="3"/>
  <c r="X411" i="3" s="1"/>
  <c r="E409" i="3"/>
  <c r="X409" i="3" s="1"/>
  <c r="D409" i="3"/>
  <c r="W409" i="3" s="1"/>
  <c r="D404" i="3"/>
  <c r="W404" i="3" s="1"/>
  <c r="E404" i="3"/>
  <c r="X404" i="3" s="1"/>
  <c r="D394" i="3"/>
  <c r="W394" i="3" s="1"/>
  <c r="E394" i="3"/>
  <c r="X394" i="3" s="1"/>
  <c r="D390" i="3"/>
  <c r="W390" i="3" s="1"/>
  <c r="E390" i="3"/>
  <c r="X390" i="3" s="1"/>
  <c r="D359" i="3"/>
  <c r="W359" i="3" s="1"/>
  <c r="E359" i="3"/>
  <c r="X359" i="3" s="1"/>
  <c r="E357" i="3"/>
  <c r="X357" i="3" s="1"/>
  <c r="D357" i="3"/>
  <c r="W357" i="3" s="1"/>
  <c r="D352" i="3"/>
  <c r="W352" i="3" s="1"/>
  <c r="E347" i="3"/>
  <c r="X347" i="3" s="1"/>
  <c r="Z347" i="3" s="1"/>
  <c r="E345" i="3"/>
  <c r="X345" i="3" s="1"/>
  <c r="D345" i="3"/>
  <c r="W345" i="3" s="1"/>
  <c r="D340" i="3"/>
  <c r="W340" i="3" s="1"/>
  <c r="E340" i="3"/>
  <c r="X340" i="3" s="1"/>
  <c r="D330" i="3"/>
  <c r="W330" i="3" s="1"/>
  <c r="E330" i="3"/>
  <c r="X330" i="3" s="1"/>
  <c r="D326" i="3"/>
  <c r="W326" i="3" s="1"/>
  <c r="E326" i="3"/>
  <c r="X326" i="3" s="1"/>
  <c r="E312" i="3"/>
  <c r="X312" i="3" s="1"/>
  <c r="D312" i="3"/>
  <c r="W312" i="3" s="1"/>
  <c r="E296" i="3"/>
  <c r="X296" i="3" s="1"/>
  <c r="D296" i="3"/>
  <c r="W296" i="3" s="1"/>
  <c r="E292" i="3"/>
  <c r="X292" i="3" s="1"/>
  <c r="D292" i="3"/>
  <c r="W292" i="3" s="1"/>
  <c r="D285" i="3"/>
  <c r="W285" i="3" s="1"/>
  <c r="E285" i="3"/>
  <c r="X285" i="3" s="1"/>
  <c r="D282" i="3"/>
  <c r="W282" i="3" s="1"/>
  <c r="E282" i="3"/>
  <c r="X282" i="3" s="1"/>
  <c r="E270" i="3"/>
  <c r="X270" i="3" s="1"/>
  <c r="E268" i="3"/>
  <c r="X268" i="3" s="1"/>
  <c r="D268" i="3"/>
  <c r="W268" i="3" s="1"/>
  <c r="D255" i="3"/>
  <c r="W255" i="3" s="1"/>
  <c r="E243" i="3"/>
  <c r="X243" i="3" s="1"/>
  <c r="D243" i="3"/>
  <c r="W243" i="3" s="1"/>
  <c r="D213" i="3"/>
  <c r="W213" i="3" s="1"/>
  <c r="E213" i="3"/>
  <c r="X213" i="3" s="1"/>
  <c r="D434" i="3"/>
  <c r="W434" i="3" s="1"/>
  <c r="E433" i="3"/>
  <c r="X433" i="3" s="1"/>
  <c r="D418" i="3"/>
  <c r="W418" i="3" s="1"/>
  <c r="AA418" i="3" s="1"/>
  <c r="E417" i="3"/>
  <c r="X417" i="3" s="1"/>
  <c r="D402" i="3"/>
  <c r="W402" i="3" s="1"/>
  <c r="AA402" i="3" s="1"/>
  <c r="E401" i="3"/>
  <c r="X401" i="3" s="1"/>
  <c r="AA401" i="3" s="1"/>
  <c r="D386" i="3"/>
  <c r="W386" i="3" s="1"/>
  <c r="AA386" i="3" s="1"/>
  <c r="E385" i="3"/>
  <c r="X385" i="3" s="1"/>
  <c r="D370" i="3"/>
  <c r="W370" i="3" s="1"/>
  <c r="E369" i="3"/>
  <c r="X369" i="3" s="1"/>
  <c r="D354" i="3"/>
  <c r="W354" i="3" s="1"/>
  <c r="AA354" i="3" s="1"/>
  <c r="E353" i="3"/>
  <c r="X353" i="3" s="1"/>
  <c r="D338" i="3"/>
  <c r="W338" i="3" s="1"/>
  <c r="AA338" i="3" s="1"/>
  <c r="E337" i="3"/>
  <c r="X337" i="3" s="1"/>
  <c r="D322" i="3"/>
  <c r="W322" i="3" s="1"/>
  <c r="AA322" i="3" s="1"/>
  <c r="E321" i="3"/>
  <c r="X321" i="3" s="1"/>
  <c r="D313" i="3"/>
  <c r="W313" i="3" s="1"/>
  <c r="E313" i="3"/>
  <c r="X313" i="3" s="1"/>
  <c r="E308" i="3"/>
  <c r="X308" i="3" s="1"/>
  <c r="D293" i="3"/>
  <c r="W293" i="3" s="1"/>
  <c r="E264" i="3"/>
  <c r="X264" i="3" s="1"/>
  <c r="D264" i="3"/>
  <c r="W264" i="3" s="1"/>
  <c r="D249" i="3"/>
  <c r="W249" i="3" s="1"/>
  <c r="E249" i="3"/>
  <c r="X249" i="3" s="1"/>
  <c r="E244" i="3"/>
  <c r="X244" i="3" s="1"/>
  <c r="D229" i="3"/>
  <c r="W229" i="3" s="1"/>
  <c r="D430" i="3"/>
  <c r="W430" i="3" s="1"/>
  <c r="E429" i="3"/>
  <c r="X429" i="3" s="1"/>
  <c r="D414" i="3"/>
  <c r="W414" i="3" s="1"/>
  <c r="E413" i="3"/>
  <c r="X413" i="3" s="1"/>
  <c r="D398" i="3"/>
  <c r="W398" i="3" s="1"/>
  <c r="E397" i="3"/>
  <c r="X397" i="3" s="1"/>
  <c r="D382" i="3"/>
  <c r="W382" i="3" s="1"/>
  <c r="E381" i="3"/>
  <c r="X381" i="3" s="1"/>
  <c r="D366" i="3"/>
  <c r="W366" i="3" s="1"/>
  <c r="E365" i="3"/>
  <c r="X365" i="3" s="1"/>
  <c r="D350" i="3"/>
  <c r="W350" i="3" s="1"/>
  <c r="E349" i="3"/>
  <c r="X349" i="3" s="1"/>
  <c r="D334" i="3"/>
  <c r="W334" i="3" s="1"/>
  <c r="AA334" i="3" s="1"/>
  <c r="E333" i="3"/>
  <c r="X333" i="3" s="1"/>
  <c r="D309" i="3"/>
  <c r="W309" i="3" s="1"/>
  <c r="AA309" i="3" s="1"/>
  <c r="E280" i="3"/>
  <c r="X280" i="3" s="1"/>
  <c r="D280" i="3"/>
  <c r="W280" i="3" s="1"/>
  <c r="D265" i="3"/>
  <c r="W265" i="3" s="1"/>
  <c r="E265" i="3"/>
  <c r="X265" i="3" s="1"/>
  <c r="E260" i="3"/>
  <c r="X260" i="3" s="1"/>
  <c r="D245" i="3"/>
  <c r="W245" i="3" s="1"/>
  <c r="E216" i="3"/>
  <c r="X216" i="3" s="1"/>
  <c r="D216" i="3"/>
  <c r="W216" i="3" s="1"/>
  <c r="D305" i="3"/>
  <c r="W305" i="3" s="1"/>
  <c r="E304" i="3"/>
  <c r="X304" i="3" s="1"/>
  <c r="D289" i="3"/>
  <c r="W289" i="3" s="1"/>
  <c r="AA289" i="3" s="1"/>
  <c r="E288" i="3"/>
  <c r="X288" i="3" s="1"/>
  <c r="D273" i="3"/>
  <c r="W273" i="3" s="1"/>
  <c r="AA273" i="3" s="1"/>
  <c r="E272" i="3"/>
  <c r="X272" i="3" s="1"/>
  <c r="D257" i="3"/>
  <c r="W257" i="3" s="1"/>
  <c r="E256" i="3"/>
  <c r="X256" i="3" s="1"/>
  <c r="D241" i="3"/>
  <c r="W241" i="3" s="1"/>
  <c r="E240" i="3"/>
  <c r="X240" i="3" s="1"/>
  <c r="D225" i="3"/>
  <c r="W225" i="3" s="1"/>
  <c r="E224" i="3"/>
  <c r="X224" i="3" s="1"/>
  <c r="D209" i="3"/>
  <c r="W209" i="3" s="1"/>
  <c r="Z209" i="3" s="1"/>
  <c r="E208" i="3"/>
  <c r="X208" i="3" s="1"/>
  <c r="E617" i="2"/>
  <c r="E585" i="2"/>
  <c r="E563" i="2"/>
  <c r="E555" i="2"/>
  <c r="E554" i="2"/>
  <c r="E551" i="2"/>
  <c r="E550" i="2"/>
  <c r="E539" i="2"/>
  <c r="E531" i="2"/>
  <c r="E511" i="2"/>
  <c r="E461" i="2"/>
  <c r="E443" i="2"/>
  <c r="E404" i="2"/>
  <c r="E403" i="2"/>
  <c r="E400" i="2"/>
  <c r="E397" i="2"/>
  <c r="E393" i="2"/>
  <c r="E389" i="2"/>
  <c r="E385" i="2"/>
  <c r="E383" i="2"/>
  <c r="E675" i="2"/>
  <c r="E673" i="2"/>
  <c r="E667" i="2"/>
  <c r="E665" i="2"/>
  <c r="E659" i="2"/>
  <c r="E657" i="2"/>
  <c r="E651" i="2"/>
  <c r="E649" i="2"/>
  <c r="E643" i="2"/>
  <c r="E641" i="2"/>
  <c r="E635" i="2"/>
  <c r="E633" i="2"/>
  <c r="E627" i="2"/>
  <c r="E625" i="2"/>
  <c r="E623" i="2"/>
  <c r="E505" i="2"/>
  <c r="E615" i="2"/>
  <c r="E593" i="2"/>
  <c r="E591" i="2"/>
  <c r="E503" i="2"/>
  <c r="E471" i="2"/>
  <c r="E465" i="2"/>
  <c r="E583" i="2"/>
  <c r="E441" i="2"/>
  <c r="E437" i="2"/>
  <c r="E431" i="2"/>
  <c r="E429" i="2"/>
  <c r="E427" i="2"/>
  <c r="E425" i="2"/>
  <c r="E423" i="2"/>
  <c r="E421" i="2"/>
  <c r="E419" i="2"/>
  <c r="E417" i="2"/>
  <c r="E415" i="2"/>
  <c r="E413" i="2"/>
  <c r="E411" i="2"/>
  <c r="E409" i="2"/>
  <c r="E406" i="2"/>
  <c r="E685" i="2"/>
  <c r="E680" i="2"/>
  <c r="E679" i="2"/>
  <c r="E609" i="2"/>
  <c r="E608" i="2"/>
  <c r="E605" i="2"/>
  <c r="E604" i="2"/>
  <c r="E601" i="2"/>
  <c r="E600" i="2"/>
  <c r="E597" i="2"/>
  <c r="E596" i="2"/>
  <c r="E595" i="2"/>
  <c r="E523" i="2"/>
  <c r="E522" i="2"/>
  <c r="E519" i="2"/>
  <c r="E518" i="2"/>
  <c r="E517" i="2"/>
  <c r="E516" i="2"/>
  <c r="E515" i="2"/>
  <c r="E457" i="2"/>
  <c r="E456" i="2"/>
  <c r="E454" i="2"/>
  <c r="E453" i="2"/>
  <c r="E452" i="2"/>
  <c r="E577" i="2"/>
  <c r="E576" i="2"/>
  <c r="E573" i="2"/>
  <c r="E569" i="2"/>
  <c r="E500" i="2"/>
  <c r="E496" i="2"/>
  <c r="E676" i="2"/>
  <c r="E670" i="2"/>
  <c r="E668" i="2"/>
  <c r="E662" i="2"/>
  <c r="E660" i="2"/>
  <c r="E654" i="2"/>
  <c r="E652" i="2"/>
  <c r="E646" i="2"/>
  <c r="E644" i="2"/>
  <c r="E638" i="2"/>
  <c r="E636" i="2"/>
  <c r="E630" i="2"/>
  <c r="E628" i="2"/>
  <c r="E599" i="2"/>
  <c r="E547" i="2"/>
  <c r="E546" i="2"/>
  <c r="E543" i="2"/>
  <c r="E542" i="2"/>
  <c r="E469" i="2"/>
  <c r="E468" i="2"/>
  <c r="E467" i="2"/>
  <c r="E380" i="2"/>
  <c r="E378" i="2"/>
  <c r="E376" i="2"/>
  <c r="E374" i="2"/>
  <c r="E372" i="2"/>
  <c r="E370" i="2"/>
  <c r="E368" i="2"/>
  <c r="E366" i="2"/>
  <c r="E364" i="2"/>
  <c r="E513" i="2"/>
  <c r="E449" i="2"/>
  <c r="E447" i="2"/>
  <c r="E446" i="2"/>
  <c r="E621" i="2"/>
  <c r="E620" i="2"/>
  <c r="E592" i="2"/>
  <c r="E589" i="2"/>
  <c r="E588" i="2"/>
  <c r="E567" i="2"/>
  <c r="E566" i="2"/>
  <c r="E538" i="2"/>
  <c r="E535" i="2"/>
  <c r="E534" i="2"/>
  <c r="E510" i="2"/>
  <c r="E507" i="2"/>
  <c r="E506" i="2"/>
  <c r="E464" i="2"/>
  <c r="E463" i="2"/>
  <c r="E442" i="2"/>
  <c r="E440" i="2"/>
  <c r="E439" i="2"/>
  <c r="E438" i="2"/>
  <c r="E436" i="2"/>
  <c r="E435" i="2"/>
  <c r="E434" i="2"/>
  <c r="E684" i="2"/>
  <c r="E616" i="2"/>
  <c r="E613" i="2"/>
  <c r="E612" i="2"/>
  <c r="E611" i="2"/>
  <c r="E607" i="2"/>
  <c r="E584" i="2"/>
  <c r="E581" i="2"/>
  <c r="E580" i="2"/>
  <c r="E579" i="2"/>
  <c r="E575" i="2"/>
  <c r="E562" i="2"/>
  <c r="E559" i="2"/>
  <c r="E558" i="2"/>
  <c r="E530" i="2"/>
  <c r="E527" i="2"/>
  <c r="E526" i="2"/>
  <c r="E521" i="2"/>
  <c r="E502" i="2"/>
  <c r="E501" i="2"/>
  <c r="E499" i="2"/>
  <c r="E497" i="2"/>
  <c r="E493" i="2"/>
  <c r="E485" i="2"/>
  <c r="E484" i="2"/>
  <c r="E483" i="2"/>
  <c r="E482" i="2"/>
  <c r="E481" i="2"/>
  <c r="E477" i="2"/>
  <c r="E476" i="2"/>
  <c r="E475" i="2"/>
  <c r="E474" i="2"/>
  <c r="E473" i="2"/>
  <c r="E460" i="2"/>
  <c r="E459" i="2"/>
  <c r="E455" i="2"/>
  <c r="E451" i="2"/>
  <c r="E398" i="2"/>
  <c r="E394" i="2"/>
  <c r="E392" i="2"/>
  <c r="E390" i="2"/>
  <c r="E386" i="2"/>
  <c r="E384" i="2"/>
  <c r="E619" i="2"/>
  <c r="E587" i="2"/>
  <c r="E603" i="2"/>
  <c r="E571" i="2"/>
  <c r="E362" i="2"/>
  <c r="E361" i="2"/>
  <c r="E360" i="2"/>
  <c r="E359" i="2"/>
  <c r="E358" i="2"/>
  <c r="E357" i="2"/>
  <c r="E687" i="2"/>
  <c r="E686" i="2"/>
  <c r="E678" i="2"/>
  <c r="E677" i="2"/>
  <c r="E666" i="2"/>
  <c r="E664" i="2"/>
  <c r="E663" i="2"/>
  <c r="E661" i="2"/>
  <c r="E650" i="2"/>
  <c r="E648" i="2"/>
  <c r="E647" i="2"/>
  <c r="E645" i="2"/>
  <c r="E634" i="2"/>
  <c r="E632" i="2"/>
  <c r="E631" i="2"/>
  <c r="E629" i="2"/>
  <c r="E618" i="2"/>
  <c r="E610" i="2"/>
  <c r="E602" i="2"/>
  <c r="E594" i="2"/>
  <c r="E586" i="2"/>
  <c r="E578" i="2"/>
  <c r="E564" i="2"/>
  <c r="E561" i="2"/>
  <c r="E556" i="2"/>
  <c r="E553" i="2"/>
  <c r="E548" i="2"/>
  <c r="E545" i="2"/>
  <c r="E540" i="2"/>
  <c r="E537" i="2"/>
  <c r="E532" i="2"/>
  <c r="E529" i="2"/>
  <c r="E524" i="2"/>
  <c r="E514" i="2"/>
  <c r="E472" i="2"/>
  <c r="E466" i="2"/>
  <c r="E462" i="2"/>
  <c r="E458" i="2"/>
  <c r="E445" i="2"/>
  <c r="E444" i="2"/>
  <c r="E433" i="2"/>
  <c r="E396" i="2"/>
  <c r="E388" i="2"/>
  <c r="E683" i="2"/>
  <c r="E682" i="2"/>
  <c r="E681" i="2"/>
  <c r="E674" i="2"/>
  <c r="E672" i="2"/>
  <c r="E671" i="2"/>
  <c r="E669" i="2"/>
  <c r="E658" i="2"/>
  <c r="E656" i="2"/>
  <c r="E655" i="2"/>
  <c r="E653" i="2"/>
  <c r="E642" i="2"/>
  <c r="E640" i="2"/>
  <c r="E639" i="2"/>
  <c r="E637" i="2"/>
  <c r="E626" i="2"/>
  <c r="E624" i="2"/>
  <c r="E622" i="2"/>
  <c r="E614" i="2"/>
  <c r="E606" i="2"/>
  <c r="E598" i="2"/>
  <c r="E590" i="2"/>
  <c r="E582" i="2"/>
  <c r="E574" i="2"/>
  <c r="E509" i="2"/>
  <c r="E508" i="2"/>
  <c r="E498" i="2"/>
  <c r="E492" i="2"/>
  <c r="E491" i="2"/>
  <c r="E490" i="2"/>
  <c r="E489" i="2"/>
  <c r="E450" i="2"/>
  <c r="E402" i="2"/>
  <c r="E432" i="2"/>
  <c r="E430" i="2"/>
  <c r="E428" i="2"/>
  <c r="E426" i="2"/>
  <c r="E424" i="2"/>
  <c r="E422" i="2"/>
  <c r="E420" i="2"/>
  <c r="E418" i="2"/>
  <c r="E416" i="2"/>
  <c r="E414" i="2"/>
  <c r="E412" i="2"/>
  <c r="E410" i="2"/>
  <c r="E408" i="2"/>
  <c r="E407" i="2"/>
  <c r="E401" i="2"/>
  <c r="E395" i="2"/>
  <c r="E387" i="2"/>
  <c r="E381" i="2"/>
  <c r="E379" i="2"/>
  <c r="E377" i="2"/>
  <c r="E375" i="2"/>
  <c r="E373" i="2"/>
  <c r="E371" i="2"/>
  <c r="E369" i="2"/>
  <c r="E367" i="2"/>
  <c r="E365" i="2"/>
  <c r="E565" i="2"/>
  <c r="E560" i="2"/>
  <c r="E557" i="2"/>
  <c r="E552" i="2"/>
  <c r="E549" i="2"/>
  <c r="E544" i="2"/>
  <c r="E541" i="2"/>
  <c r="E536" i="2"/>
  <c r="E533" i="2"/>
  <c r="E528" i="2"/>
  <c r="E525" i="2"/>
  <c r="E520" i="2"/>
  <c r="E512" i="2"/>
  <c r="E504" i="2"/>
  <c r="E495" i="2"/>
  <c r="E494" i="2"/>
  <c r="E488" i="2"/>
  <c r="E487" i="2"/>
  <c r="E486" i="2"/>
  <c r="E480" i="2"/>
  <c r="E479" i="2"/>
  <c r="E478" i="2"/>
  <c r="E470" i="2"/>
  <c r="E448" i="2"/>
  <c r="E405" i="2"/>
  <c r="E399" i="2"/>
  <c r="E391" i="2"/>
  <c r="E382" i="2"/>
  <c r="E354" i="2"/>
  <c r="E353" i="2"/>
  <c r="E352" i="2"/>
  <c r="E351" i="2"/>
  <c r="E350" i="2"/>
  <c r="E572" i="2"/>
  <c r="E570" i="2"/>
  <c r="E568" i="2"/>
  <c r="E363" i="2"/>
  <c r="E356" i="2"/>
  <c r="E355" i="2"/>
  <c r="A4" i="5"/>
  <c r="AA482" i="3" l="1"/>
  <c r="Z350" i="3"/>
  <c r="Z319" i="3"/>
  <c r="AA225" i="3"/>
  <c r="AA328" i="3"/>
  <c r="Z241" i="3"/>
  <c r="AA305" i="3"/>
  <c r="AA467" i="3"/>
  <c r="AA280" i="3"/>
  <c r="AA268" i="3"/>
  <c r="Z295" i="3"/>
  <c r="AA348" i="3"/>
  <c r="AA275" i="3"/>
  <c r="Z336" i="3"/>
  <c r="Z278" i="3"/>
  <c r="Z434" i="3"/>
  <c r="Z490" i="3"/>
  <c r="AA410" i="3"/>
  <c r="AA439" i="3"/>
  <c r="AA394" i="3"/>
  <c r="AA450" i="3"/>
  <c r="Z330" i="3"/>
  <c r="AA458" i="3"/>
  <c r="AA281" i="3"/>
  <c r="AA362" i="3"/>
  <c r="AA216" i="3"/>
  <c r="AA323" i="3"/>
  <c r="AA290" i="3"/>
  <c r="Z220" i="3"/>
  <c r="Z262" i="3"/>
  <c r="Z331" i="3"/>
  <c r="Z419" i="3"/>
  <c r="Z339" i="3"/>
  <c r="AA267" i="3"/>
  <c r="AA228" i="3"/>
  <c r="AA329" i="3"/>
  <c r="AA297" i="3"/>
  <c r="Z436" i="3"/>
  <c r="AA425" i="3"/>
  <c r="AA474" i="3"/>
  <c r="AA294" i="3"/>
  <c r="AA210" i="3"/>
  <c r="Z313" i="3"/>
  <c r="Z466" i="3"/>
  <c r="Z443" i="3"/>
  <c r="AA381" i="3"/>
  <c r="Z427" i="3"/>
  <c r="Z312" i="3"/>
  <c r="AA345" i="3"/>
  <c r="AA377" i="3"/>
  <c r="AA298" i="3"/>
  <c r="Z315" i="3"/>
  <c r="Z379" i="3"/>
  <c r="Z360" i="3"/>
  <c r="AA361" i="3"/>
  <c r="AA490" i="3"/>
  <c r="Z387" i="3"/>
  <c r="Z465" i="3"/>
  <c r="AA249" i="3"/>
  <c r="Z213" i="3"/>
  <c r="Z221" i="3"/>
  <c r="AA324" i="3"/>
  <c r="Z442" i="3"/>
  <c r="AA239" i="3"/>
  <c r="Z327" i="3"/>
  <c r="AA426" i="3"/>
  <c r="Z224" i="3"/>
  <c r="Z244" i="3"/>
  <c r="AA384" i="3"/>
  <c r="AA461" i="3"/>
  <c r="AA206" i="3"/>
  <c r="AA481" i="3"/>
  <c r="AA449" i="3"/>
  <c r="Z374" i="3"/>
  <c r="AA498" i="3"/>
  <c r="AA389" i="3"/>
  <c r="AA337" i="3"/>
  <c r="AA311" i="3"/>
  <c r="Z267" i="3"/>
  <c r="AA448" i="3"/>
  <c r="AA417" i="3"/>
  <c r="AA251" i="3"/>
  <c r="AA314" i="3"/>
  <c r="AA259" i="3"/>
  <c r="Z504" i="3"/>
  <c r="Z236" i="3"/>
  <c r="Z410" i="3"/>
  <c r="AB410" i="3" s="1"/>
  <c r="AA266" i="3"/>
  <c r="AA431" i="3"/>
  <c r="Z428" i="3"/>
  <c r="Z403" i="3"/>
  <c r="AA497" i="3"/>
  <c r="Z332" i="3"/>
  <c r="AA496" i="3"/>
  <c r="AB496" i="3" s="1"/>
  <c r="AA232" i="3"/>
  <c r="AA276" i="3"/>
  <c r="AA310" i="3"/>
  <c r="AA441" i="3"/>
  <c r="Z269" i="3"/>
  <c r="AA346" i="3"/>
  <c r="AA363" i="3"/>
  <c r="Z475" i="3"/>
  <c r="Z435" i="3"/>
  <c r="AA480" i="3"/>
  <c r="Z247" i="3"/>
  <c r="AA432" i="3"/>
  <c r="Z242" i="3"/>
  <c r="Z226" i="3"/>
  <c r="Z290" i="3"/>
  <c r="AA411" i="3"/>
  <c r="AA353" i="3"/>
  <c r="AA288" i="3"/>
  <c r="Z207" i="3"/>
  <c r="Z296" i="3"/>
  <c r="AA409" i="3"/>
  <c r="AA212" i="3"/>
  <c r="AA325" i="3"/>
  <c r="Z233" i="3"/>
  <c r="Z277" i="3"/>
  <c r="Z270" i="3"/>
  <c r="AA491" i="3"/>
  <c r="Z371" i="3"/>
  <c r="Z487" i="3"/>
  <c r="AA369" i="3"/>
  <c r="Z440" i="3"/>
  <c r="Z488" i="3"/>
  <c r="AA385" i="3"/>
  <c r="AA483" i="3"/>
  <c r="Z271" i="3"/>
  <c r="Z317" i="3"/>
  <c r="AA355" i="3"/>
  <c r="AB355" i="3" s="1"/>
  <c r="AA464" i="3"/>
  <c r="AA264" i="3"/>
  <c r="Z264" i="3"/>
  <c r="Z243" i="3"/>
  <c r="AA243" i="3"/>
  <c r="AA421" i="3"/>
  <c r="Z421" i="3"/>
  <c r="Z494" i="3"/>
  <c r="AA494" i="3"/>
  <c r="AA405" i="3"/>
  <c r="Z405" i="3"/>
  <c r="Z342" i="3"/>
  <c r="AA342" i="3"/>
  <c r="AA420" i="3"/>
  <c r="Z420" i="3"/>
  <c r="AA446" i="3"/>
  <c r="Z446" i="3"/>
  <c r="AA231" i="3"/>
  <c r="Z231" i="3"/>
  <c r="Z316" i="3"/>
  <c r="AA316" i="3"/>
  <c r="AA463" i="3"/>
  <c r="Z463" i="3"/>
  <c r="Z455" i="3"/>
  <c r="AA455" i="3"/>
  <c r="AA208" i="3"/>
  <c r="AA272" i="3"/>
  <c r="Z272" i="3"/>
  <c r="AA320" i="3"/>
  <c r="AA469" i="3"/>
  <c r="Z469" i="3"/>
  <c r="Z368" i="3"/>
  <c r="Z364" i="3"/>
  <c r="AA364" i="3"/>
  <c r="AA258" i="3"/>
  <c r="Z258" i="3"/>
  <c r="Z219" i="3"/>
  <c r="AA219" i="3"/>
  <c r="AA283" i="3"/>
  <c r="Z491" i="3"/>
  <c r="Z363" i="3"/>
  <c r="Z426" i="3"/>
  <c r="Z346" i="3"/>
  <c r="Z337" i="3"/>
  <c r="AA440" i="3"/>
  <c r="Z289" i="3"/>
  <c r="AB289" i="3" s="1"/>
  <c r="Z338" i="3"/>
  <c r="Z425" i="3"/>
  <c r="AA313" i="3"/>
  <c r="AB313" i="3" s="1"/>
  <c r="Z401" i="3"/>
  <c r="AB401" i="3" s="1"/>
  <c r="Z249" i="3"/>
  <c r="Z314" i="3"/>
  <c r="Z481" i="3"/>
  <c r="AB481" i="3" s="1"/>
  <c r="Z334" i="3"/>
  <c r="AB334" i="3" s="1"/>
  <c r="AA504" i="3"/>
  <c r="Z225" i="3"/>
  <c r="AA488" i="3"/>
  <c r="AA319" i="3"/>
  <c r="AB319" i="3" s="1"/>
  <c r="Z464" i="3"/>
  <c r="Z237" i="3"/>
  <c r="AB237" i="3" s="1"/>
  <c r="AA374" i="3"/>
  <c r="Z216" i="3"/>
  <c r="AA350" i="3"/>
  <c r="AB350" i="3" s="1"/>
  <c r="AA414" i="3"/>
  <c r="Z414" i="3"/>
  <c r="Z285" i="3"/>
  <c r="AA285" i="3"/>
  <c r="Z326" i="3"/>
  <c r="AA326" i="3"/>
  <c r="AA352" i="3"/>
  <c r="Z352" i="3"/>
  <c r="Z501" i="3"/>
  <c r="AA501" i="3"/>
  <c r="AA263" i="3"/>
  <c r="Z263" i="3"/>
  <c r="Z358" i="3"/>
  <c r="AA358" i="3"/>
  <c r="AA486" i="3"/>
  <c r="Z486" i="3"/>
  <c r="AA234" i="3"/>
  <c r="Z234" i="3"/>
  <c r="Z238" i="3"/>
  <c r="AA238" i="3"/>
  <c r="Z476" i="3"/>
  <c r="AA476" i="3"/>
  <c r="Z304" i="3"/>
  <c r="Z396" i="3"/>
  <c r="AA396" i="3"/>
  <c r="AA400" i="3"/>
  <c r="Z400" i="3"/>
  <c r="Z260" i="3"/>
  <c r="AA260" i="3"/>
  <c r="AA240" i="3"/>
  <c r="Z240" i="3"/>
  <c r="AA291" i="3"/>
  <c r="Z291" i="3"/>
  <c r="AA235" i="3"/>
  <c r="Z235" i="3"/>
  <c r="Z483" i="3"/>
  <c r="Z482" i="3"/>
  <c r="AB482" i="3" s="1"/>
  <c r="Z418" i="3"/>
  <c r="AB418" i="3" s="1"/>
  <c r="Z328" i="3"/>
  <c r="AB328" i="3" s="1"/>
  <c r="AA304" i="3"/>
  <c r="Z497" i="3"/>
  <c r="AA347" i="3"/>
  <c r="AB347" i="3" s="1"/>
  <c r="AA332" i="3"/>
  <c r="AB332" i="3" s="1"/>
  <c r="Z311" i="3"/>
  <c r="AB311" i="3" s="1"/>
  <c r="AA475" i="3"/>
  <c r="AB475" i="3" s="1"/>
  <c r="AA315" i="3"/>
  <c r="Z448" i="3"/>
  <c r="Z232" i="3"/>
  <c r="Z439" i="3"/>
  <c r="AB439" i="3" s="1"/>
  <c r="AA207" i="3"/>
  <c r="AB207" i="3" s="1"/>
  <c r="Z265" i="3"/>
  <c r="AA293" i="3"/>
  <c r="Z293" i="3"/>
  <c r="AA255" i="3"/>
  <c r="Z255" i="3"/>
  <c r="Z292" i="3"/>
  <c r="AA292" i="3"/>
  <c r="Z357" i="3"/>
  <c r="AA357" i="3"/>
  <c r="AA378" i="3"/>
  <c r="Z378" i="3"/>
  <c r="AB378" i="3" s="1"/>
  <c r="AA222" i="3"/>
  <c r="AA269" i="3"/>
  <c r="AA375" i="3"/>
  <c r="Z375" i="3"/>
  <c r="Z454" i="3"/>
  <c r="AA454" i="3"/>
  <c r="Z471" i="3"/>
  <c r="AA471" i="3"/>
  <c r="AB471" i="3" s="1"/>
  <c r="AA279" i="3"/>
  <c r="Z279" i="3"/>
  <c r="AA479" i="3"/>
  <c r="Z479" i="3"/>
  <c r="AA230" i="3"/>
  <c r="Z230" i="3"/>
  <c r="Z250" i="3"/>
  <c r="AA452" i="3"/>
  <c r="Z452" i="3"/>
  <c r="Z432" i="3"/>
  <c r="Z412" i="3"/>
  <c r="AA412" i="3"/>
  <c r="AA395" i="3"/>
  <c r="Z349" i="3"/>
  <c r="Z411" i="3"/>
  <c r="AB411" i="3" s="1"/>
  <c r="Z474" i="3"/>
  <c r="Z320" i="3"/>
  <c r="Z281" i="3"/>
  <c r="AA424" i="3"/>
  <c r="AB424" i="3" s="1"/>
  <c r="Z276" i="3"/>
  <c r="Z275" i="3"/>
  <c r="Z385" i="3"/>
  <c r="Z369" i="3"/>
  <c r="Z305" i="3"/>
  <c r="AB305" i="3" s="1"/>
  <c r="Z228" i="3"/>
  <c r="AB228" i="3" s="1"/>
  <c r="AA250" i="3"/>
  <c r="Z251" i="3"/>
  <c r="Z212" i="3"/>
  <c r="Z266" i="3"/>
  <c r="AA295" i="3"/>
  <c r="AB295" i="3" s="1"/>
  <c r="Z325" i="3"/>
  <c r="AA265" i="3"/>
  <c r="Z310" i="3"/>
  <c r="AA459" i="3"/>
  <c r="AB459" i="3" s="1"/>
  <c r="AA443" i="3"/>
  <c r="AA209" i="3"/>
  <c r="AB209" i="3" s="1"/>
  <c r="Z206" i="3"/>
  <c r="AA349" i="3"/>
  <c r="AB349" i="3" s="1"/>
  <c r="Z294" i="3"/>
  <c r="AA366" i="3"/>
  <c r="Z366" i="3"/>
  <c r="AA430" i="3"/>
  <c r="Z430" i="3"/>
  <c r="Z404" i="3"/>
  <c r="AA404" i="3"/>
  <c r="AA423" i="3"/>
  <c r="Z423" i="3"/>
  <c r="Z341" i="3"/>
  <c r="AA341" i="3"/>
  <c r="Z407" i="3"/>
  <c r="AA407" i="3"/>
  <c r="AA505" i="3"/>
  <c r="Z505" i="3"/>
  <c r="AA391" i="3"/>
  <c r="Z391" i="3"/>
  <c r="AA437" i="3"/>
  <c r="Z437" i="3"/>
  <c r="AA252" i="3"/>
  <c r="Z252" i="3"/>
  <c r="AA308" i="3"/>
  <c r="Z308" i="3"/>
  <c r="AA383" i="3"/>
  <c r="Z383" i="3"/>
  <c r="AA477" i="3"/>
  <c r="Z477" i="3"/>
  <c r="AA445" i="3"/>
  <c r="Z445" i="3"/>
  <c r="AA399" i="3"/>
  <c r="Z399" i="3"/>
  <c r="AA453" i="3"/>
  <c r="Z453" i="3"/>
  <c r="AA333" i="3"/>
  <c r="Z333" i="3"/>
  <c r="Z467" i="3"/>
  <c r="Z402" i="3"/>
  <c r="AB402" i="3" s="1"/>
  <c r="Z268" i="3"/>
  <c r="AB268" i="3" s="1"/>
  <c r="Z306" i="3"/>
  <c r="AB306" i="3" s="1"/>
  <c r="AA368" i="3"/>
  <c r="Z309" i="3"/>
  <c r="AB309" i="3" s="1"/>
  <c r="AA442" i="3"/>
  <c r="AB442" i="3" s="1"/>
  <c r="AA236" i="3"/>
  <c r="AA435" i="3"/>
  <c r="Z431" i="3"/>
  <c r="AA229" i="3"/>
  <c r="Z229" i="3"/>
  <c r="AA478" i="3"/>
  <c r="Z478" i="3"/>
  <c r="AA248" i="3"/>
  <c r="Z248" i="3"/>
  <c r="Z388" i="3"/>
  <c r="AA388" i="3"/>
  <c r="AA284" i="3"/>
  <c r="Z284" i="3"/>
  <c r="Z502" i="3"/>
  <c r="AA502" i="3"/>
  <c r="AA233" i="3"/>
  <c r="AB233" i="3" s="1"/>
  <c r="AA277" i="3"/>
  <c r="AA356" i="3"/>
  <c r="Z356" i="3"/>
  <c r="AA406" i="3"/>
  <c r="Z406" i="3"/>
  <c r="AA462" i="3"/>
  <c r="Z462" i="3"/>
  <c r="AA301" i="3"/>
  <c r="Z301" i="3"/>
  <c r="AA487" i="3"/>
  <c r="Z351" i="3"/>
  <c r="AA351" i="3"/>
  <c r="Z444" i="3"/>
  <c r="AA321" i="3"/>
  <c r="Z321" i="3"/>
  <c r="AA271" i="3"/>
  <c r="AA317" i="3"/>
  <c r="AB317" i="3" s="1"/>
  <c r="AA408" i="3"/>
  <c r="Z408" i="3"/>
  <c r="AA429" i="3"/>
  <c r="Z429" i="3"/>
  <c r="AA344" i="3"/>
  <c r="AA460" i="3"/>
  <c r="Z460" i="3"/>
  <c r="AA335" i="3"/>
  <c r="Z335" i="3"/>
  <c r="AA484" i="3"/>
  <c r="Z484" i="3"/>
  <c r="Z395" i="3"/>
  <c r="Z458" i="3"/>
  <c r="Z394" i="3"/>
  <c r="Z288" i="3"/>
  <c r="Z280" i="3"/>
  <c r="AB280" i="3" s="1"/>
  <c r="Z377" i="3"/>
  <c r="Z417" i="3"/>
  <c r="Z322" i="3"/>
  <c r="AB322" i="3" s="1"/>
  <c r="Z353" i="3"/>
  <c r="AA221" i="3"/>
  <c r="AA213" i="3"/>
  <c r="Z259" i="3"/>
  <c r="Z210" i="3"/>
  <c r="AB210" i="3" s="1"/>
  <c r="Z318" i="3"/>
  <c r="AB318" i="3" s="1"/>
  <c r="AA211" i="3"/>
  <c r="AB211" i="3" s="1"/>
  <c r="AA242" i="3"/>
  <c r="AA434" i="3"/>
  <c r="AA226" i="3"/>
  <c r="AA387" i="3"/>
  <c r="Z389" i="3"/>
  <c r="AA444" i="3"/>
  <c r="AA278" i="3"/>
  <c r="AA382" i="3"/>
  <c r="Z382" i="3"/>
  <c r="AA370" i="3"/>
  <c r="Z370" i="3"/>
  <c r="AA340" i="3"/>
  <c r="Z340" i="3"/>
  <c r="AA359" i="3"/>
  <c r="Z359" i="3"/>
  <c r="AA485" i="3"/>
  <c r="Z485" i="3"/>
  <c r="AA218" i="3"/>
  <c r="Z218" i="3"/>
  <c r="Z303" i="3"/>
  <c r="AA303" i="3"/>
  <c r="AA393" i="3"/>
  <c r="Z393" i="3"/>
  <c r="AA438" i="3"/>
  <c r="Z438" i="3"/>
  <c r="AA466" i="3"/>
  <c r="AA489" i="3"/>
  <c r="Z489" i="3"/>
  <c r="AA372" i="3"/>
  <c r="Z372" i="3"/>
  <c r="AA422" i="3"/>
  <c r="Z422" i="3"/>
  <c r="Z246" i="3"/>
  <c r="AA246" i="3"/>
  <c r="Z307" i="3"/>
  <c r="AA307" i="3"/>
  <c r="AA403" i="3"/>
  <c r="Z299" i="3"/>
  <c r="AA299" i="3"/>
  <c r="AA392" i="3"/>
  <c r="AA253" i="3"/>
  <c r="Z253" i="3"/>
  <c r="Z456" i="3"/>
  <c r="AA456" i="3"/>
  <c r="AA493" i="3"/>
  <c r="Z493" i="3"/>
  <c r="Z256" i="3"/>
  <c r="AA256" i="3"/>
  <c r="AA492" i="3"/>
  <c r="Z492" i="3"/>
  <c r="AA472" i="3"/>
  <c r="AA274" i="3"/>
  <c r="Z274" i="3"/>
  <c r="AA427" i="3"/>
  <c r="AA300" i="3"/>
  <c r="Z300" i="3"/>
  <c r="AA433" i="3"/>
  <c r="Z433" i="3"/>
  <c r="Z367" i="3"/>
  <c r="AA367" i="3"/>
  <c r="AA247" i="3"/>
  <c r="AA371" i="3"/>
  <c r="AB371" i="3" s="1"/>
  <c r="Z451" i="3"/>
  <c r="AB451" i="3" s="1"/>
  <c r="Z323" i="3"/>
  <c r="Z450" i="3"/>
  <c r="Z386" i="3"/>
  <c r="AB386" i="3" s="1"/>
  <c r="Z473" i="3"/>
  <c r="AB473" i="3" s="1"/>
  <c r="Z329" i="3"/>
  <c r="Z297" i="3"/>
  <c r="Z208" i="3"/>
  <c r="AA227" i="3"/>
  <c r="AB227" i="3" s="1"/>
  <c r="Z416" i="3"/>
  <c r="AB416" i="3" s="1"/>
  <c r="AA296" i="3"/>
  <c r="AA241" i="3"/>
  <c r="AB241" i="3" s="1"/>
  <c r="Z472" i="3"/>
  <c r="AB472" i="3" s="1"/>
  <c r="Z222" i="3"/>
  <c r="AA379" i="3"/>
  <c r="Z381" i="3"/>
  <c r="AA436" i="3"/>
  <c r="AB436" i="3" s="1"/>
  <c r="AA257" i="3"/>
  <c r="Z257" i="3"/>
  <c r="AA312" i="3"/>
  <c r="Z343" i="3"/>
  <c r="AA343" i="3"/>
  <c r="AA217" i="3"/>
  <c r="Z217" i="3"/>
  <c r="Z470" i="3"/>
  <c r="AA470" i="3"/>
  <c r="AA447" i="3"/>
  <c r="Z447" i="3"/>
  <c r="AA214" i="3"/>
  <c r="Z214" i="3"/>
  <c r="AA503" i="3"/>
  <c r="Z503" i="3"/>
  <c r="Z302" i="3"/>
  <c r="AA302" i="3"/>
  <c r="AA468" i="3"/>
  <c r="Z468" i="3"/>
  <c r="AA415" i="3"/>
  <c r="Z415" i="3"/>
  <c r="Z384" i="3"/>
  <c r="AA457" i="3"/>
  <c r="Z457" i="3"/>
  <c r="Z413" i="3"/>
  <c r="AA413" i="3"/>
  <c r="Z287" i="3"/>
  <c r="AA287" i="3"/>
  <c r="AA360" i="3"/>
  <c r="AB360" i="3" s="1"/>
  <c r="Z480" i="3"/>
  <c r="AA215" i="3"/>
  <c r="Z215" i="3"/>
  <c r="Z362" i="3"/>
  <c r="Z298" i="3"/>
  <c r="AB298" i="3" s="1"/>
  <c r="Z449" i="3"/>
  <c r="Z441" i="3"/>
  <c r="AB441" i="3" s="1"/>
  <c r="AA330" i="3"/>
  <c r="AB330" i="3" s="1"/>
  <c r="Z409" i="3"/>
  <c r="Z361" i="3"/>
  <c r="Z345" i="3"/>
  <c r="Z392" i="3"/>
  <c r="AB392" i="3" s="1"/>
  <c r="Z348" i="3"/>
  <c r="Z283" i="3"/>
  <c r="AB283" i="3" s="1"/>
  <c r="AA327" i="3"/>
  <c r="Z239" i="3"/>
  <c r="AA336" i="3"/>
  <c r="AB336" i="3" s="1"/>
  <c r="AA270" i="3"/>
  <c r="AB270" i="3" s="1"/>
  <c r="AA245" i="3"/>
  <c r="Z245" i="3"/>
  <c r="AA398" i="3"/>
  <c r="Z398" i="3"/>
  <c r="Z282" i="3"/>
  <c r="AA282" i="3"/>
  <c r="Z390" i="3"/>
  <c r="AA390" i="3"/>
  <c r="Z261" i="3"/>
  <c r="AA261" i="3"/>
  <c r="Z286" i="3"/>
  <c r="AA286" i="3"/>
  <c r="AA220" i="3"/>
  <c r="AB220" i="3" s="1"/>
  <c r="AA262" i="3"/>
  <c r="AB262" i="3" s="1"/>
  <c r="AA373" i="3"/>
  <c r="AA331" i="3"/>
  <c r="AA224" i="3"/>
  <c r="AB224" i="3" s="1"/>
  <c r="AA419" i="3"/>
  <c r="AA495" i="3"/>
  <c r="Z495" i="3"/>
  <c r="AA244" i="3"/>
  <c r="AA397" i="3"/>
  <c r="Z397" i="3"/>
  <c r="Z461" i="3"/>
  <c r="AB461" i="3" s="1"/>
  <c r="Z500" i="3"/>
  <c r="AA500" i="3"/>
  <c r="AA339" i="3"/>
  <c r="Z223" i="3"/>
  <c r="AA223" i="3"/>
  <c r="Z376" i="3"/>
  <c r="AB376" i="3" s="1"/>
  <c r="AA365" i="3"/>
  <c r="Z365" i="3"/>
  <c r="AA254" i="3"/>
  <c r="Z254" i="3"/>
  <c r="Z499" i="3"/>
  <c r="AB499" i="3" s="1"/>
  <c r="Z498" i="3"/>
  <c r="Z354" i="3"/>
  <c r="AB354" i="3" s="1"/>
  <c r="Z273" i="3"/>
  <c r="AB273" i="3" s="1"/>
  <c r="Z380" i="3"/>
  <c r="AB380" i="3" s="1"/>
  <c r="Z344" i="3"/>
  <c r="Z324" i="3"/>
  <c r="AB324" i="3" s="1"/>
  <c r="Z373" i="3"/>
  <c r="AA428" i="3"/>
  <c r="AB428" i="3" s="1"/>
  <c r="AB369" i="3"/>
  <c r="AB465" i="3"/>
  <c r="AB251" i="3"/>
  <c r="AB338" i="3"/>
  <c r="H36" i="3"/>
  <c r="H7" i="5"/>
  <c r="H8" i="5" s="1"/>
  <c r="H9" i="5" s="1"/>
  <c r="H10" i="5" s="1"/>
  <c r="H11" i="5" s="1"/>
  <c r="H12" i="5" s="1"/>
  <c r="H13" i="5" s="1"/>
  <c r="H14" i="5" s="1"/>
  <c r="H15" i="5" s="1"/>
  <c r="H16" i="5" s="1"/>
  <c r="AB258" i="3" l="1"/>
  <c r="AB422" i="3"/>
  <c r="AB445" i="3"/>
  <c r="AB480" i="3"/>
  <c r="AB464" i="3"/>
  <c r="AB290" i="3"/>
  <c r="AC290" i="3" s="1"/>
  <c r="AB377" i="3"/>
  <c r="AB432" i="3"/>
  <c r="AD432" i="3" s="1"/>
  <c r="AB216" i="3"/>
  <c r="AC216" i="3" s="1"/>
  <c r="AB288" i="3"/>
  <c r="AD288" i="3" s="1"/>
  <c r="AB266" i="3"/>
  <c r="AD266" i="3" s="1"/>
  <c r="AB281" i="3"/>
  <c r="AB213" i="3"/>
  <c r="AC213" i="3" s="1"/>
  <c r="AB394" i="3"/>
  <c r="AB244" i="3"/>
  <c r="AC244" i="3" s="1"/>
  <c r="AB348" i="3"/>
  <c r="AD348" i="3" s="1"/>
  <c r="AB421" i="3"/>
  <c r="AB247" i="3"/>
  <c r="AC247" i="3" s="1"/>
  <c r="AB310" i="3"/>
  <c r="AD310" i="3" s="1"/>
  <c r="AB222" i="3"/>
  <c r="AD222" i="3" s="1"/>
  <c r="AB239" i="3"/>
  <c r="AD239" i="3" s="1"/>
  <c r="AB387" i="3"/>
  <c r="AC387" i="3" s="1"/>
  <c r="AB271" i="3"/>
  <c r="AD271" i="3" s="1"/>
  <c r="AB327" i="3"/>
  <c r="AC327" i="3" s="1"/>
  <c r="AB226" i="3"/>
  <c r="AC226" i="3" s="1"/>
  <c r="AB294" i="3"/>
  <c r="AD294" i="3" s="1"/>
  <c r="AB474" i="3"/>
  <c r="AD474" i="3" s="1"/>
  <c r="AB449" i="3"/>
  <c r="AD449" i="3" s="1"/>
  <c r="AB312" i="3"/>
  <c r="AC312" i="3" s="1"/>
  <c r="AB434" i="3"/>
  <c r="AD434" i="3" s="1"/>
  <c r="AB419" i="3"/>
  <c r="AC419" i="3" s="1"/>
  <c r="AB362" i="3"/>
  <c r="AC362" i="3" s="1"/>
  <c r="AB225" i="3"/>
  <c r="AC225" i="3" s="1"/>
  <c r="AB491" i="3"/>
  <c r="AD491" i="3" s="1"/>
  <c r="AB339" i="3"/>
  <c r="AD339" i="3" s="1"/>
  <c r="AB345" i="3"/>
  <c r="AD345" i="3" s="1"/>
  <c r="AB431" i="3"/>
  <c r="AD431" i="3" s="1"/>
  <c r="AB286" i="3"/>
  <c r="AC286" i="3" s="1"/>
  <c r="AB433" i="3"/>
  <c r="AD433" i="3" s="1"/>
  <c r="AB246" i="3"/>
  <c r="AC246" i="3" s="1"/>
  <c r="AB299" i="3"/>
  <c r="AC299" i="3" s="1"/>
  <c r="AB393" i="3"/>
  <c r="AD393" i="3" s="1"/>
  <c r="AB493" i="3"/>
  <c r="AC493" i="3" s="1"/>
  <c r="AB490" i="3"/>
  <c r="AC490" i="3" s="1"/>
  <c r="AB423" i="3"/>
  <c r="AC423" i="3" s="1"/>
  <c r="AB337" i="3"/>
  <c r="AC337" i="3" s="1"/>
  <c r="AB385" i="3"/>
  <c r="AD385" i="3" s="1"/>
  <c r="AB353" i="3"/>
  <c r="AD353" i="3" s="1"/>
  <c r="AB206" i="3"/>
  <c r="AC206" i="3" s="1"/>
  <c r="AB223" i="3"/>
  <c r="AC223" i="3" s="1"/>
  <c r="AB287" i="3"/>
  <c r="AD287" i="3" s="1"/>
  <c r="AB370" i="3"/>
  <c r="AC370" i="3" s="1"/>
  <c r="AB221" i="3"/>
  <c r="AC221" i="3" s="1"/>
  <c r="AB321" i="3"/>
  <c r="AC321" i="3" s="1"/>
  <c r="AB502" i="3"/>
  <c r="AD502" i="3" s="1"/>
  <c r="AB325" i="3"/>
  <c r="AC325" i="3" s="1"/>
  <c r="AB238" i="3"/>
  <c r="AC238" i="3" s="1"/>
  <c r="AB285" i="3"/>
  <c r="AC285" i="3" s="1"/>
  <c r="AB275" i="3"/>
  <c r="AC275" i="3" s="1"/>
  <c r="AB450" i="3"/>
  <c r="AD450" i="3" s="1"/>
  <c r="AB463" i="3"/>
  <c r="AC463" i="3" s="1"/>
  <c r="AB420" i="3"/>
  <c r="AC420" i="3" s="1"/>
  <c r="AB384" i="3"/>
  <c r="AD384" i="3" s="1"/>
  <c r="AB503" i="3"/>
  <c r="AC503" i="3" s="1"/>
  <c r="AB217" i="3"/>
  <c r="AC217" i="3" s="1"/>
  <c r="AB379" i="3"/>
  <c r="AC379" i="3" s="1"/>
  <c r="AB297" i="3"/>
  <c r="AC297" i="3" s="1"/>
  <c r="AB236" i="3"/>
  <c r="AC236" i="3" s="1"/>
  <c r="AB374" i="3"/>
  <c r="AD374" i="3" s="1"/>
  <c r="AB440" i="3"/>
  <c r="AC440" i="3" s="1"/>
  <c r="AB458" i="3"/>
  <c r="AC458" i="3" s="1"/>
  <c r="AB230" i="3"/>
  <c r="AD230" i="3" s="1"/>
  <c r="AB235" i="3"/>
  <c r="AC235" i="3" s="1"/>
  <c r="AB278" i="3"/>
  <c r="AB429" i="3"/>
  <c r="AD429" i="3" s="1"/>
  <c r="AB229" i="3"/>
  <c r="AC229" i="3" s="1"/>
  <c r="AB399" i="3"/>
  <c r="AC399" i="3" s="1"/>
  <c r="AB308" i="3"/>
  <c r="AD308" i="3" s="1"/>
  <c r="AB505" i="3"/>
  <c r="AC505" i="3" s="1"/>
  <c r="AB212" i="3"/>
  <c r="AC212" i="3" s="1"/>
  <c r="AB276" i="3"/>
  <c r="AC276" i="3" s="1"/>
  <c r="AB497" i="3"/>
  <c r="AC497" i="3" s="1"/>
  <c r="AB234" i="3"/>
  <c r="AD234" i="3" s="1"/>
  <c r="AB414" i="3"/>
  <c r="AD414" i="3" s="1"/>
  <c r="AB425" i="3"/>
  <c r="AD425" i="3" s="1"/>
  <c r="AB446" i="3"/>
  <c r="AC446" i="3" s="1"/>
  <c r="AB331" i="3"/>
  <c r="AC331" i="3" s="1"/>
  <c r="AB361" i="3"/>
  <c r="AC361" i="3" s="1"/>
  <c r="AB381" i="3"/>
  <c r="AD381" i="3" s="1"/>
  <c r="AB208" i="3"/>
  <c r="AC208" i="3" s="1"/>
  <c r="AB427" i="3"/>
  <c r="AD427" i="3" s="1"/>
  <c r="AB444" i="3"/>
  <c r="AC444" i="3" s="1"/>
  <c r="AB443" i="3"/>
  <c r="AC443" i="3" s="1"/>
  <c r="AB232" i="3"/>
  <c r="AC232" i="3" s="1"/>
  <c r="AB373" i="3"/>
  <c r="AD373" i="3" s="1"/>
  <c r="AB389" i="3"/>
  <c r="AD389" i="3" s="1"/>
  <c r="AB259" i="3"/>
  <c r="AD259" i="3" s="1"/>
  <c r="AB435" i="3"/>
  <c r="AC435" i="3" s="1"/>
  <c r="AB467" i="3"/>
  <c r="AC467" i="3" s="1"/>
  <c r="AB250" i="3"/>
  <c r="AD250" i="3" s="1"/>
  <c r="AB448" i="3"/>
  <c r="AC448" i="3" s="1"/>
  <c r="AB282" i="3"/>
  <c r="AD282" i="3" s="1"/>
  <c r="AB214" i="3"/>
  <c r="AC214" i="3" s="1"/>
  <c r="AB343" i="3"/>
  <c r="AC343" i="3" s="1"/>
  <c r="AB367" i="3"/>
  <c r="AC367" i="3" s="1"/>
  <c r="AB456" i="3"/>
  <c r="AB277" i="3"/>
  <c r="AC277" i="3" s="1"/>
  <c r="AB476" i="3"/>
  <c r="AC476" i="3" s="1"/>
  <c r="AB320" i="3"/>
  <c r="AC320" i="3" s="1"/>
  <c r="AB316" i="3"/>
  <c r="AD316" i="3" s="1"/>
  <c r="AB342" i="3"/>
  <c r="AC342" i="3" s="1"/>
  <c r="AC481" i="3"/>
  <c r="AD481" i="3"/>
  <c r="AC473" i="3"/>
  <c r="AD473" i="3"/>
  <c r="AC270" i="3"/>
  <c r="AD270" i="3"/>
  <c r="AB457" i="3"/>
  <c r="AC371" i="3"/>
  <c r="AD371" i="3"/>
  <c r="AC210" i="3"/>
  <c r="AD210" i="3"/>
  <c r="AC496" i="3"/>
  <c r="AD496" i="3"/>
  <c r="AC402" i="3"/>
  <c r="AD402" i="3"/>
  <c r="AC424" i="3"/>
  <c r="AD424" i="3"/>
  <c r="AC350" i="3"/>
  <c r="AD350" i="3"/>
  <c r="AC294" i="3"/>
  <c r="AC328" i="3"/>
  <c r="AD328" i="3"/>
  <c r="AC305" i="3"/>
  <c r="AD305" i="3"/>
  <c r="AD247" i="3"/>
  <c r="AC280" i="3"/>
  <c r="AD280" i="3"/>
  <c r="AC459" i="3"/>
  <c r="AD459" i="3"/>
  <c r="AC432" i="3"/>
  <c r="AD216" i="3"/>
  <c r="AC334" i="3"/>
  <c r="AD334" i="3"/>
  <c r="AC266" i="3"/>
  <c r="AC380" i="3"/>
  <c r="AD380" i="3"/>
  <c r="AC258" i="3"/>
  <c r="AD258" i="3"/>
  <c r="AD421" i="3"/>
  <c r="AC421" i="3"/>
  <c r="AC239" i="3"/>
  <c r="AD213" i="3"/>
  <c r="AC317" i="3"/>
  <c r="AD317" i="3"/>
  <c r="AC310" i="3"/>
  <c r="AC228" i="3"/>
  <c r="AD228" i="3"/>
  <c r="AC418" i="3"/>
  <c r="AD418" i="3"/>
  <c r="AD440" i="3"/>
  <c r="AC385" i="3"/>
  <c r="AD465" i="3"/>
  <c r="AC465" i="3"/>
  <c r="AC422" i="3"/>
  <c r="AD422" i="3"/>
  <c r="AC376" i="3"/>
  <c r="AD376" i="3"/>
  <c r="AC330" i="3"/>
  <c r="AD330" i="3"/>
  <c r="AD401" i="3"/>
  <c r="AC401" i="3"/>
  <c r="AC220" i="3"/>
  <c r="AD220" i="3"/>
  <c r="AC472" i="3"/>
  <c r="AD472" i="3"/>
  <c r="AC233" i="3"/>
  <c r="AD233" i="3"/>
  <c r="AC474" i="3"/>
  <c r="AC471" i="3"/>
  <c r="AD471" i="3"/>
  <c r="AC378" i="3"/>
  <c r="AD378" i="3"/>
  <c r="AC475" i="3"/>
  <c r="AD475" i="3"/>
  <c r="AC482" i="3"/>
  <c r="AD482" i="3"/>
  <c r="AD237" i="3"/>
  <c r="AC237" i="3"/>
  <c r="AC410" i="3"/>
  <c r="AD410" i="3"/>
  <c r="AD290" i="3"/>
  <c r="AC288" i="3"/>
  <c r="AD313" i="3"/>
  <c r="AC313" i="3"/>
  <c r="AD289" i="3"/>
  <c r="AC289" i="3"/>
  <c r="AC480" i="3"/>
  <c r="AD480" i="3"/>
  <c r="AC273" i="3"/>
  <c r="AD273" i="3"/>
  <c r="AC360" i="3"/>
  <c r="AD360" i="3"/>
  <c r="AD441" i="3"/>
  <c r="AC441" i="3"/>
  <c r="AC394" i="3"/>
  <c r="AD394" i="3"/>
  <c r="AC433" i="3"/>
  <c r="AC311" i="3"/>
  <c r="AD311" i="3"/>
  <c r="AC324" i="3"/>
  <c r="AD324" i="3"/>
  <c r="AD461" i="3"/>
  <c r="AC461" i="3"/>
  <c r="AD445" i="3"/>
  <c r="AC445" i="3"/>
  <c r="AC456" i="3"/>
  <c r="AD456" i="3"/>
  <c r="AC207" i="3"/>
  <c r="AD207" i="3"/>
  <c r="AC281" i="3"/>
  <c r="AD281" i="3"/>
  <c r="AD369" i="3"/>
  <c r="AC369" i="3"/>
  <c r="AC241" i="3"/>
  <c r="AD241" i="3"/>
  <c r="AC428" i="3"/>
  <c r="AD428" i="3"/>
  <c r="AC499" i="3"/>
  <c r="AD499" i="3"/>
  <c r="AC339" i="3"/>
  <c r="AB296" i="3"/>
  <c r="AD322" i="3"/>
  <c r="AC322" i="3"/>
  <c r="AD349" i="3"/>
  <c r="AC349" i="3"/>
  <c r="AC295" i="3"/>
  <c r="AD295" i="3"/>
  <c r="AD336" i="3"/>
  <c r="AC336" i="3"/>
  <c r="AC338" i="3"/>
  <c r="AD338" i="3"/>
  <c r="AC319" i="3"/>
  <c r="AD319" i="3"/>
  <c r="AD262" i="3"/>
  <c r="AC262" i="3"/>
  <c r="AC298" i="3"/>
  <c r="AD298" i="3"/>
  <c r="AC354" i="3"/>
  <c r="AD354" i="3"/>
  <c r="AC442" i="3"/>
  <c r="AD442" i="3"/>
  <c r="AC251" i="3"/>
  <c r="AD251" i="3"/>
  <c r="AD206" i="3"/>
  <c r="AC283" i="3"/>
  <c r="AD283" i="3"/>
  <c r="AC386" i="3"/>
  <c r="AD386" i="3"/>
  <c r="AC464" i="3"/>
  <c r="AD464" i="3"/>
  <c r="AC309" i="3"/>
  <c r="AD309" i="3"/>
  <c r="AC411" i="3"/>
  <c r="AD411" i="3"/>
  <c r="AC306" i="3"/>
  <c r="AD306" i="3"/>
  <c r="AC332" i="3"/>
  <c r="AD332" i="3"/>
  <c r="AC392" i="3"/>
  <c r="AD392" i="3"/>
  <c r="AC416" i="3"/>
  <c r="AD416" i="3"/>
  <c r="AB323" i="3"/>
  <c r="AC211" i="3"/>
  <c r="AD211" i="3"/>
  <c r="AB417" i="3"/>
  <c r="AC347" i="3"/>
  <c r="AD347" i="3"/>
  <c r="AB488" i="3"/>
  <c r="AC224" i="3"/>
  <c r="AD224" i="3"/>
  <c r="AC436" i="3"/>
  <c r="AD436" i="3"/>
  <c r="AC227" i="3"/>
  <c r="AD227" i="3"/>
  <c r="AC451" i="3"/>
  <c r="AD451" i="3"/>
  <c r="AC393" i="3"/>
  <c r="AC278" i="3"/>
  <c r="AD278" i="3"/>
  <c r="AC318" i="3"/>
  <c r="AD318" i="3"/>
  <c r="AD377" i="3"/>
  <c r="AC377" i="3"/>
  <c r="AC268" i="3"/>
  <c r="AD268" i="3"/>
  <c r="AC209" i="3"/>
  <c r="AD209" i="3"/>
  <c r="AB375" i="3"/>
  <c r="AC439" i="3"/>
  <c r="AD439" i="3"/>
  <c r="AD497" i="3"/>
  <c r="AC234" i="3"/>
  <c r="AC491" i="3"/>
  <c r="AC355" i="3"/>
  <c r="AD355" i="3"/>
  <c r="AB409" i="3"/>
  <c r="AB314" i="3"/>
  <c r="AB249" i="3"/>
  <c r="AB252" i="3"/>
  <c r="AB407" i="3"/>
  <c r="AB304" i="3"/>
  <c r="AB486" i="3"/>
  <c r="AB487" i="3"/>
  <c r="AB269" i="3"/>
  <c r="AB397" i="3"/>
  <c r="AB329" i="3"/>
  <c r="AB340" i="3"/>
  <c r="AB315" i="3"/>
  <c r="AB274" i="3"/>
  <c r="AB489" i="3"/>
  <c r="AB477" i="3"/>
  <c r="AB437" i="3"/>
  <c r="AB366" i="3"/>
  <c r="AB452" i="3"/>
  <c r="AB267" i="3"/>
  <c r="AB365" i="3"/>
  <c r="AB498" i="3"/>
  <c r="AB466" i="3"/>
  <c r="AB218" i="3"/>
  <c r="AB483" i="3"/>
  <c r="AB403" i="3"/>
  <c r="AB242" i="3"/>
  <c r="AB395" i="3"/>
  <c r="AB426" i="3"/>
  <c r="AB231" i="3"/>
  <c r="AB405" i="3"/>
  <c r="AB264" i="3"/>
  <c r="AB455" i="3"/>
  <c r="AB494" i="3"/>
  <c r="AB307" i="3"/>
  <c r="AB293" i="3"/>
  <c r="AB346" i="3"/>
  <c r="AB413" i="3"/>
  <c r="AB468" i="3"/>
  <c r="AB257" i="3"/>
  <c r="AB485" i="3"/>
  <c r="AB254" i="3"/>
  <c r="AB500" i="3"/>
  <c r="AB261" i="3"/>
  <c r="AB302" i="3"/>
  <c r="AB470" i="3"/>
  <c r="AB256" i="3"/>
  <c r="AB284" i="3"/>
  <c r="AB363" i="3"/>
  <c r="AB359" i="3"/>
  <c r="AB479" i="3"/>
  <c r="AB504" i="3"/>
  <c r="AB372" i="3"/>
  <c r="AB356" i="3"/>
  <c r="AB430" i="3"/>
  <c r="AB352" i="3"/>
  <c r="AB460" i="3"/>
  <c r="AB301" i="3"/>
  <c r="AB248" i="3"/>
  <c r="AB333" i="3"/>
  <c r="AB341" i="3"/>
  <c r="AB279" i="3"/>
  <c r="AB255" i="3"/>
  <c r="AB240" i="3"/>
  <c r="AB358" i="3"/>
  <c r="AB326" i="3"/>
  <c r="AB219" i="3"/>
  <c r="AB469" i="3"/>
  <c r="AB415" i="3"/>
  <c r="AB253" i="3"/>
  <c r="AB447" i="3"/>
  <c r="AB492" i="3"/>
  <c r="AB382" i="3"/>
  <c r="AB462" i="3"/>
  <c r="AB260" i="3"/>
  <c r="AB495" i="3"/>
  <c r="AB398" i="3"/>
  <c r="AB438" i="3"/>
  <c r="AB245" i="3"/>
  <c r="AB300" i="3"/>
  <c r="AB368" i="3"/>
  <c r="AB453" i="3"/>
  <c r="AB383" i="3"/>
  <c r="AB391" i="3"/>
  <c r="AB454" i="3"/>
  <c r="AB357" i="3"/>
  <c r="AB265" i="3"/>
  <c r="AB400" i="3"/>
  <c r="AB263" i="3"/>
  <c r="AB272" i="3"/>
  <c r="AB243" i="3"/>
  <c r="AB478" i="3"/>
  <c r="AB344" i="3"/>
  <c r="AB390" i="3"/>
  <c r="AB215" i="3"/>
  <c r="AB484" i="3"/>
  <c r="AB351" i="3"/>
  <c r="AB406" i="3"/>
  <c r="AB404" i="3"/>
  <c r="AB501" i="3"/>
  <c r="AB364" i="3"/>
  <c r="AB303" i="3"/>
  <c r="AB335" i="3"/>
  <c r="AB408" i="3"/>
  <c r="AB388" i="3"/>
  <c r="AB412" i="3"/>
  <c r="AB292" i="3"/>
  <c r="AB291" i="3"/>
  <c r="AB396" i="3"/>
  <c r="H37" i="3"/>
  <c r="AD419" i="3" l="1"/>
  <c r="AD505" i="3"/>
  <c r="AC502" i="3"/>
  <c r="AD387" i="3"/>
  <c r="AD361" i="3"/>
  <c r="AD337" i="3"/>
  <c r="AC348" i="3"/>
  <c r="AD244" i="3"/>
  <c r="AC434" i="3"/>
  <c r="AD286" i="3"/>
  <c r="AC384" i="3"/>
  <c r="AD229" i="3"/>
  <c r="AD490" i="3"/>
  <c r="AD467" i="3"/>
  <c r="AD275" i="3"/>
  <c r="AC429" i="3"/>
  <c r="AD246" i="3"/>
  <c r="AD493" i="3"/>
  <c r="AD238" i="3"/>
  <c r="AC287" i="3"/>
  <c r="AD226" i="3"/>
  <c r="AD342" i="3"/>
  <c r="AC431" i="3"/>
  <c r="AD312" i="3"/>
  <c r="AC373" i="3"/>
  <c r="AD423" i="3"/>
  <c r="AC427" i="3"/>
  <c r="AD214" i="3"/>
  <c r="AC271" i="3"/>
  <c r="AD325" i="3"/>
  <c r="AD327" i="3"/>
  <c r="AD225" i="3"/>
  <c r="AD276" i="3"/>
  <c r="AD235" i="3"/>
  <c r="AD343" i="3"/>
  <c r="AD331" i="3"/>
  <c r="AC389" i="3"/>
  <c r="AC259" i="3"/>
  <c r="AC353" i="3"/>
  <c r="AD212" i="3"/>
  <c r="AD299" i="3"/>
  <c r="AC345" i="3"/>
  <c r="AD362" i="3"/>
  <c r="AC449" i="3"/>
  <c r="AC450" i="3"/>
  <c r="AD458" i="3"/>
  <c r="AD370" i="3"/>
  <c r="AC222" i="3"/>
  <c r="AC230" i="3"/>
  <c r="AD435" i="3"/>
  <c r="AD208" i="3"/>
  <c r="AD223" i="3"/>
  <c r="AD217" i="3"/>
  <c r="AD285" i="3"/>
  <c r="AD367" i="3"/>
  <c r="AD503" i="3"/>
  <c r="AD379" i="3"/>
  <c r="AC381" i="3"/>
  <c r="AC374" i="3"/>
  <c r="AD321" i="3"/>
  <c r="AC250" i="3"/>
  <c r="AD221" i="3"/>
  <c r="AD476" i="3"/>
  <c r="AD236" i="3"/>
  <c r="AD420" i="3"/>
  <c r="AD448" i="3"/>
  <c r="AC414" i="3"/>
  <c r="AC308" i="3"/>
  <c r="AD320" i="3"/>
  <c r="AD399" i="3"/>
  <c r="AD277" i="3"/>
  <c r="AD463" i="3"/>
  <c r="AD297" i="3"/>
  <c r="AD232" i="3"/>
  <c r="AC316" i="3"/>
  <c r="AC425" i="3"/>
  <c r="AC282" i="3"/>
  <c r="AD443" i="3"/>
  <c r="AD444" i="3"/>
  <c r="AD446" i="3"/>
  <c r="AC284" i="3"/>
  <c r="AD284" i="3"/>
  <c r="AC487" i="3"/>
  <c r="AD487" i="3"/>
  <c r="AC375" i="3"/>
  <c r="AD375" i="3"/>
  <c r="AC447" i="3"/>
  <c r="AD447" i="3"/>
  <c r="AC489" i="3"/>
  <c r="AD489" i="3"/>
  <c r="AC323" i="3"/>
  <c r="AD323" i="3"/>
  <c r="AD457" i="3"/>
  <c r="AC457" i="3"/>
  <c r="AC400" i="3"/>
  <c r="AD400" i="3"/>
  <c r="AC257" i="3"/>
  <c r="AD257" i="3"/>
  <c r="AC265" i="3"/>
  <c r="AD265" i="3"/>
  <c r="AC466" i="3"/>
  <c r="AD466" i="3"/>
  <c r="AC303" i="3"/>
  <c r="AD303" i="3"/>
  <c r="AC356" i="3"/>
  <c r="AD356" i="3"/>
  <c r="AD304" i="3"/>
  <c r="AC304" i="3"/>
  <c r="AC296" i="3"/>
  <c r="AD296" i="3"/>
  <c r="AC484" i="3"/>
  <c r="AD484" i="3"/>
  <c r="AC264" i="3"/>
  <c r="AD264" i="3"/>
  <c r="AC245" i="3"/>
  <c r="AD245" i="3"/>
  <c r="AD405" i="3"/>
  <c r="AC405" i="3"/>
  <c r="AC390" i="3"/>
  <c r="AD390" i="3"/>
  <c r="AC470" i="3"/>
  <c r="AD470" i="3"/>
  <c r="AC346" i="3"/>
  <c r="AD346" i="3"/>
  <c r="AC352" i="3"/>
  <c r="AD352" i="3"/>
  <c r="AC335" i="3"/>
  <c r="AD335" i="3"/>
  <c r="AC255" i="3"/>
  <c r="AD255" i="3"/>
  <c r="AC486" i="3"/>
  <c r="AD486" i="3"/>
  <c r="AD357" i="3"/>
  <c r="AC357" i="3"/>
  <c r="AD413" i="3"/>
  <c r="AC413" i="3"/>
  <c r="AC396" i="3"/>
  <c r="AD396" i="3"/>
  <c r="AC398" i="3"/>
  <c r="AD398" i="3"/>
  <c r="AD302" i="3"/>
  <c r="AC302" i="3"/>
  <c r="AC407" i="3"/>
  <c r="AD407" i="3"/>
  <c r="AC291" i="3"/>
  <c r="AD291" i="3"/>
  <c r="AD469" i="3"/>
  <c r="AC469" i="3"/>
  <c r="AC395" i="3"/>
  <c r="AD395" i="3"/>
  <c r="AC252" i="3"/>
  <c r="AD252" i="3"/>
  <c r="AC408" i="3"/>
  <c r="AD408" i="3"/>
  <c r="AC240" i="3"/>
  <c r="AD240" i="3"/>
  <c r="AC215" i="3"/>
  <c r="AD215" i="3"/>
  <c r="AC468" i="3"/>
  <c r="AD468" i="3"/>
  <c r="AC279" i="3"/>
  <c r="AD279" i="3"/>
  <c r="AC274" i="3"/>
  <c r="AD274" i="3"/>
  <c r="AC454" i="3"/>
  <c r="AD454" i="3"/>
  <c r="AC415" i="3"/>
  <c r="AD415" i="3"/>
  <c r="AC426" i="3"/>
  <c r="AD426" i="3"/>
  <c r="AC391" i="3"/>
  <c r="AD391" i="3"/>
  <c r="AD261" i="3"/>
  <c r="AC261" i="3"/>
  <c r="AC219" i="3"/>
  <c r="AD219" i="3"/>
  <c r="AC329" i="3"/>
  <c r="AD329" i="3"/>
  <c r="AC300" i="3"/>
  <c r="AD300" i="3"/>
  <c r="AC477" i="3"/>
  <c r="AD477" i="3"/>
  <c r="AC430" i="3"/>
  <c r="AD430" i="3"/>
  <c r="AC438" i="3"/>
  <c r="AD438" i="3"/>
  <c r="AC231" i="3"/>
  <c r="AD231" i="3"/>
  <c r="AC364" i="3"/>
  <c r="AD364" i="3"/>
  <c r="AC341" i="3"/>
  <c r="AD341" i="3"/>
  <c r="AD365" i="3"/>
  <c r="AC365" i="3"/>
  <c r="AC478" i="3"/>
  <c r="AD478" i="3"/>
  <c r="AD333" i="3"/>
  <c r="AC333" i="3"/>
  <c r="AC293" i="3"/>
  <c r="AD293" i="3"/>
  <c r="AC340" i="3"/>
  <c r="AD340" i="3"/>
  <c r="AC404" i="3"/>
  <c r="AD404" i="3"/>
  <c r="AC383" i="3"/>
  <c r="AD383" i="3"/>
  <c r="AC248" i="3"/>
  <c r="AD248" i="3"/>
  <c r="AC500" i="3"/>
  <c r="AD500" i="3"/>
  <c r="AC242" i="3"/>
  <c r="AD242" i="3"/>
  <c r="AC249" i="3"/>
  <c r="AD249" i="3"/>
  <c r="AC412" i="3"/>
  <c r="AD412" i="3"/>
  <c r="AC406" i="3"/>
  <c r="AD406" i="3"/>
  <c r="AC272" i="3"/>
  <c r="AD272" i="3"/>
  <c r="AD453" i="3"/>
  <c r="AC453" i="3"/>
  <c r="AC462" i="3"/>
  <c r="AD462" i="3"/>
  <c r="AD326" i="3"/>
  <c r="AC326" i="3"/>
  <c r="AC301" i="3"/>
  <c r="AD301" i="3"/>
  <c r="AC359" i="3"/>
  <c r="AD359" i="3"/>
  <c r="AC254" i="3"/>
  <c r="AD254" i="3"/>
  <c r="AC494" i="3"/>
  <c r="AD494" i="3"/>
  <c r="AC403" i="3"/>
  <c r="AD403" i="3"/>
  <c r="AC366" i="3"/>
  <c r="AD366" i="3"/>
  <c r="AD397" i="3"/>
  <c r="AC397" i="3"/>
  <c r="AC314" i="3"/>
  <c r="AD314" i="3"/>
  <c r="AD417" i="3"/>
  <c r="AC417" i="3"/>
  <c r="AC492" i="3"/>
  <c r="AD492" i="3"/>
  <c r="AC218" i="3"/>
  <c r="AD218" i="3"/>
  <c r="AC256" i="3"/>
  <c r="AD256" i="3"/>
  <c r="AC253" i="3"/>
  <c r="AD253" i="3"/>
  <c r="AC498" i="3"/>
  <c r="AD498" i="3"/>
  <c r="AC344" i="3"/>
  <c r="AD344" i="3"/>
  <c r="AC372" i="3"/>
  <c r="AD372" i="3"/>
  <c r="AC315" i="3"/>
  <c r="AD315" i="3"/>
  <c r="AC501" i="3"/>
  <c r="AD501" i="3"/>
  <c r="AC495" i="3"/>
  <c r="AD495" i="3"/>
  <c r="AC504" i="3"/>
  <c r="AD504" i="3"/>
  <c r="AC267" i="3"/>
  <c r="AD267" i="3"/>
  <c r="AC292" i="3"/>
  <c r="AD292" i="3"/>
  <c r="AC243" i="3"/>
  <c r="AD243" i="3"/>
  <c r="AC260" i="3"/>
  <c r="AD260" i="3"/>
  <c r="AC479" i="3"/>
  <c r="AD479" i="3"/>
  <c r="AC307" i="3"/>
  <c r="AD307" i="3"/>
  <c r="AC452" i="3"/>
  <c r="AD452" i="3"/>
  <c r="AC388" i="3"/>
  <c r="AD388" i="3"/>
  <c r="AC351" i="3"/>
  <c r="AD351" i="3"/>
  <c r="AC263" i="3"/>
  <c r="AD263" i="3"/>
  <c r="AC368" i="3"/>
  <c r="AD368" i="3"/>
  <c r="AC382" i="3"/>
  <c r="AD382" i="3"/>
  <c r="AC358" i="3"/>
  <c r="AD358" i="3"/>
  <c r="AC460" i="3"/>
  <c r="AD460" i="3"/>
  <c r="AC363" i="3"/>
  <c r="AD363" i="3"/>
  <c r="AC485" i="3"/>
  <c r="AD485" i="3"/>
  <c r="AC455" i="3"/>
  <c r="AD455" i="3"/>
  <c r="AC483" i="3"/>
  <c r="AD483" i="3"/>
  <c r="AD437" i="3"/>
  <c r="AC437" i="3"/>
  <c r="AD269" i="3"/>
  <c r="AC269" i="3"/>
  <c r="AD409" i="3"/>
  <c r="AC409" i="3"/>
  <c r="AC488" i="3"/>
  <c r="AD488" i="3"/>
  <c r="H38" i="3"/>
  <c r="H39" i="3" l="1"/>
  <c r="H40" i="3" l="1"/>
  <c r="H41" i="3" l="1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7" i="3"/>
  <c r="C7" i="3"/>
  <c r="C6" i="3"/>
  <c r="B6" i="3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B11" i="2"/>
  <c r="C11" i="2"/>
  <c r="D11" i="2"/>
  <c r="F11" i="2"/>
  <c r="B12" i="2"/>
  <c r="C12" i="2"/>
  <c r="D12" i="2"/>
  <c r="F12" i="2"/>
  <c r="B13" i="2"/>
  <c r="C13" i="2"/>
  <c r="D13" i="2"/>
  <c r="F13" i="2"/>
  <c r="B14" i="2"/>
  <c r="C14" i="2"/>
  <c r="D14" i="2"/>
  <c r="F14" i="2"/>
  <c r="B15" i="2"/>
  <c r="C15" i="2"/>
  <c r="D15" i="2"/>
  <c r="F15" i="2"/>
  <c r="B16" i="2"/>
  <c r="C16" i="2"/>
  <c r="D16" i="2"/>
  <c r="F16" i="2"/>
  <c r="B17" i="2"/>
  <c r="C17" i="2"/>
  <c r="D17" i="2"/>
  <c r="F17" i="2"/>
  <c r="B18" i="2"/>
  <c r="C18" i="2"/>
  <c r="D18" i="2"/>
  <c r="F18" i="2"/>
  <c r="B19" i="2"/>
  <c r="C19" i="2"/>
  <c r="D19" i="2"/>
  <c r="F19" i="2"/>
  <c r="B20" i="2"/>
  <c r="C20" i="2"/>
  <c r="D20" i="2"/>
  <c r="F20" i="2"/>
  <c r="B21" i="2"/>
  <c r="C21" i="2"/>
  <c r="D21" i="2"/>
  <c r="F21" i="2"/>
  <c r="B22" i="2"/>
  <c r="C22" i="2"/>
  <c r="D22" i="2"/>
  <c r="F22" i="2"/>
  <c r="B23" i="2"/>
  <c r="C23" i="2"/>
  <c r="D23" i="2"/>
  <c r="F23" i="2"/>
  <c r="B24" i="2"/>
  <c r="C24" i="2"/>
  <c r="D24" i="2"/>
  <c r="F24" i="2"/>
  <c r="B25" i="2"/>
  <c r="C25" i="2"/>
  <c r="D25" i="2"/>
  <c r="F25" i="2"/>
  <c r="B26" i="2"/>
  <c r="C26" i="2"/>
  <c r="D26" i="2"/>
  <c r="F26" i="2"/>
  <c r="B27" i="2"/>
  <c r="C27" i="2"/>
  <c r="D27" i="2"/>
  <c r="F27" i="2"/>
  <c r="B28" i="2"/>
  <c r="C28" i="2"/>
  <c r="D28" i="2"/>
  <c r="F28" i="2"/>
  <c r="B29" i="2"/>
  <c r="C29" i="2"/>
  <c r="D29" i="2"/>
  <c r="F29" i="2"/>
  <c r="B30" i="2"/>
  <c r="C30" i="2"/>
  <c r="D30" i="2"/>
  <c r="F30" i="2"/>
  <c r="B31" i="2"/>
  <c r="C31" i="2"/>
  <c r="D31" i="2"/>
  <c r="F31" i="2"/>
  <c r="B32" i="2"/>
  <c r="C32" i="2"/>
  <c r="D32" i="2"/>
  <c r="F32" i="2"/>
  <c r="B33" i="2"/>
  <c r="C33" i="2"/>
  <c r="D33" i="2"/>
  <c r="F33" i="2"/>
  <c r="B34" i="2"/>
  <c r="C34" i="2"/>
  <c r="D34" i="2"/>
  <c r="F34" i="2"/>
  <c r="B35" i="2"/>
  <c r="C35" i="2"/>
  <c r="D35" i="2"/>
  <c r="F35" i="2"/>
  <c r="B36" i="2"/>
  <c r="C36" i="2"/>
  <c r="D36" i="2"/>
  <c r="F36" i="2"/>
  <c r="B37" i="2"/>
  <c r="C37" i="2"/>
  <c r="D37" i="2"/>
  <c r="F37" i="2"/>
  <c r="B38" i="2"/>
  <c r="C38" i="2"/>
  <c r="D38" i="2"/>
  <c r="F38" i="2"/>
  <c r="B39" i="2"/>
  <c r="C39" i="2"/>
  <c r="D39" i="2"/>
  <c r="F39" i="2"/>
  <c r="B40" i="2"/>
  <c r="C40" i="2"/>
  <c r="D40" i="2"/>
  <c r="F40" i="2"/>
  <c r="B41" i="2"/>
  <c r="C41" i="2"/>
  <c r="D41" i="2"/>
  <c r="F41" i="2"/>
  <c r="B42" i="2"/>
  <c r="C42" i="2"/>
  <c r="D42" i="2"/>
  <c r="F42" i="2"/>
  <c r="B43" i="2"/>
  <c r="C43" i="2"/>
  <c r="D43" i="2"/>
  <c r="F43" i="2"/>
  <c r="B44" i="2"/>
  <c r="C44" i="2"/>
  <c r="D44" i="2"/>
  <c r="F44" i="2"/>
  <c r="B45" i="2"/>
  <c r="C45" i="2"/>
  <c r="D45" i="2"/>
  <c r="F45" i="2"/>
  <c r="B46" i="2"/>
  <c r="C46" i="2"/>
  <c r="D46" i="2"/>
  <c r="F46" i="2"/>
  <c r="B47" i="2"/>
  <c r="C47" i="2"/>
  <c r="D47" i="2"/>
  <c r="F47" i="2"/>
  <c r="B48" i="2"/>
  <c r="C48" i="2"/>
  <c r="D48" i="2"/>
  <c r="F48" i="2"/>
  <c r="B49" i="2"/>
  <c r="C49" i="2"/>
  <c r="D49" i="2"/>
  <c r="F49" i="2"/>
  <c r="B50" i="2"/>
  <c r="C50" i="2"/>
  <c r="D50" i="2"/>
  <c r="F50" i="2"/>
  <c r="B51" i="2"/>
  <c r="C51" i="2"/>
  <c r="D51" i="2"/>
  <c r="F51" i="2"/>
  <c r="B52" i="2"/>
  <c r="C52" i="2"/>
  <c r="D52" i="2"/>
  <c r="F52" i="2"/>
  <c r="B53" i="2"/>
  <c r="C53" i="2"/>
  <c r="D53" i="2"/>
  <c r="F53" i="2"/>
  <c r="B54" i="2"/>
  <c r="C54" i="2"/>
  <c r="D54" i="2"/>
  <c r="F54" i="2"/>
  <c r="B55" i="2"/>
  <c r="C55" i="2"/>
  <c r="D55" i="2"/>
  <c r="F55" i="2"/>
  <c r="B56" i="2"/>
  <c r="C56" i="2"/>
  <c r="D56" i="2"/>
  <c r="F56" i="2"/>
  <c r="B57" i="2"/>
  <c r="C57" i="2"/>
  <c r="D57" i="2"/>
  <c r="F57" i="2"/>
  <c r="B58" i="2"/>
  <c r="C58" i="2"/>
  <c r="D58" i="2"/>
  <c r="F58" i="2"/>
  <c r="B59" i="2"/>
  <c r="C59" i="2"/>
  <c r="D59" i="2"/>
  <c r="F59" i="2"/>
  <c r="B60" i="2"/>
  <c r="C60" i="2"/>
  <c r="D60" i="2"/>
  <c r="F60" i="2"/>
  <c r="B61" i="2"/>
  <c r="C61" i="2"/>
  <c r="D61" i="2"/>
  <c r="F61" i="2"/>
  <c r="B62" i="2"/>
  <c r="C62" i="2"/>
  <c r="D62" i="2"/>
  <c r="F62" i="2"/>
  <c r="B63" i="2"/>
  <c r="C63" i="2"/>
  <c r="D63" i="2"/>
  <c r="F63" i="2"/>
  <c r="B64" i="2"/>
  <c r="C64" i="2"/>
  <c r="D64" i="2"/>
  <c r="F64" i="2"/>
  <c r="B65" i="2"/>
  <c r="C65" i="2"/>
  <c r="D65" i="2"/>
  <c r="F65" i="2"/>
  <c r="B66" i="2"/>
  <c r="C66" i="2"/>
  <c r="D66" i="2"/>
  <c r="F66" i="2"/>
  <c r="B67" i="2"/>
  <c r="C67" i="2"/>
  <c r="D67" i="2"/>
  <c r="F67" i="2"/>
  <c r="B68" i="2"/>
  <c r="C68" i="2"/>
  <c r="D68" i="2"/>
  <c r="F68" i="2"/>
  <c r="B69" i="2"/>
  <c r="C69" i="2"/>
  <c r="D69" i="2"/>
  <c r="F69" i="2"/>
  <c r="B70" i="2"/>
  <c r="C70" i="2"/>
  <c r="D70" i="2"/>
  <c r="F70" i="2"/>
  <c r="B71" i="2"/>
  <c r="C71" i="2"/>
  <c r="D71" i="2"/>
  <c r="F71" i="2"/>
  <c r="B72" i="2"/>
  <c r="C72" i="2"/>
  <c r="D72" i="2"/>
  <c r="F72" i="2"/>
  <c r="B73" i="2"/>
  <c r="C73" i="2"/>
  <c r="D73" i="2"/>
  <c r="F73" i="2"/>
  <c r="B74" i="2"/>
  <c r="C74" i="2"/>
  <c r="D74" i="2"/>
  <c r="F74" i="2"/>
  <c r="B75" i="2"/>
  <c r="C75" i="2"/>
  <c r="D75" i="2"/>
  <c r="F75" i="2"/>
  <c r="B76" i="2"/>
  <c r="C76" i="2"/>
  <c r="D76" i="2"/>
  <c r="F76" i="2"/>
  <c r="B77" i="2"/>
  <c r="C77" i="2"/>
  <c r="D77" i="2"/>
  <c r="F77" i="2"/>
  <c r="B78" i="2"/>
  <c r="C78" i="2"/>
  <c r="D78" i="2"/>
  <c r="F78" i="2"/>
  <c r="B79" i="2"/>
  <c r="C79" i="2"/>
  <c r="D79" i="2"/>
  <c r="F79" i="2"/>
  <c r="B80" i="2"/>
  <c r="C80" i="2"/>
  <c r="D80" i="2"/>
  <c r="F80" i="2"/>
  <c r="B81" i="2"/>
  <c r="C81" i="2"/>
  <c r="D81" i="2"/>
  <c r="F81" i="2"/>
  <c r="B82" i="2"/>
  <c r="C82" i="2"/>
  <c r="D82" i="2"/>
  <c r="F82" i="2"/>
  <c r="B83" i="2"/>
  <c r="C83" i="2"/>
  <c r="D83" i="2"/>
  <c r="F83" i="2"/>
  <c r="B84" i="2"/>
  <c r="C84" i="2"/>
  <c r="D84" i="2"/>
  <c r="F84" i="2"/>
  <c r="B85" i="2"/>
  <c r="C85" i="2"/>
  <c r="D85" i="2"/>
  <c r="F85" i="2"/>
  <c r="B86" i="2"/>
  <c r="C86" i="2"/>
  <c r="D86" i="2"/>
  <c r="F86" i="2"/>
  <c r="B87" i="2"/>
  <c r="C87" i="2"/>
  <c r="D87" i="2"/>
  <c r="F87" i="2"/>
  <c r="B88" i="2"/>
  <c r="C88" i="2"/>
  <c r="D88" i="2"/>
  <c r="F88" i="2"/>
  <c r="B89" i="2"/>
  <c r="C89" i="2"/>
  <c r="D89" i="2"/>
  <c r="F89" i="2"/>
  <c r="B90" i="2"/>
  <c r="C90" i="2"/>
  <c r="D90" i="2"/>
  <c r="F90" i="2"/>
  <c r="B91" i="2"/>
  <c r="C91" i="2"/>
  <c r="D91" i="2"/>
  <c r="F91" i="2"/>
  <c r="B92" i="2"/>
  <c r="C92" i="2"/>
  <c r="D92" i="2"/>
  <c r="F92" i="2"/>
  <c r="B93" i="2"/>
  <c r="C93" i="2"/>
  <c r="D93" i="2"/>
  <c r="F93" i="2"/>
  <c r="B94" i="2"/>
  <c r="C94" i="2"/>
  <c r="D94" i="2"/>
  <c r="F94" i="2"/>
  <c r="B95" i="2"/>
  <c r="C95" i="2"/>
  <c r="D95" i="2"/>
  <c r="F95" i="2"/>
  <c r="B96" i="2"/>
  <c r="C96" i="2"/>
  <c r="D96" i="2"/>
  <c r="F96" i="2"/>
  <c r="B97" i="2"/>
  <c r="C97" i="2"/>
  <c r="D97" i="2"/>
  <c r="F97" i="2"/>
  <c r="B98" i="2"/>
  <c r="C98" i="2"/>
  <c r="D98" i="2"/>
  <c r="F98" i="2"/>
  <c r="B99" i="2"/>
  <c r="C99" i="2"/>
  <c r="D99" i="2"/>
  <c r="F99" i="2"/>
  <c r="B100" i="2"/>
  <c r="C100" i="2"/>
  <c r="D100" i="2"/>
  <c r="F100" i="2"/>
  <c r="B101" i="2"/>
  <c r="C101" i="2"/>
  <c r="D101" i="2"/>
  <c r="F101" i="2"/>
  <c r="B102" i="2"/>
  <c r="C102" i="2"/>
  <c r="D102" i="2"/>
  <c r="F102" i="2"/>
  <c r="B103" i="2"/>
  <c r="C103" i="2"/>
  <c r="D103" i="2"/>
  <c r="F103" i="2"/>
  <c r="B104" i="2"/>
  <c r="C104" i="2"/>
  <c r="D104" i="2"/>
  <c r="F104" i="2"/>
  <c r="B105" i="2"/>
  <c r="C105" i="2"/>
  <c r="D105" i="2"/>
  <c r="F105" i="2"/>
  <c r="B106" i="2"/>
  <c r="C106" i="2"/>
  <c r="D106" i="2"/>
  <c r="F106" i="2"/>
  <c r="B107" i="2"/>
  <c r="C107" i="2"/>
  <c r="D107" i="2"/>
  <c r="F107" i="2"/>
  <c r="B108" i="2"/>
  <c r="C108" i="2"/>
  <c r="D108" i="2"/>
  <c r="F108" i="2"/>
  <c r="B109" i="2"/>
  <c r="C109" i="2"/>
  <c r="D109" i="2"/>
  <c r="F109" i="2"/>
  <c r="B110" i="2"/>
  <c r="C110" i="2"/>
  <c r="D110" i="2"/>
  <c r="F110" i="2"/>
  <c r="B111" i="2"/>
  <c r="C111" i="2"/>
  <c r="D111" i="2"/>
  <c r="F111" i="2"/>
  <c r="B112" i="2"/>
  <c r="C112" i="2"/>
  <c r="D112" i="2"/>
  <c r="F112" i="2"/>
  <c r="B113" i="2"/>
  <c r="C113" i="2"/>
  <c r="D113" i="2"/>
  <c r="F113" i="2"/>
  <c r="B114" i="2"/>
  <c r="C114" i="2"/>
  <c r="D114" i="2"/>
  <c r="F114" i="2"/>
  <c r="B115" i="2"/>
  <c r="C115" i="2"/>
  <c r="D115" i="2"/>
  <c r="F115" i="2"/>
  <c r="B116" i="2"/>
  <c r="C116" i="2"/>
  <c r="D116" i="2"/>
  <c r="F116" i="2"/>
  <c r="B117" i="2"/>
  <c r="C117" i="2"/>
  <c r="D117" i="2"/>
  <c r="F117" i="2"/>
  <c r="B118" i="2"/>
  <c r="C118" i="2"/>
  <c r="D118" i="2"/>
  <c r="F118" i="2"/>
  <c r="B119" i="2"/>
  <c r="C119" i="2"/>
  <c r="D119" i="2"/>
  <c r="F119" i="2"/>
  <c r="B120" i="2"/>
  <c r="C120" i="2"/>
  <c r="D120" i="2"/>
  <c r="F120" i="2"/>
  <c r="B121" i="2"/>
  <c r="C121" i="2"/>
  <c r="D121" i="2"/>
  <c r="F121" i="2"/>
  <c r="B122" i="2"/>
  <c r="C122" i="2"/>
  <c r="D122" i="2"/>
  <c r="F122" i="2"/>
  <c r="B123" i="2"/>
  <c r="C123" i="2"/>
  <c r="D123" i="2"/>
  <c r="F123" i="2"/>
  <c r="B124" i="2"/>
  <c r="C124" i="2"/>
  <c r="D124" i="2"/>
  <c r="F124" i="2"/>
  <c r="B125" i="2"/>
  <c r="C125" i="2"/>
  <c r="D125" i="2"/>
  <c r="F125" i="2"/>
  <c r="B126" i="2"/>
  <c r="C126" i="2"/>
  <c r="D126" i="2"/>
  <c r="F126" i="2"/>
  <c r="B127" i="2"/>
  <c r="C127" i="2"/>
  <c r="D127" i="2"/>
  <c r="F127" i="2"/>
  <c r="B128" i="2"/>
  <c r="C128" i="2"/>
  <c r="D128" i="2"/>
  <c r="F128" i="2"/>
  <c r="B129" i="2"/>
  <c r="C129" i="2"/>
  <c r="D129" i="2"/>
  <c r="F129" i="2"/>
  <c r="B130" i="2"/>
  <c r="C130" i="2"/>
  <c r="D130" i="2"/>
  <c r="F130" i="2"/>
  <c r="B131" i="2"/>
  <c r="C131" i="2"/>
  <c r="D131" i="2"/>
  <c r="F131" i="2"/>
  <c r="B132" i="2"/>
  <c r="C132" i="2"/>
  <c r="D132" i="2"/>
  <c r="F132" i="2"/>
  <c r="B133" i="2"/>
  <c r="C133" i="2"/>
  <c r="D133" i="2"/>
  <c r="F133" i="2"/>
  <c r="B134" i="2"/>
  <c r="C134" i="2"/>
  <c r="D134" i="2"/>
  <c r="F134" i="2"/>
  <c r="B135" i="2"/>
  <c r="C135" i="2"/>
  <c r="D135" i="2"/>
  <c r="F135" i="2"/>
  <c r="B136" i="2"/>
  <c r="C136" i="2"/>
  <c r="D136" i="2"/>
  <c r="F136" i="2"/>
  <c r="B137" i="2"/>
  <c r="C137" i="2"/>
  <c r="D137" i="2"/>
  <c r="F137" i="2"/>
  <c r="B138" i="2"/>
  <c r="C138" i="2"/>
  <c r="D138" i="2"/>
  <c r="F138" i="2"/>
  <c r="B139" i="2"/>
  <c r="C139" i="2"/>
  <c r="D139" i="2"/>
  <c r="F139" i="2"/>
  <c r="B140" i="2"/>
  <c r="C140" i="2"/>
  <c r="D140" i="2"/>
  <c r="F140" i="2"/>
  <c r="B141" i="2"/>
  <c r="C141" i="2"/>
  <c r="D141" i="2"/>
  <c r="F141" i="2"/>
  <c r="B142" i="2"/>
  <c r="C142" i="2"/>
  <c r="D142" i="2"/>
  <c r="F142" i="2"/>
  <c r="B143" i="2"/>
  <c r="C143" i="2"/>
  <c r="D143" i="2"/>
  <c r="F143" i="2"/>
  <c r="B144" i="2"/>
  <c r="C144" i="2"/>
  <c r="D144" i="2"/>
  <c r="F144" i="2"/>
  <c r="B145" i="2"/>
  <c r="C145" i="2"/>
  <c r="D145" i="2"/>
  <c r="F145" i="2"/>
  <c r="B146" i="2"/>
  <c r="C146" i="2"/>
  <c r="D146" i="2"/>
  <c r="F146" i="2"/>
  <c r="B147" i="2"/>
  <c r="C147" i="2"/>
  <c r="D147" i="2"/>
  <c r="F147" i="2"/>
  <c r="B148" i="2"/>
  <c r="C148" i="2"/>
  <c r="D148" i="2"/>
  <c r="F148" i="2"/>
  <c r="B149" i="2"/>
  <c r="C149" i="2"/>
  <c r="D149" i="2"/>
  <c r="F149" i="2"/>
  <c r="B150" i="2"/>
  <c r="C150" i="2"/>
  <c r="D150" i="2"/>
  <c r="F150" i="2"/>
  <c r="B151" i="2"/>
  <c r="C151" i="2"/>
  <c r="D151" i="2"/>
  <c r="F151" i="2"/>
  <c r="B152" i="2"/>
  <c r="C152" i="2"/>
  <c r="D152" i="2"/>
  <c r="F152" i="2"/>
  <c r="B153" i="2"/>
  <c r="C153" i="2"/>
  <c r="D153" i="2"/>
  <c r="F153" i="2"/>
  <c r="B154" i="2"/>
  <c r="C154" i="2"/>
  <c r="D154" i="2"/>
  <c r="F154" i="2"/>
  <c r="B155" i="2"/>
  <c r="C155" i="2"/>
  <c r="D155" i="2"/>
  <c r="F155" i="2"/>
  <c r="B156" i="2"/>
  <c r="C156" i="2"/>
  <c r="D156" i="2"/>
  <c r="F156" i="2"/>
  <c r="B157" i="2"/>
  <c r="C157" i="2"/>
  <c r="D157" i="2"/>
  <c r="F157" i="2"/>
  <c r="B158" i="2"/>
  <c r="C158" i="2"/>
  <c r="D158" i="2"/>
  <c r="F158" i="2"/>
  <c r="B159" i="2"/>
  <c r="C159" i="2"/>
  <c r="D159" i="2"/>
  <c r="F159" i="2"/>
  <c r="B160" i="2"/>
  <c r="C160" i="2"/>
  <c r="D160" i="2"/>
  <c r="F160" i="2"/>
  <c r="B161" i="2"/>
  <c r="C161" i="2"/>
  <c r="D161" i="2"/>
  <c r="F161" i="2"/>
  <c r="B162" i="2"/>
  <c r="C162" i="2"/>
  <c r="D162" i="2"/>
  <c r="F162" i="2"/>
  <c r="B163" i="2"/>
  <c r="C163" i="2"/>
  <c r="D163" i="2"/>
  <c r="F163" i="2"/>
  <c r="B164" i="2"/>
  <c r="C164" i="2"/>
  <c r="D164" i="2"/>
  <c r="F164" i="2"/>
  <c r="B165" i="2"/>
  <c r="C165" i="2"/>
  <c r="D165" i="2"/>
  <c r="F165" i="2"/>
  <c r="B166" i="2"/>
  <c r="C166" i="2"/>
  <c r="D166" i="2"/>
  <c r="F166" i="2"/>
  <c r="B167" i="2"/>
  <c r="C167" i="2"/>
  <c r="D167" i="2"/>
  <c r="F167" i="2"/>
  <c r="B168" i="2"/>
  <c r="C168" i="2"/>
  <c r="D168" i="2"/>
  <c r="F168" i="2"/>
  <c r="B169" i="2"/>
  <c r="C169" i="2"/>
  <c r="D169" i="2"/>
  <c r="F169" i="2"/>
  <c r="B170" i="2"/>
  <c r="C170" i="2"/>
  <c r="D170" i="2"/>
  <c r="F170" i="2"/>
  <c r="B171" i="2"/>
  <c r="C171" i="2"/>
  <c r="D171" i="2"/>
  <c r="F171" i="2"/>
  <c r="B172" i="2"/>
  <c r="C172" i="2"/>
  <c r="D172" i="2"/>
  <c r="F172" i="2"/>
  <c r="B173" i="2"/>
  <c r="C173" i="2"/>
  <c r="D173" i="2"/>
  <c r="F173" i="2"/>
  <c r="B174" i="2"/>
  <c r="C174" i="2"/>
  <c r="D174" i="2"/>
  <c r="F174" i="2"/>
  <c r="B175" i="2"/>
  <c r="C175" i="2"/>
  <c r="D175" i="2"/>
  <c r="F175" i="2"/>
  <c r="B176" i="2"/>
  <c r="C176" i="2"/>
  <c r="D176" i="2"/>
  <c r="F176" i="2"/>
  <c r="B177" i="2"/>
  <c r="C177" i="2"/>
  <c r="D177" i="2"/>
  <c r="F177" i="2"/>
  <c r="B178" i="2"/>
  <c r="C178" i="2"/>
  <c r="D178" i="2"/>
  <c r="F178" i="2"/>
  <c r="B179" i="2"/>
  <c r="C179" i="2"/>
  <c r="D179" i="2"/>
  <c r="F179" i="2"/>
  <c r="B180" i="2"/>
  <c r="C180" i="2"/>
  <c r="D180" i="2"/>
  <c r="F180" i="2"/>
  <c r="B181" i="2"/>
  <c r="C181" i="2"/>
  <c r="D181" i="2"/>
  <c r="F181" i="2"/>
  <c r="B182" i="2"/>
  <c r="C182" i="2"/>
  <c r="D182" i="2"/>
  <c r="F182" i="2"/>
  <c r="B183" i="2"/>
  <c r="C183" i="2"/>
  <c r="D183" i="2"/>
  <c r="F183" i="2"/>
  <c r="B184" i="2"/>
  <c r="C184" i="2"/>
  <c r="D184" i="2"/>
  <c r="F184" i="2"/>
  <c r="B185" i="2"/>
  <c r="C185" i="2"/>
  <c r="D185" i="2"/>
  <c r="F185" i="2"/>
  <c r="B186" i="2"/>
  <c r="C186" i="2"/>
  <c r="D186" i="2"/>
  <c r="F186" i="2"/>
  <c r="B187" i="2"/>
  <c r="C187" i="2"/>
  <c r="D187" i="2"/>
  <c r="F187" i="2"/>
  <c r="B188" i="2"/>
  <c r="C188" i="2"/>
  <c r="D188" i="2"/>
  <c r="F188" i="2"/>
  <c r="B189" i="2"/>
  <c r="C189" i="2"/>
  <c r="D189" i="2"/>
  <c r="F189" i="2"/>
  <c r="B190" i="2"/>
  <c r="C190" i="2"/>
  <c r="D190" i="2"/>
  <c r="F190" i="2"/>
  <c r="B191" i="2"/>
  <c r="C191" i="2"/>
  <c r="D191" i="2"/>
  <c r="F191" i="2"/>
  <c r="B192" i="2"/>
  <c r="C192" i="2"/>
  <c r="D192" i="2"/>
  <c r="F192" i="2"/>
  <c r="B193" i="2"/>
  <c r="C193" i="2"/>
  <c r="D193" i="2"/>
  <c r="F193" i="2"/>
  <c r="B194" i="2"/>
  <c r="C194" i="2"/>
  <c r="D194" i="2"/>
  <c r="F194" i="2"/>
  <c r="B195" i="2"/>
  <c r="C195" i="2"/>
  <c r="D195" i="2"/>
  <c r="F195" i="2"/>
  <c r="B196" i="2"/>
  <c r="C196" i="2"/>
  <c r="D196" i="2"/>
  <c r="F196" i="2"/>
  <c r="B197" i="2"/>
  <c r="C197" i="2"/>
  <c r="D197" i="2"/>
  <c r="F197" i="2"/>
  <c r="B198" i="2"/>
  <c r="C198" i="2"/>
  <c r="D198" i="2"/>
  <c r="F198" i="2"/>
  <c r="B199" i="2"/>
  <c r="C199" i="2"/>
  <c r="D199" i="2"/>
  <c r="F199" i="2"/>
  <c r="B200" i="2"/>
  <c r="C200" i="2"/>
  <c r="D200" i="2"/>
  <c r="F200" i="2"/>
  <c r="B201" i="2"/>
  <c r="C201" i="2"/>
  <c r="D201" i="2"/>
  <c r="F201" i="2"/>
  <c r="B202" i="2"/>
  <c r="C202" i="2"/>
  <c r="D202" i="2"/>
  <c r="F202" i="2"/>
  <c r="B203" i="2"/>
  <c r="C203" i="2"/>
  <c r="D203" i="2"/>
  <c r="F203" i="2"/>
  <c r="B204" i="2"/>
  <c r="C204" i="2"/>
  <c r="D204" i="2"/>
  <c r="F204" i="2"/>
  <c r="B205" i="2"/>
  <c r="C205" i="2"/>
  <c r="D205" i="2"/>
  <c r="F205" i="2"/>
  <c r="B206" i="2"/>
  <c r="C206" i="2"/>
  <c r="D206" i="2"/>
  <c r="F206" i="2"/>
  <c r="B207" i="2"/>
  <c r="C207" i="2"/>
  <c r="D207" i="2"/>
  <c r="F207" i="2"/>
  <c r="B208" i="2"/>
  <c r="C208" i="2"/>
  <c r="D208" i="2"/>
  <c r="F208" i="2"/>
  <c r="B209" i="2"/>
  <c r="C209" i="2"/>
  <c r="D209" i="2"/>
  <c r="F209" i="2"/>
  <c r="B210" i="2"/>
  <c r="C210" i="2"/>
  <c r="D210" i="2"/>
  <c r="F210" i="2"/>
  <c r="B211" i="2"/>
  <c r="C211" i="2"/>
  <c r="D211" i="2"/>
  <c r="F211" i="2"/>
  <c r="B212" i="2"/>
  <c r="C212" i="2"/>
  <c r="D212" i="2"/>
  <c r="F212" i="2"/>
  <c r="B213" i="2"/>
  <c r="C213" i="2"/>
  <c r="D213" i="2"/>
  <c r="F213" i="2"/>
  <c r="B214" i="2"/>
  <c r="C214" i="2"/>
  <c r="D214" i="2"/>
  <c r="F214" i="2"/>
  <c r="B215" i="2"/>
  <c r="C215" i="2"/>
  <c r="D215" i="2"/>
  <c r="F215" i="2"/>
  <c r="B216" i="2"/>
  <c r="C216" i="2"/>
  <c r="D216" i="2"/>
  <c r="F216" i="2"/>
  <c r="B217" i="2"/>
  <c r="C217" i="2"/>
  <c r="D217" i="2"/>
  <c r="F217" i="2"/>
  <c r="B218" i="2"/>
  <c r="C218" i="2"/>
  <c r="D218" i="2"/>
  <c r="F218" i="2"/>
  <c r="B219" i="2"/>
  <c r="C219" i="2"/>
  <c r="D219" i="2"/>
  <c r="F219" i="2"/>
  <c r="B220" i="2"/>
  <c r="C220" i="2"/>
  <c r="D220" i="2"/>
  <c r="F220" i="2"/>
  <c r="B221" i="2"/>
  <c r="C221" i="2"/>
  <c r="D221" i="2"/>
  <c r="F221" i="2"/>
  <c r="B222" i="2"/>
  <c r="C222" i="2"/>
  <c r="D222" i="2"/>
  <c r="F222" i="2"/>
  <c r="B223" i="2"/>
  <c r="C223" i="2"/>
  <c r="D223" i="2"/>
  <c r="F223" i="2"/>
  <c r="B224" i="2"/>
  <c r="C224" i="2"/>
  <c r="D224" i="2"/>
  <c r="F224" i="2"/>
  <c r="B225" i="2"/>
  <c r="C225" i="2"/>
  <c r="D225" i="2"/>
  <c r="F225" i="2"/>
  <c r="B226" i="2"/>
  <c r="C226" i="2"/>
  <c r="D226" i="2"/>
  <c r="F226" i="2"/>
  <c r="B227" i="2"/>
  <c r="C227" i="2"/>
  <c r="D227" i="2"/>
  <c r="F227" i="2"/>
  <c r="B228" i="2"/>
  <c r="C228" i="2"/>
  <c r="D228" i="2"/>
  <c r="F228" i="2"/>
  <c r="B229" i="2"/>
  <c r="C229" i="2"/>
  <c r="D229" i="2"/>
  <c r="F229" i="2"/>
  <c r="B230" i="2"/>
  <c r="C230" i="2"/>
  <c r="D230" i="2"/>
  <c r="F230" i="2"/>
  <c r="B231" i="2"/>
  <c r="C231" i="2"/>
  <c r="D231" i="2"/>
  <c r="F231" i="2"/>
  <c r="B232" i="2"/>
  <c r="C232" i="2"/>
  <c r="D232" i="2"/>
  <c r="F232" i="2"/>
  <c r="B233" i="2"/>
  <c r="C233" i="2"/>
  <c r="D233" i="2"/>
  <c r="F233" i="2"/>
  <c r="B234" i="2"/>
  <c r="C234" i="2"/>
  <c r="D234" i="2"/>
  <c r="F234" i="2"/>
  <c r="B235" i="2"/>
  <c r="C235" i="2"/>
  <c r="D235" i="2"/>
  <c r="F235" i="2"/>
  <c r="B236" i="2"/>
  <c r="C236" i="2"/>
  <c r="D236" i="2"/>
  <c r="F236" i="2"/>
  <c r="B237" i="2"/>
  <c r="C237" i="2"/>
  <c r="D237" i="2"/>
  <c r="F237" i="2"/>
  <c r="B238" i="2"/>
  <c r="C238" i="2"/>
  <c r="D238" i="2"/>
  <c r="F238" i="2"/>
  <c r="B239" i="2"/>
  <c r="C239" i="2"/>
  <c r="D239" i="2"/>
  <c r="F239" i="2"/>
  <c r="B240" i="2"/>
  <c r="C240" i="2"/>
  <c r="D240" i="2"/>
  <c r="F240" i="2"/>
  <c r="B241" i="2"/>
  <c r="C241" i="2"/>
  <c r="D241" i="2"/>
  <c r="F241" i="2"/>
  <c r="B242" i="2"/>
  <c r="C242" i="2"/>
  <c r="D242" i="2"/>
  <c r="F242" i="2"/>
  <c r="B243" i="2"/>
  <c r="C243" i="2"/>
  <c r="D243" i="2"/>
  <c r="F243" i="2"/>
  <c r="B244" i="2"/>
  <c r="C244" i="2"/>
  <c r="D244" i="2"/>
  <c r="F244" i="2"/>
  <c r="B245" i="2"/>
  <c r="C245" i="2"/>
  <c r="D245" i="2"/>
  <c r="F245" i="2"/>
  <c r="B246" i="2"/>
  <c r="C246" i="2"/>
  <c r="D246" i="2"/>
  <c r="F246" i="2"/>
  <c r="B247" i="2"/>
  <c r="C247" i="2"/>
  <c r="D247" i="2"/>
  <c r="F247" i="2"/>
  <c r="B248" i="2"/>
  <c r="C248" i="2"/>
  <c r="D248" i="2"/>
  <c r="F248" i="2"/>
  <c r="B249" i="2"/>
  <c r="C249" i="2"/>
  <c r="D249" i="2"/>
  <c r="F249" i="2"/>
  <c r="B250" i="2"/>
  <c r="C250" i="2"/>
  <c r="D250" i="2"/>
  <c r="F250" i="2"/>
  <c r="B251" i="2"/>
  <c r="C251" i="2"/>
  <c r="D251" i="2"/>
  <c r="F251" i="2"/>
  <c r="B252" i="2"/>
  <c r="C252" i="2"/>
  <c r="D252" i="2"/>
  <c r="F252" i="2"/>
  <c r="B253" i="2"/>
  <c r="C253" i="2"/>
  <c r="D253" i="2"/>
  <c r="F253" i="2"/>
  <c r="B254" i="2"/>
  <c r="C254" i="2"/>
  <c r="D254" i="2"/>
  <c r="F254" i="2"/>
  <c r="B255" i="2"/>
  <c r="C255" i="2"/>
  <c r="D255" i="2"/>
  <c r="F255" i="2"/>
  <c r="B256" i="2"/>
  <c r="C256" i="2"/>
  <c r="D256" i="2"/>
  <c r="F256" i="2"/>
  <c r="B257" i="2"/>
  <c r="C257" i="2"/>
  <c r="D257" i="2"/>
  <c r="F257" i="2"/>
  <c r="B258" i="2"/>
  <c r="C258" i="2"/>
  <c r="D258" i="2"/>
  <c r="F258" i="2"/>
  <c r="B259" i="2"/>
  <c r="C259" i="2"/>
  <c r="D259" i="2"/>
  <c r="F259" i="2"/>
  <c r="B260" i="2"/>
  <c r="C260" i="2"/>
  <c r="D260" i="2"/>
  <c r="F260" i="2"/>
  <c r="B261" i="2"/>
  <c r="C261" i="2"/>
  <c r="D261" i="2"/>
  <c r="F261" i="2"/>
  <c r="B262" i="2"/>
  <c r="C262" i="2"/>
  <c r="D262" i="2"/>
  <c r="F262" i="2"/>
  <c r="B263" i="2"/>
  <c r="C263" i="2"/>
  <c r="D263" i="2"/>
  <c r="F263" i="2"/>
  <c r="B264" i="2"/>
  <c r="C264" i="2"/>
  <c r="D264" i="2"/>
  <c r="F264" i="2"/>
  <c r="B265" i="2"/>
  <c r="C265" i="2"/>
  <c r="D265" i="2"/>
  <c r="F265" i="2"/>
  <c r="B266" i="2"/>
  <c r="C266" i="2"/>
  <c r="D266" i="2"/>
  <c r="F266" i="2"/>
  <c r="B267" i="2"/>
  <c r="C267" i="2"/>
  <c r="D267" i="2"/>
  <c r="F267" i="2"/>
  <c r="B268" i="2"/>
  <c r="C268" i="2"/>
  <c r="D268" i="2"/>
  <c r="F268" i="2"/>
  <c r="B269" i="2"/>
  <c r="C269" i="2"/>
  <c r="D269" i="2"/>
  <c r="F269" i="2"/>
  <c r="B270" i="2"/>
  <c r="C270" i="2"/>
  <c r="D270" i="2"/>
  <c r="F270" i="2"/>
  <c r="B271" i="2"/>
  <c r="C271" i="2"/>
  <c r="D271" i="2"/>
  <c r="F271" i="2"/>
  <c r="B272" i="2"/>
  <c r="C272" i="2"/>
  <c r="D272" i="2"/>
  <c r="F272" i="2"/>
  <c r="B273" i="2"/>
  <c r="C273" i="2"/>
  <c r="D273" i="2"/>
  <c r="F273" i="2"/>
  <c r="B274" i="2"/>
  <c r="C274" i="2"/>
  <c r="D274" i="2"/>
  <c r="F274" i="2"/>
  <c r="B275" i="2"/>
  <c r="C275" i="2"/>
  <c r="D275" i="2"/>
  <c r="F275" i="2"/>
  <c r="B276" i="2"/>
  <c r="C276" i="2"/>
  <c r="D276" i="2"/>
  <c r="F276" i="2"/>
  <c r="B277" i="2"/>
  <c r="C277" i="2"/>
  <c r="D277" i="2"/>
  <c r="F277" i="2"/>
  <c r="B278" i="2"/>
  <c r="C278" i="2"/>
  <c r="D278" i="2"/>
  <c r="F278" i="2"/>
  <c r="B279" i="2"/>
  <c r="C279" i="2"/>
  <c r="D279" i="2"/>
  <c r="F279" i="2"/>
  <c r="B280" i="2"/>
  <c r="C280" i="2"/>
  <c r="D280" i="2"/>
  <c r="F280" i="2"/>
  <c r="B281" i="2"/>
  <c r="C281" i="2"/>
  <c r="D281" i="2"/>
  <c r="F281" i="2"/>
  <c r="B282" i="2"/>
  <c r="C282" i="2"/>
  <c r="D282" i="2"/>
  <c r="F282" i="2"/>
  <c r="B283" i="2"/>
  <c r="C283" i="2"/>
  <c r="D283" i="2"/>
  <c r="F283" i="2"/>
  <c r="B284" i="2"/>
  <c r="C284" i="2"/>
  <c r="D284" i="2"/>
  <c r="F284" i="2"/>
  <c r="B285" i="2"/>
  <c r="C285" i="2"/>
  <c r="D285" i="2"/>
  <c r="F285" i="2"/>
  <c r="B286" i="2"/>
  <c r="C286" i="2"/>
  <c r="D286" i="2"/>
  <c r="F286" i="2"/>
  <c r="B287" i="2"/>
  <c r="C287" i="2"/>
  <c r="D287" i="2"/>
  <c r="F287" i="2"/>
  <c r="B288" i="2"/>
  <c r="C288" i="2"/>
  <c r="D288" i="2"/>
  <c r="F288" i="2"/>
  <c r="B289" i="2"/>
  <c r="C289" i="2"/>
  <c r="D289" i="2"/>
  <c r="F289" i="2"/>
  <c r="B290" i="2"/>
  <c r="C290" i="2"/>
  <c r="D290" i="2"/>
  <c r="F290" i="2"/>
  <c r="B291" i="2"/>
  <c r="C291" i="2"/>
  <c r="D291" i="2"/>
  <c r="F291" i="2"/>
  <c r="B292" i="2"/>
  <c r="C292" i="2"/>
  <c r="D292" i="2"/>
  <c r="F292" i="2"/>
  <c r="B293" i="2"/>
  <c r="C293" i="2"/>
  <c r="D293" i="2"/>
  <c r="F293" i="2"/>
  <c r="B294" i="2"/>
  <c r="C294" i="2"/>
  <c r="D294" i="2"/>
  <c r="F294" i="2"/>
  <c r="B295" i="2"/>
  <c r="C295" i="2"/>
  <c r="D295" i="2"/>
  <c r="F295" i="2"/>
  <c r="B296" i="2"/>
  <c r="C296" i="2"/>
  <c r="D296" i="2"/>
  <c r="F296" i="2"/>
  <c r="B297" i="2"/>
  <c r="C297" i="2"/>
  <c r="D297" i="2"/>
  <c r="F297" i="2"/>
  <c r="B298" i="2"/>
  <c r="C298" i="2"/>
  <c r="D298" i="2"/>
  <c r="F298" i="2"/>
  <c r="B299" i="2"/>
  <c r="C299" i="2"/>
  <c r="D299" i="2"/>
  <c r="F299" i="2"/>
  <c r="B300" i="2"/>
  <c r="C300" i="2"/>
  <c r="D300" i="2"/>
  <c r="F300" i="2"/>
  <c r="B301" i="2"/>
  <c r="C301" i="2"/>
  <c r="D301" i="2"/>
  <c r="F301" i="2"/>
  <c r="B302" i="2"/>
  <c r="C302" i="2"/>
  <c r="D302" i="2"/>
  <c r="F302" i="2"/>
  <c r="B303" i="2"/>
  <c r="C303" i="2"/>
  <c r="D303" i="2"/>
  <c r="F303" i="2"/>
  <c r="B304" i="2"/>
  <c r="C304" i="2"/>
  <c r="D304" i="2"/>
  <c r="F304" i="2"/>
  <c r="B305" i="2"/>
  <c r="C305" i="2"/>
  <c r="D305" i="2"/>
  <c r="F305" i="2"/>
  <c r="B306" i="2"/>
  <c r="C306" i="2"/>
  <c r="D306" i="2"/>
  <c r="F306" i="2"/>
  <c r="B307" i="2"/>
  <c r="C307" i="2"/>
  <c r="D307" i="2"/>
  <c r="F307" i="2"/>
  <c r="B308" i="2"/>
  <c r="C308" i="2"/>
  <c r="D308" i="2"/>
  <c r="F308" i="2"/>
  <c r="B309" i="2"/>
  <c r="C309" i="2"/>
  <c r="D309" i="2"/>
  <c r="F309" i="2"/>
  <c r="B310" i="2"/>
  <c r="C310" i="2"/>
  <c r="D310" i="2"/>
  <c r="F310" i="2"/>
  <c r="B311" i="2"/>
  <c r="C311" i="2"/>
  <c r="D311" i="2"/>
  <c r="F311" i="2"/>
  <c r="B312" i="2"/>
  <c r="C312" i="2"/>
  <c r="D312" i="2"/>
  <c r="F312" i="2"/>
  <c r="B313" i="2"/>
  <c r="C313" i="2"/>
  <c r="D313" i="2"/>
  <c r="F313" i="2"/>
  <c r="B314" i="2"/>
  <c r="C314" i="2"/>
  <c r="D314" i="2"/>
  <c r="F314" i="2"/>
  <c r="B315" i="2"/>
  <c r="C315" i="2"/>
  <c r="D315" i="2"/>
  <c r="F315" i="2"/>
  <c r="B316" i="2"/>
  <c r="C316" i="2"/>
  <c r="D316" i="2"/>
  <c r="F316" i="2"/>
  <c r="B317" i="2"/>
  <c r="C317" i="2"/>
  <c r="D317" i="2"/>
  <c r="F317" i="2"/>
  <c r="B318" i="2"/>
  <c r="C318" i="2"/>
  <c r="D318" i="2"/>
  <c r="F318" i="2"/>
  <c r="B319" i="2"/>
  <c r="C319" i="2"/>
  <c r="D319" i="2"/>
  <c r="F319" i="2"/>
  <c r="B320" i="2"/>
  <c r="C320" i="2"/>
  <c r="D320" i="2"/>
  <c r="F320" i="2"/>
  <c r="B321" i="2"/>
  <c r="C321" i="2"/>
  <c r="D321" i="2"/>
  <c r="F321" i="2"/>
  <c r="B322" i="2"/>
  <c r="C322" i="2"/>
  <c r="D322" i="2"/>
  <c r="F322" i="2"/>
  <c r="B323" i="2"/>
  <c r="C323" i="2"/>
  <c r="D323" i="2"/>
  <c r="F323" i="2"/>
  <c r="B324" i="2"/>
  <c r="C324" i="2"/>
  <c r="D324" i="2"/>
  <c r="F324" i="2"/>
  <c r="B325" i="2"/>
  <c r="C325" i="2"/>
  <c r="D325" i="2"/>
  <c r="F325" i="2"/>
  <c r="B326" i="2"/>
  <c r="C326" i="2"/>
  <c r="D326" i="2"/>
  <c r="F326" i="2"/>
  <c r="B327" i="2"/>
  <c r="C327" i="2"/>
  <c r="D327" i="2"/>
  <c r="F327" i="2"/>
  <c r="B328" i="2"/>
  <c r="C328" i="2"/>
  <c r="D328" i="2"/>
  <c r="F328" i="2"/>
  <c r="B329" i="2"/>
  <c r="C329" i="2"/>
  <c r="D329" i="2"/>
  <c r="F329" i="2"/>
  <c r="B330" i="2"/>
  <c r="C330" i="2"/>
  <c r="D330" i="2"/>
  <c r="F330" i="2"/>
  <c r="B331" i="2"/>
  <c r="C331" i="2"/>
  <c r="D331" i="2"/>
  <c r="F331" i="2"/>
  <c r="B332" i="2"/>
  <c r="C332" i="2"/>
  <c r="D332" i="2"/>
  <c r="F332" i="2"/>
  <c r="B333" i="2"/>
  <c r="C333" i="2"/>
  <c r="D333" i="2"/>
  <c r="F333" i="2"/>
  <c r="B334" i="2"/>
  <c r="C334" i="2"/>
  <c r="D334" i="2"/>
  <c r="F334" i="2"/>
  <c r="B335" i="2"/>
  <c r="C335" i="2"/>
  <c r="D335" i="2"/>
  <c r="F335" i="2"/>
  <c r="B336" i="2"/>
  <c r="C336" i="2"/>
  <c r="D336" i="2"/>
  <c r="F336" i="2"/>
  <c r="B337" i="2"/>
  <c r="C337" i="2"/>
  <c r="D337" i="2"/>
  <c r="F337" i="2"/>
  <c r="B338" i="2"/>
  <c r="C338" i="2"/>
  <c r="D338" i="2"/>
  <c r="F338" i="2"/>
  <c r="B339" i="2"/>
  <c r="C339" i="2"/>
  <c r="D339" i="2"/>
  <c r="F339" i="2"/>
  <c r="B340" i="2"/>
  <c r="C340" i="2"/>
  <c r="D340" i="2"/>
  <c r="F340" i="2"/>
  <c r="B341" i="2"/>
  <c r="C341" i="2"/>
  <c r="D341" i="2"/>
  <c r="F341" i="2"/>
  <c r="B342" i="2"/>
  <c r="C342" i="2"/>
  <c r="D342" i="2"/>
  <c r="F342" i="2"/>
  <c r="B343" i="2"/>
  <c r="C343" i="2"/>
  <c r="D343" i="2"/>
  <c r="F343" i="2"/>
  <c r="B344" i="2"/>
  <c r="C344" i="2"/>
  <c r="D344" i="2"/>
  <c r="F344" i="2"/>
  <c r="B345" i="2"/>
  <c r="C345" i="2"/>
  <c r="D345" i="2"/>
  <c r="F345" i="2"/>
  <c r="B346" i="2"/>
  <c r="C346" i="2"/>
  <c r="D346" i="2"/>
  <c r="F346" i="2"/>
  <c r="B347" i="2"/>
  <c r="C347" i="2"/>
  <c r="D347" i="2"/>
  <c r="F347" i="2"/>
  <c r="B348" i="2"/>
  <c r="C348" i="2"/>
  <c r="D348" i="2"/>
  <c r="F348" i="2"/>
  <c r="B349" i="2"/>
  <c r="C349" i="2"/>
  <c r="D349" i="2"/>
  <c r="F349" i="2"/>
  <c r="D10" i="2"/>
  <c r="C10" i="2"/>
  <c r="F10" i="2"/>
  <c r="B6" i="2"/>
  <c r="L11" i="2"/>
  <c r="B10" i="2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5" i="5" l="1"/>
  <c r="A6" i="7"/>
  <c r="G685" i="2"/>
  <c r="G596" i="2"/>
  <c r="G649" i="2"/>
  <c r="G397" i="2"/>
  <c r="G522" i="2"/>
  <c r="G456" i="2"/>
  <c r="G680" i="2"/>
  <c r="G519" i="2"/>
  <c r="G446" i="2"/>
  <c r="G673" i="2"/>
  <c r="G635" i="2"/>
  <c r="G374" i="2"/>
  <c r="G366" i="2"/>
  <c r="G510" i="2"/>
  <c r="G419" i="2"/>
  <c r="G507" i="2"/>
  <c r="G407" i="2"/>
  <c r="G636" i="2"/>
  <c r="G628" i="2"/>
  <c r="G668" i="2"/>
  <c r="G676" i="2"/>
  <c r="G619" i="2"/>
  <c r="G611" i="2"/>
  <c r="G603" i="2"/>
  <c r="G595" i="2"/>
  <c r="G585" i="2"/>
  <c r="G577" i="2"/>
  <c r="G545" i="2"/>
  <c r="G563" i="2"/>
  <c r="G547" i="2"/>
  <c r="G531" i="2"/>
  <c r="G451" i="2"/>
  <c r="G443" i="2"/>
  <c r="G430" i="2"/>
  <c r="G429" i="2"/>
  <c r="G413" i="2"/>
  <c r="G432" i="2"/>
  <c r="G416" i="2"/>
  <c r="G386" i="2"/>
  <c r="G365" i="2"/>
  <c r="G406" i="2"/>
  <c r="G396" i="2"/>
  <c r="G371" i="2"/>
  <c r="G359" i="2"/>
  <c r="G608" i="2"/>
  <c r="G667" i="2"/>
  <c r="G576" i="2"/>
  <c r="G604" i="2"/>
  <c r="G665" i="2"/>
  <c r="G679" i="2"/>
  <c r="G550" i="2"/>
  <c r="G389" i="2"/>
  <c r="G516" i="2"/>
  <c r="G452" i="2"/>
  <c r="G403" i="2"/>
  <c r="G627" i="2"/>
  <c r="G521" i="2"/>
  <c r="G657" i="2"/>
  <c r="G378" i="2"/>
  <c r="G370" i="2"/>
  <c r="G464" i="2"/>
  <c r="G427" i="2"/>
  <c r="G411" i="2"/>
  <c r="G515" i="2"/>
  <c r="G672" i="2"/>
  <c r="G641" i="2"/>
  <c r="G632" i="2"/>
  <c r="G624" i="2"/>
  <c r="G686" i="2"/>
  <c r="G600" i="2"/>
  <c r="G554" i="2"/>
  <c r="G518" i="2"/>
  <c r="G505" i="2"/>
  <c r="G364" i="2"/>
  <c r="G631" i="2"/>
  <c r="G460" i="2"/>
  <c r="G415" i="2"/>
  <c r="G387" i="2"/>
  <c r="G656" i="2"/>
  <c r="G640" i="2"/>
  <c r="G651" i="2"/>
  <c r="G471" i="2"/>
  <c r="G623" i="2"/>
  <c r="G383" i="2"/>
  <c r="G517" i="2"/>
  <c r="G469" i="2"/>
  <c r="G461" i="2"/>
  <c r="G675" i="2"/>
  <c r="G376" i="2"/>
  <c r="G503" i="2"/>
  <c r="G652" i="2"/>
  <c r="G633" i="2"/>
  <c r="G496" i="2"/>
  <c r="G613" i="2"/>
  <c r="G601" i="2"/>
  <c r="G591" i="2"/>
  <c r="G579" i="2"/>
  <c r="G541" i="2"/>
  <c r="G500" i="2"/>
  <c r="G567" i="2"/>
  <c r="G543" i="2"/>
  <c r="G523" i="2"/>
  <c r="G453" i="2"/>
  <c r="G441" i="2"/>
  <c r="G414" i="2"/>
  <c r="G425" i="2"/>
  <c r="G643" i="2"/>
  <c r="G395" i="2"/>
  <c r="G660" i="2"/>
  <c r="G625" i="2"/>
  <c r="G609" i="2"/>
  <c r="G597" i="2"/>
  <c r="G581" i="2"/>
  <c r="G557" i="2"/>
  <c r="G555" i="2"/>
  <c r="G527" i="2"/>
  <c r="G447" i="2"/>
  <c r="G422" i="2"/>
  <c r="G417" i="2"/>
  <c r="G435" i="2"/>
  <c r="G412" i="2"/>
  <c r="G394" i="2"/>
  <c r="G373" i="2"/>
  <c r="G402" i="2"/>
  <c r="G379" i="2"/>
  <c r="G352" i="2"/>
  <c r="G433" i="2"/>
  <c r="G357" i="2"/>
  <c r="G385" i="2"/>
  <c r="G659" i="2"/>
  <c r="G468" i="2"/>
  <c r="G664" i="2"/>
  <c r="G583" i="2"/>
  <c r="G561" i="2"/>
  <c r="G398" i="2"/>
  <c r="G404" i="2"/>
  <c r="G360" i="2"/>
  <c r="G454" i="2"/>
  <c r="G511" i="2"/>
  <c r="G457" i="2"/>
  <c r="G372" i="2"/>
  <c r="G431" i="2"/>
  <c r="G648" i="2"/>
  <c r="G621" i="2"/>
  <c r="G607" i="2"/>
  <c r="G593" i="2"/>
  <c r="G575" i="2"/>
  <c r="G529" i="2"/>
  <c r="G571" i="2"/>
  <c r="G551" i="2"/>
  <c r="G445" i="2"/>
  <c r="G409" i="2"/>
  <c r="G428" i="2"/>
  <c r="G408" i="2"/>
  <c r="G390" i="2"/>
  <c r="G380" i="2"/>
  <c r="G400" i="2"/>
  <c r="G367" i="2"/>
  <c r="G393" i="2"/>
  <c r="G465" i="2"/>
  <c r="G368" i="2"/>
  <c r="G423" i="2"/>
  <c r="G644" i="2"/>
  <c r="G617" i="2"/>
  <c r="G605" i="2"/>
  <c r="G589" i="2"/>
  <c r="G573" i="2"/>
  <c r="G525" i="2"/>
  <c r="G569" i="2"/>
  <c r="G539" i="2"/>
  <c r="G437" i="2"/>
  <c r="G424" i="2"/>
  <c r="G382" i="2"/>
  <c r="G392" i="2"/>
  <c r="G361" i="2"/>
  <c r="G485" i="2"/>
  <c r="G513" i="2"/>
  <c r="G684" i="2"/>
  <c r="G629" i="2"/>
  <c r="G615" i="2"/>
  <c r="G599" i="2"/>
  <c r="G559" i="2"/>
  <c r="G535" i="2"/>
  <c r="G449" i="2"/>
  <c r="G434" i="2"/>
  <c r="G421" i="2"/>
  <c r="G439" i="2"/>
  <c r="G420" i="2"/>
  <c r="G377" i="2"/>
  <c r="G384" i="2"/>
  <c r="G363" i="2"/>
  <c r="G602" i="2"/>
  <c r="G568" i="2"/>
  <c r="G480" i="2"/>
  <c r="G552" i="2"/>
  <c r="G497" i="2"/>
  <c r="G506" i="2"/>
  <c r="G663" i="2"/>
  <c r="G655" i="2"/>
  <c r="G478" i="2"/>
  <c r="G544" i="2"/>
  <c r="G418" i="2"/>
  <c r="G474" i="2"/>
  <c r="G580" i="2"/>
  <c r="G614" i="2"/>
  <c r="G388" i="2"/>
  <c r="G586" i="2"/>
  <c r="G666" i="2"/>
  <c r="G592" i="2"/>
  <c r="G486" i="2"/>
  <c r="G565" i="2"/>
  <c r="G574" i="2"/>
  <c r="G444" i="2"/>
  <c r="G594" i="2"/>
  <c r="G687" i="2"/>
  <c r="G493" i="2"/>
  <c r="G436" i="2"/>
  <c r="G542" i="2"/>
  <c r="G356" i="2"/>
  <c r="G479" i="2"/>
  <c r="G489" i="2"/>
  <c r="G637" i="2"/>
  <c r="G462" i="2"/>
  <c r="G578" i="2"/>
  <c r="G473" i="2"/>
  <c r="G558" i="2"/>
  <c r="G546" i="2"/>
  <c r="G492" i="2"/>
  <c r="G647" i="2"/>
  <c r="G350" i="2"/>
  <c r="G494" i="2"/>
  <c r="G381" i="2"/>
  <c r="G530" i="2"/>
  <c r="G588" i="2"/>
  <c r="G570" i="2"/>
  <c r="G671" i="2"/>
  <c r="G487" i="2"/>
  <c r="G560" i="2"/>
  <c r="G426" i="2"/>
  <c r="G481" i="2"/>
  <c r="G405" i="2"/>
  <c r="G642" i="2"/>
  <c r="G524" i="2"/>
  <c r="G618" i="2"/>
  <c r="G438" i="2"/>
  <c r="G353" i="2"/>
  <c r="G495" i="2"/>
  <c r="G401" i="2"/>
  <c r="G606" i="2"/>
  <c r="G458" i="2"/>
  <c r="G645" i="2"/>
  <c r="G459" i="2"/>
  <c r="G502" i="2"/>
  <c r="G442" i="2"/>
  <c r="G630" i="2"/>
  <c r="G572" i="2"/>
  <c r="G488" i="2"/>
  <c r="G498" i="2"/>
  <c r="G653" i="2"/>
  <c r="G472" i="2"/>
  <c r="G610" i="2"/>
  <c r="G477" i="2"/>
  <c r="G616" i="2"/>
  <c r="G638" i="2"/>
  <c r="G532" i="2"/>
  <c r="G678" i="2"/>
  <c r="G354" i="2"/>
  <c r="G520" i="2"/>
  <c r="G476" i="2"/>
  <c r="G584" i="2"/>
  <c r="G598" i="2"/>
  <c r="G509" i="2"/>
  <c r="G682" i="2"/>
  <c r="G504" i="2"/>
  <c r="G369" i="2"/>
  <c r="G490" i="2"/>
  <c r="G501" i="2"/>
  <c r="G512" i="2"/>
  <c r="G658" i="2"/>
  <c r="G540" i="2"/>
  <c r="G634" i="2"/>
  <c r="G463" i="2"/>
  <c r="G399" i="2"/>
  <c r="G533" i="2"/>
  <c r="G491" i="2"/>
  <c r="G626" i="2"/>
  <c r="G466" i="2"/>
  <c r="G661" i="2"/>
  <c r="G475" i="2"/>
  <c r="G562" i="2"/>
  <c r="G538" i="2"/>
  <c r="G646" i="2"/>
  <c r="G351" i="2"/>
  <c r="G375" i="2"/>
  <c r="G590" i="2"/>
  <c r="G669" i="2"/>
  <c r="G537" i="2"/>
  <c r="G358" i="2"/>
  <c r="G484" i="2"/>
  <c r="G534" i="2"/>
  <c r="G654" i="2"/>
  <c r="G564" i="2"/>
  <c r="G483" i="2"/>
  <c r="G587" i="2"/>
  <c r="G526" i="2"/>
  <c r="G650" i="2"/>
  <c r="G508" i="2"/>
  <c r="G482" i="2"/>
  <c r="G391" i="2"/>
  <c r="G553" i="2"/>
  <c r="G670" i="2"/>
  <c r="G355" i="2"/>
  <c r="G440" i="2"/>
  <c r="G528" i="2"/>
  <c r="G582" i="2"/>
  <c r="G566" i="2"/>
  <c r="G683" i="2"/>
  <c r="G612" i="2"/>
  <c r="G450" i="2"/>
  <c r="G362" i="2"/>
  <c r="G448" i="2"/>
  <c r="G548" i="2"/>
  <c r="G410" i="2"/>
  <c r="G674" i="2"/>
  <c r="G470" i="2"/>
  <c r="G514" i="2"/>
  <c r="G467" i="2"/>
  <c r="G622" i="2"/>
  <c r="G499" i="2"/>
  <c r="G536" i="2"/>
  <c r="G639" i="2"/>
  <c r="G455" i="2"/>
  <c r="G556" i="2"/>
  <c r="G549" i="2"/>
  <c r="G677" i="2"/>
  <c r="G662" i="2"/>
  <c r="G681" i="2"/>
  <c r="G620" i="2"/>
  <c r="L12" i="2"/>
  <c r="A7" i="7" s="1"/>
  <c r="H42" i="3"/>
  <c r="D165" i="3"/>
  <c r="W165" i="3" s="1"/>
  <c r="D187" i="3"/>
  <c r="W187" i="3" s="1"/>
  <c r="E176" i="3"/>
  <c r="X176" i="3" s="1"/>
  <c r="D171" i="3"/>
  <c r="W171" i="3" s="1"/>
  <c r="E168" i="3"/>
  <c r="X168" i="3" s="1"/>
  <c r="D167" i="3"/>
  <c r="W167" i="3" s="1"/>
  <c r="D166" i="3"/>
  <c r="W166" i="3" s="1"/>
  <c r="D91" i="3"/>
  <c r="W91" i="3" s="1"/>
  <c r="D59" i="3"/>
  <c r="W59" i="3" s="1"/>
  <c r="D43" i="3"/>
  <c r="W43" i="3" s="1"/>
  <c r="D35" i="3"/>
  <c r="W35" i="3" s="1"/>
  <c r="D25" i="3"/>
  <c r="W25" i="3" s="1"/>
  <c r="D17" i="3"/>
  <c r="W17" i="3" s="1"/>
  <c r="D13" i="3"/>
  <c r="W13" i="3" s="1"/>
  <c r="D11" i="3"/>
  <c r="W11" i="3" s="1"/>
  <c r="D123" i="3"/>
  <c r="W123" i="3" s="1"/>
  <c r="D107" i="3"/>
  <c r="W107" i="3" s="1"/>
  <c r="D99" i="3"/>
  <c r="W99" i="3" s="1"/>
  <c r="D95" i="3"/>
  <c r="W95" i="3" s="1"/>
  <c r="D93" i="3"/>
  <c r="W93" i="3" s="1"/>
  <c r="D92" i="3"/>
  <c r="W92" i="3" s="1"/>
  <c r="E91" i="3"/>
  <c r="X91" i="3" s="1"/>
  <c r="D10" i="3"/>
  <c r="W10" i="3" s="1"/>
  <c r="D8" i="3"/>
  <c r="W8" i="3" s="1"/>
  <c r="D139" i="3"/>
  <c r="W139" i="3" s="1"/>
  <c r="D131" i="3"/>
  <c r="W131" i="3" s="1"/>
  <c r="D127" i="3"/>
  <c r="W127" i="3" s="1"/>
  <c r="D125" i="3"/>
  <c r="W125" i="3" s="1"/>
  <c r="D124" i="3"/>
  <c r="W124" i="3" s="1"/>
  <c r="E123" i="3"/>
  <c r="X123" i="3" s="1"/>
  <c r="D75" i="3"/>
  <c r="W75" i="3" s="1"/>
  <c r="D67" i="3"/>
  <c r="W67" i="3" s="1"/>
  <c r="D63" i="3"/>
  <c r="W63" i="3" s="1"/>
  <c r="D61" i="3"/>
  <c r="W61" i="3" s="1"/>
  <c r="D60" i="3"/>
  <c r="W60" i="3" s="1"/>
  <c r="E59" i="3"/>
  <c r="X59" i="3" s="1"/>
  <c r="D197" i="3"/>
  <c r="W197" i="3" s="1"/>
  <c r="E192" i="3"/>
  <c r="X192" i="3" s="1"/>
  <c r="D189" i="3"/>
  <c r="W189" i="3" s="1"/>
  <c r="D188" i="3"/>
  <c r="W188" i="3" s="1"/>
  <c r="E187" i="3"/>
  <c r="X187" i="3" s="1"/>
  <c r="D155" i="3"/>
  <c r="W155" i="3" s="1"/>
  <c r="D151" i="3"/>
  <c r="W151" i="3" s="1"/>
  <c r="D149" i="3"/>
  <c r="W149" i="3" s="1"/>
  <c r="D147" i="3"/>
  <c r="W147" i="3" s="1"/>
  <c r="D143" i="3"/>
  <c r="W143" i="3" s="1"/>
  <c r="D141" i="3"/>
  <c r="W141" i="3" s="1"/>
  <c r="D140" i="3"/>
  <c r="W140" i="3" s="1"/>
  <c r="E139" i="3"/>
  <c r="X139" i="3" s="1"/>
  <c r="D115" i="3"/>
  <c r="W115" i="3" s="1"/>
  <c r="D111" i="3"/>
  <c r="W111" i="3" s="1"/>
  <c r="D109" i="3"/>
  <c r="W109" i="3" s="1"/>
  <c r="D108" i="3"/>
  <c r="W108" i="3" s="1"/>
  <c r="E107" i="3"/>
  <c r="X107" i="3" s="1"/>
  <c r="D83" i="3"/>
  <c r="W83" i="3" s="1"/>
  <c r="D79" i="3"/>
  <c r="W79" i="3" s="1"/>
  <c r="D77" i="3"/>
  <c r="W77" i="3" s="1"/>
  <c r="D76" i="3"/>
  <c r="W76" i="3" s="1"/>
  <c r="E75" i="3"/>
  <c r="X75" i="3" s="1"/>
  <c r="D51" i="3"/>
  <c r="W51" i="3" s="1"/>
  <c r="D47" i="3"/>
  <c r="W47" i="3" s="1"/>
  <c r="D45" i="3"/>
  <c r="W45" i="3" s="1"/>
  <c r="D44" i="3"/>
  <c r="W44" i="3" s="1"/>
  <c r="E43" i="3"/>
  <c r="X43" i="3" s="1"/>
  <c r="D29" i="3"/>
  <c r="W29" i="3" s="1"/>
  <c r="D27" i="3"/>
  <c r="W27" i="3" s="1"/>
  <c r="D26" i="3"/>
  <c r="W26" i="3" s="1"/>
  <c r="E25" i="3"/>
  <c r="X25" i="3" s="1"/>
  <c r="D202" i="3"/>
  <c r="W202" i="3" s="1"/>
  <c r="E200" i="3"/>
  <c r="X200" i="3" s="1"/>
  <c r="D199" i="3"/>
  <c r="W199" i="3" s="1"/>
  <c r="D198" i="3"/>
  <c r="W198" i="3" s="1"/>
  <c r="E197" i="3"/>
  <c r="X197" i="3" s="1"/>
  <c r="D181" i="3"/>
  <c r="W181" i="3" s="1"/>
  <c r="D179" i="3"/>
  <c r="W179" i="3" s="1"/>
  <c r="D177" i="3"/>
  <c r="W177" i="3" s="1"/>
  <c r="E160" i="3"/>
  <c r="X160" i="3" s="1"/>
  <c r="D157" i="3"/>
  <c r="W157" i="3" s="1"/>
  <c r="D156" i="3"/>
  <c r="W156" i="3" s="1"/>
  <c r="E155" i="3"/>
  <c r="X155" i="3" s="1"/>
  <c r="E165" i="3"/>
  <c r="X165" i="3" s="1"/>
  <c r="D148" i="3"/>
  <c r="W148" i="3" s="1"/>
  <c r="E147" i="3"/>
  <c r="X147" i="3" s="1"/>
  <c r="D135" i="3"/>
  <c r="W135" i="3" s="1"/>
  <c r="D133" i="3"/>
  <c r="W133" i="3" s="1"/>
  <c r="D132" i="3"/>
  <c r="W132" i="3" s="1"/>
  <c r="E131" i="3"/>
  <c r="X131" i="3" s="1"/>
  <c r="D119" i="3"/>
  <c r="W119" i="3" s="1"/>
  <c r="D117" i="3"/>
  <c r="W117" i="3" s="1"/>
  <c r="D116" i="3"/>
  <c r="W116" i="3" s="1"/>
  <c r="E115" i="3"/>
  <c r="X115" i="3" s="1"/>
  <c r="D103" i="3"/>
  <c r="W103" i="3" s="1"/>
  <c r="D101" i="3"/>
  <c r="W101" i="3" s="1"/>
  <c r="D100" i="3"/>
  <c r="W100" i="3" s="1"/>
  <c r="E99" i="3"/>
  <c r="X99" i="3" s="1"/>
  <c r="D87" i="3"/>
  <c r="W87" i="3" s="1"/>
  <c r="D85" i="3"/>
  <c r="W85" i="3" s="1"/>
  <c r="D84" i="3"/>
  <c r="W84" i="3" s="1"/>
  <c r="E83" i="3"/>
  <c r="X83" i="3" s="1"/>
  <c r="D71" i="3"/>
  <c r="W71" i="3" s="1"/>
  <c r="D69" i="3"/>
  <c r="W69" i="3" s="1"/>
  <c r="D68" i="3"/>
  <c r="W68" i="3" s="1"/>
  <c r="E67" i="3"/>
  <c r="X67" i="3" s="1"/>
  <c r="D55" i="3"/>
  <c r="W55" i="3" s="1"/>
  <c r="D53" i="3"/>
  <c r="W53" i="3" s="1"/>
  <c r="D52" i="3"/>
  <c r="W52" i="3" s="1"/>
  <c r="E51" i="3"/>
  <c r="X51" i="3" s="1"/>
  <c r="D39" i="3"/>
  <c r="W39" i="3" s="1"/>
  <c r="D37" i="3"/>
  <c r="W37" i="3" s="1"/>
  <c r="D36" i="3"/>
  <c r="W36" i="3" s="1"/>
  <c r="E35" i="3"/>
  <c r="X35" i="3" s="1"/>
  <c r="D21" i="3"/>
  <c r="W21" i="3" s="1"/>
  <c r="D19" i="3"/>
  <c r="W19" i="3" s="1"/>
  <c r="D18" i="3"/>
  <c r="W18" i="3" s="1"/>
  <c r="E17" i="3"/>
  <c r="X17" i="3" s="1"/>
  <c r="D204" i="3"/>
  <c r="W204" i="3" s="1"/>
  <c r="D203" i="3"/>
  <c r="W203" i="3" s="1"/>
  <c r="E202" i="3"/>
  <c r="X202" i="3" s="1"/>
  <c r="D195" i="3"/>
  <c r="W195" i="3" s="1"/>
  <c r="D193" i="3"/>
  <c r="W193" i="3" s="1"/>
  <c r="E184" i="3"/>
  <c r="X184" i="3" s="1"/>
  <c r="D183" i="3"/>
  <c r="W183" i="3" s="1"/>
  <c r="D182" i="3"/>
  <c r="W182" i="3" s="1"/>
  <c r="E181" i="3"/>
  <c r="X181" i="3" s="1"/>
  <c r="D173" i="3"/>
  <c r="W173" i="3" s="1"/>
  <c r="D172" i="3"/>
  <c r="W172" i="3" s="1"/>
  <c r="E171" i="3"/>
  <c r="X171" i="3" s="1"/>
  <c r="D163" i="3"/>
  <c r="W163" i="3" s="1"/>
  <c r="D161" i="3"/>
  <c r="W161" i="3" s="1"/>
  <c r="D153" i="3"/>
  <c r="W153" i="3" s="1"/>
  <c r="D152" i="3"/>
  <c r="W152" i="3" s="1"/>
  <c r="E151" i="3"/>
  <c r="X151" i="3" s="1"/>
  <c r="D145" i="3"/>
  <c r="W145" i="3" s="1"/>
  <c r="D144" i="3"/>
  <c r="W144" i="3" s="1"/>
  <c r="E143" i="3"/>
  <c r="X143" i="3" s="1"/>
  <c r="D137" i="3"/>
  <c r="W137" i="3" s="1"/>
  <c r="D136" i="3"/>
  <c r="W136" i="3" s="1"/>
  <c r="E135" i="3"/>
  <c r="X135" i="3" s="1"/>
  <c r="D129" i="3"/>
  <c r="W129" i="3" s="1"/>
  <c r="D128" i="3"/>
  <c r="W128" i="3" s="1"/>
  <c r="E127" i="3"/>
  <c r="X127" i="3" s="1"/>
  <c r="D121" i="3"/>
  <c r="W121" i="3" s="1"/>
  <c r="D120" i="3"/>
  <c r="W120" i="3" s="1"/>
  <c r="E119" i="3"/>
  <c r="X119" i="3" s="1"/>
  <c r="D113" i="3"/>
  <c r="W113" i="3" s="1"/>
  <c r="D112" i="3"/>
  <c r="W112" i="3" s="1"/>
  <c r="E111" i="3"/>
  <c r="X111" i="3" s="1"/>
  <c r="D105" i="3"/>
  <c r="W105" i="3" s="1"/>
  <c r="D104" i="3"/>
  <c r="W104" i="3" s="1"/>
  <c r="E103" i="3"/>
  <c r="X103" i="3" s="1"/>
  <c r="D97" i="3"/>
  <c r="W97" i="3" s="1"/>
  <c r="D96" i="3"/>
  <c r="W96" i="3" s="1"/>
  <c r="E95" i="3"/>
  <c r="X95" i="3" s="1"/>
  <c r="D89" i="3"/>
  <c r="W89" i="3" s="1"/>
  <c r="D88" i="3"/>
  <c r="W88" i="3" s="1"/>
  <c r="E87" i="3"/>
  <c r="X87" i="3" s="1"/>
  <c r="D81" i="3"/>
  <c r="W81" i="3" s="1"/>
  <c r="D80" i="3"/>
  <c r="W80" i="3" s="1"/>
  <c r="E79" i="3"/>
  <c r="X79" i="3" s="1"/>
  <c r="D73" i="3"/>
  <c r="W73" i="3" s="1"/>
  <c r="D72" i="3"/>
  <c r="W72" i="3" s="1"/>
  <c r="E71" i="3"/>
  <c r="X71" i="3" s="1"/>
  <c r="D65" i="3"/>
  <c r="W65" i="3" s="1"/>
  <c r="D64" i="3"/>
  <c r="W64" i="3" s="1"/>
  <c r="E63" i="3"/>
  <c r="X63" i="3" s="1"/>
  <c r="D57" i="3"/>
  <c r="W57" i="3" s="1"/>
  <c r="D56" i="3"/>
  <c r="W56" i="3" s="1"/>
  <c r="E55" i="3"/>
  <c r="X55" i="3" s="1"/>
  <c r="D49" i="3"/>
  <c r="W49" i="3" s="1"/>
  <c r="D48" i="3"/>
  <c r="W48" i="3" s="1"/>
  <c r="E47" i="3"/>
  <c r="X47" i="3" s="1"/>
  <c r="D41" i="3"/>
  <c r="W41" i="3" s="1"/>
  <c r="D40" i="3"/>
  <c r="W40" i="3" s="1"/>
  <c r="E39" i="3"/>
  <c r="X39" i="3" s="1"/>
  <c r="D33" i="3"/>
  <c r="W33" i="3" s="1"/>
  <c r="D32" i="3"/>
  <c r="W32" i="3" s="1"/>
  <c r="D30" i="3"/>
  <c r="W30" i="3" s="1"/>
  <c r="D7" i="3"/>
  <c r="W7" i="3" s="1"/>
  <c r="E29" i="3"/>
  <c r="X29" i="3" s="1"/>
  <c r="D23" i="3"/>
  <c r="W23" i="3" s="1"/>
  <c r="D22" i="3"/>
  <c r="W22" i="3" s="1"/>
  <c r="E21" i="3"/>
  <c r="X21" i="3" s="1"/>
  <c r="D15" i="3"/>
  <c r="W15" i="3" s="1"/>
  <c r="D14" i="3"/>
  <c r="W14" i="3" s="1"/>
  <c r="E13" i="3"/>
  <c r="X13" i="3" s="1"/>
  <c r="D205" i="3"/>
  <c r="W205" i="3" s="1"/>
  <c r="E204" i="3"/>
  <c r="X204" i="3" s="1"/>
  <c r="D201" i="3"/>
  <c r="W201" i="3" s="1"/>
  <c r="D196" i="3"/>
  <c r="W196" i="3" s="1"/>
  <c r="E195" i="3"/>
  <c r="X195" i="3" s="1"/>
  <c r="D191" i="3"/>
  <c r="W191" i="3" s="1"/>
  <c r="D190" i="3"/>
  <c r="W190" i="3" s="1"/>
  <c r="E189" i="3"/>
  <c r="X189" i="3" s="1"/>
  <c r="D185" i="3"/>
  <c r="W185" i="3" s="1"/>
  <c r="D180" i="3"/>
  <c r="W180" i="3" s="1"/>
  <c r="E179" i="3"/>
  <c r="X179" i="3" s="1"/>
  <c r="D175" i="3"/>
  <c r="W175" i="3" s="1"/>
  <c r="D174" i="3"/>
  <c r="W174" i="3" s="1"/>
  <c r="E173" i="3"/>
  <c r="X173" i="3" s="1"/>
  <c r="D169" i="3"/>
  <c r="W169" i="3" s="1"/>
  <c r="D164" i="3"/>
  <c r="W164" i="3" s="1"/>
  <c r="E163" i="3"/>
  <c r="X163" i="3" s="1"/>
  <c r="D159" i="3"/>
  <c r="W159" i="3" s="1"/>
  <c r="D158" i="3"/>
  <c r="W158" i="3" s="1"/>
  <c r="E157" i="3"/>
  <c r="X157" i="3" s="1"/>
  <c r="D154" i="3"/>
  <c r="W154" i="3" s="1"/>
  <c r="E153" i="3"/>
  <c r="X153" i="3" s="1"/>
  <c r="D150" i="3"/>
  <c r="W150" i="3" s="1"/>
  <c r="E149" i="3"/>
  <c r="X149" i="3" s="1"/>
  <c r="D146" i="3"/>
  <c r="W146" i="3" s="1"/>
  <c r="E145" i="3"/>
  <c r="X145" i="3" s="1"/>
  <c r="D142" i="3"/>
  <c r="W142" i="3" s="1"/>
  <c r="E141" i="3"/>
  <c r="X141" i="3" s="1"/>
  <c r="D138" i="3"/>
  <c r="W138" i="3" s="1"/>
  <c r="E137" i="3"/>
  <c r="X137" i="3" s="1"/>
  <c r="D134" i="3"/>
  <c r="W134" i="3" s="1"/>
  <c r="E133" i="3"/>
  <c r="X133" i="3" s="1"/>
  <c r="D130" i="3"/>
  <c r="W130" i="3" s="1"/>
  <c r="E129" i="3"/>
  <c r="X129" i="3" s="1"/>
  <c r="D126" i="3"/>
  <c r="W126" i="3" s="1"/>
  <c r="E125" i="3"/>
  <c r="X125" i="3" s="1"/>
  <c r="D122" i="3"/>
  <c r="W122" i="3" s="1"/>
  <c r="E121" i="3"/>
  <c r="X121" i="3" s="1"/>
  <c r="D118" i="3"/>
  <c r="W118" i="3" s="1"/>
  <c r="E117" i="3"/>
  <c r="X117" i="3" s="1"/>
  <c r="D114" i="3"/>
  <c r="W114" i="3" s="1"/>
  <c r="E113" i="3"/>
  <c r="X113" i="3" s="1"/>
  <c r="D110" i="3"/>
  <c r="W110" i="3" s="1"/>
  <c r="E109" i="3"/>
  <c r="X109" i="3" s="1"/>
  <c r="D106" i="3"/>
  <c r="W106" i="3" s="1"/>
  <c r="E105" i="3"/>
  <c r="X105" i="3" s="1"/>
  <c r="D102" i="3"/>
  <c r="W102" i="3" s="1"/>
  <c r="E101" i="3"/>
  <c r="X101" i="3" s="1"/>
  <c r="D98" i="3"/>
  <c r="W98" i="3" s="1"/>
  <c r="E97" i="3"/>
  <c r="X97" i="3" s="1"/>
  <c r="D94" i="3"/>
  <c r="W94" i="3" s="1"/>
  <c r="E93" i="3"/>
  <c r="X93" i="3" s="1"/>
  <c r="D90" i="3"/>
  <c r="W90" i="3" s="1"/>
  <c r="E89" i="3"/>
  <c r="X89" i="3" s="1"/>
  <c r="D86" i="3"/>
  <c r="W86" i="3" s="1"/>
  <c r="E85" i="3"/>
  <c r="X85" i="3" s="1"/>
  <c r="D82" i="3"/>
  <c r="W82" i="3" s="1"/>
  <c r="E81" i="3"/>
  <c r="X81" i="3" s="1"/>
  <c r="D78" i="3"/>
  <c r="W78" i="3" s="1"/>
  <c r="E77" i="3"/>
  <c r="X77" i="3" s="1"/>
  <c r="D74" i="3"/>
  <c r="W74" i="3" s="1"/>
  <c r="E73" i="3"/>
  <c r="X73" i="3" s="1"/>
  <c r="D70" i="3"/>
  <c r="W70" i="3" s="1"/>
  <c r="E69" i="3"/>
  <c r="X69" i="3" s="1"/>
  <c r="D66" i="3"/>
  <c r="W66" i="3" s="1"/>
  <c r="E65" i="3"/>
  <c r="X65" i="3" s="1"/>
  <c r="D62" i="3"/>
  <c r="W62" i="3" s="1"/>
  <c r="E61" i="3"/>
  <c r="X61" i="3" s="1"/>
  <c r="D58" i="3"/>
  <c r="W58" i="3" s="1"/>
  <c r="E57" i="3"/>
  <c r="X57" i="3" s="1"/>
  <c r="D54" i="3"/>
  <c r="W54" i="3" s="1"/>
  <c r="E53" i="3"/>
  <c r="X53" i="3" s="1"/>
  <c r="D50" i="3"/>
  <c r="W50" i="3" s="1"/>
  <c r="E49" i="3"/>
  <c r="X49" i="3" s="1"/>
  <c r="D46" i="3"/>
  <c r="W46" i="3" s="1"/>
  <c r="E45" i="3"/>
  <c r="X45" i="3" s="1"/>
  <c r="D42" i="3"/>
  <c r="W42" i="3" s="1"/>
  <c r="E41" i="3"/>
  <c r="X41" i="3" s="1"/>
  <c r="D38" i="3"/>
  <c r="W38" i="3" s="1"/>
  <c r="E37" i="3"/>
  <c r="X37" i="3" s="1"/>
  <c r="D34" i="3"/>
  <c r="W34" i="3" s="1"/>
  <c r="E33" i="3"/>
  <c r="X33" i="3" s="1"/>
  <c r="D31" i="3"/>
  <c r="W31" i="3" s="1"/>
  <c r="E27" i="2"/>
  <c r="G27" i="2" s="1"/>
  <c r="D28" i="3"/>
  <c r="W28" i="3" s="1"/>
  <c r="E27" i="3"/>
  <c r="X27" i="3" s="1"/>
  <c r="D24" i="3"/>
  <c r="W24" i="3" s="1"/>
  <c r="E23" i="3"/>
  <c r="X23" i="3" s="1"/>
  <c r="D20" i="3"/>
  <c r="W20" i="3" s="1"/>
  <c r="E19" i="3"/>
  <c r="X19" i="3" s="1"/>
  <c r="D16" i="3"/>
  <c r="W16" i="3" s="1"/>
  <c r="E15" i="3"/>
  <c r="X15" i="3" s="1"/>
  <c r="D12" i="3"/>
  <c r="W12" i="3" s="1"/>
  <c r="E11" i="3"/>
  <c r="X11" i="3" s="1"/>
  <c r="D9" i="3"/>
  <c r="W9" i="3" s="1"/>
  <c r="E205" i="3"/>
  <c r="X205" i="3" s="1"/>
  <c r="E203" i="3"/>
  <c r="X203" i="3" s="1"/>
  <c r="E201" i="3"/>
  <c r="X201" i="3" s="1"/>
  <c r="D200" i="3"/>
  <c r="W200" i="3" s="1"/>
  <c r="E199" i="3"/>
  <c r="X199" i="3" s="1"/>
  <c r="E196" i="3"/>
  <c r="X196" i="3" s="1"/>
  <c r="D194" i="3"/>
  <c r="W194" i="3" s="1"/>
  <c r="E193" i="3"/>
  <c r="X193" i="3" s="1"/>
  <c r="D192" i="3"/>
  <c r="W192" i="3" s="1"/>
  <c r="E191" i="3"/>
  <c r="X191" i="3" s="1"/>
  <c r="E188" i="3"/>
  <c r="X188" i="3" s="1"/>
  <c r="D186" i="3"/>
  <c r="W186" i="3" s="1"/>
  <c r="E185" i="3"/>
  <c r="X185" i="3" s="1"/>
  <c r="D184" i="3"/>
  <c r="W184" i="3" s="1"/>
  <c r="E183" i="3"/>
  <c r="X183" i="3" s="1"/>
  <c r="E180" i="3"/>
  <c r="X180" i="3" s="1"/>
  <c r="D178" i="3"/>
  <c r="W178" i="3" s="1"/>
  <c r="E177" i="3"/>
  <c r="X177" i="3" s="1"/>
  <c r="D176" i="3"/>
  <c r="W176" i="3" s="1"/>
  <c r="E175" i="3"/>
  <c r="X175" i="3" s="1"/>
  <c r="E172" i="3"/>
  <c r="X172" i="3" s="1"/>
  <c r="D170" i="3"/>
  <c r="W170" i="3" s="1"/>
  <c r="E169" i="3"/>
  <c r="X169" i="3" s="1"/>
  <c r="D168" i="3"/>
  <c r="W168" i="3" s="1"/>
  <c r="E167" i="3"/>
  <c r="X167" i="3" s="1"/>
  <c r="E164" i="3"/>
  <c r="X164" i="3" s="1"/>
  <c r="D162" i="3"/>
  <c r="W162" i="3" s="1"/>
  <c r="E161" i="3"/>
  <c r="X161" i="3" s="1"/>
  <c r="D160" i="3"/>
  <c r="W160" i="3" s="1"/>
  <c r="E159" i="3"/>
  <c r="X159" i="3" s="1"/>
  <c r="E156" i="3"/>
  <c r="X156" i="3" s="1"/>
  <c r="E154" i="3"/>
  <c r="X154" i="3" s="1"/>
  <c r="E152" i="3"/>
  <c r="X152" i="3" s="1"/>
  <c r="E150" i="3"/>
  <c r="X150" i="3" s="1"/>
  <c r="E148" i="3"/>
  <c r="X148" i="3" s="1"/>
  <c r="E146" i="3"/>
  <c r="X146" i="3" s="1"/>
  <c r="E144" i="3"/>
  <c r="X144" i="3" s="1"/>
  <c r="E142" i="3"/>
  <c r="X142" i="3" s="1"/>
  <c r="E140" i="3"/>
  <c r="X140" i="3" s="1"/>
  <c r="E138" i="3"/>
  <c r="X138" i="3" s="1"/>
  <c r="E136" i="3"/>
  <c r="X136" i="3" s="1"/>
  <c r="E134" i="3"/>
  <c r="X134" i="3" s="1"/>
  <c r="E132" i="3"/>
  <c r="X132" i="3" s="1"/>
  <c r="E130" i="3"/>
  <c r="X130" i="3" s="1"/>
  <c r="E128" i="3"/>
  <c r="X128" i="3" s="1"/>
  <c r="E126" i="3"/>
  <c r="X126" i="3" s="1"/>
  <c r="E124" i="3"/>
  <c r="X124" i="3" s="1"/>
  <c r="E122" i="3"/>
  <c r="X122" i="3" s="1"/>
  <c r="E120" i="3"/>
  <c r="X120" i="3" s="1"/>
  <c r="E118" i="3"/>
  <c r="X118" i="3" s="1"/>
  <c r="E116" i="3"/>
  <c r="X116" i="3" s="1"/>
  <c r="E114" i="3"/>
  <c r="X114" i="3" s="1"/>
  <c r="E112" i="3"/>
  <c r="X112" i="3" s="1"/>
  <c r="E110" i="3"/>
  <c r="X110" i="3" s="1"/>
  <c r="E108" i="3"/>
  <c r="X108" i="3" s="1"/>
  <c r="E106" i="3"/>
  <c r="X106" i="3" s="1"/>
  <c r="E104" i="3"/>
  <c r="X104" i="3" s="1"/>
  <c r="E102" i="3"/>
  <c r="X102" i="3" s="1"/>
  <c r="E100" i="3"/>
  <c r="X100" i="3" s="1"/>
  <c r="E98" i="3"/>
  <c r="X98" i="3" s="1"/>
  <c r="E96" i="3"/>
  <c r="X96" i="3" s="1"/>
  <c r="E94" i="3"/>
  <c r="X94" i="3" s="1"/>
  <c r="E92" i="3"/>
  <c r="X92" i="3" s="1"/>
  <c r="E90" i="3"/>
  <c r="X90" i="3" s="1"/>
  <c r="E88" i="3"/>
  <c r="X88" i="3" s="1"/>
  <c r="E86" i="3"/>
  <c r="X86" i="3" s="1"/>
  <c r="E84" i="3"/>
  <c r="X84" i="3" s="1"/>
  <c r="E82" i="3"/>
  <c r="X82" i="3" s="1"/>
  <c r="E80" i="3"/>
  <c r="X80" i="3" s="1"/>
  <c r="E78" i="3"/>
  <c r="X78" i="3" s="1"/>
  <c r="E76" i="3"/>
  <c r="X76" i="3" s="1"/>
  <c r="E74" i="3"/>
  <c r="X74" i="3" s="1"/>
  <c r="E72" i="3"/>
  <c r="X72" i="3" s="1"/>
  <c r="E70" i="3"/>
  <c r="X70" i="3" s="1"/>
  <c r="E68" i="3"/>
  <c r="X68" i="3" s="1"/>
  <c r="E66" i="3"/>
  <c r="X66" i="3" s="1"/>
  <c r="E64" i="3"/>
  <c r="X64" i="3" s="1"/>
  <c r="E62" i="3"/>
  <c r="X62" i="3" s="1"/>
  <c r="E60" i="3"/>
  <c r="X60" i="3" s="1"/>
  <c r="E58" i="3"/>
  <c r="X58" i="3" s="1"/>
  <c r="E56" i="3"/>
  <c r="X56" i="3" s="1"/>
  <c r="E54" i="3"/>
  <c r="X54" i="3" s="1"/>
  <c r="E52" i="3"/>
  <c r="X52" i="3" s="1"/>
  <c r="E50" i="3"/>
  <c r="X50" i="3" s="1"/>
  <c r="E48" i="3"/>
  <c r="X48" i="3" s="1"/>
  <c r="E46" i="3"/>
  <c r="X46" i="3" s="1"/>
  <c r="E44" i="3"/>
  <c r="X44" i="3" s="1"/>
  <c r="E42" i="3"/>
  <c r="X42" i="3" s="1"/>
  <c r="E40" i="3"/>
  <c r="X40" i="3" s="1"/>
  <c r="E38" i="3"/>
  <c r="X38" i="3" s="1"/>
  <c r="E36" i="3"/>
  <c r="X36" i="3" s="1"/>
  <c r="E34" i="3"/>
  <c r="X34" i="3" s="1"/>
  <c r="E32" i="3"/>
  <c r="X32" i="3" s="1"/>
  <c r="E31" i="3"/>
  <c r="X31" i="3" s="1"/>
  <c r="E30" i="3"/>
  <c r="X30" i="3" s="1"/>
  <c r="E7" i="3"/>
  <c r="X7" i="3" s="1"/>
  <c r="E28" i="3"/>
  <c r="X28" i="3" s="1"/>
  <c r="E26" i="3"/>
  <c r="X26" i="3" s="1"/>
  <c r="E24" i="3"/>
  <c r="X24" i="3" s="1"/>
  <c r="E22" i="3"/>
  <c r="X22" i="3" s="1"/>
  <c r="E20" i="3"/>
  <c r="X20" i="3" s="1"/>
  <c r="E18" i="3"/>
  <c r="X18" i="3" s="1"/>
  <c r="E16" i="3"/>
  <c r="X16" i="3" s="1"/>
  <c r="E14" i="3"/>
  <c r="X14" i="3" s="1"/>
  <c r="E12" i="3"/>
  <c r="X12" i="3" s="1"/>
  <c r="E10" i="3"/>
  <c r="X10" i="3" s="1"/>
  <c r="E9" i="3"/>
  <c r="X9" i="3" s="1"/>
  <c r="E8" i="3"/>
  <c r="X8" i="3" s="1"/>
  <c r="E198" i="3"/>
  <c r="X198" i="3" s="1"/>
  <c r="E194" i="3"/>
  <c r="X194" i="3" s="1"/>
  <c r="E190" i="3"/>
  <c r="X190" i="3" s="1"/>
  <c r="E186" i="3"/>
  <c r="X186" i="3" s="1"/>
  <c r="E182" i="3"/>
  <c r="X182" i="3" s="1"/>
  <c r="E178" i="3"/>
  <c r="X178" i="3" s="1"/>
  <c r="E174" i="3"/>
  <c r="X174" i="3" s="1"/>
  <c r="E170" i="3"/>
  <c r="X170" i="3" s="1"/>
  <c r="E166" i="3"/>
  <c r="X166" i="3" s="1"/>
  <c r="E162" i="3"/>
  <c r="X162" i="3" s="1"/>
  <c r="E158" i="3"/>
  <c r="X158" i="3" s="1"/>
  <c r="D6" i="3"/>
  <c r="W6" i="3" s="1"/>
  <c r="E6" i="3"/>
  <c r="X6" i="3" s="1"/>
  <c r="E19" i="2"/>
  <c r="G19" i="2" s="1"/>
  <c r="E15" i="2"/>
  <c r="G15" i="2" s="1"/>
  <c r="E13" i="2"/>
  <c r="G13" i="2" s="1"/>
  <c r="E12" i="2"/>
  <c r="G12" i="2" s="1"/>
  <c r="E11" i="2"/>
  <c r="G11" i="2" s="1"/>
  <c r="E35" i="2"/>
  <c r="G35" i="2" s="1"/>
  <c r="E259" i="2"/>
  <c r="G259" i="2" s="1"/>
  <c r="E131" i="2"/>
  <c r="G131" i="2" s="1"/>
  <c r="E67" i="2"/>
  <c r="G67" i="2" s="1"/>
  <c r="E325" i="2"/>
  <c r="G325" i="2" s="1"/>
  <c r="E291" i="2"/>
  <c r="G291" i="2" s="1"/>
  <c r="E275" i="2"/>
  <c r="G275" i="2" s="1"/>
  <c r="E267" i="2"/>
  <c r="G267" i="2" s="1"/>
  <c r="E263" i="2"/>
  <c r="G263" i="2" s="1"/>
  <c r="E261" i="2"/>
  <c r="G261" i="2" s="1"/>
  <c r="E260" i="2"/>
  <c r="G260" i="2" s="1"/>
  <c r="E195" i="2"/>
  <c r="G195" i="2" s="1"/>
  <c r="E163" i="2"/>
  <c r="G163" i="2" s="1"/>
  <c r="E147" i="2"/>
  <c r="G147" i="2" s="1"/>
  <c r="E139" i="2"/>
  <c r="G139" i="2" s="1"/>
  <c r="E135" i="2"/>
  <c r="G135" i="2" s="1"/>
  <c r="E133" i="2"/>
  <c r="G133" i="2" s="1"/>
  <c r="E132" i="2"/>
  <c r="G132" i="2" s="1"/>
  <c r="E343" i="2"/>
  <c r="G343" i="2" s="1"/>
  <c r="E333" i="2"/>
  <c r="G333" i="2" s="1"/>
  <c r="E329" i="2"/>
  <c r="G329" i="2" s="1"/>
  <c r="E327" i="2"/>
  <c r="G327" i="2" s="1"/>
  <c r="E326" i="2"/>
  <c r="G326" i="2" s="1"/>
  <c r="E227" i="2"/>
  <c r="G227" i="2" s="1"/>
  <c r="E211" i="2"/>
  <c r="G211" i="2" s="1"/>
  <c r="E203" i="2"/>
  <c r="G203" i="2" s="1"/>
  <c r="E199" i="2"/>
  <c r="G199" i="2" s="1"/>
  <c r="E197" i="2"/>
  <c r="G197" i="2" s="1"/>
  <c r="E196" i="2"/>
  <c r="G196" i="2" s="1"/>
  <c r="E99" i="2"/>
  <c r="G99" i="2" s="1"/>
  <c r="E83" i="2"/>
  <c r="G83" i="2" s="1"/>
  <c r="E75" i="2"/>
  <c r="G75" i="2" s="1"/>
  <c r="E71" i="2"/>
  <c r="G71" i="2" s="1"/>
  <c r="E69" i="2"/>
  <c r="G69" i="2" s="1"/>
  <c r="E68" i="2"/>
  <c r="G68" i="2" s="1"/>
  <c r="E307" i="2"/>
  <c r="G307" i="2" s="1"/>
  <c r="E299" i="2"/>
  <c r="G299" i="2" s="1"/>
  <c r="E295" i="2"/>
  <c r="G295" i="2" s="1"/>
  <c r="E293" i="2"/>
  <c r="G293" i="2" s="1"/>
  <c r="E292" i="2"/>
  <c r="G292" i="2" s="1"/>
  <c r="E243" i="2"/>
  <c r="G243" i="2" s="1"/>
  <c r="E235" i="2"/>
  <c r="G235" i="2" s="1"/>
  <c r="E231" i="2"/>
  <c r="G231" i="2" s="1"/>
  <c r="E229" i="2"/>
  <c r="G229" i="2" s="1"/>
  <c r="E228" i="2"/>
  <c r="G228" i="2" s="1"/>
  <c r="E179" i="2"/>
  <c r="G179" i="2" s="1"/>
  <c r="E171" i="2"/>
  <c r="G171" i="2" s="1"/>
  <c r="E167" i="2"/>
  <c r="G167" i="2" s="1"/>
  <c r="E165" i="2"/>
  <c r="G165" i="2" s="1"/>
  <c r="E164" i="2"/>
  <c r="G164" i="2" s="1"/>
  <c r="E115" i="2"/>
  <c r="G115" i="2" s="1"/>
  <c r="E107" i="2"/>
  <c r="G107" i="2" s="1"/>
  <c r="E103" i="2"/>
  <c r="G103" i="2" s="1"/>
  <c r="E101" i="2"/>
  <c r="G101" i="2" s="1"/>
  <c r="E100" i="2"/>
  <c r="G100" i="2" s="1"/>
  <c r="E51" i="2"/>
  <c r="G51" i="2" s="1"/>
  <c r="E43" i="2"/>
  <c r="G43" i="2" s="1"/>
  <c r="E39" i="2"/>
  <c r="G39" i="2" s="1"/>
  <c r="E37" i="2"/>
  <c r="G37" i="2" s="1"/>
  <c r="E36" i="2"/>
  <c r="G36" i="2" s="1"/>
  <c r="E345" i="2"/>
  <c r="G345" i="2" s="1"/>
  <c r="E344" i="2"/>
  <c r="G344" i="2" s="1"/>
  <c r="E341" i="2"/>
  <c r="G341" i="2" s="1"/>
  <c r="E315" i="2"/>
  <c r="G315" i="2" s="1"/>
  <c r="E311" i="2"/>
  <c r="G311" i="2" s="1"/>
  <c r="E309" i="2"/>
  <c r="G309" i="2" s="1"/>
  <c r="E308" i="2"/>
  <c r="G308" i="2" s="1"/>
  <c r="E283" i="2"/>
  <c r="G283" i="2" s="1"/>
  <c r="E279" i="2"/>
  <c r="G279" i="2" s="1"/>
  <c r="E277" i="2"/>
  <c r="G277" i="2" s="1"/>
  <c r="E276" i="2"/>
  <c r="G276" i="2" s="1"/>
  <c r="E251" i="2"/>
  <c r="G251" i="2" s="1"/>
  <c r="E247" i="2"/>
  <c r="G247" i="2" s="1"/>
  <c r="E245" i="2"/>
  <c r="G245" i="2" s="1"/>
  <c r="E244" i="2"/>
  <c r="G244" i="2" s="1"/>
  <c r="E219" i="2"/>
  <c r="G219" i="2" s="1"/>
  <c r="E215" i="2"/>
  <c r="G215" i="2" s="1"/>
  <c r="E213" i="2"/>
  <c r="G213" i="2" s="1"/>
  <c r="E212" i="2"/>
  <c r="G212" i="2" s="1"/>
  <c r="E187" i="2"/>
  <c r="G187" i="2" s="1"/>
  <c r="E183" i="2"/>
  <c r="G183" i="2" s="1"/>
  <c r="E181" i="2"/>
  <c r="G181" i="2" s="1"/>
  <c r="E180" i="2"/>
  <c r="G180" i="2" s="1"/>
  <c r="E155" i="2"/>
  <c r="G155" i="2" s="1"/>
  <c r="E151" i="2"/>
  <c r="G151" i="2" s="1"/>
  <c r="E149" i="2"/>
  <c r="G149" i="2" s="1"/>
  <c r="E148" i="2"/>
  <c r="G148" i="2" s="1"/>
  <c r="E123" i="2"/>
  <c r="G123" i="2" s="1"/>
  <c r="E119" i="2"/>
  <c r="G119" i="2" s="1"/>
  <c r="E117" i="2"/>
  <c r="G117" i="2" s="1"/>
  <c r="E116" i="2"/>
  <c r="G116" i="2" s="1"/>
  <c r="E91" i="2"/>
  <c r="G91" i="2" s="1"/>
  <c r="E87" i="2"/>
  <c r="G87" i="2" s="1"/>
  <c r="E85" i="2"/>
  <c r="G85" i="2" s="1"/>
  <c r="E84" i="2"/>
  <c r="G84" i="2" s="1"/>
  <c r="E59" i="2"/>
  <c r="G59" i="2" s="1"/>
  <c r="E55" i="2"/>
  <c r="G55" i="2" s="1"/>
  <c r="E53" i="2"/>
  <c r="G53" i="2" s="1"/>
  <c r="E52" i="2"/>
  <c r="G52" i="2" s="1"/>
  <c r="E29" i="2"/>
  <c r="G29" i="2" s="1"/>
  <c r="E28" i="2"/>
  <c r="G28" i="2" s="1"/>
  <c r="E337" i="2"/>
  <c r="G337" i="2" s="1"/>
  <c r="E335" i="2"/>
  <c r="G335" i="2" s="1"/>
  <c r="E334" i="2"/>
  <c r="G334" i="2" s="1"/>
  <c r="E319" i="2"/>
  <c r="G319" i="2" s="1"/>
  <c r="E317" i="2"/>
  <c r="G317" i="2" s="1"/>
  <c r="E316" i="2"/>
  <c r="G316" i="2" s="1"/>
  <c r="E303" i="2"/>
  <c r="G303" i="2" s="1"/>
  <c r="E301" i="2"/>
  <c r="G301" i="2" s="1"/>
  <c r="E300" i="2"/>
  <c r="G300" i="2" s="1"/>
  <c r="E287" i="2"/>
  <c r="G287" i="2" s="1"/>
  <c r="E285" i="2"/>
  <c r="G285" i="2" s="1"/>
  <c r="E284" i="2"/>
  <c r="G284" i="2" s="1"/>
  <c r="E271" i="2"/>
  <c r="G271" i="2" s="1"/>
  <c r="E269" i="2"/>
  <c r="G269" i="2" s="1"/>
  <c r="E268" i="2"/>
  <c r="G268" i="2" s="1"/>
  <c r="E255" i="2"/>
  <c r="G255" i="2" s="1"/>
  <c r="E253" i="2"/>
  <c r="G253" i="2" s="1"/>
  <c r="E252" i="2"/>
  <c r="G252" i="2" s="1"/>
  <c r="E239" i="2"/>
  <c r="G239" i="2" s="1"/>
  <c r="E237" i="2"/>
  <c r="G237" i="2" s="1"/>
  <c r="E236" i="2"/>
  <c r="G236" i="2" s="1"/>
  <c r="E223" i="2"/>
  <c r="G223" i="2" s="1"/>
  <c r="E221" i="2"/>
  <c r="G221" i="2" s="1"/>
  <c r="E220" i="2"/>
  <c r="G220" i="2" s="1"/>
  <c r="E207" i="2"/>
  <c r="G207" i="2" s="1"/>
  <c r="E205" i="2"/>
  <c r="G205" i="2" s="1"/>
  <c r="E204" i="2"/>
  <c r="G204" i="2" s="1"/>
  <c r="E191" i="2"/>
  <c r="G191" i="2" s="1"/>
  <c r="E189" i="2"/>
  <c r="G189" i="2" s="1"/>
  <c r="E188" i="2"/>
  <c r="G188" i="2" s="1"/>
  <c r="E175" i="2"/>
  <c r="G175" i="2" s="1"/>
  <c r="E173" i="2"/>
  <c r="G173" i="2" s="1"/>
  <c r="E172" i="2"/>
  <c r="G172" i="2" s="1"/>
  <c r="E159" i="2"/>
  <c r="G159" i="2" s="1"/>
  <c r="E157" i="2"/>
  <c r="G157" i="2" s="1"/>
  <c r="E156" i="2"/>
  <c r="G156" i="2" s="1"/>
  <c r="E143" i="2"/>
  <c r="G143" i="2" s="1"/>
  <c r="E141" i="2"/>
  <c r="G141" i="2" s="1"/>
  <c r="E140" i="2"/>
  <c r="G140" i="2" s="1"/>
  <c r="E127" i="2"/>
  <c r="G127" i="2" s="1"/>
  <c r="E125" i="2"/>
  <c r="G125" i="2" s="1"/>
  <c r="E124" i="2"/>
  <c r="G124" i="2" s="1"/>
  <c r="E111" i="2"/>
  <c r="G111" i="2" s="1"/>
  <c r="E109" i="2"/>
  <c r="G109" i="2" s="1"/>
  <c r="E108" i="2"/>
  <c r="G108" i="2" s="1"/>
  <c r="E95" i="2"/>
  <c r="G95" i="2" s="1"/>
  <c r="E93" i="2"/>
  <c r="G93" i="2" s="1"/>
  <c r="E92" i="2"/>
  <c r="G92" i="2" s="1"/>
  <c r="E79" i="2"/>
  <c r="G79" i="2" s="1"/>
  <c r="E77" i="2"/>
  <c r="G77" i="2" s="1"/>
  <c r="E76" i="2"/>
  <c r="G76" i="2" s="1"/>
  <c r="E63" i="2"/>
  <c r="G63" i="2" s="1"/>
  <c r="E61" i="2"/>
  <c r="G61" i="2" s="1"/>
  <c r="E60" i="2"/>
  <c r="G60" i="2" s="1"/>
  <c r="E47" i="2"/>
  <c r="G47" i="2" s="1"/>
  <c r="E45" i="2"/>
  <c r="G45" i="2" s="1"/>
  <c r="E44" i="2"/>
  <c r="G44" i="2" s="1"/>
  <c r="E31" i="2"/>
  <c r="G31" i="2" s="1"/>
  <c r="E23" i="2"/>
  <c r="G23" i="2" s="1"/>
  <c r="E21" i="2"/>
  <c r="G21" i="2" s="1"/>
  <c r="E20" i="2"/>
  <c r="G20" i="2" s="1"/>
  <c r="E349" i="2"/>
  <c r="G349" i="2" s="1"/>
  <c r="E347" i="2"/>
  <c r="G347" i="2" s="1"/>
  <c r="E339" i="2"/>
  <c r="G339" i="2" s="1"/>
  <c r="E338" i="2"/>
  <c r="G338" i="2" s="1"/>
  <c r="E331" i="2"/>
  <c r="G331" i="2" s="1"/>
  <c r="E330" i="2"/>
  <c r="G330" i="2" s="1"/>
  <c r="E323" i="2"/>
  <c r="G323" i="2" s="1"/>
  <c r="E322" i="2"/>
  <c r="G322" i="2" s="1"/>
  <c r="E320" i="2"/>
  <c r="G320" i="2" s="1"/>
  <c r="E313" i="2"/>
  <c r="G313" i="2" s="1"/>
  <c r="E312" i="2"/>
  <c r="G312" i="2" s="1"/>
  <c r="E305" i="2"/>
  <c r="G305" i="2" s="1"/>
  <c r="E304" i="2"/>
  <c r="G304" i="2" s="1"/>
  <c r="E297" i="2"/>
  <c r="G297" i="2" s="1"/>
  <c r="E296" i="2"/>
  <c r="G296" i="2" s="1"/>
  <c r="E289" i="2"/>
  <c r="G289" i="2" s="1"/>
  <c r="E288" i="2"/>
  <c r="G288" i="2" s="1"/>
  <c r="E281" i="2"/>
  <c r="G281" i="2" s="1"/>
  <c r="E280" i="2"/>
  <c r="G280" i="2" s="1"/>
  <c r="E273" i="2"/>
  <c r="G273" i="2" s="1"/>
  <c r="E272" i="2"/>
  <c r="G272" i="2" s="1"/>
  <c r="E265" i="2"/>
  <c r="G265" i="2" s="1"/>
  <c r="E264" i="2"/>
  <c r="G264" i="2" s="1"/>
  <c r="E257" i="2"/>
  <c r="G257" i="2" s="1"/>
  <c r="E256" i="2"/>
  <c r="G256" i="2" s="1"/>
  <c r="E249" i="2"/>
  <c r="G249" i="2" s="1"/>
  <c r="E248" i="2"/>
  <c r="G248" i="2" s="1"/>
  <c r="E241" i="2"/>
  <c r="G241" i="2" s="1"/>
  <c r="E240" i="2"/>
  <c r="G240" i="2" s="1"/>
  <c r="E233" i="2"/>
  <c r="G233" i="2" s="1"/>
  <c r="E232" i="2"/>
  <c r="G232" i="2" s="1"/>
  <c r="E225" i="2"/>
  <c r="G225" i="2" s="1"/>
  <c r="E224" i="2"/>
  <c r="G224" i="2" s="1"/>
  <c r="E217" i="2"/>
  <c r="G217" i="2" s="1"/>
  <c r="E216" i="2"/>
  <c r="G216" i="2" s="1"/>
  <c r="E209" i="2"/>
  <c r="G209" i="2" s="1"/>
  <c r="E208" i="2"/>
  <c r="G208" i="2" s="1"/>
  <c r="E201" i="2"/>
  <c r="G201" i="2" s="1"/>
  <c r="E200" i="2"/>
  <c r="G200" i="2" s="1"/>
  <c r="E193" i="2"/>
  <c r="G193" i="2" s="1"/>
  <c r="E192" i="2"/>
  <c r="G192" i="2" s="1"/>
  <c r="E185" i="2"/>
  <c r="G185" i="2" s="1"/>
  <c r="E184" i="2"/>
  <c r="G184" i="2" s="1"/>
  <c r="E177" i="2"/>
  <c r="G177" i="2" s="1"/>
  <c r="E176" i="2"/>
  <c r="G176" i="2" s="1"/>
  <c r="E169" i="2"/>
  <c r="G169" i="2" s="1"/>
  <c r="E168" i="2"/>
  <c r="G168" i="2" s="1"/>
  <c r="E161" i="2"/>
  <c r="G161" i="2" s="1"/>
  <c r="E160" i="2"/>
  <c r="G160" i="2" s="1"/>
  <c r="E153" i="2"/>
  <c r="G153" i="2" s="1"/>
  <c r="E152" i="2"/>
  <c r="G152" i="2" s="1"/>
  <c r="E145" i="2"/>
  <c r="G145" i="2" s="1"/>
  <c r="E144" i="2"/>
  <c r="G144" i="2" s="1"/>
  <c r="E137" i="2"/>
  <c r="G137" i="2" s="1"/>
  <c r="E136" i="2"/>
  <c r="G136" i="2" s="1"/>
  <c r="E129" i="2"/>
  <c r="G129" i="2" s="1"/>
  <c r="E128" i="2"/>
  <c r="G128" i="2" s="1"/>
  <c r="E121" i="2"/>
  <c r="G121" i="2" s="1"/>
  <c r="E120" i="2"/>
  <c r="G120" i="2" s="1"/>
  <c r="E113" i="2"/>
  <c r="G113" i="2" s="1"/>
  <c r="E112" i="2"/>
  <c r="G112" i="2" s="1"/>
  <c r="E105" i="2"/>
  <c r="G105" i="2" s="1"/>
  <c r="E104" i="2"/>
  <c r="G104" i="2" s="1"/>
  <c r="E97" i="2"/>
  <c r="G97" i="2" s="1"/>
  <c r="E96" i="2"/>
  <c r="G96" i="2" s="1"/>
  <c r="E89" i="2"/>
  <c r="G89" i="2" s="1"/>
  <c r="E88" i="2"/>
  <c r="G88" i="2" s="1"/>
  <c r="E81" i="2"/>
  <c r="G81" i="2" s="1"/>
  <c r="E80" i="2"/>
  <c r="G80" i="2" s="1"/>
  <c r="E73" i="2"/>
  <c r="G73" i="2" s="1"/>
  <c r="E72" i="2"/>
  <c r="G72" i="2" s="1"/>
  <c r="E65" i="2"/>
  <c r="G65" i="2" s="1"/>
  <c r="E64" i="2"/>
  <c r="G64" i="2" s="1"/>
  <c r="E57" i="2"/>
  <c r="G57" i="2" s="1"/>
  <c r="E56" i="2"/>
  <c r="G56" i="2" s="1"/>
  <c r="E49" i="2"/>
  <c r="G49" i="2" s="1"/>
  <c r="E48" i="2"/>
  <c r="G48" i="2" s="1"/>
  <c r="E41" i="2"/>
  <c r="G41" i="2" s="1"/>
  <c r="E40" i="2"/>
  <c r="G40" i="2" s="1"/>
  <c r="E33" i="2"/>
  <c r="G33" i="2" s="1"/>
  <c r="E32" i="2"/>
  <c r="G32" i="2" s="1"/>
  <c r="E25" i="2"/>
  <c r="G25" i="2" s="1"/>
  <c r="E24" i="2"/>
  <c r="G24" i="2" s="1"/>
  <c r="E17" i="2"/>
  <c r="G17" i="2" s="1"/>
  <c r="E16" i="2"/>
  <c r="G16" i="2" s="1"/>
  <c r="E348" i="2"/>
  <c r="G348" i="2" s="1"/>
  <c r="E346" i="2"/>
  <c r="G346" i="2" s="1"/>
  <c r="E342" i="2"/>
  <c r="G342" i="2" s="1"/>
  <c r="E340" i="2"/>
  <c r="G340" i="2" s="1"/>
  <c r="E336" i="2"/>
  <c r="G336" i="2" s="1"/>
  <c r="E332" i="2"/>
  <c r="G332" i="2" s="1"/>
  <c r="E328" i="2"/>
  <c r="G328" i="2" s="1"/>
  <c r="E324" i="2"/>
  <c r="G324" i="2" s="1"/>
  <c r="E321" i="2"/>
  <c r="G321" i="2" s="1"/>
  <c r="E318" i="2"/>
  <c r="G318" i="2" s="1"/>
  <c r="E314" i="2"/>
  <c r="G314" i="2" s="1"/>
  <c r="E310" i="2"/>
  <c r="G310" i="2" s="1"/>
  <c r="E306" i="2"/>
  <c r="G306" i="2" s="1"/>
  <c r="E302" i="2"/>
  <c r="G302" i="2" s="1"/>
  <c r="E298" i="2"/>
  <c r="G298" i="2" s="1"/>
  <c r="E294" i="2"/>
  <c r="G294" i="2" s="1"/>
  <c r="E290" i="2"/>
  <c r="G290" i="2" s="1"/>
  <c r="E286" i="2"/>
  <c r="G286" i="2" s="1"/>
  <c r="E282" i="2"/>
  <c r="G282" i="2" s="1"/>
  <c r="E278" i="2"/>
  <c r="G278" i="2" s="1"/>
  <c r="E274" i="2"/>
  <c r="G274" i="2" s="1"/>
  <c r="E270" i="2"/>
  <c r="G270" i="2" s="1"/>
  <c r="E266" i="2"/>
  <c r="G266" i="2" s="1"/>
  <c r="E262" i="2"/>
  <c r="G262" i="2" s="1"/>
  <c r="E258" i="2"/>
  <c r="G258" i="2" s="1"/>
  <c r="E254" i="2"/>
  <c r="G254" i="2" s="1"/>
  <c r="E250" i="2"/>
  <c r="G250" i="2" s="1"/>
  <c r="E246" i="2"/>
  <c r="G246" i="2" s="1"/>
  <c r="E242" i="2"/>
  <c r="G242" i="2" s="1"/>
  <c r="E238" i="2"/>
  <c r="G238" i="2" s="1"/>
  <c r="E234" i="2"/>
  <c r="G234" i="2" s="1"/>
  <c r="E230" i="2"/>
  <c r="G230" i="2" s="1"/>
  <c r="E226" i="2"/>
  <c r="G226" i="2" s="1"/>
  <c r="E222" i="2"/>
  <c r="G222" i="2" s="1"/>
  <c r="E218" i="2"/>
  <c r="G218" i="2" s="1"/>
  <c r="E214" i="2"/>
  <c r="G214" i="2" s="1"/>
  <c r="E210" i="2"/>
  <c r="G210" i="2" s="1"/>
  <c r="E206" i="2"/>
  <c r="G206" i="2" s="1"/>
  <c r="E202" i="2"/>
  <c r="G202" i="2" s="1"/>
  <c r="E198" i="2"/>
  <c r="G198" i="2" s="1"/>
  <c r="E194" i="2"/>
  <c r="G194" i="2" s="1"/>
  <c r="E190" i="2"/>
  <c r="G190" i="2" s="1"/>
  <c r="E186" i="2"/>
  <c r="G186" i="2" s="1"/>
  <c r="E182" i="2"/>
  <c r="G182" i="2" s="1"/>
  <c r="E178" i="2"/>
  <c r="G178" i="2" s="1"/>
  <c r="E174" i="2"/>
  <c r="G174" i="2" s="1"/>
  <c r="E170" i="2"/>
  <c r="G170" i="2" s="1"/>
  <c r="E166" i="2"/>
  <c r="G166" i="2" s="1"/>
  <c r="E162" i="2"/>
  <c r="G162" i="2" s="1"/>
  <c r="E158" i="2"/>
  <c r="G158" i="2" s="1"/>
  <c r="E154" i="2"/>
  <c r="G154" i="2" s="1"/>
  <c r="E150" i="2"/>
  <c r="G150" i="2" s="1"/>
  <c r="E146" i="2"/>
  <c r="G146" i="2" s="1"/>
  <c r="E142" i="2"/>
  <c r="G142" i="2" s="1"/>
  <c r="E138" i="2"/>
  <c r="G138" i="2" s="1"/>
  <c r="E134" i="2"/>
  <c r="G134" i="2" s="1"/>
  <c r="E130" i="2"/>
  <c r="G130" i="2" s="1"/>
  <c r="E126" i="2"/>
  <c r="G126" i="2" s="1"/>
  <c r="E122" i="2"/>
  <c r="G122" i="2" s="1"/>
  <c r="E118" i="2"/>
  <c r="G118" i="2" s="1"/>
  <c r="E114" i="2"/>
  <c r="G114" i="2" s="1"/>
  <c r="E110" i="2"/>
  <c r="G110" i="2" s="1"/>
  <c r="E106" i="2"/>
  <c r="G106" i="2" s="1"/>
  <c r="E102" i="2"/>
  <c r="G102" i="2" s="1"/>
  <c r="E98" i="2"/>
  <c r="G98" i="2" s="1"/>
  <c r="E94" i="2"/>
  <c r="G94" i="2" s="1"/>
  <c r="E90" i="2"/>
  <c r="G90" i="2" s="1"/>
  <c r="E86" i="2"/>
  <c r="G86" i="2" s="1"/>
  <c r="E82" i="2"/>
  <c r="G82" i="2" s="1"/>
  <c r="E78" i="2"/>
  <c r="G78" i="2" s="1"/>
  <c r="E74" i="2"/>
  <c r="G74" i="2" s="1"/>
  <c r="E70" i="2"/>
  <c r="G70" i="2" s="1"/>
  <c r="E66" i="2"/>
  <c r="G66" i="2" s="1"/>
  <c r="E62" i="2"/>
  <c r="G62" i="2" s="1"/>
  <c r="E58" i="2"/>
  <c r="G58" i="2" s="1"/>
  <c r="E54" i="2"/>
  <c r="G54" i="2" s="1"/>
  <c r="E50" i="2"/>
  <c r="G50" i="2" s="1"/>
  <c r="E46" i="2"/>
  <c r="G46" i="2" s="1"/>
  <c r="E42" i="2"/>
  <c r="G42" i="2" s="1"/>
  <c r="E38" i="2"/>
  <c r="G38" i="2" s="1"/>
  <c r="E34" i="2"/>
  <c r="G34" i="2" s="1"/>
  <c r="E30" i="2"/>
  <c r="G30" i="2" s="1"/>
  <c r="E26" i="2"/>
  <c r="G26" i="2" s="1"/>
  <c r="E22" i="2"/>
  <c r="G22" i="2" s="1"/>
  <c r="E18" i="2"/>
  <c r="G18" i="2" s="1"/>
  <c r="E14" i="2"/>
  <c r="G14" i="2" s="1"/>
  <c r="E10" i="2"/>
  <c r="G10" i="2" s="1"/>
  <c r="AA20" i="3" l="1"/>
  <c r="Z20" i="3"/>
  <c r="Z34" i="3"/>
  <c r="AA34" i="3"/>
  <c r="AA50" i="3"/>
  <c r="Z50" i="3"/>
  <c r="AA66" i="3"/>
  <c r="Z66" i="3"/>
  <c r="AB66" i="3" s="1"/>
  <c r="AA82" i="3"/>
  <c r="Z82" i="3"/>
  <c r="Z98" i="3"/>
  <c r="AA98" i="3"/>
  <c r="Z114" i="3"/>
  <c r="AA114" i="3"/>
  <c r="Z130" i="3"/>
  <c r="AA130" i="3"/>
  <c r="AB130" i="3" s="1"/>
  <c r="AA146" i="3"/>
  <c r="Z146" i="3"/>
  <c r="AA185" i="3"/>
  <c r="Z185" i="3"/>
  <c r="AA205" i="3"/>
  <c r="Z205" i="3"/>
  <c r="AB205" i="3" s="1"/>
  <c r="Z7" i="3"/>
  <c r="AA7" i="3"/>
  <c r="AB7" i="3" s="1"/>
  <c r="AA48" i="3"/>
  <c r="Z48" i="3"/>
  <c r="AA89" i="3"/>
  <c r="Z89" i="3"/>
  <c r="Z112" i="3"/>
  <c r="AA112" i="3"/>
  <c r="Z153" i="3"/>
  <c r="AA153" i="3"/>
  <c r="AB153" i="3" s="1"/>
  <c r="AA183" i="3"/>
  <c r="Z183" i="3"/>
  <c r="AA18" i="3"/>
  <c r="Z18" i="3"/>
  <c r="AA52" i="3"/>
  <c r="Z52" i="3"/>
  <c r="AA84" i="3"/>
  <c r="Z84" i="3"/>
  <c r="AB84" i="3" s="1"/>
  <c r="Z116" i="3"/>
  <c r="AA116" i="3"/>
  <c r="AA148" i="3"/>
  <c r="Z148" i="3"/>
  <c r="Z181" i="3"/>
  <c r="AA181" i="3"/>
  <c r="AB181" i="3" s="1"/>
  <c r="Z27" i="3"/>
  <c r="AA27" i="3"/>
  <c r="AB27" i="3" s="1"/>
  <c r="AA76" i="3"/>
  <c r="Z76" i="3"/>
  <c r="AA115" i="3"/>
  <c r="Z115" i="3"/>
  <c r="Z155" i="3"/>
  <c r="AA155" i="3"/>
  <c r="AB155" i="3" s="1"/>
  <c r="AA61" i="3"/>
  <c r="Z61" i="3"/>
  <c r="Z131" i="3"/>
  <c r="AA131" i="3"/>
  <c r="Z99" i="3"/>
  <c r="AA99" i="3"/>
  <c r="AA43" i="3"/>
  <c r="Z43" i="3"/>
  <c r="AB43" i="3" s="1"/>
  <c r="Z187" i="3"/>
  <c r="AA187" i="3"/>
  <c r="AB187" i="3" s="1"/>
  <c r="AA178" i="3"/>
  <c r="Z178" i="3"/>
  <c r="AA192" i="3"/>
  <c r="Z192" i="3"/>
  <c r="AA164" i="3"/>
  <c r="Z164" i="3"/>
  <c r="Z30" i="3"/>
  <c r="AA30" i="3"/>
  <c r="AB30" i="3" s="1"/>
  <c r="AA49" i="3"/>
  <c r="Z49" i="3"/>
  <c r="AA72" i="3"/>
  <c r="Z72" i="3"/>
  <c r="AA113" i="3"/>
  <c r="Z113" i="3"/>
  <c r="AB113" i="3" s="1"/>
  <c r="Z136" i="3"/>
  <c r="AA136" i="3"/>
  <c r="AA161" i="3"/>
  <c r="Z161" i="3"/>
  <c r="AA19" i="3"/>
  <c r="Z19" i="3"/>
  <c r="Z53" i="3"/>
  <c r="AA53" i="3"/>
  <c r="AB53" i="3" s="1"/>
  <c r="AA85" i="3"/>
  <c r="Z85" i="3"/>
  <c r="AB85" i="3" s="1"/>
  <c r="Z117" i="3"/>
  <c r="AA117" i="3"/>
  <c r="AA29" i="3"/>
  <c r="Z29" i="3"/>
  <c r="AA77" i="3"/>
  <c r="Z77" i="3"/>
  <c r="AA63" i="3"/>
  <c r="Z63" i="3"/>
  <c r="AB63" i="3" s="1"/>
  <c r="AA139" i="3"/>
  <c r="Z139" i="3"/>
  <c r="AA107" i="3"/>
  <c r="Z107" i="3"/>
  <c r="Z59" i="3"/>
  <c r="AA59" i="3"/>
  <c r="AB59" i="3" s="1"/>
  <c r="AA165" i="3"/>
  <c r="Z165" i="3"/>
  <c r="AB165" i="3" s="1"/>
  <c r="AA168" i="3"/>
  <c r="Z168" i="3"/>
  <c r="AA9" i="3"/>
  <c r="Z9" i="3"/>
  <c r="Z24" i="3"/>
  <c r="AA24" i="3"/>
  <c r="AB24" i="3" s="1"/>
  <c r="AA38" i="3"/>
  <c r="Z38" i="3"/>
  <c r="Z54" i="3"/>
  <c r="AA54" i="3"/>
  <c r="Z70" i="3"/>
  <c r="AA70" i="3"/>
  <c r="AA86" i="3"/>
  <c r="Z86" i="3"/>
  <c r="AB86" i="3" s="1"/>
  <c r="AA102" i="3"/>
  <c r="Z102" i="3"/>
  <c r="AA118" i="3"/>
  <c r="Z118" i="3"/>
  <c r="AA134" i="3"/>
  <c r="Z134" i="3"/>
  <c r="AA150" i="3"/>
  <c r="Z150" i="3"/>
  <c r="AB150" i="3" s="1"/>
  <c r="AA169" i="3"/>
  <c r="Z169" i="3"/>
  <c r="AB169" i="3" s="1"/>
  <c r="Z190" i="3"/>
  <c r="AA190" i="3"/>
  <c r="Z14" i="3"/>
  <c r="AA14" i="3"/>
  <c r="AA32" i="3"/>
  <c r="Z32" i="3"/>
  <c r="AB32" i="3" s="1"/>
  <c r="AA73" i="3"/>
  <c r="Z73" i="3"/>
  <c r="AB73" i="3" s="1"/>
  <c r="AA96" i="3"/>
  <c r="Z96" i="3"/>
  <c r="Z137" i="3"/>
  <c r="AA137" i="3"/>
  <c r="Z163" i="3"/>
  <c r="AA163" i="3"/>
  <c r="AB163" i="3" s="1"/>
  <c r="AA193" i="3"/>
  <c r="Z193" i="3"/>
  <c r="AB193" i="3" s="1"/>
  <c r="AA21" i="3"/>
  <c r="Z21" i="3"/>
  <c r="AA55" i="3"/>
  <c r="Z55" i="3"/>
  <c r="AA87" i="3"/>
  <c r="Z87" i="3"/>
  <c r="AB87" i="3" s="1"/>
  <c r="AA119" i="3"/>
  <c r="Z119" i="3"/>
  <c r="AA198" i="3"/>
  <c r="Z198" i="3"/>
  <c r="AA79" i="3"/>
  <c r="Z79" i="3"/>
  <c r="AA140" i="3"/>
  <c r="Z140" i="3"/>
  <c r="AA188" i="3"/>
  <c r="Z188" i="3"/>
  <c r="Z67" i="3"/>
  <c r="AA67" i="3"/>
  <c r="AA8" i="3"/>
  <c r="Z8" i="3"/>
  <c r="Z123" i="3"/>
  <c r="AA123" i="3"/>
  <c r="AB123" i="3" s="1"/>
  <c r="Z91" i="3"/>
  <c r="AA91" i="3"/>
  <c r="AB91" i="3" s="1"/>
  <c r="AA194" i="3"/>
  <c r="Z194" i="3"/>
  <c r="Z191" i="3"/>
  <c r="AA191" i="3"/>
  <c r="AA15" i="3"/>
  <c r="Z15" i="3"/>
  <c r="AB15" i="3" s="1"/>
  <c r="AA33" i="3"/>
  <c r="Z33" i="3"/>
  <c r="AB33" i="3" s="1"/>
  <c r="AA56" i="3"/>
  <c r="Z56" i="3"/>
  <c r="Z97" i="3"/>
  <c r="AA97" i="3"/>
  <c r="Z120" i="3"/>
  <c r="AA120" i="3"/>
  <c r="AB120" i="3" s="1"/>
  <c r="Z195" i="3"/>
  <c r="AA195" i="3"/>
  <c r="AB195" i="3" s="1"/>
  <c r="AA156" i="3"/>
  <c r="Z156" i="3"/>
  <c r="AA199" i="3"/>
  <c r="Z199" i="3"/>
  <c r="Z44" i="3"/>
  <c r="AA44" i="3"/>
  <c r="AB44" i="3" s="1"/>
  <c r="AA83" i="3"/>
  <c r="Z83" i="3"/>
  <c r="AB83" i="3" s="1"/>
  <c r="AA141" i="3"/>
  <c r="Z141" i="3"/>
  <c r="Z189" i="3"/>
  <c r="AA189" i="3"/>
  <c r="Z75" i="3"/>
  <c r="AA75" i="3"/>
  <c r="AB75" i="3" s="1"/>
  <c r="AA10" i="3"/>
  <c r="Z10" i="3"/>
  <c r="AB10" i="3" s="1"/>
  <c r="Z11" i="3"/>
  <c r="AA11" i="3"/>
  <c r="AA166" i="3"/>
  <c r="Z166" i="3"/>
  <c r="AA170" i="3"/>
  <c r="Z170" i="3"/>
  <c r="AB170" i="3" s="1"/>
  <c r="Z184" i="3"/>
  <c r="AA184" i="3"/>
  <c r="AB184" i="3" s="1"/>
  <c r="AA12" i="3"/>
  <c r="Z12" i="3"/>
  <c r="AA28" i="3"/>
  <c r="Z28" i="3"/>
  <c r="AA42" i="3"/>
  <c r="Z42" i="3"/>
  <c r="AB42" i="3" s="1"/>
  <c r="AA58" i="3"/>
  <c r="Z58" i="3"/>
  <c r="AA74" i="3"/>
  <c r="Z74" i="3"/>
  <c r="AA90" i="3"/>
  <c r="Z90" i="3"/>
  <c r="AA106" i="3"/>
  <c r="Z106" i="3"/>
  <c r="AB106" i="3" s="1"/>
  <c r="AA122" i="3"/>
  <c r="Z122" i="3"/>
  <c r="AA138" i="3"/>
  <c r="Z138" i="3"/>
  <c r="AA154" i="3"/>
  <c r="Z154" i="3"/>
  <c r="AA174" i="3"/>
  <c r="Z174" i="3"/>
  <c r="AA57" i="3"/>
  <c r="Z57" i="3"/>
  <c r="AB57" i="3" s="1"/>
  <c r="Z80" i="3"/>
  <c r="AA80" i="3"/>
  <c r="AA121" i="3"/>
  <c r="Z121" i="3"/>
  <c r="AA144" i="3"/>
  <c r="Z144" i="3"/>
  <c r="AB144" i="3" s="1"/>
  <c r="Z172" i="3"/>
  <c r="AA172" i="3"/>
  <c r="AB172" i="3" s="1"/>
  <c r="AA36" i="3"/>
  <c r="Z36" i="3"/>
  <c r="AA68" i="3"/>
  <c r="Z68" i="3"/>
  <c r="AA100" i="3"/>
  <c r="Z100" i="3"/>
  <c r="AA132" i="3"/>
  <c r="Z132" i="3"/>
  <c r="Z157" i="3"/>
  <c r="AA157" i="3"/>
  <c r="AA45" i="3"/>
  <c r="Z45" i="3"/>
  <c r="AA143" i="3"/>
  <c r="Z143" i="3"/>
  <c r="AA13" i="3"/>
  <c r="Z13" i="3"/>
  <c r="AB13" i="3" s="1"/>
  <c r="Z167" i="3"/>
  <c r="AA167" i="3"/>
  <c r="AA160" i="3"/>
  <c r="Z160" i="3"/>
  <c r="AA175" i="3"/>
  <c r="Z175" i="3"/>
  <c r="AB175" i="3" s="1"/>
  <c r="AA196" i="3"/>
  <c r="Z196" i="3"/>
  <c r="Z22" i="3"/>
  <c r="AA22" i="3"/>
  <c r="AA40" i="3"/>
  <c r="Z40" i="3"/>
  <c r="AA81" i="3"/>
  <c r="Z81" i="3"/>
  <c r="Z104" i="3"/>
  <c r="AA104" i="3"/>
  <c r="Z145" i="3"/>
  <c r="AA145" i="3"/>
  <c r="AA173" i="3"/>
  <c r="Z173" i="3"/>
  <c r="Z203" i="3"/>
  <c r="AA203" i="3"/>
  <c r="Z37" i="3"/>
  <c r="AA37" i="3"/>
  <c r="AB37" i="3" s="1"/>
  <c r="AA69" i="3"/>
  <c r="Z69" i="3"/>
  <c r="Z101" i="3"/>
  <c r="AA101" i="3"/>
  <c r="Z133" i="3"/>
  <c r="AA133" i="3"/>
  <c r="AB133" i="3" s="1"/>
  <c r="AA202" i="3"/>
  <c r="Z202" i="3"/>
  <c r="AB202" i="3" s="1"/>
  <c r="AA47" i="3"/>
  <c r="Z47" i="3"/>
  <c r="AA108" i="3"/>
  <c r="Z108" i="3"/>
  <c r="AA147" i="3"/>
  <c r="Z147" i="3"/>
  <c r="AB147" i="3" s="1"/>
  <c r="AA197" i="3"/>
  <c r="Z197" i="3"/>
  <c r="AB197" i="3" s="1"/>
  <c r="AA124" i="3"/>
  <c r="Z124" i="3"/>
  <c r="Z92" i="3"/>
  <c r="AA92" i="3"/>
  <c r="AA17" i="3"/>
  <c r="Z17" i="3"/>
  <c r="AB17" i="3" s="1"/>
  <c r="AA186" i="3"/>
  <c r="Z186" i="3"/>
  <c r="AA200" i="3"/>
  <c r="Z200" i="3"/>
  <c r="Z16" i="3"/>
  <c r="AA16" i="3"/>
  <c r="Z31" i="3"/>
  <c r="AA31" i="3"/>
  <c r="AB31" i="3" s="1"/>
  <c r="Z46" i="3"/>
  <c r="AA46" i="3"/>
  <c r="AB46" i="3" s="1"/>
  <c r="AA62" i="3"/>
  <c r="Z62" i="3"/>
  <c r="Z78" i="3"/>
  <c r="AA78" i="3"/>
  <c r="Z94" i="3"/>
  <c r="AA94" i="3"/>
  <c r="AB94" i="3" s="1"/>
  <c r="AA110" i="3"/>
  <c r="Z110" i="3"/>
  <c r="AB110" i="3" s="1"/>
  <c r="AA126" i="3"/>
  <c r="Z126" i="3"/>
  <c r="AA142" i="3"/>
  <c r="Z142" i="3"/>
  <c r="Z158" i="3"/>
  <c r="AA158" i="3"/>
  <c r="AB158" i="3" s="1"/>
  <c r="AA201" i="3"/>
  <c r="Z201" i="3"/>
  <c r="AB201" i="3" s="1"/>
  <c r="AA23" i="3"/>
  <c r="Z23" i="3"/>
  <c r="AA41" i="3"/>
  <c r="Z41" i="3"/>
  <c r="AA64" i="3"/>
  <c r="Z64" i="3"/>
  <c r="AB64" i="3" s="1"/>
  <c r="AA105" i="3"/>
  <c r="Z105" i="3"/>
  <c r="AA128" i="3"/>
  <c r="Z128" i="3"/>
  <c r="Z204" i="3"/>
  <c r="AA204" i="3"/>
  <c r="Z39" i="3"/>
  <c r="AA39" i="3"/>
  <c r="AA71" i="3"/>
  <c r="Z71" i="3"/>
  <c r="AB71" i="3" s="1"/>
  <c r="Z103" i="3"/>
  <c r="AA103" i="3"/>
  <c r="Z135" i="3"/>
  <c r="AA135" i="3"/>
  <c r="AA177" i="3"/>
  <c r="Z177" i="3"/>
  <c r="AB177" i="3" s="1"/>
  <c r="AA51" i="3"/>
  <c r="Z51" i="3"/>
  <c r="AA109" i="3"/>
  <c r="Z109" i="3"/>
  <c r="Z149" i="3"/>
  <c r="AA149" i="3"/>
  <c r="Z125" i="3"/>
  <c r="AA125" i="3"/>
  <c r="AB125" i="3" s="1"/>
  <c r="Z93" i="3"/>
  <c r="AA93" i="3"/>
  <c r="AB93" i="3" s="1"/>
  <c r="AA25" i="3"/>
  <c r="Z25" i="3"/>
  <c r="AA171" i="3"/>
  <c r="Z171" i="3"/>
  <c r="AA162" i="3"/>
  <c r="Z162" i="3"/>
  <c r="AA176" i="3"/>
  <c r="Z176" i="3"/>
  <c r="AB176" i="3" s="1"/>
  <c r="AA159" i="3"/>
  <c r="Z159" i="3"/>
  <c r="AA180" i="3"/>
  <c r="Z180" i="3"/>
  <c r="AA65" i="3"/>
  <c r="Z65" i="3"/>
  <c r="AB65" i="3" s="1"/>
  <c r="AA88" i="3"/>
  <c r="Z88" i="3"/>
  <c r="Z129" i="3"/>
  <c r="AA129" i="3"/>
  <c r="Z152" i="3"/>
  <c r="AA152" i="3"/>
  <c r="AA182" i="3"/>
  <c r="Z182" i="3"/>
  <c r="AB182" i="3" s="1"/>
  <c r="AA179" i="3"/>
  <c r="Z179" i="3"/>
  <c r="AB179" i="3" s="1"/>
  <c r="AA26" i="3"/>
  <c r="Z26" i="3"/>
  <c r="AA111" i="3"/>
  <c r="Z111" i="3"/>
  <c r="Z151" i="3"/>
  <c r="AA151" i="3"/>
  <c r="AB151" i="3" s="1"/>
  <c r="AA60" i="3"/>
  <c r="Z60" i="3"/>
  <c r="AB60" i="3" s="1"/>
  <c r="Z127" i="3"/>
  <c r="AA127" i="3"/>
  <c r="Z95" i="3"/>
  <c r="AA95" i="3"/>
  <c r="AA35" i="3"/>
  <c r="Z35" i="3"/>
  <c r="AB35" i="3" s="1"/>
  <c r="AA6" i="3"/>
  <c r="Z6" i="3"/>
  <c r="H677" i="2"/>
  <c r="I677" i="2"/>
  <c r="J677" i="2"/>
  <c r="I410" i="2"/>
  <c r="J410" i="2"/>
  <c r="J670" i="2"/>
  <c r="I670" i="2"/>
  <c r="I483" i="2"/>
  <c r="J483" i="2"/>
  <c r="J538" i="2"/>
  <c r="I538" i="2"/>
  <c r="I658" i="2"/>
  <c r="J658" i="2"/>
  <c r="J598" i="2"/>
  <c r="I598" i="2"/>
  <c r="J616" i="2"/>
  <c r="I616" i="2"/>
  <c r="I645" i="2"/>
  <c r="J645" i="2"/>
  <c r="J524" i="2"/>
  <c r="I524" i="2"/>
  <c r="I570" i="2"/>
  <c r="J570" i="2"/>
  <c r="J546" i="2"/>
  <c r="I546" i="2"/>
  <c r="J687" i="2"/>
  <c r="I687" i="2"/>
  <c r="J474" i="2"/>
  <c r="H474" i="2"/>
  <c r="I474" i="2"/>
  <c r="I552" i="2"/>
  <c r="J552" i="2"/>
  <c r="J535" i="2"/>
  <c r="I535" i="2"/>
  <c r="I437" i="2"/>
  <c r="J437" i="2"/>
  <c r="J644" i="2"/>
  <c r="I644" i="2"/>
  <c r="I445" i="2"/>
  <c r="J445" i="2"/>
  <c r="I511" i="2"/>
  <c r="J511" i="2"/>
  <c r="I468" i="2"/>
  <c r="J468" i="2"/>
  <c r="I417" i="2"/>
  <c r="J417" i="2"/>
  <c r="J609" i="2"/>
  <c r="I609" i="2"/>
  <c r="J453" i="2"/>
  <c r="I453" i="2"/>
  <c r="J601" i="2"/>
  <c r="I601" i="2"/>
  <c r="I623" i="2"/>
  <c r="J623" i="2"/>
  <c r="I631" i="2"/>
  <c r="J631" i="2"/>
  <c r="J411" i="2"/>
  <c r="I411" i="2"/>
  <c r="J550" i="2"/>
  <c r="I550" i="2"/>
  <c r="J680" i="2"/>
  <c r="I680" i="2"/>
  <c r="J536" i="2"/>
  <c r="I536" i="2"/>
  <c r="J548" i="2"/>
  <c r="I548" i="2"/>
  <c r="I650" i="2"/>
  <c r="J650" i="2"/>
  <c r="J358" i="2"/>
  <c r="I358" i="2"/>
  <c r="J562" i="2"/>
  <c r="I562" i="2"/>
  <c r="I463" i="2"/>
  <c r="J463" i="2"/>
  <c r="J584" i="2"/>
  <c r="I584" i="2"/>
  <c r="J477" i="2"/>
  <c r="I477" i="2"/>
  <c r="I458" i="2"/>
  <c r="J458" i="2"/>
  <c r="J642" i="2"/>
  <c r="I642" i="2"/>
  <c r="J350" i="2"/>
  <c r="I350" i="2"/>
  <c r="I558" i="2"/>
  <c r="J558" i="2"/>
  <c r="J594" i="2"/>
  <c r="I594" i="2"/>
  <c r="J418" i="2"/>
  <c r="I418" i="2"/>
  <c r="J384" i="2"/>
  <c r="I384" i="2"/>
  <c r="J559" i="2"/>
  <c r="I559" i="2"/>
  <c r="J539" i="2"/>
  <c r="I539" i="2"/>
  <c r="J423" i="2"/>
  <c r="I423" i="2"/>
  <c r="I551" i="2"/>
  <c r="J551" i="2"/>
  <c r="I431" i="2"/>
  <c r="J431" i="2"/>
  <c r="I659" i="2"/>
  <c r="J659" i="2"/>
  <c r="J422" i="2"/>
  <c r="I422" i="2"/>
  <c r="I425" i="2"/>
  <c r="J425" i="2"/>
  <c r="I613" i="2"/>
  <c r="J613" i="2"/>
  <c r="I387" i="2"/>
  <c r="J387" i="2"/>
  <c r="J596" i="2"/>
  <c r="I596" i="2"/>
  <c r="J662" i="2"/>
  <c r="I662" i="2"/>
  <c r="I455" i="2"/>
  <c r="J455" i="2"/>
  <c r="I622" i="2"/>
  <c r="J622" i="2"/>
  <c r="I674" i="2"/>
  <c r="J674" i="2"/>
  <c r="H674" i="2"/>
  <c r="I362" i="2"/>
  <c r="J362" i="2"/>
  <c r="J566" i="2"/>
  <c r="I566" i="2"/>
  <c r="I355" i="2"/>
  <c r="J355" i="2"/>
  <c r="I482" i="2"/>
  <c r="J482" i="2"/>
  <c r="I587" i="2"/>
  <c r="J587" i="2"/>
  <c r="I534" i="2"/>
  <c r="J534" i="2"/>
  <c r="I669" i="2"/>
  <c r="J669" i="2"/>
  <c r="I646" i="2"/>
  <c r="J646" i="2"/>
  <c r="I661" i="2"/>
  <c r="J661" i="2"/>
  <c r="I533" i="2"/>
  <c r="J533" i="2"/>
  <c r="I540" i="2"/>
  <c r="J540" i="2"/>
  <c r="J490" i="2"/>
  <c r="I490" i="2"/>
  <c r="I509" i="2"/>
  <c r="J509" i="2"/>
  <c r="J520" i="2"/>
  <c r="I520" i="2"/>
  <c r="I638" i="2"/>
  <c r="J638" i="2"/>
  <c r="J472" i="2"/>
  <c r="I472" i="2"/>
  <c r="J572" i="2"/>
  <c r="I572" i="2"/>
  <c r="I459" i="2"/>
  <c r="J459" i="2"/>
  <c r="J401" i="2"/>
  <c r="I401" i="2"/>
  <c r="J618" i="2"/>
  <c r="I618" i="2"/>
  <c r="I481" i="2"/>
  <c r="J481" i="2"/>
  <c r="I671" i="2"/>
  <c r="J671" i="2"/>
  <c r="I381" i="2"/>
  <c r="J381" i="2"/>
  <c r="I492" i="2"/>
  <c r="J492" i="2"/>
  <c r="J578" i="2"/>
  <c r="I578" i="2"/>
  <c r="J479" i="2"/>
  <c r="I479" i="2"/>
  <c r="I493" i="2"/>
  <c r="J493" i="2"/>
  <c r="J574" i="2"/>
  <c r="I574" i="2"/>
  <c r="J666" i="2"/>
  <c r="I666" i="2"/>
  <c r="J580" i="2"/>
  <c r="I580" i="2"/>
  <c r="I478" i="2"/>
  <c r="J478" i="2"/>
  <c r="I497" i="2"/>
  <c r="J497" i="2"/>
  <c r="J602" i="2"/>
  <c r="I602" i="2"/>
  <c r="I420" i="2"/>
  <c r="J420" i="2"/>
  <c r="J449" i="2"/>
  <c r="I449" i="2"/>
  <c r="J615" i="2"/>
  <c r="I615" i="2"/>
  <c r="I485" i="2"/>
  <c r="J485" i="2"/>
  <c r="I424" i="2"/>
  <c r="J424" i="2"/>
  <c r="J525" i="2"/>
  <c r="I525" i="2"/>
  <c r="J617" i="2"/>
  <c r="I617" i="2"/>
  <c r="I465" i="2"/>
  <c r="J465" i="2"/>
  <c r="J380" i="2"/>
  <c r="I380" i="2"/>
  <c r="I409" i="2"/>
  <c r="J409" i="2"/>
  <c r="J529" i="2"/>
  <c r="I529" i="2"/>
  <c r="I621" i="2"/>
  <c r="J621" i="2"/>
  <c r="I457" i="2"/>
  <c r="J457" i="2"/>
  <c r="I404" i="2"/>
  <c r="J404" i="2"/>
  <c r="I664" i="2"/>
  <c r="J664" i="2"/>
  <c r="J357" i="2"/>
  <c r="I357" i="2"/>
  <c r="J402" i="2"/>
  <c r="I402" i="2"/>
  <c r="I435" i="2"/>
  <c r="J435" i="2"/>
  <c r="I527" i="2"/>
  <c r="J527" i="2"/>
  <c r="J597" i="2"/>
  <c r="I597" i="2"/>
  <c r="I395" i="2"/>
  <c r="J395" i="2"/>
  <c r="I441" i="2"/>
  <c r="J441" i="2"/>
  <c r="I567" i="2"/>
  <c r="J567" i="2"/>
  <c r="I591" i="2"/>
  <c r="J591" i="2"/>
  <c r="J633" i="2"/>
  <c r="I633" i="2"/>
  <c r="I675" i="2"/>
  <c r="J675" i="2"/>
  <c r="J383" i="2"/>
  <c r="I383" i="2"/>
  <c r="I640" i="2"/>
  <c r="J640" i="2"/>
  <c r="J460" i="2"/>
  <c r="I460" i="2"/>
  <c r="J518" i="2"/>
  <c r="I518" i="2"/>
  <c r="I624" i="2"/>
  <c r="J624" i="2"/>
  <c r="J515" i="2"/>
  <c r="I515" i="2"/>
  <c r="J370" i="2"/>
  <c r="I370" i="2"/>
  <c r="I627" i="2"/>
  <c r="J627" i="2"/>
  <c r="I389" i="2"/>
  <c r="J389" i="2"/>
  <c r="H604" i="2"/>
  <c r="J604" i="2"/>
  <c r="I604" i="2"/>
  <c r="I359" i="2"/>
  <c r="J359" i="2"/>
  <c r="I365" i="2"/>
  <c r="J365" i="2"/>
  <c r="I413" i="2"/>
  <c r="J413" i="2"/>
  <c r="I451" i="2"/>
  <c r="J451" i="2"/>
  <c r="J545" i="2"/>
  <c r="I545" i="2"/>
  <c r="I603" i="2"/>
  <c r="J603" i="2"/>
  <c r="J668" i="2"/>
  <c r="I668" i="2"/>
  <c r="J507" i="2"/>
  <c r="I507" i="2"/>
  <c r="J374" i="2"/>
  <c r="I374" i="2"/>
  <c r="I519" i="2"/>
  <c r="J519" i="2"/>
  <c r="I397" i="2"/>
  <c r="J397" i="2"/>
  <c r="I639" i="2"/>
  <c r="J639" i="2"/>
  <c r="I467" i="2"/>
  <c r="J467" i="2"/>
  <c r="I450" i="2"/>
  <c r="J450" i="2"/>
  <c r="I582" i="2"/>
  <c r="J582" i="2"/>
  <c r="J508" i="2"/>
  <c r="I508" i="2"/>
  <c r="I484" i="2"/>
  <c r="J484" i="2"/>
  <c r="I590" i="2"/>
  <c r="J590" i="2"/>
  <c r="I466" i="2"/>
  <c r="J466" i="2"/>
  <c r="I399" i="2"/>
  <c r="J399" i="2"/>
  <c r="I369" i="2"/>
  <c r="J369" i="2"/>
  <c r="J354" i="2"/>
  <c r="I354" i="2"/>
  <c r="I653" i="2"/>
  <c r="J653" i="2"/>
  <c r="I630" i="2"/>
  <c r="J630" i="2"/>
  <c r="J495" i="2"/>
  <c r="I495" i="2"/>
  <c r="J426" i="2"/>
  <c r="I426" i="2"/>
  <c r="I494" i="2"/>
  <c r="J494" i="2"/>
  <c r="I462" i="2"/>
  <c r="J462" i="2"/>
  <c r="I356" i="2"/>
  <c r="J356" i="2"/>
  <c r="I565" i="2"/>
  <c r="J565" i="2"/>
  <c r="J586" i="2"/>
  <c r="I586" i="2"/>
  <c r="I655" i="2"/>
  <c r="J655" i="2"/>
  <c r="J363" i="2"/>
  <c r="I363" i="2"/>
  <c r="J439" i="2"/>
  <c r="I439" i="2"/>
  <c r="J629" i="2"/>
  <c r="I629" i="2"/>
  <c r="I361" i="2"/>
  <c r="J361" i="2"/>
  <c r="J573" i="2"/>
  <c r="I573" i="2"/>
  <c r="I393" i="2"/>
  <c r="J393" i="2"/>
  <c r="I390" i="2"/>
  <c r="J390" i="2"/>
  <c r="I575" i="2"/>
  <c r="J575" i="2"/>
  <c r="I648" i="2"/>
  <c r="J648" i="2"/>
  <c r="I398" i="2"/>
  <c r="J398" i="2"/>
  <c r="I433" i="2"/>
  <c r="J433" i="2"/>
  <c r="I373" i="2"/>
  <c r="J373" i="2"/>
  <c r="I555" i="2"/>
  <c r="J555" i="2"/>
  <c r="I643" i="2"/>
  <c r="J643" i="2"/>
  <c r="J500" i="2"/>
  <c r="I500" i="2"/>
  <c r="I652" i="2"/>
  <c r="J652" i="2"/>
  <c r="I461" i="2"/>
  <c r="J461" i="2"/>
  <c r="J656" i="2"/>
  <c r="I656" i="2"/>
  <c r="J554" i="2"/>
  <c r="I554" i="2"/>
  <c r="J632" i="2"/>
  <c r="I632" i="2"/>
  <c r="J378" i="2"/>
  <c r="I378" i="2"/>
  <c r="J403" i="2"/>
  <c r="I403" i="2"/>
  <c r="J576" i="2"/>
  <c r="I576" i="2"/>
  <c r="J371" i="2"/>
  <c r="I371" i="2"/>
  <c r="J386" i="2"/>
  <c r="I386" i="2"/>
  <c r="I429" i="2"/>
  <c r="J429" i="2"/>
  <c r="J531" i="2"/>
  <c r="I531" i="2"/>
  <c r="J577" i="2"/>
  <c r="I577" i="2"/>
  <c r="J611" i="2"/>
  <c r="I611" i="2"/>
  <c r="I628" i="2"/>
  <c r="J628" i="2"/>
  <c r="I419" i="2"/>
  <c r="J419" i="2"/>
  <c r="I635" i="2"/>
  <c r="J635" i="2"/>
  <c r="I649" i="2"/>
  <c r="J649" i="2"/>
  <c r="J620" i="2"/>
  <c r="I620" i="2"/>
  <c r="J549" i="2"/>
  <c r="I549" i="2"/>
  <c r="I514" i="2"/>
  <c r="J514" i="2"/>
  <c r="I612" i="2"/>
  <c r="J612" i="2"/>
  <c r="I528" i="2"/>
  <c r="J528" i="2"/>
  <c r="J553" i="2"/>
  <c r="I553" i="2"/>
  <c r="I564" i="2"/>
  <c r="J564" i="2"/>
  <c r="J375" i="2"/>
  <c r="I375" i="2"/>
  <c r="J626" i="2"/>
  <c r="I626" i="2"/>
  <c r="I512" i="2"/>
  <c r="J512" i="2"/>
  <c r="I504" i="2"/>
  <c r="J504" i="2"/>
  <c r="J678" i="2"/>
  <c r="I678" i="2"/>
  <c r="I498" i="2"/>
  <c r="J498" i="2"/>
  <c r="I442" i="2"/>
  <c r="J442" i="2"/>
  <c r="I353" i="2"/>
  <c r="J353" i="2"/>
  <c r="I560" i="2"/>
  <c r="J560" i="2"/>
  <c r="H560" i="2"/>
  <c r="J588" i="2"/>
  <c r="I588" i="2"/>
  <c r="J637" i="2"/>
  <c r="I637" i="2"/>
  <c r="I542" i="2"/>
  <c r="J542" i="2"/>
  <c r="J486" i="2"/>
  <c r="I486" i="2"/>
  <c r="J388" i="2"/>
  <c r="I388" i="2"/>
  <c r="I663" i="2"/>
  <c r="J663" i="2"/>
  <c r="I480" i="2"/>
  <c r="J480" i="2"/>
  <c r="J421" i="2"/>
  <c r="I421" i="2"/>
  <c r="J684" i="2"/>
  <c r="I684" i="2"/>
  <c r="J392" i="2"/>
  <c r="I392" i="2"/>
  <c r="J589" i="2"/>
  <c r="I589" i="2"/>
  <c r="J367" i="2"/>
  <c r="I367" i="2"/>
  <c r="I408" i="2"/>
  <c r="J408" i="2"/>
  <c r="J593" i="2"/>
  <c r="I593" i="2"/>
  <c r="J454" i="2"/>
  <c r="I454" i="2"/>
  <c r="J561" i="2"/>
  <c r="I561" i="2"/>
  <c r="I352" i="2"/>
  <c r="J352" i="2"/>
  <c r="J394" i="2"/>
  <c r="I394" i="2"/>
  <c r="J557" i="2"/>
  <c r="I557" i="2"/>
  <c r="J625" i="2"/>
  <c r="I625" i="2"/>
  <c r="I523" i="2"/>
  <c r="J523" i="2"/>
  <c r="I541" i="2"/>
  <c r="J541" i="2"/>
  <c r="I503" i="2"/>
  <c r="J503" i="2"/>
  <c r="J469" i="2"/>
  <c r="I469" i="2"/>
  <c r="I471" i="2"/>
  <c r="J471" i="2"/>
  <c r="J364" i="2"/>
  <c r="I364" i="2"/>
  <c r="J600" i="2"/>
  <c r="I600" i="2"/>
  <c r="J641" i="2"/>
  <c r="I641" i="2"/>
  <c r="I427" i="2"/>
  <c r="J427" i="2"/>
  <c r="I657" i="2"/>
  <c r="J657" i="2"/>
  <c r="I452" i="2"/>
  <c r="J452" i="2"/>
  <c r="J679" i="2"/>
  <c r="I679" i="2"/>
  <c r="I667" i="2"/>
  <c r="J667" i="2"/>
  <c r="J396" i="2"/>
  <c r="I396" i="2"/>
  <c r="J416" i="2"/>
  <c r="I416" i="2"/>
  <c r="J430" i="2"/>
  <c r="I430" i="2"/>
  <c r="J547" i="2"/>
  <c r="I547" i="2"/>
  <c r="I585" i="2"/>
  <c r="J585" i="2"/>
  <c r="H619" i="2"/>
  <c r="I619" i="2"/>
  <c r="J619" i="2"/>
  <c r="I636" i="2"/>
  <c r="J636" i="2"/>
  <c r="J510" i="2"/>
  <c r="I510" i="2"/>
  <c r="I673" i="2"/>
  <c r="J673" i="2"/>
  <c r="J456" i="2"/>
  <c r="I456" i="2"/>
  <c r="J681" i="2"/>
  <c r="I681" i="2"/>
  <c r="I556" i="2"/>
  <c r="J556" i="2"/>
  <c r="I499" i="2"/>
  <c r="J499" i="2"/>
  <c r="I470" i="2"/>
  <c r="J470" i="2"/>
  <c r="I448" i="2"/>
  <c r="J448" i="2"/>
  <c r="J683" i="2"/>
  <c r="I683" i="2"/>
  <c r="I440" i="2"/>
  <c r="J440" i="2"/>
  <c r="J391" i="2"/>
  <c r="I391" i="2"/>
  <c r="I526" i="2"/>
  <c r="J526" i="2"/>
  <c r="J654" i="2"/>
  <c r="I654" i="2"/>
  <c r="I537" i="2"/>
  <c r="J537" i="2"/>
  <c r="I351" i="2"/>
  <c r="J351" i="2"/>
  <c r="J475" i="2"/>
  <c r="I475" i="2"/>
  <c r="H475" i="2"/>
  <c r="J491" i="2"/>
  <c r="I491" i="2"/>
  <c r="J634" i="2"/>
  <c r="I634" i="2"/>
  <c r="I501" i="2"/>
  <c r="J501" i="2"/>
  <c r="I682" i="2"/>
  <c r="J682" i="2"/>
  <c r="J476" i="2"/>
  <c r="I476" i="2"/>
  <c r="I532" i="2"/>
  <c r="J532" i="2"/>
  <c r="I610" i="2"/>
  <c r="J610" i="2"/>
  <c r="I488" i="2"/>
  <c r="J488" i="2"/>
  <c r="I502" i="2"/>
  <c r="J502" i="2"/>
  <c r="J606" i="2"/>
  <c r="I606" i="2"/>
  <c r="J438" i="2"/>
  <c r="I438" i="2"/>
  <c r="J405" i="2"/>
  <c r="I405" i="2"/>
  <c r="I487" i="2"/>
  <c r="J487" i="2"/>
  <c r="J530" i="2"/>
  <c r="I530" i="2"/>
  <c r="I647" i="2"/>
  <c r="J647" i="2"/>
  <c r="J473" i="2"/>
  <c r="I473" i="2"/>
  <c r="I489" i="2"/>
  <c r="J489" i="2"/>
  <c r="J436" i="2"/>
  <c r="I436" i="2"/>
  <c r="J444" i="2"/>
  <c r="I444" i="2"/>
  <c r="J592" i="2"/>
  <c r="I592" i="2"/>
  <c r="J614" i="2"/>
  <c r="I614" i="2"/>
  <c r="I544" i="2"/>
  <c r="J544" i="2"/>
  <c r="I506" i="2"/>
  <c r="J506" i="2"/>
  <c r="I568" i="2"/>
  <c r="J568" i="2"/>
  <c r="I377" i="2"/>
  <c r="J377" i="2"/>
  <c r="I434" i="2"/>
  <c r="J434" i="2"/>
  <c r="J599" i="2"/>
  <c r="I599" i="2"/>
  <c r="I513" i="2"/>
  <c r="J513" i="2"/>
  <c r="I382" i="2"/>
  <c r="J382" i="2"/>
  <c r="I569" i="2"/>
  <c r="J569" i="2"/>
  <c r="I605" i="2"/>
  <c r="J605" i="2"/>
  <c r="I368" i="2"/>
  <c r="J368" i="2"/>
  <c r="I400" i="2"/>
  <c r="J400" i="2"/>
  <c r="J428" i="2"/>
  <c r="I428" i="2"/>
  <c r="J571" i="2"/>
  <c r="I571" i="2"/>
  <c r="I607" i="2"/>
  <c r="J607" i="2"/>
  <c r="I372" i="2"/>
  <c r="J372" i="2"/>
  <c r="I360" i="2"/>
  <c r="J360" i="2"/>
  <c r="J583" i="2"/>
  <c r="I583" i="2"/>
  <c r="I385" i="2"/>
  <c r="J385" i="2"/>
  <c r="I379" i="2"/>
  <c r="J379" i="2"/>
  <c r="J412" i="2"/>
  <c r="I412" i="2"/>
  <c r="I447" i="2"/>
  <c r="J447" i="2"/>
  <c r="J581" i="2"/>
  <c r="I581" i="2"/>
  <c r="I660" i="2"/>
  <c r="J660" i="2"/>
  <c r="I414" i="2"/>
  <c r="J414" i="2"/>
  <c r="I543" i="2"/>
  <c r="J543" i="2"/>
  <c r="I579" i="2"/>
  <c r="J579" i="2"/>
  <c r="J496" i="2"/>
  <c r="I496" i="2"/>
  <c r="I376" i="2"/>
  <c r="J376" i="2"/>
  <c r="I517" i="2"/>
  <c r="J517" i="2"/>
  <c r="I651" i="2"/>
  <c r="J651" i="2"/>
  <c r="I415" i="2"/>
  <c r="J415" i="2"/>
  <c r="J505" i="2"/>
  <c r="I505" i="2"/>
  <c r="J686" i="2"/>
  <c r="I686" i="2"/>
  <c r="J672" i="2"/>
  <c r="I672" i="2"/>
  <c r="J464" i="2"/>
  <c r="I464" i="2"/>
  <c r="I521" i="2"/>
  <c r="J521" i="2"/>
  <c r="I516" i="2"/>
  <c r="J516" i="2"/>
  <c r="I665" i="2"/>
  <c r="J665" i="2"/>
  <c r="J608" i="2"/>
  <c r="I608" i="2"/>
  <c r="I406" i="2"/>
  <c r="J406" i="2"/>
  <c r="J432" i="2"/>
  <c r="I432" i="2"/>
  <c r="J443" i="2"/>
  <c r="I443" i="2"/>
  <c r="J563" i="2"/>
  <c r="I563" i="2"/>
  <c r="J595" i="2"/>
  <c r="I595" i="2"/>
  <c r="J676" i="2"/>
  <c r="I676" i="2"/>
  <c r="I407" i="2"/>
  <c r="J407" i="2"/>
  <c r="J366" i="2"/>
  <c r="I366" i="2"/>
  <c r="J446" i="2"/>
  <c r="I446" i="2"/>
  <c r="J522" i="2"/>
  <c r="I522" i="2"/>
  <c r="J685" i="2"/>
  <c r="I685" i="2"/>
  <c r="H680" i="2"/>
  <c r="H651" i="2"/>
  <c r="H574" i="2"/>
  <c r="H616" i="2"/>
  <c r="H538" i="2"/>
  <c r="H490" i="2"/>
  <c r="H489" i="2"/>
  <c r="H473" i="2"/>
  <c r="H395" i="2"/>
  <c r="H626" i="2"/>
  <c r="H584" i="2"/>
  <c r="H444" i="2"/>
  <c r="H460" i="2"/>
  <c r="H513" i="2"/>
  <c r="H516" i="2"/>
  <c r="H483" i="2"/>
  <c r="H494" i="2"/>
  <c r="H623" i="2"/>
  <c r="H654" i="2"/>
  <c r="H536" i="2"/>
  <c r="H507" i="2"/>
  <c r="H464" i="2"/>
  <c r="H488" i="2"/>
  <c r="H682" i="2"/>
  <c r="H520" i="2"/>
  <c r="H471" i="2"/>
  <c r="H650" i="2"/>
  <c r="H635" i="2"/>
  <c r="H653" i="2"/>
  <c r="H598" i="2"/>
  <c r="H461" i="2"/>
  <c r="H405" i="2"/>
  <c r="H500" i="2"/>
  <c r="H624" i="2"/>
  <c r="H589" i="2"/>
  <c r="H437" i="2"/>
  <c r="H365" i="2"/>
  <c r="H495" i="2"/>
  <c r="H643" i="2"/>
  <c r="H663" i="2"/>
  <c r="H599" i="2"/>
  <c r="H420" i="2"/>
  <c r="H384" i="2"/>
  <c r="H408" i="2"/>
  <c r="H432" i="2"/>
  <c r="H629" i="2"/>
  <c r="H367" i="2"/>
  <c r="H382" i="2"/>
  <c r="H441" i="2"/>
  <c r="H527" i="2"/>
  <c r="H541" i="2"/>
  <c r="H496" i="2"/>
  <c r="H375" i="2"/>
  <c r="H617" i="2"/>
  <c r="H451" i="2"/>
  <c r="H424" i="2"/>
  <c r="H439" i="2"/>
  <c r="H676" i="2"/>
  <c r="H360" i="2"/>
  <c r="H669" i="2"/>
  <c r="H407" i="2"/>
  <c r="H396" i="2"/>
  <c r="H537" i="2"/>
  <c r="H622" i="2"/>
  <c r="H373" i="2"/>
  <c r="H414" i="2"/>
  <c r="H394" i="2"/>
  <c r="H523" i="2"/>
  <c r="H421" i="2"/>
  <c r="H579" i="2"/>
  <c r="H642" i="2"/>
  <c r="H416" i="2"/>
  <c r="H433" i="2"/>
  <c r="H378" i="2"/>
  <c r="H366" i="2"/>
  <c r="H370" i="2"/>
  <c r="H419" i="2"/>
  <c r="H448" i="2"/>
  <c r="H374" i="2"/>
  <c r="H423" i="2"/>
  <c r="H446" i="2"/>
  <c r="H411" i="2"/>
  <c r="H427" i="2"/>
  <c r="H450" i="2"/>
  <c r="H415" i="2"/>
  <c r="H431" i="2"/>
  <c r="H442" i="2"/>
  <c r="H681" i="2"/>
  <c r="H658" i="2"/>
  <c r="H646" i="2"/>
  <c r="H634" i="2"/>
  <c r="H596" i="2"/>
  <c r="H670" i="2"/>
  <c r="H667" i="2"/>
  <c r="H618" i="2"/>
  <c r="H602" i="2"/>
  <c r="H586" i="2"/>
  <c r="H661" i="2"/>
  <c r="H645" i="2"/>
  <c r="H639" i="2"/>
  <c r="H631" i="2"/>
  <c r="H600" i="2"/>
  <c r="H675" i="2"/>
  <c r="H564" i="2"/>
  <c r="H548" i="2"/>
  <c r="H532" i="2"/>
  <c r="H511" i="2"/>
  <c r="H566" i="2"/>
  <c r="H550" i="2"/>
  <c r="H534" i="2"/>
  <c r="H472" i="2"/>
  <c r="H515" i="2"/>
  <c r="H504" i="2"/>
  <c r="H501" i="2"/>
  <c r="H476" i="2"/>
  <c r="H497" i="2"/>
  <c r="H477" i="2"/>
  <c r="H469" i="2"/>
  <c r="H465" i="2"/>
  <c r="H457" i="2"/>
  <c r="H456" i="2"/>
  <c r="H385" i="2"/>
  <c r="H372" i="2"/>
  <c r="H493" i="2"/>
  <c r="H498" i="2"/>
  <c r="H492" i="2"/>
  <c r="H436" i="2"/>
  <c r="H440" i="2"/>
  <c r="H401" i="2"/>
  <c r="H389" i="2"/>
  <c r="H393" i="2"/>
  <c r="H659" i="2"/>
  <c r="H582" i="2"/>
  <c r="H620" i="2"/>
  <c r="H592" i="2"/>
  <c r="H518" i="2"/>
  <c r="H502" i="2"/>
  <c r="H544" i="2"/>
  <c r="H514" i="2"/>
  <c r="H466" i="2"/>
  <c r="H487" i="2"/>
  <c r="H485" i="2"/>
  <c r="H499" i="2"/>
  <c r="H480" i="2"/>
  <c r="H454" i="2"/>
  <c r="H391" i="2"/>
  <c r="H381" i="2"/>
  <c r="H368" i="2"/>
  <c r="H683" i="2"/>
  <c r="H671" i="2"/>
  <c r="H647" i="2"/>
  <c r="H606" i="2"/>
  <c r="H590" i="2"/>
  <c r="H666" i="2"/>
  <c r="H608" i="2"/>
  <c r="H580" i="2"/>
  <c r="H521" i="2"/>
  <c r="H510" i="2"/>
  <c r="H505" i="2"/>
  <c r="H552" i="2"/>
  <c r="H491" i="2"/>
  <c r="H554" i="2"/>
  <c r="H522" i="2"/>
  <c r="H517" i="2"/>
  <c r="H506" i="2"/>
  <c r="H458" i="2"/>
  <c r="H486" i="2"/>
  <c r="H478" i="2"/>
  <c r="H484" i="2"/>
  <c r="H399" i="2"/>
  <c r="H383" i="2"/>
  <c r="H376" i="2"/>
  <c r="H685" i="2"/>
  <c r="H673" i="2"/>
  <c r="H528" i="2"/>
  <c r="H562" i="2"/>
  <c r="H470" i="2"/>
  <c r="H468" i="2"/>
  <c r="H438" i="2"/>
  <c r="H397" i="2"/>
  <c r="H403" i="2"/>
  <c r="H355" i="2"/>
  <c r="H687" i="2"/>
  <c r="H638" i="2"/>
  <c r="H630" i="2"/>
  <c r="H612" i="2"/>
  <c r="H576" i="2"/>
  <c r="H364" i="2"/>
  <c r="H662" i="2"/>
  <c r="H655" i="2"/>
  <c r="H610" i="2"/>
  <c r="H594" i="2"/>
  <c r="H578" i="2"/>
  <c r="H657" i="2"/>
  <c r="H649" i="2"/>
  <c r="H627" i="2"/>
  <c r="H556" i="2"/>
  <c r="H540" i="2"/>
  <c r="H524" i="2"/>
  <c r="H519" i="2"/>
  <c r="H508" i="2"/>
  <c r="H503" i="2"/>
  <c r="H558" i="2"/>
  <c r="H542" i="2"/>
  <c r="H526" i="2"/>
  <c r="H462" i="2"/>
  <c r="H512" i="2"/>
  <c r="H479" i="2"/>
  <c r="H481" i="2"/>
  <c r="H452" i="2"/>
  <c r="H467" i="2"/>
  <c r="H463" i="2"/>
  <c r="H459" i="2"/>
  <c r="H455" i="2"/>
  <c r="H387" i="2"/>
  <c r="H679" i="2"/>
  <c r="H665" i="2"/>
  <c r="H588" i="2"/>
  <c r="H614" i="2"/>
  <c r="H546" i="2"/>
  <c r="H530" i="2"/>
  <c r="H509" i="2"/>
  <c r="H482" i="2"/>
  <c r="H547" i="2"/>
  <c r="H445" i="2"/>
  <c r="H551" i="2"/>
  <c r="H557" i="2"/>
  <c r="H591" i="2"/>
  <c r="H640" i="2"/>
  <c r="H369" i="2"/>
  <c r="H613" i="2"/>
  <c r="H545" i="2"/>
  <c r="H585" i="2"/>
  <c r="H633" i="2"/>
  <c r="H597" i="2"/>
  <c r="H434" i="2"/>
  <c r="H400" i="2"/>
  <c r="H380" i="2"/>
  <c r="H555" i="2"/>
  <c r="H402" i="2"/>
  <c r="H412" i="2"/>
  <c r="H426" i="2"/>
  <c r="H449" i="2"/>
  <c r="H559" i="2"/>
  <c r="H565" i="2"/>
  <c r="H595" i="2"/>
  <c r="H656" i="2"/>
  <c r="H573" i="2"/>
  <c r="H410" i="2"/>
  <c r="H549" i="2"/>
  <c r="H652" i="2"/>
  <c r="H388" i="2"/>
  <c r="H570" i="2"/>
  <c r="H636" i="2"/>
  <c r="H418" i="2"/>
  <c r="H453" i="2"/>
  <c r="H539" i="2"/>
  <c r="H409" i="2"/>
  <c r="H531" i="2"/>
  <c r="H406" i="2"/>
  <c r="H413" i="2"/>
  <c r="H428" i="2"/>
  <c r="H605" i="2"/>
  <c r="H672" i="2"/>
  <c r="H535" i="2"/>
  <c r="H583" i="2"/>
  <c r="H615" i="2"/>
  <c r="H668" i="2"/>
  <c r="H632" i="2"/>
  <c r="H447" i="2"/>
  <c r="H569" i="2"/>
  <c r="H568" i="2"/>
  <c r="H529" i="2"/>
  <c r="H577" i="2"/>
  <c r="H609" i="2"/>
  <c r="H625" i="2"/>
  <c r="H660" i="2"/>
  <c r="H392" i="2"/>
  <c r="H386" i="2"/>
  <c r="H543" i="2"/>
  <c r="H587" i="2"/>
  <c r="H684" i="2"/>
  <c r="H571" i="2"/>
  <c r="H572" i="2"/>
  <c r="H637" i="2"/>
  <c r="H644" i="2"/>
  <c r="H430" i="2"/>
  <c r="H561" i="2"/>
  <c r="H678" i="2"/>
  <c r="H553" i="2"/>
  <c r="H648" i="2"/>
  <c r="H435" i="2"/>
  <c r="H398" i="2"/>
  <c r="H603" i="2"/>
  <c r="H628" i="2"/>
  <c r="H443" i="2"/>
  <c r="H581" i="2"/>
  <c r="H429" i="2"/>
  <c r="H567" i="2"/>
  <c r="H525" i="2"/>
  <c r="H575" i="2"/>
  <c r="H607" i="2"/>
  <c r="H686" i="2"/>
  <c r="H664" i="2"/>
  <c r="H379" i="2"/>
  <c r="H377" i="2"/>
  <c r="H417" i="2"/>
  <c r="H601" i="2"/>
  <c r="H422" i="2"/>
  <c r="H371" i="2"/>
  <c r="H533" i="2"/>
  <c r="H611" i="2"/>
  <c r="H404" i="2"/>
  <c r="H425" i="2"/>
  <c r="H390" i="2"/>
  <c r="H563" i="2"/>
  <c r="H593" i="2"/>
  <c r="H641" i="2"/>
  <c r="H621" i="2"/>
  <c r="H357" i="2"/>
  <c r="H362" i="2"/>
  <c r="H10" i="2"/>
  <c r="H351" i="2"/>
  <c r="H361" i="2"/>
  <c r="H354" i="2"/>
  <c r="H356" i="2"/>
  <c r="H358" i="2"/>
  <c r="H359" i="2"/>
  <c r="H353" i="2"/>
  <c r="H350" i="2"/>
  <c r="H352" i="2"/>
  <c r="H363" i="2"/>
  <c r="L13" i="2"/>
  <c r="A8" i="7" s="1"/>
  <c r="A6" i="5"/>
  <c r="H245" i="2"/>
  <c r="H109" i="2"/>
  <c r="H18" i="2"/>
  <c r="H95" i="2"/>
  <c r="H82" i="2"/>
  <c r="H100" i="2"/>
  <c r="H120" i="2"/>
  <c r="H296" i="2"/>
  <c r="H281" i="2"/>
  <c r="H93" i="2"/>
  <c r="H218" i="2"/>
  <c r="H342" i="2"/>
  <c r="H20" i="2"/>
  <c r="H114" i="2"/>
  <c r="H201" i="2"/>
  <c r="H76" i="2"/>
  <c r="H111" i="2"/>
  <c r="H187" i="2"/>
  <c r="H149" i="2"/>
  <c r="H262" i="2"/>
  <c r="H16" i="2"/>
  <c r="H159" i="2"/>
  <c r="H223" i="2"/>
  <c r="H316" i="2"/>
  <c r="H131" i="2"/>
  <c r="H58" i="2"/>
  <c r="H126" i="2"/>
  <c r="H72" i="2"/>
  <c r="H88" i="2"/>
  <c r="H200" i="2"/>
  <c r="H63" i="2"/>
  <c r="H301" i="2"/>
  <c r="H215" i="2"/>
  <c r="H165" i="2"/>
  <c r="H329" i="2"/>
  <c r="H98" i="2"/>
  <c r="H226" i="2"/>
  <c r="H153" i="2"/>
  <c r="H204" i="2"/>
  <c r="H29" i="2"/>
  <c r="H123" i="2"/>
  <c r="H135" i="2"/>
  <c r="H70" i="2"/>
  <c r="H340" i="2"/>
  <c r="H112" i="2"/>
  <c r="H60" i="2"/>
  <c r="H188" i="2"/>
  <c r="H212" i="2"/>
  <c r="H122" i="2"/>
  <c r="H250" i="2"/>
  <c r="H314" i="2"/>
  <c r="H161" i="2"/>
  <c r="H177" i="2"/>
  <c r="H241" i="2"/>
  <c r="H79" i="2"/>
  <c r="H108" i="2"/>
  <c r="H143" i="2"/>
  <c r="H271" i="2"/>
  <c r="H181" i="2"/>
  <c r="H213" i="2"/>
  <c r="H309" i="2"/>
  <c r="H99" i="2"/>
  <c r="H132" i="2"/>
  <c r="H50" i="2"/>
  <c r="J146" i="2"/>
  <c r="H146" i="2"/>
  <c r="J178" i="2"/>
  <c r="H178" i="2"/>
  <c r="J210" i="2"/>
  <c r="H210" i="2"/>
  <c r="H242" i="2"/>
  <c r="H274" i="2"/>
  <c r="J306" i="2"/>
  <c r="H306" i="2"/>
  <c r="H336" i="2"/>
  <c r="H25" i="2"/>
  <c r="H57" i="2"/>
  <c r="J89" i="2"/>
  <c r="H89" i="2"/>
  <c r="H121" i="2"/>
  <c r="H185" i="2"/>
  <c r="H217" i="2"/>
  <c r="H249" i="2"/>
  <c r="H313" i="2"/>
  <c r="H347" i="2"/>
  <c r="H47" i="2"/>
  <c r="H157" i="2"/>
  <c r="H239" i="2"/>
  <c r="H285" i="2"/>
  <c r="H334" i="2"/>
  <c r="H59" i="2"/>
  <c r="H251" i="2"/>
  <c r="H315" i="2"/>
  <c r="H51" i="2"/>
  <c r="H167" i="2"/>
  <c r="H292" i="2"/>
  <c r="H75" i="2"/>
  <c r="H227" i="2"/>
  <c r="H267" i="2"/>
  <c r="J11" i="2"/>
  <c r="H11" i="2"/>
  <c r="H38" i="2"/>
  <c r="H54" i="2"/>
  <c r="H86" i="2"/>
  <c r="H118" i="2"/>
  <c r="J134" i="2"/>
  <c r="H134" i="2"/>
  <c r="J150" i="2"/>
  <c r="H150" i="2"/>
  <c r="J182" i="2"/>
  <c r="H182" i="2"/>
  <c r="J198" i="2"/>
  <c r="H198" i="2"/>
  <c r="H214" i="2"/>
  <c r="H230" i="2"/>
  <c r="H246" i="2"/>
  <c r="H278" i="2"/>
  <c r="J294" i="2"/>
  <c r="H294" i="2"/>
  <c r="H310" i="2"/>
  <c r="H324" i="2"/>
  <c r="H32" i="2"/>
  <c r="H48" i="2"/>
  <c r="H64" i="2"/>
  <c r="H80" i="2"/>
  <c r="J19" i="2"/>
  <c r="H19" i="2"/>
  <c r="H34" i="2"/>
  <c r="H66" i="2"/>
  <c r="J130" i="2"/>
  <c r="H130" i="2"/>
  <c r="J162" i="2"/>
  <c r="H162" i="2"/>
  <c r="J194" i="2"/>
  <c r="H194" i="2"/>
  <c r="H258" i="2"/>
  <c r="H290" i="2"/>
  <c r="H321" i="2"/>
  <c r="H348" i="2"/>
  <c r="H41" i="2"/>
  <c r="J73" i="2"/>
  <c r="H73" i="2"/>
  <c r="J105" i="2"/>
  <c r="H105" i="2"/>
  <c r="H137" i="2"/>
  <c r="H169" i="2"/>
  <c r="H233" i="2"/>
  <c r="H265" i="2"/>
  <c r="H297" i="2"/>
  <c r="H330" i="2"/>
  <c r="H23" i="2"/>
  <c r="H140" i="2"/>
  <c r="H175" i="2"/>
  <c r="H221" i="2"/>
  <c r="I268" i="2"/>
  <c r="H268" i="2"/>
  <c r="H303" i="2"/>
  <c r="H91" i="2"/>
  <c r="H155" i="2"/>
  <c r="H219" i="2"/>
  <c r="H283" i="2"/>
  <c r="H36" i="2"/>
  <c r="H107" i="2"/>
  <c r="H229" i="2"/>
  <c r="H307" i="2"/>
  <c r="H197" i="2"/>
  <c r="J333" i="2"/>
  <c r="H333" i="2"/>
  <c r="H195" i="2"/>
  <c r="H67" i="2"/>
  <c r="H22" i="2"/>
  <c r="H102" i="2"/>
  <c r="J166" i="2"/>
  <c r="H166" i="2"/>
  <c r="H96" i="2"/>
  <c r="H144" i="2"/>
  <c r="H176" i="2"/>
  <c r="J208" i="2"/>
  <c r="H208" i="2"/>
  <c r="J240" i="2"/>
  <c r="H240" i="2"/>
  <c r="J272" i="2"/>
  <c r="H272" i="2"/>
  <c r="H304" i="2"/>
  <c r="H331" i="2"/>
  <c r="H31" i="2"/>
  <c r="J77" i="2"/>
  <c r="H77" i="2"/>
  <c r="H124" i="2"/>
  <c r="H205" i="2"/>
  <c r="I252" i="2"/>
  <c r="H252" i="2"/>
  <c r="H287" i="2"/>
  <c r="H335" i="2"/>
  <c r="H84" i="2"/>
  <c r="H148" i="2"/>
  <c r="I276" i="2"/>
  <c r="H276" i="2"/>
  <c r="H341" i="2"/>
  <c r="H171" i="2"/>
  <c r="H293" i="2"/>
  <c r="H83" i="2"/>
  <c r="J326" i="2"/>
  <c r="H326" i="2"/>
  <c r="H343" i="2"/>
  <c r="I260" i="2"/>
  <c r="H260" i="2"/>
  <c r="H117" i="2"/>
  <c r="H26" i="2"/>
  <c r="H42" i="2"/>
  <c r="H74" i="2"/>
  <c r="H106" i="2"/>
  <c r="J138" i="2"/>
  <c r="H138" i="2"/>
  <c r="J170" i="2"/>
  <c r="H170" i="2"/>
  <c r="H163" i="2"/>
  <c r="H14" i="2"/>
  <c r="H30" i="2"/>
  <c r="H46" i="2"/>
  <c r="H62" i="2"/>
  <c r="H78" i="2"/>
  <c r="H94" i="2"/>
  <c r="H110" i="2"/>
  <c r="J142" i="2"/>
  <c r="H142" i="2"/>
  <c r="J158" i="2"/>
  <c r="H158" i="2"/>
  <c r="J174" i="2"/>
  <c r="H174" i="2"/>
  <c r="J190" i="2"/>
  <c r="H190" i="2"/>
  <c r="H206" i="2"/>
  <c r="H222" i="2"/>
  <c r="H238" i="2"/>
  <c r="H254" i="2"/>
  <c r="H270" i="2"/>
  <c r="J286" i="2"/>
  <c r="H286" i="2"/>
  <c r="J302" i="2"/>
  <c r="H302" i="2"/>
  <c r="J318" i="2"/>
  <c r="H318" i="2"/>
  <c r="H332" i="2"/>
  <c r="H346" i="2"/>
  <c r="H24" i="2"/>
  <c r="H40" i="2"/>
  <c r="H56" i="2"/>
  <c r="H104" i="2"/>
  <c r="H136" i="2"/>
  <c r="H152" i="2"/>
  <c r="H168" i="2"/>
  <c r="H184" i="2"/>
  <c r="J216" i="2"/>
  <c r="H216" i="2"/>
  <c r="J232" i="2"/>
  <c r="H232" i="2"/>
  <c r="J248" i="2"/>
  <c r="H248" i="2"/>
  <c r="J264" i="2"/>
  <c r="H264" i="2"/>
  <c r="J280" i="2"/>
  <c r="H280" i="2"/>
  <c r="H312" i="2"/>
  <c r="H323" i="2"/>
  <c r="H339" i="2"/>
  <c r="H21" i="2"/>
  <c r="J45" i="2"/>
  <c r="H45" i="2"/>
  <c r="H92" i="2"/>
  <c r="I127" i="2"/>
  <c r="H127" i="2"/>
  <c r="H156" i="2"/>
  <c r="H173" i="2"/>
  <c r="H191" i="2"/>
  <c r="I220" i="2"/>
  <c r="H220" i="2"/>
  <c r="H237" i="2"/>
  <c r="H255" i="2"/>
  <c r="H284" i="2"/>
  <c r="H319" i="2"/>
  <c r="H28" i="2"/>
  <c r="H55" i="2"/>
  <c r="H87" i="2"/>
  <c r="J119" i="2"/>
  <c r="H119" i="2"/>
  <c r="H151" i="2"/>
  <c r="H183" i="2"/>
  <c r="H247" i="2"/>
  <c r="H279" i="2"/>
  <c r="H311" i="2"/>
  <c r="H345" i="2"/>
  <c r="H43" i="2"/>
  <c r="H103" i="2"/>
  <c r="I228" i="2"/>
  <c r="H228" i="2"/>
  <c r="H243" i="2"/>
  <c r="H299" i="2"/>
  <c r="H71" i="2"/>
  <c r="H196" i="2"/>
  <c r="H211" i="2"/>
  <c r="H133" i="2"/>
  <c r="H263" i="2"/>
  <c r="H325" i="2"/>
  <c r="H35" i="2"/>
  <c r="J15" i="2"/>
  <c r="H15" i="2"/>
  <c r="H128" i="2"/>
  <c r="H160" i="2"/>
  <c r="H192" i="2"/>
  <c r="J224" i="2"/>
  <c r="H224" i="2"/>
  <c r="J256" i="2"/>
  <c r="H256" i="2"/>
  <c r="H288" i="2"/>
  <c r="H320" i="2"/>
  <c r="I349" i="2"/>
  <c r="H349" i="2"/>
  <c r="H141" i="2"/>
  <c r="H269" i="2"/>
  <c r="H52" i="2"/>
  <c r="H116" i="2"/>
  <c r="H180" i="2"/>
  <c r="I244" i="2"/>
  <c r="H244" i="2"/>
  <c r="H308" i="2"/>
  <c r="H37" i="2"/>
  <c r="H115" i="2"/>
  <c r="H231" i="2"/>
  <c r="H68" i="2"/>
  <c r="H199" i="2"/>
  <c r="H139" i="2"/>
  <c r="H275" i="2"/>
  <c r="H12" i="2"/>
  <c r="H27" i="2"/>
  <c r="H90" i="2"/>
  <c r="J154" i="2"/>
  <c r="H154" i="2"/>
  <c r="J186" i="2"/>
  <c r="H186" i="2"/>
  <c r="J202" i="2"/>
  <c r="H202" i="2"/>
  <c r="H234" i="2"/>
  <c r="H266" i="2"/>
  <c r="J282" i="2"/>
  <c r="H282" i="2"/>
  <c r="J298" i="2"/>
  <c r="H298" i="2"/>
  <c r="H328" i="2"/>
  <c r="H17" i="2"/>
  <c r="J33" i="2"/>
  <c r="H33" i="2"/>
  <c r="H49" i="2"/>
  <c r="J65" i="2"/>
  <c r="H65" i="2"/>
  <c r="J81" i="2"/>
  <c r="H81" i="2"/>
  <c r="H97" i="2"/>
  <c r="J113" i="2"/>
  <c r="H113" i="2"/>
  <c r="H129" i="2"/>
  <c r="H145" i="2"/>
  <c r="H193" i="2"/>
  <c r="H209" i="2"/>
  <c r="H225" i="2"/>
  <c r="H257" i="2"/>
  <c r="H273" i="2"/>
  <c r="H289" i="2"/>
  <c r="H305" i="2"/>
  <c r="H322" i="2"/>
  <c r="H338" i="2"/>
  <c r="H44" i="2"/>
  <c r="J61" i="2"/>
  <c r="H61" i="2"/>
  <c r="H125" i="2"/>
  <c r="H172" i="2"/>
  <c r="H189" i="2"/>
  <c r="H207" i="2"/>
  <c r="I236" i="2"/>
  <c r="H236" i="2"/>
  <c r="H253" i="2"/>
  <c r="H300" i="2"/>
  <c r="H317" i="2"/>
  <c r="H337" i="2"/>
  <c r="J53" i="2"/>
  <c r="H53" i="2"/>
  <c r="H85" i="2"/>
  <c r="H277" i="2"/>
  <c r="I344" i="2"/>
  <c r="H344" i="2"/>
  <c r="H39" i="2"/>
  <c r="H101" i="2"/>
  <c r="H164" i="2"/>
  <c r="H179" i="2"/>
  <c r="H235" i="2"/>
  <c r="H295" i="2"/>
  <c r="J69" i="2"/>
  <c r="H69" i="2"/>
  <c r="H203" i="2"/>
  <c r="H327" i="2"/>
  <c r="H147" i="2"/>
  <c r="H261" i="2"/>
  <c r="H291" i="2"/>
  <c r="H259" i="2"/>
  <c r="H13" i="2"/>
  <c r="J252" i="2"/>
  <c r="I248" i="2"/>
  <c r="J260" i="2"/>
  <c r="H43" i="3"/>
  <c r="I134" i="2"/>
  <c r="J220" i="2"/>
  <c r="J276" i="2"/>
  <c r="I216" i="2"/>
  <c r="I280" i="2"/>
  <c r="I198" i="2"/>
  <c r="J310" i="2"/>
  <c r="I310" i="2"/>
  <c r="I190" i="2"/>
  <c r="I286" i="2"/>
  <c r="I232" i="2"/>
  <c r="I264" i="2"/>
  <c r="J109" i="2"/>
  <c r="I109" i="2"/>
  <c r="J29" i="2"/>
  <c r="I29" i="2"/>
  <c r="J127" i="2"/>
  <c r="J228" i="2"/>
  <c r="I224" i="2"/>
  <c r="I240" i="2"/>
  <c r="I256" i="2"/>
  <c r="I272" i="2"/>
  <c r="J85" i="2"/>
  <c r="I85" i="2"/>
  <c r="I113" i="2"/>
  <c r="I142" i="2"/>
  <c r="I150" i="2"/>
  <c r="I158" i="2"/>
  <c r="I166" i="2"/>
  <c r="I174" i="2"/>
  <c r="I182" i="2"/>
  <c r="I302" i="2"/>
  <c r="I333" i="2"/>
  <c r="I162" i="2"/>
  <c r="I210" i="2"/>
  <c r="I208" i="2"/>
  <c r="I194" i="2"/>
  <c r="J244" i="2"/>
  <c r="I69" i="2"/>
  <c r="I11" i="2"/>
  <c r="I77" i="2"/>
  <c r="J343" i="2"/>
  <c r="I343" i="2"/>
  <c r="J97" i="2"/>
  <c r="I97" i="2"/>
  <c r="I53" i="2"/>
  <c r="I65" i="2"/>
  <c r="I81" i="2"/>
  <c r="I146" i="2"/>
  <c r="I178" i="2"/>
  <c r="I306" i="2"/>
  <c r="J236" i="2"/>
  <c r="J268" i="2"/>
  <c r="J344" i="2"/>
  <c r="I326" i="2"/>
  <c r="J349" i="2"/>
  <c r="J290" i="2"/>
  <c r="I290" i="2"/>
  <c r="J314" i="2"/>
  <c r="I314" i="2"/>
  <c r="J25" i="2"/>
  <c r="I25" i="2"/>
  <c r="J41" i="2"/>
  <c r="I41" i="2"/>
  <c r="J49" i="2"/>
  <c r="I49" i="2"/>
  <c r="J57" i="2"/>
  <c r="I57" i="2"/>
  <c r="J121" i="2"/>
  <c r="I121" i="2"/>
  <c r="J330" i="2"/>
  <c r="I330" i="2"/>
  <c r="J23" i="2"/>
  <c r="I23" i="2"/>
  <c r="J93" i="2"/>
  <c r="I93" i="2"/>
  <c r="J204" i="2"/>
  <c r="I204" i="2"/>
  <c r="J334" i="2"/>
  <c r="I334" i="2"/>
  <c r="I337" i="2"/>
  <c r="J337" i="2"/>
  <c r="J212" i="2"/>
  <c r="I212" i="2"/>
  <c r="J341" i="2"/>
  <c r="I341" i="2"/>
  <c r="J101" i="2"/>
  <c r="I101" i="2"/>
  <c r="I119" i="2"/>
  <c r="I15" i="2"/>
  <c r="I19" i="2"/>
  <c r="I33" i="2"/>
  <c r="I45" i="2"/>
  <c r="I61" i="2"/>
  <c r="I73" i="2"/>
  <c r="I89" i="2"/>
  <c r="I105" i="2"/>
  <c r="I130" i="2"/>
  <c r="I138" i="2"/>
  <c r="I154" i="2"/>
  <c r="I170" i="2"/>
  <c r="I186" i="2"/>
  <c r="I202" i="2"/>
  <c r="I282" i="2"/>
  <c r="I294" i="2"/>
  <c r="I298" i="2"/>
  <c r="I318" i="2"/>
  <c r="J338" i="2"/>
  <c r="I338" i="2"/>
  <c r="I347" i="2"/>
  <c r="J347" i="2"/>
  <c r="I332" i="2"/>
  <c r="J332" i="2"/>
  <c r="I340" i="2"/>
  <c r="J340" i="2"/>
  <c r="I346" i="2"/>
  <c r="J346" i="2"/>
  <c r="I336" i="2"/>
  <c r="J336" i="2"/>
  <c r="I342" i="2"/>
  <c r="J342" i="2"/>
  <c r="I348" i="2"/>
  <c r="J348" i="2"/>
  <c r="I335" i="2"/>
  <c r="J335" i="2"/>
  <c r="I345" i="2"/>
  <c r="J345" i="2"/>
  <c r="I339" i="2"/>
  <c r="J339" i="2"/>
  <c r="J37" i="2"/>
  <c r="I37" i="2"/>
  <c r="J322" i="2"/>
  <c r="I322" i="2"/>
  <c r="J115" i="2"/>
  <c r="I115" i="2"/>
  <c r="J123" i="2"/>
  <c r="I123" i="2"/>
  <c r="I219" i="2"/>
  <c r="J219" i="2"/>
  <c r="J218" i="2"/>
  <c r="I218" i="2"/>
  <c r="J234" i="2"/>
  <c r="I234" i="2"/>
  <c r="J250" i="2"/>
  <c r="I250" i="2"/>
  <c r="J266" i="2"/>
  <c r="I266" i="2"/>
  <c r="J31" i="2"/>
  <c r="I31" i="2"/>
  <c r="J39" i="2"/>
  <c r="I39" i="2"/>
  <c r="J47" i="2"/>
  <c r="I47" i="2"/>
  <c r="J55" i="2"/>
  <c r="I55" i="2"/>
  <c r="J63" i="2"/>
  <c r="I63" i="2"/>
  <c r="J71" i="2"/>
  <c r="I71" i="2"/>
  <c r="J79" i="2"/>
  <c r="I79" i="2"/>
  <c r="J87" i="2"/>
  <c r="I87" i="2"/>
  <c r="J95" i="2"/>
  <c r="I95" i="2"/>
  <c r="J103" i="2"/>
  <c r="I103" i="2"/>
  <c r="J111" i="2"/>
  <c r="I111" i="2"/>
  <c r="J117" i="2"/>
  <c r="I117" i="2"/>
  <c r="J125" i="2"/>
  <c r="I125" i="2"/>
  <c r="J132" i="2"/>
  <c r="I132" i="2"/>
  <c r="J140" i="2"/>
  <c r="I140" i="2"/>
  <c r="J148" i="2"/>
  <c r="I148" i="2"/>
  <c r="J156" i="2"/>
  <c r="I156" i="2"/>
  <c r="J164" i="2"/>
  <c r="I164" i="2"/>
  <c r="J172" i="2"/>
  <c r="I172" i="2"/>
  <c r="J180" i="2"/>
  <c r="I180" i="2"/>
  <c r="J188" i="2"/>
  <c r="I188" i="2"/>
  <c r="J196" i="2"/>
  <c r="I196" i="2"/>
  <c r="J222" i="2"/>
  <c r="I222" i="2"/>
  <c r="J238" i="2"/>
  <c r="I238" i="2"/>
  <c r="J254" i="2"/>
  <c r="I254" i="2"/>
  <c r="J270" i="2"/>
  <c r="I270" i="2"/>
  <c r="J316" i="2"/>
  <c r="I316" i="2"/>
  <c r="J324" i="2"/>
  <c r="I324" i="2"/>
  <c r="J284" i="2"/>
  <c r="I284" i="2"/>
  <c r="J292" i="2"/>
  <c r="I292" i="2"/>
  <c r="J300" i="2"/>
  <c r="I300" i="2"/>
  <c r="J308" i="2"/>
  <c r="I308" i="2"/>
  <c r="J328" i="2"/>
  <c r="I328" i="2"/>
  <c r="J226" i="2"/>
  <c r="I226" i="2"/>
  <c r="J242" i="2"/>
  <c r="I242" i="2"/>
  <c r="J258" i="2"/>
  <c r="I258" i="2"/>
  <c r="J274" i="2"/>
  <c r="I274" i="2"/>
  <c r="J27" i="2"/>
  <c r="I27" i="2"/>
  <c r="J35" i="2"/>
  <c r="I35" i="2"/>
  <c r="J43" i="2"/>
  <c r="I43" i="2"/>
  <c r="J51" i="2"/>
  <c r="I51" i="2"/>
  <c r="J59" i="2"/>
  <c r="I59" i="2"/>
  <c r="J67" i="2"/>
  <c r="I67" i="2"/>
  <c r="J75" i="2"/>
  <c r="I75" i="2"/>
  <c r="J83" i="2"/>
  <c r="I83" i="2"/>
  <c r="J91" i="2"/>
  <c r="I91" i="2"/>
  <c r="J99" i="2"/>
  <c r="I99" i="2"/>
  <c r="J107" i="2"/>
  <c r="I107" i="2"/>
  <c r="J128" i="2"/>
  <c r="I128" i="2"/>
  <c r="J136" i="2"/>
  <c r="I136" i="2"/>
  <c r="J144" i="2"/>
  <c r="I144" i="2"/>
  <c r="J152" i="2"/>
  <c r="I152" i="2"/>
  <c r="J160" i="2"/>
  <c r="I160" i="2"/>
  <c r="J168" i="2"/>
  <c r="I168" i="2"/>
  <c r="J176" i="2"/>
  <c r="I176" i="2"/>
  <c r="J184" i="2"/>
  <c r="I184" i="2"/>
  <c r="J192" i="2"/>
  <c r="I192" i="2"/>
  <c r="J200" i="2"/>
  <c r="I200" i="2"/>
  <c r="J206" i="2"/>
  <c r="I206" i="2"/>
  <c r="J214" i="2"/>
  <c r="I214" i="2"/>
  <c r="J230" i="2"/>
  <c r="I230" i="2"/>
  <c r="J246" i="2"/>
  <c r="I246" i="2"/>
  <c r="J262" i="2"/>
  <c r="I262" i="2"/>
  <c r="J278" i="2"/>
  <c r="I278" i="2"/>
  <c r="J320" i="2"/>
  <c r="I320" i="2"/>
  <c r="J288" i="2"/>
  <c r="I288" i="2"/>
  <c r="J296" i="2"/>
  <c r="I296" i="2"/>
  <c r="J304" i="2"/>
  <c r="I304" i="2"/>
  <c r="J312" i="2"/>
  <c r="I312" i="2"/>
  <c r="J26" i="2"/>
  <c r="I26" i="2"/>
  <c r="J34" i="2"/>
  <c r="I34" i="2"/>
  <c r="J42" i="2"/>
  <c r="I42" i="2"/>
  <c r="J50" i="2"/>
  <c r="I50" i="2"/>
  <c r="J58" i="2"/>
  <c r="I58" i="2"/>
  <c r="J66" i="2"/>
  <c r="I66" i="2"/>
  <c r="J74" i="2"/>
  <c r="I74" i="2"/>
  <c r="J82" i="2"/>
  <c r="I82" i="2"/>
  <c r="J90" i="2"/>
  <c r="I90" i="2"/>
  <c r="J98" i="2"/>
  <c r="I98" i="2"/>
  <c r="J106" i="2"/>
  <c r="I106" i="2"/>
  <c r="I114" i="2"/>
  <c r="J114" i="2"/>
  <c r="I118" i="2"/>
  <c r="J118" i="2"/>
  <c r="I122" i="2"/>
  <c r="J122" i="2"/>
  <c r="I126" i="2"/>
  <c r="J126" i="2"/>
  <c r="J32" i="2"/>
  <c r="I32" i="2"/>
  <c r="J40" i="2"/>
  <c r="I40" i="2"/>
  <c r="J48" i="2"/>
  <c r="I48" i="2"/>
  <c r="J56" i="2"/>
  <c r="I56" i="2"/>
  <c r="J64" i="2"/>
  <c r="I64" i="2"/>
  <c r="J72" i="2"/>
  <c r="I72" i="2"/>
  <c r="J80" i="2"/>
  <c r="I80" i="2"/>
  <c r="J88" i="2"/>
  <c r="I88" i="2"/>
  <c r="J96" i="2"/>
  <c r="I96" i="2"/>
  <c r="J104" i="2"/>
  <c r="I104" i="2"/>
  <c r="J112" i="2"/>
  <c r="I112" i="2"/>
  <c r="I120" i="2"/>
  <c r="J120" i="2"/>
  <c r="I131" i="2"/>
  <c r="J131" i="2"/>
  <c r="I139" i="2"/>
  <c r="J139" i="2"/>
  <c r="I147" i="2"/>
  <c r="J147" i="2"/>
  <c r="I155" i="2"/>
  <c r="J155" i="2"/>
  <c r="I163" i="2"/>
  <c r="J163" i="2"/>
  <c r="I171" i="2"/>
  <c r="J171" i="2"/>
  <c r="I179" i="2"/>
  <c r="J179" i="2"/>
  <c r="I187" i="2"/>
  <c r="J187" i="2"/>
  <c r="I195" i="2"/>
  <c r="J195" i="2"/>
  <c r="I203" i="2"/>
  <c r="J203" i="2"/>
  <c r="I207" i="2"/>
  <c r="J207" i="2"/>
  <c r="I211" i="2"/>
  <c r="J211" i="2"/>
  <c r="J215" i="2"/>
  <c r="I215" i="2"/>
  <c r="I133" i="2"/>
  <c r="J133" i="2"/>
  <c r="I141" i="2"/>
  <c r="J141" i="2"/>
  <c r="I149" i="2"/>
  <c r="J149" i="2"/>
  <c r="I157" i="2"/>
  <c r="J157" i="2"/>
  <c r="I165" i="2"/>
  <c r="J165" i="2"/>
  <c r="I173" i="2"/>
  <c r="J173" i="2"/>
  <c r="I181" i="2"/>
  <c r="J181" i="2"/>
  <c r="I189" i="2"/>
  <c r="J189" i="2"/>
  <c r="I197" i="2"/>
  <c r="J197" i="2"/>
  <c r="I205" i="2"/>
  <c r="J205" i="2"/>
  <c r="I213" i="2"/>
  <c r="J213" i="2"/>
  <c r="J217" i="2"/>
  <c r="I217" i="2"/>
  <c r="J225" i="2"/>
  <c r="I225" i="2"/>
  <c r="J233" i="2"/>
  <c r="I233" i="2"/>
  <c r="J241" i="2"/>
  <c r="I241" i="2"/>
  <c r="J249" i="2"/>
  <c r="I249" i="2"/>
  <c r="J257" i="2"/>
  <c r="I257" i="2"/>
  <c r="J265" i="2"/>
  <c r="I265" i="2"/>
  <c r="J273" i="2"/>
  <c r="I273" i="2"/>
  <c r="J281" i="2"/>
  <c r="I281" i="2"/>
  <c r="J289" i="2"/>
  <c r="I289" i="2"/>
  <c r="J297" i="2"/>
  <c r="I297" i="2"/>
  <c r="J305" i="2"/>
  <c r="I305" i="2"/>
  <c r="J313" i="2"/>
  <c r="I313" i="2"/>
  <c r="I321" i="2"/>
  <c r="J321" i="2"/>
  <c r="I329" i="2"/>
  <c r="J329" i="2"/>
  <c r="J13" i="2"/>
  <c r="I13" i="2"/>
  <c r="J21" i="2"/>
  <c r="I21" i="2"/>
  <c r="J227" i="2"/>
  <c r="I227" i="2"/>
  <c r="J235" i="2"/>
  <c r="I235" i="2"/>
  <c r="J251" i="2"/>
  <c r="I251" i="2"/>
  <c r="J259" i="2"/>
  <c r="I259" i="2"/>
  <c r="J271" i="2"/>
  <c r="I271" i="2"/>
  <c r="J287" i="2"/>
  <c r="I287" i="2"/>
  <c r="I315" i="2"/>
  <c r="J315" i="2"/>
  <c r="I331" i="2"/>
  <c r="J331" i="2"/>
  <c r="J247" i="2"/>
  <c r="I247" i="2"/>
  <c r="J279" i="2"/>
  <c r="I279" i="2"/>
  <c r="J295" i="2"/>
  <c r="I295" i="2"/>
  <c r="J303" i="2"/>
  <c r="I303" i="2"/>
  <c r="J311" i="2"/>
  <c r="I311" i="2"/>
  <c r="I323" i="2"/>
  <c r="J323" i="2"/>
  <c r="J30" i="2"/>
  <c r="I30" i="2"/>
  <c r="J38" i="2"/>
  <c r="I38" i="2"/>
  <c r="J46" i="2"/>
  <c r="I46" i="2"/>
  <c r="J54" i="2"/>
  <c r="I54" i="2"/>
  <c r="J62" i="2"/>
  <c r="I62" i="2"/>
  <c r="J70" i="2"/>
  <c r="I70" i="2"/>
  <c r="J78" i="2"/>
  <c r="I78" i="2"/>
  <c r="J86" i="2"/>
  <c r="I86" i="2"/>
  <c r="J94" i="2"/>
  <c r="I94" i="2"/>
  <c r="J102" i="2"/>
  <c r="I102" i="2"/>
  <c r="J110" i="2"/>
  <c r="I110" i="2"/>
  <c r="J28" i="2"/>
  <c r="I28" i="2"/>
  <c r="J36" i="2"/>
  <c r="I36" i="2"/>
  <c r="J44" i="2"/>
  <c r="I44" i="2"/>
  <c r="J52" i="2"/>
  <c r="I52" i="2"/>
  <c r="J60" i="2"/>
  <c r="I60" i="2"/>
  <c r="J68" i="2"/>
  <c r="I68" i="2"/>
  <c r="J76" i="2"/>
  <c r="I76" i="2"/>
  <c r="J84" i="2"/>
  <c r="I84" i="2"/>
  <c r="J92" i="2"/>
  <c r="I92" i="2"/>
  <c r="J100" i="2"/>
  <c r="I100" i="2"/>
  <c r="J108" i="2"/>
  <c r="I108" i="2"/>
  <c r="I116" i="2"/>
  <c r="J116" i="2"/>
  <c r="I124" i="2"/>
  <c r="J124" i="2"/>
  <c r="I135" i="2"/>
  <c r="J135" i="2"/>
  <c r="I143" i="2"/>
  <c r="J143" i="2"/>
  <c r="I151" i="2"/>
  <c r="J151" i="2"/>
  <c r="I159" i="2"/>
  <c r="J159" i="2"/>
  <c r="I167" i="2"/>
  <c r="J167" i="2"/>
  <c r="I175" i="2"/>
  <c r="J175" i="2"/>
  <c r="I183" i="2"/>
  <c r="J183" i="2"/>
  <c r="I191" i="2"/>
  <c r="J191" i="2"/>
  <c r="I199" i="2"/>
  <c r="J199" i="2"/>
  <c r="I129" i="2"/>
  <c r="J129" i="2"/>
  <c r="I137" i="2"/>
  <c r="J137" i="2"/>
  <c r="I145" i="2"/>
  <c r="J145" i="2"/>
  <c r="I153" i="2"/>
  <c r="J153" i="2"/>
  <c r="I161" i="2"/>
  <c r="J161" i="2"/>
  <c r="I169" i="2"/>
  <c r="J169" i="2"/>
  <c r="I177" i="2"/>
  <c r="J177" i="2"/>
  <c r="I185" i="2"/>
  <c r="J185" i="2"/>
  <c r="I193" i="2"/>
  <c r="J193" i="2"/>
  <c r="I201" i="2"/>
  <c r="J201" i="2"/>
  <c r="I209" i="2"/>
  <c r="J209" i="2"/>
  <c r="J221" i="2"/>
  <c r="I221" i="2"/>
  <c r="J229" i="2"/>
  <c r="I229" i="2"/>
  <c r="J237" i="2"/>
  <c r="I237" i="2"/>
  <c r="J245" i="2"/>
  <c r="I245" i="2"/>
  <c r="J253" i="2"/>
  <c r="I253" i="2"/>
  <c r="J261" i="2"/>
  <c r="I261" i="2"/>
  <c r="J269" i="2"/>
  <c r="I269" i="2"/>
  <c r="J277" i="2"/>
  <c r="I277" i="2"/>
  <c r="J285" i="2"/>
  <c r="I285" i="2"/>
  <c r="J293" i="2"/>
  <c r="I293" i="2"/>
  <c r="J301" i="2"/>
  <c r="I301" i="2"/>
  <c r="J309" i="2"/>
  <c r="I309" i="2"/>
  <c r="I317" i="2"/>
  <c r="J317" i="2"/>
  <c r="I325" i="2"/>
  <c r="J325" i="2"/>
  <c r="J17" i="2"/>
  <c r="I17" i="2"/>
  <c r="J223" i="2"/>
  <c r="I223" i="2"/>
  <c r="J231" i="2"/>
  <c r="I231" i="2"/>
  <c r="J239" i="2"/>
  <c r="I239" i="2"/>
  <c r="J255" i="2"/>
  <c r="I255" i="2"/>
  <c r="J267" i="2"/>
  <c r="I267" i="2"/>
  <c r="J275" i="2"/>
  <c r="I275" i="2"/>
  <c r="J291" i="2"/>
  <c r="I291" i="2"/>
  <c r="I327" i="2"/>
  <c r="J327" i="2"/>
  <c r="J243" i="2"/>
  <c r="I243" i="2"/>
  <c r="J263" i="2"/>
  <c r="I263" i="2"/>
  <c r="J283" i="2"/>
  <c r="I283" i="2"/>
  <c r="J299" i="2"/>
  <c r="I299" i="2"/>
  <c r="J307" i="2"/>
  <c r="I307" i="2"/>
  <c r="I319" i="2"/>
  <c r="J319" i="2"/>
  <c r="J12" i="2"/>
  <c r="I12" i="2"/>
  <c r="J20" i="2"/>
  <c r="I20" i="2"/>
  <c r="J14" i="2"/>
  <c r="I14" i="2"/>
  <c r="J22" i="2"/>
  <c r="I22" i="2"/>
  <c r="J16" i="2"/>
  <c r="I16" i="2"/>
  <c r="J24" i="2"/>
  <c r="I24" i="2"/>
  <c r="J18" i="2"/>
  <c r="I18" i="2"/>
  <c r="I10" i="2"/>
  <c r="J10" i="2"/>
  <c r="AC60" i="3" l="1"/>
  <c r="AD60" i="3"/>
  <c r="AC179" i="3"/>
  <c r="AD179" i="3"/>
  <c r="AC176" i="3"/>
  <c r="AD176" i="3"/>
  <c r="AC93" i="3"/>
  <c r="AD93" i="3"/>
  <c r="AC71" i="3"/>
  <c r="AD71" i="3"/>
  <c r="AC201" i="3"/>
  <c r="AD201" i="3"/>
  <c r="AC110" i="3"/>
  <c r="AD110" i="3"/>
  <c r="AC46" i="3"/>
  <c r="AD46" i="3"/>
  <c r="AD197" i="3"/>
  <c r="AC197" i="3"/>
  <c r="AC202" i="3"/>
  <c r="AD202" i="3"/>
  <c r="AC37" i="3"/>
  <c r="AD37" i="3"/>
  <c r="AC13" i="3"/>
  <c r="AD13" i="3"/>
  <c r="AC172" i="3"/>
  <c r="AD172" i="3"/>
  <c r="AC57" i="3"/>
  <c r="AD57" i="3"/>
  <c r="AC184" i="3"/>
  <c r="AD184" i="3"/>
  <c r="AC10" i="3"/>
  <c r="AD10" i="3"/>
  <c r="AC83" i="3"/>
  <c r="AD83" i="3"/>
  <c r="AC195" i="3"/>
  <c r="AD195" i="3"/>
  <c r="AC33" i="3"/>
  <c r="AD33" i="3"/>
  <c r="AC91" i="3"/>
  <c r="AD91" i="3"/>
  <c r="AC193" i="3"/>
  <c r="AD193" i="3"/>
  <c r="AC73" i="3"/>
  <c r="AD73" i="3"/>
  <c r="AC169" i="3"/>
  <c r="AD169" i="3"/>
  <c r="AC165" i="3"/>
  <c r="AD165" i="3"/>
  <c r="AC63" i="3"/>
  <c r="AD63" i="3"/>
  <c r="AC85" i="3"/>
  <c r="AD85" i="3"/>
  <c r="AC30" i="3"/>
  <c r="AD30" i="3"/>
  <c r="AC187" i="3"/>
  <c r="AD187" i="3"/>
  <c r="AC27" i="3"/>
  <c r="AD27" i="3"/>
  <c r="AC84" i="3"/>
  <c r="AD84" i="3"/>
  <c r="AC153" i="3"/>
  <c r="AD153" i="3"/>
  <c r="AC7" i="3"/>
  <c r="AD7" i="3"/>
  <c r="AC130" i="3"/>
  <c r="AD130" i="3"/>
  <c r="AC66" i="3"/>
  <c r="AD66" i="3"/>
  <c r="AC35" i="3"/>
  <c r="AD35" i="3"/>
  <c r="AC151" i="3"/>
  <c r="AD151" i="3"/>
  <c r="AC182" i="3"/>
  <c r="AD182" i="3"/>
  <c r="AC65" i="3"/>
  <c r="AD65" i="3"/>
  <c r="AC125" i="3"/>
  <c r="AD125" i="3"/>
  <c r="AC177" i="3"/>
  <c r="AD177" i="3"/>
  <c r="AC64" i="3"/>
  <c r="AD64" i="3"/>
  <c r="AD158" i="3"/>
  <c r="AC158" i="3"/>
  <c r="AD94" i="3"/>
  <c r="AC94" i="3"/>
  <c r="AC31" i="3"/>
  <c r="AD31" i="3"/>
  <c r="AC17" i="3"/>
  <c r="AD17" i="3"/>
  <c r="AC147" i="3"/>
  <c r="AD147" i="3"/>
  <c r="AD133" i="3"/>
  <c r="AC133" i="3"/>
  <c r="AC175" i="3"/>
  <c r="AD175" i="3"/>
  <c r="AC144" i="3"/>
  <c r="AD144" i="3"/>
  <c r="AC106" i="3"/>
  <c r="AD106" i="3"/>
  <c r="AC42" i="3"/>
  <c r="AD42" i="3"/>
  <c r="AC170" i="3"/>
  <c r="AD170" i="3"/>
  <c r="AC75" i="3"/>
  <c r="AD75" i="3"/>
  <c r="AC44" i="3"/>
  <c r="AD44" i="3"/>
  <c r="AC120" i="3"/>
  <c r="AD120" i="3"/>
  <c r="AC15" i="3"/>
  <c r="AD15" i="3"/>
  <c r="AC123" i="3"/>
  <c r="AD123" i="3"/>
  <c r="AC87" i="3"/>
  <c r="AD87" i="3"/>
  <c r="AC163" i="3"/>
  <c r="AD163" i="3"/>
  <c r="AC32" i="3"/>
  <c r="AD32" i="3"/>
  <c r="AC150" i="3"/>
  <c r="AD150" i="3"/>
  <c r="AC86" i="3"/>
  <c r="AD86" i="3"/>
  <c r="AC24" i="3"/>
  <c r="AD24" i="3"/>
  <c r="AC59" i="3"/>
  <c r="AD59" i="3"/>
  <c r="AC53" i="3"/>
  <c r="AD53" i="3"/>
  <c r="AC113" i="3"/>
  <c r="AD113" i="3"/>
  <c r="AC43" i="3"/>
  <c r="AD43" i="3"/>
  <c r="AC155" i="3"/>
  <c r="AD155" i="3"/>
  <c r="AC181" i="3"/>
  <c r="AD181" i="3"/>
  <c r="AD205" i="3"/>
  <c r="AC205" i="3"/>
  <c r="AB95" i="3"/>
  <c r="AB111" i="3"/>
  <c r="AB152" i="3"/>
  <c r="AB171" i="3"/>
  <c r="AB149" i="3"/>
  <c r="AB135" i="3"/>
  <c r="AB204" i="3"/>
  <c r="AB41" i="3"/>
  <c r="AB78" i="3"/>
  <c r="AB92" i="3"/>
  <c r="AB101" i="3"/>
  <c r="AB173" i="3"/>
  <c r="AB40" i="3"/>
  <c r="AB160" i="3"/>
  <c r="AB68" i="3"/>
  <c r="AB90" i="3"/>
  <c r="AB189" i="3"/>
  <c r="AB97" i="3"/>
  <c r="AB191" i="3"/>
  <c r="AB8" i="3"/>
  <c r="AB79" i="3"/>
  <c r="AB55" i="3"/>
  <c r="AB137" i="3"/>
  <c r="AB14" i="3"/>
  <c r="AB70" i="3"/>
  <c r="AB9" i="3"/>
  <c r="AB107" i="3"/>
  <c r="AB29" i="3"/>
  <c r="AB19" i="3"/>
  <c r="AB72" i="3"/>
  <c r="AB192" i="3"/>
  <c r="AB99" i="3"/>
  <c r="AB115" i="3"/>
  <c r="AB18" i="3"/>
  <c r="AB89" i="3"/>
  <c r="AB98" i="3"/>
  <c r="AB159" i="3"/>
  <c r="AB109" i="3"/>
  <c r="AB128" i="3"/>
  <c r="AB62" i="3"/>
  <c r="AB124" i="3"/>
  <c r="AB145" i="3"/>
  <c r="AB36" i="3"/>
  <c r="AB80" i="3"/>
  <c r="AB156" i="3"/>
  <c r="AB198" i="3"/>
  <c r="AB178" i="3"/>
  <c r="AB183" i="3"/>
  <c r="AB146" i="3"/>
  <c r="AB20" i="3"/>
  <c r="AB6" i="3"/>
  <c r="AB88" i="3"/>
  <c r="AB51" i="3"/>
  <c r="AB105" i="3"/>
  <c r="AB186" i="3"/>
  <c r="AB104" i="3"/>
  <c r="AB196" i="3"/>
  <c r="AB132" i="3"/>
  <c r="AB122" i="3"/>
  <c r="AB58" i="3"/>
  <c r="AB188" i="3"/>
  <c r="AB119" i="3"/>
  <c r="AB102" i="3"/>
  <c r="AB38" i="3"/>
  <c r="AB136" i="3"/>
  <c r="AB61" i="3"/>
  <c r="AB114" i="3"/>
  <c r="AB162" i="3"/>
  <c r="AB39" i="3"/>
  <c r="AB203" i="3"/>
  <c r="AB81" i="3"/>
  <c r="AB143" i="3"/>
  <c r="AB100" i="3"/>
  <c r="AB174" i="3"/>
  <c r="AB140" i="3"/>
  <c r="AB77" i="3"/>
  <c r="AB164" i="3"/>
  <c r="AB52" i="3"/>
  <c r="AB112" i="3"/>
  <c r="AB50" i="3"/>
  <c r="AB180" i="3"/>
  <c r="AB142" i="3"/>
  <c r="AB16" i="3"/>
  <c r="AB108" i="3"/>
  <c r="AB45" i="3"/>
  <c r="AB121" i="3"/>
  <c r="AB154" i="3"/>
  <c r="AB28" i="3"/>
  <c r="AB166" i="3"/>
  <c r="AB199" i="3"/>
  <c r="AB134" i="3"/>
  <c r="AB148" i="3"/>
  <c r="AB185" i="3"/>
  <c r="AB34" i="3"/>
  <c r="AB127" i="3"/>
  <c r="AB26" i="3"/>
  <c r="AB129" i="3"/>
  <c r="AB25" i="3"/>
  <c r="AB103" i="3"/>
  <c r="AB23" i="3"/>
  <c r="AB126" i="3"/>
  <c r="AB200" i="3"/>
  <c r="AB47" i="3"/>
  <c r="AB69" i="3"/>
  <c r="AB22" i="3"/>
  <c r="AB167" i="3"/>
  <c r="AB157" i="3"/>
  <c r="AB138" i="3"/>
  <c r="AB74" i="3"/>
  <c r="AB12" i="3"/>
  <c r="AB11" i="3"/>
  <c r="AB141" i="3"/>
  <c r="AB56" i="3"/>
  <c r="AB194" i="3"/>
  <c r="AB67" i="3"/>
  <c r="AB21" i="3"/>
  <c r="AB96" i="3"/>
  <c r="AB190" i="3"/>
  <c r="AB118" i="3"/>
  <c r="AB54" i="3"/>
  <c r="AB168" i="3"/>
  <c r="AB139" i="3"/>
  <c r="AB117" i="3"/>
  <c r="AB161" i="3"/>
  <c r="AB49" i="3"/>
  <c r="AB131" i="3"/>
  <c r="AB76" i="3"/>
  <c r="AB116" i="3"/>
  <c r="AB48" i="3"/>
  <c r="AB82" i="3"/>
  <c r="M11" i="2"/>
  <c r="M13" i="2"/>
  <c r="N11" i="2"/>
  <c r="N13" i="2"/>
  <c r="C7" i="5" s="1"/>
  <c r="M12" i="2"/>
  <c r="N12" i="2"/>
  <c r="M10" i="2"/>
  <c r="N10" i="2"/>
  <c r="L14" i="2"/>
  <c r="A7" i="5"/>
  <c r="C5" i="5"/>
  <c r="I36" i="3"/>
  <c r="J36" i="3" s="1"/>
  <c r="I38" i="3"/>
  <c r="J38" i="3" s="1"/>
  <c r="I40" i="3"/>
  <c r="J40" i="3" s="1"/>
  <c r="I42" i="3"/>
  <c r="J42" i="3" s="1"/>
  <c r="I37" i="3"/>
  <c r="J37" i="3" s="1"/>
  <c r="I39" i="3"/>
  <c r="J39" i="3" s="1"/>
  <c r="I41" i="3"/>
  <c r="J41" i="3" s="1"/>
  <c r="I43" i="3"/>
  <c r="I35" i="3"/>
  <c r="J35" i="3" s="1"/>
  <c r="K35" i="3" s="1"/>
  <c r="J43" i="3"/>
  <c r="H44" i="3"/>
  <c r="I44" i="3" s="1"/>
  <c r="AD2" i="3" l="1"/>
  <c r="AC161" i="3"/>
  <c r="AD161" i="3"/>
  <c r="AC21" i="3"/>
  <c r="AD21" i="3"/>
  <c r="AC138" i="3"/>
  <c r="AD138" i="3"/>
  <c r="AC23" i="3"/>
  <c r="AD23" i="3"/>
  <c r="AC148" i="3"/>
  <c r="AD148" i="3"/>
  <c r="AC108" i="3"/>
  <c r="AD108" i="3"/>
  <c r="AD77" i="3"/>
  <c r="AC77" i="3"/>
  <c r="AC162" i="3"/>
  <c r="AD162" i="3"/>
  <c r="AC58" i="3"/>
  <c r="AD58" i="3"/>
  <c r="AC88" i="3"/>
  <c r="AD88" i="3"/>
  <c r="AC80" i="3"/>
  <c r="AD80" i="3"/>
  <c r="AC98" i="3"/>
  <c r="AD98" i="3"/>
  <c r="AC29" i="3"/>
  <c r="AD29" i="3"/>
  <c r="AC8" i="3"/>
  <c r="AD8" i="3"/>
  <c r="AD173" i="3"/>
  <c r="AC173" i="3"/>
  <c r="AC171" i="3"/>
  <c r="AD171" i="3"/>
  <c r="AC117" i="3"/>
  <c r="AD117" i="3"/>
  <c r="AC67" i="3"/>
  <c r="AD67" i="3"/>
  <c r="AC157" i="3"/>
  <c r="AD157" i="3"/>
  <c r="AC103" i="3"/>
  <c r="AD103" i="3"/>
  <c r="AD134" i="3"/>
  <c r="AC134" i="3"/>
  <c r="AC16" i="3"/>
  <c r="AD16" i="3"/>
  <c r="AC140" i="3"/>
  <c r="AD140" i="3"/>
  <c r="AC114" i="3"/>
  <c r="AD114" i="3"/>
  <c r="AC122" i="3"/>
  <c r="AD122" i="3"/>
  <c r="AC36" i="3"/>
  <c r="AD36" i="3"/>
  <c r="AC89" i="3"/>
  <c r="AD89" i="3"/>
  <c r="AC107" i="3"/>
  <c r="AD107" i="3"/>
  <c r="AC191" i="3"/>
  <c r="AD191" i="3"/>
  <c r="AC101" i="3"/>
  <c r="AD101" i="3"/>
  <c r="AC152" i="3"/>
  <c r="AD152" i="3"/>
  <c r="AC82" i="3"/>
  <c r="AD82" i="3"/>
  <c r="AC139" i="3"/>
  <c r="AD139" i="3"/>
  <c r="AC194" i="3"/>
  <c r="AD194" i="3"/>
  <c r="AC167" i="3"/>
  <c r="AD167" i="3"/>
  <c r="AC25" i="3"/>
  <c r="AD25" i="3"/>
  <c r="AC199" i="3"/>
  <c r="AD199" i="3"/>
  <c r="AC142" i="3"/>
  <c r="AD142" i="3"/>
  <c r="AC174" i="3"/>
  <c r="AD174" i="3"/>
  <c r="AC61" i="3"/>
  <c r="AD61" i="3"/>
  <c r="AC132" i="3"/>
  <c r="AD132" i="3"/>
  <c r="AC20" i="3"/>
  <c r="AD20" i="3"/>
  <c r="AC145" i="3"/>
  <c r="AD145" i="3"/>
  <c r="AD18" i="3"/>
  <c r="AC18" i="3"/>
  <c r="AC9" i="3"/>
  <c r="AD9" i="3"/>
  <c r="AC97" i="3"/>
  <c r="AD97" i="3"/>
  <c r="AC92" i="3"/>
  <c r="AD92" i="3"/>
  <c r="AC111" i="3"/>
  <c r="AD111" i="3"/>
  <c r="AC48" i="3"/>
  <c r="AD48" i="3"/>
  <c r="AC168" i="3"/>
  <c r="AD168" i="3"/>
  <c r="AC56" i="3"/>
  <c r="AD56" i="3"/>
  <c r="AC22" i="3"/>
  <c r="AD22" i="3"/>
  <c r="AC129" i="3"/>
  <c r="AD129" i="3"/>
  <c r="AD166" i="3"/>
  <c r="AC166" i="3"/>
  <c r="AC180" i="3"/>
  <c r="AD180" i="3"/>
  <c r="AC100" i="3"/>
  <c r="AD100" i="3"/>
  <c r="AC136" i="3"/>
  <c r="AD136" i="3"/>
  <c r="AC196" i="3"/>
  <c r="AD196" i="3"/>
  <c r="AC146" i="3"/>
  <c r="AD146" i="3"/>
  <c r="AC124" i="3"/>
  <c r="AD124" i="3"/>
  <c r="AC115" i="3"/>
  <c r="AD115" i="3"/>
  <c r="AD70" i="3"/>
  <c r="AC70" i="3"/>
  <c r="AC189" i="3"/>
  <c r="AD189" i="3"/>
  <c r="AC78" i="3"/>
  <c r="AD78" i="3"/>
  <c r="AC95" i="3"/>
  <c r="AD95" i="3"/>
  <c r="AC116" i="3"/>
  <c r="AD116" i="3"/>
  <c r="AC54" i="3"/>
  <c r="AD54" i="3"/>
  <c r="AD141" i="3"/>
  <c r="AC141" i="3"/>
  <c r="AD69" i="3"/>
  <c r="AC69" i="3"/>
  <c r="AC26" i="3"/>
  <c r="AD26" i="3"/>
  <c r="AC28" i="3"/>
  <c r="AD28" i="3"/>
  <c r="AD50" i="3"/>
  <c r="AC50" i="3"/>
  <c r="AC143" i="3"/>
  <c r="AD143" i="3"/>
  <c r="AC38" i="3"/>
  <c r="AD38" i="3"/>
  <c r="AC104" i="3"/>
  <c r="AD104" i="3"/>
  <c r="AC183" i="3"/>
  <c r="AD183" i="3"/>
  <c r="AC62" i="3"/>
  <c r="AD62" i="3"/>
  <c r="AC99" i="3"/>
  <c r="AD99" i="3"/>
  <c r="AC14" i="3"/>
  <c r="AD14" i="3"/>
  <c r="AC90" i="3"/>
  <c r="AD90" i="3"/>
  <c r="AC41" i="3"/>
  <c r="AD41" i="3"/>
  <c r="AC76" i="3"/>
  <c r="AD76" i="3"/>
  <c r="AC118" i="3"/>
  <c r="AD118" i="3"/>
  <c r="AC11" i="3"/>
  <c r="AD11" i="3"/>
  <c r="AC47" i="3"/>
  <c r="AD47" i="3"/>
  <c r="AC127" i="3"/>
  <c r="AD127" i="3"/>
  <c r="AC154" i="3"/>
  <c r="AD154" i="3"/>
  <c r="AC112" i="3"/>
  <c r="AD112" i="3"/>
  <c r="AC81" i="3"/>
  <c r="AD81" i="3"/>
  <c r="AD102" i="3"/>
  <c r="AC102" i="3"/>
  <c r="AC186" i="3"/>
  <c r="AD186" i="3"/>
  <c r="AC178" i="3"/>
  <c r="AD178" i="3"/>
  <c r="AC128" i="3"/>
  <c r="AD128" i="3"/>
  <c r="AC192" i="3"/>
  <c r="AD192" i="3"/>
  <c r="AC137" i="3"/>
  <c r="AD137" i="3"/>
  <c r="AC68" i="3"/>
  <c r="AD68" i="3"/>
  <c r="AC204" i="3"/>
  <c r="AD204" i="3"/>
  <c r="AC131" i="3"/>
  <c r="AD131" i="3"/>
  <c r="AC190" i="3"/>
  <c r="AD190" i="3"/>
  <c r="AC12" i="3"/>
  <c r="AD12" i="3"/>
  <c r="AC200" i="3"/>
  <c r="AD200" i="3"/>
  <c r="AC34" i="3"/>
  <c r="AD34" i="3"/>
  <c r="AC121" i="3"/>
  <c r="AD121" i="3"/>
  <c r="AC52" i="3"/>
  <c r="AD52" i="3"/>
  <c r="AC203" i="3"/>
  <c r="AD203" i="3"/>
  <c r="AC119" i="3"/>
  <c r="AD119" i="3"/>
  <c r="AC105" i="3"/>
  <c r="AD105" i="3"/>
  <c r="AD198" i="3"/>
  <c r="AC198" i="3"/>
  <c r="AD109" i="3"/>
  <c r="AC109" i="3"/>
  <c r="AC72" i="3"/>
  <c r="AD72" i="3"/>
  <c r="AC55" i="3"/>
  <c r="AD55" i="3"/>
  <c r="AC160" i="3"/>
  <c r="AD160" i="3"/>
  <c r="AC135" i="3"/>
  <c r="AD135" i="3"/>
  <c r="AC49" i="3"/>
  <c r="AD49" i="3"/>
  <c r="AC96" i="3"/>
  <c r="AD96" i="3"/>
  <c r="AC74" i="3"/>
  <c r="AD74" i="3"/>
  <c r="AC126" i="3"/>
  <c r="AD126" i="3"/>
  <c r="AC185" i="3"/>
  <c r="AD185" i="3"/>
  <c r="AC45" i="3"/>
  <c r="AD45" i="3"/>
  <c r="AC164" i="3"/>
  <c r="AD164" i="3"/>
  <c r="AC39" i="3"/>
  <c r="AD39" i="3"/>
  <c r="AC188" i="3"/>
  <c r="AD188" i="3"/>
  <c r="AC51" i="3"/>
  <c r="AD51" i="3"/>
  <c r="AC156" i="3"/>
  <c r="AD156" i="3"/>
  <c r="AC159" i="3"/>
  <c r="AD159" i="3"/>
  <c r="AC19" i="3"/>
  <c r="AD19" i="3"/>
  <c r="AC79" i="3"/>
  <c r="AD79" i="3"/>
  <c r="AC40" i="3"/>
  <c r="AD40" i="3"/>
  <c r="AC149" i="3"/>
  <c r="AD149" i="3"/>
  <c r="AC6" i="3"/>
  <c r="AD6" i="3"/>
  <c r="AB2" i="3"/>
  <c r="B5" i="7"/>
  <c r="B7" i="7"/>
  <c r="C8" i="7"/>
  <c r="C6" i="7"/>
  <c r="B8" i="7"/>
  <c r="B6" i="7"/>
  <c r="A9" i="7"/>
  <c r="M14" i="2"/>
  <c r="B8" i="5" s="1"/>
  <c r="N14" i="2"/>
  <c r="C6" i="5"/>
  <c r="C7" i="7"/>
  <c r="C4" i="5"/>
  <c r="C5" i="7"/>
  <c r="B5" i="5"/>
  <c r="B7" i="5"/>
  <c r="B6" i="5"/>
  <c r="B4" i="5"/>
  <c r="A8" i="5"/>
  <c r="L15" i="2"/>
  <c r="K37" i="3"/>
  <c r="K43" i="3"/>
  <c r="K39" i="3"/>
  <c r="O13" i="2"/>
  <c r="K41" i="3"/>
  <c r="K42" i="3"/>
  <c r="K38" i="3"/>
  <c r="K40" i="3"/>
  <c r="K36" i="3"/>
  <c r="J44" i="3"/>
  <c r="K44" i="3" s="1"/>
  <c r="H45" i="3"/>
  <c r="O11" i="2"/>
  <c r="O12" i="2"/>
  <c r="O10" i="2"/>
  <c r="E8" i="7" l="1"/>
  <c r="F6" i="7"/>
  <c r="F8" i="7"/>
  <c r="E5" i="7"/>
  <c r="E6" i="7"/>
  <c r="C9" i="7"/>
  <c r="E7" i="7"/>
  <c r="B9" i="7"/>
  <c r="F9" i="7" s="1"/>
  <c r="O14" i="2"/>
  <c r="C8" i="5"/>
  <c r="A10" i="7"/>
  <c r="M15" i="2"/>
  <c r="N15" i="2"/>
  <c r="F7" i="7"/>
  <c r="F5" i="7"/>
  <c r="D6" i="5"/>
  <c r="D7" i="7"/>
  <c r="D4" i="5"/>
  <c r="D5" i="7"/>
  <c r="D5" i="5"/>
  <c r="D6" i="7"/>
  <c r="D7" i="5"/>
  <c r="D8" i="7"/>
  <c r="I45" i="3"/>
  <c r="J45" i="3" s="1"/>
  <c r="K45" i="3" s="1"/>
  <c r="A9" i="5"/>
  <c r="L16" i="2"/>
  <c r="G8" i="7" l="1"/>
  <c r="I8" i="7" s="1"/>
  <c r="G6" i="7"/>
  <c r="H6" i="7" s="1"/>
  <c r="D9" i="7"/>
  <c r="G5" i="7"/>
  <c r="G7" i="7"/>
  <c r="H7" i="7" s="1"/>
  <c r="D8" i="5"/>
  <c r="C10" i="7"/>
  <c r="B10" i="7"/>
  <c r="E9" i="7"/>
  <c r="G9" i="7" s="1"/>
  <c r="C9" i="5"/>
  <c r="A11" i="7"/>
  <c r="N16" i="2"/>
  <c r="M16" i="2"/>
  <c r="A10" i="5"/>
  <c r="L17" i="2"/>
  <c r="B9" i="5"/>
  <c r="O15" i="2"/>
  <c r="H5" i="7" l="1"/>
  <c r="H8" i="7"/>
  <c r="I6" i="7"/>
  <c r="I7" i="7"/>
  <c r="I5" i="7"/>
  <c r="E10" i="7"/>
  <c r="F10" i="7"/>
  <c r="H9" i="7"/>
  <c r="I9" i="7"/>
  <c r="B11" i="7"/>
  <c r="C11" i="7"/>
  <c r="C10" i="5"/>
  <c r="A12" i="7"/>
  <c r="N17" i="2"/>
  <c r="M17" i="2"/>
  <c r="D9" i="5"/>
  <c r="D10" i="7"/>
  <c r="B10" i="5"/>
  <c r="O16" i="2"/>
  <c r="A11" i="5"/>
  <c r="L18" i="2"/>
  <c r="G10" i="7" l="1"/>
  <c r="F11" i="7"/>
  <c r="C12" i="7"/>
  <c r="B12" i="7"/>
  <c r="E11" i="7"/>
  <c r="A13" i="7"/>
  <c r="N18" i="2"/>
  <c r="M18" i="2"/>
  <c r="C11" i="5"/>
  <c r="D10" i="5"/>
  <c r="D11" i="7"/>
  <c r="A12" i="5"/>
  <c r="L19" i="2"/>
  <c r="B11" i="5"/>
  <c r="O17" i="2"/>
  <c r="I10" i="7" l="1"/>
  <c r="H10" i="7"/>
  <c r="G11" i="7"/>
  <c r="H11" i="7" s="1"/>
  <c r="E12" i="7"/>
  <c r="B13" i="7"/>
  <c r="C13" i="7"/>
  <c r="F12" i="7"/>
  <c r="C12" i="5"/>
  <c r="A14" i="7"/>
  <c r="M19" i="2"/>
  <c r="N19" i="2"/>
  <c r="D11" i="5"/>
  <c r="D12" i="7"/>
  <c r="A13" i="5"/>
  <c r="L20" i="2"/>
  <c r="B12" i="5"/>
  <c r="O18" i="2"/>
  <c r="G12" i="7" l="1"/>
  <c r="I12" i="7" s="1"/>
  <c r="I11" i="7"/>
  <c r="F13" i="7"/>
  <c r="B14" i="7"/>
  <c r="C14" i="7"/>
  <c r="E13" i="7"/>
  <c r="A15" i="7"/>
  <c r="M20" i="2"/>
  <c r="N20" i="2"/>
  <c r="C13" i="5"/>
  <c r="D12" i="5"/>
  <c r="D13" i="7"/>
  <c r="B13" i="5"/>
  <c r="O19" i="2"/>
  <c r="A14" i="5"/>
  <c r="L21" i="2"/>
  <c r="H12" i="7" l="1"/>
  <c r="E14" i="7"/>
  <c r="G13" i="7"/>
  <c r="I13" i="7" s="1"/>
  <c r="F14" i="7"/>
  <c r="C15" i="7"/>
  <c r="B15" i="7"/>
  <c r="A16" i="7"/>
  <c r="M21" i="2"/>
  <c r="N21" i="2"/>
  <c r="C14" i="5"/>
  <c r="D13" i="5"/>
  <c r="D14" i="7"/>
  <c r="B14" i="5"/>
  <c r="O20" i="2"/>
  <c r="A15" i="5"/>
  <c r="L22" i="2"/>
  <c r="G14" i="7" l="1"/>
  <c r="H13" i="7"/>
  <c r="F15" i="7"/>
  <c r="E15" i="7"/>
  <c r="C16" i="7"/>
  <c r="B16" i="7"/>
  <c r="C15" i="5"/>
  <c r="A17" i="7"/>
  <c r="M22" i="2"/>
  <c r="N22" i="2"/>
  <c r="D14" i="5"/>
  <c r="D15" i="7"/>
  <c r="B15" i="5"/>
  <c r="O21" i="2"/>
  <c r="A16" i="5"/>
  <c r="L23" i="2"/>
  <c r="I14" i="7" l="1"/>
  <c r="H14" i="7"/>
  <c r="G15" i="7"/>
  <c r="I15" i="7" s="1"/>
  <c r="F16" i="7"/>
  <c r="B17" i="7"/>
  <c r="E16" i="7"/>
  <c r="C17" i="7"/>
  <c r="C16" i="5"/>
  <c r="A18" i="7"/>
  <c r="M23" i="2"/>
  <c r="N23" i="2"/>
  <c r="D15" i="5"/>
  <c r="D16" i="7"/>
  <c r="B16" i="5"/>
  <c r="O22" i="2"/>
  <c r="A17" i="5"/>
  <c r="L24" i="2"/>
  <c r="H15" i="7" l="1"/>
  <c r="G16" i="7"/>
  <c r="H16" i="7" s="1"/>
  <c r="E17" i="7"/>
  <c r="F17" i="7"/>
  <c r="B18" i="7"/>
  <c r="C18" i="7"/>
  <c r="A19" i="7"/>
  <c r="M24" i="2"/>
  <c r="N24" i="2"/>
  <c r="C17" i="5"/>
  <c r="D16" i="5"/>
  <c r="D17" i="7"/>
  <c r="B17" i="5"/>
  <c r="O23" i="2"/>
  <c r="A18" i="5"/>
  <c r="L25" i="2"/>
  <c r="I16" i="7" l="1"/>
  <c r="E18" i="7"/>
  <c r="G17" i="7"/>
  <c r="H17" i="7" s="1"/>
  <c r="F18" i="7"/>
  <c r="B19" i="7"/>
  <c r="C19" i="7"/>
  <c r="A20" i="7"/>
  <c r="N25" i="2"/>
  <c r="M25" i="2"/>
  <c r="C18" i="5"/>
  <c r="D17" i="5"/>
  <c r="D18" i="7"/>
  <c r="A19" i="5"/>
  <c r="L26" i="2"/>
  <c r="B18" i="5"/>
  <c r="O24" i="2"/>
  <c r="G18" i="7" l="1"/>
  <c r="I18" i="7" s="1"/>
  <c r="I17" i="7"/>
  <c r="F19" i="7"/>
  <c r="E19" i="7"/>
  <c r="B20" i="7"/>
  <c r="C20" i="7"/>
  <c r="C19" i="5"/>
  <c r="A21" i="7"/>
  <c r="N26" i="2"/>
  <c r="M26" i="2"/>
  <c r="D18" i="5"/>
  <c r="D19" i="7"/>
  <c r="A20" i="5"/>
  <c r="L27" i="2"/>
  <c r="B19" i="5"/>
  <c r="O25" i="2"/>
  <c r="H18" i="7" l="1"/>
  <c r="G19" i="7"/>
  <c r="I19" i="7" s="1"/>
  <c r="F20" i="7"/>
  <c r="E20" i="7"/>
  <c r="C21" i="7"/>
  <c r="B21" i="7"/>
  <c r="C20" i="5"/>
  <c r="A22" i="7"/>
  <c r="M27" i="2"/>
  <c r="N27" i="2"/>
  <c r="D19" i="5"/>
  <c r="D20" i="7"/>
  <c r="A21" i="5"/>
  <c r="L28" i="2"/>
  <c r="B20" i="5"/>
  <c r="O26" i="2"/>
  <c r="H19" i="7" l="1"/>
  <c r="G20" i="7"/>
  <c r="I20" i="7" s="1"/>
  <c r="E21" i="7"/>
  <c r="F21" i="7"/>
  <c r="B22" i="7"/>
  <c r="C22" i="7"/>
  <c r="A23" i="7"/>
  <c r="M28" i="2"/>
  <c r="N28" i="2"/>
  <c r="C21" i="5"/>
  <c r="D20" i="5"/>
  <c r="D21" i="7"/>
  <c r="A22" i="5"/>
  <c r="L29" i="2"/>
  <c r="B21" i="5"/>
  <c r="O27" i="2"/>
  <c r="H20" i="7" l="1"/>
  <c r="G21" i="7"/>
  <c r="H21" i="7" s="1"/>
  <c r="E22" i="7"/>
  <c r="F22" i="7"/>
  <c r="B23" i="7"/>
  <c r="C23" i="7"/>
  <c r="C22" i="5"/>
  <c r="A24" i="7"/>
  <c r="M29" i="2"/>
  <c r="N29" i="2"/>
  <c r="D21" i="5"/>
  <c r="D22" i="7"/>
  <c r="B22" i="5"/>
  <c r="O28" i="2"/>
  <c r="A23" i="5"/>
  <c r="L30" i="2"/>
  <c r="I21" i="7" l="1"/>
  <c r="G22" i="7"/>
  <c r="I22" i="7" s="1"/>
  <c r="F23" i="7"/>
  <c r="E23" i="7"/>
  <c r="B24" i="7"/>
  <c r="C24" i="7"/>
  <c r="C23" i="5"/>
  <c r="A25" i="7"/>
  <c r="M30" i="2"/>
  <c r="N30" i="2"/>
  <c r="D22" i="5"/>
  <c r="D23" i="7"/>
  <c r="A24" i="5"/>
  <c r="L31" i="2"/>
  <c r="B23" i="5"/>
  <c r="O29" i="2"/>
  <c r="H22" i="7" l="1"/>
  <c r="G23" i="7"/>
  <c r="H23" i="7" s="1"/>
  <c r="E24" i="7"/>
  <c r="F24" i="7"/>
  <c r="C25" i="7"/>
  <c r="B25" i="7"/>
  <c r="C24" i="5"/>
  <c r="A26" i="7"/>
  <c r="M31" i="2"/>
  <c r="N31" i="2"/>
  <c r="D23" i="5"/>
  <c r="D24" i="7"/>
  <c r="A25" i="5"/>
  <c r="L32" i="2"/>
  <c r="B24" i="5"/>
  <c r="O30" i="2"/>
  <c r="I23" i="7" l="1"/>
  <c r="G24" i="7"/>
  <c r="H24" i="7" s="1"/>
  <c r="F25" i="7"/>
  <c r="E25" i="7"/>
  <c r="C26" i="7"/>
  <c r="B26" i="7"/>
  <c r="A27" i="7"/>
  <c r="N32" i="2"/>
  <c r="M32" i="2"/>
  <c r="C25" i="5"/>
  <c r="D24" i="5"/>
  <c r="D25" i="7"/>
  <c r="A26" i="5"/>
  <c r="L33" i="2"/>
  <c r="B25" i="5"/>
  <c r="O31" i="2"/>
  <c r="E26" i="7" l="1"/>
  <c r="I24" i="7"/>
  <c r="G25" i="7"/>
  <c r="I25" i="7" s="1"/>
  <c r="F26" i="7"/>
  <c r="B27" i="7"/>
  <c r="C27" i="7"/>
  <c r="C26" i="5"/>
  <c r="A28" i="7"/>
  <c r="N33" i="2"/>
  <c r="M33" i="2"/>
  <c r="D25" i="5"/>
  <c r="D26" i="7"/>
  <c r="A27" i="5"/>
  <c r="L34" i="2"/>
  <c r="B26" i="5"/>
  <c r="O32" i="2"/>
  <c r="G26" i="7" l="1"/>
  <c r="H26" i="7" s="1"/>
  <c r="H25" i="7"/>
  <c r="F27" i="7"/>
  <c r="E27" i="7"/>
  <c r="C28" i="7"/>
  <c r="B28" i="7"/>
  <c r="C27" i="5"/>
  <c r="A29" i="7"/>
  <c r="M34" i="2"/>
  <c r="N34" i="2"/>
  <c r="D26" i="5"/>
  <c r="D27" i="7"/>
  <c r="B27" i="5"/>
  <c r="O33" i="2"/>
  <c r="A28" i="5"/>
  <c r="L35" i="2"/>
  <c r="I26" i="7" l="1"/>
  <c r="G27" i="7"/>
  <c r="H27" i="7" s="1"/>
  <c r="F28" i="7"/>
  <c r="B29" i="7"/>
  <c r="E28" i="7"/>
  <c r="C29" i="7"/>
  <c r="C28" i="5"/>
  <c r="A30" i="7"/>
  <c r="M35" i="2"/>
  <c r="N35" i="2"/>
  <c r="D27" i="5"/>
  <c r="D28" i="7"/>
  <c r="A29" i="5"/>
  <c r="L36" i="2"/>
  <c r="B28" i="5"/>
  <c r="O34" i="2"/>
  <c r="I27" i="7" l="1"/>
  <c r="G28" i="7"/>
  <c r="I28" i="7" s="1"/>
  <c r="F29" i="7"/>
  <c r="B30" i="7"/>
  <c r="C30" i="7"/>
  <c r="E29" i="7"/>
  <c r="C29" i="5"/>
  <c r="H28" i="7"/>
  <c r="A31" i="7"/>
  <c r="M36" i="2"/>
  <c r="N36" i="2"/>
  <c r="D28" i="5"/>
  <c r="D29" i="7"/>
  <c r="B29" i="5"/>
  <c r="O35" i="2"/>
  <c r="A30" i="5"/>
  <c r="L37" i="2"/>
  <c r="G29" i="7" l="1"/>
  <c r="H29" i="7" s="1"/>
  <c r="E30" i="7"/>
  <c r="F30" i="7"/>
  <c r="C31" i="7"/>
  <c r="B31" i="7"/>
  <c r="C30" i="5"/>
  <c r="A32" i="7"/>
  <c r="M37" i="2"/>
  <c r="N37" i="2"/>
  <c r="D29" i="5"/>
  <c r="D30" i="7"/>
  <c r="B30" i="5"/>
  <c r="O36" i="2"/>
  <c r="A31" i="5"/>
  <c r="L38" i="2"/>
  <c r="I29" i="7" l="1"/>
  <c r="G30" i="7"/>
  <c r="H30" i="7" s="1"/>
  <c r="F31" i="7"/>
  <c r="E31" i="7"/>
  <c r="C32" i="7"/>
  <c r="B32" i="7"/>
  <c r="C31" i="5"/>
  <c r="A33" i="7"/>
  <c r="N38" i="2"/>
  <c r="M38" i="2"/>
  <c r="D30" i="5"/>
  <c r="D31" i="7"/>
  <c r="B31" i="5"/>
  <c r="O37" i="2"/>
  <c r="A32" i="5"/>
  <c r="L39" i="2"/>
  <c r="I30" i="7" l="1"/>
  <c r="G31" i="7"/>
  <c r="H31" i="7" s="1"/>
  <c r="E32" i="7"/>
  <c r="B33" i="7"/>
  <c r="F32" i="7"/>
  <c r="C33" i="7"/>
  <c r="A34" i="7"/>
  <c r="M39" i="2"/>
  <c r="N39" i="2"/>
  <c r="C32" i="5"/>
  <c r="D31" i="5"/>
  <c r="D32" i="7"/>
  <c r="B32" i="5"/>
  <c r="O38" i="2"/>
  <c r="A33" i="5"/>
  <c r="L40" i="2"/>
  <c r="G32" i="7" l="1"/>
  <c r="I32" i="7" s="1"/>
  <c r="I31" i="7"/>
  <c r="E33" i="7"/>
  <c r="B34" i="7"/>
  <c r="C34" i="7"/>
  <c r="F33" i="7"/>
  <c r="A35" i="7"/>
  <c r="M40" i="2"/>
  <c r="N40" i="2"/>
  <c r="C33" i="5"/>
  <c r="D32" i="5"/>
  <c r="D33" i="7"/>
  <c r="A34" i="5"/>
  <c r="L41" i="2"/>
  <c r="B33" i="5"/>
  <c r="O39" i="2"/>
  <c r="H32" i="7" l="1"/>
  <c r="G33" i="7"/>
  <c r="I33" i="7" s="1"/>
  <c r="E34" i="7"/>
  <c r="F34" i="7"/>
  <c r="C35" i="7"/>
  <c r="B35" i="7"/>
  <c r="C34" i="5"/>
  <c r="A36" i="7"/>
  <c r="N41" i="2"/>
  <c r="M41" i="2"/>
  <c r="D33" i="5"/>
  <c r="D34" i="7"/>
  <c r="A35" i="5"/>
  <c r="L42" i="2"/>
  <c r="B34" i="5"/>
  <c r="O40" i="2"/>
  <c r="H33" i="7" l="1"/>
  <c r="G34" i="7"/>
  <c r="H34" i="7" s="1"/>
  <c r="F35" i="7"/>
  <c r="C36" i="7"/>
  <c r="B36" i="7"/>
  <c r="E35" i="7"/>
  <c r="C35" i="5"/>
  <c r="I34" i="7"/>
  <c r="A37" i="7"/>
  <c r="M42" i="2"/>
  <c r="N42" i="2"/>
  <c r="D34" i="5"/>
  <c r="D35" i="7"/>
  <c r="A36" i="5"/>
  <c r="L43" i="2"/>
  <c r="B35" i="5"/>
  <c r="O41" i="2"/>
  <c r="E36" i="7" l="1"/>
  <c r="G35" i="7"/>
  <c r="H35" i="7" s="1"/>
  <c r="B37" i="7"/>
  <c r="C37" i="7"/>
  <c r="F36" i="7"/>
  <c r="G36" i="7" s="1"/>
  <c r="I36" i="7" s="1"/>
  <c r="A38" i="7"/>
  <c r="M43" i="2"/>
  <c r="N43" i="2"/>
  <c r="C36" i="5"/>
  <c r="D35" i="5"/>
  <c r="D36" i="7"/>
  <c r="A37" i="5"/>
  <c r="L44" i="2"/>
  <c r="B36" i="5"/>
  <c r="O42" i="2"/>
  <c r="I35" i="7" l="1"/>
  <c r="F37" i="7"/>
  <c r="H36" i="7"/>
  <c r="B38" i="7"/>
  <c r="C38" i="7"/>
  <c r="E37" i="7"/>
  <c r="C37" i="5"/>
  <c r="A39" i="7"/>
  <c r="M44" i="2"/>
  <c r="N44" i="2"/>
  <c r="D36" i="5"/>
  <c r="D37" i="7"/>
  <c r="A38" i="5"/>
  <c r="L45" i="2"/>
  <c r="B37" i="5"/>
  <c r="O43" i="2"/>
  <c r="E38" i="7" l="1"/>
  <c r="G37" i="7"/>
  <c r="H37" i="7" s="1"/>
  <c r="F38" i="7"/>
  <c r="G38" i="7" s="1"/>
  <c r="C39" i="7"/>
  <c r="B39" i="7"/>
  <c r="C38" i="5"/>
  <c r="A40" i="7"/>
  <c r="M45" i="2"/>
  <c r="N45" i="2"/>
  <c r="D37" i="5"/>
  <c r="D38" i="7"/>
  <c r="A39" i="5"/>
  <c r="L46" i="2"/>
  <c r="B38" i="5"/>
  <c r="O44" i="2"/>
  <c r="I37" i="7" l="1"/>
  <c r="E39" i="7"/>
  <c r="C40" i="7"/>
  <c r="B40" i="7"/>
  <c r="F39" i="7"/>
  <c r="C39" i="5"/>
  <c r="H38" i="7"/>
  <c r="I38" i="7"/>
  <c r="A41" i="7"/>
  <c r="M46" i="2"/>
  <c r="N46" i="2"/>
  <c r="D38" i="5"/>
  <c r="D39" i="7"/>
  <c r="A40" i="5"/>
  <c r="L47" i="2"/>
  <c r="B39" i="5"/>
  <c r="O45" i="2"/>
  <c r="G39" i="7" l="1"/>
  <c r="I39" i="7" s="1"/>
  <c r="F40" i="7"/>
  <c r="E40" i="7"/>
  <c r="C41" i="7"/>
  <c r="B41" i="7"/>
  <c r="C40" i="5"/>
  <c r="A42" i="7"/>
  <c r="M47" i="2"/>
  <c r="N47" i="2"/>
  <c r="D39" i="5"/>
  <c r="D40" i="7"/>
  <c r="A41" i="5"/>
  <c r="L48" i="2"/>
  <c r="B40" i="5"/>
  <c r="O46" i="2"/>
  <c r="H39" i="7" l="1"/>
  <c r="G40" i="7"/>
  <c r="H40" i="7" s="1"/>
  <c r="E41" i="7"/>
  <c r="F41" i="7"/>
  <c r="B42" i="7"/>
  <c r="C42" i="7"/>
  <c r="A43" i="7"/>
  <c r="N48" i="2"/>
  <c r="M48" i="2"/>
  <c r="C41" i="5"/>
  <c r="D40" i="5"/>
  <c r="D41" i="7"/>
  <c r="A42" i="5"/>
  <c r="L49" i="2"/>
  <c r="B41" i="5"/>
  <c r="O47" i="2"/>
  <c r="G41" i="7" l="1"/>
  <c r="I41" i="7" s="1"/>
  <c r="I40" i="7"/>
  <c r="E42" i="7"/>
  <c r="F42" i="7"/>
  <c r="C43" i="7"/>
  <c r="B43" i="7"/>
  <c r="C42" i="5"/>
  <c r="A44" i="7"/>
  <c r="N49" i="2"/>
  <c r="M49" i="2"/>
  <c r="D41" i="5"/>
  <c r="D42" i="7"/>
  <c r="A43" i="5"/>
  <c r="L50" i="2"/>
  <c r="B42" i="5"/>
  <c r="O48" i="2"/>
  <c r="H41" i="7" l="1"/>
  <c r="F43" i="7"/>
  <c r="G42" i="7"/>
  <c r="H42" i="7" s="1"/>
  <c r="E43" i="7"/>
  <c r="C44" i="7"/>
  <c r="B44" i="7"/>
  <c r="C43" i="5"/>
  <c r="A45" i="7"/>
  <c r="N50" i="2"/>
  <c r="M50" i="2"/>
  <c r="D42" i="5"/>
  <c r="D43" i="7"/>
  <c r="A44" i="5"/>
  <c r="L51" i="2"/>
  <c r="B43" i="5"/>
  <c r="O49" i="2"/>
  <c r="G43" i="7" l="1"/>
  <c r="I43" i="7" s="1"/>
  <c r="I42" i="7"/>
  <c r="F44" i="7"/>
  <c r="C45" i="7"/>
  <c r="E44" i="7"/>
  <c r="B45" i="7"/>
  <c r="C44" i="5"/>
  <c r="A46" i="7"/>
  <c r="M51" i="2"/>
  <c r="N51" i="2"/>
  <c r="D43" i="5"/>
  <c r="D44" i="7"/>
  <c r="A45" i="5"/>
  <c r="L52" i="2"/>
  <c r="B44" i="5"/>
  <c r="O50" i="2"/>
  <c r="G44" i="7" l="1"/>
  <c r="H43" i="7"/>
  <c r="F45" i="7"/>
  <c r="B46" i="7"/>
  <c r="C46" i="7"/>
  <c r="E45" i="7"/>
  <c r="C45" i="5"/>
  <c r="A47" i="7"/>
  <c r="M52" i="2"/>
  <c r="N52" i="2"/>
  <c r="H44" i="7"/>
  <c r="I44" i="7"/>
  <c r="D44" i="5"/>
  <c r="D45" i="7"/>
  <c r="A46" i="5"/>
  <c r="L53" i="2"/>
  <c r="B45" i="5"/>
  <c r="O51" i="2"/>
  <c r="G45" i="7" l="1"/>
  <c r="I45" i="7" s="1"/>
  <c r="F46" i="7"/>
  <c r="C47" i="7"/>
  <c r="E46" i="7"/>
  <c r="B47" i="7"/>
  <c r="C46" i="5"/>
  <c r="A48" i="7"/>
  <c r="M53" i="2"/>
  <c r="N53" i="2"/>
  <c r="D45" i="5"/>
  <c r="D46" i="7"/>
  <c r="A47" i="5"/>
  <c r="L54" i="2"/>
  <c r="B46" i="5"/>
  <c r="O52" i="2"/>
  <c r="H45" i="7" l="1"/>
  <c r="G46" i="7"/>
  <c r="I46" i="7" s="1"/>
  <c r="F47" i="7"/>
  <c r="E47" i="7"/>
  <c r="C48" i="7"/>
  <c r="B48" i="7"/>
  <c r="A49" i="7"/>
  <c r="M54" i="2"/>
  <c r="N54" i="2"/>
  <c r="C47" i="5"/>
  <c r="D46" i="5"/>
  <c r="D47" i="7"/>
  <c r="A48" i="5"/>
  <c r="L55" i="2"/>
  <c r="B47" i="5"/>
  <c r="O53" i="2"/>
  <c r="G47" i="7" l="1"/>
  <c r="H47" i="7" s="1"/>
  <c r="H46" i="7"/>
  <c r="E48" i="7"/>
  <c r="F48" i="7"/>
  <c r="C49" i="7"/>
  <c r="B49" i="7"/>
  <c r="C48" i="5"/>
  <c r="A50" i="7"/>
  <c r="M55" i="2"/>
  <c r="N55" i="2"/>
  <c r="D47" i="5"/>
  <c r="D48" i="7"/>
  <c r="A49" i="5"/>
  <c r="L56" i="2"/>
  <c r="B48" i="5"/>
  <c r="O54" i="2"/>
  <c r="I47" i="7" l="1"/>
  <c r="G48" i="7"/>
  <c r="I48" i="7" s="1"/>
  <c r="F49" i="7"/>
  <c r="E49" i="7"/>
  <c r="G49" i="7" s="1"/>
  <c r="C50" i="7"/>
  <c r="B50" i="7"/>
  <c r="C49" i="5"/>
  <c r="A51" i="7"/>
  <c r="M56" i="2"/>
  <c r="N56" i="2"/>
  <c r="D48" i="5"/>
  <c r="D49" i="7"/>
  <c r="A50" i="5"/>
  <c r="L57" i="2"/>
  <c r="B49" i="5"/>
  <c r="O55" i="2"/>
  <c r="H48" i="7" l="1"/>
  <c r="F50" i="7"/>
  <c r="E50" i="7"/>
  <c r="C51" i="7"/>
  <c r="B51" i="7"/>
  <c r="C50" i="5"/>
  <c r="H49" i="7"/>
  <c r="I49" i="7"/>
  <c r="A52" i="7"/>
  <c r="N57" i="2"/>
  <c r="M57" i="2"/>
  <c r="D49" i="5"/>
  <c r="D50" i="7"/>
  <c r="A51" i="5"/>
  <c r="L58" i="2"/>
  <c r="B50" i="5"/>
  <c r="O56" i="2"/>
  <c r="G50" i="7" l="1"/>
  <c r="I50" i="7" s="1"/>
  <c r="E51" i="7"/>
  <c r="F51" i="7"/>
  <c r="B52" i="7"/>
  <c r="C52" i="7"/>
  <c r="C51" i="5"/>
  <c r="A53" i="7"/>
  <c r="M58" i="2"/>
  <c r="N58" i="2"/>
  <c r="D50" i="5"/>
  <c r="D51" i="7"/>
  <c r="A52" i="5"/>
  <c r="L59" i="2"/>
  <c r="B51" i="5"/>
  <c r="O57" i="2"/>
  <c r="H50" i="7" l="1"/>
  <c r="G51" i="7"/>
  <c r="I51" i="7" s="1"/>
  <c r="H51" i="7"/>
  <c r="E52" i="7"/>
  <c r="F52" i="7"/>
  <c r="B53" i="7"/>
  <c r="C53" i="7"/>
  <c r="C52" i="5"/>
  <c r="A54" i="7"/>
  <c r="M59" i="2"/>
  <c r="N59" i="2"/>
  <c r="D51" i="5"/>
  <c r="D52" i="7"/>
  <c r="A53" i="5"/>
  <c r="L60" i="2"/>
  <c r="B52" i="5"/>
  <c r="O58" i="2"/>
  <c r="G52" i="7" l="1"/>
  <c r="I52" i="7" s="1"/>
  <c r="E53" i="7"/>
  <c r="B54" i="7"/>
  <c r="F53" i="7"/>
  <c r="C54" i="7"/>
  <c r="A55" i="7"/>
  <c r="M60" i="2"/>
  <c r="N60" i="2"/>
  <c r="C53" i="5"/>
  <c r="D52" i="5"/>
  <c r="D53" i="7"/>
  <c r="A54" i="5"/>
  <c r="L61" i="2"/>
  <c r="B53" i="5"/>
  <c r="O59" i="2"/>
  <c r="H52" i="7" l="1"/>
  <c r="E54" i="7"/>
  <c r="G53" i="7"/>
  <c r="I53" i="7" s="1"/>
  <c r="F54" i="7"/>
  <c r="B55" i="7"/>
  <c r="C55" i="7"/>
  <c r="C54" i="5"/>
  <c r="A56" i="7"/>
  <c r="M61" i="2"/>
  <c r="N61" i="2"/>
  <c r="D53" i="5"/>
  <c r="D54" i="7"/>
  <c r="B54" i="5"/>
  <c r="O60" i="2"/>
  <c r="A55" i="5"/>
  <c r="L62" i="2"/>
  <c r="G54" i="7" l="1"/>
  <c r="H54" i="7" s="1"/>
  <c r="H53" i="7"/>
  <c r="F55" i="7"/>
  <c r="I54" i="7"/>
  <c r="E55" i="7"/>
  <c r="B56" i="7"/>
  <c r="C56" i="7"/>
  <c r="C55" i="5"/>
  <c r="A57" i="7"/>
  <c r="M62" i="2"/>
  <c r="N62" i="2"/>
  <c r="D54" i="5"/>
  <c r="D55" i="7"/>
  <c r="A56" i="5"/>
  <c r="L63" i="2"/>
  <c r="B55" i="5"/>
  <c r="O61" i="2"/>
  <c r="G55" i="7" l="1"/>
  <c r="E56" i="7"/>
  <c r="F56" i="7"/>
  <c r="B57" i="7"/>
  <c r="C57" i="7"/>
  <c r="H55" i="7"/>
  <c r="I55" i="7"/>
  <c r="A58" i="7"/>
  <c r="M63" i="2"/>
  <c r="N63" i="2"/>
  <c r="C56" i="5"/>
  <c r="D55" i="5"/>
  <c r="D56" i="7"/>
  <c r="A57" i="5"/>
  <c r="L64" i="2"/>
  <c r="B56" i="5"/>
  <c r="O62" i="2"/>
  <c r="G56" i="7" l="1"/>
  <c r="H56" i="7" s="1"/>
  <c r="F57" i="7"/>
  <c r="C58" i="7"/>
  <c r="E57" i="7"/>
  <c r="B58" i="7"/>
  <c r="C57" i="5"/>
  <c r="A59" i="7"/>
  <c r="N64" i="2"/>
  <c r="M64" i="2"/>
  <c r="D56" i="5"/>
  <c r="D57" i="7"/>
  <c r="A58" i="5"/>
  <c r="L65" i="2"/>
  <c r="B57" i="5"/>
  <c r="O63" i="2"/>
  <c r="I56" i="7" l="1"/>
  <c r="G57" i="7"/>
  <c r="I57" i="7" s="1"/>
  <c r="E58" i="7"/>
  <c r="C59" i="7"/>
  <c r="F58" i="7"/>
  <c r="B59" i="7"/>
  <c r="C58" i="5"/>
  <c r="H57" i="7"/>
  <c r="A60" i="7"/>
  <c r="N65" i="2"/>
  <c r="M65" i="2"/>
  <c r="D57" i="5"/>
  <c r="D58" i="7"/>
  <c r="A59" i="5"/>
  <c r="L66" i="2"/>
  <c r="B58" i="5"/>
  <c r="O64" i="2"/>
  <c r="G58" i="7" l="1"/>
  <c r="E59" i="7"/>
  <c r="F59" i="7"/>
  <c r="G59" i="7" s="1"/>
  <c r="I59" i="7" s="1"/>
  <c r="B60" i="7"/>
  <c r="C60" i="7"/>
  <c r="C59" i="5"/>
  <c r="I58" i="7"/>
  <c r="H58" i="7"/>
  <c r="A61" i="7"/>
  <c r="N66" i="2"/>
  <c r="M66" i="2"/>
  <c r="D58" i="5"/>
  <c r="D59" i="7"/>
  <c r="B59" i="5"/>
  <c r="O65" i="2"/>
  <c r="A60" i="5"/>
  <c r="L67" i="2"/>
  <c r="F60" i="7" l="1"/>
  <c r="H59" i="7"/>
  <c r="E60" i="7"/>
  <c r="G60" i="7" s="1"/>
  <c r="C61" i="7"/>
  <c r="B61" i="7"/>
  <c r="A62" i="7"/>
  <c r="M67" i="2"/>
  <c r="N67" i="2"/>
  <c r="C60" i="5"/>
  <c r="D59" i="5"/>
  <c r="D60" i="7"/>
  <c r="A61" i="5"/>
  <c r="L68" i="2"/>
  <c r="B60" i="5"/>
  <c r="O66" i="2"/>
  <c r="I60" i="7" l="1"/>
  <c r="H60" i="7"/>
  <c r="E61" i="7"/>
  <c r="F61" i="7"/>
  <c r="C62" i="7"/>
  <c r="B62" i="7"/>
  <c r="C61" i="5"/>
  <c r="A63" i="7"/>
  <c r="M68" i="2"/>
  <c r="N68" i="2"/>
  <c r="D60" i="5"/>
  <c r="D61" i="7"/>
  <c r="A62" i="5"/>
  <c r="L69" i="2"/>
  <c r="B61" i="5"/>
  <c r="O67" i="2"/>
  <c r="G61" i="7" l="1"/>
  <c r="H61" i="7" s="1"/>
  <c r="E62" i="7"/>
  <c r="F62" i="7"/>
  <c r="B63" i="7"/>
  <c r="C63" i="7"/>
  <c r="C62" i="5"/>
  <c r="A64" i="7"/>
  <c r="M69" i="2"/>
  <c r="N69" i="2"/>
  <c r="D61" i="5"/>
  <c r="D62" i="7"/>
  <c r="A63" i="5"/>
  <c r="L70" i="2"/>
  <c r="B62" i="5"/>
  <c r="O68" i="2"/>
  <c r="I61" i="7" l="1"/>
  <c r="E63" i="7"/>
  <c r="G62" i="7"/>
  <c r="I62" i="7" s="1"/>
  <c r="F63" i="7"/>
  <c r="C64" i="7"/>
  <c r="B64" i="7"/>
  <c r="C63" i="5"/>
  <c r="A65" i="7"/>
  <c r="M70" i="2"/>
  <c r="N70" i="2"/>
  <c r="D62" i="5"/>
  <c r="D63" i="7"/>
  <c r="A64" i="5"/>
  <c r="L71" i="2"/>
  <c r="B63" i="5"/>
  <c r="O69" i="2"/>
  <c r="E64" i="7" l="1"/>
  <c r="G63" i="7"/>
  <c r="H63" i="7" s="1"/>
  <c r="H62" i="7"/>
  <c r="C65" i="7"/>
  <c r="B65" i="7"/>
  <c r="F64" i="7"/>
  <c r="C64" i="5"/>
  <c r="A66" i="7"/>
  <c r="M71" i="2"/>
  <c r="N71" i="2"/>
  <c r="D63" i="5"/>
  <c r="D64" i="7"/>
  <c r="A65" i="5"/>
  <c r="L72" i="2"/>
  <c r="B64" i="5"/>
  <c r="O70" i="2"/>
  <c r="I63" i="7" l="1"/>
  <c r="G64" i="7"/>
  <c r="F65" i="7"/>
  <c r="E65" i="7"/>
  <c r="B66" i="7"/>
  <c r="C66" i="7"/>
  <c r="A67" i="7"/>
  <c r="M72" i="2"/>
  <c r="N72" i="2"/>
  <c r="C65" i="5"/>
  <c r="I64" i="7"/>
  <c r="H64" i="7"/>
  <c r="D64" i="5"/>
  <c r="D65" i="7"/>
  <c r="B65" i="5"/>
  <c r="O71" i="2"/>
  <c r="A66" i="5"/>
  <c r="L73" i="2"/>
  <c r="G65" i="7" l="1"/>
  <c r="I65" i="7" s="1"/>
  <c r="E66" i="7"/>
  <c r="H65" i="7"/>
  <c r="C67" i="7"/>
  <c r="F66" i="7"/>
  <c r="B67" i="7"/>
  <c r="A68" i="7"/>
  <c r="N73" i="2"/>
  <c r="M73" i="2"/>
  <c r="C66" i="5"/>
  <c r="D65" i="5"/>
  <c r="D66" i="7"/>
  <c r="A67" i="5"/>
  <c r="L74" i="2"/>
  <c r="B66" i="5"/>
  <c r="O72" i="2"/>
  <c r="G66" i="7" l="1"/>
  <c r="E67" i="7"/>
  <c r="F67" i="7"/>
  <c r="B68" i="7"/>
  <c r="C68" i="7"/>
  <c r="C67" i="5"/>
  <c r="I66" i="7"/>
  <c r="H66" i="7"/>
  <c r="A69" i="7"/>
  <c r="N74" i="2"/>
  <c r="M74" i="2"/>
  <c r="D66" i="5"/>
  <c r="D67" i="7"/>
  <c r="A68" i="5"/>
  <c r="L75" i="2"/>
  <c r="B67" i="5"/>
  <c r="O73" i="2"/>
  <c r="G67" i="7" l="1"/>
  <c r="H67" i="7" s="1"/>
  <c r="E68" i="7"/>
  <c r="F68" i="7"/>
  <c r="B69" i="7"/>
  <c r="C69" i="7"/>
  <c r="C68" i="5"/>
  <c r="G68" i="7"/>
  <c r="A70" i="7"/>
  <c r="M75" i="2"/>
  <c r="N75" i="2"/>
  <c r="D67" i="5"/>
  <c r="D68" i="7"/>
  <c r="A69" i="5"/>
  <c r="L76" i="2"/>
  <c r="B68" i="5"/>
  <c r="O74" i="2"/>
  <c r="I67" i="7" l="1"/>
  <c r="E69" i="7"/>
  <c r="F69" i="7"/>
  <c r="B70" i="7"/>
  <c r="C70" i="7"/>
  <c r="C69" i="5"/>
  <c r="A71" i="7"/>
  <c r="M76" i="2"/>
  <c r="N76" i="2"/>
  <c r="H68" i="7"/>
  <c r="I68" i="7"/>
  <c r="D68" i="5"/>
  <c r="D69" i="7"/>
  <c r="A70" i="5"/>
  <c r="L77" i="2"/>
  <c r="B69" i="5"/>
  <c r="O75" i="2"/>
  <c r="G69" i="7" l="1"/>
  <c r="H69" i="7" s="1"/>
  <c r="F70" i="7"/>
  <c r="C71" i="7"/>
  <c r="E70" i="7"/>
  <c r="B71" i="7"/>
  <c r="F71" i="7" s="1"/>
  <c r="A72" i="7"/>
  <c r="M77" i="2"/>
  <c r="N77" i="2"/>
  <c r="C70" i="5"/>
  <c r="I69" i="7"/>
  <c r="D69" i="5"/>
  <c r="D70" i="7"/>
  <c r="A71" i="5"/>
  <c r="L78" i="2"/>
  <c r="B70" i="5"/>
  <c r="O76" i="2"/>
  <c r="G70" i="7" l="1"/>
  <c r="C72" i="7"/>
  <c r="E71" i="7"/>
  <c r="G71" i="7" s="1"/>
  <c r="B72" i="7"/>
  <c r="E72" i="7" s="1"/>
  <c r="C71" i="5"/>
  <c r="I70" i="7"/>
  <c r="H70" i="7"/>
  <c r="A73" i="7"/>
  <c r="M78" i="2"/>
  <c r="N78" i="2"/>
  <c r="D70" i="5"/>
  <c r="D71" i="7"/>
  <c r="A72" i="5"/>
  <c r="L79" i="2"/>
  <c r="B71" i="5"/>
  <c r="O77" i="2"/>
  <c r="B73" i="7" l="1"/>
  <c r="F72" i="7"/>
  <c r="G72" i="7" s="1"/>
  <c r="H72" i="7" s="1"/>
  <c r="C73" i="7"/>
  <c r="C72" i="5"/>
  <c r="I71" i="7"/>
  <c r="H71" i="7"/>
  <c r="A74" i="7"/>
  <c r="M79" i="2"/>
  <c r="N79" i="2"/>
  <c r="D71" i="5"/>
  <c r="D72" i="7"/>
  <c r="A73" i="5"/>
  <c r="L80" i="2"/>
  <c r="B72" i="5"/>
  <c r="O78" i="2"/>
  <c r="F73" i="7" l="1"/>
  <c r="E73" i="7"/>
  <c r="B74" i="7"/>
  <c r="C74" i="7"/>
  <c r="I72" i="7"/>
  <c r="C73" i="5"/>
  <c r="A75" i="7"/>
  <c r="N80" i="2"/>
  <c r="M80" i="2"/>
  <c r="D72" i="5"/>
  <c r="D73" i="7"/>
  <c r="A74" i="5"/>
  <c r="L81" i="2"/>
  <c r="B73" i="5"/>
  <c r="O79" i="2"/>
  <c r="G73" i="7" l="1"/>
  <c r="I73" i="7" s="1"/>
  <c r="E74" i="7"/>
  <c r="F74" i="7"/>
  <c r="B75" i="7"/>
  <c r="C75" i="7"/>
  <c r="H73" i="7"/>
  <c r="C74" i="5"/>
  <c r="A76" i="7"/>
  <c r="N81" i="2"/>
  <c r="M81" i="2"/>
  <c r="D73" i="5"/>
  <c r="D74" i="7"/>
  <c r="A75" i="5"/>
  <c r="L82" i="2"/>
  <c r="B74" i="5"/>
  <c r="O80" i="2"/>
  <c r="G74" i="7" l="1"/>
  <c r="F75" i="7"/>
  <c r="E75" i="7"/>
  <c r="B76" i="7"/>
  <c r="C76" i="7"/>
  <c r="C75" i="5"/>
  <c r="A77" i="7"/>
  <c r="N82" i="2"/>
  <c r="M82" i="2"/>
  <c r="H74" i="7"/>
  <c r="I74" i="7"/>
  <c r="D74" i="5"/>
  <c r="D75" i="7"/>
  <c r="A76" i="5"/>
  <c r="L83" i="2"/>
  <c r="B75" i="5"/>
  <c r="O81" i="2"/>
  <c r="G75" i="7" l="1"/>
  <c r="E76" i="7"/>
  <c r="F76" i="7"/>
  <c r="G76" i="7" s="1"/>
  <c r="B77" i="7"/>
  <c r="C77" i="7"/>
  <c r="C76" i="5"/>
  <c r="A78" i="7"/>
  <c r="M83" i="2"/>
  <c r="N83" i="2"/>
  <c r="H75" i="7"/>
  <c r="I75" i="7"/>
  <c r="D75" i="5"/>
  <c r="D76" i="7"/>
  <c r="A77" i="5"/>
  <c r="L84" i="2"/>
  <c r="B76" i="5"/>
  <c r="O82" i="2"/>
  <c r="F77" i="7" l="1"/>
  <c r="E77" i="7"/>
  <c r="G77" i="7" s="1"/>
  <c r="C78" i="7"/>
  <c r="B78" i="7"/>
  <c r="C77" i="5"/>
  <c r="A79" i="7"/>
  <c r="M84" i="2"/>
  <c r="N84" i="2"/>
  <c r="H76" i="7"/>
  <c r="I76" i="7"/>
  <c r="D76" i="5"/>
  <c r="D77" i="7"/>
  <c r="A78" i="5"/>
  <c r="L85" i="2"/>
  <c r="B77" i="5"/>
  <c r="O83" i="2"/>
  <c r="F78" i="7" l="1"/>
  <c r="B79" i="7"/>
  <c r="C79" i="7"/>
  <c r="E78" i="7"/>
  <c r="C78" i="5"/>
  <c r="A80" i="7"/>
  <c r="M85" i="2"/>
  <c r="N85" i="2"/>
  <c r="H77" i="7"/>
  <c r="I77" i="7"/>
  <c r="D77" i="5"/>
  <c r="D78" i="7"/>
  <c r="A79" i="5"/>
  <c r="L86" i="2"/>
  <c r="B78" i="5"/>
  <c r="O84" i="2"/>
  <c r="E79" i="7" l="1"/>
  <c r="G78" i="7"/>
  <c r="I78" i="7" s="1"/>
  <c r="C80" i="7"/>
  <c r="B80" i="7"/>
  <c r="F79" i="7"/>
  <c r="G79" i="7" s="1"/>
  <c r="C79" i="5"/>
  <c r="A81" i="7"/>
  <c r="M86" i="2"/>
  <c r="N86" i="2"/>
  <c r="D78" i="5"/>
  <c r="D79" i="7"/>
  <c r="A80" i="5"/>
  <c r="L87" i="2"/>
  <c r="B79" i="5"/>
  <c r="O85" i="2"/>
  <c r="H78" i="7" l="1"/>
  <c r="E80" i="7"/>
  <c r="F80" i="7"/>
  <c r="G80" i="7" s="1"/>
  <c r="I80" i="7" s="1"/>
  <c r="I79" i="7"/>
  <c r="H79" i="7"/>
  <c r="C81" i="7"/>
  <c r="B81" i="7"/>
  <c r="C80" i="5"/>
  <c r="A82" i="7"/>
  <c r="M87" i="2"/>
  <c r="N87" i="2"/>
  <c r="D79" i="5"/>
  <c r="D80" i="7"/>
  <c r="A81" i="5"/>
  <c r="L88" i="2"/>
  <c r="B80" i="5"/>
  <c r="O86" i="2"/>
  <c r="E81" i="7" l="1"/>
  <c r="F81" i="7"/>
  <c r="G81" i="7" s="1"/>
  <c r="H81" i="7" s="1"/>
  <c r="B82" i="7"/>
  <c r="C82" i="7"/>
  <c r="H80" i="7"/>
  <c r="A83" i="7"/>
  <c r="M88" i="2"/>
  <c r="N88" i="2"/>
  <c r="C81" i="5"/>
  <c r="D80" i="5"/>
  <c r="D81" i="7"/>
  <c r="A82" i="5"/>
  <c r="L89" i="2"/>
  <c r="B81" i="5"/>
  <c r="O87" i="2"/>
  <c r="E82" i="7" l="1"/>
  <c r="F82" i="7"/>
  <c r="B83" i="7"/>
  <c r="C83" i="7"/>
  <c r="I81" i="7"/>
  <c r="C82" i="5"/>
  <c r="A84" i="7"/>
  <c r="N89" i="2"/>
  <c r="M89" i="2"/>
  <c r="D81" i="5"/>
  <c r="D82" i="7"/>
  <c r="B82" i="5"/>
  <c r="O88" i="2"/>
  <c r="A83" i="5"/>
  <c r="L90" i="2"/>
  <c r="G82" i="7" l="1"/>
  <c r="H82" i="7" s="1"/>
  <c r="F83" i="7"/>
  <c r="I82" i="7"/>
  <c r="C84" i="7"/>
  <c r="E83" i="7"/>
  <c r="G83" i="7" s="1"/>
  <c r="B84" i="7"/>
  <c r="C83" i="5"/>
  <c r="A85" i="7"/>
  <c r="M90" i="2"/>
  <c r="N90" i="2"/>
  <c r="D82" i="5"/>
  <c r="D83" i="7"/>
  <c r="A84" i="5"/>
  <c r="L91" i="2"/>
  <c r="B83" i="5"/>
  <c r="O89" i="2"/>
  <c r="F84" i="7" l="1"/>
  <c r="C85" i="7"/>
  <c r="E84" i="7"/>
  <c r="B85" i="7"/>
  <c r="F85" i="7" s="1"/>
  <c r="A86" i="7"/>
  <c r="M91" i="2"/>
  <c r="N91" i="2"/>
  <c r="C84" i="5"/>
  <c r="H83" i="7"/>
  <c r="I83" i="7"/>
  <c r="D83" i="5"/>
  <c r="D84" i="7"/>
  <c r="A85" i="5"/>
  <c r="L92" i="2"/>
  <c r="B84" i="5"/>
  <c r="O90" i="2"/>
  <c r="G84" i="7" l="1"/>
  <c r="I84" i="7" s="1"/>
  <c r="C86" i="7"/>
  <c r="B86" i="7"/>
  <c r="E85" i="7"/>
  <c r="G85" i="7" s="1"/>
  <c r="H85" i="7" s="1"/>
  <c r="A87" i="7"/>
  <c r="M92" i="2"/>
  <c r="N92" i="2"/>
  <c r="C85" i="5"/>
  <c r="D84" i="5"/>
  <c r="D85" i="7"/>
  <c r="A86" i="5"/>
  <c r="L93" i="2"/>
  <c r="B85" i="5"/>
  <c r="O91" i="2"/>
  <c r="H84" i="7" l="1"/>
  <c r="E86" i="7"/>
  <c r="F86" i="7"/>
  <c r="G86" i="7" s="1"/>
  <c r="B87" i="7"/>
  <c r="C87" i="7"/>
  <c r="I85" i="7"/>
  <c r="C86" i="5"/>
  <c r="A88" i="7"/>
  <c r="M93" i="2"/>
  <c r="N93" i="2"/>
  <c r="D85" i="5"/>
  <c r="D86" i="7"/>
  <c r="A87" i="5"/>
  <c r="L94" i="2"/>
  <c r="B86" i="5"/>
  <c r="O92" i="2"/>
  <c r="F87" i="7" l="1"/>
  <c r="E87" i="7"/>
  <c r="G87" i="7" s="1"/>
  <c r="B88" i="7"/>
  <c r="C88" i="7"/>
  <c r="A89" i="7"/>
  <c r="M94" i="2"/>
  <c r="N94" i="2"/>
  <c r="C87" i="5"/>
  <c r="I86" i="7"/>
  <c r="H86" i="7"/>
  <c r="D86" i="5"/>
  <c r="D87" i="7"/>
  <c r="B87" i="5"/>
  <c r="O93" i="2"/>
  <c r="A88" i="5"/>
  <c r="L95" i="2"/>
  <c r="F88" i="7" l="1"/>
  <c r="E88" i="7"/>
  <c r="C89" i="7"/>
  <c r="B89" i="7"/>
  <c r="C88" i="5"/>
  <c r="I87" i="7"/>
  <c r="H87" i="7"/>
  <c r="A90" i="7"/>
  <c r="M95" i="2"/>
  <c r="N95" i="2"/>
  <c r="D87" i="5"/>
  <c r="D88" i="7"/>
  <c r="A89" i="5"/>
  <c r="L96" i="2"/>
  <c r="B88" i="5"/>
  <c r="O94" i="2"/>
  <c r="G88" i="7" l="1"/>
  <c r="H88" i="7" s="1"/>
  <c r="E89" i="7"/>
  <c r="F89" i="7"/>
  <c r="C90" i="7"/>
  <c r="B90" i="7"/>
  <c r="C89" i="5"/>
  <c r="A91" i="7"/>
  <c r="N96" i="2"/>
  <c r="M96" i="2"/>
  <c r="D88" i="5"/>
  <c r="D89" i="7"/>
  <c r="A90" i="5"/>
  <c r="L97" i="2"/>
  <c r="B89" i="5"/>
  <c r="O95" i="2"/>
  <c r="I88" i="7" l="1"/>
  <c r="G89" i="7"/>
  <c r="H89" i="7" s="1"/>
  <c r="I89" i="7"/>
  <c r="F90" i="7"/>
  <c r="C91" i="7"/>
  <c r="B91" i="7"/>
  <c r="E90" i="7"/>
  <c r="G90" i="7" s="1"/>
  <c r="C90" i="5"/>
  <c r="A92" i="7"/>
  <c r="N97" i="2"/>
  <c r="M97" i="2"/>
  <c r="D89" i="5"/>
  <c r="D90" i="7"/>
  <c r="B90" i="5"/>
  <c r="O96" i="2"/>
  <c r="A91" i="5"/>
  <c r="L98" i="2"/>
  <c r="E91" i="7" l="1"/>
  <c r="F91" i="7"/>
  <c r="G91" i="7" s="1"/>
  <c r="H91" i="7" s="1"/>
  <c r="H90" i="7"/>
  <c r="I90" i="7"/>
  <c r="B92" i="7"/>
  <c r="C92" i="7"/>
  <c r="A93" i="7"/>
  <c r="M98" i="2"/>
  <c r="N98" i="2"/>
  <c r="C91" i="5"/>
  <c r="D90" i="5"/>
  <c r="D91" i="7"/>
  <c r="B91" i="5"/>
  <c r="O97" i="2"/>
  <c r="A92" i="5"/>
  <c r="L99" i="2"/>
  <c r="I91" i="7" l="1"/>
  <c r="F92" i="7"/>
  <c r="E92" i="7"/>
  <c r="C93" i="7"/>
  <c r="B93" i="7"/>
  <c r="A94" i="7"/>
  <c r="M99" i="2"/>
  <c r="N99" i="2"/>
  <c r="C92" i="5"/>
  <c r="D91" i="5"/>
  <c r="D92" i="7"/>
  <c r="A93" i="5"/>
  <c r="L100" i="2"/>
  <c r="B92" i="5"/>
  <c r="O98" i="2"/>
  <c r="E93" i="7" l="1"/>
  <c r="G92" i="7"/>
  <c r="H92" i="7" s="1"/>
  <c r="F93" i="7"/>
  <c r="G93" i="7" s="1"/>
  <c r="B94" i="7"/>
  <c r="C94" i="7"/>
  <c r="A95" i="7"/>
  <c r="M100" i="2"/>
  <c r="N100" i="2"/>
  <c r="C93" i="5"/>
  <c r="D92" i="5"/>
  <c r="D93" i="7"/>
  <c r="A94" i="5"/>
  <c r="L101" i="2"/>
  <c r="B93" i="5"/>
  <c r="O99" i="2"/>
  <c r="I92" i="7" l="1"/>
  <c r="F94" i="7"/>
  <c r="E94" i="7"/>
  <c r="C95" i="7"/>
  <c r="B95" i="7"/>
  <c r="C94" i="5"/>
  <c r="A96" i="7"/>
  <c r="M101" i="2"/>
  <c r="N101" i="2"/>
  <c r="H93" i="7"/>
  <c r="I93" i="7"/>
  <c r="D93" i="5"/>
  <c r="D94" i="7"/>
  <c r="A95" i="5"/>
  <c r="L102" i="2"/>
  <c r="B94" i="5"/>
  <c r="O100" i="2"/>
  <c r="G94" i="7" l="1"/>
  <c r="I94" i="7" s="1"/>
  <c r="F95" i="7"/>
  <c r="C96" i="7"/>
  <c r="E95" i="7"/>
  <c r="G95" i="7" s="1"/>
  <c r="B96" i="7"/>
  <c r="H94" i="7"/>
  <c r="C95" i="5"/>
  <c r="A97" i="7"/>
  <c r="M102" i="2"/>
  <c r="N102" i="2"/>
  <c r="D94" i="5"/>
  <c r="D95" i="7"/>
  <c r="A96" i="5"/>
  <c r="L103" i="2"/>
  <c r="B95" i="5"/>
  <c r="O101" i="2"/>
  <c r="E96" i="7" l="1"/>
  <c r="F96" i="7"/>
  <c r="B97" i="7"/>
  <c r="C97" i="7"/>
  <c r="G96" i="7"/>
  <c r="I96" i="7" s="1"/>
  <c r="A98" i="7"/>
  <c r="M103" i="2"/>
  <c r="N103" i="2"/>
  <c r="C96" i="5"/>
  <c r="H95" i="7"/>
  <c r="I95" i="7"/>
  <c r="D95" i="5"/>
  <c r="D96" i="7"/>
  <c r="B96" i="5"/>
  <c r="O102" i="2"/>
  <c r="A97" i="5"/>
  <c r="L104" i="2"/>
  <c r="E97" i="7" l="1"/>
  <c r="H96" i="7"/>
  <c r="C98" i="7"/>
  <c r="F97" i="7"/>
  <c r="G97" i="7" s="1"/>
  <c r="B98" i="7"/>
  <c r="C97" i="5"/>
  <c r="A99" i="7"/>
  <c r="M104" i="2"/>
  <c r="N104" i="2"/>
  <c r="D96" i="5"/>
  <c r="D97" i="7"/>
  <c r="A98" i="5"/>
  <c r="L105" i="2"/>
  <c r="B97" i="5"/>
  <c r="O103" i="2"/>
  <c r="E98" i="7" l="1"/>
  <c r="C99" i="7"/>
  <c r="F98" i="7"/>
  <c r="B99" i="7"/>
  <c r="C98" i="5"/>
  <c r="A100" i="7"/>
  <c r="N105" i="2"/>
  <c r="M105" i="2"/>
  <c r="H97" i="7"/>
  <c r="I97" i="7"/>
  <c r="D97" i="5"/>
  <c r="D98" i="7"/>
  <c r="A99" i="5"/>
  <c r="L106" i="2"/>
  <c r="B98" i="5"/>
  <c r="O104" i="2"/>
  <c r="G98" i="7" l="1"/>
  <c r="H98" i="7" s="1"/>
  <c r="E99" i="7"/>
  <c r="B100" i="7"/>
  <c r="C100" i="7"/>
  <c r="F99" i="7"/>
  <c r="A101" i="7"/>
  <c r="N106" i="2"/>
  <c r="M106" i="2"/>
  <c r="C99" i="5"/>
  <c r="D98" i="5"/>
  <c r="D99" i="7"/>
  <c r="B99" i="5"/>
  <c r="O105" i="2"/>
  <c r="A100" i="5"/>
  <c r="L107" i="2"/>
  <c r="G99" i="7" l="1"/>
  <c r="H99" i="7" s="1"/>
  <c r="I98" i="7"/>
  <c r="F100" i="7"/>
  <c r="I99" i="7"/>
  <c r="B101" i="7"/>
  <c r="C101" i="7"/>
  <c r="E100" i="7"/>
  <c r="A102" i="7"/>
  <c r="M107" i="2"/>
  <c r="N107" i="2"/>
  <c r="C100" i="5"/>
  <c r="D99" i="5"/>
  <c r="D100" i="7"/>
  <c r="A101" i="5"/>
  <c r="L108" i="2"/>
  <c r="B100" i="5"/>
  <c r="O106" i="2"/>
  <c r="F101" i="7" l="1"/>
  <c r="G100" i="7"/>
  <c r="I100" i="7" s="1"/>
  <c r="C102" i="7"/>
  <c r="E101" i="7"/>
  <c r="G101" i="7" s="1"/>
  <c r="B102" i="7"/>
  <c r="C101" i="5"/>
  <c r="A103" i="7"/>
  <c r="M108" i="2"/>
  <c r="N108" i="2"/>
  <c r="D100" i="5"/>
  <c r="D101" i="7"/>
  <c r="B101" i="5"/>
  <c r="O107" i="2"/>
  <c r="A102" i="5"/>
  <c r="L109" i="2"/>
  <c r="H100" i="7" l="1"/>
  <c r="E102" i="7"/>
  <c r="F102" i="7"/>
  <c r="I101" i="7"/>
  <c r="H101" i="7"/>
  <c r="B103" i="7"/>
  <c r="C103" i="7"/>
  <c r="C102" i="5"/>
  <c r="A104" i="7"/>
  <c r="M109" i="2"/>
  <c r="N109" i="2"/>
  <c r="G102" i="7"/>
  <c r="D101" i="5"/>
  <c r="D102" i="7"/>
  <c r="B102" i="5"/>
  <c r="O108" i="2"/>
  <c r="L110" i="2"/>
  <c r="A103" i="5"/>
  <c r="E103" i="7" l="1"/>
  <c r="F103" i="7"/>
  <c r="B104" i="7"/>
  <c r="C104" i="7"/>
  <c r="G103" i="7"/>
  <c r="A105" i="7"/>
  <c r="M110" i="2"/>
  <c r="N110" i="2"/>
  <c r="I102" i="7"/>
  <c r="H102" i="7"/>
  <c r="C103" i="5"/>
  <c r="D102" i="5"/>
  <c r="D103" i="7"/>
  <c r="A104" i="5"/>
  <c r="L111" i="2"/>
  <c r="B103" i="5"/>
  <c r="O109" i="2"/>
  <c r="E104" i="7" l="1"/>
  <c r="B105" i="7"/>
  <c r="C105" i="7"/>
  <c r="F104" i="7"/>
  <c r="G104" i="7" s="1"/>
  <c r="A106" i="7"/>
  <c r="M111" i="2"/>
  <c r="N111" i="2"/>
  <c r="C104" i="5"/>
  <c r="I103" i="7"/>
  <c r="H103" i="7"/>
  <c r="D103" i="5"/>
  <c r="D104" i="7"/>
  <c r="A105" i="5"/>
  <c r="L112" i="2"/>
  <c r="B104" i="5"/>
  <c r="O110" i="2"/>
  <c r="E105" i="7" l="1"/>
  <c r="B106" i="7"/>
  <c r="C106" i="7"/>
  <c r="F105" i="7"/>
  <c r="G105" i="7" s="1"/>
  <c r="H105" i="7" s="1"/>
  <c r="C105" i="5"/>
  <c r="I104" i="7"/>
  <c r="H104" i="7"/>
  <c r="A107" i="7"/>
  <c r="N112" i="2"/>
  <c r="M112" i="2"/>
  <c r="D104" i="5"/>
  <c r="D105" i="7"/>
  <c r="A106" i="5"/>
  <c r="L113" i="2"/>
  <c r="B105" i="5"/>
  <c r="O111" i="2"/>
  <c r="F106" i="7" l="1"/>
  <c r="I105" i="7"/>
  <c r="E106" i="7"/>
  <c r="G106" i="7" s="1"/>
  <c r="B107" i="7"/>
  <c r="C107" i="7"/>
  <c r="A108" i="7"/>
  <c r="N113" i="2"/>
  <c r="M113" i="2"/>
  <c r="C106" i="5"/>
  <c r="D105" i="5"/>
  <c r="D106" i="7"/>
  <c r="A107" i="5"/>
  <c r="L114" i="2"/>
  <c r="B106" i="5"/>
  <c r="O112" i="2"/>
  <c r="F107" i="7" l="1"/>
  <c r="E107" i="7"/>
  <c r="G107" i="7" s="1"/>
  <c r="C108" i="7"/>
  <c r="B108" i="7"/>
  <c r="A109" i="7"/>
  <c r="N114" i="2"/>
  <c r="M114" i="2"/>
  <c r="C107" i="5"/>
  <c r="H106" i="7"/>
  <c r="I106" i="7"/>
  <c r="D106" i="5"/>
  <c r="D107" i="7"/>
  <c r="B107" i="5"/>
  <c r="O113" i="2"/>
  <c r="A108" i="5"/>
  <c r="L115" i="2"/>
  <c r="F108" i="7" l="1"/>
  <c r="E108" i="7"/>
  <c r="H107" i="7"/>
  <c r="I107" i="7"/>
  <c r="B109" i="7"/>
  <c r="C109" i="7"/>
  <c r="C108" i="5"/>
  <c r="A110" i="7"/>
  <c r="M115" i="2"/>
  <c r="N115" i="2"/>
  <c r="D107" i="5"/>
  <c r="D108" i="7"/>
  <c r="B108" i="5"/>
  <c r="O114" i="2"/>
  <c r="A109" i="5"/>
  <c r="L116" i="2"/>
  <c r="G108" i="7" l="1"/>
  <c r="F109" i="7"/>
  <c r="E109" i="7"/>
  <c r="B110" i="7"/>
  <c r="C110" i="7"/>
  <c r="C109" i="5"/>
  <c r="A111" i="7"/>
  <c r="M116" i="2"/>
  <c r="N116" i="2"/>
  <c r="H108" i="7"/>
  <c r="I108" i="7"/>
  <c r="D108" i="5"/>
  <c r="D109" i="7"/>
  <c r="B109" i="5"/>
  <c r="O115" i="2"/>
  <c r="A110" i="5"/>
  <c r="L117" i="2"/>
  <c r="G109" i="7" l="1"/>
  <c r="F110" i="7"/>
  <c r="B111" i="7"/>
  <c r="C111" i="7"/>
  <c r="E111" i="7" s="1"/>
  <c r="E110" i="7"/>
  <c r="H109" i="7"/>
  <c r="I109" i="7"/>
  <c r="A112" i="7"/>
  <c r="M117" i="2"/>
  <c r="N117" i="2"/>
  <c r="C110" i="5"/>
  <c r="D109" i="5"/>
  <c r="D110" i="7"/>
  <c r="B110" i="5"/>
  <c r="O116" i="2"/>
  <c r="A111" i="5"/>
  <c r="L118" i="2"/>
  <c r="G110" i="7" l="1"/>
  <c r="I110" i="7" s="1"/>
  <c r="C112" i="7"/>
  <c r="B112" i="7"/>
  <c r="F111" i="7"/>
  <c r="G111" i="7" s="1"/>
  <c r="A113" i="7"/>
  <c r="M118" i="2"/>
  <c r="N118" i="2"/>
  <c r="E112" i="7"/>
  <c r="C111" i="5"/>
  <c r="H110" i="7"/>
  <c r="D110" i="5"/>
  <c r="D111" i="7"/>
  <c r="A112" i="5"/>
  <c r="L119" i="2"/>
  <c r="B111" i="5"/>
  <c r="O117" i="2"/>
  <c r="F112" i="7" l="1"/>
  <c r="C113" i="7"/>
  <c r="B113" i="7"/>
  <c r="C112" i="5"/>
  <c r="G112" i="7"/>
  <c r="H112" i="7" s="1"/>
  <c r="H111" i="7"/>
  <c r="I111" i="7"/>
  <c r="A114" i="7"/>
  <c r="M119" i="2"/>
  <c r="N119" i="2"/>
  <c r="D111" i="5"/>
  <c r="D112" i="7"/>
  <c r="A113" i="5"/>
  <c r="L120" i="2"/>
  <c r="B112" i="5"/>
  <c r="O118" i="2"/>
  <c r="E113" i="7" l="1"/>
  <c r="B114" i="7"/>
  <c r="F113" i="7"/>
  <c r="G113" i="7" s="1"/>
  <c r="C114" i="7"/>
  <c r="E114" i="7" s="1"/>
  <c r="I112" i="7"/>
  <c r="A115" i="7"/>
  <c r="M120" i="2"/>
  <c r="N120" i="2"/>
  <c r="C113" i="5"/>
  <c r="D112" i="5"/>
  <c r="D113" i="7"/>
  <c r="A114" i="5"/>
  <c r="L121" i="2"/>
  <c r="B113" i="5"/>
  <c r="O119" i="2"/>
  <c r="F114" i="7" l="1"/>
  <c r="G114" i="7" s="1"/>
  <c r="B115" i="7"/>
  <c r="C115" i="7"/>
  <c r="C114" i="5"/>
  <c r="A116" i="7"/>
  <c r="N121" i="2"/>
  <c r="M121" i="2"/>
  <c r="I113" i="7"/>
  <c r="H113" i="7"/>
  <c r="D113" i="5"/>
  <c r="D114" i="7"/>
  <c r="A115" i="5"/>
  <c r="L122" i="2"/>
  <c r="B114" i="5"/>
  <c r="O120" i="2"/>
  <c r="F115" i="7" l="1"/>
  <c r="E115" i="7"/>
  <c r="B116" i="7"/>
  <c r="C116" i="7"/>
  <c r="C115" i="5"/>
  <c r="A117" i="7"/>
  <c r="M122" i="2"/>
  <c r="N122" i="2"/>
  <c r="H114" i="7"/>
  <c r="I114" i="7"/>
  <c r="D114" i="5"/>
  <c r="D115" i="7"/>
  <c r="A116" i="5"/>
  <c r="L123" i="2"/>
  <c r="B115" i="5"/>
  <c r="O121" i="2"/>
  <c r="F116" i="7" l="1"/>
  <c r="G115" i="7"/>
  <c r="C117" i="7"/>
  <c r="B117" i="7"/>
  <c r="E116" i="7"/>
  <c r="G116" i="7" s="1"/>
  <c r="C116" i="5"/>
  <c r="H115" i="7"/>
  <c r="I115" i="7"/>
  <c r="A118" i="7"/>
  <c r="M123" i="2"/>
  <c r="N123" i="2"/>
  <c r="D115" i="5"/>
  <c r="D116" i="7"/>
  <c r="A117" i="5"/>
  <c r="L124" i="2"/>
  <c r="B116" i="5"/>
  <c r="O122" i="2"/>
  <c r="F117" i="7" l="1"/>
  <c r="E117" i="7"/>
  <c r="C118" i="7"/>
  <c r="B118" i="7"/>
  <c r="C117" i="5"/>
  <c r="A119" i="7"/>
  <c r="M124" i="2"/>
  <c r="N124" i="2"/>
  <c r="I116" i="7"/>
  <c r="H116" i="7"/>
  <c r="D116" i="5"/>
  <c r="D117" i="7"/>
  <c r="A118" i="5"/>
  <c r="L125" i="2"/>
  <c r="B117" i="5"/>
  <c r="O123" i="2"/>
  <c r="G117" i="7" l="1"/>
  <c r="E118" i="7"/>
  <c r="C119" i="7"/>
  <c r="B119" i="7"/>
  <c r="F119" i="7" s="1"/>
  <c r="F118" i="7"/>
  <c r="G118" i="7" s="1"/>
  <c r="H117" i="7"/>
  <c r="I117" i="7"/>
  <c r="A120" i="7"/>
  <c r="M125" i="2"/>
  <c r="N125" i="2"/>
  <c r="C118" i="5"/>
  <c r="D117" i="5"/>
  <c r="D118" i="7"/>
  <c r="A119" i="5"/>
  <c r="L126" i="2"/>
  <c r="B118" i="5"/>
  <c r="O124" i="2"/>
  <c r="C120" i="7" l="1"/>
  <c r="B120" i="7"/>
  <c r="E119" i="7"/>
  <c r="G119" i="7" s="1"/>
  <c r="C119" i="5"/>
  <c r="H118" i="7"/>
  <c r="I118" i="7"/>
  <c r="A121" i="7"/>
  <c r="M126" i="2"/>
  <c r="N126" i="2"/>
  <c r="D118" i="5"/>
  <c r="D119" i="7"/>
  <c r="A120" i="5"/>
  <c r="L127" i="2"/>
  <c r="B119" i="5"/>
  <c r="O125" i="2"/>
  <c r="E120" i="7" l="1"/>
  <c r="B121" i="7"/>
  <c r="F120" i="7"/>
  <c r="C121" i="7"/>
  <c r="A122" i="7"/>
  <c r="M127" i="2"/>
  <c r="N127" i="2"/>
  <c r="C120" i="5"/>
  <c r="I119" i="7"/>
  <c r="H119" i="7"/>
  <c r="D119" i="5"/>
  <c r="D120" i="7"/>
  <c r="A121" i="5"/>
  <c r="L128" i="2"/>
  <c r="B120" i="5"/>
  <c r="O126" i="2"/>
  <c r="E121" i="7" l="1"/>
  <c r="G120" i="7"/>
  <c r="B122" i="7"/>
  <c r="F121" i="7"/>
  <c r="G121" i="7" s="1"/>
  <c r="C122" i="7"/>
  <c r="F122" i="7" s="1"/>
  <c r="C121" i="5"/>
  <c r="H120" i="7"/>
  <c r="I120" i="7"/>
  <c r="A123" i="7"/>
  <c r="N128" i="2"/>
  <c r="M128" i="2"/>
  <c r="D120" i="5"/>
  <c r="D121" i="7"/>
  <c r="A122" i="5"/>
  <c r="L129" i="2"/>
  <c r="B121" i="5"/>
  <c r="O127" i="2"/>
  <c r="E122" i="7" l="1"/>
  <c r="G122" i="7" s="1"/>
  <c r="H122" i="7" s="1"/>
  <c r="B123" i="7"/>
  <c r="C123" i="7"/>
  <c r="C122" i="5"/>
  <c r="A124" i="7"/>
  <c r="N129" i="2"/>
  <c r="M129" i="2"/>
  <c r="H121" i="7"/>
  <c r="I121" i="7"/>
  <c r="D121" i="5"/>
  <c r="D122" i="7"/>
  <c r="A123" i="5"/>
  <c r="L130" i="2"/>
  <c r="B122" i="5"/>
  <c r="O128" i="2"/>
  <c r="E123" i="7" l="1"/>
  <c r="I122" i="7"/>
  <c r="C124" i="7"/>
  <c r="F123" i="7"/>
  <c r="B124" i="7"/>
  <c r="C123" i="5"/>
  <c r="A125" i="7"/>
  <c r="N130" i="2"/>
  <c r="M130" i="2"/>
  <c r="D122" i="5"/>
  <c r="D123" i="7"/>
  <c r="B123" i="5"/>
  <c r="O129" i="2"/>
  <c r="A124" i="5"/>
  <c r="L131" i="2"/>
  <c r="G123" i="7" l="1"/>
  <c r="H123" i="7" s="1"/>
  <c r="F124" i="7"/>
  <c r="B125" i="7"/>
  <c r="E124" i="7"/>
  <c r="G124" i="7" s="1"/>
  <c r="I124" i="7" s="1"/>
  <c r="C125" i="7"/>
  <c r="C124" i="5"/>
  <c r="A126" i="7"/>
  <c r="M131" i="2"/>
  <c r="N131" i="2"/>
  <c r="D123" i="5"/>
  <c r="D124" i="7"/>
  <c r="A125" i="5"/>
  <c r="L132" i="2"/>
  <c r="B124" i="5"/>
  <c r="O130" i="2"/>
  <c r="I123" i="7" l="1"/>
  <c r="F125" i="7"/>
  <c r="C126" i="7"/>
  <c r="E125" i="7"/>
  <c r="B126" i="7"/>
  <c r="C125" i="5"/>
  <c r="H124" i="7"/>
  <c r="A127" i="7"/>
  <c r="M132" i="2"/>
  <c r="N132" i="2"/>
  <c r="D124" i="5"/>
  <c r="D125" i="7"/>
  <c r="A126" i="5"/>
  <c r="L133" i="2"/>
  <c r="B125" i="5"/>
  <c r="O131" i="2"/>
  <c r="G125" i="7" l="1"/>
  <c r="F126" i="7"/>
  <c r="E126" i="7"/>
  <c r="C127" i="7"/>
  <c r="B127" i="7"/>
  <c r="G126" i="7"/>
  <c r="I126" i="7" s="1"/>
  <c r="H125" i="7"/>
  <c r="I125" i="7"/>
  <c r="A128" i="7"/>
  <c r="M133" i="2"/>
  <c r="N133" i="2"/>
  <c r="C126" i="5"/>
  <c r="D125" i="5"/>
  <c r="D126" i="7"/>
  <c r="A127" i="5"/>
  <c r="L134" i="2"/>
  <c r="B126" i="5"/>
  <c r="O132" i="2"/>
  <c r="H126" i="7" l="1"/>
  <c r="E127" i="7"/>
  <c r="F127" i="7"/>
  <c r="B128" i="7"/>
  <c r="C128" i="7"/>
  <c r="C127" i="5"/>
  <c r="A129" i="7"/>
  <c r="N134" i="2"/>
  <c r="M134" i="2"/>
  <c r="D126" i="5"/>
  <c r="D127" i="7"/>
  <c r="A128" i="5"/>
  <c r="L135" i="2"/>
  <c r="B127" i="5"/>
  <c r="O133" i="2"/>
  <c r="G127" i="7" l="1"/>
  <c r="F128" i="7"/>
  <c r="B129" i="7"/>
  <c r="C129" i="7"/>
  <c r="E128" i="7"/>
  <c r="G128" i="7" s="1"/>
  <c r="A130" i="7"/>
  <c r="M135" i="2"/>
  <c r="N135" i="2"/>
  <c r="C128" i="5"/>
  <c r="H127" i="7"/>
  <c r="I127" i="7"/>
  <c r="D127" i="5"/>
  <c r="D128" i="7"/>
  <c r="A129" i="5"/>
  <c r="L136" i="2"/>
  <c r="B128" i="5"/>
  <c r="O134" i="2"/>
  <c r="E129" i="7" l="1"/>
  <c r="C130" i="7"/>
  <c r="B130" i="7"/>
  <c r="F130" i="7" s="1"/>
  <c r="F129" i="7"/>
  <c r="G129" i="7" s="1"/>
  <c r="H129" i="7" s="1"/>
  <c r="A131" i="7"/>
  <c r="M136" i="2"/>
  <c r="N136" i="2"/>
  <c r="C129" i="5"/>
  <c r="H128" i="7"/>
  <c r="I128" i="7"/>
  <c r="D128" i="5"/>
  <c r="D129" i="7"/>
  <c r="A130" i="5"/>
  <c r="L137" i="2"/>
  <c r="B129" i="5"/>
  <c r="O135" i="2"/>
  <c r="E130" i="7" l="1"/>
  <c r="I129" i="7"/>
  <c r="C131" i="7"/>
  <c r="B131" i="7"/>
  <c r="G130" i="7"/>
  <c r="I130" i="7" s="1"/>
  <c r="A132" i="7"/>
  <c r="N137" i="2"/>
  <c r="M137" i="2"/>
  <c r="C130" i="5"/>
  <c r="D129" i="5"/>
  <c r="D130" i="7"/>
  <c r="B130" i="5"/>
  <c r="O136" i="2"/>
  <c r="A131" i="5"/>
  <c r="L138" i="2"/>
  <c r="F131" i="7" l="1"/>
  <c r="C132" i="7"/>
  <c r="B132" i="7"/>
  <c r="E131" i="7"/>
  <c r="G131" i="7" s="1"/>
  <c r="H130" i="7"/>
  <c r="A133" i="7"/>
  <c r="N138" i="2"/>
  <c r="M138" i="2"/>
  <c r="C131" i="5"/>
  <c r="D130" i="5"/>
  <c r="D131" i="7"/>
  <c r="A132" i="5"/>
  <c r="L139" i="2"/>
  <c r="B131" i="5"/>
  <c r="O137" i="2"/>
  <c r="E132" i="7" l="1"/>
  <c r="F132" i="7"/>
  <c r="H131" i="7"/>
  <c r="I131" i="7"/>
  <c r="B133" i="7"/>
  <c r="C133" i="7"/>
  <c r="C132" i="5"/>
  <c r="G132" i="7"/>
  <c r="A134" i="7"/>
  <c r="M139" i="2"/>
  <c r="N139" i="2"/>
  <c r="D131" i="5"/>
  <c r="D132" i="7"/>
  <c r="A133" i="5"/>
  <c r="L140" i="2"/>
  <c r="B132" i="5"/>
  <c r="O138" i="2"/>
  <c r="F133" i="7" l="1"/>
  <c r="E133" i="7"/>
  <c r="B134" i="7"/>
  <c r="C134" i="7"/>
  <c r="C133" i="5"/>
  <c r="G133" i="7"/>
  <c r="H133" i="7" s="1"/>
  <c r="A135" i="7"/>
  <c r="M140" i="2"/>
  <c r="N140" i="2"/>
  <c r="H132" i="7"/>
  <c r="I132" i="7"/>
  <c r="D132" i="5"/>
  <c r="D133" i="7"/>
  <c r="B133" i="5"/>
  <c r="O139" i="2"/>
  <c r="A134" i="5"/>
  <c r="L141" i="2"/>
  <c r="E134" i="7" l="1"/>
  <c r="F134" i="7"/>
  <c r="G134" i="7" s="1"/>
  <c r="H134" i="7" s="1"/>
  <c r="C135" i="7"/>
  <c r="B135" i="7"/>
  <c r="I133" i="7"/>
  <c r="C134" i="5"/>
  <c r="A136" i="7"/>
  <c r="M141" i="2"/>
  <c r="N141" i="2"/>
  <c r="D133" i="5"/>
  <c r="D134" i="7"/>
  <c r="B134" i="5"/>
  <c r="O140" i="2"/>
  <c r="A135" i="5"/>
  <c r="L142" i="2"/>
  <c r="F135" i="7" l="1"/>
  <c r="E135" i="7"/>
  <c r="G135" i="7" s="1"/>
  <c r="C136" i="7"/>
  <c r="B136" i="7"/>
  <c r="I134" i="7"/>
  <c r="A137" i="7"/>
  <c r="M142" i="2"/>
  <c r="N142" i="2"/>
  <c r="C135" i="5"/>
  <c r="D134" i="5"/>
  <c r="D135" i="7"/>
  <c r="A136" i="5"/>
  <c r="L143" i="2"/>
  <c r="B135" i="5"/>
  <c r="O141" i="2"/>
  <c r="F136" i="7" l="1"/>
  <c r="E136" i="7"/>
  <c r="B137" i="7"/>
  <c r="C137" i="7"/>
  <c r="A138" i="7"/>
  <c r="M143" i="2"/>
  <c r="N143" i="2"/>
  <c r="C136" i="5"/>
  <c r="I135" i="7"/>
  <c r="H135" i="7"/>
  <c r="D135" i="5"/>
  <c r="D136" i="7"/>
  <c r="A137" i="5"/>
  <c r="L144" i="2"/>
  <c r="B136" i="5"/>
  <c r="O142" i="2"/>
  <c r="G136" i="7" l="1"/>
  <c r="E137" i="7"/>
  <c r="C138" i="7"/>
  <c r="F137" i="7"/>
  <c r="B138" i="7"/>
  <c r="C137" i="5"/>
  <c r="I136" i="7"/>
  <c r="H136" i="7"/>
  <c r="A139" i="7"/>
  <c r="N144" i="2"/>
  <c r="M144" i="2"/>
  <c r="D136" i="5"/>
  <c r="D137" i="7"/>
  <c r="A138" i="5"/>
  <c r="L145" i="2"/>
  <c r="B137" i="5"/>
  <c r="O143" i="2"/>
  <c r="E138" i="7" l="1"/>
  <c r="G137" i="7"/>
  <c r="I137" i="7" s="1"/>
  <c r="F138" i="7"/>
  <c r="C139" i="7"/>
  <c r="B139" i="7"/>
  <c r="C138" i="5"/>
  <c r="A140" i="7"/>
  <c r="N145" i="2"/>
  <c r="M145" i="2"/>
  <c r="D137" i="5"/>
  <c r="D138" i="7"/>
  <c r="A139" i="5"/>
  <c r="L146" i="2"/>
  <c r="B138" i="5"/>
  <c r="O144" i="2"/>
  <c r="G138" i="7" l="1"/>
  <c r="H137" i="7"/>
  <c r="F139" i="7"/>
  <c r="B140" i="7"/>
  <c r="C140" i="7"/>
  <c r="E139" i="7"/>
  <c r="A141" i="7"/>
  <c r="N146" i="2"/>
  <c r="M146" i="2"/>
  <c r="C139" i="5"/>
  <c r="H138" i="7"/>
  <c r="I138" i="7"/>
  <c r="D138" i="5"/>
  <c r="D139" i="7"/>
  <c r="A140" i="5"/>
  <c r="L147" i="2"/>
  <c r="B139" i="5"/>
  <c r="O145" i="2"/>
  <c r="G139" i="7" l="1"/>
  <c r="H139" i="7" s="1"/>
  <c r="F140" i="7"/>
  <c r="E140" i="7"/>
  <c r="C141" i="7"/>
  <c r="B141" i="7"/>
  <c r="C140" i="5"/>
  <c r="A142" i="7"/>
  <c r="M147" i="2"/>
  <c r="N147" i="2"/>
  <c r="D139" i="5"/>
  <c r="D140" i="7"/>
  <c r="B140" i="5"/>
  <c r="O146" i="2"/>
  <c r="A141" i="5"/>
  <c r="L148" i="2"/>
  <c r="G140" i="7" l="1"/>
  <c r="H140" i="7" s="1"/>
  <c r="I139" i="7"/>
  <c r="I140" i="7"/>
  <c r="F141" i="7"/>
  <c r="E141" i="7"/>
  <c r="C142" i="7"/>
  <c r="B142" i="7"/>
  <c r="C141" i="5"/>
  <c r="A143" i="7"/>
  <c r="M148" i="2"/>
  <c r="N148" i="2"/>
  <c r="D140" i="5"/>
  <c r="D141" i="7"/>
  <c r="B141" i="5"/>
  <c r="O147" i="2"/>
  <c r="A142" i="5"/>
  <c r="L149" i="2"/>
  <c r="G141" i="7" l="1"/>
  <c r="H141" i="7" s="1"/>
  <c r="F142" i="7"/>
  <c r="C143" i="7"/>
  <c r="B143" i="7"/>
  <c r="E142" i="7"/>
  <c r="C142" i="5"/>
  <c r="A144" i="7"/>
  <c r="M149" i="2"/>
  <c r="N149" i="2"/>
  <c r="D141" i="5"/>
  <c r="D142" i="7"/>
  <c r="B142" i="5"/>
  <c r="O148" i="2"/>
  <c r="A143" i="5"/>
  <c r="L150" i="2"/>
  <c r="I141" i="7" l="1"/>
  <c r="F143" i="7"/>
  <c r="G142" i="7"/>
  <c r="I142" i="7" s="1"/>
  <c r="E143" i="7"/>
  <c r="C144" i="7"/>
  <c r="B144" i="7"/>
  <c r="G143" i="7"/>
  <c r="I143" i="7" s="1"/>
  <c r="A145" i="7"/>
  <c r="M150" i="2"/>
  <c r="N150" i="2"/>
  <c r="C143" i="5"/>
  <c r="D142" i="5"/>
  <c r="D143" i="7"/>
  <c r="B143" i="5"/>
  <c r="O149" i="2"/>
  <c r="A144" i="5"/>
  <c r="L151" i="2"/>
  <c r="F144" i="7" l="1"/>
  <c r="H142" i="7"/>
  <c r="E144" i="7"/>
  <c r="B145" i="7"/>
  <c r="C145" i="7"/>
  <c r="H143" i="7"/>
  <c r="C144" i="5"/>
  <c r="A146" i="7"/>
  <c r="M151" i="2"/>
  <c r="N151" i="2"/>
  <c r="G144" i="7"/>
  <c r="D143" i="5"/>
  <c r="D144" i="7"/>
  <c r="B144" i="5"/>
  <c r="O150" i="2"/>
  <c r="A145" i="5"/>
  <c r="L152" i="2"/>
  <c r="F145" i="7" l="1"/>
  <c r="C146" i="7"/>
  <c r="E145" i="7"/>
  <c r="B146" i="7"/>
  <c r="C145" i="5"/>
  <c r="H144" i="7"/>
  <c r="I144" i="7"/>
  <c r="A147" i="7"/>
  <c r="M152" i="2"/>
  <c r="N152" i="2"/>
  <c r="D144" i="5"/>
  <c r="D145" i="7"/>
  <c r="B145" i="5"/>
  <c r="O151" i="2"/>
  <c r="A146" i="5"/>
  <c r="L153" i="2"/>
  <c r="G145" i="7" l="1"/>
  <c r="E146" i="7"/>
  <c r="C147" i="7"/>
  <c r="F146" i="7"/>
  <c r="B147" i="7"/>
  <c r="A148" i="7"/>
  <c r="N153" i="2"/>
  <c r="M153" i="2"/>
  <c r="C146" i="5"/>
  <c r="I145" i="7"/>
  <c r="H145" i="7"/>
  <c r="D145" i="5"/>
  <c r="D146" i="7"/>
  <c r="B146" i="5"/>
  <c r="O152" i="2"/>
  <c r="A147" i="5"/>
  <c r="L154" i="2"/>
  <c r="G146" i="7" l="1"/>
  <c r="F147" i="7"/>
  <c r="E147" i="7"/>
  <c r="H146" i="7"/>
  <c r="I146" i="7"/>
  <c r="C148" i="7"/>
  <c r="B148" i="7"/>
  <c r="C147" i="5"/>
  <c r="A149" i="7"/>
  <c r="M154" i="2"/>
  <c r="N154" i="2"/>
  <c r="D146" i="5"/>
  <c r="D147" i="7"/>
  <c r="A148" i="5"/>
  <c r="L155" i="2"/>
  <c r="B147" i="5"/>
  <c r="O153" i="2"/>
  <c r="G147" i="7" l="1"/>
  <c r="H147" i="7" s="1"/>
  <c r="E148" i="7"/>
  <c r="F148" i="7"/>
  <c r="C149" i="7"/>
  <c r="B149" i="7"/>
  <c r="C148" i="5"/>
  <c r="A150" i="7"/>
  <c r="M155" i="2"/>
  <c r="N155" i="2"/>
  <c r="I147" i="7"/>
  <c r="D147" i="5"/>
  <c r="D148" i="7"/>
  <c r="A149" i="5"/>
  <c r="L156" i="2"/>
  <c r="B148" i="5"/>
  <c r="O154" i="2"/>
  <c r="G148" i="7" l="1"/>
  <c r="E149" i="7"/>
  <c r="B150" i="7"/>
  <c r="C150" i="7"/>
  <c r="F149" i="7"/>
  <c r="G149" i="7" s="1"/>
  <c r="C149" i="5"/>
  <c r="I148" i="7"/>
  <c r="H148" i="7"/>
  <c r="A151" i="7"/>
  <c r="M156" i="2"/>
  <c r="N156" i="2"/>
  <c r="D148" i="5"/>
  <c r="D149" i="7"/>
  <c r="A150" i="5"/>
  <c r="L157" i="2"/>
  <c r="B149" i="5"/>
  <c r="O155" i="2"/>
  <c r="E150" i="7" l="1"/>
  <c r="F150" i="7"/>
  <c r="G150" i="7"/>
  <c r="I150" i="7" s="1"/>
  <c r="H149" i="7"/>
  <c r="I149" i="7"/>
  <c r="B151" i="7"/>
  <c r="C151" i="7"/>
  <c r="C150" i="5"/>
  <c r="A152" i="7"/>
  <c r="M157" i="2"/>
  <c r="N157" i="2"/>
  <c r="D149" i="5"/>
  <c r="D150" i="7"/>
  <c r="A151" i="5"/>
  <c r="L158" i="2"/>
  <c r="B150" i="5"/>
  <c r="O156" i="2"/>
  <c r="H150" i="7" l="1"/>
  <c r="E151" i="7"/>
  <c r="F151" i="7"/>
  <c r="C152" i="7"/>
  <c r="B152" i="7"/>
  <c r="C151" i="5"/>
  <c r="A153" i="7"/>
  <c r="M158" i="2"/>
  <c r="N158" i="2"/>
  <c r="D150" i="5"/>
  <c r="D151" i="7"/>
  <c r="B151" i="5"/>
  <c r="O157" i="2"/>
  <c r="A152" i="5"/>
  <c r="L159" i="2"/>
  <c r="G151" i="7" l="1"/>
  <c r="F152" i="7"/>
  <c r="I151" i="7"/>
  <c r="H151" i="7"/>
  <c r="B153" i="7"/>
  <c r="C153" i="7"/>
  <c r="E152" i="7"/>
  <c r="G152" i="7" s="1"/>
  <c r="C152" i="5"/>
  <c r="A154" i="7"/>
  <c r="M159" i="2"/>
  <c r="N159" i="2"/>
  <c r="D151" i="5"/>
  <c r="D152" i="7"/>
  <c r="A153" i="5"/>
  <c r="L160" i="2"/>
  <c r="B152" i="5"/>
  <c r="O158" i="2"/>
  <c r="E153" i="7" l="1"/>
  <c r="H152" i="7"/>
  <c r="I152" i="7"/>
  <c r="B154" i="7"/>
  <c r="F153" i="7"/>
  <c r="G153" i="7" s="1"/>
  <c r="C154" i="7"/>
  <c r="A155" i="7"/>
  <c r="N160" i="2"/>
  <c r="M160" i="2"/>
  <c r="C153" i="5"/>
  <c r="D152" i="5"/>
  <c r="D153" i="7"/>
  <c r="A154" i="5"/>
  <c r="L161" i="2"/>
  <c r="B153" i="5"/>
  <c r="O159" i="2"/>
  <c r="F154" i="7" l="1"/>
  <c r="H153" i="7"/>
  <c r="I153" i="7"/>
  <c r="C155" i="7"/>
  <c r="B155" i="7"/>
  <c r="E154" i="7"/>
  <c r="G154" i="7" s="1"/>
  <c r="H154" i="7" s="1"/>
  <c r="C154" i="5"/>
  <c r="A156" i="7"/>
  <c r="N161" i="2"/>
  <c r="M161" i="2"/>
  <c r="D153" i="5"/>
  <c r="D154" i="7"/>
  <c r="B154" i="5"/>
  <c r="O160" i="2"/>
  <c r="A155" i="5"/>
  <c r="L162" i="2"/>
  <c r="E155" i="7" l="1"/>
  <c r="F155" i="7"/>
  <c r="G155" i="7" s="1"/>
  <c r="C156" i="7"/>
  <c r="B156" i="7"/>
  <c r="I154" i="7"/>
  <c r="C155" i="5"/>
  <c r="A157" i="7"/>
  <c r="M162" i="2"/>
  <c r="N162" i="2"/>
  <c r="D154" i="5"/>
  <c r="D155" i="7"/>
  <c r="B155" i="5"/>
  <c r="O161" i="2"/>
  <c r="A156" i="5"/>
  <c r="L163" i="2"/>
  <c r="F156" i="7" l="1"/>
  <c r="E156" i="7"/>
  <c r="G156" i="7" s="1"/>
  <c r="H156" i="7" s="1"/>
  <c r="I155" i="7"/>
  <c r="H155" i="7"/>
  <c r="C157" i="7"/>
  <c r="B157" i="7"/>
  <c r="C156" i="5"/>
  <c r="A158" i="7"/>
  <c r="M163" i="2"/>
  <c r="N163" i="2"/>
  <c r="D155" i="5"/>
  <c r="D156" i="7"/>
  <c r="A157" i="5"/>
  <c r="L164" i="2"/>
  <c r="B156" i="5"/>
  <c r="O162" i="2"/>
  <c r="E157" i="7" l="1"/>
  <c r="B158" i="7"/>
  <c r="F157" i="7"/>
  <c r="G157" i="7" s="1"/>
  <c r="H157" i="7" s="1"/>
  <c r="C158" i="7"/>
  <c r="I156" i="7"/>
  <c r="C157" i="5"/>
  <c r="A159" i="7"/>
  <c r="M164" i="2"/>
  <c r="N164" i="2"/>
  <c r="D156" i="5"/>
  <c r="D157" i="7"/>
  <c r="A158" i="5"/>
  <c r="L165" i="2"/>
  <c r="B157" i="5"/>
  <c r="O163" i="2"/>
  <c r="F158" i="7" l="1"/>
  <c r="C159" i="7"/>
  <c r="I157" i="7"/>
  <c r="B159" i="7"/>
  <c r="E158" i="7"/>
  <c r="G158" i="7" s="1"/>
  <c r="A160" i="7"/>
  <c r="M165" i="2"/>
  <c r="N165" i="2"/>
  <c r="C158" i="5"/>
  <c r="D157" i="5"/>
  <c r="D158" i="7"/>
  <c r="B158" i="5"/>
  <c r="O164" i="2"/>
  <c r="A159" i="5"/>
  <c r="L166" i="2"/>
  <c r="F159" i="7" l="1"/>
  <c r="B160" i="7"/>
  <c r="C160" i="7"/>
  <c r="E159" i="7"/>
  <c r="A161" i="7"/>
  <c r="N166" i="2"/>
  <c r="M166" i="2"/>
  <c r="C159" i="5"/>
  <c r="H158" i="7"/>
  <c r="I158" i="7"/>
  <c r="D158" i="5"/>
  <c r="D159" i="7"/>
  <c r="B159" i="5"/>
  <c r="O165" i="2"/>
  <c r="A160" i="5"/>
  <c r="L167" i="2"/>
  <c r="G159" i="7" l="1"/>
  <c r="E160" i="7"/>
  <c r="F160" i="7"/>
  <c r="G160" i="7" s="1"/>
  <c r="H160" i="7" s="1"/>
  <c r="B161" i="7"/>
  <c r="C161" i="7"/>
  <c r="C160" i="5"/>
  <c r="A162" i="7"/>
  <c r="M167" i="2"/>
  <c r="N167" i="2"/>
  <c r="I159" i="7"/>
  <c r="H159" i="7"/>
  <c r="D159" i="5"/>
  <c r="D160" i="7"/>
  <c r="A161" i="5"/>
  <c r="L168" i="2"/>
  <c r="B160" i="5"/>
  <c r="O166" i="2"/>
  <c r="F161" i="7" l="1"/>
  <c r="I160" i="7"/>
  <c r="E161" i="7"/>
  <c r="G161" i="7" s="1"/>
  <c r="C162" i="7"/>
  <c r="B162" i="7"/>
  <c r="A163" i="7"/>
  <c r="M168" i="2"/>
  <c r="N168" i="2"/>
  <c r="C161" i="5"/>
  <c r="D160" i="5"/>
  <c r="D161" i="7"/>
  <c r="B161" i="5"/>
  <c r="O167" i="2"/>
  <c r="A162" i="5"/>
  <c r="L169" i="2"/>
  <c r="E162" i="7" l="1"/>
  <c r="F162" i="7"/>
  <c r="C163" i="7"/>
  <c r="B163" i="7"/>
  <c r="A164" i="7"/>
  <c r="N169" i="2"/>
  <c r="M169" i="2"/>
  <c r="I161" i="7"/>
  <c r="H161" i="7"/>
  <c r="C162" i="5"/>
  <c r="D161" i="5"/>
  <c r="D162" i="7"/>
  <c r="A163" i="5"/>
  <c r="L170" i="2"/>
  <c r="B162" i="5"/>
  <c r="O168" i="2"/>
  <c r="G162" i="7" l="1"/>
  <c r="F163" i="7"/>
  <c r="E163" i="7"/>
  <c r="B164" i="7"/>
  <c r="C164" i="7"/>
  <c r="C163" i="5"/>
  <c r="H162" i="7"/>
  <c r="I162" i="7"/>
  <c r="A165" i="7"/>
  <c r="M170" i="2"/>
  <c r="N170" i="2"/>
  <c r="D162" i="5"/>
  <c r="D163" i="7"/>
  <c r="B163" i="5"/>
  <c r="O169" i="2"/>
  <c r="A164" i="5"/>
  <c r="L171" i="2"/>
  <c r="G163" i="7" l="1"/>
  <c r="H163" i="7"/>
  <c r="I163" i="7"/>
  <c r="E164" i="7"/>
  <c r="F164" i="7"/>
  <c r="C165" i="7"/>
  <c r="B165" i="7"/>
  <c r="A166" i="7"/>
  <c r="M171" i="2"/>
  <c r="N171" i="2"/>
  <c r="C164" i="5"/>
  <c r="D163" i="5"/>
  <c r="D164" i="7"/>
  <c r="B164" i="5"/>
  <c r="O170" i="2"/>
  <c r="A165" i="5"/>
  <c r="L172" i="2"/>
  <c r="G164" i="7" l="1"/>
  <c r="E165" i="7"/>
  <c r="F165" i="7"/>
  <c r="C166" i="7"/>
  <c r="B166" i="7"/>
  <c r="A167" i="7"/>
  <c r="M172" i="2"/>
  <c r="N172" i="2"/>
  <c r="I164" i="7"/>
  <c r="H164" i="7"/>
  <c r="C165" i="5"/>
  <c r="D164" i="5"/>
  <c r="D165" i="7"/>
  <c r="A166" i="5"/>
  <c r="L173" i="2"/>
  <c r="B165" i="5"/>
  <c r="O171" i="2"/>
  <c r="G165" i="7" l="1"/>
  <c r="E166" i="7"/>
  <c r="F166" i="7"/>
  <c r="C167" i="7"/>
  <c r="B167" i="7"/>
  <c r="F167" i="7" s="1"/>
  <c r="A168" i="7"/>
  <c r="N173" i="2"/>
  <c r="M173" i="2"/>
  <c r="C166" i="5"/>
  <c r="I165" i="7"/>
  <c r="H165" i="7"/>
  <c r="D165" i="5"/>
  <c r="D166" i="7"/>
  <c r="A167" i="5"/>
  <c r="L174" i="2"/>
  <c r="B166" i="5"/>
  <c r="O172" i="2"/>
  <c r="G166" i="7" l="1"/>
  <c r="E167" i="7"/>
  <c r="C168" i="7"/>
  <c r="B168" i="7"/>
  <c r="C167" i="5"/>
  <c r="G167" i="7"/>
  <c r="I167" i="7" s="1"/>
  <c r="A169" i="7"/>
  <c r="M174" i="2"/>
  <c r="N174" i="2"/>
  <c r="I166" i="7"/>
  <c r="H166" i="7"/>
  <c r="D166" i="5"/>
  <c r="D167" i="7"/>
  <c r="A168" i="5"/>
  <c r="L175" i="2"/>
  <c r="B167" i="5"/>
  <c r="O173" i="2"/>
  <c r="E168" i="7" l="1"/>
  <c r="C169" i="7"/>
  <c r="F168" i="7"/>
  <c r="G168" i="7" s="1"/>
  <c r="H168" i="7" s="1"/>
  <c r="B169" i="7"/>
  <c r="H167" i="7"/>
  <c r="C168" i="5"/>
  <c r="A170" i="7"/>
  <c r="N175" i="2"/>
  <c r="M175" i="2"/>
  <c r="D167" i="5"/>
  <c r="D168" i="7"/>
  <c r="A169" i="5"/>
  <c r="L176" i="2"/>
  <c r="B168" i="5"/>
  <c r="O174" i="2"/>
  <c r="E169" i="7" l="1"/>
  <c r="F169" i="7"/>
  <c r="B170" i="7"/>
  <c r="C170" i="7"/>
  <c r="F170" i="7" s="1"/>
  <c r="I168" i="7"/>
  <c r="A171" i="7"/>
  <c r="N176" i="2"/>
  <c r="M176" i="2"/>
  <c r="C169" i="5"/>
  <c r="D168" i="5"/>
  <c r="D169" i="7"/>
  <c r="A170" i="5"/>
  <c r="L177" i="2"/>
  <c r="B169" i="5"/>
  <c r="O175" i="2"/>
  <c r="G169" i="7" l="1"/>
  <c r="E170" i="7"/>
  <c r="G170" i="7" s="1"/>
  <c r="H170" i="7" s="1"/>
  <c r="C171" i="7"/>
  <c r="B171" i="7"/>
  <c r="C170" i="5"/>
  <c r="A172" i="7"/>
  <c r="N177" i="2"/>
  <c r="M177" i="2"/>
  <c r="I169" i="7"/>
  <c r="H169" i="7"/>
  <c r="D169" i="5"/>
  <c r="D170" i="7"/>
  <c r="A171" i="5"/>
  <c r="L178" i="2"/>
  <c r="B170" i="5"/>
  <c r="O176" i="2"/>
  <c r="E171" i="7" l="1"/>
  <c r="F171" i="7"/>
  <c r="C172" i="7"/>
  <c r="B172" i="7"/>
  <c r="C171" i="5"/>
  <c r="I170" i="7"/>
  <c r="A173" i="7"/>
  <c r="M178" i="2"/>
  <c r="N178" i="2"/>
  <c r="D170" i="5"/>
  <c r="D171" i="7"/>
  <c r="A172" i="5"/>
  <c r="L179" i="2"/>
  <c r="B171" i="5"/>
  <c r="O177" i="2"/>
  <c r="G171" i="7" l="1"/>
  <c r="E172" i="7"/>
  <c r="F172" i="7"/>
  <c r="B173" i="7"/>
  <c r="C173" i="7"/>
  <c r="C172" i="5"/>
  <c r="H171" i="7"/>
  <c r="I171" i="7"/>
  <c r="A174" i="7"/>
  <c r="M179" i="2"/>
  <c r="N179" i="2"/>
  <c r="D171" i="5"/>
  <c r="D172" i="7"/>
  <c r="B172" i="5"/>
  <c r="O178" i="2"/>
  <c r="A173" i="5"/>
  <c r="L180" i="2"/>
  <c r="G172" i="7" l="1"/>
  <c r="F173" i="7"/>
  <c r="B174" i="7"/>
  <c r="E173" i="7"/>
  <c r="C174" i="7"/>
  <c r="E174" i="7" s="1"/>
  <c r="C173" i="5"/>
  <c r="A175" i="7"/>
  <c r="M180" i="2"/>
  <c r="N180" i="2"/>
  <c r="H172" i="7"/>
  <c r="I172" i="7"/>
  <c r="D172" i="5"/>
  <c r="D173" i="7"/>
  <c r="B173" i="5"/>
  <c r="O179" i="2"/>
  <c r="A174" i="5"/>
  <c r="L181" i="2"/>
  <c r="G173" i="7" l="1"/>
  <c r="I173" i="7" s="1"/>
  <c r="F174" i="7"/>
  <c r="G174" i="7" s="1"/>
  <c r="B175" i="7"/>
  <c r="E175" i="7" s="1"/>
  <c r="C175" i="7"/>
  <c r="A176" i="7"/>
  <c r="M181" i="2"/>
  <c r="N181" i="2"/>
  <c r="F175" i="7"/>
  <c r="C174" i="5"/>
  <c r="D173" i="5"/>
  <c r="D174" i="7"/>
  <c r="B174" i="5"/>
  <c r="O180" i="2"/>
  <c r="A175" i="5"/>
  <c r="L182" i="2"/>
  <c r="H173" i="7" l="1"/>
  <c r="B176" i="7"/>
  <c r="C176" i="7"/>
  <c r="C175" i="5"/>
  <c r="A177" i="7"/>
  <c r="M182" i="2"/>
  <c r="N182" i="2"/>
  <c r="G175" i="7"/>
  <c r="I174" i="7"/>
  <c r="H174" i="7"/>
  <c r="D174" i="5"/>
  <c r="D175" i="7"/>
  <c r="B175" i="5"/>
  <c r="O181" i="2"/>
  <c r="A176" i="5"/>
  <c r="L183" i="2"/>
  <c r="E176" i="7" l="1"/>
  <c r="F176" i="7"/>
  <c r="C177" i="7"/>
  <c r="B177" i="7"/>
  <c r="H175" i="7"/>
  <c r="I175" i="7"/>
  <c r="A178" i="7"/>
  <c r="M183" i="2"/>
  <c r="N183" i="2"/>
  <c r="C176" i="5"/>
  <c r="D175" i="5"/>
  <c r="D176" i="7"/>
  <c r="A177" i="5"/>
  <c r="L184" i="2"/>
  <c r="B176" i="5"/>
  <c r="O182" i="2"/>
  <c r="G176" i="7" l="1"/>
  <c r="H176" i="7" s="1"/>
  <c r="I176" i="7"/>
  <c r="E177" i="7"/>
  <c r="F177" i="7"/>
  <c r="C178" i="7"/>
  <c r="B178" i="7"/>
  <c r="A179" i="7"/>
  <c r="N184" i="2"/>
  <c r="M184" i="2"/>
  <c r="C177" i="5"/>
  <c r="D176" i="5"/>
  <c r="D177" i="7"/>
  <c r="A178" i="5"/>
  <c r="L185" i="2"/>
  <c r="B177" i="5"/>
  <c r="O183" i="2"/>
  <c r="G177" i="7" l="1"/>
  <c r="H177" i="7" s="1"/>
  <c r="F178" i="7"/>
  <c r="B179" i="7"/>
  <c r="E178" i="7"/>
  <c r="C179" i="7"/>
  <c r="C178" i="5"/>
  <c r="A180" i="7"/>
  <c r="N185" i="2"/>
  <c r="M185" i="2"/>
  <c r="D177" i="5"/>
  <c r="D178" i="7"/>
  <c r="A179" i="5"/>
  <c r="L186" i="2"/>
  <c r="B178" i="5"/>
  <c r="O184" i="2"/>
  <c r="G178" i="7" l="1"/>
  <c r="I178" i="7" s="1"/>
  <c r="I177" i="7"/>
  <c r="E179" i="7"/>
  <c r="C180" i="7"/>
  <c r="F179" i="7"/>
  <c r="G179" i="7" s="1"/>
  <c r="B180" i="7"/>
  <c r="A181" i="7"/>
  <c r="M186" i="2"/>
  <c r="N186" i="2"/>
  <c r="C179" i="5"/>
  <c r="D178" i="5"/>
  <c r="D179" i="7"/>
  <c r="B179" i="5"/>
  <c r="O185" i="2"/>
  <c r="A180" i="5"/>
  <c r="L187" i="2"/>
  <c r="H178" i="7" l="1"/>
  <c r="F180" i="7"/>
  <c r="C181" i="7"/>
  <c r="B181" i="7"/>
  <c r="E180" i="7"/>
  <c r="A182" i="7"/>
  <c r="M187" i="2"/>
  <c r="N187" i="2"/>
  <c r="C180" i="5"/>
  <c r="I179" i="7"/>
  <c r="H179" i="7"/>
  <c r="D179" i="5"/>
  <c r="D180" i="7"/>
  <c r="A181" i="5"/>
  <c r="L188" i="2"/>
  <c r="B180" i="5"/>
  <c r="O186" i="2"/>
  <c r="G180" i="7" l="1"/>
  <c r="E181" i="7"/>
  <c r="F181" i="7"/>
  <c r="G181" i="7" s="1"/>
  <c r="H181" i="7" s="1"/>
  <c r="I180" i="7"/>
  <c r="H180" i="7"/>
  <c r="B182" i="7"/>
  <c r="C182" i="7"/>
  <c r="I181" i="7"/>
  <c r="A183" i="7"/>
  <c r="M188" i="2"/>
  <c r="N188" i="2"/>
  <c r="C181" i="5"/>
  <c r="D180" i="5"/>
  <c r="D181" i="7"/>
  <c r="A182" i="5"/>
  <c r="L189" i="2"/>
  <c r="B181" i="5"/>
  <c r="O187" i="2"/>
  <c r="E182" i="7" l="1"/>
  <c r="F182" i="7"/>
  <c r="G182" i="7" s="1"/>
  <c r="H182" i="7" s="1"/>
  <c r="B183" i="7"/>
  <c r="C183" i="7"/>
  <c r="A184" i="7"/>
  <c r="M189" i="2"/>
  <c r="N189" i="2"/>
  <c r="C182" i="5"/>
  <c r="D181" i="5"/>
  <c r="D182" i="7"/>
  <c r="A183" i="5"/>
  <c r="L190" i="2"/>
  <c r="B182" i="5"/>
  <c r="O188" i="2"/>
  <c r="E183" i="7" l="1"/>
  <c r="F183" i="7"/>
  <c r="C184" i="7"/>
  <c r="B184" i="7"/>
  <c r="I182" i="7"/>
  <c r="C183" i="5"/>
  <c r="A185" i="7"/>
  <c r="M190" i="2"/>
  <c r="N190" i="2"/>
  <c r="D182" i="5"/>
  <c r="D183" i="7"/>
  <c r="A184" i="5"/>
  <c r="L191" i="2"/>
  <c r="B183" i="5"/>
  <c r="O189" i="2"/>
  <c r="G183" i="7" l="1"/>
  <c r="I183" i="7" s="1"/>
  <c r="F184" i="7"/>
  <c r="H183" i="7"/>
  <c r="E184" i="7"/>
  <c r="C185" i="7"/>
  <c r="B185" i="7"/>
  <c r="C184" i="5"/>
  <c r="A186" i="7"/>
  <c r="M191" i="2"/>
  <c r="N191" i="2"/>
  <c r="D183" i="5"/>
  <c r="D184" i="7"/>
  <c r="A185" i="5"/>
  <c r="L192" i="2"/>
  <c r="B184" i="5"/>
  <c r="O190" i="2"/>
  <c r="G184" i="7" l="1"/>
  <c r="H184" i="7" s="1"/>
  <c r="F185" i="7"/>
  <c r="I184" i="7"/>
  <c r="B186" i="7"/>
  <c r="E185" i="7"/>
  <c r="G185" i="7" s="1"/>
  <c r="C186" i="7"/>
  <c r="C185" i="5"/>
  <c r="A187" i="7"/>
  <c r="N192" i="2"/>
  <c r="M192" i="2"/>
  <c r="D184" i="5"/>
  <c r="D185" i="7"/>
  <c r="A186" i="5"/>
  <c r="L193" i="2"/>
  <c r="B185" i="5"/>
  <c r="O191" i="2"/>
  <c r="F186" i="7" l="1"/>
  <c r="E186" i="7"/>
  <c r="G186" i="7" s="1"/>
  <c r="C187" i="7"/>
  <c r="B187" i="7"/>
  <c r="E187" i="7" s="1"/>
  <c r="C186" i="5"/>
  <c r="I185" i="7"/>
  <c r="H185" i="7"/>
  <c r="A188" i="7"/>
  <c r="N193" i="2"/>
  <c r="M193" i="2"/>
  <c r="D185" i="5"/>
  <c r="D186" i="7"/>
  <c r="A187" i="5"/>
  <c r="L194" i="2"/>
  <c r="B186" i="5"/>
  <c r="O192" i="2"/>
  <c r="C188" i="7" l="1"/>
  <c r="F187" i="7"/>
  <c r="G187" i="7" s="1"/>
  <c r="B188" i="7"/>
  <c r="F188" i="7" s="1"/>
  <c r="C187" i="5"/>
  <c r="A189" i="7"/>
  <c r="M194" i="2"/>
  <c r="N194" i="2"/>
  <c r="I186" i="7"/>
  <c r="H186" i="7"/>
  <c r="D186" i="5"/>
  <c r="D187" i="7"/>
  <c r="A188" i="5"/>
  <c r="L195" i="2"/>
  <c r="B187" i="5"/>
  <c r="O193" i="2"/>
  <c r="C189" i="7" l="1"/>
  <c r="E188" i="7"/>
  <c r="G188" i="7" s="1"/>
  <c r="B189" i="7"/>
  <c r="E189" i="7" s="1"/>
  <c r="A190" i="7"/>
  <c r="M195" i="2"/>
  <c r="N195" i="2"/>
  <c r="C188" i="5"/>
  <c r="I187" i="7"/>
  <c r="H187" i="7"/>
  <c r="D187" i="5"/>
  <c r="D188" i="7"/>
  <c r="B188" i="5"/>
  <c r="O194" i="2"/>
  <c r="A189" i="5"/>
  <c r="L196" i="2"/>
  <c r="F189" i="7" l="1"/>
  <c r="I188" i="7"/>
  <c r="H188" i="7"/>
  <c r="B190" i="7"/>
  <c r="C190" i="7"/>
  <c r="C189" i="5"/>
  <c r="A191" i="7"/>
  <c r="M196" i="2"/>
  <c r="N196" i="2"/>
  <c r="G189" i="7"/>
  <c r="D188" i="5"/>
  <c r="D189" i="7"/>
  <c r="A190" i="5"/>
  <c r="L197" i="2"/>
  <c r="B189" i="5"/>
  <c r="O195" i="2"/>
  <c r="E190" i="7" l="1"/>
  <c r="C191" i="7"/>
  <c r="B191" i="7"/>
  <c r="F190" i="7"/>
  <c r="G190" i="7" s="1"/>
  <c r="I190" i="7" s="1"/>
  <c r="C190" i="5"/>
  <c r="A192" i="7"/>
  <c r="M197" i="2"/>
  <c r="N197" i="2"/>
  <c r="H189" i="7"/>
  <c r="I189" i="7"/>
  <c r="D189" i="5"/>
  <c r="D190" i="7"/>
  <c r="A191" i="5"/>
  <c r="L198" i="2"/>
  <c r="B190" i="5"/>
  <c r="O196" i="2"/>
  <c r="F191" i="7" l="1"/>
  <c r="E191" i="7"/>
  <c r="G191" i="7" s="1"/>
  <c r="B192" i="7"/>
  <c r="C192" i="7"/>
  <c r="H190" i="7"/>
  <c r="A193" i="7"/>
  <c r="M198" i="2"/>
  <c r="N198" i="2"/>
  <c r="C191" i="5"/>
  <c r="D190" i="5"/>
  <c r="D191" i="7"/>
  <c r="A192" i="5"/>
  <c r="L199" i="2"/>
  <c r="B191" i="5"/>
  <c r="O197" i="2"/>
  <c r="E192" i="7" l="1"/>
  <c r="F192" i="7"/>
  <c r="G192" i="7" s="1"/>
  <c r="H192" i="7" s="1"/>
  <c r="B193" i="7"/>
  <c r="C193" i="7"/>
  <c r="A194" i="7"/>
  <c r="M199" i="2"/>
  <c r="N199" i="2"/>
  <c r="I191" i="7"/>
  <c r="H191" i="7"/>
  <c r="C192" i="5"/>
  <c r="D191" i="5"/>
  <c r="D192" i="7"/>
  <c r="A193" i="5"/>
  <c r="L200" i="2"/>
  <c r="B192" i="5"/>
  <c r="O198" i="2"/>
  <c r="I192" i="7" l="1"/>
  <c r="E193" i="7"/>
  <c r="B194" i="7"/>
  <c r="F193" i="7"/>
  <c r="C194" i="7"/>
  <c r="A195" i="7"/>
  <c r="N200" i="2"/>
  <c r="M200" i="2"/>
  <c r="C193" i="5"/>
  <c r="D192" i="5"/>
  <c r="D193" i="7"/>
  <c r="A194" i="5"/>
  <c r="L201" i="2"/>
  <c r="B193" i="5"/>
  <c r="O199" i="2"/>
  <c r="G193" i="7" l="1"/>
  <c r="H193" i="7" s="1"/>
  <c r="E194" i="7"/>
  <c r="B195" i="7"/>
  <c r="C195" i="7"/>
  <c r="E195" i="7" s="1"/>
  <c r="I193" i="7"/>
  <c r="F194" i="7"/>
  <c r="G194" i="7" s="1"/>
  <c r="I194" i="7" s="1"/>
  <c r="C194" i="5"/>
  <c r="A196" i="7"/>
  <c r="M201" i="2"/>
  <c r="N201" i="2"/>
  <c r="D193" i="5"/>
  <c r="D194" i="7"/>
  <c r="A195" i="5"/>
  <c r="L202" i="2"/>
  <c r="B194" i="5"/>
  <c r="O200" i="2"/>
  <c r="B196" i="7" l="1"/>
  <c r="C196" i="7"/>
  <c r="F195" i="7"/>
  <c r="G195" i="7" s="1"/>
  <c r="H195" i="7" s="1"/>
  <c r="H194" i="7"/>
  <c r="C195" i="5"/>
  <c r="A197" i="7"/>
  <c r="M202" i="2"/>
  <c r="N202" i="2"/>
  <c r="D194" i="5"/>
  <c r="D195" i="7"/>
  <c r="A196" i="5"/>
  <c r="L203" i="2"/>
  <c r="B195" i="5"/>
  <c r="O201" i="2"/>
  <c r="E196" i="7" l="1"/>
  <c r="F196" i="7"/>
  <c r="B197" i="7"/>
  <c r="C197" i="7"/>
  <c r="C196" i="5"/>
  <c r="I195" i="7"/>
  <c r="A198" i="7"/>
  <c r="M203" i="2"/>
  <c r="N203" i="2"/>
  <c r="D195" i="5"/>
  <c r="D196" i="7"/>
  <c r="A197" i="5"/>
  <c r="L204" i="2"/>
  <c r="B196" i="5"/>
  <c r="O202" i="2"/>
  <c r="G196" i="7" l="1"/>
  <c r="I196" i="7" s="1"/>
  <c r="F197" i="7"/>
  <c r="E197" i="7"/>
  <c r="C198" i="7"/>
  <c r="B198" i="7"/>
  <c r="H196" i="7"/>
  <c r="A199" i="7"/>
  <c r="M204" i="2"/>
  <c r="N204" i="2"/>
  <c r="C197" i="5"/>
  <c r="D196" i="5"/>
  <c r="D197" i="7"/>
  <c r="B197" i="5"/>
  <c r="O203" i="2"/>
  <c r="A198" i="5"/>
  <c r="L205" i="2"/>
  <c r="G197" i="7" l="1"/>
  <c r="E198" i="7"/>
  <c r="F198" i="7"/>
  <c r="C199" i="7"/>
  <c r="B199" i="7"/>
  <c r="A200" i="7"/>
  <c r="M205" i="2"/>
  <c r="N205" i="2"/>
  <c r="I197" i="7"/>
  <c r="H197" i="7"/>
  <c r="C198" i="5"/>
  <c r="D197" i="5"/>
  <c r="D198" i="7"/>
  <c r="A199" i="5"/>
  <c r="L206" i="2"/>
  <c r="B198" i="5"/>
  <c r="O204" i="2"/>
  <c r="G198" i="7" l="1"/>
  <c r="H198" i="7" s="1"/>
  <c r="E199" i="7"/>
  <c r="F199" i="7"/>
  <c r="G199" i="7" s="1"/>
  <c r="B200" i="7"/>
  <c r="C200" i="7"/>
  <c r="C199" i="5"/>
  <c r="A201" i="7"/>
  <c r="M206" i="2"/>
  <c r="N206" i="2"/>
  <c r="D198" i="5"/>
  <c r="D199" i="7"/>
  <c r="B199" i="5"/>
  <c r="O205" i="2"/>
  <c r="A200" i="5"/>
  <c r="L207" i="2"/>
  <c r="I198" i="7" l="1"/>
  <c r="E200" i="7"/>
  <c r="C201" i="7"/>
  <c r="B201" i="7"/>
  <c r="F200" i="7"/>
  <c r="G200" i="7" s="1"/>
  <c r="C200" i="5"/>
  <c r="I199" i="7"/>
  <c r="H199" i="7"/>
  <c r="A202" i="7"/>
  <c r="M207" i="2"/>
  <c r="N207" i="2"/>
  <c r="D199" i="5"/>
  <c r="D200" i="7"/>
  <c r="A201" i="5"/>
  <c r="L208" i="2"/>
  <c r="B200" i="5"/>
  <c r="O206" i="2"/>
  <c r="F201" i="7" l="1"/>
  <c r="E201" i="7"/>
  <c r="G201" i="7" s="1"/>
  <c r="C202" i="7"/>
  <c r="B202" i="7"/>
  <c r="A203" i="7"/>
  <c r="N208" i="2"/>
  <c r="M208" i="2"/>
  <c r="C201" i="5"/>
  <c r="H200" i="7"/>
  <c r="I200" i="7"/>
  <c r="D200" i="5"/>
  <c r="D201" i="7"/>
  <c r="A202" i="5"/>
  <c r="L209" i="2"/>
  <c r="B201" i="5"/>
  <c r="O207" i="2"/>
  <c r="F202" i="7" l="1"/>
  <c r="E202" i="7"/>
  <c r="G202" i="7"/>
  <c r="H202" i="7" s="1"/>
  <c r="B203" i="7"/>
  <c r="C203" i="7"/>
  <c r="C202" i="5"/>
  <c r="A204" i="7"/>
  <c r="L210" i="2"/>
  <c r="N209" i="2"/>
  <c r="M209" i="2"/>
  <c r="I201" i="7"/>
  <c r="H201" i="7"/>
  <c r="D201" i="5"/>
  <c r="D202" i="7"/>
  <c r="A203" i="5"/>
  <c r="B202" i="5"/>
  <c r="O208" i="2"/>
  <c r="I202" i="7" l="1"/>
  <c r="F203" i="7"/>
  <c r="C204" i="7"/>
  <c r="E203" i="7"/>
  <c r="G203" i="7" s="1"/>
  <c r="B204" i="7"/>
  <c r="C203" i="5"/>
  <c r="A204" i="5"/>
  <c r="A205" i="7"/>
  <c r="L211" i="2"/>
  <c r="M210" i="2"/>
  <c r="N210" i="2"/>
  <c r="D202" i="5"/>
  <c r="D203" i="7"/>
  <c r="B203" i="5"/>
  <c r="O209" i="2"/>
  <c r="F204" i="7" l="1"/>
  <c r="E204" i="7"/>
  <c r="A205" i="5"/>
  <c r="A206" i="7"/>
  <c r="L212" i="2"/>
  <c r="M211" i="2"/>
  <c r="N211" i="2"/>
  <c r="I203" i="7"/>
  <c r="H203" i="7"/>
  <c r="C205" i="7"/>
  <c r="C204" i="5"/>
  <c r="B204" i="5"/>
  <c r="B205" i="7"/>
  <c r="O210" i="2"/>
  <c r="G204" i="7"/>
  <c r="D203" i="5"/>
  <c r="D204" i="7"/>
  <c r="H204" i="7" l="1"/>
  <c r="I204" i="7"/>
  <c r="C206" i="7"/>
  <c r="C205" i="5"/>
  <c r="D205" i="7"/>
  <c r="D204" i="5"/>
  <c r="B205" i="5"/>
  <c r="B206" i="7"/>
  <c r="O211" i="2"/>
  <c r="F205" i="7"/>
  <c r="E205" i="7"/>
  <c r="A206" i="5"/>
  <c r="A207" i="7"/>
  <c r="L213" i="2"/>
  <c r="M212" i="2"/>
  <c r="N212" i="2"/>
  <c r="B206" i="5" l="1"/>
  <c r="B207" i="7"/>
  <c r="O212" i="2"/>
  <c r="A207" i="5"/>
  <c r="A208" i="7"/>
  <c r="L214" i="2"/>
  <c r="M213" i="2"/>
  <c r="N213" i="2"/>
  <c r="G205" i="7"/>
  <c r="C207" i="7"/>
  <c r="C206" i="5"/>
  <c r="E206" i="7"/>
  <c r="F206" i="7"/>
  <c r="D206" i="7"/>
  <c r="D205" i="5"/>
  <c r="G206" i="7" l="1"/>
  <c r="H206" i="7" s="1"/>
  <c r="B208" i="7"/>
  <c r="B207" i="5"/>
  <c r="O213" i="2"/>
  <c r="A208" i="5"/>
  <c r="A209" i="7"/>
  <c r="L215" i="2"/>
  <c r="M214" i="2"/>
  <c r="N214" i="2"/>
  <c r="F207" i="7"/>
  <c r="E207" i="7"/>
  <c r="C208" i="7"/>
  <c r="C207" i="5"/>
  <c r="D206" i="5"/>
  <c r="D207" i="7"/>
  <c r="I205" i="7"/>
  <c r="H205" i="7"/>
  <c r="I206" i="7" l="1"/>
  <c r="B209" i="7"/>
  <c r="O214" i="2"/>
  <c r="B208" i="5"/>
  <c r="A209" i="5"/>
  <c r="A210" i="7"/>
  <c r="L216" i="2"/>
  <c r="M215" i="2"/>
  <c r="N215" i="2"/>
  <c r="C209" i="7"/>
  <c r="C208" i="5"/>
  <c r="D208" i="7"/>
  <c r="D207" i="5"/>
  <c r="G207" i="7"/>
  <c r="E208" i="7"/>
  <c r="F208" i="7"/>
  <c r="G208" i="7" l="1"/>
  <c r="C210" i="7"/>
  <c r="C209" i="5"/>
  <c r="B210" i="7"/>
  <c r="B209" i="5"/>
  <c r="O215" i="2"/>
  <c r="A210" i="5"/>
  <c r="A211" i="7"/>
  <c r="L217" i="2"/>
  <c r="N216" i="2"/>
  <c r="M216" i="2"/>
  <c r="D208" i="5"/>
  <c r="D209" i="7"/>
  <c r="H208" i="7"/>
  <c r="I208" i="7"/>
  <c r="I207" i="7"/>
  <c r="H207" i="7"/>
  <c r="E209" i="7"/>
  <c r="F209" i="7"/>
  <c r="G209" i="7" l="1"/>
  <c r="H209" i="7" s="1"/>
  <c r="B211" i="7"/>
  <c r="B210" i="5"/>
  <c r="O216" i="2"/>
  <c r="A211" i="5"/>
  <c r="A212" i="7"/>
  <c r="L218" i="2"/>
  <c r="N217" i="2"/>
  <c r="M217" i="2"/>
  <c r="E210" i="7"/>
  <c r="F210" i="7"/>
  <c r="C211" i="7"/>
  <c r="C210" i="5"/>
  <c r="D209" i="5"/>
  <c r="D210" i="7"/>
  <c r="I209" i="7" l="1"/>
  <c r="B212" i="7"/>
  <c r="B211" i="5"/>
  <c r="O217" i="2"/>
  <c r="C212" i="7"/>
  <c r="C211" i="5"/>
  <c r="D211" i="7"/>
  <c r="D210" i="5"/>
  <c r="G210" i="7"/>
  <c r="A212" i="5"/>
  <c r="A213" i="7"/>
  <c r="L219" i="2"/>
  <c r="M218" i="2"/>
  <c r="N218" i="2"/>
  <c r="E211" i="7"/>
  <c r="F211" i="7"/>
  <c r="G211" i="7" s="1"/>
  <c r="B213" i="7" l="1"/>
  <c r="B212" i="5"/>
  <c r="O218" i="2"/>
  <c r="I210" i="7"/>
  <c r="H210" i="7"/>
  <c r="H211" i="7"/>
  <c r="I211" i="7"/>
  <c r="A213" i="5"/>
  <c r="A214" i="7"/>
  <c r="N219" i="2"/>
  <c r="M219" i="2"/>
  <c r="L220" i="2"/>
  <c r="D211" i="5"/>
  <c r="D212" i="7"/>
  <c r="C212" i="5"/>
  <c r="C213" i="7"/>
  <c r="E212" i="7"/>
  <c r="F212" i="7"/>
  <c r="G212" i="7" l="1"/>
  <c r="B214" i="7"/>
  <c r="B213" i="5"/>
  <c r="O219" i="2"/>
  <c r="D213" i="7"/>
  <c r="D212" i="5"/>
  <c r="H212" i="7"/>
  <c r="I212" i="7"/>
  <c r="A214" i="5"/>
  <c r="A215" i="7"/>
  <c r="M220" i="2"/>
  <c r="N220" i="2"/>
  <c r="L221" i="2"/>
  <c r="C214" i="7"/>
  <c r="C213" i="5"/>
  <c r="F213" i="7"/>
  <c r="E213" i="7"/>
  <c r="C215" i="7" l="1"/>
  <c r="C214" i="5"/>
  <c r="B215" i="7"/>
  <c r="B214" i="5"/>
  <c r="O220" i="2"/>
  <c r="A215" i="5"/>
  <c r="A216" i="7"/>
  <c r="N221" i="2"/>
  <c r="M221" i="2"/>
  <c r="L222" i="2"/>
  <c r="G213" i="7"/>
  <c r="D214" i="7"/>
  <c r="D213" i="5"/>
  <c r="F214" i="7"/>
  <c r="E214" i="7"/>
  <c r="C216" i="7" l="1"/>
  <c r="C215" i="5"/>
  <c r="I213" i="7"/>
  <c r="H213" i="7"/>
  <c r="E215" i="7"/>
  <c r="F215" i="7"/>
  <c r="A216" i="5"/>
  <c r="A217" i="7"/>
  <c r="M222" i="2"/>
  <c r="N222" i="2"/>
  <c r="L223" i="2"/>
  <c r="G214" i="7"/>
  <c r="B215" i="5"/>
  <c r="B216" i="7"/>
  <c r="O221" i="2"/>
  <c r="D215" i="7"/>
  <c r="D214" i="5"/>
  <c r="G215" i="7" l="1"/>
  <c r="I215" i="7" s="1"/>
  <c r="F216" i="7"/>
  <c r="E216" i="7"/>
  <c r="B217" i="7"/>
  <c r="B216" i="5"/>
  <c r="O222" i="2"/>
  <c r="H214" i="7"/>
  <c r="I214" i="7"/>
  <c r="C217" i="7"/>
  <c r="C216" i="5"/>
  <c r="D216" i="7"/>
  <c r="D215" i="5"/>
  <c r="A217" i="5"/>
  <c r="A218" i="7"/>
  <c r="M223" i="2"/>
  <c r="N223" i="2"/>
  <c r="L224" i="2"/>
  <c r="H215" i="7" l="1"/>
  <c r="C218" i="7"/>
  <c r="C217" i="5"/>
  <c r="D217" i="7"/>
  <c r="D216" i="5"/>
  <c r="G216" i="7"/>
  <c r="E217" i="7"/>
  <c r="F217" i="7"/>
  <c r="A218" i="5"/>
  <c r="A219" i="7"/>
  <c r="N224" i="2"/>
  <c r="M224" i="2"/>
  <c r="L225" i="2"/>
  <c r="B218" i="7"/>
  <c r="B217" i="5"/>
  <c r="O223" i="2"/>
  <c r="G217" i="7" l="1"/>
  <c r="I217" i="7" s="1"/>
  <c r="D218" i="7"/>
  <c r="D217" i="5"/>
  <c r="B219" i="7"/>
  <c r="B218" i="5"/>
  <c r="O224" i="2"/>
  <c r="F218" i="7"/>
  <c r="E218" i="7"/>
  <c r="H216" i="7"/>
  <c r="I216" i="7"/>
  <c r="C218" i="5"/>
  <c r="C219" i="7"/>
  <c r="A219" i="5"/>
  <c r="A220" i="7"/>
  <c r="N225" i="2"/>
  <c r="M225" i="2"/>
  <c r="L226" i="2"/>
  <c r="H217" i="7" l="1"/>
  <c r="G218" i="7"/>
  <c r="I218" i="7" s="1"/>
  <c r="C220" i="7"/>
  <c r="C219" i="5"/>
  <c r="E219" i="7"/>
  <c r="F219" i="7"/>
  <c r="A220" i="5"/>
  <c r="A221" i="7"/>
  <c r="M226" i="2"/>
  <c r="N226" i="2"/>
  <c r="L227" i="2"/>
  <c r="B219" i="5"/>
  <c r="B220" i="7"/>
  <c r="O225" i="2"/>
  <c r="D219" i="7"/>
  <c r="D218" i="5"/>
  <c r="E220" i="7" l="1"/>
  <c r="H218" i="7"/>
  <c r="G219" i="7"/>
  <c r="H219" i="7" s="1"/>
  <c r="C221" i="7"/>
  <c r="C220" i="5"/>
  <c r="D220" i="7"/>
  <c r="D219" i="5"/>
  <c r="A221" i="5"/>
  <c r="A222" i="7"/>
  <c r="M227" i="2"/>
  <c r="N227" i="2"/>
  <c r="L228" i="2"/>
  <c r="B220" i="5"/>
  <c r="B221" i="7"/>
  <c r="O226" i="2"/>
  <c r="I219" i="7"/>
  <c r="F220" i="7"/>
  <c r="G220" i="7" s="1"/>
  <c r="H220" i="7" l="1"/>
  <c r="I220" i="7"/>
  <c r="D220" i="5"/>
  <c r="D221" i="7"/>
  <c r="A222" i="5"/>
  <c r="A223" i="7"/>
  <c r="M228" i="2"/>
  <c r="N228" i="2"/>
  <c r="L229" i="2"/>
  <c r="E221" i="7"/>
  <c r="F221" i="7"/>
  <c r="C221" i="5"/>
  <c r="C222" i="7"/>
  <c r="B222" i="7"/>
  <c r="B221" i="5"/>
  <c r="O227" i="2"/>
  <c r="G221" i="7" l="1"/>
  <c r="I221" i="7"/>
  <c r="H221" i="7"/>
  <c r="B222" i="5"/>
  <c r="B223" i="7"/>
  <c r="O228" i="2"/>
  <c r="E222" i="7"/>
  <c r="F222" i="7"/>
  <c r="D222" i="7"/>
  <c r="D221" i="5"/>
  <c r="C223" i="7"/>
  <c r="C222" i="5"/>
  <c r="A223" i="5"/>
  <c r="A224" i="7"/>
  <c r="M229" i="2"/>
  <c r="N229" i="2"/>
  <c r="L230" i="2"/>
  <c r="G222" i="7" l="1"/>
  <c r="B224" i="7"/>
  <c r="B223" i="5"/>
  <c r="O229" i="2"/>
  <c r="A224" i="5"/>
  <c r="A225" i="7"/>
  <c r="M230" i="2"/>
  <c r="N230" i="2"/>
  <c r="L231" i="2"/>
  <c r="E223" i="7"/>
  <c r="F223" i="7"/>
  <c r="C224" i="7"/>
  <c r="C223" i="5"/>
  <c r="H222" i="7"/>
  <c r="I222" i="7"/>
  <c r="D222" i="5"/>
  <c r="D223" i="7"/>
  <c r="G223" i="7" l="1"/>
  <c r="C225" i="7"/>
  <c r="C224" i="5"/>
  <c r="D224" i="7"/>
  <c r="D223" i="5"/>
  <c r="H223" i="7"/>
  <c r="I223" i="7"/>
  <c r="A225" i="5"/>
  <c r="A226" i="7"/>
  <c r="M231" i="2"/>
  <c r="N231" i="2"/>
  <c r="L232" i="2"/>
  <c r="B225" i="7"/>
  <c r="B224" i="5"/>
  <c r="O230" i="2"/>
  <c r="E224" i="7"/>
  <c r="F224" i="7"/>
  <c r="G224" i="7" l="1"/>
  <c r="I224" i="7" s="1"/>
  <c r="E225" i="7"/>
  <c r="F225" i="7"/>
  <c r="A226" i="5"/>
  <c r="A227" i="7"/>
  <c r="L233" i="2"/>
  <c r="N232" i="2"/>
  <c r="M232" i="2"/>
  <c r="D225" i="7"/>
  <c r="D224" i="5"/>
  <c r="C226" i="7"/>
  <c r="C225" i="5"/>
  <c r="B226" i="7"/>
  <c r="B225" i="5"/>
  <c r="O231" i="2"/>
  <c r="H224" i="7" l="1"/>
  <c r="G225" i="7"/>
  <c r="H225" i="7" s="1"/>
  <c r="E226" i="7"/>
  <c r="D226" i="7"/>
  <c r="D225" i="5"/>
  <c r="C227" i="7"/>
  <c r="C226" i="5"/>
  <c r="A227" i="5"/>
  <c r="A228" i="7"/>
  <c r="L234" i="2"/>
  <c r="M233" i="2"/>
  <c r="N233" i="2"/>
  <c r="F226" i="7"/>
  <c r="B227" i="7"/>
  <c r="B226" i="5"/>
  <c r="O232" i="2"/>
  <c r="I225" i="7" l="1"/>
  <c r="G226" i="7"/>
  <c r="H226" i="7" s="1"/>
  <c r="D227" i="7"/>
  <c r="D226" i="5"/>
  <c r="B227" i="5"/>
  <c r="O233" i="2"/>
  <c r="B228" i="7"/>
  <c r="C228" i="7"/>
  <c r="C227" i="5"/>
  <c r="E227" i="7"/>
  <c r="F227" i="7"/>
  <c r="A228" i="5"/>
  <c r="A229" i="7"/>
  <c r="L235" i="2"/>
  <c r="M234" i="2"/>
  <c r="N234" i="2"/>
  <c r="I226" i="7" l="1"/>
  <c r="G227" i="7"/>
  <c r="B229" i="7"/>
  <c r="B228" i="5"/>
  <c r="O234" i="2"/>
  <c r="I227" i="7"/>
  <c r="H227" i="7"/>
  <c r="F228" i="7"/>
  <c r="E228" i="7"/>
  <c r="A229" i="5"/>
  <c r="A230" i="7"/>
  <c r="L236" i="2"/>
  <c r="N235" i="2"/>
  <c r="M235" i="2"/>
  <c r="D228" i="7"/>
  <c r="D227" i="5"/>
  <c r="C228" i="5"/>
  <c r="C229" i="7"/>
  <c r="C230" i="7" l="1"/>
  <c r="C229" i="5"/>
  <c r="D229" i="7"/>
  <c r="D228" i="5"/>
  <c r="A230" i="5"/>
  <c r="A231" i="7"/>
  <c r="L237" i="2"/>
  <c r="M236" i="2"/>
  <c r="N236" i="2"/>
  <c r="G228" i="7"/>
  <c r="B230" i="7"/>
  <c r="B229" i="5"/>
  <c r="O235" i="2"/>
  <c r="F229" i="7"/>
  <c r="E229" i="7"/>
  <c r="G229" i="7" l="1"/>
  <c r="D230" i="7"/>
  <c r="D229" i="5"/>
  <c r="B231" i="7"/>
  <c r="B230" i="5"/>
  <c r="O236" i="2"/>
  <c r="I229" i="7"/>
  <c r="H229" i="7"/>
  <c r="E230" i="7"/>
  <c r="F230" i="7"/>
  <c r="A231" i="5"/>
  <c r="A232" i="7"/>
  <c r="L238" i="2"/>
  <c r="M237" i="2"/>
  <c r="N237" i="2"/>
  <c r="I228" i="7"/>
  <c r="H228" i="7"/>
  <c r="C231" i="7"/>
  <c r="C230" i="5"/>
  <c r="A232" i="5" l="1"/>
  <c r="A233" i="7"/>
  <c r="L239" i="2"/>
  <c r="M238" i="2"/>
  <c r="N238" i="2"/>
  <c r="E231" i="7"/>
  <c r="F231" i="7"/>
  <c r="C232" i="7"/>
  <c r="C231" i="5"/>
  <c r="B232" i="7"/>
  <c r="B231" i="5"/>
  <c r="O237" i="2"/>
  <c r="G230" i="7"/>
  <c r="D231" i="7"/>
  <c r="D230" i="5"/>
  <c r="G231" i="7" l="1"/>
  <c r="H231" i="7" s="1"/>
  <c r="I230" i="7"/>
  <c r="H230" i="7"/>
  <c r="D232" i="7"/>
  <c r="D231" i="5"/>
  <c r="B233" i="7"/>
  <c r="B232" i="5"/>
  <c r="O238" i="2"/>
  <c r="I231" i="7"/>
  <c r="A233" i="5"/>
  <c r="A234" i="7"/>
  <c r="L240" i="2"/>
  <c r="M239" i="2"/>
  <c r="N239" i="2"/>
  <c r="E232" i="7"/>
  <c r="F232" i="7"/>
  <c r="C233" i="7"/>
  <c r="C232" i="5"/>
  <c r="G232" i="7" l="1"/>
  <c r="C233" i="5"/>
  <c r="C234" i="7"/>
  <c r="I232" i="7"/>
  <c r="H232" i="7"/>
  <c r="A234" i="5"/>
  <c r="A235" i="7"/>
  <c r="L241" i="2"/>
  <c r="N240" i="2"/>
  <c r="M240" i="2"/>
  <c r="D232" i="5"/>
  <c r="D233" i="7"/>
  <c r="B233" i="5"/>
  <c r="B234" i="7"/>
  <c r="O239" i="2"/>
  <c r="E233" i="7"/>
  <c r="F233" i="7"/>
  <c r="G233" i="7" l="1"/>
  <c r="F234" i="7"/>
  <c r="E234" i="7"/>
  <c r="B235" i="7"/>
  <c r="B234" i="5"/>
  <c r="O240" i="2"/>
  <c r="H233" i="7"/>
  <c r="I233" i="7"/>
  <c r="C234" i="5"/>
  <c r="C235" i="7"/>
  <c r="A235" i="5"/>
  <c r="A236" i="7"/>
  <c r="L242" i="2"/>
  <c r="N241" i="2"/>
  <c r="M241" i="2"/>
  <c r="D233" i="5"/>
  <c r="D234" i="7"/>
  <c r="G234" i="7" l="1"/>
  <c r="I234" i="7" s="1"/>
  <c r="C236" i="7"/>
  <c r="C235" i="5"/>
  <c r="D235" i="7"/>
  <c r="D234" i="5"/>
  <c r="A236" i="5"/>
  <c r="A237" i="7"/>
  <c r="L243" i="2"/>
  <c r="M242" i="2"/>
  <c r="N242" i="2"/>
  <c r="F235" i="7"/>
  <c r="E235" i="7"/>
  <c r="B235" i="5"/>
  <c r="B236" i="7"/>
  <c r="O241" i="2"/>
  <c r="H234" i="7" l="1"/>
  <c r="A237" i="5"/>
  <c r="A238" i="7"/>
  <c r="M243" i="2"/>
  <c r="N243" i="2"/>
  <c r="L244" i="2"/>
  <c r="D235" i="5"/>
  <c r="D236" i="7"/>
  <c r="G235" i="7"/>
  <c r="E236" i="7"/>
  <c r="F236" i="7"/>
  <c r="C237" i="7"/>
  <c r="C236" i="5"/>
  <c r="B236" i="5"/>
  <c r="B237" i="7"/>
  <c r="O242" i="2"/>
  <c r="A238" i="5" l="1"/>
  <c r="A239" i="7"/>
  <c r="M244" i="2"/>
  <c r="N244" i="2"/>
  <c r="L245" i="2"/>
  <c r="H235" i="7"/>
  <c r="I235" i="7"/>
  <c r="C238" i="7"/>
  <c r="C237" i="5"/>
  <c r="D237" i="7"/>
  <c r="D236" i="5"/>
  <c r="B237" i="5"/>
  <c r="B238" i="7"/>
  <c r="O243" i="2"/>
  <c r="E237" i="7"/>
  <c r="F237" i="7"/>
  <c r="G236" i="7"/>
  <c r="G237" i="7" l="1"/>
  <c r="I237" i="7" s="1"/>
  <c r="H236" i="7"/>
  <c r="I236" i="7"/>
  <c r="E238" i="7"/>
  <c r="F238" i="7"/>
  <c r="A239" i="5"/>
  <c r="A240" i="7"/>
  <c r="M245" i="2"/>
  <c r="N245" i="2"/>
  <c r="L246" i="2"/>
  <c r="C239" i="7"/>
  <c r="C238" i="5"/>
  <c r="B238" i="5"/>
  <c r="B239" i="7"/>
  <c r="O244" i="2"/>
  <c r="D237" i="5"/>
  <c r="D238" i="7"/>
  <c r="H237" i="7" l="1"/>
  <c r="G238" i="7"/>
  <c r="H238" i="7" s="1"/>
  <c r="A240" i="5"/>
  <c r="A241" i="7"/>
  <c r="M246" i="2"/>
  <c r="N246" i="2"/>
  <c r="L247" i="2"/>
  <c r="D238" i="5"/>
  <c r="D239" i="7"/>
  <c r="C239" i="5"/>
  <c r="C240" i="7"/>
  <c r="E239" i="7"/>
  <c r="F239" i="7"/>
  <c r="B239" i="5"/>
  <c r="B240" i="7"/>
  <c r="O245" i="2"/>
  <c r="I238" i="7" l="1"/>
  <c r="G239" i="7"/>
  <c r="I239" i="7" s="1"/>
  <c r="A241" i="5"/>
  <c r="A242" i="7"/>
  <c r="M247" i="2"/>
  <c r="N247" i="2"/>
  <c r="L248" i="2"/>
  <c r="D239" i="5"/>
  <c r="D240" i="7"/>
  <c r="C241" i="7"/>
  <c r="C240" i="5"/>
  <c r="E240" i="7"/>
  <c r="F240" i="7"/>
  <c r="B241" i="7"/>
  <c r="B240" i="5"/>
  <c r="O246" i="2"/>
  <c r="H239" i="7" l="1"/>
  <c r="G240" i="7"/>
  <c r="I240" i="7" s="1"/>
  <c r="B242" i="7"/>
  <c r="B241" i="5"/>
  <c r="O247" i="2"/>
  <c r="D240" i="5"/>
  <c r="D241" i="7"/>
  <c r="A242" i="5"/>
  <c r="A243" i="7"/>
  <c r="N248" i="2"/>
  <c r="M248" i="2"/>
  <c r="L249" i="2"/>
  <c r="F241" i="7"/>
  <c r="E241" i="7"/>
  <c r="C242" i="7"/>
  <c r="C241" i="5"/>
  <c r="H240" i="7" l="1"/>
  <c r="G241" i="7"/>
  <c r="H241" i="7" s="1"/>
  <c r="D242" i="7"/>
  <c r="D241" i="5"/>
  <c r="A243" i="5"/>
  <c r="A244" i="7"/>
  <c r="N249" i="2"/>
  <c r="M249" i="2"/>
  <c r="L250" i="2"/>
  <c r="B243" i="7"/>
  <c r="B242" i="5"/>
  <c r="O248" i="2"/>
  <c r="E242" i="7"/>
  <c r="F242" i="7"/>
  <c r="C243" i="7"/>
  <c r="C242" i="5"/>
  <c r="I241" i="7" l="1"/>
  <c r="A244" i="5"/>
  <c r="A245" i="7"/>
  <c r="N250" i="2"/>
  <c r="M250" i="2"/>
  <c r="L251" i="2"/>
  <c r="D243" i="7"/>
  <c r="D242" i="5"/>
  <c r="B243" i="5"/>
  <c r="B244" i="7"/>
  <c r="O249" i="2"/>
  <c r="C244" i="7"/>
  <c r="C243" i="5"/>
  <c r="G242" i="7"/>
  <c r="E243" i="7"/>
  <c r="F243" i="7"/>
  <c r="G243" i="7" l="1"/>
  <c r="I243" i="7" s="1"/>
  <c r="I242" i="7"/>
  <c r="H242" i="7"/>
  <c r="F244" i="7"/>
  <c r="E244" i="7"/>
  <c r="A245" i="5"/>
  <c r="A246" i="7"/>
  <c r="N251" i="2"/>
  <c r="M251" i="2"/>
  <c r="L252" i="2"/>
  <c r="B245" i="7"/>
  <c r="B244" i="5"/>
  <c r="O250" i="2"/>
  <c r="C244" i="5"/>
  <c r="C245" i="7"/>
  <c r="D244" i="7"/>
  <c r="D243" i="5"/>
  <c r="H243" i="7" l="1"/>
  <c r="A246" i="5"/>
  <c r="A247" i="7"/>
  <c r="M252" i="2"/>
  <c r="N252" i="2"/>
  <c r="L253" i="2"/>
  <c r="D244" i="5"/>
  <c r="D245" i="7"/>
  <c r="B246" i="7"/>
  <c r="B245" i="5"/>
  <c r="O251" i="2"/>
  <c r="C245" i="5"/>
  <c r="C246" i="7"/>
  <c r="G244" i="7"/>
  <c r="E245" i="7"/>
  <c r="F245" i="7"/>
  <c r="G245" i="7" l="1"/>
  <c r="H245" i="7" s="1"/>
  <c r="B247" i="7"/>
  <c r="B246" i="5"/>
  <c r="O252" i="2"/>
  <c r="D246" i="7"/>
  <c r="D245" i="5"/>
  <c r="F246" i="7"/>
  <c r="E246" i="7"/>
  <c r="C247" i="7"/>
  <c r="C246" i="5"/>
  <c r="I244" i="7"/>
  <c r="H244" i="7"/>
  <c r="A247" i="5"/>
  <c r="A248" i="7"/>
  <c r="M253" i="2"/>
  <c r="N253" i="2"/>
  <c r="L254" i="2"/>
  <c r="E247" i="7" l="1"/>
  <c r="I245" i="7"/>
  <c r="B248" i="7"/>
  <c r="B247" i="5"/>
  <c r="O253" i="2"/>
  <c r="D246" i="5"/>
  <c r="D247" i="7"/>
  <c r="A248" i="5"/>
  <c r="A249" i="7"/>
  <c r="N254" i="2"/>
  <c r="M254" i="2"/>
  <c r="L255" i="2"/>
  <c r="G246" i="7"/>
  <c r="C248" i="7"/>
  <c r="C247" i="5"/>
  <c r="F247" i="7"/>
  <c r="G247" i="7" l="1"/>
  <c r="H247" i="7" s="1"/>
  <c r="C249" i="7"/>
  <c r="C248" i="5"/>
  <c r="H246" i="7"/>
  <c r="I246" i="7"/>
  <c r="D248" i="7"/>
  <c r="D247" i="5"/>
  <c r="A249" i="5"/>
  <c r="A250" i="7"/>
  <c r="M255" i="2"/>
  <c r="N255" i="2"/>
  <c r="L256" i="2"/>
  <c r="B249" i="7"/>
  <c r="B248" i="5"/>
  <c r="O254" i="2"/>
  <c r="F248" i="7"/>
  <c r="E248" i="7"/>
  <c r="I247" i="7" l="1"/>
  <c r="C249" i="5"/>
  <c r="C250" i="7"/>
  <c r="D248" i="5"/>
  <c r="D249" i="7"/>
  <c r="B250" i="7"/>
  <c r="B249" i="5"/>
  <c r="O255" i="2"/>
  <c r="F249" i="7"/>
  <c r="E249" i="7"/>
  <c r="G248" i="7"/>
  <c r="A250" i="5"/>
  <c r="A251" i="7"/>
  <c r="N256" i="2"/>
  <c r="M256" i="2"/>
  <c r="L257" i="2"/>
  <c r="G249" i="7" l="1"/>
  <c r="I249" i="7" s="1"/>
  <c r="B251" i="7"/>
  <c r="B250" i="5"/>
  <c r="O256" i="2"/>
  <c r="H248" i="7"/>
  <c r="I248" i="7"/>
  <c r="A251" i="5"/>
  <c r="A252" i="7"/>
  <c r="N257" i="2"/>
  <c r="M257" i="2"/>
  <c r="L258" i="2"/>
  <c r="D250" i="7"/>
  <c r="D249" i="5"/>
  <c r="C250" i="5"/>
  <c r="C251" i="7"/>
  <c r="F250" i="7"/>
  <c r="E250" i="7"/>
  <c r="H249" i="7" l="1"/>
  <c r="B251" i="5"/>
  <c r="B252" i="7"/>
  <c r="O257" i="2"/>
  <c r="D250" i="5"/>
  <c r="D251" i="7"/>
  <c r="A252" i="5"/>
  <c r="A253" i="7"/>
  <c r="N258" i="2"/>
  <c r="M258" i="2"/>
  <c r="L259" i="2"/>
  <c r="C252" i="7"/>
  <c r="C251" i="5"/>
  <c r="G250" i="7"/>
  <c r="F251" i="7"/>
  <c r="E251" i="7"/>
  <c r="C253" i="7" l="1"/>
  <c r="C252" i="5"/>
  <c r="D251" i="5"/>
  <c r="D252" i="7"/>
  <c r="G251" i="7"/>
  <c r="A253" i="5"/>
  <c r="A254" i="7"/>
  <c r="M259" i="2"/>
  <c r="N259" i="2"/>
  <c r="L260" i="2"/>
  <c r="E252" i="7"/>
  <c r="F252" i="7"/>
  <c r="I250" i="7"/>
  <c r="H250" i="7"/>
  <c r="B253" i="7"/>
  <c r="B252" i="5"/>
  <c r="O258" i="2"/>
  <c r="G252" i="7" l="1"/>
  <c r="B254" i="7"/>
  <c r="B253" i="5"/>
  <c r="O259" i="2"/>
  <c r="F253" i="7"/>
  <c r="E253" i="7"/>
  <c r="A254" i="5"/>
  <c r="A255" i="7"/>
  <c r="N260" i="2"/>
  <c r="M260" i="2"/>
  <c r="L261" i="2"/>
  <c r="I252" i="7"/>
  <c r="H252" i="7"/>
  <c r="D252" i="5"/>
  <c r="D253" i="7"/>
  <c r="C253" i="5"/>
  <c r="C254" i="7"/>
  <c r="I251" i="7"/>
  <c r="H251" i="7"/>
  <c r="C255" i="7" l="1"/>
  <c r="C254" i="5"/>
  <c r="D254" i="7"/>
  <c r="D253" i="5"/>
  <c r="A255" i="5"/>
  <c r="A256" i="7"/>
  <c r="M261" i="2"/>
  <c r="N261" i="2"/>
  <c r="L262" i="2"/>
  <c r="B255" i="7"/>
  <c r="B254" i="5"/>
  <c r="O260" i="2"/>
  <c r="G253" i="7"/>
  <c r="E254" i="7"/>
  <c r="F254" i="7"/>
  <c r="G254" i="7" l="1"/>
  <c r="I254" i="7" s="1"/>
  <c r="C256" i="7"/>
  <c r="C255" i="5"/>
  <c r="D255" i="7"/>
  <c r="D254" i="5"/>
  <c r="B256" i="7"/>
  <c r="B255" i="5"/>
  <c r="O261" i="2"/>
  <c r="F255" i="7"/>
  <c r="E255" i="7"/>
  <c r="I253" i="7"/>
  <c r="H253" i="7"/>
  <c r="A256" i="5"/>
  <c r="A257" i="7"/>
  <c r="N262" i="2"/>
  <c r="M262" i="2"/>
  <c r="L263" i="2"/>
  <c r="H254" i="7" l="1"/>
  <c r="C257" i="7"/>
  <c r="C256" i="5"/>
  <c r="E256" i="7"/>
  <c r="F256" i="7"/>
  <c r="A257" i="5"/>
  <c r="A258" i="7"/>
  <c r="M263" i="2"/>
  <c r="N263" i="2"/>
  <c r="L264" i="2"/>
  <c r="G255" i="7"/>
  <c r="B257" i="7"/>
  <c r="B256" i="5"/>
  <c r="O262" i="2"/>
  <c r="D256" i="7"/>
  <c r="D255" i="5"/>
  <c r="G256" i="7" l="1"/>
  <c r="C257" i="5"/>
  <c r="C258" i="7"/>
  <c r="I256" i="7"/>
  <c r="H256" i="7"/>
  <c r="E257" i="7"/>
  <c r="F257" i="7"/>
  <c r="H255" i="7"/>
  <c r="I255" i="7"/>
  <c r="B257" i="5"/>
  <c r="B258" i="7"/>
  <c r="O263" i="2"/>
  <c r="D256" i="5"/>
  <c r="D257" i="7"/>
  <c r="A258" i="5"/>
  <c r="A259" i="7"/>
  <c r="N264" i="2"/>
  <c r="M264" i="2"/>
  <c r="L265" i="2"/>
  <c r="G257" i="7" l="1"/>
  <c r="C258" i="5"/>
  <c r="C259" i="7"/>
  <c r="D258" i="7"/>
  <c r="D257" i="5"/>
  <c r="A259" i="5"/>
  <c r="A260" i="7"/>
  <c r="M265" i="2"/>
  <c r="N265" i="2"/>
  <c r="L266" i="2"/>
  <c r="E258" i="7"/>
  <c r="F258" i="7"/>
  <c r="H257" i="7"/>
  <c r="I257" i="7"/>
  <c r="B259" i="7"/>
  <c r="B258" i="5"/>
  <c r="O264" i="2"/>
  <c r="G258" i="7" l="1"/>
  <c r="H258" i="7" s="1"/>
  <c r="C260" i="7"/>
  <c r="C259" i="5"/>
  <c r="D259" i="7"/>
  <c r="D258" i="5"/>
  <c r="B259" i="5"/>
  <c r="B260" i="7"/>
  <c r="O265" i="2"/>
  <c r="E259" i="7"/>
  <c r="F259" i="7"/>
  <c r="A260" i="5"/>
  <c r="A261" i="7"/>
  <c r="M266" i="2"/>
  <c r="N266" i="2"/>
  <c r="L267" i="2"/>
  <c r="I258" i="7" l="1"/>
  <c r="G259" i="7"/>
  <c r="H259" i="7" s="1"/>
  <c r="C261" i="7"/>
  <c r="C260" i="5"/>
  <c r="A261" i="5"/>
  <c r="A262" i="7"/>
  <c r="M267" i="2"/>
  <c r="N267" i="2"/>
  <c r="L268" i="2"/>
  <c r="E260" i="7"/>
  <c r="F260" i="7"/>
  <c r="B261" i="7"/>
  <c r="B260" i="5"/>
  <c r="O266" i="2"/>
  <c r="D260" i="7"/>
  <c r="D259" i="5"/>
  <c r="I259" i="7" l="1"/>
  <c r="G260" i="7"/>
  <c r="H260" i="7" s="1"/>
  <c r="B262" i="7"/>
  <c r="B261" i="5"/>
  <c r="O267" i="2"/>
  <c r="F261" i="7"/>
  <c r="E261" i="7"/>
  <c r="C262" i="7"/>
  <c r="C261" i="5"/>
  <c r="D261" i="7"/>
  <c r="D260" i="5"/>
  <c r="A262" i="5"/>
  <c r="A263" i="7"/>
  <c r="N268" i="2"/>
  <c r="M268" i="2"/>
  <c r="L269" i="2"/>
  <c r="I260" i="7" l="1"/>
  <c r="G261" i="7"/>
  <c r="I261" i="7" s="1"/>
  <c r="C263" i="7"/>
  <c r="C262" i="5"/>
  <c r="A263" i="5"/>
  <c r="A264" i="7"/>
  <c r="M269" i="2"/>
  <c r="N269" i="2"/>
  <c r="L270" i="2"/>
  <c r="B263" i="7"/>
  <c r="B262" i="5"/>
  <c r="O268" i="2"/>
  <c r="D261" i="5"/>
  <c r="D262" i="7"/>
  <c r="F262" i="7"/>
  <c r="E262" i="7"/>
  <c r="H261" i="7" l="1"/>
  <c r="C264" i="7"/>
  <c r="C263" i="5"/>
  <c r="D263" i="7"/>
  <c r="D262" i="5"/>
  <c r="G262" i="7"/>
  <c r="A264" i="5"/>
  <c r="A265" i="7"/>
  <c r="N270" i="2"/>
  <c r="M270" i="2"/>
  <c r="L271" i="2"/>
  <c r="F263" i="7"/>
  <c r="E263" i="7"/>
  <c r="B264" i="7"/>
  <c r="B263" i="5"/>
  <c r="O269" i="2"/>
  <c r="G263" i="7" l="1"/>
  <c r="I263" i="7" s="1"/>
  <c r="C265" i="7"/>
  <c r="C264" i="5"/>
  <c r="E264" i="7"/>
  <c r="F264" i="7"/>
  <c r="B264" i="5"/>
  <c r="B265" i="7"/>
  <c r="O270" i="2"/>
  <c r="I262" i="7"/>
  <c r="H262" i="7"/>
  <c r="D264" i="7"/>
  <c r="D263" i="5"/>
  <c r="A265" i="5"/>
  <c r="A266" i="7"/>
  <c r="M271" i="2"/>
  <c r="N271" i="2"/>
  <c r="L272" i="2"/>
  <c r="H263" i="7" l="1"/>
  <c r="G264" i="7"/>
  <c r="H264" i="7" s="1"/>
  <c r="B266" i="7"/>
  <c r="B265" i="5"/>
  <c r="O271" i="2"/>
  <c r="D264" i="5"/>
  <c r="D265" i="7"/>
  <c r="C266" i="7"/>
  <c r="C265" i="5"/>
  <c r="A266" i="5"/>
  <c r="A267" i="7"/>
  <c r="N272" i="2"/>
  <c r="M272" i="2"/>
  <c r="L273" i="2"/>
  <c r="E265" i="7"/>
  <c r="F265" i="7"/>
  <c r="I264" i="7" l="1"/>
  <c r="B266" i="5"/>
  <c r="B267" i="7"/>
  <c r="O272" i="2"/>
  <c r="F266" i="7"/>
  <c r="E266" i="7"/>
  <c r="D266" i="7"/>
  <c r="D265" i="5"/>
  <c r="C267" i="7"/>
  <c r="C266" i="5"/>
  <c r="G265" i="7"/>
  <c r="A268" i="7"/>
  <c r="A267" i="5"/>
  <c r="M273" i="2"/>
  <c r="N273" i="2"/>
  <c r="L274" i="2"/>
  <c r="B268" i="7" l="1"/>
  <c r="B267" i="5"/>
  <c r="O273" i="2"/>
  <c r="G266" i="7"/>
  <c r="A268" i="5"/>
  <c r="A269" i="7"/>
  <c r="N274" i="2"/>
  <c r="M274" i="2"/>
  <c r="L275" i="2"/>
  <c r="D266" i="5"/>
  <c r="D267" i="7"/>
  <c r="C267" i="5"/>
  <c r="C268" i="7"/>
  <c r="H265" i="7"/>
  <c r="I265" i="7"/>
  <c r="F267" i="7"/>
  <c r="E267" i="7"/>
  <c r="A269" i="5" l="1"/>
  <c r="A270" i="7"/>
  <c r="M275" i="2"/>
  <c r="N275" i="2"/>
  <c r="L276" i="2"/>
  <c r="F268" i="7"/>
  <c r="E268" i="7"/>
  <c r="G267" i="7"/>
  <c r="C269" i="7"/>
  <c r="C268" i="5"/>
  <c r="D268" i="7"/>
  <c r="D267" i="5"/>
  <c r="B269" i="7"/>
  <c r="B268" i="5"/>
  <c r="O274" i="2"/>
  <c r="I266" i="7"/>
  <c r="H266" i="7"/>
  <c r="G268" i="7" l="1"/>
  <c r="H268" i="7" s="1"/>
  <c r="E269" i="7"/>
  <c r="F269" i="7"/>
  <c r="A270" i="5"/>
  <c r="A271" i="7"/>
  <c r="M276" i="2"/>
  <c r="N276" i="2"/>
  <c r="L277" i="2"/>
  <c r="I267" i="7"/>
  <c r="H267" i="7"/>
  <c r="B270" i="7"/>
  <c r="B269" i="5"/>
  <c r="O275" i="2"/>
  <c r="C270" i="7"/>
  <c r="C269" i="5"/>
  <c r="D268" i="5"/>
  <c r="D269" i="7"/>
  <c r="I268" i="7" l="1"/>
  <c r="B270" i="5"/>
  <c r="B271" i="7"/>
  <c r="O276" i="2"/>
  <c r="D269" i="5"/>
  <c r="D270" i="7"/>
  <c r="A271" i="5"/>
  <c r="A272" i="7"/>
  <c r="L278" i="2"/>
  <c r="N277" i="2"/>
  <c r="M277" i="2"/>
  <c r="E270" i="7"/>
  <c r="F270" i="7"/>
  <c r="C271" i="7"/>
  <c r="C270" i="5"/>
  <c r="G269" i="7"/>
  <c r="G270" i="7" l="1"/>
  <c r="H270" i="7" s="1"/>
  <c r="C272" i="7"/>
  <c r="C271" i="5"/>
  <c r="A272" i="5"/>
  <c r="A273" i="7"/>
  <c r="L279" i="2"/>
  <c r="N278" i="2"/>
  <c r="M278" i="2"/>
  <c r="I269" i="7"/>
  <c r="H269" i="7"/>
  <c r="D271" i="7"/>
  <c r="D270" i="5"/>
  <c r="B272" i="7"/>
  <c r="B271" i="5"/>
  <c r="O277" i="2"/>
  <c r="F271" i="7"/>
  <c r="E271" i="7"/>
  <c r="I270" i="7" l="1"/>
  <c r="G271" i="7"/>
  <c r="I271" i="7" s="1"/>
  <c r="C273" i="7"/>
  <c r="C272" i="5"/>
  <c r="A273" i="5"/>
  <c r="A274" i="7"/>
  <c r="L280" i="2"/>
  <c r="M279" i="2"/>
  <c r="N279" i="2"/>
  <c r="B273" i="7"/>
  <c r="B272" i="5"/>
  <c r="O278" i="2"/>
  <c r="D271" i="5"/>
  <c r="D272" i="7"/>
  <c r="E272" i="7"/>
  <c r="F272" i="7"/>
  <c r="H271" i="7" l="1"/>
  <c r="C273" i="5"/>
  <c r="C274" i="7"/>
  <c r="D272" i="5"/>
  <c r="D273" i="7"/>
  <c r="G272" i="7"/>
  <c r="A274" i="5"/>
  <c r="A275" i="7"/>
  <c r="L281" i="2"/>
  <c r="N280" i="2"/>
  <c r="M280" i="2"/>
  <c r="B273" i="5"/>
  <c r="B274" i="7"/>
  <c r="O279" i="2"/>
  <c r="E273" i="7"/>
  <c r="F273" i="7"/>
  <c r="C275" i="7" l="1"/>
  <c r="C274" i="5"/>
  <c r="I272" i="7"/>
  <c r="H272" i="7"/>
  <c r="E274" i="7"/>
  <c r="F274" i="7"/>
  <c r="A275" i="5"/>
  <c r="A276" i="7"/>
  <c r="L282" i="2"/>
  <c r="M281" i="2"/>
  <c r="N281" i="2"/>
  <c r="G273" i="7"/>
  <c r="D273" i="5"/>
  <c r="D274" i="7"/>
  <c r="B274" i="5"/>
  <c r="O280" i="2"/>
  <c r="B275" i="7"/>
  <c r="G274" i="7" l="1"/>
  <c r="I274" i="7" s="1"/>
  <c r="C276" i="7"/>
  <c r="C275" i="5"/>
  <c r="D275" i="7"/>
  <c r="D274" i="5"/>
  <c r="H273" i="7"/>
  <c r="I273" i="7"/>
  <c r="B275" i="5"/>
  <c r="B276" i="7"/>
  <c r="O281" i="2"/>
  <c r="F275" i="7"/>
  <c r="E275" i="7"/>
  <c r="A276" i="5"/>
  <c r="A277" i="7"/>
  <c r="L283" i="2"/>
  <c r="M282" i="2"/>
  <c r="N282" i="2"/>
  <c r="H274" i="7" l="1"/>
  <c r="G275" i="7"/>
  <c r="H275" i="7" s="1"/>
  <c r="C276" i="5"/>
  <c r="C277" i="7"/>
  <c r="E276" i="7"/>
  <c r="F276" i="7"/>
  <c r="A277" i="5"/>
  <c r="A278" i="7"/>
  <c r="L284" i="2"/>
  <c r="M283" i="2"/>
  <c r="N283" i="2"/>
  <c r="D275" i="5"/>
  <c r="D276" i="7"/>
  <c r="B276" i="5"/>
  <c r="B277" i="7"/>
  <c r="O282" i="2"/>
  <c r="G276" i="7" l="1"/>
  <c r="I276" i="7" s="1"/>
  <c r="I275" i="7"/>
  <c r="B278" i="7"/>
  <c r="B277" i="5"/>
  <c r="O283" i="2"/>
  <c r="F277" i="7"/>
  <c r="E277" i="7"/>
  <c r="A278" i="5"/>
  <c r="A279" i="7"/>
  <c r="L285" i="2"/>
  <c r="N284" i="2"/>
  <c r="M284" i="2"/>
  <c r="D277" i="7"/>
  <c r="D276" i="5"/>
  <c r="C278" i="7"/>
  <c r="C277" i="5"/>
  <c r="H276" i="7" l="1"/>
  <c r="C278" i="5"/>
  <c r="C279" i="7"/>
  <c r="G277" i="7"/>
  <c r="B279" i="7"/>
  <c r="B278" i="5"/>
  <c r="O284" i="2"/>
  <c r="D278" i="7"/>
  <c r="D277" i="5"/>
  <c r="A279" i="5"/>
  <c r="A280" i="7"/>
  <c r="L286" i="2"/>
  <c r="M285" i="2"/>
  <c r="N285" i="2"/>
  <c r="E278" i="7"/>
  <c r="F278" i="7"/>
  <c r="G278" i="7" l="1"/>
  <c r="H278" i="7" s="1"/>
  <c r="B280" i="7"/>
  <c r="O285" i="2"/>
  <c r="B279" i="5"/>
  <c r="F279" i="7"/>
  <c r="E279" i="7"/>
  <c r="A280" i="5"/>
  <c r="A281" i="7"/>
  <c r="L287" i="2"/>
  <c r="N286" i="2"/>
  <c r="M286" i="2"/>
  <c r="H277" i="7"/>
  <c r="I277" i="7"/>
  <c r="D279" i="7"/>
  <c r="D278" i="5"/>
  <c r="C280" i="7"/>
  <c r="C279" i="5"/>
  <c r="G279" i="7" l="1"/>
  <c r="I279" i="7" s="1"/>
  <c r="I278" i="7"/>
  <c r="B281" i="7"/>
  <c r="B280" i="5"/>
  <c r="O286" i="2"/>
  <c r="D280" i="7"/>
  <c r="D279" i="5"/>
  <c r="C280" i="5"/>
  <c r="C281" i="7"/>
  <c r="A281" i="5"/>
  <c r="A282" i="7"/>
  <c r="L288" i="2"/>
  <c r="M287" i="2"/>
  <c r="N287" i="2"/>
  <c r="E280" i="7"/>
  <c r="F280" i="7"/>
  <c r="H279" i="7" l="1"/>
  <c r="G280" i="7"/>
  <c r="H280" i="7" s="1"/>
  <c r="C282" i="7"/>
  <c r="C281" i="5"/>
  <c r="A282" i="5"/>
  <c r="A283" i="7"/>
  <c r="L289" i="2"/>
  <c r="N288" i="2"/>
  <c r="M288" i="2"/>
  <c r="D281" i="7"/>
  <c r="D280" i="5"/>
  <c r="B282" i="7"/>
  <c r="B281" i="5"/>
  <c r="O287" i="2"/>
  <c r="F281" i="7"/>
  <c r="E281" i="7"/>
  <c r="I280" i="7" l="1"/>
  <c r="C283" i="7"/>
  <c r="C282" i="5"/>
  <c r="G281" i="7"/>
  <c r="A283" i="5"/>
  <c r="A284" i="7"/>
  <c r="M289" i="2"/>
  <c r="N289" i="2"/>
  <c r="L290" i="2"/>
  <c r="D281" i="5"/>
  <c r="D282" i="7"/>
  <c r="F282" i="7"/>
  <c r="E282" i="7"/>
  <c r="B283" i="7"/>
  <c r="B282" i="5"/>
  <c r="O288" i="2"/>
  <c r="C283" i="5" l="1"/>
  <c r="C284" i="7"/>
  <c r="H281" i="7"/>
  <c r="I281" i="7"/>
  <c r="A284" i="5"/>
  <c r="A285" i="7"/>
  <c r="N290" i="2"/>
  <c r="M290" i="2"/>
  <c r="L291" i="2"/>
  <c r="D282" i="5"/>
  <c r="D283" i="7"/>
  <c r="G282" i="7"/>
  <c r="B284" i="7"/>
  <c r="B283" i="5"/>
  <c r="O289" i="2"/>
  <c r="E283" i="7"/>
  <c r="F283" i="7"/>
  <c r="G283" i="7" l="1"/>
  <c r="H283" i="7" s="1"/>
  <c r="C284" i="5"/>
  <c r="C285" i="7"/>
  <c r="I282" i="7"/>
  <c r="H282" i="7"/>
  <c r="B285" i="7"/>
  <c r="B284" i="5"/>
  <c r="O290" i="2"/>
  <c r="D283" i="5"/>
  <c r="D284" i="7"/>
  <c r="E284" i="7"/>
  <c r="F284" i="7"/>
  <c r="G284" i="7" s="1"/>
  <c r="A285" i="5"/>
  <c r="A286" i="7"/>
  <c r="M291" i="2"/>
  <c r="N291" i="2"/>
  <c r="L292" i="2"/>
  <c r="I283" i="7" l="1"/>
  <c r="C286" i="7"/>
  <c r="C285" i="5"/>
  <c r="I284" i="7"/>
  <c r="H284" i="7"/>
  <c r="D285" i="7"/>
  <c r="D284" i="5"/>
  <c r="B286" i="7"/>
  <c r="B285" i="5"/>
  <c r="O291" i="2"/>
  <c r="F285" i="7"/>
  <c r="E285" i="7"/>
  <c r="A286" i="5"/>
  <c r="A287" i="7"/>
  <c r="M292" i="2"/>
  <c r="N292" i="2"/>
  <c r="L293" i="2"/>
  <c r="E286" i="7" l="1"/>
  <c r="C286" i="5"/>
  <c r="C287" i="7"/>
  <c r="G285" i="7"/>
  <c r="A287" i="5"/>
  <c r="A288" i="7"/>
  <c r="N293" i="2"/>
  <c r="M293" i="2"/>
  <c r="L294" i="2"/>
  <c r="B287" i="7"/>
  <c r="B286" i="5"/>
  <c r="O292" i="2"/>
  <c r="D285" i="5"/>
  <c r="D286" i="7"/>
  <c r="F286" i="7"/>
  <c r="G286" i="7" l="1"/>
  <c r="H286" i="7" s="1"/>
  <c r="I286" i="7"/>
  <c r="D287" i="7"/>
  <c r="D286" i="5"/>
  <c r="C288" i="7"/>
  <c r="C287" i="5"/>
  <c r="E287" i="7"/>
  <c r="F287" i="7"/>
  <c r="B288" i="7"/>
  <c r="B287" i="5"/>
  <c r="O293" i="2"/>
  <c r="I285" i="7"/>
  <c r="H285" i="7"/>
  <c r="A288" i="5"/>
  <c r="A289" i="7"/>
  <c r="N294" i="2"/>
  <c r="M294" i="2"/>
  <c r="L295" i="2"/>
  <c r="G287" i="7" l="1"/>
  <c r="I287" i="7" s="1"/>
  <c r="C289" i="7"/>
  <c r="C288" i="5"/>
  <c r="D287" i="5"/>
  <c r="D288" i="7"/>
  <c r="A289" i="5"/>
  <c r="A290" i="7"/>
  <c r="M295" i="2"/>
  <c r="N295" i="2"/>
  <c r="L296" i="2"/>
  <c r="B289" i="7"/>
  <c r="B288" i="5"/>
  <c r="O294" i="2"/>
  <c r="E288" i="7"/>
  <c r="F288" i="7"/>
  <c r="H287" i="7" l="1"/>
  <c r="G288" i="7"/>
  <c r="H288" i="7" s="1"/>
  <c r="E289" i="7"/>
  <c r="F289" i="7"/>
  <c r="A290" i="5"/>
  <c r="A291" i="7"/>
  <c r="N296" i="2"/>
  <c r="M296" i="2"/>
  <c r="L297" i="2"/>
  <c r="D288" i="5"/>
  <c r="D289" i="7"/>
  <c r="C289" i="5"/>
  <c r="C290" i="7"/>
  <c r="B289" i="5"/>
  <c r="B290" i="7"/>
  <c r="O295" i="2"/>
  <c r="I288" i="7" l="1"/>
  <c r="G289" i="7"/>
  <c r="I289" i="7" s="1"/>
  <c r="D290" i="7"/>
  <c r="D289" i="5"/>
  <c r="C290" i="5"/>
  <c r="C291" i="7"/>
  <c r="B291" i="7"/>
  <c r="B290" i="5"/>
  <c r="O296" i="2"/>
  <c r="E290" i="7"/>
  <c r="F290" i="7"/>
  <c r="A291" i="5"/>
  <c r="A292" i="7"/>
  <c r="M297" i="2"/>
  <c r="N297" i="2"/>
  <c r="L298" i="2"/>
  <c r="H289" i="7" l="1"/>
  <c r="G290" i="7"/>
  <c r="H290" i="7" s="1"/>
  <c r="A292" i="5"/>
  <c r="A293" i="7"/>
  <c r="M298" i="2"/>
  <c r="N298" i="2"/>
  <c r="L299" i="2"/>
  <c r="B291" i="5"/>
  <c r="B292" i="7"/>
  <c r="O297" i="2"/>
  <c r="C292" i="7"/>
  <c r="C291" i="5"/>
  <c r="D291" i="7"/>
  <c r="D290" i="5"/>
  <c r="E291" i="7"/>
  <c r="F291" i="7"/>
  <c r="G291" i="7" l="1"/>
  <c r="I291" i="7" s="1"/>
  <c r="I290" i="7"/>
  <c r="H291" i="7"/>
  <c r="D291" i="5"/>
  <c r="D292" i="7"/>
  <c r="B293" i="7"/>
  <c r="B292" i="5"/>
  <c r="O298" i="2"/>
  <c r="C293" i="7"/>
  <c r="C292" i="5"/>
  <c r="E292" i="7"/>
  <c r="F292" i="7"/>
  <c r="A293" i="5"/>
  <c r="A294" i="7"/>
  <c r="M299" i="2"/>
  <c r="N299" i="2"/>
  <c r="L300" i="2"/>
  <c r="A294" i="5" l="1"/>
  <c r="A295" i="7"/>
  <c r="N300" i="2"/>
  <c r="M300" i="2"/>
  <c r="L301" i="2"/>
  <c r="B294" i="7"/>
  <c r="B293" i="5"/>
  <c r="O299" i="2"/>
  <c r="G292" i="7"/>
  <c r="C294" i="7"/>
  <c r="C293" i="5"/>
  <c r="D292" i="5"/>
  <c r="D293" i="7"/>
  <c r="F293" i="7"/>
  <c r="E293" i="7"/>
  <c r="D294" i="7" l="1"/>
  <c r="D293" i="5"/>
  <c r="C295" i="7"/>
  <c r="C294" i="5"/>
  <c r="G293" i="7"/>
  <c r="E294" i="7"/>
  <c r="F294" i="7"/>
  <c r="B295" i="7"/>
  <c r="B294" i="5"/>
  <c r="O300" i="2"/>
  <c r="I292" i="7"/>
  <c r="H292" i="7"/>
  <c r="A295" i="5"/>
  <c r="A296" i="7"/>
  <c r="M301" i="2"/>
  <c r="N301" i="2"/>
  <c r="L302" i="2"/>
  <c r="G294" i="7" l="1"/>
  <c r="I294" i="7" s="1"/>
  <c r="A296" i="5"/>
  <c r="A297" i="7"/>
  <c r="N302" i="2"/>
  <c r="M302" i="2"/>
  <c r="L303" i="2"/>
  <c r="I293" i="7"/>
  <c r="H293" i="7"/>
  <c r="C296" i="7"/>
  <c r="C295" i="5"/>
  <c r="E295" i="7"/>
  <c r="F295" i="7"/>
  <c r="G295" i="7" s="1"/>
  <c r="B296" i="7"/>
  <c r="B295" i="5"/>
  <c r="O301" i="2"/>
  <c r="D295" i="7"/>
  <c r="D294" i="5"/>
  <c r="H294" i="7" l="1"/>
  <c r="A297" i="5"/>
  <c r="A298" i="7"/>
  <c r="M303" i="2"/>
  <c r="N303" i="2"/>
  <c r="L304" i="2"/>
  <c r="E296" i="7"/>
  <c r="F296" i="7"/>
  <c r="B296" i="5"/>
  <c r="B297" i="7"/>
  <c r="O302" i="2"/>
  <c r="H295" i="7"/>
  <c r="I295" i="7"/>
  <c r="C297" i="7"/>
  <c r="C296" i="5"/>
  <c r="D295" i="5"/>
  <c r="D296" i="7"/>
  <c r="G296" i="7" l="1"/>
  <c r="H296" i="7" s="1"/>
  <c r="C298" i="7"/>
  <c r="C297" i="5"/>
  <c r="B298" i="7"/>
  <c r="B297" i="5"/>
  <c r="O303" i="2"/>
  <c r="D297" i="7"/>
  <c r="D296" i="5"/>
  <c r="E297" i="7"/>
  <c r="F297" i="7"/>
  <c r="A298" i="5"/>
  <c r="A299" i="7"/>
  <c r="N304" i="2"/>
  <c r="M304" i="2"/>
  <c r="L305" i="2"/>
  <c r="I296" i="7" l="1"/>
  <c r="G297" i="7"/>
  <c r="I297" i="7" s="1"/>
  <c r="C299" i="7"/>
  <c r="C298" i="5"/>
  <c r="A299" i="5"/>
  <c r="A300" i="7"/>
  <c r="M305" i="2"/>
  <c r="N305" i="2"/>
  <c r="L306" i="2"/>
  <c r="B298" i="5"/>
  <c r="B299" i="7"/>
  <c r="O304" i="2"/>
  <c r="D298" i="7"/>
  <c r="D297" i="5"/>
  <c r="F298" i="7"/>
  <c r="E298" i="7"/>
  <c r="F299" i="7" l="1"/>
  <c r="H297" i="7"/>
  <c r="C299" i="5"/>
  <c r="C300" i="7"/>
  <c r="G298" i="7"/>
  <c r="A300" i="5"/>
  <c r="A301" i="7"/>
  <c r="N306" i="2"/>
  <c r="M306" i="2"/>
  <c r="L307" i="2"/>
  <c r="D299" i="7"/>
  <c r="D298" i="5"/>
  <c r="B300" i="7"/>
  <c r="B299" i="5"/>
  <c r="O305" i="2"/>
  <c r="E299" i="7"/>
  <c r="G299" i="7" s="1"/>
  <c r="H299" i="7" l="1"/>
  <c r="I299" i="7"/>
  <c r="B301" i="7"/>
  <c r="B300" i="5"/>
  <c r="O306" i="2"/>
  <c r="I298" i="7"/>
  <c r="H298" i="7"/>
  <c r="D299" i="5"/>
  <c r="D300" i="7"/>
  <c r="F300" i="7"/>
  <c r="E300" i="7"/>
  <c r="A301" i="5"/>
  <c r="A302" i="7"/>
  <c r="M307" i="2"/>
  <c r="N307" i="2"/>
  <c r="L308" i="2"/>
  <c r="C301" i="7"/>
  <c r="C300" i="5"/>
  <c r="A302" i="5" l="1"/>
  <c r="A303" i="7"/>
  <c r="M308" i="2"/>
  <c r="N308" i="2"/>
  <c r="L309" i="2"/>
  <c r="B302" i="7"/>
  <c r="B301" i="5"/>
  <c r="O307" i="2"/>
  <c r="G300" i="7"/>
  <c r="C302" i="7"/>
  <c r="C301" i="5"/>
  <c r="F301" i="7"/>
  <c r="E301" i="7"/>
  <c r="D301" i="7"/>
  <c r="D300" i="5"/>
  <c r="G301" i="7" l="1"/>
  <c r="H301" i="7" s="1"/>
  <c r="D301" i="5"/>
  <c r="D302" i="7"/>
  <c r="B302" i="5"/>
  <c r="B303" i="7"/>
  <c r="O308" i="2"/>
  <c r="E302" i="7"/>
  <c r="F302" i="7"/>
  <c r="C303" i="7"/>
  <c r="C302" i="5"/>
  <c r="H300" i="7"/>
  <c r="I300" i="7"/>
  <c r="A303" i="5"/>
  <c r="A304" i="7"/>
  <c r="N309" i="2"/>
  <c r="M309" i="2"/>
  <c r="L310" i="2"/>
  <c r="I301" i="7" l="1"/>
  <c r="G302" i="7"/>
  <c r="H302" i="7" s="1"/>
  <c r="C304" i="7"/>
  <c r="C303" i="5"/>
  <c r="D303" i="7"/>
  <c r="D302" i="5"/>
  <c r="A304" i="5"/>
  <c r="A305" i="7"/>
  <c r="N310" i="2"/>
  <c r="M310" i="2"/>
  <c r="L311" i="2"/>
  <c r="E303" i="7"/>
  <c r="F303" i="7"/>
  <c r="B304" i="7"/>
  <c r="B303" i="5"/>
  <c r="O309" i="2"/>
  <c r="I302" i="7" l="1"/>
  <c r="E304" i="7"/>
  <c r="F304" i="7"/>
  <c r="C305" i="7"/>
  <c r="C304" i="5"/>
  <c r="D304" i="7"/>
  <c r="D303" i="5"/>
  <c r="G303" i="7"/>
  <c r="B305" i="7"/>
  <c r="B304" i="5"/>
  <c r="O310" i="2"/>
  <c r="A305" i="5"/>
  <c r="A306" i="7"/>
  <c r="M311" i="2"/>
  <c r="N311" i="2"/>
  <c r="L312" i="2"/>
  <c r="E305" i="7" l="1"/>
  <c r="F305" i="7"/>
  <c r="A306" i="5"/>
  <c r="A307" i="7"/>
  <c r="N312" i="2"/>
  <c r="M312" i="2"/>
  <c r="L313" i="2"/>
  <c r="I303" i="7"/>
  <c r="H303" i="7"/>
  <c r="C305" i="5"/>
  <c r="C306" i="7"/>
  <c r="D305" i="7"/>
  <c r="D304" i="5"/>
  <c r="G304" i="7"/>
  <c r="B305" i="5"/>
  <c r="B306" i="7"/>
  <c r="O311" i="2"/>
  <c r="A307" i="5" l="1"/>
  <c r="A308" i="7"/>
  <c r="M313" i="2"/>
  <c r="N313" i="2"/>
  <c r="L314" i="2"/>
  <c r="I304" i="7"/>
  <c r="H304" i="7"/>
  <c r="B306" i="5"/>
  <c r="B307" i="7"/>
  <c r="O312" i="2"/>
  <c r="G305" i="7"/>
  <c r="F306" i="7"/>
  <c r="E306" i="7"/>
  <c r="D306" i="7"/>
  <c r="D305" i="5"/>
  <c r="C307" i="7"/>
  <c r="C306" i="5"/>
  <c r="F307" i="7" l="1"/>
  <c r="E307" i="7"/>
  <c r="A308" i="5"/>
  <c r="A309" i="7"/>
  <c r="M314" i="2"/>
  <c r="N314" i="2"/>
  <c r="L315" i="2"/>
  <c r="G306" i="7"/>
  <c r="C308" i="7"/>
  <c r="C307" i="5"/>
  <c r="H305" i="7"/>
  <c r="I305" i="7"/>
  <c r="B307" i="5"/>
  <c r="B308" i="7"/>
  <c r="O313" i="2"/>
  <c r="D306" i="5"/>
  <c r="D307" i="7"/>
  <c r="G307" i="7" l="1"/>
  <c r="H307" i="7" s="1"/>
  <c r="B308" i="5"/>
  <c r="B309" i="7"/>
  <c r="O314" i="2"/>
  <c r="H306" i="7"/>
  <c r="I306" i="7"/>
  <c r="D307" i="5"/>
  <c r="D308" i="7"/>
  <c r="A309" i="5"/>
  <c r="A310" i="7"/>
  <c r="M315" i="2"/>
  <c r="N315" i="2"/>
  <c r="L316" i="2"/>
  <c r="F308" i="7"/>
  <c r="E308" i="7"/>
  <c r="C308" i="5"/>
  <c r="C309" i="7"/>
  <c r="I307" i="7" l="1"/>
  <c r="B310" i="7"/>
  <c r="B309" i="5"/>
  <c r="O315" i="2"/>
  <c r="G308" i="7"/>
  <c r="D309" i="7"/>
  <c r="D308" i="5"/>
  <c r="A310" i="5"/>
  <c r="A311" i="7"/>
  <c r="N316" i="2"/>
  <c r="M316" i="2"/>
  <c r="L317" i="2"/>
  <c r="F309" i="7"/>
  <c r="E309" i="7"/>
  <c r="C310" i="7"/>
  <c r="C309" i="5"/>
  <c r="G309" i="7" l="1"/>
  <c r="H308" i="7"/>
  <c r="I308" i="7"/>
  <c r="A311" i="5"/>
  <c r="A312" i="7"/>
  <c r="M317" i="2"/>
  <c r="N317" i="2"/>
  <c r="L318" i="2"/>
  <c r="D310" i="7"/>
  <c r="D309" i="5"/>
  <c r="B311" i="7"/>
  <c r="B310" i="5"/>
  <c r="O316" i="2"/>
  <c r="C310" i="5"/>
  <c r="C311" i="7"/>
  <c r="E310" i="7"/>
  <c r="F310" i="7"/>
  <c r="A312" i="5" l="1"/>
  <c r="A313" i="7"/>
  <c r="N318" i="2"/>
  <c r="M318" i="2"/>
  <c r="L319" i="2"/>
  <c r="F311" i="7"/>
  <c r="E311" i="7"/>
  <c r="B312" i="7"/>
  <c r="B311" i="5"/>
  <c r="O317" i="2"/>
  <c r="C312" i="7"/>
  <c r="C311" i="5"/>
  <c r="G310" i="7"/>
  <c r="D311" i="7"/>
  <c r="D310" i="5"/>
  <c r="I309" i="7"/>
  <c r="H309" i="7"/>
  <c r="E312" i="7" l="1"/>
  <c r="F312" i="7"/>
  <c r="C312" i="5"/>
  <c r="C313" i="7"/>
  <c r="D312" i="7"/>
  <c r="D311" i="5"/>
  <c r="G311" i="7"/>
  <c r="B313" i="7"/>
  <c r="B312" i="5"/>
  <c r="O318" i="2"/>
  <c r="H310" i="7"/>
  <c r="I310" i="7"/>
  <c r="A313" i="5"/>
  <c r="A314" i="7"/>
  <c r="M319" i="2"/>
  <c r="N319" i="2"/>
  <c r="L320" i="2"/>
  <c r="B314" i="7" l="1"/>
  <c r="B313" i="5"/>
  <c r="O319" i="2"/>
  <c r="H311" i="7"/>
  <c r="I311" i="7"/>
  <c r="D313" i="7"/>
  <c r="D312" i="5"/>
  <c r="G312" i="7"/>
  <c r="C314" i="7"/>
  <c r="C313" i="5"/>
  <c r="E313" i="7"/>
  <c r="F313" i="7"/>
  <c r="A314" i="5"/>
  <c r="A315" i="7"/>
  <c r="N320" i="2"/>
  <c r="M320" i="2"/>
  <c r="L321" i="2"/>
  <c r="G313" i="7" l="1"/>
  <c r="I313" i="7" s="1"/>
  <c r="C315" i="7"/>
  <c r="C314" i="5"/>
  <c r="D314" i="7"/>
  <c r="D313" i="5"/>
  <c r="B315" i="7"/>
  <c r="B314" i="5"/>
  <c r="O320" i="2"/>
  <c r="H312" i="7"/>
  <c r="I312" i="7"/>
  <c r="A315" i="5"/>
  <c r="A316" i="7"/>
  <c r="M321" i="2"/>
  <c r="N321" i="2"/>
  <c r="L322" i="2"/>
  <c r="F314" i="7"/>
  <c r="E314" i="7"/>
  <c r="G314" i="7" l="1"/>
  <c r="H314" i="7" s="1"/>
  <c r="H313" i="7"/>
  <c r="C315" i="5"/>
  <c r="C316" i="7"/>
  <c r="B316" i="7"/>
  <c r="B315" i="5"/>
  <c r="O321" i="2"/>
  <c r="A316" i="5"/>
  <c r="A317" i="7"/>
  <c r="N322" i="2"/>
  <c r="M322" i="2"/>
  <c r="L323" i="2"/>
  <c r="D314" i="5"/>
  <c r="D315" i="7"/>
  <c r="E315" i="7"/>
  <c r="F315" i="7"/>
  <c r="I314" i="7" l="1"/>
  <c r="G315" i="7"/>
  <c r="H315" i="7" s="1"/>
  <c r="C316" i="5"/>
  <c r="C317" i="7"/>
  <c r="F316" i="7"/>
  <c r="E316" i="7"/>
  <c r="A317" i="5"/>
  <c r="A318" i="7"/>
  <c r="M323" i="2"/>
  <c r="N323" i="2"/>
  <c r="L324" i="2"/>
  <c r="B317" i="7"/>
  <c r="B316" i="5"/>
  <c r="O322" i="2"/>
  <c r="D316" i="7"/>
  <c r="D315" i="5"/>
  <c r="G316" i="7" l="1"/>
  <c r="H316" i="7" s="1"/>
  <c r="I315" i="7"/>
  <c r="E317" i="7"/>
  <c r="F317" i="7"/>
  <c r="B318" i="7"/>
  <c r="B317" i="5"/>
  <c r="O323" i="2"/>
  <c r="D317" i="7"/>
  <c r="D316" i="5"/>
  <c r="C318" i="7"/>
  <c r="C317" i="5"/>
  <c r="A318" i="5"/>
  <c r="A319" i="7"/>
  <c r="M324" i="2"/>
  <c r="N324" i="2"/>
  <c r="L325" i="2"/>
  <c r="I316" i="7" l="1"/>
  <c r="G317" i="7"/>
  <c r="I317" i="7" s="1"/>
  <c r="E318" i="7"/>
  <c r="A319" i="5"/>
  <c r="A320" i="7"/>
  <c r="N325" i="2"/>
  <c r="M325" i="2"/>
  <c r="L326" i="2"/>
  <c r="C318" i="5"/>
  <c r="C319" i="7"/>
  <c r="F318" i="7"/>
  <c r="B319" i="7"/>
  <c r="B318" i="5"/>
  <c r="O324" i="2"/>
  <c r="D318" i="7"/>
  <c r="D317" i="5"/>
  <c r="H317" i="7" l="1"/>
  <c r="G318" i="7"/>
  <c r="I318" i="7" s="1"/>
  <c r="B320" i="7"/>
  <c r="B319" i="5"/>
  <c r="O325" i="2"/>
  <c r="D319" i="7"/>
  <c r="D318" i="5"/>
  <c r="C320" i="7"/>
  <c r="C319" i="5"/>
  <c r="E319" i="7"/>
  <c r="F319" i="7"/>
  <c r="A320" i="5"/>
  <c r="A321" i="7"/>
  <c r="N326" i="2"/>
  <c r="M326" i="2"/>
  <c r="L327" i="2"/>
  <c r="H318" i="7" l="1"/>
  <c r="G319" i="7"/>
  <c r="H319" i="7" s="1"/>
  <c r="A321" i="5"/>
  <c r="A322" i="7"/>
  <c r="M327" i="2"/>
  <c r="N327" i="2"/>
  <c r="L328" i="2"/>
  <c r="B321" i="7"/>
  <c r="B320" i="5"/>
  <c r="O326" i="2"/>
  <c r="F320" i="7"/>
  <c r="E320" i="7"/>
  <c r="C321" i="7"/>
  <c r="C320" i="5"/>
  <c r="D320" i="7"/>
  <c r="D319" i="5"/>
  <c r="I319" i="7" l="1"/>
  <c r="E321" i="7"/>
  <c r="D320" i="5"/>
  <c r="D321" i="7"/>
  <c r="C321" i="5"/>
  <c r="C322" i="7"/>
  <c r="G320" i="7"/>
  <c r="B321" i="5"/>
  <c r="B322" i="7"/>
  <c r="O327" i="2"/>
  <c r="F321" i="7"/>
  <c r="A322" i="5"/>
  <c r="A323" i="7"/>
  <c r="N328" i="2"/>
  <c r="M328" i="2"/>
  <c r="L329" i="2"/>
  <c r="G321" i="7" l="1"/>
  <c r="H321" i="7"/>
  <c r="I321" i="7"/>
  <c r="D322" i="7"/>
  <c r="D321" i="5"/>
  <c r="A323" i="5"/>
  <c r="A324" i="7"/>
  <c r="M329" i="2"/>
  <c r="N329" i="2"/>
  <c r="L330" i="2"/>
  <c r="E322" i="7"/>
  <c r="F322" i="7"/>
  <c r="B323" i="7"/>
  <c r="B322" i="5"/>
  <c r="O328" i="2"/>
  <c r="C322" i="5"/>
  <c r="C323" i="7"/>
  <c r="I320" i="7"/>
  <c r="H320" i="7"/>
  <c r="G322" i="7" l="1"/>
  <c r="H322" i="7" s="1"/>
  <c r="E323" i="7"/>
  <c r="F323" i="7"/>
  <c r="C324" i="7"/>
  <c r="C323" i="5"/>
  <c r="B323" i="5"/>
  <c r="B324" i="7"/>
  <c r="O329" i="2"/>
  <c r="D323" i="7"/>
  <c r="D322" i="5"/>
  <c r="A324" i="5"/>
  <c r="A325" i="7"/>
  <c r="M330" i="2"/>
  <c r="N330" i="2"/>
  <c r="L331" i="2"/>
  <c r="I322" i="7" l="1"/>
  <c r="G323" i="7"/>
  <c r="I323" i="7" s="1"/>
  <c r="A325" i="5"/>
  <c r="A326" i="7"/>
  <c r="M331" i="2"/>
  <c r="N331" i="2"/>
  <c r="L332" i="2"/>
  <c r="F324" i="7"/>
  <c r="E324" i="7"/>
  <c r="C324" i="5"/>
  <c r="C325" i="7"/>
  <c r="B325" i="7"/>
  <c r="B324" i="5"/>
  <c r="O330" i="2"/>
  <c r="D324" i="7"/>
  <c r="D323" i="5"/>
  <c r="H323" i="7" l="1"/>
  <c r="D325" i="7"/>
  <c r="D324" i="5"/>
  <c r="C326" i="7"/>
  <c r="C325" i="5"/>
  <c r="B326" i="7"/>
  <c r="B325" i="5"/>
  <c r="O331" i="2"/>
  <c r="E325" i="7"/>
  <c r="F325" i="7"/>
  <c r="G324" i="7"/>
  <c r="A326" i="5"/>
  <c r="A327" i="7"/>
  <c r="N332" i="2"/>
  <c r="M332" i="2"/>
  <c r="L333" i="2"/>
  <c r="A327" i="5" l="1"/>
  <c r="A328" i="7"/>
  <c r="M333" i="2"/>
  <c r="N333" i="2"/>
  <c r="L334" i="2"/>
  <c r="D326" i="7"/>
  <c r="D325" i="5"/>
  <c r="B327" i="7"/>
  <c r="B326" i="5"/>
  <c r="O332" i="2"/>
  <c r="H324" i="7"/>
  <c r="I324" i="7"/>
  <c r="C327" i="7"/>
  <c r="C326" i="5"/>
  <c r="G325" i="7"/>
  <c r="E326" i="7"/>
  <c r="F326" i="7"/>
  <c r="E327" i="7" l="1"/>
  <c r="F327" i="7"/>
  <c r="C328" i="7"/>
  <c r="C327" i="5"/>
  <c r="H325" i="7"/>
  <c r="I325" i="7"/>
  <c r="B328" i="7"/>
  <c r="B327" i="5"/>
  <c r="O333" i="2"/>
  <c r="D327" i="7"/>
  <c r="D326" i="5"/>
  <c r="G326" i="7"/>
  <c r="A328" i="5"/>
  <c r="A329" i="7"/>
  <c r="N334" i="2"/>
  <c r="M334" i="2"/>
  <c r="L335" i="2"/>
  <c r="G327" i="7" l="1"/>
  <c r="H327" i="7" s="1"/>
  <c r="B328" i="5"/>
  <c r="B329" i="7"/>
  <c r="O334" i="2"/>
  <c r="I326" i="7"/>
  <c r="H326" i="7"/>
  <c r="C329" i="7"/>
  <c r="C328" i="5"/>
  <c r="F328" i="7"/>
  <c r="E328" i="7"/>
  <c r="A329" i="5"/>
  <c r="A330" i="7"/>
  <c r="M335" i="2"/>
  <c r="N335" i="2"/>
  <c r="L336" i="2"/>
  <c r="D328" i="7"/>
  <c r="D327" i="5"/>
  <c r="I327" i="7" l="1"/>
  <c r="G328" i="7"/>
  <c r="I328" i="7" s="1"/>
  <c r="A330" i="5"/>
  <c r="A331" i="7"/>
  <c r="N336" i="2"/>
  <c r="M336" i="2"/>
  <c r="L337" i="2"/>
  <c r="C330" i="7"/>
  <c r="C329" i="5"/>
  <c r="D329" i="7"/>
  <c r="D328" i="5"/>
  <c r="B330" i="7"/>
  <c r="B329" i="5"/>
  <c r="O335" i="2"/>
  <c r="F329" i="7"/>
  <c r="E329" i="7"/>
  <c r="H328" i="7" l="1"/>
  <c r="E330" i="7"/>
  <c r="F330" i="7"/>
  <c r="B330" i="5"/>
  <c r="B331" i="7"/>
  <c r="O336" i="2"/>
  <c r="G329" i="7"/>
  <c r="C331" i="7"/>
  <c r="C330" i="5"/>
  <c r="D330" i="7"/>
  <c r="D329" i="5"/>
  <c r="A332" i="7"/>
  <c r="A331" i="5"/>
  <c r="M337" i="2"/>
  <c r="N337" i="2"/>
  <c r="L338" i="2"/>
  <c r="G330" i="7" l="1"/>
  <c r="H330" i="7" s="1"/>
  <c r="F331" i="7"/>
  <c r="E331" i="7"/>
  <c r="A332" i="5"/>
  <c r="A333" i="7"/>
  <c r="N338" i="2"/>
  <c r="M338" i="2"/>
  <c r="L339" i="2"/>
  <c r="C331" i="5"/>
  <c r="C332" i="7"/>
  <c r="I329" i="7"/>
  <c r="H329" i="7"/>
  <c r="B332" i="7"/>
  <c r="B331" i="5"/>
  <c r="O337" i="2"/>
  <c r="D331" i="7"/>
  <c r="D330" i="5"/>
  <c r="I330" i="7" l="1"/>
  <c r="G331" i="7"/>
  <c r="H331" i="7" s="1"/>
  <c r="B333" i="7"/>
  <c r="B332" i="5"/>
  <c r="O338" i="2"/>
  <c r="D332" i="7"/>
  <c r="D331" i="5"/>
  <c r="A333" i="5"/>
  <c r="A334" i="7"/>
  <c r="M339" i="2"/>
  <c r="N339" i="2"/>
  <c r="L340" i="2"/>
  <c r="E332" i="7"/>
  <c r="F332" i="7"/>
  <c r="C333" i="7"/>
  <c r="C332" i="5"/>
  <c r="I331" i="7" l="1"/>
  <c r="B334" i="7"/>
  <c r="B333" i="5"/>
  <c r="O339" i="2"/>
  <c r="A334" i="5"/>
  <c r="A335" i="7"/>
  <c r="M340" i="2"/>
  <c r="N340" i="2"/>
  <c r="L341" i="2"/>
  <c r="C334" i="7"/>
  <c r="C333" i="5"/>
  <c r="D333" i="7"/>
  <c r="D332" i="5"/>
  <c r="G332" i="7"/>
  <c r="E333" i="7"/>
  <c r="F333" i="7"/>
  <c r="E334" i="7" l="1"/>
  <c r="G333" i="7"/>
  <c r="H333" i="7" s="1"/>
  <c r="C335" i="7"/>
  <c r="C334" i="5"/>
  <c r="B334" i="5"/>
  <c r="B335" i="7"/>
  <c r="O340" i="2"/>
  <c r="A335" i="5"/>
  <c r="A336" i="7"/>
  <c r="N341" i="2"/>
  <c r="M341" i="2"/>
  <c r="L342" i="2"/>
  <c r="D334" i="7"/>
  <c r="D333" i="5"/>
  <c r="H332" i="7"/>
  <c r="I332" i="7"/>
  <c r="F334" i="7"/>
  <c r="G334" i="7" s="1"/>
  <c r="I333" i="7" l="1"/>
  <c r="C336" i="7"/>
  <c r="C335" i="5"/>
  <c r="F335" i="7"/>
  <c r="E335" i="7"/>
  <c r="A336" i="5"/>
  <c r="A337" i="7"/>
  <c r="N342" i="2"/>
  <c r="M342" i="2"/>
  <c r="L343" i="2"/>
  <c r="I334" i="7"/>
  <c r="H334" i="7"/>
  <c r="B336" i="7"/>
  <c r="B335" i="5"/>
  <c r="O341" i="2"/>
  <c r="D335" i="7"/>
  <c r="D334" i="5"/>
  <c r="E336" i="7" l="1"/>
  <c r="F336" i="7"/>
  <c r="C337" i="7"/>
  <c r="C336" i="5"/>
  <c r="G335" i="7"/>
  <c r="D336" i="7"/>
  <c r="D335" i="5"/>
  <c r="B337" i="7"/>
  <c r="B336" i="5"/>
  <c r="O342" i="2"/>
  <c r="A337" i="5"/>
  <c r="A338" i="7"/>
  <c r="M343" i="2"/>
  <c r="N343" i="2"/>
  <c r="L344" i="2"/>
  <c r="F337" i="7" l="1"/>
  <c r="E337" i="7"/>
  <c r="A338" i="5"/>
  <c r="A339" i="7"/>
  <c r="N344" i="2"/>
  <c r="M344" i="2"/>
  <c r="L345" i="2"/>
  <c r="C337" i="5"/>
  <c r="C338" i="7"/>
  <c r="D337" i="7"/>
  <c r="D336" i="5"/>
  <c r="G336" i="7"/>
  <c r="B337" i="5"/>
  <c r="B338" i="7"/>
  <c r="O343" i="2"/>
  <c r="H335" i="7"/>
  <c r="I335" i="7"/>
  <c r="H336" i="7" l="1"/>
  <c r="I336" i="7"/>
  <c r="D338" i="7"/>
  <c r="D337" i="5"/>
  <c r="A339" i="5"/>
  <c r="A340" i="7"/>
  <c r="M345" i="2"/>
  <c r="N345" i="2"/>
  <c r="L346" i="2"/>
  <c r="F338" i="7"/>
  <c r="E338" i="7"/>
  <c r="B338" i="5"/>
  <c r="B339" i="7"/>
  <c r="O344" i="2"/>
  <c r="G337" i="7"/>
  <c r="C339" i="7"/>
  <c r="C338" i="5"/>
  <c r="B339" i="5" l="1"/>
  <c r="B340" i="7"/>
  <c r="O345" i="2"/>
  <c r="D338" i="5"/>
  <c r="D339" i="7"/>
  <c r="G338" i="7"/>
  <c r="C340" i="7"/>
  <c r="C339" i="5"/>
  <c r="H337" i="7"/>
  <c r="I337" i="7"/>
  <c r="E339" i="7"/>
  <c r="F339" i="7"/>
  <c r="A340" i="5"/>
  <c r="A341" i="7"/>
  <c r="M346" i="2"/>
  <c r="N346" i="2"/>
  <c r="L347" i="2"/>
  <c r="G339" i="7" l="1"/>
  <c r="I339" i="7" s="1"/>
  <c r="B340" i="5"/>
  <c r="B341" i="7"/>
  <c r="O346" i="2"/>
  <c r="D339" i="5"/>
  <c r="D340" i="7"/>
  <c r="H338" i="7"/>
  <c r="I338" i="7"/>
  <c r="E340" i="7"/>
  <c r="F340" i="7"/>
  <c r="C340" i="5"/>
  <c r="C341" i="7"/>
  <c r="A341" i="5"/>
  <c r="A342" i="7"/>
  <c r="M347" i="2"/>
  <c r="N347" i="2"/>
  <c r="L348" i="2"/>
  <c r="H339" i="7" l="1"/>
  <c r="G340" i="7"/>
  <c r="I340" i="7" s="1"/>
  <c r="C342" i="7"/>
  <c r="C341" i="5"/>
  <c r="B342" i="7"/>
  <c r="B341" i="5"/>
  <c r="O347" i="2"/>
  <c r="D341" i="7"/>
  <c r="D340" i="5"/>
  <c r="A342" i="5"/>
  <c r="A343" i="7"/>
  <c r="N348" i="2"/>
  <c r="M348" i="2"/>
  <c r="L349" i="2"/>
  <c r="E341" i="7"/>
  <c r="F341" i="7"/>
  <c r="H340" i="7" l="1"/>
  <c r="G341" i="7"/>
  <c r="H341" i="7" s="1"/>
  <c r="B343" i="7"/>
  <c r="B342" i="5"/>
  <c r="O348" i="2"/>
  <c r="E342" i="7"/>
  <c r="F342" i="7"/>
  <c r="C342" i="5"/>
  <c r="C343" i="7"/>
  <c r="D342" i="7"/>
  <c r="D341" i="5"/>
  <c r="A343" i="5"/>
  <c r="A344" i="7"/>
  <c r="M349" i="2"/>
  <c r="N349" i="2"/>
  <c r="L350" i="2"/>
  <c r="I341" i="7" l="1"/>
  <c r="C344" i="7"/>
  <c r="C343" i="5"/>
  <c r="D343" i="7"/>
  <c r="D342" i="5"/>
  <c r="B344" i="7"/>
  <c r="B343" i="5"/>
  <c r="O349" i="2"/>
  <c r="A344" i="5"/>
  <c r="A345" i="7"/>
  <c r="N350" i="2"/>
  <c r="M350" i="2"/>
  <c r="L351" i="2"/>
  <c r="G342" i="7"/>
  <c r="E343" i="7"/>
  <c r="F343" i="7"/>
  <c r="G343" i="7" l="1"/>
  <c r="H343" i="7" s="1"/>
  <c r="B345" i="7"/>
  <c r="B344" i="5"/>
  <c r="O350" i="2"/>
  <c r="D343" i="5"/>
  <c r="D344" i="7"/>
  <c r="A345" i="5"/>
  <c r="A346" i="7"/>
  <c r="M351" i="2"/>
  <c r="N351" i="2"/>
  <c r="L352" i="2"/>
  <c r="C344" i="5"/>
  <c r="C345" i="7"/>
  <c r="I342" i="7"/>
  <c r="H342" i="7"/>
  <c r="F344" i="7"/>
  <c r="E344" i="7"/>
  <c r="I343" i="7" l="1"/>
  <c r="G344" i="7"/>
  <c r="H344" i="7" s="1"/>
  <c r="B346" i="7"/>
  <c r="B345" i="5"/>
  <c r="O351" i="2"/>
  <c r="D345" i="7"/>
  <c r="D344" i="5"/>
  <c r="A346" i="5"/>
  <c r="A347" i="7"/>
  <c r="N352" i="2"/>
  <c r="M352" i="2"/>
  <c r="L353" i="2"/>
  <c r="C346" i="7"/>
  <c r="C345" i="5"/>
  <c r="F345" i="7"/>
  <c r="E345" i="7"/>
  <c r="I344" i="7" l="1"/>
  <c r="A347" i="5"/>
  <c r="A348" i="7"/>
  <c r="M353" i="2"/>
  <c r="N353" i="2"/>
  <c r="L354" i="2"/>
  <c r="G345" i="7"/>
  <c r="C347" i="7"/>
  <c r="C346" i="5"/>
  <c r="B347" i="7"/>
  <c r="B346" i="5"/>
  <c r="O352" i="2"/>
  <c r="F346" i="7"/>
  <c r="E346" i="7"/>
  <c r="D345" i="5"/>
  <c r="D346" i="7"/>
  <c r="G346" i="7" l="1"/>
  <c r="H346" i="7" s="1"/>
  <c r="B348" i="7"/>
  <c r="B347" i="5"/>
  <c r="O353" i="2"/>
  <c r="I345" i="7"/>
  <c r="H345" i="7"/>
  <c r="C347" i="5"/>
  <c r="C348" i="7"/>
  <c r="D347" i="7"/>
  <c r="D346" i="5"/>
  <c r="F347" i="7"/>
  <c r="E347" i="7"/>
  <c r="A348" i="5"/>
  <c r="A349" i="7"/>
  <c r="N354" i="2"/>
  <c r="M354" i="2"/>
  <c r="L355" i="2"/>
  <c r="G347" i="7" l="1"/>
  <c r="H347" i="7" s="1"/>
  <c r="I346" i="7"/>
  <c r="C348" i="5"/>
  <c r="C349" i="7"/>
  <c r="F348" i="7"/>
  <c r="E348" i="7"/>
  <c r="A349" i="5"/>
  <c r="A350" i="7"/>
  <c r="M355" i="2"/>
  <c r="N355" i="2"/>
  <c r="L356" i="2"/>
  <c r="B349" i="7"/>
  <c r="B348" i="5"/>
  <c r="O354" i="2"/>
  <c r="D347" i="5"/>
  <c r="D348" i="7"/>
  <c r="I347" i="7" l="1"/>
  <c r="D348" i="5"/>
  <c r="D349" i="7"/>
  <c r="B350" i="7"/>
  <c r="B349" i="5"/>
  <c r="O355" i="2"/>
  <c r="G348" i="7"/>
  <c r="F349" i="7"/>
  <c r="E349" i="7"/>
  <c r="C350" i="7"/>
  <c r="C349" i="5"/>
  <c r="A350" i="5"/>
  <c r="A351" i="7"/>
  <c r="M356" i="2"/>
  <c r="N356" i="2"/>
  <c r="L357" i="2"/>
  <c r="E350" i="7" l="1"/>
  <c r="A351" i="5"/>
  <c r="A352" i="7"/>
  <c r="N357" i="2"/>
  <c r="M357" i="2"/>
  <c r="L358" i="2"/>
  <c r="G349" i="7"/>
  <c r="C350" i="5"/>
  <c r="C351" i="7"/>
  <c r="H348" i="7"/>
  <c r="I348" i="7"/>
  <c r="B351" i="7"/>
  <c r="B350" i="5"/>
  <c r="O356" i="2"/>
  <c r="F350" i="7"/>
  <c r="D349" i="5"/>
  <c r="D350" i="7"/>
  <c r="G350" i="7" l="1"/>
  <c r="I350" i="7" s="1"/>
  <c r="C352" i="7"/>
  <c r="C351" i="5"/>
  <c r="H349" i="7"/>
  <c r="I349" i="7"/>
  <c r="B352" i="7"/>
  <c r="B351" i="5"/>
  <c r="O357" i="2"/>
  <c r="E351" i="7"/>
  <c r="F351" i="7"/>
  <c r="D350" i="5"/>
  <c r="D351" i="7"/>
  <c r="A352" i="5"/>
  <c r="A353" i="7"/>
  <c r="N358" i="2"/>
  <c r="M358" i="2"/>
  <c r="L359" i="2"/>
  <c r="G351" i="7" l="1"/>
  <c r="I351" i="7" s="1"/>
  <c r="H350" i="7"/>
  <c r="C353" i="7"/>
  <c r="C352" i="5"/>
  <c r="F352" i="7"/>
  <c r="E352" i="7"/>
  <c r="A353" i="5"/>
  <c r="A354" i="7"/>
  <c r="M359" i="2"/>
  <c r="N359" i="2"/>
  <c r="L360" i="2"/>
  <c r="B353" i="7"/>
  <c r="B352" i="5"/>
  <c r="O358" i="2"/>
  <c r="D351" i="5"/>
  <c r="D352" i="7"/>
  <c r="H351" i="7" l="1"/>
  <c r="G352" i="7"/>
  <c r="H352" i="7" s="1"/>
  <c r="B353" i="5"/>
  <c r="B354" i="7"/>
  <c r="O359" i="2"/>
  <c r="F353" i="7"/>
  <c r="E353" i="7"/>
  <c r="A354" i="5"/>
  <c r="A355" i="7"/>
  <c r="N360" i="2"/>
  <c r="M360" i="2"/>
  <c r="L361" i="2"/>
  <c r="D352" i="5"/>
  <c r="D353" i="7"/>
  <c r="C353" i="5"/>
  <c r="C354" i="7"/>
  <c r="I352" i="7" l="1"/>
  <c r="A355" i="5"/>
  <c r="A356" i="7"/>
  <c r="M361" i="2"/>
  <c r="N361" i="2"/>
  <c r="L362" i="2"/>
  <c r="C354" i="5"/>
  <c r="C355" i="7"/>
  <c r="G353" i="7"/>
  <c r="E354" i="7"/>
  <c r="F354" i="7"/>
  <c r="B355" i="7"/>
  <c r="B354" i="5"/>
  <c r="O360" i="2"/>
  <c r="D354" i="7"/>
  <c r="D353" i="5"/>
  <c r="I353" i="7" l="1"/>
  <c r="H353" i="7"/>
  <c r="B355" i="5"/>
  <c r="B356" i="7"/>
  <c r="O361" i="2"/>
  <c r="G354" i="7"/>
  <c r="C356" i="7"/>
  <c r="C355" i="5"/>
  <c r="E355" i="7"/>
  <c r="F355" i="7"/>
  <c r="D355" i="7"/>
  <c r="D354" i="5"/>
  <c r="A356" i="5"/>
  <c r="A357" i="7"/>
  <c r="M362" i="2"/>
  <c r="N362" i="2"/>
  <c r="L363" i="2"/>
  <c r="B357" i="7" l="1"/>
  <c r="B356" i="5"/>
  <c r="O362" i="2"/>
  <c r="G355" i="7"/>
  <c r="I354" i="7"/>
  <c r="H354" i="7"/>
  <c r="C357" i="7"/>
  <c r="C356" i="5"/>
  <c r="E356" i="7"/>
  <c r="F356" i="7"/>
  <c r="A357" i="5"/>
  <c r="A358" i="7"/>
  <c r="M363" i="2"/>
  <c r="N363" i="2"/>
  <c r="L364" i="2"/>
  <c r="D355" i="5"/>
  <c r="D356" i="7"/>
  <c r="H355" i="7" l="1"/>
  <c r="I355" i="7"/>
  <c r="A358" i="5"/>
  <c r="A359" i="7"/>
  <c r="N364" i="2"/>
  <c r="M364" i="2"/>
  <c r="L365" i="2"/>
  <c r="D357" i="7"/>
  <c r="D356" i="5"/>
  <c r="C358" i="7"/>
  <c r="C357" i="5"/>
  <c r="G356" i="7"/>
  <c r="B358" i="7"/>
  <c r="B357" i="5"/>
  <c r="O363" i="2"/>
  <c r="E357" i="7"/>
  <c r="F357" i="7"/>
  <c r="G357" i="7" l="1"/>
  <c r="I357" i="7" s="1"/>
  <c r="F358" i="7"/>
  <c r="E358" i="7"/>
  <c r="H356" i="7"/>
  <c r="I356" i="7"/>
  <c r="D357" i="5"/>
  <c r="D358" i="7"/>
  <c r="A359" i="5"/>
  <c r="A360" i="7"/>
  <c r="M365" i="2"/>
  <c r="N365" i="2"/>
  <c r="L366" i="2"/>
  <c r="B359" i="7"/>
  <c r="B358" i="5"/>
  <c r="O364" i="2"/>
  <c r="C359" i="7"/>
  <c r="C358" i="5"/>
  <c r="H357" i="7" l="1"/>
  <c r="D358" i="5"/>
  <c r="D359" i="7"/>
  <c r="B360" i="7"/>
  <c r="B359" i="5"/>
  <c r="O365" i="2"/>
  <c r="G358" i="7"/>
  <c r="E359" i="7"/>
  <c r="F359" i="7"/>
  <c r="C360" i="7"/>
  <c r="C359" i="5"/>
  <c r="A360" i="5"/>
  <c r="A361" i="7"/>
  <c r="N366" i="2"/>
  <c r="M366" i="2"/>
  <c r="L367" i="2"/>
  <c r="G359" i="7" l="1"/>
  <c r="H359" i="7" s="1"/>
  <c r="A361" i="5"/>
  <c r="A362" i="7"/>
  <c r="M367" i="2"/>
  <c r="N367" i="2"/>
  <c r="L368" i="2"/>
  <c r="F360" i="7"/>
  <c r="E360" i="7"/>
  <c r="B360" i="5"/>
  <c r="B361" i="7"/>
  <c r="O366" i="2"/>
  <c r="H358" i="7"/>
  <c r="I358" i="7"/>
  <c r="C361" i="7"/>
  <c r="C360" i="5"/>
  <c r="D359" i="5"/>
  <c r="D360" i="7"/>
  <c r="I359" i="7" l="1"/>
  <c r="D361" i="7"/>
  <c r="D360" i="5"/>
  <c r="G360" i="7"/>
  <c r="F361" i="7"/>
  <c r="E361" i="7"/>
  <c r="A362" i="5"/>
  <c r="A363" i="7"/>
  <c r="N368" i="2"/>
  <c r="M368" i="2"/>
  <c r="L369" i="2"/>
  <c r="C362" i="7"/>
  <c r="C361" i="5"/>
  <c r="B362" i="7"/>
  <c r="B361" i="5"/>
  <c r="O367" i="2"/>
  <c r="E362" i="7" l="1"/>
  <c r="F362" i="7"/>
  <c r="C363" i="7"/>
  <c r="C362" i="5"/>
  <c r="G361" i="7"/>
  <c r="D362" i="7"/>
  <c r="D361" i="5"/>
  <c r="H360" i="7"/>
  <c r="I360" i="7"/>
  <c r="A363" i="5"/>
  <c r="A364" i="7"/>
  <c r="M369" i="2"/>
  <c r="N369" i="2"/>
  <c r="L370" i="2"/>
  <c r="B362" i="5"/>
  <c r="B363" i="7"/>
  <c r="E363" i="7" s="1"/>
  <c r="O368" i="2"/>
  <c r="G362" i="7" l="1"/>
  <c r="I362" i="7" s="1"/>
  <c r="B364" i="7"/>
  <c r="B363" i="5"/>
  <c r="O369" i="2"/>
  <c r="F363" i="7"/>
  <c r="G363" i="7" s="1"/>
  <c r="A364" i="5"/>
  <c r="A365" i="7"/>
  <c r="N370" i="2"/>
  <c r="M370" i="2"/>
  <c r="L371" i="2"/>
  <c r="D363" i="7"/>
  <c r="D362" i="5"/>
  <c r="C363" i="5"/>
  <c r="C364" i="7"/>
  <c r="H361" i="7"/>
  <c r="I361" i="7"/>
  <c r="H362" i="7" l="1"/>
  <c r="H363" i="7"/>
  <c r="I363" i="7"/>
  <c r="C365" i="7"/>
  <c r="C364" i="5"/>
  <c r="D364" i="7"/>
  <c r="D363" i="5"/>
  <c r="A365" i="5"/>
  <c r="A366" i="7"/>
  <c r="M371" i="2"/>
  <c r="N371" i="2"/>
  <c r="L372" i="2"/>
  <c r="E364" i="7"/>
  <c r="F364" i="7"/>
  <c r="B365" i="7"/>
  <c r="B364" i="5"/>
  <c r="O370" i="2"/>
  <c r="D364" i="5" l="1"/>
  <c r="D365" i="7"/>
  <c r="A366" i="5"/>
  <c r="A367" i="7"/>
  <c r="M372" i="2"/>
  <c r="N372" i="2"/>
  <c r="L373" i="2"/>
  <c r="F365" i="7"/>
  <c r="E365" i="7"/>
  <c r="C366" i="7"/>
  <c r="C365" i="5"/>
  <c r="G364" i="7"/>
  <c r="B366" i="7"/>
  <c r="B365" i="5"/>
  <c r="O371" i="2"/>
  <c r="E366" i="7" l="1"/>
  <c r="G365" i="7"/>
  <c r="H365" i="7" s="1"/>
  <c r="I364" i="7"/>
  <c r="H364" i="7"/>
  <c r="D365" i="5"/>
  <c r="D366" i="7"/>
  <c r="A367" i="5"/>
  <c r="A368" i="7"/>
  <c r="N373" i="2"/>
  <c r="M373" i="2"/>
  <c r="L374" i="2"/>
  <c r="C367" i="7"/>
  <c r="C366" i="5"/>
  <c r="F366" i="7"/>
  <c r="B366" i="5"/>
  <c r="B367" i="7"/>
  <c r="O372" i="2"/>
  <c r="I365" i="7" l="1"/>
  <c r="G366" i="7"/>
  <c r="H366" i="7" s="1"/>
  <c r="F367" i="7"/>
  <c r="E367" i="7"/>
  <c r="A368" i="5"/>
  <c r="A369" i="7"/>
  <c r="N374" i="2"/>
  <c r="M374" i="2"/>
  <c r="L375" i="2"/>
  <c r="B368" i="7"/>
  <c r="B367" i="5"/>
  <c r="O373" i="2"/>
  <c r="D366" i="5"/>
  <c r="D367" i="7"/>
  <c r="C368" i="7"/>
  <c r="C367" i="5"/>
  <c r="I366" i="7" l="1"/>
  <c r="D368" i="7"/>
  <c r="D367" i="5"/>
  <c r="A369" i="5"/>
  <c r="A370" i="7"/>
  <c r="M375" i="2"/>
  <c r="N375" i="2"/>
  <c r="L376" i="2"/>
  <c r="F368" i="7"/>
  <c r="E368" i="7"/>
  <c r="B369" i="7"/>
  <c r="B368" i="5"/>
  <c r="O374" i="2"/>
  <c r="C369" i="7"/>
  <c r="C368" i="5"/>
  <c r="G367" i="7"/>
  <c r="D369" i="7" l="1"/>
  <c r="D368" i="5"/>
  <c r="H367" i="7"/>
  <c r="I367" i="7"/>
  <c r="A370" i="5"/>
  <c r="A371" i="7"/>
  <c r="N376" i="2"/>
  <c r="M376" i="2"/>
  <c r="L377" i="2"/>
  <c r="F369" i="7"/>
  <c r="E369" i="7"/>
  <c r="C369" i="5"/>
  <c r="C370" i="7"/>
  <c r="G368" i="7"/>
  <c r="B369" i="5"/>
  <c r="B370" i="7"/>
  <c r="O375" i="2"/>
  <c r="F370" i="7" l="1"/>
  <c r="E370" i="7"/>
  <c r="C371" i="7"/>
  <c r="C370" i="5"/>
  <c r="H368" i="7"/>
  <c r="I368" i="7"/>
  <c r="G369" i="7"/>
  <c r="B370" i="5"/>
  <c r="B371" i="7"/>
  <c r="O376" i="2"/>
  <c r="D370" i="7"/>
  <c r="D369" i="5"/>
  <c r="A371" i="5"/>
  <c r="A372" i="7"/>
  <c r="M377" i="2"/>
  <c r="N377" i="2"/>
  <c r="L378" i="2"/>
  <c r="G370" i="7" l="1"/>
  <c r="H370" i="7" s="1"/>
  <c r="B371" i="5"/>
  <c r="B372" i="7"/>
  <c r="O377" i="2"/>
  <c r="I369" i="7"/>
  <c r="H369" i="7"/>
  <c r="D371" i="7"/>
  <c r="D370" i="5"/>
  <c r="C372" i="7"/>
  <c r="C371" i="5"/>
  <c r="A372" i="5"/>
  <c r="A373" i="7"/>
  <c r="M378" i="2"/>
  <c r="N378" i="2"/>
  <c r="L379" i="2"/>
  <c r="E371" i="7"/>
  <c r="F371" i="7"/>
  <c r="I370" i="7" l="1"/>
  <c r="G371" i="7"/>
  <c r="I371" i="7" s="1"/>
  <c r="B372" i="5"/>
  <c r="B373" i="7"/>
  <c r="O378" i="2"/>
  <c r="D371" i="5"/>
  <c r="D372" i="7"/>
  <c r="A373" i="5"/>
  <c r="A374" i="7"/>
  <c r="M379" i="2"/>
  <c r="N379" i="2"/>
  <c r="L380" i="2"/>
  <c r="E372" i="7"/>
  <c r="F372" i="7"/>
  <c r="C372" i="5"/>
  <c r="C373" i="7"/>
  <c r="H371" i="7" l="1"/>
  <c r="G372" i="7"/>
  <c r="I372" i="7" s="1"/>
  <c r="A374" i="5"/>
  <c r="A375" i="7"/>
  <c r="N380" i="2"/>
  <c r="M380" i="2"/>
  <c r="L381" i="2"/>
  <c r="F373" i="7"/>
  <c r="E373" i="7"/>
  <c r="B374" i="7"/>
  <c r="B373" i="5"/>
  <c r="O379" i="2"/>
  <c r="C374" i="7"/>
  <c r="C373" i="5"/>
  <c r="D373" i="7"/>
  <c r="D372" i="5"/>
  <c r="H372" i="7" l="1"/>
  <c r="E374" i="7"/>
  <c r="F374" i="7"/>
  <c r="C374" i="5"/>
  <c r="C375" i="7"/>
  <c r="D374" i="7"/>
  <c r="D373" i="5"/>
  <c r="G373" i="7"/>
  <c r="B375" i="7"/>
  <c r="B374" i="5"/>
  <c r="O380" i="2"/>
  <c r="A375" i="5"/>
  <c r="A376" i="7"/>
  <c r="M381" i="2"/>
  <c r="N381" i="2"/>
  <c r="L382" i="2"/>
  <c r="E375" i="7" l="1"/>
  <c r="F375" i="7"/>
  <c r="A376" i="5"/>
  <c r="A377" i="7"/>
  <c r="N382" i="2"/>
  <c r="M382" i="2"/>
  <c r="L383" i="2"/>
  <c r="I373" i="7"/>
  <c r="H373" i="7"/>
  <c r="C376" i="7"/>
  <c r="C375" i="5"/>
  <c r="D374" i="5"/>
  <c r="D375" i="7"/>
  <c r="G374" i="7"/>
  <c r="B376" i="7"/>
  <c r="B375" i="5"/>
  <c r="O381" i="2"/>
  <c r="D375" i="5" l="1"/>
  <c r="D376" i="7"/>
  <c r="E376" i="7"/>
  <c r="F376" i="7"/>
  <c r="A377" i="5"/>
  <c r="A378" i="7"/>
  <c r="M383" i="2"/>
  <c r="N383" i="2"/>
  <c r="L384" i="2"/>
  <c r="I374" i="7"/>
  <c r="H374" i="7"/>
  <c r="B377" i="7"/>
  <c r="B376" i="5"/>
  <c r="O382" i="2"/>
  <c r="G375" i="7"/>
  <c r="C376" i="5"/>
  <c r="C377" i="7"/>
  <c r="G376" i="7" l="1"/>
  <c r="F377" i="7"/>
  <c r="E377" i="7"/>
  <c r="B378" i="7"/>
  <c r="B377" i="5"/>
  <c r="O383" i="2"/>
  <c r="D376" i="5"/>
  <c r="D377" i="7"/>
  <c r="C378" i="7"/>
  <c r="C377" i="5"/>
  <c r="H376" i="7"/>
  <c r="I376" i="7"/>
  <c r="H375" i="7"/>
  <c r="I375" i="7"/>
  <c r="A378" i="5"/>
  <c r="A379" i="7"/>
  <c r="N384" i="2"/>
  <c r="M384" i="2"/>
  <c r="L385" i="2"/>
  <c r="G377" i="7" l="1"/>
  <c r="H377" i="7" s="1"/>
  <c r="B379" i="7"/>
  <c r="B378" i="5"/>
  <c r="O384" i="2"/>
  <c r="D377" i="5"/>
  <c r="D378" i="7"/>
  <c r="C379" i="7"/>
  <c r="C378" i="5"/>
  <c r="F378" i="7"/>
  <c r="E378" i="7"/>
  <c r="A380" i="7"/>
  <c r="A379" i="5"/>
  <c r="M385" i="2"/>
  <c r="N385" i="2"/>
  <c r="L386" i="2"/>
  <c r="G378" i="7" l="1"/>
  <c r="I378" i="7" s="1"/>
  <c r="I377" i="7"/>
  <c r="F379" i="7"/>
  <c r="E379" i="7"/>
  <c r="A380" i="5"/>
  <c r="A381" i="7"/>
  <c r="N386" i="2"/>
  <c r="M386" i="2"/>
  <c r="L387" i="2"/>
  <c r="C379" i="5"/>
  <c r="C380" i="7"/>
  <c r="D379" i="7"/>
  <c r="D378" i="5"/>
  <c r="B380" i="7"/>
  <c r="B379" i="5"/>
  <c r="O385" i="2"/>
  <c r="H378" i="7" l="1"/>
  <c r="G379" i="7"/>
  <c r="H379" i="7" s="1"/>
  <c r="B381" i="7"/>
  <c r="B380" i="5"/>
  <c r="O386" i="2"/>
  <c r="D380" i="7"/>
  <c r="D379" i="5"/>
  <c r="A381" i="5"/>
  <c r="A382" i="7"/>
  <c r="M387" i="2"/>
  <c r="N387" i="2"/>
  <c r="L388" i="2"/>
  <c r="F380" i="7"/>
  <c r="E380" i="7"/>
  <c r="C380" i="5"/>
  <c r="C381" i="7"/>
  <c r="I379" i="7" l="1"/>
  <c r="B382" i="7"/>
  <c r="B381" i="5"/>
  <c r="O387" i="2"/>
  <c r="G380" i="7"/>
  <c r="D380" i="5"/>
  <c r="D381" i="7"/>
  <c r="A382" i="5"/>
  <c r="A383" i="7"/>
  <c r="M388" i="2"/>
  <c r="N388" i="2"/>
  <c r="L389" i="2"/>
  <c r="C382" i="7"/>
  <c r="C381" i="5"/>
  <c r="E381" i="7"/>
  <c r="F381" i="7"/>
  <c r="G381" i="7" l="1"/>
  <c r="H381" i="7" s="1"/>
  <c r="I380" i="7"/>
  <c r="H380" i="7"/>
  <c r="A383" i="5"/>
  <c r="A384" i="7"/>
  <c r="N389" i="2"/>
  <c r="M389" i="2"/>
  <c r="L390" i="2"/>
  <c r="D382" i="7"/>
  <c r="D381" i="5"/>
  <c r="C382" i="5"/>
  <c r="C383" i="7"/>
  <c r="B383" i="7"/>
  <c r="B382" i="5"/>
  <c r="O388" i="2"/>
  <c r="E382" i="7"/>
  <c r="F382" i="7"/>
  <c r="I381" i="7" l="1"/>
  <c r="D383" i="7"/>
  <c r="D382" i="5"/>
  <c r="C384" i="7"/>
  <c r="C383" i="5"/>
  <c r="G382" i="7"/>
  <c r="E383" i="7"/>
  <c r="F383" i="7"/>
  <c r="B384" i="7"/>
  <c r="B383" i="5"/>
  <c r="O389" i="2"/>
  <c r="A384" i="5"/>
  <c r="A385" i="7"/>
  <c r="N390" i="2"/>
  <c r="M390" i="2"/>
  <c r="L391" i="2"/>
  <c r="G383" i="7" l="1"/>
  <c r="I383" i="7" s="1"/>
  <c r="F384" i="7"/>
  <c r="E384" i="7"/>
  <c r="A385" i="5"/>
  <c r="A386" i="7"/>
  <c r="M391" i="2"/>
  <c r="N391" i="2"/>
  <c r="L392" i="2"/>
  <c r="B385" i="7"/>
  <c r="B384" i="5"/>
  <c r="O390" i="2"/>
  <c r="D383" i="5"/>
  <c r="D384" i="7"/>
  <c r="C385" i="7"/>
  <c r="C384" i="5"/>
  <c r="I382" i="7"/>
  <c r="H382" i="7"/>
  <c r="H383" i="7" l="1"/>
  <c r="E385" i="7"/>
  <c r="G384" i="7"/>
  <c r="H384" i="7" s="1"/>
  <c r="D385" i="7"/>
  <c r="D384" i="5"/>
  <c r="A386" i="5"/>
  <c r="A387" i="7"/>
  <c r="N392" i="2"/>
  <c r="M392" i="2"/>
  <c r="L393" i="2"/>
  <c r="F385" i="7"/>
  <c r="G385" i="7" s="1"/>
  <c r="C385" i="5"/>
  <c r="C386" i="7"/>
  <c r="B385" i="5"/>
  <c r="B386" i="7"/>
  <c r="O391" i="2"/>
  <c r="I384" i="7" l="1"/>
  <c r="D386" i="7"/>
  <c r="D385" i="5"/>
  <c r="E386" i="7"/>
  <c r="F386" i="7"/>
  <c r="H385" i="7"/>
  <c r="I385" i="7"/>
  <c r="A387" i="5"/>
  <c r="A388" i="7"/>
  <c r="M393" i="2"/>
  <c r="N393" i="2"/>
  <c r="L394" i="2"/>
  <c r="B387" i="7"/>
  <c r="B386" i="5"/>
  <c r="O392" i="2"/>
  <c r="C386" i="5"/>
  <c r="C387" i="7"/>
  <c r="G386" i="7" l="1"/>
  <c r="I386" i="7" s="1"/>
  <c r="F387" i="7"/>
  <c r="E387" i="7"/>
  <c r="A388" i="5"/>
  <c r="A389" i="7"/>
  <c r="M394" i="2"/>
  <c r="N394" i="2"/>
  <c r="L395" i="2"/>
  <c r="D386" i="5"/>
  <c r="D387" i="7"/>
  <c r="C388" i="7"/>
  <c r="C387" i="5"/>
  <c r="B387" i="5"/>
  <c r="B388" i="7"/>
  <c r="O393" i="2"/>
  <c r="H386" i="7" l="1"/>
  <c r="G387" i="7"/>
  <c r="H387" i="7" s="1"/>
  <c r="D387" i="5"/>
  <c r="D388" i="7"/>
  <c r="B389" i="7"/>
  <c r="B388" i="5"/>
  <c r="O394" i="2"/>
  <c r="C389" i="7"/>
  <c r="C388" i="5"/>
  <c r="F388" i="7"/>
  <c r="E388" i="7"/>
  <c r="A389" i="5"/>
  <c r="A390" i="7"/>
  <c r="M395" i="2"/>
  <c r="N395" i="2"/>
  <c r="L396" i="2"/>
  <c r="I387" i="7" l="1"/>
  <c r="C390" i="7"/>
  <c r="C389" i="5"/>
  <c r="D388" i="5"/>
  <c r="D389" i="7"/>
  <c r="B390" i="7"/>
  <c r="B389" i="5"/>
  <c r="O395" i="2"/>
  <c r="G388" i="7"/>
  <c r="E389" i="7"/>
  <c r="F389" i="7"/>
  <c r="A390" i="5"/>
  <c r="A391" i="7"/>
  <c r="N396" i="2"/>
  <c r="M396" i="2"/>
  <c r="L397" i="2"/>
  <c r="C391" i="7" l="1"/>
  <c r="C390" i="5"/>
  <c r="E390" i="7"/>
  <c r="F390" i="7"/>
  <c r="H388" i="7"/>
  <c r="I388" i="7"/>
  <c r="A391" i="5"/>
  <c r="A392" i="7"/>
  <c r="M397" i="2"/>
  <c r="N397" i="2"/>
  <c r="L398" i="2"/>
  <c r="D390" i="7"/>
  <c r="D389" i="5"/>
  <c r="B391" i="7"/>
  <c r="B390" i="5"/>
  <c r="O396" i="2"/>
  <c r="G389" i="7"/>
  <c r="G390" i="7" l="1"/>
  <c r="I390" i="7" s="1"/>
  <c r="C392" i="7"/>
  <c r="C391" i="5"/>
  <c r="D391" i="7"/>
  <c r="D390" i="5"/>
  <c r="A392" i="5"/>
  <c r="A393" i="7"/>
  <c r="N398" i="2"/>
  <c r="M398" i="2"/>
  <c r="L399" i="2"/>
  <c r="E391" i="7"/>
  <c r="F391" i="7"/>
  <c r="I389" i="7"/>
  <c r="H389" i="7"/>
  <c r="B392" i="7"/>
  <c r="B391" i="5"/>
  <c r="O397" i="2"/>
  <c r="H390" i="7" l="1"/>
  <c r="G391" i="7"/>
  <c r="H391" i="7" s="1"/>
  <c r="E392" i="7"/>
  <c r="F392" i="7"/>
  <c r="A393" i="5"/>
  <c r="A394" i="7"/>
  <c r="M399" i="2"/>
  <c r="N399" i="2"/>
  <c r="L400" i="2"/>
  <c r="D391" i="5"/>
  <c r="D392" i="7"/>
  <c r="B392" i="5"/>
  <c r="B393" i="7"/>
  <c r="O398" i="2"/>
  <c r="C393" i="7"/>
  <c r="C392" i="5"/>
  <c r="I391" i="7" l="1"/>
  <c r="G392" i="7"/>
  <c r="H392" i="7" s="1"/>
  <c r="B394" i="7"/>
  <c r="B393" i="5"/>
  <c r="O399" i="2"/>
  <c r="D393" i="7"/>
  <c r="D392" i="5"/>
  <c r="C394" i="7"/>
  <c r="C393" i="5"/>
  <c r="E393" i="7"/>
  <c r="F393" i="7"/>
  <c r="A394" i="5"/>
  <c r="A395" i="7"/>
  <c r="N400" i="2"/>
  <c r="M400" i="2"/>
  <c r="L401" i="2"/>
  <c r="I392" i="7" l="1"/>
  <c r="G393" i="7"/>
  <c r="H393" i="7" s="1"/>
  <c r="A396" i="7"/>
  <c r="A395" i="5"/>
  <c r="M401" i="2"/>
  <c r="N401" i="2"/>
  <c r="L402" i="2"/>
  <c r="C395" i="7"/>
  <c r="C394" i="5"/>
  <c r="B394" i="5"/>
  <c r="B395" i="7"/>
  <c r="O400" i="2"/>
  <c r="D394" i="7"/>
  <c r="D393" i="5"/>
  <c r="F394" i="7"/>
  <c r="E394" i="7"/>
  <c r="I393" i="7" l="1"/>
  <c r="B396" i="7"/>
  <c r="B395" i="5"/>
  <c r="O401" i="2"/>
  <c r="D395" i="7"/>
  <c r="D394" i="5"/>
  <c r="C395" i="5"/>
  <c r="C396" i="7"/>
  <c r="G394" i="7"/>
  <c r="E395" i="7"/>
  <c r="F395" i="7"/>
  <c r="A396" i="5"/>
  <c r="A397" i="7"/>
  <c r="N402" i="2"/>
  <c r="M402" i="2"/>
  <c r="L403" i="2"/>
  <c r="I394" i="7" l="1"/>
  <c r="H394" i="7"/>
  <c r="A397" i="5"/>
  <c r="A398" i="7"/>
  <c r="M403" i="2"/>
  <c r="N403" i="2"/>
  <c r="L404" i="2"/>
  <c r="D396" i="7"/>
  <c r="D395" i="5"/>
  <c r="B397" i="7"/>
  <c r="B396" i="5"/>
  <c r="O402" i="2"/>
  <c r="G395" i="7"/>
  <c r="C397" i="7"/>
  <c r="C396" i="5"/>
  <c r="E396" i="7"/>
  <c r="F396" i="7"/>
  <c r="G396" i="7" l="1"/>
  <c r="H396" i="7" s="1"/>
  <c r="H395" i="7"/>
  <c r="I395" i="7"/>
  <c r="D397" i="7"/>
  <c r="D396" i="5"/>
  <c r="A398" i="5"/>
  <c r="A399" i="7"/>
  <c r="M404" i="2"/>
  <c r="N404" i="2"/>
  <c r="L405" i="2"/>
  <c r="F397" i="7"/>
  <c r="E397" i="7"/>
  <c r="C398" i="7"/>
  <c r="C397" i="5"/>
  <c r="B398" i="7"/>
  <c r="B397" i="5"/>
  <c r="O403" i="2"/>
  <c r="I396" i="7" l="1"/>
  <c r="F398" i="7"/>
  <c r="E398" i="7"/>
  <c r="G397" i="7"/>
  <c r="A399" i="5"/>
  <c r="A400" i="7"/>
  <c r="N405" i="2"/>
  <c r="M405" i="2"/>
  <c r="L406" i="2"/>
  <c r="D398" i="7"/>
  <c r="D397" i="5"/>
  <c r="C399" i="7"/>
  <c r="C398" i="5"/>
  <c r="B398" i="5"/>
  <c r="B399" i="7"/>
  <c r="O404" i="2"/>
  <c r="G398" i="7" l="1"/>
  <c r="H398" i="7" s="1"/>
  <c r="C400" i="7"/>
  <c r="C399" i="5"/>
  <c r="A400" i="5"/>
  <c r="A401" i="7"/>
  <c r="N406" i="2"/>
  <c r="M406" i="2"/>
  <c r="L407" i="2"/>
  <c r="D399" i="7"/>
  <c r="D398" i="5"/>
  <c r="B400" i="7"/>
  <c r="B399" i="5"/>
  <c r="O405" i="2"/>
  <c r="I397" i="7"/>
  <c r="H397" i="7"/>
  <c r="F399" i="7"/>
  <c r="E399" i="7"/>
  <c r="I398" i="7" l="1"/>
  <c r="G399" i="7"/>
  <c r="H399" i="7" s="1"/>
  <c r="C401" i="7"/>
  <c r="C400" i="5"/>
  <c r="D400" i="7"/>
  <c r="D399" i="5"/>
  <c r="A401" i="5"/>
  <c r="A402" i="7"/>
  <c r="M407" i="2"/>
  <c r="N407" i="2"/>
  <c r="L408" i="2"/>
  <c r="E400" i="7"/>
  <c r="F400" i="7"/>
  <c r="B400" i="5"/>
  <c r="B401" i="7"/>
  <c r="O406" i="2"/>
  <c r="I399" i="7" l="1"/>
  <c r="G400" i="7"/>
  <c r="I400" i="7" s="1"/>
  <c r="D401" i="7"/>
  <c r="D400" i="5"/>
  <c r="E401" i="7"/>
  <c r="F401" i="7"/>
  <c r="A402" i="5"/>
  <c r="A403" i="7"/>
  <c r="N408" i="2"/>
  <c r="M408" i="2"/>
  <c r="L409" i="2"/>
  <c r="C401" i="5"/>
  <c r="C402" i="7"/>
  <c r="B401" i="5"/>
  <c r="B402" i="7"/>
  <c r="O407" i="2"/>
  <c r="H400" i="7" l="1"/>
  <c r="G401" i="7"/>
  <c r="H401" i="7" s="1"/>
  <c r="B402" i="5"/>
  <c r="B403" i="7"/>
  <c r="O408" i="2"/>
  <c r="D402" i="7"/>
  <c r="D401" i="5"/>
  <c r="E402" i="7"/>
  <c r="F402" i="7"/>
  <c r="A403" i="5"/>
  <c r="A404" i="7"/>
  <c r="M409" i="2"/>
  <c r="N409" i="2"/>
  <c r="L410" i="2"/>
  <c r="C403" i="7"/>
  <c r="C402" i="5"/>
  <c r="G402" i="7" l="1"/>
  <c r="I401" i="7"/>
  <c r="B403" i="5"/>
  <c r="B404" i="7"/>
  <c r="O409" i="2"/>
  <c r="D402" i="5"/>
  <c r="D403" i="7"/>
  <c r="A404" i="5"/>
  <c r="A405" i="7"/>
  <c r="M410" i="2"/>
  <c r="N410" i="2"/>
  <c r="L411" i="2"/>
  <c r="E403" i="7"/>
  <c r="F403" i="7"/>
  <c r="C404" i="7"/>
  <c r="C403" i="5"/>
  <c r="I402" i="7"/>
  <c r="H402" i="7"/>
  <c r="G403" i="7" l="1"/>
  <c r="I403" i="7" s="1"/>
  <c r="B404" i="5"/>
  <c r="B405" i="7"/>
  <c r="O410" i="2"/>
  <c r="D404" i="7"/>
  <c r="D403" i="5"/>
  <c r="A405" i="5"/>
  <c r="A406" i="7"/>
  <c r="M411" i="2"/>
  <c r="N411" i="2"/>
  <c r="L412" i="2"/>
  <c r="F404" i="7"/>
  <c r="E404" i="7"/>
  <c r="C405" i="7"/>
  <c r="C404" i="5"/>
  <c r="H403" i="7" l="1"/>
  <c r="A406" i="5"/>
  <c r="A407" i="7"/>
  <c r="N412" i="2"/>
  <c r="M412" i="2"/>
  <c r="L413" i="2"/>
  <c r="E405" i="7"/>
  <c r="F405" i="7"/>
  <c r="B406" i="7"/>
  <c r="B405" i="5"/>
  <c r="O411" i="2"/>
  <c r="C406" i="7"/>
  <c r="C405" i="5"/>
  <c r="G404" i="7"/>
  <c r="D404" i="5"/>
  <c r="D405" i="7"/>
  <c r="G405" i="7" l="1"/>
  <c r="I405" i="7" s="1"/>
  <c r="F406" i="7"/>
  <c r="E406" i="7"/>
  <c r="B407" i="7"/>
  <c r="B406" i="5"/>
  <c r="O412" i="2"/>
  <c r="C406" i="5"/>
  <c r="C407" i="7"/>
  <c r="D406" i="7"/>
  <c r="D405" i="5"/>
  <c r="H404" i="7"/>
  <c r="I404" i="7"/>
  <c r="A407" i="5"/>
  <c r="A408" i="7"/>
  <c r="M413" i="2"/>
  <c r="N413" i="2"/>
  <c r="L414" i="2"/>
  <c r="H405" i="7" l="1"/>
  <c r="B408" i="7"/>
  <c r="B407" i="5"/>
  <c r="O413" i="2"/>
  <c r="E407" i="7"/>
  <c r="F407" i="7"/>
  <c r="A408" i="5"/>
  <c r="A409" i="7"/>
  <c r="N414" i="2"/>
  <c r="M414" i="2"/>
  <c r="L415" i="2"/>
  <c r="G406" i="7"/>
  <c r="C408" i="7"/>
  <c r="C407" i="5"/>
  <c r="D407" i="7"/>
  <c r="D406" i="5"/>
  <c r="G407" i="7" l="1"/>
  <c r="I407" i="7" s="1"/>
  <c r="A409" i="5"/>
  <c r="A410" i="7"/>
  <c r="M415" i="2"/>
  <c r="N415" i="2"/>
  <c r="L416" i="2"/>
  <c r="B409" i="7"/>
  <c r="B408" i="5"/>
  <c r="O414" i="2"/>
  <c r="E408" i="7"/>
  <c r="F408" i="7"/>
  <c r="C408" i="5"/>
  <c r="C409" i="7"/>
  <c r="H406" i="7"/>
  <c r="I406" i="7"/>
  <c r="D407" i="5"/>
  <c r="D408" i="7"/>
  <c r="G408" i="7" l="1"/>
  <c r="H407" i="7"/>
  <c r="E409" i="7"/>
  <c r="F409" i="7"/>
  <c r="A410" i="5"/>
  <c r="A411" i="7"/>
  <c r="N416" i="2"/>
  <c r="M416" i="2"/>
  <c r="L417" i="2"/>
  <c r="H408" i="7"/>
  <c r="I408" i="7"/>
  <c r="D408" i="5"/>
  <c r="D409" i="7"/>
  <c r="C410" i="7"/>
  <c r="C409" i="5"/>
  <c r="B410" i="7"/>
  <c r="B409" i="5"/>
  <c r="O415" i="2"/>
  <c r="G409" i="7" l="1"/>
  <c r="B411" i="7"/>
  <c r="B410" i="5"/>
  <c r="O416" i="2"/>
  <c r="H409" i="7"/>
  <c r="I409" i="7"/>
  <c r="D409" i="5"/>
  <c r="D410" i="7"/>
  <c r="A411" i="5"/>
  <c r="A412" i="7"/>
  <c r="M417" i="2"/>
  <c r="N417" i="2"/>
  <c r="L418" i="2"/>
  <c r="E410" i="7"/>
  <c r="F410" i="7"/>
  <c r="C411" i="7"/>
  <c r="C410" i="5"/>
  <c r="G410" i="7" l="1"/>
  <c r="H410" i="7" s="1"/>
  <c r="A412" i="5"/>
  <c r="A413" i="7"/>
  <c r="N418" i="2"/>
  <c r="M418" i="2"/>
  <c r="L419" i="2"/>
  <c r="B412" i="7"/>
  <c r="B411" i="5"/>
  <c r="O417" i="2"/>
  <c r="C411" i="5"/>
  <c r="C412" i="7"/>
  <c r="D411" i="7"/>
  <c r="D410" i="5"/>
  <c r="F411" i="7"/>
  <c r="E411" i="7"/>
  <c r="I410" i="7" l="1"/>
  <c r="D412" i="7"/>
  <c r="D411" i="5"/>
  <c r="C412" i="5"/>
  <c r="C413" i="7"/>
  <c r="E412" i="7"/>
  <c r="F412" i="7"/>
  <c r="B413" i="7"/>
  <c r="B412" i="5"/>
  <c r="O418" i="2"/>
  <c r="G411" i="7"/>
  <c r="A413" i="5"/>
  <c r="A414" i="7"/>
  <c r="M419" i="2"/>
  <c r="N419" i="2"/>
  <c r="L420" i="2"/>
  <c r="A414" i="5" l="1"/>
  <c r="A415" i="7"/>
  <c r="M420" i="2"/>
  <c r="N420" i="2"/>
  <c r="L421" i="2"/>
  <c r="F413" i="7"/>
  <c r="E413" i="7"/>
  <c r="C414" i="7"/>
  <c r="C413" i="5"/>
  <c r="I411" i="7"/>
  <c r="H411" i="7"/>
  <c r="G412" i="7"/>
  <c r="B414" i="7"/>
  <c r="B413" i="5"/>
  <c r="O419" i="2"/>
  <c r="D413" i="7"/>
  <c r="D412" i="5"/>
  <c r="H412" i="7" l="1"/>
  <c r="I412" i="7"/>
  <c r="B415" i="7"/>
  <c r="B414" i="5"/>
  <c r="O420" i="2"/>
  <c r="G413" i="7"/>
  <c r="C414" i="5"/>
  <c r="C415" i="7"/>
  <c r="D414" i="7"/>
  <c r="D413" i="5"/>
  <c r="F414" i="7"/>
  <c r="E414" i="7"/>
  <c r="A415" i="5"/>
  <c r="A416" i="7"/>
  <c r="N421" i="2"/>
  <c r="M421" i="2"/>
  <c r="L422" i="2"/>
  <c r="C416" i="7" l="1"/>
  <c r="C415" i="5"/>
  <c r="G414" i="7"/>
  <c r="F415" i="7"/>
  <c r="E415" i="7"/>
  <c r="I413" i="7"/>
  <c r="H413" i="7"/>
  <c r="B416" i="7"/>
  <c r="B415" i="5"/>
  <c r="O421" i="2"/>
  <c r="A416" i="5"/>
  <c r="A417" i="7"/>
  <c r="N422" i="2"/>
  <c r="M422" i="2"/>
  <c r="L423" i="2"/>
  <c r="D414" i="5"/>
  <c r="D415" i="7"/>
  <c r="G415" i="7" l="1"/>
  <c r="I415" i="7" s="1"/>
  <c r="F416" i="7"/>
  <c r="E416" i="7"/>
  <c r="A417" i="5"/>
  <c r="A418" i="7"/>
  <c r="M423" i="2"/>
  <c r="N423" i="2"/>
  <c r="L424" i="2"/>
  <c r="H414" i="7"/>
  <c r="I414" i="7"/>
  <c r="B417" i="7"/>
  <c r="B416" i="5"/>
  <c r="O422" i="2"/>
  <c r="D416" i="7"/>
  <c r="D415" i="5"/>
  <c r="C417" i="7"/>
  <c r="C416" i="5"/>
  <c r="H415" i="7" l="1"/>
  <c r="G416" i="7"/>
  <c r="H416" i="7" s="1"/>
  <c r="E417" i="7"/>
  <c r="B417" i="5"/>
  <c r="B418" i="7"/>
  <c r="O423" i="2"/>
  <c r="D417" i="7"/>
  <c r="D416" i="5"/>
  <c r="C417" i="5"/>
  <c r="C418" i="7"/>
  <c r="F417" i="7"/>
  <c r="A418" i="5"/>
  <c r="A419" i="7"/>
  <c r="N424" i="2"/>
  <c r="M424" i="2"/>
  <c r="L425" i="2"/>
  <c r="I416" i="7" l="1"/>
  <c r="G417" i="7"/>
  <c r="I417" i="7" s="1"/>
  <c r="A419" i="5"/>
  <c r="A420" i="7"/>
  <c r="M425" i="2"/>
  <c r="N425" i="2"/>
  <c r="L426" i="2"/>
  <c r="B419" i="7"/>
  <c r="B418" i="5"/>
  <c r="O424" i="2"/>
  <c r="C418" i="5"/>
  <c r="C419" i="7"/>
  <c r="D418" i="7"/>
  <c r="D417" i="5"/>
  <c r="F418" i="7"/>
  <c r="E418" i="7"/>
  <c r="H417" i="7" l="1"/>
  <c r="C420" i="7"/>
  <c r="C419" i="5"/>
  <c r="G418" i="7"/>
  <c r="B419" i="5"/>
  <c r="B420" i="7"/>
  <c r="O425" i="2"/>
  <c r="E419" i="7"/>
  <c r="F419" i="7"/>
  <c r="D419" i="7"/>
  <c r="D418" i="5"/>
  <c r="A420" i="5"/>
  <c r="A421" i="7"/>
  <c r="M426" i="2"/>
  <c r="N426" i="2"/>
  <c r="L427" i="2"/>
  <c r="G419" i="7" l="1"/>
  <c r="I419" i="7" s="1"/>
  <c r="C420" i="5"/>
  <c r="C421" i="7"/>
  <c r="D419" i="5"/>
  <c r="D420" i="7"/>
  <c r="A421" i="5"/>
  <c r="A422" i="7"/>
  <c r="M427" i="2"/>
  <c r="N427" i="2"/>
  <c r="L428" i="2"/>
  <c r="I418" i="7"/>
  <c r="H418" i="7"/>
  <c r="B421" i="7"/>
  <c r="B420" i="5"/>
  <c r="O426" i="2"/>
  <c r="E420" i="7"/>
  <c r="F420" i="7"/>
  <c r="H419" i="7" l="1"/>
  <c r="D421" i="7"/>
  <c r="D420" i="5"/>
  <c r="A422" i="5"/>
  <c r="A423" i="7"/>
  <c r="N428" i="2"/>
  <c r="M428" i="2"/>
  <c r="L429" i="2"/>
  <c r="G420" i="7"/>
  <c r="F421" i="7"/>
  <c r="E421" i="7"/>
  <c r="C422" i="7"/>
  <c r="C421" i="5"/>
  <c r="B422" i="7"/>
  <c r="B421" i="5"/>
  <c r="O427" i="2"/>
  <c r="G421" i="7" l="1"/>
  <c r="H421" i="7" s="1"/>
  <c r="F422" i="7"/>
  <c r="E422" i="7"/>
  <c r="H420" i="7"/>
  <c r="I420" i="7"/>
  <c r="D422" i="7"/>
  <c r="D421" i="5"/>
  <c r="A423" i="5"/>
  <c r="A424" i="7"/>
  <c r="M429" i="2"/>
  <c r="N429" i="2"/>
  <c r="L430" i="2"/>
  <c r="B423" i="7"/>
  <c r="B422" i="5"/>
  <c r="O428" i="2"/>
  <c r="C423" i="7"/>
  <c r="C422" i="5"/>
  <c r="I421" i="7" l="1"/>
  <c r="D423" i="7"/>
  <c r="D422" i="5"/>
  <c r="B424" i="7"/>
  <c r="B423" i="5"/>
  <c r="O429" i="2"/>
  <c r="F423" i="7"/>
  <c r="E423" i="7"/>
  <c r="G422" i="7"/>
  <c r="C424" i="7"/>
  <c r="C423" i="5"/>
  <c r="A424" i="5"/>
  <c r="A425" i="7"/>
  <c r="N430" i="2"/>
  <c r="M430" i="2"/>
  <c r="L431" i="2"/>
  <c r="G423" i="7" l="1"/>
  <c r="I423" i="7" s="1"/>
  <c r="H422" i="7"/>
  <c r="I422" i="7"/>
  <c r="A425" i="5"/>
  <c r="A426" i="7"/>
  <c r="M431" i="2"/>
  <c r="N431" i="2"/>
  <c r="L432" i="2"/>
  <c r="E424" i="7"/>
  <c r="F424" i="7"/>
  <c r="B424" i="5"/>
  <c r="B425" i="7"/>
  <c r="O430" i="2"/>
  <c r="C425" i="7"/>
  <c r="C424" i="5"/>
  <c r="D424" i="7"/>
  <c r="D423" i="5"/>
  <c r="H423" i="7" l="1"/>
  <c r="G424" i="7"/>
  <c r="I424" i="7" s="1"/>
  <c r="E425" i="7"/>
  <c r="F425" i="7"/>
  <c r="A426" i="5"/>
  <c r="A427" i="7"/>
  <c r="N432" i="2"/>
  <c r="M432" i="2"/>
  <c r="L433" i="2"/>
  <c r="D425" i="7"/>
  <c r="D424" i="5"/>
  <c r="C426" i="7"/>
  <c r="C425" i="5"/>
  <c r="B426" i="7"/>
  <c r="B425" i="5"/>
  <c r="O431" i="2"/>
  <c r="H424" i="7" l="1"/>
  <c r="D426" i="7"/>
  <c r="D425" i="5"/>
  <c r="C427" i="7"/>
  <c r="C426" i="5"/>
  <c r="E426" i="7"/>
  <c r="F426" i="7"/>
  <c r="G425" i="7"/>
  <c r="B426" i="5"/>
  <c r="B427" i="7"/>
  <c r="O432" i="2"/>
  <c r="A427" i="5"/>
  <c r="A428" i="7"/>
  <c r="M433" i="2"/>
  <c r="N433" i="2"/>
  <c r="L434" i="2"/>
  <c r="C427" i="5" l="1"/>
  <c r="C428" i="7"/>
  <c r="D427" i="7"/>
  <c r="D426" i="5"/>
  <c r="G426" i="7"/>
  <c r="A428" i="5"/>
  <c r="A429" i="7"/>
  <c r="N434" i="2"/>
  <c r="M434" i="2"/>
  <c r="L435" i="2"/>
  <c r="H425" i="7"/>
  <c r="I425" i="7"/>
  <c r="B428" i="7"/>
  <c r="B427" i="5"/>
  <c r="O433" i="2"/>
  <c r="E427" i="7"/>
  <c r="F427" i="7"/>
  <c r="G427" i="7" l="1"/>
  <c r="I427" i="7" s="1"/>
  <c r="F428" i="7"/>
  <c r="E428" i="7"/>
  <c r="B429" i="7"/>
  <c r="B428" i="5"/>
  <c r="O434" i="2"/>
  <c r="H426" i="7"/>
  <c r="I426" i="7"/>
  <c r="C429" i="7"/>
  <c r="C428" i="5"/>
  <c r="D428" i="7"/>
  <c r="D427" i="5"/>
  <c r="A429" i="5"/>
  <c r="A430" i="7"/>
  <c r="M435" i="2"/>
  <c r="N435" i="2"/>
  <c r="L436" i="2"/>
  <c r="H427" i="7" l="1"/>
  <c r="B430" i="7"/>
  <c r="B429" i="5"/>
  <c r="O435" i="2"/>
  <c r="D428" i="5"/>
  <c r="D429" i="7"/>
  <c r="G428" i="7"/>
  <c r="A430" i="5"/>
  <c r="A431" i="7"/>
  <c r="M436" i="2"/>
  <c r="N436" i="2"/>
  <c r="L437" i="2"/>
  <c r="C430" i="7"/>
  <c r="C429" i="5"/>
  <c r="E429" i="7"/>
  <c r="F429" i="7"/>
  <c r="G429" i="7" l="1"/>
  <c r="H429" i="7" s="1"/>
  <c r="A431" i="5"/>
  <c r="A432" i="7"/>
  <c r="N437" i="2"/>
  <c r="M437" i="2"/>
  <c r="L438" i="2"/>
  <c r="D430" i="7"/>
  <c r="D429" i="5"/>
  <c r="C431" i="7"/>
  <c r="C430" i="5"/>
  <c r="H428" i="7"/>
  <c r="I428" i="7"/>
  <c r="B430" i="5"/>
  <c r="B431" i="7"/>
  <c r="O436" i="2"/>
  <c r="F430" i="7"/>
  <c r="E430" i="7"/>
  <c r="F431" i="7" l="1"/>
  <c r="I429" i="7"/>
  <c r="G430" i="7"/>
  <c r="H430" i="7" s="1"/>
  <c r="D430" i="5"/>
  <c r="D431" i="7"/>
  <c r="A432" i="5"/>
  <c r="A433" i="7"/>
  <c r="N438" i="2"/>
  <c r="M438" i="2"/>
  <c r="L439" i="2"/>
  <c r="E431" i="7"/>
  <c r="B432" i="7"/>
  <c r="B431" i="5"/>
  <c r="O437" i="2"/>
  <c r="C432" i="7"/>
  <c r="C431" i="5"/>
  <c r="G431" i="7" l="1"/>
  <c r="I431" i="7" s="1"/>
  <c r="I430" i="7"/>
  <c r="E432" i="7"/>
  <c r="F432" i="7"/>
  <c r="C433" i="7"/>
  <c r="C432" i="5"/>
  <c r="D431" i="5"/>
  <c r="D432" i="7"/>
  <c r="A433" i="5"/>
  <c r="A434" i="7"/>
  <c r="M439" i="2"/>
  <c r="N439" i="2"/>
  <c r="L440" i="2"/>
  <c r="B432" i="5"/>
  <c r="B433" i="7"/>
  <c r="O438" i="2"/>
  <c r="H431" i="7" l="1"/>
  <c r="F433" i="7"/>
  <c r="E433" i="7"/>
  <c r="A434" i="5"/>
  <c r="A435" i="7"/>
  <c r="N440" i="2"/>
  <c r="M440" i="2"/>
  <c r="L441" i="2"/>
  <c r="D432" i="5"/>
  <c r="D433" i="7"/>
  <c r="C433" i="5"/>
  <c r="C434" i="7"/>
  <c r="G432" i="7"/>
  <c r="B433" i="5"/>
  <c r="B434" i="7"/>
  <c r="O439" i="2"/>
  <c r="H432" i="7" l="1"/>
  <c r="I432" i="7"/>
  <c r="D434" i="7"/>
  <c r="D433" i="5"/>
  <c r="A435" i="5"/>
  <c r="A436" i="7"/>
  <c r="M441" i="2"/>
  <c r="N441" i="2"/>
  <c r="L442" i="2"/>
  <c r="E434" i="7"/>
  <c r="F434" i="7"/>
  <c r="B434" i="5"/>
  <c r="B435" i="7"/>
  <c r="O440" i="2"/>
  <c r="G433" i="7"/>
  <c r="C435" i="7"/>
  <c r="C434" i="5"/>
  <c r="G434" i="7" l="1"/>
  <c r="I434" i="7" s="1"/>
  <c r="B435" i="5"/>
  <c r="B436" i="7"/>
  <c r="O441" i="2"/>
  <c r="D435" i="7"/>
  <c r="D434" i="5"/>
  <c r="C436" i="7"/>
  <c r="C435" i="5"/>
  <c r="H433" i="7"/>
  <c r="I433" i="7"/>
  <c r="F435" i="7"/>
  <c r="E435" i="7"/>
  <c r="A436" i="5"/>
  <c r="A437" i="7"/>
  <c r="M442" i="2"/>
  <c r="N442" i="2"/>
  <c r="L443" i="2"/>
  <c r="H434" i="7" l="1"/>
  <c r="B436" i="5"/>
  <c r="B437" i="7"/>
  <c r="O442" i="2"/>
  <c r="G435" i="7"/>
  <c r="D435" i="5"/>
  <c r="D436" i="7"/>
  <c r="A437" i="5"/>
  <c r="A438" i="7"/>
  <c r="M443" i="2"/>
  <c r="N443" i="2"/>
  <c r="L444" i="2"/>
  <c r="E436" i="7"/>
  <c r="F436" i="7"/>
  <c r="C437" i="7"/>
  <c r="C436" i="5"/>
  <c r="G436" i="7" l="1"/>
  <c r="H436" i="7" s="1"/>
  <c r="B438" i="7"/>
  <c r="B437" i="5"/>
  <c r="O443" i="2"/>
  <c r="I435" i="7"/>
  <c r="H435" i="7"/>
  <c r="A438" i="5"/>
  <c r="A439" i="7"/>
  <c r="N444" i="2"/>
  <c r="M444" i="2"/>
  <c r="L445" i="2"/>
  <c r="D437" i="7"/>
  <c r="D436" i="5"/>
  <c r="C438" i="7"/>
  <c r="C437" i="5"/>
  <c r="F437" i="7"/>
  <c r="E437" i="7"/>
  <c r="I436" i="7" l="1"/>
  <c r="G437" i="7"/>
  <c r="I437" i="7" s="1"/>
  <c r="B439" i="7"/>
  <c r="B438" i="5"/>
  <c r="O444" i="2"/>
  <c r="F438" i="7"/>
  <c r="E438" i="7"/>
  <c r="C438" i="5"/>
  <c r="C439" i="7"/>
  <c r="A439" i="5"/>
  <c r="A440" i="7"/>
  <c r="M445" i="2"/>
  <c r="N445" i="2"/>
  <c r="L446" i="2"/>
  <c r="D438" i="7"/>
  <c r="D437" i="5"/>
  <c r="H437" i="7" l="1"/>
  <c r="B440" i="7"/>
  <c r="B439" i="5"/>
  <c r="O445" i="2"/>
  <c r="A440" i="5"/>
  <c r="A441" i="7"/>
  <c r="N446" i="2"/>
  <c r="M446" i="2"/>
  <c r="L447" i="2"/>
  <c r="C440" i="7"/>
  <c r="C439" i="5"/>
  <c r="D438" i="5"/>
  <c r="D439" i="7"/>
  <c r="G438" i="7"/>
  <c r="E439" i="7"/>
  <c r="F439" i="7"/>
  <c r="G439" i="7" l="1"/>
  <c r="H439" i="7" s="1"/>
  <c r="A441" i="5"/>
  <c r="A442" i="7"/>
  <c r="M447" i="2"/>
  <c r="N447" i="2"/>
  <c r="L448" i="2"/>
  <c r="C440" i="5"/>
  <c r="C441" i="7"/>
  <c r="B441" i="7"/>
  <c r="B440" i="5"/>
  <c r="O446" i="2"/>
  <c r="D439" i="5"/>
  <c r="D440" i="7"/>
  <c r="H438" i="7"/>
  <c r="I438" i="7"/>
  <c r="F440" i="7"/>
  <c r="E440" i="7"/>
  <c r="G440" i="7" l="1"/>
  <c r="H440" i="7" s="1"/>
  <c r="I439" i="7"/>
  <c r="D440" i="5"/>
  <c r="D441" i="7"/>
  <c r="B442" i="7"/>
  <c r="B441" i="5"/>
  <c r="O447" i="2"/>
  <c r="E441" i="7"/>
  <c r="F441" i="7"/>
  <c r="C442" i="7"/>
  <c r="C441" i="5"/>
  <c r="A442" i="5"/>
  <c r="A443" i="7"/>
  <c r="N448" i="2"/>
  <c r="M448" i="2"/>
  <c r="L449" i="2"/>
  <c r="I440" i="7" l="1"/>
  <c r="A444" i="7"/>
  <c r="A443" i="5"/>
  <c r="M449" i="2"/>
  <c r="N449" i="2"/>
  <c r="L450" i="2"/>
  <c r="C443" i="7"/>
  <c r="C442" i="5"/>
  <c r="G441" i="7"/>
  <c r="B443" i="7"/>
  <c r="B442" i="5"/>
  <c r="O448" i="2"/>
  <c r="E442" i="7"/>
  <c r="F442" i="7"/>
  <c r="D442" i="7"/>
  <c r="D441" i="5"/>
  <c r="H441" i="7" l="1"/>
  <c r="I441" i="7"/>
  <c r="B444" i="7"/>
  <c r="B443" i="5"/>
  <c r="O449" i="2"/>
  <c r="C443" i="5"/>
  <c r="C444" i="7"/>
  <c r="D442" i="5"/>
  <c r="D443" i="7"/>
  <c r="G442" i="7"/>
  <c r="E443" i="7"/>
  <c r="F443" i="7"/>
  <c r="A444" i="5"/>
  <c r="A445" i="7"/>
  <c r="N450" i="2"/>
  <c r="M450" i="2"/>
  <c r="L451" i="2"/>
  <c r="G443" i="7" l="1"/>
  <c r="H443" i="7" s="1"/>
  <c r="C444" i="5"/>
  <c r="C445" i="7"/>
  <c r="E444" i="7"/>
  <c r="F444" i="7"/>
  <c r="I442" i="7"/>
  <c r="H442" i="7"/>
  <c r="B445" i="7"/>
  <c r="B444" i="5"/>
  <c r="O450" i="2"/>
  <c r="A445" i="5"/>
  <c r="A446" i="7"/>
  <c r="M451" i="2"/>
  <c r="N451" i="2"/>
  <c r="L452" i="2"/>
  <c r="D443" i="5"/>
  <c r="D444" i="7"/>
  <c r="G444" i="7" l="1"/>
  <c r="I443" i="7"/>
  <c r="A446" i="5"/>
  <c r="A447" i="7"/>
  <c r="M452" i="2"/>
  <c r="N452" i="2"/>
  <c r="L453" i="2"/>
  <c r="H444" i="7"/>
  <c r="I444" i="7"/>
  <c r="B446" i="7"/>
  <c r="B445" i="5"/>
  <c r="O451" i="2"/>
  <c r="C446" i="7"/>
  <c r="C445" i="5"/>
  <c r="E445" i="7"/>
  <c r="F445" i="7"/>
  <c r="D445" i="7"/>
  <c r="D444" i="5"/>
  <c r="G445" i="7" l="1"/>
  <c r="E446" i="7"/>
  <c r="C446" i="5"/>
  <c r="C447" i="7"/>
  <c r="F446" i="7"/>
  <c r="B447" i="7"/>
  <c r="B446" i="5"/>
  <c r="O452" i="2"/>
  <c r="H445" i="7"/>
  <c r="I445" i="7"/>
  <c r="D446" i="7"/>
  <c r="D445" i="5"/>
  <c r="A447" i="5"/>
  <c r="A448" i="7"/>
  <c r="N453" i="2"/>
  <c r="M453" i="2"/>
  <c r="L454" i="2"/>
  <c r="G446" i="7" l="1"/>
  <c r="E447" i="7"/>
  <c r="F447" i="7"/>
  <c r="I446" i="7"/>
  <c r="H446" i="7"/>
  <c r="A448" i="5"/>
  <c r="A449" i="7"/>
  <c r="N454" i="2"/>
  <c r="M454" i="2"/>
  <c r="L455" i="2"/>
  <c r="B448" i="7"/>
  <c r="B447" i="5"/>
  <c r="O453" i="2"/>
  <c r="D447" i="7"/>
  <c r="D446" i="5"/>
  <c r="C448" i="7"/>
  <c r="C447" i="5"/>
  <c r="A449" i="5" l="1"/>
  <c r="A450" i="7"/>
  <c r="M455" i="2"/>
  <c r="N455" i="2"/>
  <c r="L456" i="2"/>
  <c r="D448" i="7"/>
  <c r="D447" i="5"/>
  <c r="B449" i="7"/>
  <c r="B448" i="5"/>
  <c r="O454" i="2"/>
  <c r="C449" i="7"/>
  <c r="C448" i="5"/>
  <c r="E448" i="7"/>
  <c r="F448" i="7"/>
  <c r="G447" i="7"/>
  <c r="A450" i="5" l="1"/>
  <c r="A451" i="7"/>
  <c r="N456" i="2"/>
  <c r="M456" i="2"/>
  <c r="L457" i="2"/>
  <c r="E449" i="7"/>
  <c r="F449" i="7"/>
  <c r="C449" i="5"/>
  <c r="C450" i="7"/>
  <c r="H447" i="7"/>
  <c r="I447" i="7"/>
  <c r="B449" i="5"/>
  <c r="B450" i="7"/>
  <c r="O455" i="2"/>
  <c r="G448" i="7"/>
  <c r="D449" i="7"/>
  <c r="D448" i="5"/>
  <c r="F450" i="7" l="1"/>
  <c r="E450" i="7"/>
  <c r="A451" i="5"/>
  <c r="A452" i="7"/>
  <c r="M457" i="2"/>
  <c r="N457" i="2"/>
  <c r="L458" i="2"/>
  <c r="B451" i="7"/>
  <c r="B450" i="5"/>
  <c r="O456" i="2"/>
  <c r="I448" i="7"/>
  <c r="H448" i="7"/>
  <c r="C450" i="5"/>
  <c r="C451" i="7"/>
  <c r="D450" i="7"/>
  <c r="D449" i="5"/>
  <c r="G449" i="7"/>
  <c r="G450" i="7" l="1"/>
  <c r="I450" i="7" s="1"/>
  <c r="H449" i="7"/>
  <c r="I449" i="7"/>
  <c r="B451" i="5"/>
  <c r="B452" i="7"/>
  <c r="O457" i="2"/>
  <c r="E451" i="7"/>
  <c r="F451" i="7"/>
  <c r="A452" i="5"/>
  <c r="A453" i="7"/>
  <c r="M458" i="2"/>
  <c r="N458" i="2"/>
  <c r="L459" i="2"/>
  <c r="D451" i="7"/>
  <c r="D450" i="5"/>
  <c r="C452" i="7"/>
  <c r="C451" i="5"/>
  <c r="G451" i="7" l="1"/>
  <c r="I451" i="7" s="1"/>
  <c r="H450" i="7"/>
  <c r="C452" i="5"/>
  <c r="C453" i="7"/>
  <c r="D452" i="7"/>
  <c r="D451" i="5"/>
  <c r="B453" i="7"/>
  <c r="B452" i="5"/>
  <c r="O458" i="2"/>
  <c r="E452" i="7"/>
  <c r="F452" i="7"/>
  <c r="G452" i="7" s="1"/>
  <c r="A453" i="5"/>
  <c r="A454" i="7"/>
  <c r="M459" i="2"/>
  <c r="N459" i="2"/>
  <c r="L460" i="2"/>
  <c r="H451" i="7" l="1"/>
  <c r="D453" i="7"/>
  <c r="D452" i="5"/>
  <c r="A454" i="5"/>
  <c r="A455" i="7"/>
  <c r="N460" i="2"/>
  <c r="M460" i="2"/>
  <c r="L461" i="2"/>
  <c r="C454" i="7"/>
  <c r="C453" i="5"/>
  <c r="H452" i="7"/>
  <c r="I452" i="7"/>
  <c r="F453" i="7"/>
  <c r="E453" i="7"/>
  <c r="B454" i="7"/>
  <c r="B453" i="5"/>
  <c r="O459" i="2"/>
  <c r="C455" i="7" l="1"/>
  <c r="C454" i="5"/>
  <c r="D453" i="5"/>
  <c r="D454" i="7"/>
  <c r="G453" i="7"/>
  <c r="A455" i="5"/>
  <c r="A456" i="7"/>
  <c r="M461" i="2"/>
  <c r="N461" i="2"/>
  <c r="L462" i="2"/>
  <c r="E454" i="7"/>
  <c r="F454" i="7"/>
  <c r="B455" i="7"/>
  <c r="B454" i="5"/>
  <c r="O460" i="2"/>
  <c r="G454" i="7" l="1"/>
  <c r="H454" i="7" s="1"/>
  <c r="E455" i="7"/>
  <c r="F455" i="7"/>
  <c r="C456" i="7"/>
  <c r="C455" i="5"/>
  <c r="H453" i="7"/>
  <c r="I453" i="7"/>
  <c r="B456" i="7"/>
  <c r="B455" i="5"/>
  <c r="O461" i="2"/>
  <c r="D455" i="7"/>
  <c r="D454" i="5"/>
  <c r="A456" i="5"/>
  <c r="A457" i="7"/>
  <c r="N462" i="2"/>
  <c r="M462" i="2"/>
  <c r="L463" i="2"/>
  <c r="I454" i="7" l="1"/>
  <c r="B456" i="5"/>
  <c r="B457" i="7"/>
  <c r="O462" i="2"/>
  <c r="E456" i="7"/>
  <c r="F456" i="7"/>
  <c r="C457" i="7"/>
  <c r="C456" i="5"/>
  <c r="D455" i="5"/>
  <c r="D456" i="7"/>
  <c r="A457" i="5"/>
  <c r="A458" i="7"/>
  <c r="M463" i="2"/>
  <c r="N463" i="2"/>
  <c r="L464" i="2"/>
  <c r="G455" i="7"/>
  <c r="C458" i="7" l="1"/>
  <c r="C457" i="5"/>
  <c r="B458" i="7"/>
  <c r="B457" i="5"/>
  <c r="O463" i="2"/>
  <c r="G456" i="7"/>
  <c r="I455" i="7"/>
  <c r="H455" i="7"/>
  <c r="D457" i="7"/>
  <c r="D456" i="5"/>
  <c r="A458" i="5"/>
  <c r="A459" i="7"/>
  <c r="N464" i="2"/>
  <c r="M464" i="2"/>
  <c r="L465" i="2"/>
  <c r="E457" i="7"/>
  <c r="F457" i="7"/>
  <c r="G457" i="7" l="1"/>
  <c r="H457" i="7" s="1"/>
  <c r="C459" i="7"/>
  <c r="C458" i="5"/>
  <c r="D457" i="5"/>
  <c r="D458" i="7"/>
  <c r="A460" i="7"/>
  <c r="A459" i="5"/>
  <c r="M465" i="2"/>
  <c r="N465" i="2"/>
  <c r="L466" i="2"/>
  <c r="E458" i="7"/>
  <c r="F458" i="7"/>
  <c r="B458" i="5"/>
  <c r="B459" i="7"/>
  <c r="O464" i="2"/>
  <c r="H456" i="7"/>
  <c r="I456" i="7"/>
  <c r="G458" i="7" l="1"/>
  <c r="I458" i="7" s="1"/>
  <c r="I457" i="7"/>
  <c r="B460" i="7"/>
  <c r="B459" i="5"/>
  <c r="O465" i="2"/>
  <c r="D459" i="7"/>
  <c r="D458" i="5"/>
  <c r="E459" i="7"/>
  <c r="F459" i="7"/>
  <c r="A460" i="5"/>
  <c r="A461" i="7"/>
  <c r="N466" i="2"/>
  <c r="M466" i="2"/>
  <c r="L467" i="2"/>
  <c r="C459" i="5"/>
  <c r="C460" i="7"/>
  <c r="H458" i="7" l="1"/>
  <c r="G459" i="7"/>
  <c r="I459" i="7" s="1"/>
  <c r="B461" i="7"/>
  <c r="B460" i="5"/>
  <c r="O466" i="2"/>
  <c r="D460" i="7"/>
  <c r="D459" i="5"/>
  <c r="C461" i="7"/>
  <c r="C460" i="5"/>
  <c r="F460" i="7"/>
  <c r="E460" i="7"/>
  <c r="A461" i="5"/>
  <c r="A462" i="7"/>
  <c r="M467" i="2"/>
  <c r="N467" i="2"/>
  <c r="L468" i="2"/>
  <c r="H459" i="7" l="1"/>
  <c r="C462" i="7"/>
  <c r="C461" i="5"/>
  <c r="D461" i="7"/>
  <c r="D460" i="5"/>
  <c r="A462" i="5"/>
  <c r="A463" i="7"/>
  <c r="M468" i="2"/>
  <c r="N468" i="2"/>
  <c r="L469" i="2"/>
  <c r="B462" i="7"/>
  <c r="B461" i="5"/>
  <c r="O467" i="2"/>
  <c r="G460" i="7"/>
  <c r="E461" i="7"/>
  <c r="F461" i="7"/>
  <c r="D461" i="5" l="1"/>
  <c r="D462" i="7"/>
  <c r="B462" i="5"/>
  <c r="B463" i="7"/>
  <c r="O468" i="2"/>
  <c r="G461" i="7"/>
  <c r="E462" i="7"/>
  <c r="F462" i="7"/>
  <c r="C463" i="7"/>
  <c r="C462" i="5"/>
  <c r="H460" i="7"/>
  <c r="I460" i="7"/>
  <c r="A463" i="5"/>
  <c r="A464" i="7"/>
  <c r="N469" i="2"/>
  <c r="M469" i="2"/>
  <c r="L470" i="2"/>
  <c r="C464" i="7" l="1"/>
  <c r="C463" i="5"/>
  <c r="H461" i="7"/>
  <c r="I461" i="7"/>
  <c r="B464" i="7"/>
  <c r="B463" i="5"/>
  <c r="O469" i="2"/>
  <c r="F463" i="7"/>
  <c r="E463" i="7"/>
  <c r="G462" i="7"/>
  <c r="A464" i="5"/>
  <c r="A465" i="7"/>
  <c r="N470" i="2"/>
  <c r="M470" i="2"/>
  <c r="L471" i="2"/>
  <c r="D463" i="7"/>
  <c r="D462" i="5"/>
  <c r="G463" i="7" l="1"/>
  <c r="H463" i="7" s="1"/>
  <c r="A465" i="5"/>
  <c r="A466" i="7"/>
  <c r="M471" i="2"/>
  <c r="N471" i="2"/>
  <c r="L472" i="2"/>
  <c r="D464" i="7"/>
  <c r="D463" i="5"/>
  <c r="B464" i="5"/>
  <c r="B465" i="7"/>
  <c r="O470" i="2"/>
  <c r="I462" i="7"/>
  <c r="H462" i="7"/>
  <c r="C465" i="7"/>
  <c r="C464" i="5"/>
  <c r="E464" i="7"/>
  <c r="F464" i="7"/>
  <c r="I463" i="7" l="1"/>
  <c r="D465" i="7"/>
  <c r="D464" i="5"/>
  <c r="E465" i="7"/>
  <c r="F465" i="7"/>
  <c r="A466" i="5"/>
  <c r="A467" i="7"/>
  <c r="N472" i="2"/>
  <c r="M472" i="2"/>
  <c r="L473" i="2"/>
  <c r="G464" i="7"/>
  <c r="C465" i="5"/>
  <c r="C466" i="7"/>
  <c r="B465" i="5"/>
  <c r="B466" i="7"/>
  <c r="O471" i="2"/>
  <c r="G465" i="7" l="1"/>
  <c r="I465" i="7" s="1"/>
  <c r="B466" i="5"/>
  <c r="B467" i="7"/>
  <c r="O472" i="2"/>
  <c r="H465" i="7"/>
  <c r="D465" i="5"/>
  <c r="D466" i="7"/>
  <c r="H464" i="7"/>
  <c r="I464" i="7"/>
  <c r="C467" i="7"/>
  <c r="C466" i="5"/>
  <c r="E466" i="7"/>
  <c r="F466" i="7"/>
  <c r="A467" i="5"/>
  <c r="A468" i="7"/>
  <c r="M473" i="2"/>
  <c r="N473" i="2"/>
  <c r="L474" i="2"/>
  <c r="B467" i="5" l="1"/>
  <c r="B468" i="7"/>
  <c r="O473" i="2"/>
  <c r="D467" i="7"/>
  <c r="D466" i="5"/>
  <c r="A468" i="5"/>
  <c r="A469" i="7"/>
  <c r="M474" i="2"/>
  <c r="N474" i="2"/>
  <c r="L475" i="2"/>
  <c r="F467" i="7"/>
  <c r="E467" i="7"/>
  <c r="C468" i="7"/>
  <c r="C467" i="5"/>
  <c r="G466" i="7"/>
  <c r="B468" i="5" l="1"/>
  <c r="B469" i="7"/>
  <c r="O474" i="2"/>
  <c r="H466" i="7"/>
  <c r="I466" i="7"/>
  <c r="G467" i="7"/>
  <c r="D467" i="5"/>
  <c r="D468" i="7"/>
  <c r="A469" i="5"/>
  <c r="A470" i="7"/>
  <c r="M475" i="2"/>
  <c r="N475" i="2"/>
  <c r="L476" i="2"/>
  <c r="F468" i="7"/>
  <c r="E468" i="7"/>
  <c r="C469" i="7"/>
  <c r="C468" i="5"/>
  <c r="C470" i="7" l="1"/>
  <c r="C469" i="5"/>
  <c r="D469" i="7"/>
  <c r="D468" i="5"/>
  <c r="G468" i="7"/>
  <c r="I467" i="7"/>
  <c r="H467" i="7"/>
  <c r="E469" i="7"/>
  <c r="F469" i="7"/>
  <c r="B470" i="7"/>
  <c r="B469" i="5"/>
  <c r="O475" i="2"/>
  <c r="A470" i="5"/>
  <c r="A471" i="7"/>
  <c r="N476" i="2"/>
  <c r="M476" i="2"/>
  <c r="L477" i="2"/>
  <c r="C470" i="5" l="1"/>
  <c r="C471" i="7"/>
  <c r="F470" i="7"/>
  <c r="E470" i="7"/>
  <c r="B471" i="7"/>
  <c r="B470" i="5"/>
  <c r="O476" i="2"/>
  <c r="D469" i="5"/>
  <c r="D470" i="7"/>
  <c r="A471" i="5"/>
  <c r="A472" i="7"/>
  <c r="M477" i="2"/>
  <c r="N477" i="2"/>
  <c r="L478" i="2"/>
  <c r="G469" i="7"/>
  <c r="I468" i="7"/>
  <c r="H468" i="7"/>
  <c r="G470" i="7" l="1"/>
  <c r="I470" i="7" s="1"/>
  <c r="B472" i="7"/>
  <c r="B471" i="5"/>
  <c r="O477" i="2"/>
  <c r="H469" i="7"/>
  <c r="I469" i="7"/>
  <c r="D471" i="7"/>
  <c r="D470" i="5"/>
  <c r="A472" i="5"/>
  <c r="A473" i="7"/>
  <c r="N478" i="2"/>
  <c r="M478" i="2"/>
  <c r="L479" i="2"/>
  <c r="C472" i="7"/>
  <c r="C471" i="5"/>
  <c r="E471" i="7"/>
  <c r="F471" i="7"/>
  <c r="H470" i="7" l="1"/>
  <c r="C472" i="5"/>
  <c r="C473" i="7"/>
  <c r="D471" i="5"/>
  <c r="D472" i="7"/>
  <c r="G471" i="7"/>
  <c r="A473" i="5"/>
  <c r="A474" i="7"/>
  <c r="M479" i="2"/>
  <c r="N479" i="2"/>
  <c r="L480" i="2"/>
  <c r="B473" i="7"/>
  <c r="B472" i="5"/>
  <c r="O478" i="2"/>
  <c r="E472" i="7"/>
  <c r="F472" i="7"/>
  <c r="G472" i="7" l="1"/>
  <c r="H472" i="7" s="1"/>
  <c r="D473" i="7"/>
  <c r="D472" i="5"/>
  <c r="B474" i="7"/>
  <c r="B473" i="5"/>
  <c r="O479" i="2"/>
  <c r="F473" i="7"/>
  <c r="E473" i="7"/>
  <c r="A474" i="5"/>
  <c r="A475" i="7"/>
  <c r="N480" i="2"/>
  <c r="M480" i="2"/>
  <c r="L481" i="2"/>
  <c r="C474" i="7"/>
  <c r="C473" i="5"/>
  <c r="I471" i="7"/>
  <c r="H471" i="7"/>
  <c r="G473" i="7" l="1"/>
  <c r="H473" i="7" s="1"/>
  <c r="I472" i="7"/>
  <c r="C475" i="7"/>
  <c r="C474" i="5"/>
  <c r="F474" i="7"/>
  <c r="E474" i="7"/>
  <c r="A475" i="5"/>
  <c r="A476" i="7"/>
  <c r="M481" i="2"/>
  <c r="N481" i="2"/>
  <c r="L482" i="2"/>
  <c r="B475" i="7"/>
  <c r="B474" i="5"/>
  <c r="O480" i="2"/>
  <c r="D474" i="7"/>
  <c r="D473" i="5"/>
  <c r="I473" i="7" l="1"/>
  <c r="G474" i="7"/>
  <c r="I474" i="7" s="1"/>
  <c r="E475" i="7"/>
  <c r="F475" i="7"/>
  <c r="A476" i="5"/>
  <c r="A477" i="7"/>
  <c r="N482" i="2"/>
  <c r="M482" i="2"/>
  <c r="L483" i="2"/>
  <c r="D474" i="5"/>
  <c r="D475" i="7"/>
  <c r="C475" i="5"/>
  <c r="C476" i="7"/>
  <c r="B476" i="7"/>
  <c r="B475" i="5"/>
  <c r="O481" i="2"/>
  <c r="H474" i="7" l="1"/>
  <c r="G475" i="7"/>
  <c r="I475" i="7" s="1"/>
  <c r="F476" i="7"/>
  <c r="E476" i="7"/>
  <c r="A477" i="5"/>
  <c r="A478" i="7"/>
  <c r="M483" i="2"/>
  <c r="N483" i="2"/>
  <c r="L484" i="2"/>
  <c r="D475" i="5"/>
  <c r="D476" i="7"/>
  <c r="B477" i="7"/>
  <c r="B476" i="5"/>
  <c r="O482" i="2"/>
  <c r="C476" i="5"/>
  <c r="C477" i="7"/>
  <c r="H475" i="7" l="1"/>
  <c r="G476" i="7"/>
  <c r="I476" i="7" s="1"/>
  <c r="D477" i="7"/>
  <c r="D476" i="5"/>
  <c r="A478" i="5"/>
  <c r="A479" i="7"/>
  <c r="M484" i="2"/>
  <c r="N484" i="2"/>
  <c r="L485" i="2"/>
  <c r="F477" i="7"/>
  <c r="E477" i="7"/>
  <c r="C478" i="7"/>
  <c r="C477" i="5"/>
  <c r="B478" i="7"/>
  <c r="B477" i="5"/>
  <c r="O483" i="2"/>
  <c r="H476" i="7" l="1"/>
  <c r="F478" i="7"/>
  <c r="G477" i="7"/>
  <c r="A479" i="5"/>
  <c r="A480" i="7"/>
  <c r="N485" i="2"/>
  <c r="M485" i="2"/>
  <c r="L486" i="2"/>
  <c r="D477" i="5"/>
  <c r="D478" i="7"/>
  <c r="E478" i="7"/>
  <c r="C478" i="5"/>
  <c r="C479" i="7"/>
  <c r="B479" i="7"/>
  <c r="B478" i="5"/>
  <c r="O484" i="2"/>
  <c r="G478" i="7" l="1"/>
  <c r="I478" i="7" s="1"/>
  <c r="F479" i="7"/>
  <c r="E479" i="7"/>
  <c r="D479" i="7"/>
  <c r="D478" i="5"/>
  <c r="A480" i="5"/>
  <c r="A481" i="7"/>
  <c r="N486" i="2"/>
  <c r="M486" i="2"/>
  <c r="L487" i="2"/>
  <c r="B480" i="7"/>
  <c r="B479" i="5"/>
  <c r="O485" i="2"/>
  <c r="H477" i="7"/>
  <c r="I477" i="7"/>
  <c r="C480" i="7"/>
  <c r="C479" i="5"/>
  <c r="H478" i="7" l="1"/>
  <c r="G479" i="7"/>
  <c r="H479" i="7" s="1"/>
  <c r="D480" i="7"/>
  <c r="D479" i="5"/>
  <c r="E480" i="7"/>
  <c r="F480" i="7"/>
  <c r="G480" i="7" s="1"/>
  <c r="A481" i="5"/>
  <c r="A482" i="7"/>
  <c r="M487" i="2"/>
  <c r="N487" i="2"/>
  <c r="L488" i="2"/>
  <c r="B480" i="5"/>
  <c r="B481" i="7"/>
  <c r="O486" i="2"/>
  <c r="C481" i="7"/>
  <c r="C480" i="5"/>
  <c r="I479" i="7" l="1"/>
  <c r="C481" i="5"/>
  <c r="C482" i="7"/>
  <c r="E481" i="7"/>
  <c r="F481" i="7"/>
  <c r="H480" i="7"/>
  <c r="I480" i="7"/>
  <c r="A482" i="5"/>
  <c r="A483" i="7"/>
  <c r="N488" i="2"/>
  <c r="M488" i="2"/>
  <c r="L489" i="2"/>
  <c r="D480" i="5"/>
  <c r="D481" i="7"/>
  <c r="B481" i="5"/>
  <c r="B482" i="7"/>
  <c r="O487" i="2"/>
  <c r="G481" i="7" l="1"/>
  <c r="D482" i="7"/>
  <c r="D481" i="5"/>
  <c r="H481" i="7"/>
  <c r="I481" i="7"/>
  <c r="E482" i="7"/>
  <c r="F482" i="7"/>
  <c r="A483" i="5"/>
  <c r="A484" i="7"/>
  <c r="M489" i="2"/>
  <c r="N489" i="2"/>
  <c r="L490" i="2"/>
  <c r="B483" i="7"/>
  <c r="B482" i="5"/>
  <c r="O488" i="2"/>
  <c r="C482" i="5"/>
  <c r="C483" i="7"/>
  <c r="F483" i="7" l="1"/>
  <c r="E483" i="7"/>
  <c r="A484" i="5"/>
  <c r="A485" i="7"/>
  <c r="M490" i="2"/>
  <c r="N490" i="2"/>
  <c r="L491" i="2"/>
  <c r="D482" i="5"/>
  <c r="D483" i="7"/>
  <c r="C484" i="7"/>
  <c r="C483" i="5"/>
  <c r="G482" i="7"/>
  <c r="B483" i="5"/>
  <c r="B484" i="7"/>
  <c r="O489" i="2"/>
  <c r="E484" i="7" l="1"/>
  <c r="G483" i="7"/>
  <c r="I483" i="7" s="1"/>
  <c r="H482" i="7"/>
  <c r="I482" i="7"/>
  <c r="D484" i="7"/>
  <c r="D483" i="5"/>
  <c r="A485" i="5"/>
  <c r="A486" i="7"/>
  <c r="L492" i="2"/>
  <c r="M491" i="2"/>
  <c r="N491" i="2"/>
  <c r="F484" i="7"/>
  <c r="C484" i="5"/>
  <c r="C485" i="7"/>
  <c r="B485" i="7"/>
  <c r="B484" i="5"/>
  <c r="O490" i="2"/>
  <c r="G484" i="7" l="1"/>
  <c r="H483" i="7"/>
  <c r="H484" i="7"/>
  <c r="I484" i="7"/>
  <c r="D485" i="7"/>
  <c r="D484" i="5"/>
  <c r="B486" i="7"/>
  <c r="B485" i="5"/>
  <c r="O491" i="2"/>
  <c r="A486" i="5"/>
  <c r="A487" i="7"/>
  <c r="L493" i="2"/>
  <c r="N492" i="2"/>
  <c r="M492" i="2"/>
  <c r="E485" i="7"/>
  <c r="F485" i="7"/>
  <c r="C486" i="7"/>
  <c r="C485" i="5"/>
  <c r="C487" i="7" l="1"/>
  <c r="C486" i="5"/>
  <c r="D486" i="7"/>
  <c r="D485" i="5"/>
  <c r="G485" i="7"/>
  <c r="A487" i="5"/>
  <c r="L494" i="2"/>
  <c r="A488" i="7"/>
  <c r="M493" i="2"/>
  <c r="N493" i="2"/>
  <c r="B487" i="7"/>
  <c r="B486" i="5"/>
  <c r="O492" i="2"/>
  <c r="F486" i="7"/>
  <c r="E486" i="7"/>
  <c r="G486" i="7" l="1"/>
  <c r="I486" i="7" s="1"/>
  <c r="D487" i="7"/>
  <c r="D486" i="5"/>
  <c r="F487" i="7"/>
  <c r="E487" i="7"/>
  <c r="A488" i="5"/>
  <c r="A489" i="7"/>
  <c r="L495" i="2"/>
  <c r="N494" i="2"/>
  <c r="M494" i="2"/>
  <c r="C488" i="7"/>
  <c r="C487" i="5"/>
  <c r="B488" i="7"/>
  <c r="B487" i="5"/>
  <c r="O493" i="2"/>
  <c r="H485" i="7"/>
  <c r="I485" i="7"/>
  <c r="H486" i="7" l="1"/>
  <c r="G487" i="7"/>
  <c r="H487" i="7" s="1"/>
  <c r="D487" i="5"/>
  <c r="D488" i="7"/>
  <c r="C489" i="7"/>
  <c r="C488" i="5"/>
  <c r="B488" i="5"/>
  <c r="B489" i="7"/>
  <c r="O494" i="2"/>
  <c r="E488" i="7"/>
  <c r="F488" i="7"/>
  <c r="A489" i="5"/>
  <c r="A490" i="7"/>
  <c r="L496" i="2"/>
  <c r="M495" i="2"/>
  <c r="N495" i="2"/>
  <c r="I487" i="7" l="1"/>
  <c r="G488" i="7"/>
  <c r="I488" i="7" s="1"/>
  <c r="A490" i="5"/>
  <c r="A491" i="7"/>
  <c r="L497" i="2"/>
  <c r="N496" i="2"/>
  <c r="M496" i="2"/>
  <c r="D489" i="7"/>
  <c r="D488" i="5"/>
  <c r="C490" i="7"/>
  <c r="C489" i="5"/>
  <c r="F489" i="7"/>
  <c r="E489" i="7"/>
  <c r="B490" i="7"/>
  <c r="B489" i="5"/>
  <c r="O495" i="2"/>
  <c r="H488" i="7" l="1"/>
  <c r="D489" i="5"/>
  <c r="D490" i="7"/>
  <c r="G489" i="7"/>
  <c r="C491" i="7"/>
  <c r="C490" i="5"/>
  <c r="A491" i="5"/>
  <c r="A492" i="7"/>
  <c r="L498" i="2"/>
  <c r="M497" i="2"/>
  <c r="N497" i="2"/>
  <c r="F490" i="7"/>
  <c r="E490" i="7"/>
  <c r="B490" i="5"/>
  <c r="B491" i="7"/>
  <c r="O496" i="2"/>
  <c r="A492" i="5" l="1"/>
  <c r="A493" i="7"/>
  <c r="L499" i="2"/>
  <c r="N498" i="2"/>
  <c r="M498" i="2"/>
  <c r="D491" i="7"/>
  <c r="D490" i="5"/>
  <c r="G490" i="7"/>
  <c r="H489" i="7"/>
  <c r="I489" i="7"/>
  <c r="E491" i="7"/>
  <c r="F491" i="7"/>
  <c r="G491" i="7" s="1"/>
  <c r="C491" i="5"/>
  <c r="C492" i="7"/>
  <c r="B492" i="7"/>
  <c r="B491" i="5"/>
  <c r="O497" i="2"/>
  <c r="D491" i="5" l="1"/>
  <c r="D492" i="7"/>
  <c r="I491" i="7"/>
  <c r="H491" i="7"/>
  <c r="I490" i="7"/>
  <c r="H490" i="7"/>
  <c r="C493" i="7"/>
  <c r="C492" i="5"/>
  <c r="F492" i="7"/>
  <c r="E492" i="7"/>
  <c r="A493" i="5"/>
  <c r="A494" i="7"/>
  <c r="L500" i="2"/>
  <c r="M499" i="2"/>
  <c r="N499" i="2"/>
  <c r="B493" i="7"/>
  <c r="B492" i="5"/>
  <c r="O498" i="2"/>
  <c r="G492" i="7" l="1"/>
  <c r="I492" i="7" s="1"/>
  <c r="E493" i="7"/>
  <c r="F493" i="7"/>
  <c r="B494" i="7"/>
  <c r="B493" i="5"/>
  <c r="O499" i="2"/>
  <c r="C494" i="7"/>
  <c r="C493" i="5"/>
  <c r="D492" i="5"/>
  <c r="D493" i="7"/>
  <c r="A494" i="5"/>
  <c r="A495" i="7"/>
  <c r="L501" i="2"/>
  <c r="M500" i="2"/>
  <c r="N500" i="2"/>
  <c r="H492" i="7" l="1"/>
  <c r="A495" i="5"/>
  <c r="A496" i="7"/>
  <c r="L502" i="2"/>
  <c r="N501" i="2"/>
  <c r="M501" i="2"/>
  <c r="E494" i="7"/>
  <c r="F494" i="7"/>
  <c r="C495" i="7"/>
  <c r="C494" i="5"/>
  <c r="G493" i="7"/>
  <c r="B494" i="5"/>
  <c r="B495" i="7"/>
  <c r="O500" i="2"/>
  <c r="D494" i="7"/>
  <c r="D493" i="5"/>
  <c r="G494" i="7" l="1"/>
  <c r="I494" i="7" s="1"/>
  <c r="D495" i="7"/>
  <c r="D494" i="5"/>
  <c r="F495" i="7"/>
  <c r="E495" i="7"/>
  <c r="C496" i="7"/>
  <c r="C495" i="5"/>
  <c r="A496" i="5"/>
  <c r="L503" i="2"/>
  <c r="A497" i="7"/>
  <c r="N502" i="2"/>
  <c r="M502" i="2"/>
  <c r="H493" i="7"/>
  <c r="I493" i="7"/>
  <c r="B496" i="7"/>
  <c r="B495" i="5"/>
  <c r="O501" i="2"/>
  <c r="H494" i="7" l="1"/>
  <c r="E496" i="7"/>
  <c r="F496" i="7"/>
  <c r="C497" i="7"/>
  <c r="C496" i="5"/>
  <c r="G495" i="7"/>
  <c r="D495" i="5"/>
  <c r="D496" i="7"/>
  <c r="A497" i="5"/>
  <c r="A498" i="7"/>
  <c r="L504" i="2"/>
  <c r="M503" i="2"/>
  <c r="N503" i="2"/>
  <c r="B496" i="5"/>
  <c r="B497" i="7"/>
  <c r="O502" i="2"/>
  <c r="G496" i="7" l="1"/>
  <c r="B497" i="5"/>
  <c r="B498" i="7"/>
  <c r="O503" i="2"/>
  <c r="F497" i="7"/>
  <c r="E497" i="7"/>
  <c r="A498" i="5"/>
  <c r="A499" i="7"/>
  <c r="L505" i="2"/>
  <c r="N504" i="2"/>
  <c r="M504" i="2"/>
  <c r="H496" i="7"/>
  <c r="I496" i="7"/>
  <c r="C497" i="5"/>
  <c r="C498" i="7"/>
  <c r="D497" i="7"/>
  <c r="D496" i="5"/>
  <c r="H495" i="7"/>
  <c r="I495" i="7"/>
  <c r="G497" i="7" l="1"/>
  <c r="H497" i="7" s="1"/>
  <c r="A500" i="7"/>
  <c r="A499" i="5"/>
  <c r="L506" i="2"/>
  <c r="M505" i="2"/>
  <c r="N505" i="2"/>
  <c r="D498" i="7"/>
  <c r="D497" i="5"/>
  <c r="B498" i="5"/>
  <c r="B499" i="7"/>
  <c r="O504" i="2"/>
  <c r="F498" i="7"/>
  <c r="E498" i="7"/>
  <c r="C499" i="7"/>
  <c r="C498" i="5"/>
  <c r="G498" i="7" l="1"/>
  <c r="I497" i="7"/>
  <c r="I498" i="7"/>
  <c r="H498" i="7"/>
  <c r="D499" i="7"/>
  <c r="D498" i="5"/>
  <c r="B499" i="5"/>
  <c r="B500" i="7"/>
  <c r="O505" i="2"/>
  <c r="F499" i="7"/>
  <c r="E499" i="7"/>
  <c r="A500" i="5"/>
  <c r="A501" i="7"/>
  <c r="L507" i="2"/>
  <c r="M506" i="2"/>
  <c r="N506" i="2"/>
  <c r="C500" i="7"/>
  <c r="C499" i="5"/>
  <c r="C501" i="7" l="1"/>
  <c r="C500" i="5"/>
  <c r="E500" i="7"/>
  <c r="F500" i="7"/>
  <c r="A501" i="5"/>
  <c r="A502" i="7"/>
  <c r="L508" i="2"/>
  <c r="M507" i="2"/>
  <c r="N507" i="2"/>
  <c r="D500" i="7"/>
  <c r="D499" i="5"/>
  <c r="B500" i="5"/>
  <c r="B501" i="7"/>
  <c r="O506" i="2"/>
  <c r="G499" i="7"/>
  <c r="G500" i="7" l="1"/>
  <c r="I500" i="7" s="1"/>
  <c r="B502" i="7"/>
  <c r="O507" i="2"/>
  <c r="B501" i="5"/>
  <c r="H500" i="7"/>
  <c r="H499" i="7"/>
  <c r="I499" i="7"/>
  <c r="A502" i="5"/>
  <c r="A503" i="7"/>
  <c r="L509" i="2"/>
  <c r="N508" i="2"/>
  <c r="M508" i="2"/>
  <c r="D500" i="5"/>
  <c r="D501" i="7"/>
  <c r="E501" i="7"/>
  <c r="F501" i="7"/>
  <c r="C502" i="7"/>
  <c r="C501" i="5"/>
  <c r="G501" i="7" l="1"/>
  <c r="H501" i="7" s="1"/>
  <c r="B503" i="7"/>
  <c r="B502" i="5"/>
  <c r="O508" i="2"/>
  <c r="A504" i="7"/>
  <c r="A503" i="5"/>
  <c r="M509" i="2"/>
  <c r="N509" i="2"/>
  <c r="D502" i="7"/>
  <c r="D501" i="5"/>
  <c r="C502" i="5"/>
  <c r="C503" i="7"/>
  <c r="E502" i="7"/>
  <c r="F502" i="7"/>
  <c r="I501" i="7" l="1"/>
  <c r="G502" i="7"/>
  <c r="H502" i="7" s="1"/>
  <c r="B504" i="7"/>
  <c r="B503" i="5"/>
  <c r="O509" i="2"/>
  <c r="F503" i="7"/>
  <c r="E503" i="7"/>
  <c r="C504" i="7"/>
  <c r="C503" i="5"/>
  <c r="D502" i="5"/>
  <c r="D503" i="7"/>
  <c r="I502" i="7" l="1"/>
  <c r="D504" i="7"/>
  <c r="D503" i="5"/>
  <c r="G503" i="7"/>
  <c r="E504" i="7"/>
  <c r="F504" i="7"/>
  <c r="H503" i="7" l="1"/>
  <c r="I503" i="7"/>
  <c r="I2" i="5"/>
  <c r="I3" i="5"/>
  <c r="G504" i="7"/>
  <c r="I2" i="7" s="1"/>
  <c r="I11" i="5" l="1"/>
  <c r="J11" i="5" s="1"/>
  <c r="I14" i="5"/>
  <c r="J14" i="5" s="1"/>
  <c r="I6" i="5"/>
  <c r="J6" i="5" s="1"/>
  <c r="K6" i="5" s="1"/>
  <c r="I13" i="5"/>
  <c r="J13" i="5" s="1"/>
  <c r="I10" i="5"/>
  <c r="J10" i="5" s="1"/>
  <c r="I8" i="5"/>
  <c r="J8" i="5" s="1"/>
  <c r="I15" i="5"/>
  <c r="J15" i="5" s="1"/>
  <c r="I9" i="5"/>
  <c r="J9" i="5" s="1"/>
  <c r="I16" i="5"/>
  <c r="J16" i="5" s="1"/>
  <c r="K16" i="5" s="1"/>
  <c r="I7" i="5"/>
  <c r="J7" i="5" s="1"/>
  <c r="I12" i="5"/>
  <c r="J12" i="5" s="1"/>
  <c r="I504" i="7"/>
  <c r="H504" i="7"/>
  <c r="G2" i="7"/>
  <c r="K13" i="5" l="1"/>
  <c r="K9" i="5"/>
  <c r="K12" i="5"/>
  <c r="K15" i="5"/>
  <c r="K7" i="5"/>
  <c r="K8" i="5"/>
  <c r="K14" i="5"/>
  <c r="K10" i="5"/>
  <c r="K11" i="5"/>
</calcChain>
</file>

<file path=xl/sharedStrings.xml><?xml version="1.0" encoding="utf-8"?>
<sst xmlns="http://schemas.openxmlformats.org/spreadsheetml/2006/main" count="69" uniqueCount="36">
  <si>
    <t>index</t>
  </si>
  <si>
    <t>Simulation</t>
  </si>
  <si>
    <t>Numéro échantillon</t>
  </si>
  <si>
    <t>U - uniforme</t>
  </si>
  <si>
    <t>C</t>
  </si>
  <si>
    <t>f_Z(v)</t>
  </si>
  <si>
    <t>f_V(v)</t>
  </si>
  <si>
    <t>V1 - Uniforme</t>
  </si>
  <si>
    <t>V2 - Uniforme</t>
  </si>
  <si>
    <t>Z1</t>
  </si>
  <si>
    <t>Z2</t>
  </si>
  <si>
    <t>Accepté</t>
  </si>
  <si>
    <t>Il n'est pas suffisant de généré une longueur de rayon et un angle uniformément et indépendamment</t>
  </si>
  <si>
    <t>Échantillons</t>
  </si>
  <si>
    <t>rayon</t>
  </si>
  <si>
    <t>angle</t>
  </si>
  <si>
    <t>Distance de zéro</t>
  </si>
  <si>
    <t>Fonction de répartition</t>
  </si>
  <si>
    <t>Min</t>
  </si>
  <si>
    <t>Max</t>
  </si>
  <si>
    <t>Nombre de bins</t>
  </si>
  <si>
    <t>Bins</t>
  </si>
  <si>
    <t>x</t>
  </si>
  <si>
    <t>P(X&lt;=x)</t>
  </si>
  <si>
    <t>Histogramme</t>
  </si>
  <si>
    <t>Quantité acceptée</t>
  </si>
  <si>
    <t>Échantillons préservés</t>
  </si>
  <si>
    <t>Application de la méthode de rejet pour générer des points uniformément répartis sur la surface d'un cercle de rayon 1.</t>
  </si>
  <si>
    <t>Dist du plan</t>
  </si>
  <si>
    <t>Distance du point</t>
  </si>
  <si>
    <t>Z1 dans zone</t>
  </si>
  <si>
    <t>Z2 dans zone</t>
  </si>
  <si>
    <t>Point dans zone</t>
  </si>
  <si>
    <t>Proportion des points dans la zone rouge</t>
  </si>
  <si>
    <t>On peut ensuite calculer quel proportion de l'aire d'un cercle tombe dans une région particulière (exemple zone rouge)</t>
  </si>
  <si>
    <t>+/-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</si>
</sst>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$&quot;_);[Red]\(#,##0\ &quot;$&quot;\)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165" fontId="1" fillId="0" borderId="0" xfId="1" applyNumberFormat="1" applyFont="1"/>
    <xf numFmtId="0" fontId="2" fillId="0" borderId="0" xfId="0" quotePrefix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'uniforme cercle (rejet)'!$M$10:$M$509</c:f>
              <c:numCache>
                <c:formatCode>General</c:formatCode>
                <c:ptCount val="500"/>
                <c:pt idx="0">
                  <c:v>-0.37065883238826403</c:v>
                </c:pt>
                <c:pt idx="1">
                  <c:v>-9.0019855182084552E-2</c:v>
                </c:pt>
                <c:pt idx="2">
                  <c:v>-0.24899950226759415</c:v>
                </c:pt>
                <c:pt idx="3">
                  <c:v>6.8244952980820894E-2</c:v>
                </c:pt>
                <c:pt idx="4">
                  <c:v>0.22665299296155994</c:v>
                </c:pt>
                <c:pt idx="5">
                  <c:v>0.28192509407307553</c:v>
                </c:pt>
                <c:pt idx="6">
                  <c:v>0.32873345678994959</c:v>
                </c:pt>
                <c:pt idx="7">
                  <c:v>-0.85827678492662596</c:v>
                </c:pt>
                <c:pt idx="8">
                  <c:v>0.18970217759962793</c:v>
                </c:pt>
                <c:pt idx="9">
                  <c:v>0.36918322505175727</c:v>
                </c:pt>
                <c:pt idx="10">
                  <c:v>-0.24941141570130454</c:v>
                </c:pt>
                <c:pt idx="11">
                  <c:v>-0.82542411696763041</c:v>
                </c:pt>
                <c:pt idx="12">
                  <c:v>-0.43889576684524712</c:v>
                </c:pt>
                <c:pt idx="13">
                  <c:v>-0.20649894929057133</c:v>
                </c:pt>
                <c:pt idx="14">
                  <c:v>0.60121368102237338</c:v>
                </c:pt>
                <c:pt idx="15">
                  <c:v>-0.52779177211756245</c:v>
                </c:pt>
                <c:pt idx="16">
                  <c:v>-0.5309432195415098</c:v>
                </c:pt>
                <c:pt idx="17">
                  <c:v>0.2630723100277963</c:v>
                </c:pt>
                <c:pt idx="18">
                  <c:v>-0.24040913886294946</c:v>
                </c:pt>
                <c:pt idx="19">
                  <c:v>-0.20897830122665995</c:v>
                </c:pt>
                <c:pt idx="20">
                  <c:v>-0.67354792558674292</c:v>
                </c:pt>
                <c:pt idx="21">
                  <c:v>0.57326339455173692</c:v>
                </c:pt>
                <c:pt idx="22">
                  <c:v>0.69896941668651613</c:v>
                </c:pt>
                <c:pt idx="23">
                  <c:v>0.28059708928632143</c:v>
                </c:pt>
                <c:pt idx="24">
                  <c:v>0.30564663528708635</c:v>
                </c:pt>
                <c:pt idx="25">
                  <c:v>-0.90223063673221127</c:v>
                </c:pt>
                <c:pt idx="26">
                  <c:v>0.42723313695359355</c:v>
                </c:pt>
                <c:pt idx="27">
                  <c:v>0.39364284337987265</c:v>
                </c:pt>
                <c:pt idx="28">
                  <c:v>8.0128248754276266E-2</c:v>
                </c:pt>
                <c:pt idx="29">
                  <c:v>0.65284725452006565</c:v>
                </c:pt>
                <c:pt idx="30">
                  <c:v>-0.19487068794361151</c:v>
                </c:pt>
                <c:pt idx="31">
                  <c:v>-4.7786061163548776E-2</c:v>
                </c:pt>
                <c:pt idx="32">
                  <c:v>0.19400143165006489</c:v>
                </c:pt>
                <c:pt idx="33">
                  <c:v>-0.11593281701190916</c:v>
                </c:pt>
                <c:pt idx="34">
                  <c:v>-0.59169147279780887</c:v>
                </c:pt>
                <c:pt idx="35">
                  <c:v>-0.3921903240548088</c:v>
                </c:pt>
                <c:pt idx="36">
                  <c:v>-0.65750006296392915</c:v>
                </c:pt>
                <c:pt idx="37">
                  <c:v>0.22446732479624987</c:v>
                </c:pt>
                <c:pt idx="38">
                  <c:v>-0.5777191522380285</c:v>
                </c:pt>
                <c:pt idx="39">
                  <c:v>-0.71107816222770426</c:v>
                </c:pt>
                <c:pt idx="40">
                  <c:v>-2.5439099025597045E-3</c:v>
                </c:pt>
                <c:pt idx="41">
                  <c:v>0.24031175624030587</c:v>
                </c:pt>
                <c:pt idx="42">
                  <c:v>0.20383733124264114</c:v>
                </c:pt>
                <c:pt idx="43">
                  <c:v>-0.74308851468199855</c:v>
                </c:pt>
                <c:pt idx="44">
                  <c:v>0.45586797318147654</c:v>
                </c:pt>
                <c:pt idx="45">
                  <c:v>0.5092318797513844</c:v>
                </c:pt>
                <c:pt idx="46">
                  <c:v>-0.89883188299015604</c:v>
                </c:pt>
                <c:pt idx="47">
                  <c:v>0.94473553403628241</c:v>
                </c:pt>
                <c:pt idx="48">
                  <c:v>-0.88222259792012414</c:v>
                </c:pt>
                <c:pt idx="49">
                  <c:v>-0.39335767282093426</c:v>
                </c:pt>
                <c:pt idx="50">
                  <c:v>0.48319991255675121</c:v>
                </c:pt>
                <c:pt idx="51">
                  <c:v>0.84828507406543618</c:v>
                </c:pt>
                <c:pt idx="52">
                  <c:v>0.11260652318292563</c:v>
                </c:pt>
                <c:pt idx="53">
                  <c:v>0.29692039330225306</c:v>
                </c:pt>
                <c:pt idx="54">
                  <c:v>-0.24093429270808797</c:v>
                </c:pt>
                <c:pt idx="55">
                  <c:v>0.58073287836808118</c:v>
                </c:pt>
                <c:pt idx="56">
                  <c:v>0.4182920415856326</c:v>
                </c:pt>
                <c:pt idx="57">
                  <c:v>-0.17699623393508457</c:v>
                </c:pt>
                <c:pt idx="58">
                  <c:v>4.3792111408921919E-2</c:v>
                </c:pt>
                <c:pt idx="59">
                  <c:v>0.52136755491571218</c:v>
                </c:pt>
                <c:pt idx="60">
                  <c:v>-0.41727230873957333</c:v>
                </c:pt>
                <c:pt idx="61">
                  <c:v>1.839114496254024E-2</c:v>
                </c:pt>
                <c:pt idx="62">
                  <c:v>0.17666807587545774</c:v>
                </c:pt>
                <c:pt idx="63">
                  <c:v>-0.33968993895609234</c:v>
                </c:pt>
                <c:pt idx="64">
                  <c:v>-6.0025866196560695E-2</c:v>
                </c:pt>
                <c:pt idx="65">
                  <c:v>-0.55550370434775354</c:v>
                </c:pt>
                <c:pt idx="66">
                  <c:v>-0.85751353122469975</c:v>
                </c:pt>
                <c:pt idx="67">
                  <c:v>-0.18889135543136581</c:v>
                </c:pt>
                <c:pt idx="68">
                  <c:v>0.38230268846465232</c:v>
                </c:pt>
                <c:pt idx="69">
                  <c:v>-0.38880618047702198</c:v>
                </c:pt>
                <c:pt idx="70">
                  <c:v>-0.22779559227363633</c:v>
                </c:pt>
                <c:pt idx="71">
                  <c:v>-0.49555891467440771</c:v>
                </c:pt>
                <c:pt idx="72">
                  <c:v>0.54275359037716608</c:v>
                </c:pt>
                <c:pt idx="73">
                  <c:v>-6.5900654409481563E-2</c:v>
                </c:pt>
                <c:pt idx="74">
                  <c:v>-0.17070464858176981</c:v>
                </c:pt>
                <c:pt idx="75">
                  <c:v>0.30028017464776302</c:v>
                </c:pt>
                <c:pt idx="76">
                  <c:v>0.45018443824592547</c:v>
                </c:pt>
                <c:pt idx="77">
                  <c:v>-4.7191372428773581E-2</c:v>
                </c:pt>
                <c:pt idx="78">
                  <c:v>-0.7911338860149697</c:v>
                </c:pt>
                <c:pt idx="79">
                  <c:v>-0.11150120078523584</c:v>
                </c:pt>
                <c:pt idx="80">
                  <c:v>-0.49230118482856988</c:v>
                </c:pt>
                <c:pt idx="81">
                  <c:v>0.59644414309945049</c:v>
                </c:pt>
                <c:pt idx="82">
                  <c:v>-0.98360338572862616</c:v>
                </c:pt>
                <c:pt idx="83">
                  <c:v>-0.18354250776494196</c:v>
                </c:pt>
                <c:pt idx="84">
                  <c:v>-0.32389167781645312</c:v>
                </c:pt>
                <c:pt idx="85">
                  <c:v>0.38213314959882894</c:v>
                </c:pt>
                <c:pt idx="86">
                  <c:v>0.43370766556011975</c:v>
                </c:pt>
                <c:pt idx="87">
                  <c:v>-0.15729465865069669</c:v>
                </c:pt>
                <c:pt idx="88">
                  <c:v>-0.246441946674681</c:v>
                </c:pt>
                <c:pt idx="89">
                  <c:v>0.51099737822066316</c:v>
                </c:pt>
                <c:pt idx="90">
                  <c:v>0.94064018452878129</c:v>
                </c:pt>
                <c:pt idx="91">
                  <c:v>4.2666835760793553E-2</c:v>
                </c:pt>
                <c:pt idx="92">
                  <c:v>0.44848007091324904</c:v>
                </c:pt>
                <c:pt idx="93">
                  <c:v>0.66688866705534289</c:v>
                </c:pt>
                <c:pt idx="94">
                  <c:v>-0.37259452389716752</c:v>
                </c:pt>
                <c:pt idx="95">
                  <c:v>0.64506913337908256</c:v>
                </c:pt>
                <c:pt idx="96">
                  <c:v>-0.49030617808703925</c:v>
                </c:pt>
                <c:pt idx="97">
                  <c:v>-0.43242488849029148</c:v>
                </c:pt>
                <c:pt idx="98">
                  <c:v>-1.71913237750565E-2</c:v>
                </c:pt>
                <c:pt idx="99">
                  <c:v>0.31717417852140839</c:v>
                </c:pt>
                <c:pt idx="100">
                  <c:v>0.60745438790598771</c:v>
                </c:pt>
                <c:pt idx="101">
                  <c:v>-0.53640608859101646</c:v>
                </c:pt>
                <c:pt idx="102">
                  <c:v>-0.82906453503987687</c:v>
                </c:pt>
                <c:pt idx="103">
                  <c:v>-0.88883051357042842</c:v>
                </c:pt>
                <c:pt idx="104">
                  <c:v>-0.23020696219876458</c:v>
                </c:pt>
                <c:pt idx="105">
                  <c:v>-0.65781306306629461</c:v>
                </c:pt>
                <c:pt idx="106">
                  <c:v>-2.9460280802771077E-2</c:v>
                </c:pt>
                <c:pt idx="107">
                  <c:v>-0.29038103046032893</c:v>
                </c:pt>
                <c:pt idx="108">
                  <c:v>-0.89120778823232105</c:v>
                </c:pt>
                <c:pt idx="109">
                  <c:v>-0.61111064056696796</c:v>
                </c:pt>
                <c:pt idx="110">
                  <c:v>0.61350101424429448</c:v>
                </c:pt>
                <c:pt idx="111">
                  <c:v>0.23158214651098663</c:v>
                </c:pt>
                <c:pt idx="112">
                  <c:v>0.20140536968586953</c:v>
                </c:pt>
                <c:pt idx="113">
                  <c:v>0.27407722075338525</c:v>
                </c:pt>
                <c:pt idx="114">
                  <c:v>-0.72793995650205456</c:v>
                </c:pt>
                <c:pt idx="115">
                  <c:v>-0.54521479465473677</c:v>
                </c:pt>
                <c:pt idx="116">
                  <c:v>0.68557328551252761</c:v>
                </c:pt>
                <c:pt idx="117">
                  <c:v>0.59756211716899399</c:v>
                </c:pt>
                <c:pt idx="118">
                  <c:v>0.51665231540486611</c:v>
                </c:pt>
                <c:pt idx="119">
                  <c:v>0.16910018602308674</c:v>
                </c:pt>
                <c:pt idx="120">
                  <c:v>7.5894643643880544E-2</c:v>
                </c:pt>
                <c:pt idx="121">
                  <c:v>-0.40052045094348743</c:v>
                </c:pt>
                <c:pt idx="122">
                  <c:v>-0.49721672456535071</c:v>
                </c:pt>
                <c:pt idx="123">
                  <c:v>-0.68126329069722846</c:v>
                </c:pt>
                <c:pt idx="124">
                  <c:v>-8.7006954449523333E-2</c:v>
                </c:pt>
                <c:pt idx="125">
                  <c:v>-0.55980645228139303</c:v>
                </c:pt>
                <c:pt idx="126">
                  <c:v>-0.6300228740179461</c:v>
                </c:pt>
                <c:pt idx="127">
                  <c:v>-0.11564569405856884</c:v>
                </c:pt>
                <c:pt idx="128">
                  <c:v>-0.50428270650601359</c:v>
                </c:pt>
                <c:pt idx="129">
                  <c:v>-0.21366854995070339</c:v>
                </c:pt>
                <c:pt idx="130">
                  <c:v>-0.71766218606975851</c:v>
                </c:pt>
                <c:pt idx="131">
                  <c:v>-0.37298669554306119</c:v>
                </c:pt>
                <c:pt idx="132">
                  <c:v>8.7525275417372761E-2</c:v>
                </c:pt>
                <c:pt idx="133">
                  <c:v>0.3089066254530568</c:v>
                </c:pt>
                <c:pt idx="134">
                  <c:v>-0.59437502843849077</c:v>
                </c:pt>
                <c:pt idx="135">
                  <c:v>-0.49864958375447732</c:v>
                </c:pt>
                <c:pt idx="136">
                  <c:v>0.32884515286045768</c:v>
                </c:pt>
                <c:pt idx="137">
                  <c:v>-0.36971981324480652</c:v>
                </c:pt>
                <c:pt idx="138">
                  <c:v>0.12539276380532827</c:v>
                </c:pt>
                <c:pt idx="139">
                  <c:v>-3.241389183488641E-2</c:v>
                </c:pt>
                <c:pt idx="140">
                  <c:v>-0.38085805573880882</c:v>
                </c:pt>
                <c:pt idx="141">
                  <c:v>-0.14922141115602106</c:v>
                </c:pt>
                <c:pt idx="142">
                  <c:v>-0.75465871537984941</c:v>
                </c:pt>
                <c:pt idx="143">
                  <c:v>0.61727525880150891</c:v>
                </c:pt>
                <c:pt idx="144">
                  <c:v>0.22192801710324672</c:v>
                </c:pt>
                <c:pt idx="145">
                  <c:v>2.4864567483524169E-2</c:v>
                </c:pt>
                <c:pt idx="146">
                  <c:v>0.55209653348238996</c:v>
                </c:pt>
                <c:pt idx="147">
                  <c:v>0.69896923001006006</c:v>
                </c:pt>
                <c:pt idx="148">
                  <c:v>0.82833849757509048</c:v>
                </c:pt>
                <c:pt idx="149">
                  <c:v>0.58081469436696564</c:v>
                </c:pt>
                <c:pt idx="150">
                  <c:v>-0.28652288580614926</c:v>
                </c:pt>
                <c:pt idx="151">
                  <c:v>0.17621913362156327</c:v>
                </c:pt>
                <c:pt idx="152">
                  <c:v>0.44332888634397505</c:v>
                </c:pt>
                <c:pt idx="153">
                  <c:v>0.20058823610511478</c:v>
                </c:pt>
                <c:pt idx="154">
                  <c:v>-0.11531642407258302</c:v>
                </c:pt>
                <c:pt idx="155">
                  <c:v>0.21062698331727536</c:v>
                </c:pt>
                <c:pt idx="156">
                  <c:v>0.65182486951935426</c:v>
                </c:pt>
                <c:pt idx="157">
                  <c:v>-0.6452460436053653</c:v>
                </c:pt>
                <c:pt idx="158">
                  <c:v>-0.83797510353540661</c:v>
                </c:pt>
                <c:pt idx="159">
                  <c:v>0.47185147847338405</c:v>
                </c:pt>
                <c:pt idx="160">
                  <c:v>-0.40027816487250045</c:v>
                </c:pt>
                <c:pt idx="161">
                  <c:v>-6.4078934832423773E-2</c:v>
                </c:pt>
                <c:pt idx="162">
                  <c:v>0.47859397283038385</c:v>
                </c:pt>
                <c:pt idx="163">
                  <c:v>-0.696939274471293</c:v>
                </c:pt>
                <c:pt idx="164">
                  <c:v>-0.22028948144143867</c:v>
                </c:pt>
                <c:pt idx="165">
                  <c:v>-0.19672053577375959</c:v>
                </c:pt>
                <c:pt idx="166">
                  <c:v>0.83857719624460669</c:v>
                </c:pt>
                <c:pt idx="167">
                  <c:v>-0.80088678109733813</c:v>
                </c:pt>
                <c:pt idx="168">
                  <c:v>-0.31529796596964133</c:v>
                </c:pt>
                <c:pt idx="169">
                  <c:v>-0.63758943279684299</c:v>
                </c:pt>
                <c:pt idx="170">
                  <c:v>0.23717881921607353</c:v>
                </c:pt>
                <c:pt idx="171">
                  <c:v>0.42003553048942677</c:v>
                </c:pt>
                <c:pt idx="172">
                  <c:v>0.98496953513788044</c:v>
                </c:pt>
                <c:pt idx="173">
                  <c:v>-0.56439678630190437</c:v>
                </c:pt>
                <c:pt idx="174">
                  <c:v>0.75603287192200308</c:v>
                </c:pt>
                <c:pt idx="175">
                  <c:v>0.12656947813611663</c:v>
                </c:pt>
                <c:pt idx="176">
                  <c:v>0.66908215415021322</c:v>
                </c:pt>
                <c:pt idx="177">
                  <c:v>-2.927822832200544E-2</c:v>
                </c:pt>
                <c:pt idx="178">
                  <c:v>-0.63613211323640551</c:v>
                </c:pt>
                <c:pt idx="179">
                  <c:v>-0.17286106049227179</c:v>
                </c:pt>
                <c:pt idx="180">
                  <c:v>0.2269452753129837</c:v>
                </c:pt>
                <c:pt idx="181">
                  <c:v>0.82168178271305958</c:v>
                </c:pt>
                <c:pt idx="182">
                  <c:v>0.43814229922697079</c:v>
                </c:pt>
                <c:pt idx="183">
                  <c:v>-0.7946422952001484</c:v>
                </c:pt>
                <c:pt idx="184">
                  <c:v>0.43003336413654369</c:v>
                </c:pt>
                <c:pt idx="185">
                  <c:v>-3.086301665795288E-2</c:v>
                </c:pt>
                <c:pt idx="186">
                  <c:v>-0.22366459897329438</c:v>
                </c:pt>
                <c:pt idx="187">
                  <c:v>0.8362343363052942</c:v>
                </c:pt>
                <c:pt idx="188">
                  <c:v>-0.46824254982622193</c:v>
                </c:pt>
                <c:pt idx="189">
                  <c:v>0.63732296931491672</c:v>
                </c:pt>
                <c:pt idx="190">
                  <c:v>2.5095112065302461E-2</c:v>
                </c:pt>
                <c:pt idx="191">
                  <c:v>-0.35880181154627389</c:v>
                </c:pt>
                <c:pt idx="192">
                  <c:v>0.2686440819692435</c:v>
                </c:pt>
                <c:pt idx="193">
                  <c:v>0.63736512465283179</c:v>
                </c:pt>
                <c:pt idx="194">
                  <c:v>-0.44984261748245036</c:v>
                </c:pt>
                <c:pt idx="195">
                  <c:v>-0.25045049154528409</c:v>
                </c:pt>
                <c:pt idx="196">
                  <c:v>0.73754812459142549</c:v>
                </c:pt>
                <c:pt idx="197">
                  <c:v>8.3754633407560508E-2</c:v>
                </c:pt>
                <c:pt idx="198">
                  <c:v>0.1113223276005364</c:v>
                </c:pt>
                <c:pt idx="199">
                  <c:v>-0.71291256263702785</c:v>
                </c:pt>
                <c:pt idx="200">
                  <c:v>-0.11940346508821498</c:v>
                </c:pt>
                <c:pt idx="201">
                  <c:v>6.5898731125562326E-2</c:v>
                </c:pt>
                <c:pt idx="202">
                  <c:v>3.4345534365215924E-2</c:v>
                </c:pt>
                <c:pt idx="203">
                  <c:v>-0.72843531206936163</c:v>
                </c:pt>
                <c:pt idx="204">
                  <c:v>-0.59227308925563715</c:v>
                </c:pt>
                <c:pt idx="205">
                  <c:v>-5.5018146923834443E-2</c:v>
                </c:pt>
                <c:pt idx="206">
                  <c:v>-0.8935169112273369</c:v>
                </c:pt>
                <c:pt idx="207">
                  <c:v>0.53220199495428244</c:v>
                </c:pt>
                <c:pt idx="208">
                  <c:v>-0.93093134767783403</c:v>
                </c:pt>
                <c:pt idx="209">
                  <c:v>-0.60833624582970169</c:v>
                </c:pt>
                <c:pt idx="210">
                  <c:v>0.31707585496136681</c:v>
                </c:pt>
                <c:pt idx="211">
                  <c:v>-7.7423927345139365E-3</c:v>
                </c:pt>
                <c:pt idx="212">
                  <c:v>0.8412414460892863</c:v>
                </c:pt>
                <c:pt idx="213">
                  <c:v>-0.49017904771442766</c:v>
                </c:pt>
                <c:pt idx="214">
                  <c:v>0.3216297227910665</c:v>
                </c:pt>
                <c:pt idx="215">
                  <c:v>0.79162276842605261</c:v>
                </c:pt>
                <c:pt idx="216">
                  <c:v>-0.45663968524265131</c:v>
                </c:pt>
                <c:pt idx="217">
                  <c:v>0.71454569525652167</c:v>
                </c:pt>
                <c:pt idx="218">
                  <c:v>-0.22655596396344801</c:v>
                </c:pt>
                <c:pt idx="219">
                  <c:v>0.15450549908861344</c:v>
                </c:pt>
                <c:pt idx="220">
                  <c:v>-0.19150635827607232</c:v>
                </c:pt>
                <c:pt idx="221">
                  <c:v>0.27873893867987598</c:v>
                </c:pt>
                <c:pt idx="222">
                  <c:v>-0.13803672475362672</c:v>
                </c:pt>
                <c:pt idx="223">
                  <c:v>-0.42706499602327086</c:v>
                </c:pt>
                <c:pt idx="224">
                  <c:v>8.5455109731671586E-2</c:v>
                </c:pt>
                <c:pt idx="225">
                  <c:v>0.55058201797569439</c:v>
                </c:pt>
                <c:pt idx="226">
                  <c:v>-0.38636600515455832</c:v>
                </c:pt>
                <c:pt idx="227">
                  <c:v>-0.24559283089309503</c:v>
                </c:pt>
                <c:pt idx="228">
                  <c:v>-0.4717173394905203</c:v>
                </c:pt>
                <c:pt idx="229">
                  <c:v>-0.1824507461715712</c:v>
                </c:pt>
                <c:pt idx="230">
                  <c:v>0.16792201324440481</c:v>
                </c:pt>
                <c:pt idx="231">
                  <c:v>0.64786069817050107</c:v>
                </c:pt>
                <c:pt idx="232">
                  <c:v>-6.6377985463702105E-2</c:v>
                </c:pt>
                <c:pt idx="233">
                  <c:v>0.79811305130147092</c:v>
                </c:pt>
                <c:pt idx="234">
                  <c:v>-0.21024126143005351</c:v>
                </c:pt>
                <c:pt idx="235">
                  <c:v>0.78059967654771478</c:v>
                </c:pt>
                <c:pt idx="236">
                  <c:v>-0.53261164325099353</c:v>
                </c:pt>
                <c:pt idx="237">
                  <c:v>-0.38856703549400673</c:v>
                </c:pt>
                <c:pt idx="238">
                  <c:v>-3.0890721495921536E-2</c:v>
                </c:pt>
                <c:pt idx="239">
                  <c:v>-0.46826499217963824</c:v>
                </c:pt>
                <c:pt idx="240">
                  <c:v>2.236175422472142E-2</c:v>
                </c:pt>
                <c:pt idx="241">
                  <c:v>-0.60906964774133932</c:v>
                </c:pt>
                <c:pt idx="242">
                  <c:v>-0.49165666893455962</c:v>
                </c:pt>
                <c:pt idx="243">
                  <c:v>-0.87105376787406308</c:v>
                </c:pt>
                <c:pt idx="244">
                  <c:v>-0.16911596373500082</c:v>
                </c:pt>
                <c:pt idx="245">
                  <c:v>-0.13017569524902783</c:v>
                </c:pt>
                <c:pt idx="246">
                  <c:v>-0.31544042386176874</c:v>
                </c:pt>
                <c:pt idx="247">
                  <c:v>0.20744178398669089</c:v>
                </c:pt>
                <c:pt idx="248">
                  <c:v>0.78947090007764409</c:v>
                </c:pt>
                <c:pt idx="249">
                  <c:v>-0.91382075709878796</c:v>
                </c:pt>
                <c:pt idx="250">
                  <c:v>-0.81034919280714401</c:v>
                </c:pt>
                <c:pt idx="251">
                  <c:v>0.50220010809376436</c:v>
                </c:pt>
                <c:pt idx="252">
                  <c:v>0.42284489542996129</c:v>
                </c:pt>
                <c:pt idx="253">
                  <c:v>0.30467521754913696</c:v>
                </c:pt>
                <c:pt idx="254">
                  <c:v>0.27033828547836602</c:v>
                </c:pt>
                <c:pt idx="255">
                  <c:v>0.71378882963168211</c:v>
                </c:pt>
                <c:pt idx="256">
                  <c:v>0.51891968858752913</c:v>
                </c:pt>
                <c:pt idx="257">
                  <c:v>-0.30173540505473939</c:v>
                </c:pt>
                <c:pt idx="258">
                  <c:v>6.6293946739651277E-2</c:v>
                </c:pt>
                <c:pt idx="259">
                  <c:v>-0.35204826827594693</c:v>
                </c:pt>
                <c:pt idx="260">
                  <c:v>0.63734370719098354</c:v>
                </c:pt>
                <c:pt idx="261">
                  <c:v>0.15883300634351327</c:v>
                </c:pt>
                <c:pt idx="262">
                  <c:v>0.34785923715921618</c:v>
                </c:pt>
                <c:pt idx="263">
                  <c:v>-0.41353024281190542</c:v>
                </c:pt>
                <c:pt idx="264">
                  <c:v>-0.47632185792090653</c:v>
                </c:pt>
                <c:pt idx="265">
                  <c:v>-0.50576044907298812</c:v>
                </c:pt>
                <c:pt idx="266">
                  <c:v>0.24321921590570472</c:v>
                </c:pt>
                <c:pt idx="267">
                  <c:v>-0.33200641506340323</c:v>
                </c:pt>
                <c:pt idx="268">
                  <c:v>-0.63649323068025554</c:v>
                </c:pt>
                <c:pt idx="269">
                  <c:v>-8.356697934618329E-2</c:v>
                </c:pt>
                <c:pt idx="270">
                  <c:v>-0.44646500867427785</c:v>
                </c:pt>
                <c:pt idx="271">
                  <c:v>3.2772814029315755E-2</c:v>
                </c:pt>
                <c:pt idx="272">
                  <c:v>-0.69942318589266139</c:v>
                </c:pt>
                <c:pt idx="273">
                  <c:v>-0.64401591962906846</c:v>
                </c:pt>
                <c:pt idx="274">
                  <c:v>-0.63170362438977512</c:v>
                </c:pt>
                <c:pt idx="275">
                  <c:v>-7.407604905552434E-2</c:v>
                </c:pt>
                <c:pt idx="276">
                  <c:v>-0.15461079792582511</c:v>
                </c:pt>
                <c:pt idx="277">
                  <c:v>0.17668412989556681</c:v>
                </c:pt>
                <c:pt idx="278">
                  <c:v>0.51738869131244636</c:v>
                </c:pt>
                <c:pt idx="279">
                  <c:v>-0.91204249512434266</c:v>
                </c:pt>
                <c:pt idx="280">
                  <c:v>-0.56238150143848675</c:v>
                </c:pt>
                <c:pt idx="281">
                  <c:v>0.87418489648818309</c:v>
                </c:pt>
                <c:pt idx="282">
                  <c:v>-0.19645122724180974</c:v>
                </c:pt>
                <c:pt idx="283">
                  <c:v>0.68783963810095039</c:v>
                </c:pt>
                <c:pt idx="284">
                  <c:v>0.7659452081642022</c:v>
                </c:pt>
                <c:pt idx="285">
                  <c:v>0.63309871099713955</c:v>
                </c:pt>
                <c:pt idx="286">
                  <c:v>-7.2029058730591622E-3</c:v>
                </c:pt>
                <c:pt idx="287">
                  <c:v>0.58116441051652457</c:v>
                </c:pt>
                <c:pt idx="288">
                  <c:v>5.3448918625491837E-2</c:v>
                </c:pt>
                <c:pt idx="289">
                  <c:v>-0.18014434992252548</c:v>
                </c:pt>
                <c:pt idx="290">
                  <c:v>-0.20593639803059172</c:v>
                </c:pt>
                <c:pt idx="291">
                  <c:v>0.79602426870321619</c:v>
                </c:pt>
                <c:pt idx="292">
                  <c:v>-0.67979448377915852</c:v>
                </c:pt>
                <c:pt idx="293">
                  <c:v>-1.1513899839611597E-2</c:v>
                </c:pt>
                <c:pt idx="294">
                  <c:v>-0.51327484012177504</c:v>
                </c:pt>
                <c:pt idx="295">
                  <c:v>0.88104049474303014</c:v>
                </c:pt>
                <c:pt idx="296">
                  <c:v>3.2036717609439602E-2</c:v>
                </c:pt>
                <c:pt idx="297">
                  <c:v>0.73963391567596992</c:v>
                </c:pt>
                <c:pt idx="298">
                  <c:v>0.63699812500816422</c:v>
                </c:pt>
                <c:pt idx="299">
                  <c:v>0.50542054580274898</c:v>
                </c:pt>
                <c:pt idx="300">
                  <c:v>0.34781872134281611</c:v>
                </c:pt>
                <c:pt idx="301">
                  <c:v>0.65302874655683341</c:v>
                </c:pt>
                <c:pt idx="302">
                  <c:v>-0.93768731307975917</c:v>
                </c:pt>
                <c:pt idx="303">
                  <c:v>-0.15812879845334016</c:v>
                </c:pt>
                <c:pt idx="304">
                  <c:v>1.0135116287532275E-2</c:v>
                </c:pt>
                <c:pt idx="305">
                  <c:v>0.55873023938597099</c:v>
                </c:pt>
                <c:pt idx="306">
                  <c:v>0.83148386949848629</c:v>
                </c:pt>
                <c:pt idx="307">
                  <c:v>-0.36719122942978522</c:v>
                </c:pt>
                <c:pt idx="308">
                  <c:v>0.3364567220577348</c:v>
                </c:pt>
                <c:pt idx="309">
                  <c:v>0.33215620532159362</c:v>
                </c:pt>
                <c:pt idx="310">
                  <c:v>-0.10491358028308073</c:v>
                </c:pt>
                <c:pt idx="311">
                  <c:v>0.36893372133154889</c:v>
                </c:pt>
                <c:pt idx="312">
                  <c:v>-2.4842538612166676E-2</c:v>
                </c:pt>
                <c:pt idx="313">
                  <c:v>0.88361365341332543</c:v>
                </c:pt>
                <c:pt idx="314">
                  <c:v>-0.35799067222946568</c:v>
                </c:pt>
                <c:pt idx="315">
                  <c:v>0.52391616819719422</c:v>
                </c:pt>
                <c:pt idx="316">
                  <c:v>-0.48255629773721465</c:v>
                </c:pt>
                <c:pt idx="317">
                  <c:v>0.85242494645187761</c:v>
                </c:pt>
                <c:pt idx="318">
                  <c:v>-0.84727636651104965</c:v>
                </c:pt>
                <c:pt idx="319">
                  <c:v>-1.7047138298651454E-3</c:v>
                </c:pt>
                <c:pt idx="320">
                  <c:v>-0.1877716954179387</c:v>
                </c:pt>
                <c:pt idx="321">
                  <c:v>-2.1103907830199997E-3</c:v>
                </c:pt>
                <c:pt idx="322">
                  <c:v>-0.4826348487027845</c:v>
                </c:pt>
                <c:pt idx="323">
                  <c:v>-0.47390565654821293</c:v>
                </c:pt>
                <c:pt idx="324">
                  <c:v>0.64236103643060272</c:v>
                </c:pt>
                <c:pt idx="325">
                  <c:v>0.91867495067925065</c:v>
                </c:pt>
                <c:pt idx="326">
                  <c:v>0.6431493986402359</c:v>
                </c:pt>
                <c:pt idx="327">
                  <c:v>-0.57370209409566497</c:v>
                </c:pt>
                <c:pt idx="328">
                  <c:v>-0.5613033809504997</c:v>
                </c:pt>
                <c:pt idx="329">
                  <c:v>0.9392521658489188</c:v>
                </c:pt>
                <c:pt idx="330">
                  <c:v>-0.77857523464636813</c:v>
                </c:pt>
                <c:pt idx="331">
                  <c:v>-1.129216678485867E-2</c:v>
                </c:pt>
                <c:pt idx="332">
                  <c:v>-0.13033454282968804</c:v>
                </c:pt>
                <c:pt idx="333">
                  <c:v>-0.3598118398351049</c:v>
                </c:pt>
                <c:pt idx="334">
                  <c:v>0.64869406134641072</c:v>
                </c:pt>
                <c:pt idx="335">
                  <c:v>0.8303615861989575</c:v>
                </c:pt>
                <c:pt idx="336">
                  <c:v>-7.0541656315936674E-3</c:v>
                </c:pt>
                <c:pt idx="337">
                  <c:v>0.44211722142893439</c:v>
                </c:pt>
                <c:pt idx="338">
                  <c:v>-0.69574706719980406</c:v>
                </c:pt>
                <c:pt idx="339">
                  <c:v>-0.341786094298004</c:v>
                </c:pt>
                <c:pt idx="340">
                  <c:v>0.3088270027687614</c:v>
                </c:pt>
                <c:pt idx="341">
                  <c:v>-0.69842192980465501</c:v>
                </c:pt>
                <c:pt idx="342">
                  <c:v>-0.14335763328970064</c:v>
                </c:pt>
                <c:pt idx="343">
                  <c:v>0.52897595294501643</c:v>
                </c:pt>
                <c:pt idx="344">
                  <c:v>-0.61272932173222605</c:v>
                </c:pt>
                <c:pt idx="345">
                  <c:v>-0.71188827090940987</c:v>
                </c:pt>
                <c:pt idx="346">
                  <c:v>0.91148066629162905</c:v>
                </c:pt>
                <c:pt idx="347">
                  <c:v>-0.14109481080938213</c:v>
                </c:pt>
                <c:pt idx="348">
                  <c:v>-0.45884923997263494</c:v>
                </c:pt>
                <c:pt idx="349">
                  <c:v>-0.27326698449170639</c:v>
                </c:pt>
                <c:pt idx="350">
                  <c:v>-0.64495472082250926</c:v>
                </c:pt>
                <c:pt idx="351">
                  <c:v>-0.58997939741475602</c:v>
                </c:pt>
                <c:pt idx="352">
                  <c:v>-0.3736629447301123</c:v>
                </c:pt>
                <c:pt idx="353">
                  <c:v>-0.53004468733491672</c:v>
                </c:pt>
                <c:pt idx="354">
                  <c:v>-0.38547253991007513</c:v>
                </c:pt>
                <c:pt idx="355">
                  <c:v>-0.28583877161788429</c:v>
                </c:pt>
                <c:pt idx="356">
                  <c:v>0.24810174914909422</c:v>
                </c:pt>
                <c:pt idx="357">
                  <c:v>0.87182188474192235</c:v>
                </c:pt>
                <c:pt idx="358">
                  <c:v>-0.63565160572211532</c:v>
                </c:pt>
                <c:pt idx="359">
                  <c:v>0.49535266629989483</c:v>
                </c:pt>
                <c:pt idx="360">
                  <c:v>0.35303321098312224</c:v>
                </c:pt>
                <c:pt idx="361">
                  <c:v>0.41254217374578461</c:v>
                </c:pt>
                <c:pt idx="362">
                  <c:v>-0.19383619598183643</c:v>
                </c:pt>
                <c:pt idx="363">
                  <c:v>-0.34004922552001826</c:v>
                </c:pt>
                <c:pt idx="364">
                  <c:v>0.82673128815039165</c:v>
                </c:pt>
                <c:pt idx="365">
                  <c:v>0.33807450300688213</c:v>
                </c:pt>
                <c:pt idx="366">
                  <c:v>-0.32156489709414648</c:v>
                </c:pt>
                <c:pt idx="367">
                  <c:v>-0.5335821069641713</c:v>
                </c:pt>
                <c:pt idx="368">
                  <c:v>0.9858375146661349</c:v>
                </c:pt>
                <c:pt idx="369">
                  <c:v>0.51186628032295456</c:v>
                </c:pt>
                <c:pt idx="370">
                  <c:v>4.2350772089258859E-2</c:v>
                </c:pt>
                <c:pt idx="371">
                  <c:v>-0.36690917371439213</c:v>
                </c:pt>
                <c:pt idx="372">
                  <c:v>-0.24155393820665982</c:v>
                </c:pt>
                <c:pt idx="373">
                  <c:v>0.94159990340786703</c:v>
                </c:pt>
                <c:pt idx="374">
                  <c:v>-4.8809663218516874E-2</c:v>
                </c:pt>
                <c:pt idx="375">
                  <c:v>0.498309033103145</c:v>
                </c:pt>
                <c:pt idx="376">
                  <c:v>-0.63176702958038167</c:v>
                </c:pt>
                <c:pt idx="377">
                  <c:v>-1.9758325259434217E-2</c:v>
                </c:pt>
                <c:pt idx="378">
                  <c:v>0.84657415109539458</c:v>
                </c:pt>
                <c:pt idx="379">
                  <c:v>-0.33566807857502301</c:v>
                </c:pt>
                <c:pt idx="380">
                  <c:v>0.6897473195394388</c:v>
                </c:pt>
                <c:pt idx="381">
                  <c:v>-0.15271401290556574</c:v>
                </c:pt>
                <c:pt idx="382">
                  <c:v>0.81080016514563069</c:v>
                </c:pt>
                <c:pt idx="383">
                  <c:v>-0.11088170804702768</c:v>
                </c:pt>
                <c:pt idx="384">
                  <c:v>-0.2096116889020001</c:v>
                </c:pt>
                <c:pt idx="385">
                  <c:v>0.28706149236815737</c:v>
                </c:pt>
                <c:pt idx="386">
                  <c:v>-0.39112810800626163</c:v>
                </c:pt>
                <c:pt idx="387">
                  <c:v>-0.39246675223075878</c:v>
                </c:pt>
                <c:pt idx="388">
                  <c:v>-0.99614624582503009</c:v>
                </c:pt>
                <c:pt idx="389">
                  <c:v>-5.2274594048515866E-3</c:v>
                </c:pt>
                <c:pt idx="390">
                  <c:v>-0.86310444039634793</c:v>
                </c:pt>
                <c:pt idx="391">
                  <c:v>-0.10917980954107143</c:v>
                </c:pt>
                <c:pt idx="392">
                  <c:v>0.64169908497620942</c:v>
                </c:pt>
                <c:pt idx="393">
                  <c:v>-0.90171815553123502</c:v>
                </c:pt>
                <c:pt idx="394">
                  <c:v>-0.1403741625154018</c:v>
                </c:pt>
                <c:pt idx="395">
                  <c:v>-0.19873450961478922</c:v>
                </c:pt>
                <c:pt idx="396">
                  <c:v>-0.27737480917689217</c:v>
                </c:pt>
                <c:pt idx="397">
                  <c:v>0.73939637813398806</c:v>
                </c:pt>
                <c:pt idx="398">
                  <c:v>0.49300531201249798</c:v>
                </c:pt>
                <c:pt idx="399">
                  <c:v>0.33729308123101576</c:v>
                </c:pt>
                <c:pt idx="400">
                  <c:v>0.42809797590402177</c:v>
                </c:pt>
                <c:pt idx="401">
                  <c:v>-0.86928323837131716</c:v>
                </c:pt>
                <c:pt idx="402">
                  <c:v>0.25396193542839751</c:v>
                </c:pt>
                <c:pt idx="403">
                  <c:v>0.46426987116192397</c:v>
                </c:pt>
                <c:pt idx="404">
                  <c:v>7.8187392889270013E-2</c:v>
                </c:pt>
                <c:pt idx="405">
                  <c:v>0.15832608626636757</c:v>
                </c:pt>
                <c:pt idx="406">
                  <c:v>-0.82691722135689893</c:v>
                </c:pt>
                <c:pt idx="407">
                  <c:v>6.0178408719119503E-2</c:v>
                </c:pt>
                <c:pt idx="408">
                  <c:v>-7.9115780705246275E-2</c:v>
                </c:pt>
                <c:pt idx="409">
                  <c:v>-0.43093319036320654</c:v>
                </c:pt>
                <c:pt idx="410">
                  <c:v>-0.46290118243477818</c:v>
                </c:pt>
                <c:pt idx="411">
                  <c:v>-0.35997613881951529</c:v>
                </c:pt>
                <c:pt idx="412">
                  <c:v>-0.2210738721030201</c:v>
                </c:pt>
                <c:pt idx="413">
                  <c:v>-0.85892577629186762</c:v>
                </c:pt>
                <c:pt idx="414">
                  <c:v>0.34474057573502548</c:v>
                </c:pt>
                <c:pt idx="415">
                  <c:v>0.30960038353995478</c:v>
                </c:pt>
                <c:pt idx="416">
                  <c:v>-0.76930323666961797</c:v>
                </c:pt>
                <c:pt idx="417">
                  <c:v>0.14540870833654762</c:v>
                </c:pt>
                <c:pt idx="418">
                  <c:v>-0.51120551160506622</c:v>
                </c:pt>
                <c:pt idx="419">
                  <c:v>-4.5363174774619708E-2</c:v>
                </c:pt>
                <c:pt idx="420">
                  <c:v>0.59759654016288133</c:v>
                </c:pt>
                <c:pt idx="421">
                  <c:v>0.74725878882797447</c:v>
                </c:pt>
                <c:pt idx="422">
                  <c:v>0.12410055477630166</c:v>
                </c:pt>
                <c:pt idx="423">
                  <c:v>-0.18740457584424863</c:v>
                </c:pt>
                <c:pt idx="424">
                  <c:v>0.23868783475945032</c:v>
                </c:pt>
                <c:pt idx="425">
                  <c:v>0.67910589610894201</c:v>
                </c:pt>
                <c:pt idx="426">
                  <c:v>-8.4925421104645293E-2</c:v>
                </c:pt>
                <c:pt idx="427">
                  <c:v>0.38749262263859352</c:v>
                </c:pt>
                <c:pt idx="428">
                  <c:v>-0.3160308999980872</c:v>
                </c:pt>
                <c:pt idx="429">
                  <c:v>0.77981786729094571</c:v>
                </c:pt>
                <c:pt idx="430">
                  <c:v>-0.36342791553084597</c:v>
                </c:pt>
                <c:pt idx="431">
                  <c:v>0.19482217725032225</c:v>
                </c:pt>
                <c:pt idx="432">
                  <c:v>-0.62065142376149951</c:v>
                </c:pt>
                <c:pt idx="433">
                  <c:v>-0.27875624655047249</c:v>
                </c:pt>
                <c:pt idx="434">
                  <c:v>0.8452476430626561</c:v>
                </c:pt>
                <c:pt idx="435">
                  <c:v>0.605249681314179</c:v>
                </c:pt>
                <c:pt idx="436">
                  <c:v>-0.31402980535055858</c:v>
                </c:pt>
                <c:pt idx="437">
                  <c:v>0.30081672018614469</c:v>
                </c:pt>
                <c:pt idx="438">
                  <c:v>0.55916933803937807</c:v>
                </c:pt>
                <c:pt idx="439">
                  <c:v>-0.51229717594596047</c:v>
                </c:pt>
                <c:pt idx="440">
                  <c:v>-8.1406742888056938E-2</c:v>
                </c:pt>
                <c:pt idx="441">
                  <c:v>-0.42055719199583685</c:v>
                </c:pt>
                <c:pt idx="442">
                  <c:v>0.10789742649685885</c:v>
                </c:pt>
                <c:pt idx="443">
                  <c:v>-0.10801391520993375</c:v>
                </c:pt>
                <c:pt idx="444">
                  <c:v>0.20070604275813309</c:v>
                </c:pt>
                <c:pt idx="445">
                  <c:v>3.9771698615278517E-3</c:v>
                </c:pt>
                <c:pt idx="446">
                  <c:v>-0.72174677959534828</c:v>
                </c:pt>
                <c:pt idx="447">
                  <c:v>-3.2482150373637886E-2</c:v>
                </c:pt>
                <c:pt idx="448">
                  <c:v>0.7517365348073668</c:v>
                </c:pt>
                <c:pt idx="449">
                  <c:v>0.1114750039776593</c:v>
                </c:pt>
                <c:pt idx="450">
                  <c:v>0.50823227472078014</c:v>
                </c:pt>
                <c:pt idx="451">
                  <c:v>-0.69532966519940764</c:v>
                </c:pt>
                <c:pt idx="452">
                  <c:v>0.10889716846112329</c:v>
                </c:pt>
                <c:pt idx="453">
                  <c:v>-0.39832312242628443</c:v>
                </c:pt>
                <c:pt idx="454">
                  <c:v>0.23058316988674243</c:v>
                </c:pt>
                <c:pt idx="455">
                  <c:v>-0.65326658575418195</c:v>
                </c:pt>
                <c:pt idx="456">
                  <c:v>0.40364571310801534</c:v>
                </c:pt>
                <c:pt idx="457">
                  <c:v>0.57564081919725663</c:v>
                </c:pt>
                <c:pt idx="458">
                  <c:v>0.38872295167476012</c:v>
                </c:pt>
                <c:pt idx="459">
                  <c:v>-0.21889476888141934</c:v>
                </c:pt>
                <c:pt idx="460">
                  <c:v>0.37444719921379388</c:v>
                </c:pt>
                <c:pt idx="461">
                  <c:v>-0.17451746896231679</c:v>
                </c:pt>
                <c:pt idx="462">
                  <c:v>0.37644360217326622</c:v>
                </c:pt>
                <c:pt idx="463">
                  <c:v>-0.53684416095449139</c:v>
                </c:pt>
                <c:pt idx="464">
                  <c:v>0.95892968018223335</c:v>
                </c:pt>
                <c:pt idx="465">
                  <c:v>-0.37678228278131565</c:v>
                </c:pt>
                <c:pt idx="466">
                  <c:v>0.1138801479714453</c:v>
                </c:pt>
                <c:pt idx="467">
                  <c:v>-0.96798515844816158</c:v>
                </c:pt>
                <c:pt idx="468">
                  <c:v>-0.40603422666091649</c:v>
                </c:pt>
                <c:pt idx="469">
                  <c:v>0.74582667584800455</c:v>
                </c:pt>
                <c:pt idx="470">
                  <c:v>-0.17216489524945833</c:v>
                </c:pt>
                <c:pt idx="471">
                  <c:v>0.41965831137348575</c:v>
                </c:pt>
                <c:pt idx="472">
                  <c:v>0.11112333654494888</c:v>
                </c:pt>
                <c:pt idx="473">
                  <c:v>-0.49007433915280707</c:v>
                </c:pt>
                <c:pt idx="474">
                  <c:v>0.76751634415689929</c:v>
                </c:pt>
                <c:pt idx="475">
                  <c:v>-0.12736904884580658</c:v>
                </c:pt>
                <c:pt idx="476">
                  <c:v>0.71749593656407429</c:v>
                </c:pt>
                <c:pt idx="477">
                  <c:v>-0.34127868292088026</c:v>
                </c:pt>
                <c:pt idx="478">
                  <c:v>0.4540265054736432</c:v>
                </c:pt>
                <c:pt idx="479">
                  <c:v>-0.17755033673695575</c:v>
                </c:pt>
                <c:pt idx="480">
                  <c:v>-0.16230264278329543</c:v>
                </c:pt>
                <c:pt idx="481">
                  <c:v>0.46116116178480548</c:v>
                </c:pt>
                <c:pt idx="482">
                  <c:v>-8.9811442308215028E-2</c:v>
                </c:pt>
                <c:pt idx="483">
                  <c:v>-0.33291715260129506</c:v>
                </c:pt>
                <c:pt idx="484">
                  <c:v>-4.4646603539548746E-3</c:v>
                </c:pt>
                <c:pt idx="485">
                  <c:v>0.16010648895044</c:v>
                </c:pt>
                <c:pt idx="486">
                  <c:v>0.50962499645402937</c:v>
                </c:pt>
                <c:pt idx="487">
                  <c:v>0.71343359814027796</c:v>
                </c:pt>
                <c:pt idx="488">
                  <c:v>-0.24033675638038066</c:v>
                </c:pt>
                <c:pt idx="489">
                  <c:v>0.38666702072628789</c:v>
                </c:pt>
                <c:pt idx="490">
                  <c:v>-0.33717092938315041</c:v>
                </c:pt>
                <c:pt idx="491">
                  <c:v>0.59371096160338621</c:v>
                </c:pt>
                <c:pt idx="492">
                  <c:v>-0.73849165356191349</c:v>
                </c:pt>
                <c:pt idx="493">
                  <c:v>-0.58325324511702936</c:v>
                </c:pt>
                <c:pt idx="494">
                  <c:v>-9.7687800355038767E-2</c:v>
                </c:pt>
                <c:pt idx="495">
                  <c:v>0.84911342432143244</c:v>
                </c:pt>
                <c:pt idx="496">
                  <c:v>3.3081564471577618E-2</c:v>
                </c:pt>
                <c:pt idx="497">
                  <c:v>-0.36610815443379741</c:v>
                </c:pt>
                <c:pt idx="498">
                  <c:v>-0.99618228669047793</c:v>
                </c:pt>
                <c:pt idx="499">
                  <c:v>-0.60522425644184752</c:v>
                </c:pt>
              </c:numCache>
            </c:numRef>
          </c:xVal>
          <c:yVal>
            <c:numRef>
              <c:f>'uniforme cercle (rejet)'!$N$10:$N$509</c:f>
              <c:numCache>
                <c:formatCode>General</c:formatCode>
                <c:ptCount val="500"/>
                <c:pt idx="0">
                  <c:v>-0.37285528888144159</c:v>
                </c:pt>
                <c:pt idx="1">
                  <c:v>-0.90672690360907149</c:v>
                </c:pt>
                <c:pt idx="2">
                  <c:v>0.66272336367548323</c:v>
                </c:pt>
                <c:pt idx="3">
                  <c:v>0.15403684950946261</c:v>
                </c:pt>
                <c:pt idx="4">
                  <c:v>0.44924293222446954</c:v>
                </c:pt>
                <c:pt idx="5">
                  <c:v>-0.74365115020988237</c:v>
                </c:pt>
                <c:pt idx="6">
                  <c:v>0.69839744684280869</c:v>
                </c:pt>
                <c:pt idx="7">
                  <c:v>8.5271867003751112E-2</c:v>
                </c:pt>
                <c:pt idx="8">
                  <c:v>-0.64992696167198627</c:v>
                </c:pt>
                <c:pt idx="9">
                  <c:v>0.39114529116746644</c:v>
                </c:pt>
                <c:pt idx="10">
                  <c:v>9.347978722496908E-2</c:v>
                </c:pt>
                <c:pt idx="11">
                  <c:v>-0.19855570580337001</c:v>
                </c:pt>
                <c:pt idx="12">
                  <c:v>-0.78678866053038776</c:v>
                </c:pt>
                <c:pt idx="13">
                  <c:v>-0.52500988824423289</c:v>
                </c:pt>
                <c:pt idx="14">
                  <c:v>-0.22377018381812741</c:v>
                </c:pt>
                <c:pt idx="15">
                  <c:v>-0.74703793214383318</c:v>
                </c:pt>
                <c:pt idx="16">
                  <c:v>0.32107299952414237</c:v>
                </c:pt>
                <c:pt idx="17">
                  <c:v>-0.46918678193415331</c:v>
                </c:pt>
                <c:pt idx="18">
                  <c:v>0.5220530807235142</c:v>
                </c:pt>
                <c:pt idx="19">
                  <c:v>-0.82735009252181468</c:v>
                </c:pt>
                <c:pt idx="20">
                  <c:v>-9.10833282546335E-2</c:v>
                </c:pt>
                <c:pt idx="21">
                  <c:v>-0.79977540490648136</c:v>
                </c:pt>
                <c:pt idx="22">
                  <c:v>0.62631342866914363</c:v>
                </c:pt>
                <c:pt idx="23">
                  <c:v>-0.91679788370538295</c:v>
                </c:pt>
                <c:pt idx="24">
                  <c:v>0.44065837696568111</c:v>
                </c:pt>
                <c:pt idx="25">
                  <c:v>0.23808504167396372</c:v>
                </c:pt>
                <c:pt idx="26">
                  <c:v>0.14006047149288037</c:v>
                </c:pt>
                <c:pt idx="27">
                  <c:v>-0.51109556622333607</c:v>
                </c:pt>
                <c:pt idx="28">
                  <c:v>0.10539167105959435</c:v>
                </c:pt>
                <c:pt idx="29">
                  <c:v>-0.34533364115407394</c:v>
                </c:pt>
                <c:pt idx="30">
                  <c:v>0.81052474368699934</c:v>
                </c:pt>
                <c:pt idx="31">
                  <c:v>-0.29350235032106853</c:v>
                </c:pt>
                <c:pt idx="32">
                  <c:v>0.7837161348423296</c:v>
                </c:pt>
                <c:pt idx="33">
                  <c:v>-6.8977899122335762E-2</c:v>
                </c:pt>
                <c:pt idx="34">
                  <c:v>-0.63436108153085202</c:v>
                </c:pt>
                <c:pt idx="35">
                  <c:v>-0.86442801719236129</c:v>
                </c:pt>
                <c:pt idx="36">
                  <c:v>-0.37876406856659783</c:v>
                </c:pt>
                <c:pt idx="37">
                  <c:v>0.22790886657574849</c:v>
                </c:pt>
                <c:pt idx="38">
                  <c:v>-0.53283217741543676</c:v>
                </c:pt>
                <c:pt idx="39">
                  <c:v>-0.1185714503225066</c:v>
                </c:pt>
                <c:pt idx="40">
                  <c:v>-0.81083096694950507</c:v>
                </c:pt>
                <c:pt idx="41">
                  <c:v>0.23664402622281377</c:v>
                </c:pt>
                <c:pt idx="42">
                  <c:v>-0.57558733722436495</c:v>
                </c:pt>
                <c:pt idx="43">
                  <c:v>-6.7070504010329213E-3</c:v>
                </c:pt>
                <c:pt idx="44">
                  <c:v>-0.33076163699874495</c:v>
                </c:pt>
                <c:pt idx="45">
                  <c:v>0.25738296073227951</c:v>
                </c:pt>
                <c:pt idx="46">
                  <c:v>2.6714180911111329E-2</c:v>
                </c:pt>
                <c:pt idx="47">
                  <c:v>-0.28930715081685876</c:v>
                </c:pt>
                <c:pt idx="48">
                  <c:v>0.2192740515919247</c:v>
                </c:pt>
                <c:pt idx="49">
                  <c:v>-0.60189708113326401</c:v>
                </c:pt>
                <c:pt idx="50">
                  <c:v>-0.12566332645679723</c:v>
                </c:pt>
                <c:pt idx="51">
                  <c:v>0.26212620222754923</c:v>
                </c:pt>
                <c:pt idx="52">
                  <c:v>-0.43957659008024574</c:v>
                </c:pt>
                <c:pt idx="53">
                  <c:v>0.27353999600846723</c:v>
                </c:pt>
                <c:pt idx="54">
                  <c:v>-0.94250012943606598</c:v>
                </c:pt>
                <c:pt idx="55">
                  <c:v>-0.64995739489358595</c:v>
                </c:pt>
                <c:pt idx="56">
                  <c:v>-0.10137619273004339</c:v>
                </c:pt>
                <c:pt idx="57">
                  <c:v>8.1591187672948262E-2</c:v>
                </c:pt>
                <c:pt idx="58">
                  <c:v>0.51566370748270307</c:v>
                </c:pt>
                <c:pt idx="59">
                  <c:v>0.16334461254837795</c:v>
                </c:pt>
                <c:pt idx="60">
                  <c:v>0.33896637783420114</c:v>
                </c:pt>
                <c:pt idx="61">
                  <c:v>0.53667737808903748</c:v>
                </c:pt>
                <c:pt idx="62">
                  <c:v>-0.85014756468213126</c:v>
                </c:pt>
                <c:pt idx="63">
                  <c:v>-7.2862027962266929E-2</c:v>
                </c:pt>
                <c:pt idx="64">
                  <c:v>-0.68411213472065024</c:v>
                </c:pt>
                <c:pt idx="65">
                  <c:v>-0.29457744017272147</c:v>
                </c:pt>
                <c:pt idx="66">
                  <c:v>-0.13967267165478514</c:v>
                </c:pt>
                <c:pt idx="67">
                  <c:v>0.46464080644809824</c:v>
                </c:pt>
                <c:pt idx="68">
                  <c:v>0.20505319835163216</c:v>
                </c:pt>
                <c:pt idx="69">
                  <c:v>0.51713691414518093</c:v>
                </c:pt>
                <c:pt idx="70">
                  <c:v>-0.84178129088663223</c:v>
                </c:pt>
                <c:pt idx="71">
                  <c:v>0.2800695454373423</c:v>
                </c:pt>
                <c:pt idx="72">
                  <c:v>-0.80526140223738119</c:v>
                </c:pt>
                <c:pt idx="73">
                  <c:v>-0.96261184971912539</c:v>
                </c:pt>
                <c:pt idx="74">
                  <c:v>-0.36725804979917398</c:v>
                </c:pt>
                <c:pt idx="75">
                  <c:v>0.84758060417199932</c:v>
                </c:pt>
                <c:pt idx="76">
                  <c:v>-7.1580650652300681E-2</c:v>
                </c:pt>
                <c:pt idx="77">
                  <c:v>3.1061334398022833E-2</c:v>
                </c:pt>
                <c:pt idx="78">
                  <c:v>0.44353818230914932</c:v>
                </c:pt>
                <c:pt idx="79">
                  <c:v>-0.46599522792308945</c:v>
                </c:pt>
                <c:pt idx="80">
                  <c:v>0.14443144606973735</c:v>
                </c:pt>
                <c:pt idx="81">
                  <c:v>-9.3223287011965361E-2</c:v>
                </c:pt>
                <c:pt idx="82">
                  <c:v>0.13639108060658001</c:v>
                </c:pt>
                <c:pt idx="83">
                  <c:v>-0.8578159184307057</c:v>
                </c:pt>
                <c:pt idx="84">
                  <c:v>-0.86743539619510668</c:v>
                </c:pt>
                <c:pt idx="85">
                  <c:v>0.55062058143423176</c:v>
                </c:pt>
                <c:pt idx="86">
                  <c:v>-0.72695497710238866</c:v>
                </c:pt>
                <c:pt idx="87">
                  <c:v>-0.84768559044460501</c:v>
                </c:pt>
                <c:pt idx="88">
                  <c:v>-0.66077811302092959</c:v>
                </c:pt>
                <c:pt idx="89">
                  <c:v>6.5002500479690584E-2</c:v>
                </c:pt>
                <c:pt idx="90">
                  <c:v>-0.15750496708175099</c:v>
                </c:pt>
                <c:pt idx="91">
                  <c:v>0.93338532947966057</c:v>
                </c:pt>
                <c:pt idx="92">
                  <c:v>-6.4253654605271882E-2</c:v>
                </c:pt>
                <c:pt idx="93">
                  <c:v>2.2390061219303981E-3</c:v>
                </c:pt>
                <c:pt idx="94">
                  <c:v>0.10803869397304822</c:v>
                </c:pt>
                <c:pt idx="95">
                  <c:v>0.38549167344371682</c:v>
                </c:pt>
                <c:pt idx="96">
                  <c:v>-5.7842383323584157E-2</c:v>
                </c:pt>
                <c:pt idx="97">
                  <c:v>-0.68426991987216956</c:v>
                </c:pt>
                <c:pt idx="98">
                  <c:v>-0.70206275897042336</c:v>
                </c:pt>
                <c:pt idx="99">
                  <c:v>-0.27888475169209559</c:v>
                </c:pt>
                <c:pt idx="100">
                  <c:v>-0.44971895110153226</c:v>
                </c:pt>
                <c:pt idx="101">
                  <c:v>0.26332863244717331</c:v>
                </c:pt>
                <c:pt idx="102">
                  <c:v>0.15871833301394478</c:v>
                </c:pt>
                <c:pt idx="103">
                  <c:v>-0.31079953811947303</c:v>
                </c:pt>
                <c:pt idx="104">
                  <c:v>-0.37657365095554329</c:v>
                </c:pt>
                <c:pt idx="105">
                  <c:v>-0.41642636789932785</c:v>
                </c:pt>
                <c:pt idx="106">
                  <c:v>0.95382363584982022</c:v>
                </c:pt>
                <c:pt idx="107">
                  <c:v>-0.11509772312467481</c:v>
                </c:pt>
                <c:pt idx="108">
                  <c:v>0.35881627578090125</c:v>
                </c:pt>
                <c:pt idx="109">
                  <c:v>0.61074712055843206</c:v>
                </c:pt>
                <c:pt idx="110">
                  <c:v>-0.53590978411301893</c:v>
                </c:pt>
                <c:pt idx="111">
                  <c:v>0.96214814176377916</c:v>
                </c:pt>
                <c:pt idx="112">
                  <c:v>0.14014360437136886</c:v>
                </c:pt>
                <c:pt idx="113">
                  <c:v>-2.0396140674767027E-2</c:v>
                </c:pt>
                <c:pt idx="114">
                  <c:v>0.35195253830667039</c:v>
                </c:pt>
                <c:pt idx="115">
                  <c:v>0.48439403336276365</c:v>
                </c:pt>
                <c:pt idx="116">
                  <c:v>0.13532450957471354</c:v>
                </c:pt>
                <c:pt idx="117">
                  <c:v>0.62895993311040455</c:v>
                </c:pt>
                <c:pt idx="118">
                  <c:v>-0.71338701187026765</c:v>
                </c:pt>
                <c:pt idx="119">
                  <c:v>-0.48205373744300695</c:v>
                </c:pt>
                <c:pt idx="120">
                  <c:v>-0.47712238716857747</c:v>
                </c:pt>
                <c:pt idx="121">
                  <c:v>0.63113922769514796</c:v>
                </c:pt>
                <c:pt idx="122">
                  <c:v>-8.1558599339525584E-2</c:v>
                </c:pt>
                <c:pt idx="123">
                  <c:v>-0.64792373731803665</c:v>
                </c:pt>
                <c:pt idx="124">
                  <c:v>0.43419560405516666</c:v>
                </c:pt>
                <c:pt idx="125">
                  <c:v>-0.31788842307128862</c:v>
                </c:pt>
                <c:pt idx="126">
                  <c:v>0.53591321549446058</c:v>
                </c:pt>
                <c:pt idx="127">
                  <c:v>0.46176770451940663</c:v>
                </c:pt>
                <c:pt idx="128">
                  <c:v>0.42854536707809321</c:v>
                </c:pt>
                <c:pt idx="129">
                  <c:v>-0.72390907460144072</c:v>
                </c:pt>
                <c:pt idx="130">
                  <c:v>-5.860279277971614E-4</c:v>
                </c:pt>
                <c:pt idx="131">
                  <c:v>0.91659890744862005</c:v>
                </c:pt>
                <c:pt idx="132">
                  <c:v>0.58800141290422192</c:v>
                </c:pt>
                <c:pt idx="133">
                  <c:v>0.21286155414763641</c:v>
                </c:pt>
                <c:pt idx="134">
                  <c:v>-0.11145805625478977</c:v>
                </c:pt>
                <c:pt idx="135">
                  <c:v>-0.42894092289138497</c:v>
                </c:pt>
                <c:pt idx="136">
                  <c:v>-0.54509462043387491</c:v>
                </c:pt>
                <c:pt idx="137">
                  <c:v>-3.3476868100283941E-3</c:v>
                </c:pt>
                <c:pt idx="138">
                  <c:v>-0.81708573708532217</c:v>
                </c:pt>
                <c:pt idx="139">
                  <c:v>-0.61191423672753742</c:v>
                </c:pt>
                <c:pt idx="140">
                  <c:v>-0.17550780715745584</c:v>
                </c:pt>
                <c:pt idx="141">
                  <c:v>0.56363441207718457</c:v>
                </c:pt>
                <c:pt idx="142">
                  <c:v>0.4963124989304244</c:v>
                </c:pt>
                <c:pt idx="143">
                  <c:v>0.61305902410404123</c:v>
                </c:pt>
                <c:pt idx="144">
                  <c:v>-0.66082676176526056</c:v>
                </c:pt>
                <c:pt idx="145">
                  <c:v>0.19302185276550299</c:v>
                </c:pt>
                <c:pt idx="146">
                  <c:v>7.3949849191701222E-2</c:v>
                </c:pt>
                <c:pt idx="147">
                  <c:v>0.26438442563156683</c:v>
                </c:pt>
                <c:pt idx="148">
                  <c:v>0.35696571315822045</c:v>
                </c:pt>
                <c:pt idx="149">
                  <c:v>-0.52428791329457747</c:v>
                </c:pt>
                <c:pt idx="150">
                  <c:v>-0.93599320034367728</c:v>
                </c:pt>
                <c:pt idx="151">
                  <c:v>-0.24138576078721785</c:v>
                </c:pt>
                <c:pt idx="152">
                  <c:v>-0.53624282595685102</c:v>
                </c:pt>
                <c:pt idx="153">
                  <c:v>0.3193714693606089</c:v>
                </c:pt>
                <c:pt idx="154">
                  <c:v>0.71045804389276701</c:v>
                </c:pt>
                <c:pt idx="155">
                  <c:v>-0.66744167378325248</c:v>
                </c:pt>
                <c:pt idx="156">
                  <c:v>-0.44473915282220822</c:v>
                </c:pt>
                <c:pt idx="157">
                  <c:v>-0.73711727095095791</c:v>
                </c:pt>
                <c:pt idx="158">
                  <c:v>0.46087793173755509</c:v>
                </c:pt>
                <c:pt idx="159">
                  <c:v>-0.48576126600838632</c:v>
                </c:pt>
                <c:pt idx="160">
                  <c:v>0.68274334596230846</c:v>
                </c:pt>
                <c:pt idx="161">
                  <c:v>0.43430688685743557</c:v>
                </c:pt>
                <c:pt idx="162">
                  <c:v>-0.35891055457044385</c:v>
                </c:pt>
                <c:pt idx="163">
                  <c:v>0.11760768837624758</c:v>
                </c:pt>
                <c:pt idx="164">
                  <c:v>0.49165831188293141</c:v>
                </c:pt>
                <c:pt idx="165">
                  <c:v>0.3605965227164627</c:v>
                </c:pt>
                <c:pt idx="166">
                  <c:v>-0.24130094803455426</c:v>
                </c:pt>
                <c:pt idx="167">
                  <c:v>0.51211636369972968</c:v>
                </c:pt>
                <c:pt idx="168">
                  <c:v>7.9891493061188257E-2</c:v>
                </c:pt>
                <c:pt idx="169">
                  <c:v>-0.62222526531973865</c:v>
                </c:pt>
                <c:pt idx="170">
                  <c:v>-0.14562568621489125</c:v>
                </c:pt>
                <c:pt idx="171">
                  <c:v>0.2723244052000644</c:v>
                </c:pt>
                <c:pt idx="172">
                  <c:v>9.1293071616705523E-2</c:v>
                </c:pt>
                <c:pt idx="173">
                  <c:v>0.57306522078211386</c:v>
                </c:pt>
                <c:pt idx="174">
                  <c:v>-0.40242353499477845</c:v>
                </c:pt>
                <c:pt idx="175">
                  <c:v>-0.42523680909943984</c:v>
                </c:pt>
                <c:pt idx="176">
                  <c:v>-9.6307702168258347E-2</c:v>
                </c:pt>
                <c:pt idx="177">
                  <c:v>0.20586576233137932</c:v>
                </c:pt>
                <c:pt idx="178">
                  <c:v>0.43847586366519531</c:v>
                </c:pt>
                <c:pt idx="179">
                  <c:v>0.2376448578251662</c:v>
                </c:pt>
                <c:pt idx="180">
                  <c:v>0.21768942016107817</c:v>
                </c:pt>
                <c:pt idx="181">
                  <c:v>0.54887985911201453</c:v>
                </c:pt>
                <c:pt idx="182">
                  <c:v>-7.985649457295585E-2</c:v>
                </c:pt>
                <c:pt idx="183">
                  <c:v>-0.59609243872232187</c:v>
                </c:pt>
                <c:pt idx="184">
                  <c:v>0.6274770627666042</c:v>
                </c:pt>
                <c:pt idx="185">
                  <c:v>-0.68209833609792825</c:v>
                </c:pt>
                <c:pt idx="186">
                  <c:v>0.64904561580845654</c:v>
                </c:pt>
                <c:pt idx="187">
                  <c:v>-0.41530916960869901</c:v>
                </c:pt>
                <c:pt idx="188">
                  <c:v>-0.3324104165457944</c:v>
                </c:pt>
                <c:pt idx="189">
                  <c:v>-0.42258418390803776</c:v>
                </c:pt>
                <c:pt idx="190">
                  <c:v>-8.0770829757597529E-2</c:v>
                </c:pt>
                <c:pt idx="191">
                  <c:v>-0.51669635132751068</c:v>
                </c:pt>
                <c:pt idx="192">
                  <c:v>-0.64386641029169422</c:v>
                </c:pt>
                <c:pt idx="193">
                  <c:v>-0.57701340015323987</c:v>
                </c:pt>
                <c:pt idx="194">
                  <c:v>-0.1670418240126228</c:v>
                </c:pt>
                <c:pt idx="195">
                  <c:v>-0.17852447446200559</c:v>
                </c:pt>
                <c:pt idx="196">
                  <c:v>5.7410333824505999E-2</c:v>
                </c:pt>
                <c:pt idx="197">
                  <c:v>6.3846844392987601E-2</c:v>
                </c:pt>
                <c:pt idx="198">
                  <c:v>-4.8826024926988953E-2</c:v>
                </c:pt>
                <c:pt idx="199">
                  <c:v>0.58216213238281878</c:v>
                </c:pt>
                <c:pt idx="200">
                  <c:v>0.33430750305897372</c:v>
                </c:pt>
                <c:pt idx="201">
                  <c:v>0.48634408338724899</c:v>
                </c:pt>
                <c:pt idx="202">
                  <c:v>-7.7651441494367868E-2</c:v>
                </c:pt>
                <c:pt idx="203">
                  <c:v>0.29116013149838338</c:v>
                </c:pt>
                <c:pt idx="204">
                  <c:v>-1.8462709751358553E-2</c:v>
                </c:pt>
                <c:pt idx="205">
                  <c:v>0.78345281138433576</c:v>
                </c:pt>
                <c:pt idx="206">
                  <c:v>0.38397655651283502</c:v>
                </c:pt>
                <c:pt idx="207">
                  <c:v>-0.39755333844022966</c:v>
                </c:pt>
                <c:pt idx="208">
                  <c:v>0.29944881251964262</c:v>
                </c:pt>
                <c:pt idx="209">
                  <c:v>-0.18712420434621535</c:v>
                </c:pt>
                <c:pt idx="210">
                  <c:v>0.44302828748336465</c:v>
                </c:pt>
                <c:pt idx="211">
                  <c:v>-0.72247771654027271</c:v>
                </c:pt>
                <c:pt idx="212">
                  <c:v>0.18325842092696742</c:v>
                </c:pt>
                <c:pt idx="213">
                  <c:v>0.68638216141977049</c:v>
                </c:pt>
                <c:pt idx="214">
                  <c:v>-0.75487596515981048</c:v>
                </c:pt>
                <c:pt idx="215">
                  <c:v>-0.33790722354201175</c:v>
                </c:pt>
                <c:pt idx="216">
                  <c:v>0.76425913531358436</c:v>
                </c:pt>
                <c:pt idx="217">
                  <c:v>0.50346837696808877</c:v>
                </c:pt>
                <c:pt idx="218">
                  <c:v>-0.39556619193734566</c:v>
                </c:pt>
                <c:pt idx="219">
                  <c:v>0.83058792081629629</c:v>
                </c:pt>
                <c:pt idx="220">
                  <c:v>4.5024910339950042E-2</c:v>
                </c:pt>
                <c:pt idx="221">
                  <c:v>-0.66111568343686034</c:v>
                </c:pt>
                <c:pt idx="222">
                  <c:v>0.48533785643546978</c:v>
                </c:pt>
                <c:pt idx="223">
                  <c:v>-0.52648715104139909</c:v>
                </c:pt>
                <c:pt idx="224">
                  <c:v>0.17790973473614002</c:v>
                </c:pt>
                <c:pt idx="225">
                  <c:v>-0.38458086158973415</c:v>
                </c:pt>
                <c:pt idx="226">
                  <c:v>-0.27487186456189727</c:v>
                </c:pt>
                <c:pt idx="227">
                  <c:v>-0.43138863917387416</c:v>
                </c:pt>
                <c:pt idx="228">
                  <c:v>0.14603111565432214</c:v>
                </c:pt>
                <c:pt idx="229">
                  <c:v>-0.68805911857468005</c:v>
                </c:pt>
                <c:pt idx="230">
                  <c:v>-0.37827903285089892</c:v>
                </c:pt>
                <c:pt idx="231">
                  <c:v>-0.71236775006385233</c:v>
                </c:pt>
                <c:pt idx="232">
                  <c:v>-0.2457187956279403</c:v>
                </c:pt>
                <c:pt idx="233">
                  <c:v>-0.41300355702679958</c:v>
                </c:pt>
                <c:pt idx="234">
                  <c:v>-0.82975559310936298</c:v>
                </c:pt>
                <c:pt idx="235">
                  <c:v>-0.46524403790958813</c:v>
                </c:pt>
                <c:pt idx="236">
                  <c:v>0.29160618244841663</c:v>
                </c:pt>
                <c:pt idx="237">
                  <c:v>0.31690565349567312</c:v>
                </c:pt>
                <c:pt idx="238">
                  <c:v>0.58221209111843497</c:v>
                </c:pt>
                <c:pt idx="239">
                  <c:v>-0.35296035162692463</c:v>
                </c:pt>
                <c:pt idx="240">
                  <c:v>-0.33570148090837915</c:v>
                </c:pt>
                <c:pt idx="241">
                  <c:v>0.27378473020086425</c:v>
                </c:pt>
                <c:pt idx="242">
                  <c:v>0.58629651666330718</c:v>
                </c:pt>
                <c:pt idx="243">
                  <c:v>-0.3444587939065511</c:v>
                </c:pt>
                <c:pt idx="244">
                  <c:v>0.53542849193638076</c:v>
                </c:pt>
                <c:pt idx="245">
                  <c:v>-0.94887301630672383</c:v>
                </c:pt>
                <c:pt idx="246">
                  <c:v>0.68182119679808606</c:v>
                </c:pt>
                <c:pt idx="247">
                  <c:v>-0.43091355063759584</c:v>
                </c:pt>
                <c:pt idx="248">
                  <c:v>-0.44183033605688871</c:v>
                </c:pt>
                <c:pt idx="249">
                  <c:v>-0.30889189501518488</c:v>
                </c:pt>
                <c:pt idx="250">
                  <c:v>-7.032537086178503E-2</c:v>
                </c:pt>
                <c:pt idx="251">
                  <c:v>-0.36138505453567027</c:v>
                </c:pt>
                <c:pt idx="252">
                  <c:v>0.65168079104548049</c:v>
                </c:pt>
                <c:pt idx="253">
                  <c:v>0.38645615628379559</c:v>
                </c:pt>
                <c:pt idx="254">
                  <c:v>-0.70380752596547147</c:v>
                </c:pt>
                <c:pt idx="255">
                  <c:v>4.2720720944879886E-3</c:v>
                </c:pt>
                <c:pt idx="256">
                  <c:v>-0.32876404161086348</c:v>
                </c:pt>
                <c:pt idx="257">
                  <c:v>0.72317710191591411</c:v>
                </c:pt>
                <c:pt idx="258">
                  <c:v>4.5999685507583266E-2</c:v>
                </c:pt>
                <c:pt idx="259">
                  <c:v>-0.16502223983008557</c:v>
                </c:pt>
                <c:pt idx="260">
                  <c:v>-0.56397443138096137</c:v>
                </c:pt>
                <c:pt idx="261">
                  <c:v>-0.62205185129727125</c:v>
                </c:pt>
                <c:pt idx="262">
                  <c:v>0.52128431891560689</c:v>
                </c:pt>
                <c:pt idx="263">
                  <c:v>-0.8343942617575244</c:v>
                </c:pt>
                <c:pt idx="264">
                  <c:v>-0.3983998298040119</c:v>
                </c:pt>
                <c:pt idx="265">
                  <c:v>-0.15933123648124203</c:v>
                </c:pt>
                <c:pt idx="266">
                  <c:v>0.18377987157847997</c:v>
                </c:pt>
                <c:pt idx="267">
                  <c:v>0.66167072420751816</c:v>
                </c:pt>
                <c:pt idx="268">
                  <c:v>4.8980587178116375E-2</c:v>
                </c:pt>
                <c:pt idx="269">
                  <c:v>0.3625854138817326</c:v>
                </c:pt>
                <c:pt idx="270">
                  <c:v>0.38970998270074353</c:v>
                </c:pt>
                <c:pt idx="271">
                  <c:v>-0.41489898002795189</c:v>
                </c:pt>
                <c:pt idx="272">
                  <c:v>-0.4119795457034896</c:v>
                </c:pt>
                <c:pt idx="273">
                  <c:v>-0.12526044178057139</c:v>
                </c:pt>
                <c:pt idx="274">
                  <c:v>0.14219445019421584</c:v>
                </c:pt>
                <c:pt idx="275">
                  <c:v>0.41791250812058678</c:v>
                </c:pt>
                <c:pt idx="276">
                  <c:v>-0.53395609403316024</c:v>
                </c:pt>
                <c:pt idx="277">
                  <c:v>-0.746998171218483</c:v>
                </c:pt>
                <c:pt idx="278">
                  <c:v>0.8139121962569813</c:v>
                </c:pt>
                <c:pt idx="279">
                  <c:v>0.25566608091085907</c:v>
                </c:pt>
                <c:pt idx="280">
                  <c:v>0.25524658294350866</c:v>
                </c:pt>
                <c:pt idx="281">
                  <c:v>0.37114286182852041</c:v>
                </c:pt>
                <c:pt idx="282">
                  <c:v>0.4555022094147021</c:v>
                </c:pt>
                <c:pt idx="283">
                  <c:v>0.69389478316046849</c:v>
                </c:pt>
                <c:pt idx="284">
                  <c:v>0.22907572489809525</c:v>
                </c:pt>
                <c:pt idx="285">
                  <c:v>-2.3084560732880455E-2</c:v>
                </c:pt>
                <c:pt idx="286">
                  <c:v>-0.43650513262619017</c:v>
                </c:pt>
                <c:pt idx="287">
                  <c:v>-0.48512118427864448</c:v>
                </c:pt>
                <c:pt idx="288">
                  <c:v>0.33864166528600048</c:v>
                </c:pt>
                <c:pt idx="289">
                  <c:v>6.8199557851573056E-2</c:v>
                </c:pt>
                <c:pt idx="290">
                  <c:v>0.65131401638123898</c:v>
                </c:pt>
                <c:pt idx="291">
                  <c:v>-0.39809937091214143</c:v>
                </c:pt>
                <c:pt idx="292">
                  <c:v>0.69473690239176977</c:v>
                </c:pt>
                <c:pt idx="293">
                  <c:v>-0.5262277183700339</c:v>
                </c:pt>
                <c:pt idx="294">
                  <c:v>0.684540779512399</c:v>
                </c:pt>
                <c:pt idx="295">
                  <c:v>0.41478606655705841</c:v>
                </c:pt>
                <c:pt idx="296">
                  <c:v>0.89515530248883479</c:v>
                </c:pt>
                <c:pt idx="297">
                  <c:v>9.3595920812291178E-2</c:v>
                </c:pt>
                <c:pt idx="298">
                  <c:v>-0.13716650457370427</c:v>
                </c:pt>
                <c:pt idx="299">
                  <c:v>-0.3824017525762291</c:v>
                </c:pt>
                <c:pt idx="300">
                  <c:v>4.3708908731121321E-2</c:v>
                </c:pt>
                <c:pt idx="301">
                  <c:v>-0.56864549470738668</c:v>
                </c:pt>
                <c:pt idx="302">
                  <c:v>-8.9535293148014228E-2</c:v>
                </c:pt>
                <c:pt idx="303">
                  <c:v>0.12701817532237736</c:v>
                </c:pt>
                <c:pt idx="304">
                  <c:v>-0.454697360773618</c:v>
                </c:pt>
                <c:pt idx="305">
                  <c:v>-0.24883900901938238</c:v>
                </c:pt>
                <c:pt idx="306">
                  <c:v>-0.19268176786955782</c:v>
                </c:pt>
                <c:pt idx="307">
                  <c:v>0.70203569963013779</c:v>
                </c:pt>
                <c:pt idx="308">
                  <c:v>0.41364096997175559</c:v>
                </c:pt>
                <c:pt idx="309">
                  <c:v>0.45108492551705304</c:v>
                </c:pt>
                <c:pt idx="310">
                  <c:v>0.19219055595043866</c:v>
                </c:pt>
                <c:pt idx="311">
                  <c:v>0.33724704198423372</c:v>
                </c:pt>
                <c:pt idx="312">
                  <c:v>-0.42210400360713218</c:v>
                </c:pt>
                <c:pt idx="313">
                  <c:v>-8.8648259810276686E-2</c:v>
                </c:pt>
                <c:pt idx="314">
                  <c:v>2.8356836987351031E-3</c:v>
                </c:pt>
                <c:pt idx="315">
                  <c:v>-0.16265079848506003</c:v>
                </c:pt>
                <c:pt idx="316">
                  <c:v>0.57637376096972814</c:v>
                </c:pt>
                <c:pt idx="317">
                  <c:v>0.43783517608082057</c:v>
                </c:pt>
                <c:pt idx="318">
                  <c:v>0.27225295620614554</c:v>
                </c:pt>
                <c:pt idx="319">
                  <c:v>-0.45727449432209721</c:v>
                </c:pt>
                <c:pt idx="320">
                  <c:v>-0.77597088300400863</c:v>
                </c:pt>
                <c:pt idx="321">
                  <c:v>0.21699165261276998</c:v>
                </c:pt>
                <c:pt idx="322">
                  <c:v>-0.14796847557897297</c:v>
                </c:pt>
                <c:pt idx="323">
                  <c:v>0.17198504738870746</c:v>
                </c:pt>
                <c:pt idx="324">
                  <c:v>-0.73642974150836382</c:v>
                </c:pt>
                <c:pt idx="325">
                  <c:v>8.6887862393091098E-2</c:v>
                </c:pt>
                <c:pt idx="326">
                  <c:v>-0.63900549757467129</c:v>
                </c:pt>
                <c:pt idx="327">
                  <c:v>0.69062838231836587</c:v>
                </c:pt>
                <c:pt idx="328">
                  <c:v>0.58026750187858345</c:v>
                </c:pt>
                <c:pt idx="329">
                  <c:v>-8.1093314246259762E-2</c:v>
                </c:pt>
                <c:pt idx="330">
                  <c:v>-0.12442237043937321</c:v>
                </c:pt>
                <c:pt idx="331">
                  <c:v>-0.71537323476580905</c:v>
                </c:pt>
                <c:pt idx="332">
                  <c:v>1.0245196091803521E-2</c:v>
                </c:pt>
                <c:pt idx="333">
                  <c:v>-0.77265100942570952</c:v>
                </c:pt>
                <c:pt idx="334">
                  <c:v>2.697023418728195E-2</c:v>
                </c:pt>
                <c:pt idx="335">
                  <c:v>0.37216927988717896</c:v>
                </c:pt>
                <c:pt idx="336">
                  <c:v>-0.33113812760790973</c:v>
                </c:pt>
                <c:pt idx="337">
                  <c:v>-0.11028513480767876</c:v>
                </c:pt>
                <c:pt idx="338">
                  <c:v>0.19193630632597736</c:v>
                </c:pt>
                <c:pt idx="339">
                  <c:v>0.34654655697999326</c:v>
                </c:pt>
                <c:pt idx="340">
                  <c:v>0.39792826582909568</c:v>
                </c:pt>
                <c:pt idx="341">
                  <c:v>-0.4983712028180407</c:v>
                </c:pt>
                <c:pt idx="342">
                  <c:v>0.16871985262021605</c:v>
                </c:pt>
                <c:pt idx="343">
                  <c:v>-0.62297331177395909</c:v>
                </c:pt>
                <c:pt idx="344">
                  <c:v>-0.38078159904405995</c:v>
                </c:pt>
                <c:pt idx="345">
                  <c:v>-0.24548791420418414</c:v>
                </c:pt>
                <c:pt idx="346">
                  <c:v>0.20304079809219133</c:v>
                </c:pt>
                <c:pt idx="347">
                  <c:v>0.51753554600696017</c:v>
                </c:pt>
                <c:pt idx="348">
                  <c:v>0.54326982708455751</c:v>
                </c:pt>
                <c:pt idx="349">
                  <c:v>0.43908115668739356</c:v>
                </c:pt>
                <c:pt idx="350">
                  <c:v>0.56044559796465143</c:v>
                </c:pt>
                <c:pt idx="351">
                  <c:v>0.26869229147030493</c:v>
                </c:pt>
                <c:pt idx="352">
                  <c:v>-0.67518820582953354</c:v>
                </c:pt>
                <c:pt idx="353">
                  <c:v>0.72804839676611177</c:v>
                </c:pt>
                <c:pt idx="354">
                  <c:v>-0.73808181096726844</c:v>
                </c:pt>
                <c:pt idx="355">
                  <c:v>0.64703242281658602</c:v>
                </c:pt>
                <c:pt idx="356">
                  <c:v>0.22659137737601998</c:v>
                </c:pt>
                <c:pt idx="357">
                  <c:v>-2.5852341060794259E-2</c:v>
                </c:pt>
                <c:pt idx="358">
                  <c:v>0.6893791098635158</c:v>
                </c:pt>
                <c:pt idx="359">
                  <c:v>0.11098185614359224</c:v>
                </c:pt>
                <c:pt idx="360">
                  <c:v>-0.20891590143016381</c:v>
                </c:pt>
                <c:pt idx="361">
                  <c:v>-0.15749601696019244</c:v>
                </c:pt>
                <c:pt idx="362">
                  <c:v>-0.82411820010128412</c:v>
                </c:pt>
                <c:pt idx="363">
                  <c:v>-0.25370282630031049</c:v>
                </c:pt>
                <c:pt idx="364">
                  <c:v>9.136076894289058E-2</c:v>
                </c:pt>
                <c:pt idx="365">
                  <c:v>0.91242542013466421</c:v>
                </c:pt>
                <c:pt idx="366">
                  <c:v>-0.78571349141693547</c:v>
                </c:pt>
                <c:pt idx="367">
                  <c:v>2.0993544925932861E-2</c:v>
                </c:pt>
                <c:pt idx="368">
                  <c:v>3.1688525284157887E-2</c:v>
                </c:pt>
                <c:pt idx="369">
                  <c:v>0.81734098495233853</c:v>
                </c:pt>
                <c:pt idx="370">
                  <c:v>0.83437687872379129</c:v>
                </c:pt>
                <c:pt idx="371">
                  <c:v>-0.37625758078390392</c:v>
                </c:pt>
                <c:pt idx="372">
                  <c:v>-0.90771628194190113</c:v>
                </c:pt>
                <c:pt idx="373">
                  <c:v>-0.17892200918448764</c:v>
                </c:pt>
                <c:pt idx="374">
                  <c:v>0.40043427686506039</c:v>
                </c:pt>
                <c:pt idx="375">
                  <c:v>-0.78832091059496601</c:v>
                </c:pt>
                <c:pt idx="376">
                  <c:v>-0.51539156686621945</c:v>
                </c:pt>
                <c:pt idx="377">
                  <c:v>-0.96185285337842719</c:v>
                </c:pt>
                <c:pt idx="378">
                  <c:v>-0.4846377486968938</c:v>
                </c:pt>
                <c:pt idx="379">
                  <c:v>0.4750915130311566</c:v>
                </c:pt>
                <c:pt idx="380">
                  <c:v>-0.47637523616176236</c:v>
                </c:pt>
                <c:pt idx="381">
                  <c:v>0.82881802632782708</c:v>
                </c:pt>
                <c:pt idx="382">
                  <c:v>2.1180902125316869E-2</c:v>
                </c:pt>
                <c:pt idx="383">
                  <c:v>-0.61653086801405799</c:v>
                </c:pt>
                <c:pt idx="384">
                  <c:v>0.29290354143142738</c:v>
                </c:pt>
                <c:pt idx="385">
                  <c:v>0.43135604777725356</c:v>
                </c:pt>
                <c:pt idx="386">
                  <c:v>-4.3249814501438832E-2</c:v>
                </c:pt>
                <c:pt idx="387">
                  <c:v>-0.53778467924977535</c:v>
                </c:pt>
                <c:pt idx="388">
                  <c:v>6.4081224503843348E-2</c:v>
                </c:pt>
                <c:pt idx="389">
                  <c:v>0.53454344203954629</c:v>
                </c:pt>
                <c:pt idx="390">
                  <c:v>0.5003815483138061</c:v>
                </c:pt>
                <c:pt idx="391">
                  <c:v>-0.17812217888705351</c:v>
                </c:pt>
                <c:pt idx="392">
                  <c:v>-0.75851400900080623</c:v>
                </c:pt>
                <c:pt idx="393">
                  <c:v>-0.32770354441874705</c:v>
                </c:pt>
                <c:pt idx="394">
                  <c:v>0.82425706035969526</c:v>
                </c:pt>
                <c:pt idx="395">
                  <c:v>0.1071898220056775</c:v>
                </c:pt>
                <c:pt idx="396">
                  <c:v>-0.70463438732794459</c:v>
                </c:pt>
                <c:pt idx="397">
                  <c:v>-7.3884564878367476E-2</c:v>
                </c:pt>
                <c:pt idx="398">
                  <c:v>0.44260514723231226</c:v>
                </c:pt>
                <c:pt idx="399">
                  <c:v>0.77149506002897072</c:v>
                </c:pt>
                <c:pt idx="400">
                  <c:v>-0.38981083733652522</c:v>
                </c:pt>
                <c:pt idx="401">
                  <c:v>0.46740526191206744</c:v>
                </c:pt>
                <c:pt idx="402">
                  <c:v>-0.62890214282838786</c:v>
                </c:pt>
                <c:pt idx="403">
                  <c:v>0.84219565808710461</c:v>
                </c:pt>
                <c:pt idx="404">
                  <c:v>-0.72754199274151654</c:v>
                </c:pt>
                <c:pt idx="405">
                  <c:v>0.49111795325757068</c:v>
                </c:pt>
                <c:pt idx="406">
                  <c:v>0.2896286356205835</c:v>
                </c:pt>
                <c:pt idx="407">
                  <c:v>-0.52721784372314318</c:v>
                </c:pt>
                <c:pt idx="408">
                  <c:v>-0.75991338392458552</c:v>
                </c:pt>
                <c:pt idx="409">
                  <c:v>-0.12717146292066506</c:v>
                </c:pt>
                <c:pt idx="410">
                  <c:v>0.87860875050753973</c:v>
                </c:pt>
                <c:pt idx="411">
                  <c:v>-0.80142859644322018</c:v>
                </c:pt>
                <c:pt idx="412">
                  <c:v>0.67950177404560197</c:v>
                </c:pt>
                <c:pt idx="413">
                  <c:v>0.12441371022584491</c:v>
                </c:pt>
                <c:pt idx="414">
                  <c:v>0.53559566759071831</c:v>
                </c:pt>
                <c:pt idx="415">
                  <c:v>3.2098445439365131E-2</c:v>
                </c:pt>
                <c:pt idx="416">
                  <c:v>0.34953109328350518</c:v>
                </c:pt>
                <c:pt idx="417">
                  <c:v>-0.82913313902667118</c:v>
                </c:pt>
                <c:pt idx="418">
                  <c:v>-0.40501501937802442</c:v>
                </c:pt>
                <c:pt idx="419">
                  <c:v>0.61877984396479291</c:v>
                </c:pt>
                <c:pt idx="420">
                  <c:v>9.8226863738798187E-2</c:v>
                </c:pt>
                <c:pt idx="421">
                  <c:v>-0.47686996499006362</c:v>
                </c:pt>
                <c:pt idx="422">
                  <c:v>-0.4963724613343663</c:v>
                </c:pt>
                <c:pt idx="423">
                  <c:v>-0.17925558068133807</c:v>
                </c:pt>
                <c:pt idx="424">
                  <c:v>0.19786778366161295</c:v>
                </c:pt>
                <c:pt idx="425">
                  <c:v>0.14386791652919428</c:v>
                </c:pt>
                <c:pt idx="426">
                  <c:v>0.56421798548150415</c:v>
                </c:pt>
                <c:pt idx="427">
                  <c:v>0.60542703740972548</c:v>
                </c:pt>
                <c:pt idx="428">
                  <c:v>0.2444370864378147</c:v>
                </c:pt>
                <c:pt idx="429">
                  <c:v>-5.4172153453415195E-2</c:v>
                </c:pt>
                <c:pt idx="430">
                  <c:v>-0.665784633362277</c:v>
                </c:pt>
                <c:pt idx="431">
                  <c:v>0.58696902221301195</c:v>
                </c:pt>
                <c:pt idx="432">
                  <c:v>0.33441761474099096</c:v>
                </c:pt>
                <c:pt idx="433">
                  <c:v>-0.55094359083907496</c:v>
                </c:pt>
                <c:pt idx="434">
                  <c:v>-0.20811806861971283</c:v>
                </c:pt>
                <c:pt idx="435">
                  <c:v>-0.36121289705591098</c:v>
                </c:pt>
                <c:pt idx="436">
                  <c:v>0.25436362686732572</c:v>
                </c:pt>
                <c:pt idx="437">
                  <c:v>-0.10313634839007313</c:v>
                </c:pt>
                <c:pt idx="438">
                  <c:v>-0.79120913595734765</c:v>
                </c:pt>
                <c:pt idx="439">
                  <c:v>-0.10021141391328126</c:v>
                </c:pt>
                <c:pt idx="440">
                  <c:v>7.023963420417445E-3</c:v>
                </c:pt>
                <c:pt idx="441">
                  <c:v>-0.36496933577457513</c:v>
                </c:pt>
                <c:pt idx="442">
                  <c:v>-0.19955437233573048</c:v>
                </c:pt>
                <c:pt idx="443">
                  <c:v>0.22482772130959106</c:v>
                </c:pt>
                <c:pt idx="444">
                  <c:v>-0.41821286076113617</c:v>
                </c:pt>
                <c:pt idx="445">
                  <c:v>-9.0484544302712466E-2</c:v>
                </c:pt>
                <c:pt idx="446">
                  <c:v>0.54780552953560235</c:v>
                </c:pt>
                <c:pt idx="447">
                  <c:v>0.9195295989797625</c:v>
                </c:pt>
                <c:pt idx="448">
                  <c:v>0.33871757428968019</c:v>
                </c:pt>
                <c:pt idx="449">
                  <c:v>0.47980384398065268</c:v>
                </c:pt>
                <c:pt idx="450">
                  <c:v>-0.72151597220046781</c:v>
                </c:pt>
                <c:pt idx="451">
                  <c:v>0.1573316256426005</c:v>
                </c:pt>
                <c:pt idx="452">
                  <c:v>-0.93368087391198928</c:v>
                </c:pt>
                <c:pt idx="453">
                  <c:v>-0.68034799742835461</c:v>
                </c:pt>
                <c:pt idx="454">
                  <c:v>-0.27294153383172559</c:v>
                </c:pt>
                <c:pt idx="455">
                  <c:v>0.59459084803658691</c:v>
                </c:pt>
                <c:pt idx="456">
                  <c:v>0.78023502288600777</c:v>
                </c:pt>
                <c:pt idx="457">
                  <c:v>-0.58981652987064304</c:v>
                </c:pt>
                <c:pt idx="458">
                  <c:v>-0.92123772375563817</c:v>
                </c:pt>
                <c:pt idx="459">
                  <c:v>-0.47443318317556904</c:v>
                </c:pt>
                <c:pt idx="460">
                  <c:v>0.49498780578844648</c:v>
                </c:pt>
                <c:pt idx="461">
                  <c:v>-0.48913948189655754</c:v>
                </c:pt>
                <c:pt idx="462">
                  <c:v>0.63153968051037235</c:v>
                </c:pt>
                <c:pt idx="463">
                  <c:v>0.34111692119549741</c:v>
                </c:pt>
                <c:pt idx="464">
                  <c:v>-0.15376119006828737</c:v>
                </c:pt>
                <c:pt idx="465">
                  <c:v>-0.85935306489531449</c:v>
                </c:pt>
                <c:pt idx="466">
                  <c:v>-0.31758440179667202</c:v>
                </c:pt>
                <c:pt idx="467">
                  <c:v>-0.22675905002490704</c:v>
                </c:pt>
                <c:pt idx="468">
                  <c:v>0.48499983857014817</c:v>
                </c:pt>
                <c:pt idx="469">
                  <c:v>0.12389709345166522</c:v>
                </c:pt>
                <c:pt idx="470">
                  <c:v>0.16173205727069639</c:v>
                </c:pt>
                <c:pt idx="471">
                  <c:v>0.67108892073545534</c:v>
                </c:pt>
                <c:pt idx="472">
                  <c:v>0.41587943977152531</c:v>
                </c:pt>
                <c:pt idx="473">
                  <c:v>-0.72799010269879005</c:v>
                </c:pt>
                <c:pt idx="474">
                  <c:v>0.42151968208569368</c:v>
                </c:pt>
                <c:pt idx="475">
                  <c:v>-0.15370928454944432</c:v>
                </c:pt>
                <c:pt idx="476">
                  <c:v>-0.16675981681693908</c:v>
                </c:pt>
                <c:pt idx="477">
                  <c:v>0.59854572604558665</c:v>
                </c:pt>
                <c:pt idx="478">
                  <c:v>0.34431026302557788</c:v>
                </c:pt>
                <c:pt idx="479">
                  <c:v>0.77422721949396967</c:v>
                </c:pt>
                <c:pt idx="480">
                  <c:v>-0.22668300171670674</c:v>
                </c:pt>
                <c:pt idx="481">
                  <c:v>0.52298347951011559</c:v>
                </c:pt>
                <c:pt idx="482">
                  <c:v>0.14871650772663747</c:v>
                </c:pt>
                <c:pt idx="483">
                  <c:v>-0.9251601601782784</c:v>
                </c:pt>
                <c:pt idx="484">
                  <c:v>-3.8670598375567078E-2</c:v>
                </c:pt>
                <c:pt idx="485">
                  <c:v>0.18953845051550222</c:v>
                </c:pt>
                <c:pt idx="486">
                  <c:v>0.59964540867154437</c:v>
                </c:pt>
                <c:pt idx="487">
                  <c:v>-0.33590650395888355</c:v>
                </c:pt>
                <c:pt idx="488">
                  <c:v>0.60328206188906508</c:v>
                </c:pt>
                <c:pt idx="489">
                  <c:v>0.25224552164500014</c:v>
                </c:pt>
                <c:pt idx="490">
                  <c:v>-0.43534499132226556</c:v>
                </c:pt>
                <c:pt idx="491">
                  <c:v>6.3688799856957523E-2</c:v>
                </c:pt>
                <c:pt idx="492">
                  <c:v>0.27622407349225253</c:v>
                </c:pt>
                <c:pt idx="493">
                  <c:v>-8.1096273396693119E-2</c:v>
                </c:pt>
                <c:pt idx="494">
                  <c:v>-0.27406334581275971</c:v>
                </c:pt>
                <c:pt idx="495">
                  <c:v>-0.16247820044692984</c:v>
                </c:pt>
                <c:pt idx="496">
                  <c:v>-0.12489343492531035</c:v>
                </c:pt>
                <c:pt idx="497">
                  <c:v>-0.63711615883431838</c:v>
                </c:pt>
                <c:pt idx="498">
                  <c:v>7.6112243017218972E-2</c:v>
                </c:pt>
                <c:pt idx="499">
                  <c:v>0.21031972070129323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FE-704B-910D-5F578E1B4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34128"/>
        <c:axId val="495433736"/>
      </c:scatterChart>
      <c:valAx>
        <c:axId val="495434128"/>
        <c:scaling>
          <c:orientation val="minMax"/>
          <c:max val="1"/>
          <c:min val="-1"/>
        </c:scaling>
        <c:delete val="0"/>
        <c:axPos val="b"/>
        <c:numFmt formatCode="General" sourceLinked="1"/>
        <c:majorTickMark val="out"/>
        <c:minorTickMark val="none"/>
        <c:tickLblPos val="nextTo"/>
        <c:crossAx val="495433736"/>
        <c:crosses val="autoZero"/>
        <c:crossBetween val="midCat"/>
      </c:valAx>
      <c:valAx>
        <c:axId val="495433736"/>
        <c:scaling>
          <c:orientation val="minMax"/>
          <c:max val="1"/>
          <c:min val="-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5434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Histogramme de la distance de zéro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'stats du rayon'!$I$6:$I$16</c:f>
              <c:numCache>
                <c:formatCode>General</c:formatCode>
                <c:ptCount val="11"/>
                <c:pt idx="0">
                  <c:v>3.8927475782544491E-2</c:v>
                </c:pt>
                <c:pt idx="1">
                  <c:v>0.13502395146505985</c:v>
                </c:pt>
                <c:pt idx="2">
                  <c:v>0.23112042714757525</c:v>
                </c:pt>
                <c:pt idx="3">
                  <c:v>0.32721690283009064</c:v>
                </c:pt>
                <c:pt idx="4">
                  <c:v>0.42331337851260598</c:v>
                </c:pt>
                <c:pt idx="5">
                  <c:v>0.51940985419512131</c:v>
                </c:pt>
                <c:pt idx="6">
                  <c:v>0.61550632987763676</c:v>
                </c:pt>
                <c:pt idx="7">
                  <c:v>0.7116028055601521</c:v>
                </c:pt>
                <c:pt idx="8">
                  <c:v>0.80769928124266754</c:v>
                </c:pt>
                <c:pt idx="9">
                  <c:v>0.90379575692518288</c:v>
                </c:pt>
                <c:pt idx="10">
                  <c:v>0.99989223260769822</c:v>
                </c:pt>
              </c:numCache>
            </c:numRef>
          </c:cat>
          <c:val>
            <c:numRef>
              <c:f>'stats du rayon'!$K$6:$K$16</c:f>
              <c:numCache>
                <c:formatCode>General</c:formatCode>
                <c:ptCount val="11"/>
                <c:pt idx="0">
                  <c:v>2E-3</c:v>
                </c:pt>
                <c:pt idx="1">
                  <c:v>2.4E-2</c:v>
                </c:pt>
                <c:pt idx="2">
                  <c:v>3.2000000000000001E-2</c:v>
                </c:pt>
                <c:pt idx="3">
                  <c:v>4.5999999999999992E-2</c:v>
                </c:pt>
                <c:pt idx="4">
                  <c:v>6.2000000000000013E-2</c:v>
                </c:pt>
                <c:pt idx="5">
                  <c:v>0.11599999999999996</c:v>
                </c:pt>
                <c:pt idx="6">
                  <c:v>0.10800000000000004</c:v>
                </c:pt>
                <c:pt idx="7">
                  <c:v>0.13600000000000001</c:v>
                </c:pt>
                <c:pt idx="8">
                  <c:v>0.14200000000000002</c:v>
                </c:pt>
                <c:pt idx="9">
                  <c:v>0.16999999999999993</c:v>
                </c:pt>
                <c:pt idx="10">
                  <c:v>0.16200000000000003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E-5A49-938A-59E18E2B0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432952"/>
        <c:axId val="495432560"/>
      </c:barChart>
      <c:catAx>
        <c:axId val="495432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5432560"/>
        <c:crosses val="autoZero"/>
        <c:auto val="1"/>
        <c:lblAlgn val="ctr"/>
        <c:lblOffset val="100"/>
        <c:noMultiLvlLbl val="0"/>
      </c:catAx>
      <c:valAx>
        <c:axId val="495432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5432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Fonction de répartition de la distance de zéro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'stats du rayon'!$I$6:$I$16</c:f>
              <c:numCache>
                <c:formatCode>General</c:formatCode>
                <c:ptCount val="11"/>
                <c:pt idx="0">
                  <c:v>3.8927475782544491E-2</c:v>
                </c:pt>
                <c:pt idx="1">
                  <c:v>0.13502395146505985</c:v>
                </c:pt>
                <c:pt idx="2">
                  <c:v>0.23112042714757525</c:v>
                </c:pt>
                <c:pt idx="3">
                  <c:v>0.32721690283009064</c:v>
                </c:pt>
                <c:pt idx="4">
                  <c:v>0.42331337851260598</c:v>
                </c:pt>
                <c:pt idx="5">
                  <c:v>0.51940985419512131</c:v>
                </c:pt>
                <c:pt idx="6">
                  <c:v>0.61550632987763676</c:v>
                </c:pt>
                <c:pt idx="7">
                  <c:v>0.7116028055601521</c:v>
                </c:pt>
                <c:pt idx="8">
                  <c:v>0.80769928124266754</c:v>
                </c:pt>
                <c:pt idx="9">
                  <c:v>0.90379575692518288</c:v>
                </c:pt>
                <c:pt idx="10">
                  <c:v>0.99989223260769822</c:v>
                </c:pt>
              </c:numCache>
            </c:numRef>
          </c:xVal>
          <c:yVal>
            <c:numRef>
              <c:f>'stats du rayon'!$J$6:$J$16</c:f>
              <c:numCache>
                <c:formatCode>General</c:formatCode>
                <c:ptCount val="11"/>
                <c:pt idx="0">
                  <c:v>2E-3</c:v>
                </c:pt>
                <c:pt idx="1">
                  <c:v>2.5999999999999999E-2</c:v>
                </c:pt>
                <c:pt idx="2">
                  <c:v>5.8000000000000003E-2</c:v>
                </c:pt>
                <c:pt idx="3">
                  <c:v>0.104</c:v>
                </c:pt>
                <c:pt idx="4">
                  <c:v>0.16600000000000001</c:v>
                </c:pt>
                <c:pt idx="5">
                  <c:v>0.28199999999999997</c:v>
                </c:pt>
                <c:pt idx="6">
                  <c:v>0.39</c:v>
                </c:pt>
                <c:pt idx="7">
                  <c:v>0.52600000000000002</c:v>
                </c:pt>
                <c:pt idx="8">
                  <c:v>0.66800000000000004</c:v>
                </c:pt>
                <c:pt idx="9">
                  <c:v>0.83799999999999997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6A-984F-9F23-9CFC1997A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31776"/>
        <c:axId val="495431384"/>
      </c:scatterChart>
      <c:valAx>
        <c:axId val="49543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5431384"/>
        <c:crosses val="autoZero"/>
        <c:crossBetween val="midCat"/>
      </c:valAx>
      <c:valAx>
        <c:axId val="495431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P(X &lt;= 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54317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398470976194635E-2"/>
          <c:y val="1.3035104055654317E-2"/>
          <c:w val="0.94308894257879539"/>
          <c:h val="0.9477885732470816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 zone rouge'!$B$5:$B$504</c:f>
              <c:numCache>
                <c:formatCode>General</c:formatCode>
                <c:ptCount val="500"/>
                <c:pt idx="0">
                  <c:v>-0.37065883238826403</c:v>
                </c:pt>
                <c:pt idx="1">
                  <c:v>-9.0019855182084552E-2</c:v>
                </c:pt>
                <c:pt idx="2">
                  <c:v>-0.24899950226759415</c:v>
                </c:pt>
                <c:pt idx="3">
                  <c:v>6.8244952980820894E-2</c:v>
                </c:pt>
                <c:pt idx="4">
                  <c:v>0.22665299296155994</c:v>
                </c:pt>
                <c:pt idx="5">
                  <c:v>0.28192509407307553</c:v>
                </c:pt>
                <c:pt idx="6">
                  <c:v>0.32873345678994959</c:v>
                </c:pt>
                <c:pt idx="7">
                  <c:v>-0.85827678492662596</c:v>
                </c:pt>
                <c:pt idx="8">
                  <c:v>0.18970217759962793</c:v>
                </c:pt>
                <c:pt idx="9">
                  <c:v>0.36918322505175727</c:v>
                </c:pt>
                <c:pt idx="10">
                  <c:v>-0.24941141570130454</c:v>
                </c:pt>
                <c:pt idx="11">
                  <c:v>-0.82542411696763041</c:v>
                </c:pt>
                <c:pt idx="12">
                  <c:v>-0.43889576684524712</c:v>
                </c:pt>
                <c:pt idx="13">
                  <c:v>-0.20649894929057133</c:v>
                </c:pt>
                <c:pt idx="14">
                  <c:v>0.60121368102237338</c:v>
                </c:pt>
                <c:pt idx="15">
                  <c:v>-0.52779177211756245</c:v>
                </c:pt>
                <c:pt idx="16">
                  <c:v>-0.5309432195415098</c:v>
                </c:pt>
                <c:pt idx="17">
                  <c:v>0.2630723100277963</c:v>
                </c:pt>
                <c:pt idx="18">
                  <c:v>-0.24040913886294946</c:v>
                </c:pt>
                <c:pt idx="19">
                  <c:v>-0.20897830122665995</c:v>
                </c:pt>
                <c:pt idx="20">
                  <c:v>-0.67354792558674292</c:v>
                </c:pt>
                <c:pt idx="21">
                  <c:v>0.57326339455173692</c:v>
                </c:pt>
                <c:pt idx="22">
                  <c:v>0.69896941668651613</c:v>
                </c:pt>
                <c:pt idx="23">
                  <c:v>0.28059708928632143</c:v>
                </c:pt>
                <c:pt idx="24">
                  <c:v>0.30564663528708635</c:v>
                </c:pt>
                <c:pt idx="25">
                  <c:v>-0.90223063673221127</c:v>
                </c:pt>
                <c:pt idx="26">
                  <c:v>0.42723313695359355</c:v>
                </c:pt>
                <c:pt idx="27">
                  <c:v>0.39364284337987265</c:v>
                </c:pt>
                <c:pt idx="28">
                  <c:v>8.0128248754276266E-2</c:v>
                </c:pt>
                <c:pt idx="29">
                  <c:v>0.65284725452006565</c:v>
                </c:pt>
                <c:pt idx="30">
                  <c:v>-0.19487068794361151</c:v>
                </c:pt>
                <c:pt idx="31">
                  <c:v>-4.7786061163548776E-2</c:v>
                </c:pt>
                <c:pt idx="32">
                  <c:v>0.19400143165006489</c:v>
                </c:pt>
                <c:pt idx="33">
                  <c:v>-0.11593281701190916</c:v>
                </c:pt>
                <c:pt idx="34">
                  <c:v>-0.59169147279780887</c:v>
                </c:pt>
                <c:pt idx="35">
                  <c:v>-0.3921903240548088</c:v>
                </c:pt>
                <c:pt idx="36">
                  <c:v>-0.65750006296392915</c:v>
                </c:pt>
                <c:pt idx="37">
                  <c:v>0.22446732479624987</c:v>
                </c:pt>
                <c:pt idx="38">
                  <c:v>-0.5777191522380285</c:v>
                </c:pt>
                <c:pt idx="39">
                  <c:v>-0.71107816222770426</c:v>
                </c:pt>
                <c:pt idx="40">
                  <c:v>-2.5439099025597045E-3</c:v>
                </c:pt>
                <c:pt idx="41">
                  <c:v>0.24031175624030587</c:v>
                </c:pt>
                <c:pt idx="42">
                  <c:v>0.20383733124264114</c:v>
                </c:pt>
                <c:pt idx="43">
                  <c:v>-0.74308851468199855</c:v>
                </c:pt>
                <c:pt idx="44">
                  <c:v>0.45586797318147654</c:v>
                </c:pt>
                <c:pt idx="45">
                  <c:v>0.5092318797513844</c:v>
                </c:pt>
                <c:pt idx="46">
                  <c:v>-0.89883188299015604</c:v>
                </c:pt>
                <c:pt idx="47">
                  <c:v>0.94473553403628241</c:v>
                </c:pt>
                <c:pt idx="48">
                  <c:v>-0.88222259792012414</c:v>
                </c:pt>
                <c:pt idx="49">
                  <c:v>-0.39335767282093426</c:v>
                </c:pt>
                <c:pt idx="50">
                  <c:v>0.48319991255675121</c:v>
                </c:pt>
                <c:pt idx="51">
                  <c:v>0.84828507406543618</c:v>
                </c:pt>
                <c:pt idx="52">
                  <c:v>0.11260652318292563</c:v>
                </c:pt>
                <c:pt idx="53">
                  <c:v>0.29692039330225306</c:v>
                </c:pt>
                <c:pt idx="54">
                  <c:v>-0.24093429270808797</c:v>
                </c:pt>
                <c:pt idx="55">
                  <c:v>0.58073287836808118</c:v>
                </c:pt>
                <c:pt idx="56">
                  <c:v>0.4182920415856326</c:v>
                </c:pt>
                <c:pt idx="57">
                  <c:v>-0.17699623393508457</c:v>
                </c:pt>
                <c:pt idx="58">
                  <c:v>4.3792111408921919E-2</c:v>
                </c:pt>
                <c:pt idx="59">
                  <c:v>0.52136755491571218</c:v>
                </c:pt>
                <c:pt idx="60">
                  <c:v>-0.41727230873957333</c:v>
                </c:pt>
                <c:pt idx="61">
                  <c:v>1.839114496254024E-2</c:v>
                </c:pt>
                <c:pt idx="62">
                  <c:v>0.17666807587545774</c:v>
                </c:pt>
                <c:pt idx="63">
                  <c:v>-0.33968993895609234</c:v>
                </c:pt>
                <c:pt idx="64">
                  <c:v>-6.0025866196560695E-2</c:v>
                </c:pt>
                <c:pt idx="65">
                  <c:v>-0.55550370434775354</c:v>
                </c:pt>
                <c:pt idx="66">
                  <c:v>-0.85751353122469975</c:v>
                </c:pt>
                <c:pt idx="67">
                  <c:v>-0.18889135543136581</c:v>
                </c:pt>
                <c:pt idx="68">
                  <c:v>0.38230268846465232</c:v>
                </c:pt>
                <c:pt idx="69">
                  <c:v>-0.38880618047702198</c:v>
                </c:pt>
                <c:pt idx="70">
                  <c:v>-0.22779559227363633</c:v>
                </c:pt>
                <c:pt idx="71">
                  <c:v>-0.49555891467440771</c:v>
                </c:pt>
                <c:pt idx="72">
                  <c:v>0.54275359037716608</c:v>
                </c:pt>
                <c:pt idx="73">
                  <c:v>-6.5900654409481563E-2</c:v>
                </c:pt>
                <c:pt idx="74">
                  <c:v>-0.17070464858176981</c:v>
                </c:pt>
                <c:pt idx="75">
                  <c:v>0.30028017464776302</c:v>
                </c:pt>
                <c:pt idx="76">
                  <c:v>0.45018443824592547</c:v>
                </c:pt>
                <c:pt idx="77">
                  <c:v>-4.7191372428773581E-2</c:v>
                </c:pt>
                <c:pt idx="78">
                  <c:v>-0.7911338860149697</c:v>
                </c:pt>
                <c:pt idx="79">
                  <c:v>-0.11150120078523584</c:v>
                </c:pt>
                <c:pt idx="80">
                  <c:v>-0.49230118482856988</c:v>
                </c:pt>
                <c:pt idx="81">
                  <c:v>0.59644414309945049</c:v>
                </c:pt>
                <c:pt idx="82">
                  <c:v>-0.98360338572862616</c:v>
                </c:pt>
                <c:pt idx="83">
                  <c:v>-0.18354250776494196</c:v>
                </c:pt>
                <c:pt idx="84">
                  <c:v>-0.32389167781645312</c:v>
                </c:pt>
                <c:pt idx="85">
                  <c:v>0.38213314959882894</c:v>
                </c:pt>
                <c:pt idx="86">
                  <c:v>0.43370766556011975</c:v>
                </c:pt>
                <c:pt idx="87">
                  <c:v>-0.15729465865069669</c:v>
                </c:pt>
                <c:pt idx="88">
                  <c:v>-0.246441946674681</c:v>
                </c:pt>
                <c:pt idx="89">
                  <c:v>0.51099737822066316</c:v>
                </c:pt>
                <c:pt idx="90">
                  <c:v>0.94064018452878129</c:v>
                </c:pt>
                <c:pt idx="91">
                  <c:v>4.2666835760793553E-2</c:v>
                </c:pt>
                <c:pt idx="92">
                  <c:v>0.44848007091324904</c:v>
                </c:pt>
                <c:pt idx="93">
                  <c:v>0.66688866705534289</c:v>
                </c:pt>
                <c:pt idx="94">
                  <c:v>-0.37259452389716752</c:v>
                </c:pt>
                <c:pt idx="95">
                  <c:v>0.64506913337908256</c:v>
                </c:pt>
                <c:pt idx="96">
                  <c:v>-0.49030617808703925</c:v>
                </c:pt>
                <c:pt idx="97">
                  <c:v>-0.43242488849029148</c:v>
                </c:pt>
                <c:pt idx="98">
                  <c:v>-1.71913237750565E-2</c:v>
                </c:pt>
                <c:pt idx="99">
                  <c:v>0.31717417852140839</c:v>
                </c:pt>
                <c:pt idx="100">
                  <c:v>0.60745438790598771</c:v>
                </c:pt>
                <c:pt idx="101">
                  <c:v>-0.53640608859101646</c:v>
                </c:pt>
                <c:pt idx="102">
                  <c:v>-0.82906453503987687</c:v>
                </c:pt>
                <c:pt idx="103">
                  <c:v>-0.88883051357042842</c:v>
                </c:pt>
                <c:pt idx="104">
                  <c:v>-0.23020696219876458</c:v>
                </c:pt>
                <c:pt idx="105">
                  <c:v>-0.65781306306629461</c:v>
                </c:pt>
                <c:pt idx="106">
                  <c:v>-2.9460280802771077E-2</c:v>
                </c:pt>
                <c:pt idx="107">
                  <c:v>-0.29038103046032893</c:v>
                </c:pt>
                <c:pt idx="108">
                  <c:v>-0.89120778823232105</c:v>
                </c:pt>
                <c:pt idx="109">
                  <c:v>-0.61111064056696796</c:v>
                </c:pt>
                <c:pt idx="110">
                  <c:v>0.61350101424429448</c:v>
                </c:pt>
                <c:pt idx="111">
                  <c:v>0.23158214651098663</c:v>
                </c:pt>
                <c:pt idx="112">
                  <c:v>0.20140536968586953</c:v>
                </c:pt>
                <c:pt idx="113">
                  <c:v>0.27407722075338525</c:v>
                </c:pt>
                <c:pt idx="114">
                  <c:v>-0.72793995650205456</c:v>
                </c:pt>
                <c:pt idx="115">
                  <c:v>-0.54521479465473677</c:v>
                </c:pt>
                <c:pt idx="116">
                  <c:v>0.68557328551252761</c:v>
                </c:pt>
                <c:pt idx="117">
                  <c:v>0.59756211716899399</c:v>
                </c:pt>
                <c:pt idx="118">
                  <c:v>0.51665231540486611</c:v>
                </c:pt>
                <c:pt idx="119">
                  <c:v>0.16910018602308674</c:v>
                </c:pt>
                <c:pt idx="120">
                  <c:v>7.5894643643880544E-2</c:v>
                </c:pt>
                <c:pt idx="121">
                  <c:v>-0.40052045094348743</c:v>
                </c:pt>
                <c:pt idx="122">
                  <c:v>-0.49721672456535071</c:v>
                </c:pt>
                <c:pt idx="123">
                  <c:v>-0.68126329069722846</c:v>
                </c:pt>
                <c:pt idx="124">
                  <c:v>-8.7006954449523333E-2</c:v>
                </c:pt>
                <c:pt idx="125">
                  <c:v>-0.55980645228139303</c:v>
                </c:pt>
                <c:pt idx="126">
                  <c:v>-0.6300228740179461</c:v>
                </c:pt>
                <c:pt idx="127">
                  <c:v>-0.11564569405856884</c:v>
                </c:pt>
                <c:pt idx="128">
                  <c:v>-0.50428270650601359</c:v>
                </c:pt>
                <c:pt idx="129">
                  <c:v>-0.21366854995070339</c:v>
                </c:pt>
                <c:pt idx="130">
                  <c:v>-0.71766218606975851</c:v>
                </c:pt>
                <c:pt idx="131">
                  <c:v>-0.37298669554306119</c:v>
                </c:pt>
                <c:pt idx="132">
                  <c:v>8.7525275417372761E-2</c:v>
                </c:pt>
                <c:pt idx="133">
                  <c:v>0.3089066254530568</c:v>
                </c:pt>
                <c:pt idx="134">
                  <c:v>-0.59437502843849077</c:v>
                </c:pt>
                <c:pt idx="135">
                  <c:v>-0.49864958375447732</c:v>
                </c:pt>
                <c:pt idx="136">
                  <c:v>0.32884515286045768</c:v>
                </c:pt>
                <c:pt idx="137">
                  <c:v>-0.36971981324480652</c:v>
                </c:pt>
                <c:pt idx="138">
                  <c:v>0.12539276380532827</c:v>
                </c:pt>
                <c:pt idx="139">
                  <c:v>-3.241389183488641E-2</c:v>
                </c:pt>
                <c:pt idx="140">
                  <c:v>-0.38085805573880882</c:v>
                </c:pt>
                <c:pt idx="141">
                  <c:v>-0.14922141115602106</c:v>
                </c:pt>
                <c:pt idx="142">
                  <c:v>-0.75465871537984941</c:v>
                </c:pt>
                <c:pt idx="143">
                  <c:v>0.61727525880150891</c:v>
                </c:pt>
                <c:pt idx="144">
                  <c:v>0.22192801710324672</c:v>
                </c:pt>
                <c:pt idx="145">
                  <c:v>2.4864567483524169E-2</c:v>
                </c:pt>
                <c:pt idx="146">
                  <c:v>0.55209653348238996</c:v>
                </c:pt>
                <c:pt idx="147">
                  <c:v>0.69896923001006006</c:v>
                </c:pt>
                <c:pt idx="148">
                  <c:v>0.82833849757509048</c:v>
                </c:pt>
                <c:pt idx="149">
                  <c:v>0.58081469436696564</c:v>
                </c:pt>
                <c:pt idx="150">
                  <c:v>-0.28652288580614926</c:v>
                </c:pt>
                <c:pt idx="151">
                  <c:v>0.17621913362156327</c:v>
                </c:pt>
                <c:pt idx="152">
                  <c:v>0.44332888634397505</c:v>
                </c:pt>
                <c:pt idx="153">
                  <c:v>0.20058823610511478</c:v>
                </c:pt>
                <c:pt idx="154">
                  <c:v>-0.11531642407258302</c:v>
                </c:pt>
                <c:pt idx="155">
                  <c:v>0.21062698331727536</c:v>
                </c:pt>
                <c:pt idx="156">
                  <c:v>0.65182486951935426</c:v>
                </c:pt>
                <c:pt idx="157">
                  <c:v>-0.6452460436053653</c:v>
                </c:pt>
                <c:pt idx="158">
                  <c:v>-0.83797510353540661</c:v>
                </c:pt>
                <c:pt idx="159">
                  <c:v>0.47185147847338405</c:v>
                </c:pt>
                <c:pt idx="160">
                  <c:v>-0.40027816487250045</c:v>
                </c:pt>
                <c:pt idx="161">
                  <c:v>-6.4078934832423773E-2</c:v>
                </c:pt>
                <c:pt idx="162">
                  <c:v>0.47859397283038385</c:v>
                </c:pt>
                <c:pt idx="163">
                  <c:v>-0.696939274471293</c:v>
                </c:pt>
                <c:pt idx="164">
                  <c:v>-0.22028948144143867</c:v>
                </c:pt>
                <c:pt idx="165">
                  <c:v>-0.19672053577375959</c:v>
                </c:pt>
                <c:pt idx="166">
                  <c:v>0.83857719624460669</c:v>
                </c:pt>
                <c:pt idx="167">
                  <c:v>-0.80088678109733813</c:v>
                </c:pt>
                <c:pt idx="168">
                  <c:v>-0.31529796596964133</c:v>
                </c:pt>
                <c:pt idx="169">
                  <c:v>-0.63758943279684299</c:v>
                </c:pt>
                <c:pt idx="170">
                  <c:v>0.23717881921607353</c:v>
                </c:pt>
                <c:pt idx="171">
                  <c:v>0.42003553048942677</c:v>
                </c:pt>
                <c:pt idx="172">
                  <c:v>0.98496953513788044</c:v>
                </c:pt>
                <c:pt idx="173">
                  <c:v>-0.56439678630190437</c:v>
                </c:pt>
                <c:pt idx="174">
                  <c:v>0.75603287192200308</c:v>
                </c:pt>
                <c:pt idx="175">
                  <c:v>0.12656947813611663</c:v>
                </c:pt>
                <c:pt idx="176">
                  <c:v>0.66908215415021322</c:v>
                </c:pt>
                <c:pt idx="177">
                  <c:v>-2.927822832200544E-2</c:v>
                </c:pt>
                <c:pt idx="178">
                  <c:v>-0.63613211323640551</c:v>
                </c:pt>
                <c:pt idx="179">
                  <c:v>-0.17286106049227179</c:v>
                </c:pt>
                <c:pt idx="180">
                  <c:v>0.2269452753129837</c:v>
                </c:pt>
                <c:pt idx="181">
                  <c:v>0.82168178271305958</c:v>
                </c:pt>
                <c:pt idx="182">
                  <c:v>0.43814229922697079</c:v>
                </c:pt>
                <c:pt idx="183">
                  <c:v>-0.7946422952001484</c:v>
                </c:pt>
                <c:pt idx="184">
                  <c:v>0.43003336413654369</c:v>
                </c:pt>
                <c:pt idx="185">
                  <c:v>-3.086301665795288E-2</c:v>
                </c:pt>
                <c:pt idx="186">
                  <c:v>-0.22366459897329438</c:v>
                </c:pt>
                <c:pt idx="187">
                  <c:v>0.8362343363052942</c:v>
                </c:pt>
                <c:pt idx="188">
                  <c:v>-0.46824254982622193</c:v>
                </c:pt>
                <c:pt idx="189">
                  <c:v>0.63732296931491672</c:v>
                </c:pt>
                <c:pt idx="190">
                  <c:v>2.5095112065302461E-2</c:v>
                </c:pt>
                <c:pt idx="191">
                  <c:v>-0.35880181154627389</c:v>
                </c:pt>
                <c:pt idx="192">
                  <c:v>0.2686440819692435</c:v>
                </c:pt>
                <c:pt idx="193">
                  <c:v>0.63736512465283179</c:v>
                </c:pt>
                <c:pt idx="194">
                  <c:v>-0.44984261748245036</c:v>
                </c:pt>
                <c:pt idx="195">
                  <c:v>-0.25045049154528409</c:v>
                </c:pt>
                <c:pt idx="196">
                  <c:v>0.73754812459142549</c:v>
                </c:pt>
                <c:pt idx="197">
                  <c:v>8.3754633407560508E-2</c:v>
                </c:pt>
                <c:pt idx="198">
                  <c:v>0.1113223276005364</c:v>
                </c:pt>
                <c:pt idx="199">
                  <c:v>-0.71291256263702785</c:v>
                </c:pt>
                <c:pt idx="200">
                  <c:v>-0.11940346508821498</c:v>
                </c:pt>
                <c:pt idx="201">
                  <c:v>6.5898731125562326E-2</c:v>
                </c:pt>
                <c:pt idx="202">
                  <c:v>3.4345534365215924E-2</c:v>
                </c:pt>
                <c:pt idx="203">
                  <c:v>-0.72843531206936163</c:v>
                </c:pt>
                <c:pt idx="204">
                  <c:v>-0.59227308925563715</c:v>
                </c:pt>
                <c:pt idx="205">
                  <c:v>-5.5018146923834443E-2</c:v>
                </c:pt>
                <c:pt idx="206">
                  <c:v>-0.8935169112273369</c:v>
                </c:pt>
                <c:pt idx="207">
                  <c:v>0.53220199495428244</c:v>
                </c:pt>
                <c:pt idx="208">
                  <c:v>-0.93093134767783403</c:v>
                </c:pt>
                <c:pt idx="209">
                  <c:v>-0.60833624582970169</c:v>
                </c:pt>
                <c:pt idx="210">
                  <c:v>0.31707585496136681</c:v>
                </c:pt>
                <c:pt idx="211">
                  <c:v>-7.7423927345139365E-3</c:v>
                </c:pt>
                <c:pt idx="212">
                  <c:v>0.8412414460892863</c:v>
                </c:pt>
                <c:pt idx="213">
                  <c:v>-0.49017904771442766</c:v>
                </c:pt>
                <c:pt idx="214">
                  <c:v>0.3216297227910665</c:v>
                </c:pt>
                <c:pt idx="215">
                  <c:v>0.79162276842605261</c:v>
                </c:pt>
                <c:pt idx="216">
                  <c:v>-0.45663968524265131</c:v>
                </c:pt>
                <c:pt idx="217">
                  <c:v>0.71454569525652167</c:v>
                </c:pt>
                <c:pt idx="218">
                  <c:v>-0.22655596396344801</c:v>
                </c:pt>
                <c:pt idx="219">
                  <c:v>0.15450549908861344</c:v>
                </c:pt>
                <c:pt idx="220">
                  <c:v>-0.19150635827607232</c:v>
                </c:pt>
                <c:pt idx="221">
                  <c:v>0.27873893867987598</c:v>
                </c:pt>
                <c:pt idx="222">
                  <c:v>-0.13803672475362672</c:v>
                </c:pt>
                <c:pt idx="223">
                  <c:v>-0.42706499602327086</c:v>
                </c:pt>
                <c:pt idx="224">
                  <c:v>8.5455109731671586E-2</c:v>
                </c:pt>
                <c:pt idx="225">
                  <c:v>0.55058201797569439</c:v>
                </c:pt>
                <c:pt idx="226">
                  <c:v>-0.38636600515455832</c:v>
                </c:pt>
                <c:pt idx="227">
                  <c:v>-0.24559283089309503</c:v>
                </c:pt>
                <c:pt idx="228">
                  <c:v>-0.4717173394905203</c:v>
                </c:pt>
                <c:pt idx="229">
                  <c:v>-0.1824507461715712</c:v>
                </c:pt>
                <c:pt idx="230">
                  <c:v>0.16792201324440481</c:v>
                </c:pt>
                <c:pt idx="231">
                  <c:v>0.64786069817050107</c:v>
                </c:pt>
                <c:pt idx="232">
                  <c:v>-6.6377985463702105E-2</c:v>
                </c:pt>
                <c:pt idx="233">
                  <c:v>0.79811305130147092</c:v>
                </c:pt>
                <c:pt idx="234">
                  <c:v>-0.21024126143005351</c:v>
                </c:pt>
                <c:pt idx="235">
                  <c:v>0.78059967654771478</c:v>
                </c:pt>
                <c:pt idx="236">
                  <c:v>-0.53261164325099353</c:v>
                </c:pt>
                <c:pt idx="237">
                  <c:v>-0.38856703549400673</c:v>
                </c:pt>
                <c:pt idx="238">
                  <c:v>-3.0890721495921536E-2</c:v>
                </c:pt>
                <c:pt idx="239">
                  <c:v>-0.46826499217963824</c:v>
                </c:pt>
                <c:pt idx="240">
                  <c:v>2.236175422472142E-2</c:v>
                </c:pt>
                <c:pt idx="241">
                  <c:v>-0.60906964774133932</c:v>
                </c:pt>
                <c:pt idx="242">
                  <c:v>-0.49165666893455962</c:v>
                </c:pt>
                <c:pt idx="243">
                  <c:v>-0.87105376787406308</c:v>
                </c:pt>
                <c:pt idx="244">
                  <c:v>-0.16911596373500082</c:v>
                </c:pt>
                <c:pt idx="245">
                  <c:v>-0.13017569524902783</c:v>
                </c:pt>
                <c:pt idx="246">
                  <c:v>-0.31544042386176874</c:v>
                </c:pt>
                <c:pt idx="247">
                  <c:v>0.20744178398669089</c:v>
                </c:pt>
                <c:pt idx="248">
                  <c:v>0.78947090007764409</c:v>
                </c:pt>
                <c:pt idx="249">
                  <c:v>-0.91382075709878796</c:v>
                </c:pt>
                <c:pt idx="250">
                  <c:v>-0.81034919280714401</c:v>
                </c:pt>
                <c:pt idx="251">
                  <c:v>0.50220010809376436</c:v>
                </c:pt>
                <c:pt idx="252">
                  <c:v>0.42284489542996129</c:v>
                </c:pt>
                <c:pt idx="253">
                  <c:v>0.30467521754913696</c:v>
                </c:pt>
                <c:pt idx="254">
                  <c:v>0.27033828547836602</c:v>
                </c:pt>
                <c:pt idx="255">
                  <c:v>0.71378882963168211</c:v>
                </c:pt>
                <c:pt idx="256">
                  <c:v>0.51891968858752913</c:v>
                </c:pt>
                <c:pt idx="257">
                  <c:v>-0.30173540505473939</c:v>
                </c:pt>
                <c:pt idx="258">
                  <c:v>6.6293946739651277E-2</c:v>
                </c:pt>
                <c:pt idx="259">
                  <c:v>-0.35204826827594693</c:v>
                </c:pt>
                <c:pt idx="260">
                  <c:v>0.63734370719098354</c:v>
                </c:pt>
                <c:pt idx="261">
                  <c:v>0.15883300634351327</c:v>
                </c:pt>
                <c:pt idx="262">
                  <c:v>0.34785923715921618</c:v>
                </c:pt>
                <c:pt idx="263">
                  <c:v>-0.41353024281190542</c:v>
                </c:pt>
                <c:pt idx="264">
                  <c:v>-0.47632185792090653</c:v>
                </c:pt>
                <c:pt idx="265">
                  <c:v>-0.50576044907298812</c:v>
                </c:pt>
                <c:pt idx="266">
                  <c:v>0.24321921590570472</c:v>
                </c:pt>
                <c:pt idx="267">
                  <c:v>-0.33200641506340323</c:v>
                </c:pt>
                <c:pt idx="268">
                  <c:v>-0.63649323068025554</c:v>
                </c:pt>
                <c:pt idx="269">
                  <c:v>-8.356697934618329E-2</c:v>
                </c:pt>
                <c:pt idx="270">
                  <c:v>-0.44646500867427785</c:v>
                </c:pt>
                <c:pt idx="271">
                  <c:v>3.2772814029315755E-2</c:v>
                </c:pt>
                <c:pt idx="272">
                  <c:v>-0.69942318589266139</c:v>
                </c:pt>
                <c:pt idx="273">
                  <c:v>-0.64401591962906846</c:v>
                </c:pt>
                <c:pt idx="274">
                  <c:v>-0.63170362438977512</c:v>
                </c:pt>
                <c:pt idx="275">
                  <c:v>-7.407604905552434E-2</c:v>
                </c:pt>
                <c:pt idx="276">
                  <c:v>-0.15461079792582511</c:v>
                </c:pt>
                <c:pt idx="277">
                  <c:v>0.17668412989556681</c:v>
                </c:pt>
                <c:pt idx="278">
                  <c:v>0.51738869131244636</c:v>
                </c:pt>
                <c:pt idx="279">
                  <c:v>-0.91204249512434266</c:v>
                </c:pt>
                <c:pt idx="280">
                  <c:v>-0.56238150143848675</c:v>
                </c:pt>
                <c:pt idx="281">
                  <c:v>0.87418489648818309</c:v>
                </c:pt>
                <c:pt idx="282">
                  <c:v>-0.19645122724180974</c:v>
                </c:pt>
                <c:pt idx="283">
                  <c:v>0.68783963810095039</c:v>
                </c:pt>
                <c:pt idx="284">
                  <c:v>0.7659452081642022</c:v>
                </c:pt>
                <c:pt idx="285">
                  <c:v>0.63309871099713955</c:v>
                </c:pt>
                <c:pt idx="286">
                  <c:v>-7.2029058730591622E-3</c:v>
                </c:pt>
                <c:pt idx="287">
                  <c:v>0.58116441051652457</c:v>
                </c:pt>
                <c:pt idx="288">
                  <c:v>5.3448918625491837E-2</c:v>
                </c:pt>
                <c:pt idx="289">
                  <c:v>-0.18014434992252548</c:v>
                </c:pt>
                <c:pt idx="290">
                  <c:v>-0.20593639803059172</c:v>
                </c:pt>
                <c:pt idx="291">
                  <c:v>0.79602426870321619</c:v>
                </c:pt>
                <c:pt idx="292">
                  <c:v>-0.67979448377915852</c:v>
                </c:pt>
                <c:pt idx="293">
                  <c:v>-1.1513899839611597E-2</c:v>
                </c:pt>
                <c:pt idx="294">
                  <c:v>-0.51327484012177504</c:v>
                </c:pt>
                <c:pt idx="295">
                  <c:v>0.88104049474303014</c:v>
                </c:pt>
                <c:pt idx="296">
                  <c:v>3.2036717609439602E-2</c:v>
                </c:pt>
                <c:pt idx="297">
                  <c:v>0.73963391567596992</c:v>
                </c:pt>
                <c:pt idx="298">
                  <c:v>0.63699812500816422</c:v>
                </c:pt>
                <c:pt idx="299">
                  <c:v>0.50542054580274898</c:v>
                </c:pt>
                <c:pt idx="300">
                  <c:v>0.34781872134281611</c:v>
                </c:pt>
                <c:pt idx="301">
                  <c:v>0.65302874655683341</c:v>
                </c:pt>
                <c:pt idx="302">
                  <c:v>-0.93768731307975917</c:v>
                </c:pt>
                <c:pt idx="303">
                  <c:v>-0.15812879845334016</c:v>
                </c:pt>
                <c:pt idx="304">
                  <c:v>1.0135116287532275E-2</c:v>
                </c:pt>
                <c:pt idx="305">
                  <c:v>0.55873023938597099</c:v>
                </c:pt>
                <c:pt idx="306">
                  <c:v>0.83148386949848629</c:v>
                </c:pt>
                <c:pt idx="307">
                  <c:v>-0.36719122942978522</c:v>
                </c:pt>
                <c:pt idx="308">
                  <c:v>0.3364567220577348</c:v>
                </c:pt>
                <c:pt idx="309">
                  <c:v>0.33215620532159362</c:v>
                </c:pt>
                <c:pt idx="310">
                  <c:v>-0.10491358028308073</c:v>
                </c:pt>
                <c:pt idx="311">
                  <c:v>0.36893372133154889</c:v>
                </c:pt>
                <c:pt idx="312">
                  <c:v>-2.4842538612166676E-2</c:v>
                </c:pt>
                <c:pt idx="313">
                  <c:v>0.88361365341332543</c:v>
                </c:pt>
                <c:pt idx="314">
                  <c:v>-0.35799067222946568</c:v>
                </c:pt>
                <c:pt idx="315">
                  <c:v>0.52391616819719422</c:v>
                </c:pt>
                <c:pt idx="316">
                  <c:v>-0.48255629773721465</c:v>
                </c:pt>
                <c:pt idx="317">
                  <c:v>0.85242494645187761</c:v>
                </c:pt>
                <c:pt idx="318">
                  <c:v>-0.84727636651104965</c:v>
                </c:pt>
                <c:pt idx="319">
                  <c:v>-1.7047138298651454E-3</c:v>
                </c:pt>
                <c:pt idx="320">
                  <c:v>-0.1877716954179387</c:v>
                </c:pt>
                <c:pt idx="321">
                  <c:v>-2.1103907830199997E-3</c:v>
                </c:pt>
                <c:pt idx="322">
                  <c:v>-0.4826348487027845</c:v>
                </c:pt>
                <c:pt idx="323">
                  <c:v>-0.47390565654821293</c:v>
                </c:pt>
                <c:pt idx="324">
                  <c:v>0.64236103643060272</c:v>
                </c:pt>
                <c:pt idx="325">
                  <c:v>0.91867495067925065</c:v>
                </c:pt>
                <c:pt idx="326">
                  <c:v>0.6431493986402359</c:v>
                </c:pt>
                <c:pt idx="327">
                  <c:v>-0.57370209409566497</c:v>
                </c:pt>
                <c:pt idx="328">
                  <c:v>-0.5613033809504997</c:v>
                </c:pt>
                <c:pt idx="329">
                  <c:v>0.9392521658489188</c:v>
                </c:pt>
                <c:pt idx="330">
                  <c:v>-0.77857523464636813</c:v>
                </c:pt>
                <c:pt idx="331">
                  <c:v>-1.129216678485867E-2</c:v>
                </c:pt>
                <c:pt idx="332">
                  <c:v>-0.13033454282968804</c:v>
                </c:pt>
                <c:pt idx="333">
                  <c:v>-0.3598118398351049</c:v>
                </c:pt>
                <c:pt idx="334">
                  <c:v>0.64869406134641072</c:v>
                </c:pt>
                <c:pt idx="335">
                  <c:v>0.8303615861989575</c:v>
                </c:pt>
                <c:pt idx="336">
                  <c:v>-7.0541656315936674E-3</c:v>
                </c:pt>
                <c:pt idx="337">
                  <c:v>0.44211722142893439</c:v>
                </c:pt>
                <c:pt idx="338">
                  <c:v>-0.69574706719980406</c:v>
                </c:pt>
                <c:pt idx="339">
                  <c:v>-0.341786094298004</c:v>
                </c:pt>
                <c:pt idx="340">
                  <c:v>0.3088270027687614</c:v>
                </c:pt>
                <c:pt idx="341">
                  <c:v>-0.69842192980465501</c:v>
                </c:pt>
                <c:pt idx="342">
                  <c:v>-0.14335763328970064</c:v>
                </c:pt>
                <c:pt idx="343">
                  <c:v>0.52897595294501643</c:v>
                </c:pt>
                <c:pt idx="344">
                  <c:v>-0.61272932173222605</c:v>
                </c:pt>
                <c:pt idx="345">
                  <c:v>-0.71188827090940987</c:v>
                </c:pt>
                <c:pt idx="346">
                  <c:v>0.91148066629162905</c:v>
                </c:pt>
                <c:pt idx="347">
                  <c:v>-0.14109481080938213</c:v>
                </c:pt>
                <c:pt idx="348">
                  <c:v>-0.45884923997263494</c:v>
                </c:pt>
                <c:pt idx="349">
                  <c:v>-0.27326698449170639</c:v>
                </c:pt>
                <c:pt idx="350">
                  <c:v>-0.64495472082250926</c:v>
                </c:pt>
                <c:pt idx="351">
                  <c:v>-0.58997939741475602</c:v>
                </c:pt>
                <c:pt idx="352">
                  <c:v>-0.3736629447301123</c:v>
                </c:pt>
                <c:pt idx="353">
                  <c:v>-0.53004468733491672</c:v>
                </c:pt>
                <c:pt idx="354">
                  <c:v>-0.38547253991007513</c:v>
                </c:pt>
                <c:pt idx="355">
                  <c:v>-0.28583877161788429</c:v>
                </c:pt>
                <c:pt idx="356">
                  <c:v>0.24810174914909422</c:v>
                </c:pt>
                <c:pt idx="357">
                  <c:v>0.87182188474192235</c:v>
                </c:pt>
                <c:pt idx="358">
                  <c:v>-0.63565160572211532</c:v>
                </c:pt>
                <c:pt idx="359">
                  <c:v>0.49535266629989483</c:v>
                </c:pt>
                <c:pt idx="360">
                  <c:v>0.35303321098312224</c:v>
                </c:pt>
                <c:pt idx="361">
                  <c:v>0.41254217374578461</c:v>
                </c:pt>
                <c:pt idx="362">
                  <c:v>-0.19383619598183643</c:v>
                </c:pt>
                <c:pt idx="363">
                  <c:v>-0.34004922552001826</c:v>
                </c:pt>
                <c:pt idx="364">
                  <c:v>0.82673128815039165</c:v>
                </c:pt>
                <c:pt idx="365">
                  <c:v>0.33807450300688213</c:v>
                </c:pt>
                <c:pt idx="366">
                  <c:v>-0.32156489709414648</c:v>
                </c:pt>
                <c:pt idx="367">
                  <c:v>-0.5335821069641713</c:v>
                </c:pt>
                <c:pt idx="368">
                  <c:v>0.9858375146661349</c:v>
                </c:pt>
                <c:pt idx="369">
                  <c:v>0.51186628032295456</c:v>
                </c:pt>
                <c:pt idx="370">
                  <c:v>4.2350772089258859E-2</c:v>
                </c:pt>
                <c:pt idx="371">
                  <c:v>-0.36690917371439213</c:v>
                </c:pt>
                <c:pt idx="372">
                  <c:v>-0.24155393820665982</c:v>
                </c:pt>
                <c:pt idx="373">
                  <c:v>0.94159990340786703</c:v>
                </c:pt>
                <c:pt idx="374">
                  <c:v>-4.8809663218516874E-2</c:v>
                </c:pt>
                <c:pt idx="375">
                  <c:v>0.498309033103145</c:v>
                </c:pt>
                <c:pt idx="376">
                  <c:v>-0.63176702958038167</c:v>
                </c:pt>
                <c:pt idx="377">
                  <c:v>-1.9758325259434217E-2</c:v>
                </c:pt>
                <c:pt idx="378">
                  <c:v>0.84657415109539458</c:v>
                </c:pt>
                <c:pt idx="379">
                  <c:v>-0.33566807857502301</c:v>
                </c:pt>
                <c:pt idx="380">
                  <c:v>0.6897473195394388</c:v>
                </c:pt>
                <c:pt idx="381">
                  <c:v>-0.15271401290556574</c:v>
                </c:pt>
                <c:pt idx="382">
                  <c:v>0.81080016514563069</c:v>
                </c:pt>
                <c:pt idx="383">
                  <c:v>-0.11088170804702768</c:v>
                </c:pt>
                <c:pt idx="384">
                  <c:v>-0.2096116889020001</c:v>
                </c:pt>
                <c:pt idx="385">
                  <c:v>0.28706149236815737</c:v>
                </c:pt>
                <c:pt idx="386">
                  <c:v>-0.39112810800626163</c:v>
                </c:pt>
                <c:pt idx="387">
                  <c:v>-0.39246675223075878</c:v>
                </c:pt>
                <c:pt idx="388">
                  <c:v>-0.99614624582503009</c:v>
                </c:pt>
                <c:pt idx="389">
                  <c:v>-5.2274594048515866E-3</c:v>
                </c:pt>
                <c:pt idx="390">
                  <c:v>-0.86310444039634793</c:v>
                </c:pt>
                <c:pt idx="391">
                  <c:v>-0.10917980954107143</c:v>
                </c:pt>
                <c:pt idx="392">
                  <c:v>0.64169908497620942</c:v>
                </c:pt>
                <c:pt idx="393">
                  <c:v>-0.90171815553123502</c:v>
                </c:pt>
                <c:pt idx="394">
                  <c:v>-0.1403741625154018</c:v>
                </c:pt>
                <c:pt idx="395">
                  <c:v>-0.19873450961478922</c:v>
                </c:pt>
                <c:pt idx="396">
                  <c:v>-0.27737480917689217</c:v>
                </c:pt>
                <c:pt idx="397">
                  <c:v>0.73939637813398806</c:v>
                </c:pt>
                <c:pt idx="398">
                  <c:v>0.49300531201249798</c:v>
                </c:pt>
                <c:pt idx="399">
                  <c:v>0.33729308123101576</c:v>
                </c:pt>
                <c:pt idx="400">
                  <c:v>0.42809797590402177</c:v>
                </c:pt>
                <c:pt idx="401">
                  <c:v>-0.86928323837131716</c:v>
                </c:pt>
                <c:pt idx="402">
                  <c:v>0.25396193542839751</c:v>
                </c:pt>
                <c:pt idx="403">
                  <c:v>0.46426987116192397</c:v>
                </c:pt>
                <c:pt idx="404">
                  <c:v>7.8187392889270013E-2</c:v>
                </c:pt>
                <c:pt idx="405">
                  <c:v>0.15832608626636757</c:v>
                </c:pt>
                <c:pt idx="406">
                  <c:v>-0.82691722135689893</c:v>
                </c:pt>
                <c:pt idx="407">
                  <c:v>6.0178408719119503E-2</c:v>
                </c:pt>
                <c:pt idx="408">
                  <c:v>-7.9115780705246275E-2</c:v>
                </c:pt>
                <c:pt idx="409">
                  <c:v>-0.43093319036320654</c:v>
                </c:pt>
                <c:pt idx="410">
                  <c:v>-0.46290118243477818</c:v>
                </c:pt>
                <c:pt idx="411">
                  <c:v>-0.35997613881951529</c:v>
                </c:pt>
                <c:pt idx="412">
                  <c:v>-0.2210738721030201</c:v>
                </c:pt>
                <c:pt idx="413">
                  <c:v>-0.85892577629186762</c:v>
                </c:pt>
                <c:pt idx="414">
                  <c:v>0.34474057573502548</c:v>
                </c:pt>
                <c:pt idx="415">
                  <c:v>0.30960038353995478</c:v>
                </c:pt>
                <c:pt idx="416">
                  <c:v>-0.76930323666961797</c:v>
                </c:pt>
                <c:pt idx="417">
                  <c:v>0.14540870833654762</c:v>
                </c:pt>
                <c:pt idx="418">
                  <c:v>-0.51120551160506622</c:v>
                </c:pt>
                <c:pt idx="419">
                  <c:v>-4.5363174774619708E-2</c:v>
                </c:pt>
                <c:pt idx="420">
                  <c:v>0.59759654016288133</c:v>
                </c:pt>
                <c:pt idx="421">
                  <c:v>0.74725878882797447</c:v>
                </c:pt>
                <c:pt idx="422">
                  <c:v>0.12410055477630166</c:v>
                </c:pt>
                <c:pt idx="423">
                  <c:v>-0.18740457584424863</c:v>
                </c:pt>
                <c:pt idx="424">
                  <c:v>0.23868783475945032</c:v>
                </c:pt>
                <c:pt idx="425">
                  <c:v>0.67910589610894201</c:v>
                </c:pt>
                <c:pt idx="426">
                  <c:v>-8.4925421104645293E-2</c:v>
                </c:pt>
                <c:pt idx="427">
                  <c:v>0.38749262263859352</c:v>
                </c:pt>
                <c:pt idx="428">
                  <c:v>-0.3160308999980872</c:v>
                </c:pt>
                <c:pt idx="429">
                  <c:v>0.77981786729094571</c:v>
                </c:pt>
                <c:pt idx="430">
                  <c:v>-0.36342791553084597</c:v>
                </c:pt>
                <c:pt idx="431">
                  <c:v>0.19482217725032225</c:v>
                </c:pt>
                <c:pt idx="432">
                  <c:v>-0.62065142376149951</c:v>
                </c:pt>
                <c:pt idx="433">
                  <c:v>-0.27875624655047249</c:v>
                </c:pt>
                <c:pt idx="434">
                  <c:v>0.8452476430626561</c:v>
                </c:pt>
                <c:pt idx="435">
                  <c:v>0.605249681314179</c:v>
                </c:pt>
                <c:pt idx="436">
                  <c:v>-0.31402980535055858</c:v>
                </c:pt>
                <c:pt idx="437">
                  <c:v>0.30081672018614469</c:v>
                </c:pt>
                <c:pt idx="438">
                  <c:v>0.55916933803937807</c:v>
                </c:pt>
                <c:pt idx="439">
                  <c:v>-0.51229717594596047</c:v>
                </c:pt>
                <c:pt idx="440">
                  <c:v>-8.1406742888056938E-2</c:v>
                </c:pt>
                <c:pt idx="441">
                  <c:v>-0.42055719199583685</c:v>
                </c:pt>
                <c:pt idx="442">
                  <c:v>0.10789742649685885</c:v>
                </c:pt>
                <c:pt idx="443">
                  <c:v>-0.10801391520993375</c:v>
                </c:pt>
                <c:pt idx="444">
                  <c:v>0.20070604275813309</c:v>
                </c:pt>
                <c:pt idx="445">
                  <c:v>3.9771698615278517E-3</c:v>
                </c:pt>
                <c:pt idx="446">
                  <c:v>-0.72174677959534828</c:v>
                </c:pt>
                <c:pt idx="447">
                  <c:v>-3.2482150373637886E-2</c:v>
                </c:pt>
                <c:pt idx="448">
                  <c:v>0.7517365348073668</c:v>
                </c:pt>
                <c:pt idx="449">
                  <c:v>0.1114750039776593</c:v>
                </c:pt>
                <c:pt idx="450">
                  <c:v>0.50823227472078014</c:v>
                </c:pt>
                <c:pt idx="451">
                  <c:v>-0.69532966519940764</c:v>
                </c:pt>
                <c:pt idx="452">
                  <c:v>0.10889716846112329</c:v>
                </c:pt>
                <c:pt idx="453">
                  <c:v>-0.39832312242628443</c:v>
                </c:pt>
                <c:pt idx="454">
                  <c:v>0.23058316988674243</c:v>
                </c:pt>
                <c:pt idx="455">
                  <c:v>-0.65326658575418195</c:v>
                </c:pt>
                <c:pt idx="456">
                  <c:v>0.40364571310801534</c:v>
                </c:pt>
                <c:pt idx="457">
                  <c:v>0.57564081919725663</c:v>
                </c:pt>
                <c:pt idx="458">
                  <c:v>0.38872295167476012</c:v>
                </c:pt>
                <c:pt idx="459">
                  <c:v>-0.21889476888141934</c:v>
                </c:pt>
                <c:pt idx="460">
                  <c:v>0.37444719921379388</c:v>
                </c:pt>
                <c:pt idx="461">
                  <c:v>-0.17451746896231679</c:v>
                </c:pt>
                <c:pt idx="462">
                  <c:v>0.37644360217326622</c:v>
                </c:pt>
                <c:pt idx="463">
                  <c:v>-0.53684416095449139</c:v>
                </c:pt>
                <c:pt idx="464">
                  <c:v>0.95892968018223335</c:v>
                </c:pt>
                <c:pt idx="465">
                  <c:v>-0.37678228278131565</c:v>
                </c:pt>
                <c:pt idx="466">
                  <c:v>0.1138801479714453</c:v>
                </c:pt>
                <c:pt idx="467">
                  <c:v>-0.96798515844816158</c:v>
                </c:pt>
                <c:pt idx="468">
                  <c:v>-0.40603422666091649</c:v>
                </c:pt>
                <c:pt idx="469">
                  <c:v>0.74582667584800455</c:v>
                </c:pt>
                <c:pt idx="470">
                  <c:v>-0.17216489524945833</c:v>
                </c:pt>
                <c:pt idx="471">
                  <c:v>0.41965831137348575</c:v>
                </c:pt>
                <c:pt idx="472">
                  <c:v>0.11112333654494888</c:v>
                </c:pt>
                <c:pt idx="473">
                  <c:v>-0.49007433915280707</c:v>
                </c:pt>
                <c:pt idx="474">
                  <c:v>0.76751634415689929</c:v>
                </c:pt>
                <c:pt idx="475">
                  <c:v>-0.12736904884580658</c:v>
                </c:pt>
                <c:pt idx="476">
                  <c:v>0.71749593656407429</c:v>
                </c:pt>
                <c:pt idx="477">
                  <c:v>-0.34127868292088026</c:v>
                </c:pt>
                <c:pt idx="478">
                  <c:v>0.4540265054736432</c:v>
                </c:pt>
                <c:pt idx="479">
                  <c:v>-0.17755033673695575</c:v>
                </c:pt>
                <c:pt idx="480">
                  <c:v>-0.16230264278329543</c:v>
                </c:pt>
                <c:pt idx="481">
                  <c:v>0.46116116178480548</c:v>
                </c:pt>
                <c:pt idx="482">
                  <c:v>-8.9811442308215028E-2</c:v>
                </c:pt>
                <c:pt idx="483">
                  <c:v>-0.33291715260129506</c:v>
                </c:pt>
                <c:pt idx="484">
                  <c:v>-4.4646603539548746E-3</c:v>
                </c:pt>
                <c:pt idx="485">
                  <c:v>0.16010648895044</c:v>
                </c:pt>
                <c:pt idx="486">
                  <c:v>0.50962499645402937</c:v>
                </c:pt>
                <c:pt idx="487">
                  <c:v>0.71343359814027796</c:v>
                </c:pt>
                <c:pt idx="488">
                  <c:v>-0.24033675638038066</c:v>
                </c:pt>
                <c:pt idx="489">
                  <c:v>0.38666702072628789</c:v>
                </c:pt>
                <c:pt idx="490">
                  <c:v>-0.33717092938315041</c:v>
                </c:pt>
                <c:pt idx="491">
                  <c:v>0.59371096160338621</c:v>
                </c:pt>
                <c:pt idx="492">
                  <c:v>-0.73849165356191349</c:v>
                </c:pt>
                <c:pt idx="493">
                  <c:v>-0.58325324511702936</c:v>
                </c:pt>
                <c:pt idx="494">
                  <c:v>-9.7687800355038767E-2</c:v>
                </c:pt>
                <c:pt idx="495">
                  <c:v>0.84911342432143244</c:v>
                </c:pt>
                <c:pt idx="496">
                  <c:v>3.3081564471577618E-2</c:v>
                </c:pt>
                <c:pt idx="497">
                  <c:v>-0.36610815443379741</c:v>
                </c:pt>
                <c:pt idx="498">
                  <c:v>-0.99618228669047793</c:v>
                </c:pt>
                <c:pt idx="499">
                  <c:v>-0.60522425644184752</c:v>
                </c:pt>
              </c:numCache>
            </c:numRef>
          </c:xVal>
          <c:yVal>
            <c:numRef>
              <c:f>'Prob zone rouge'!$C$5:$C$504</c:f>
              <c:numCache>
                <c:formatCode>General</c:formatCode>
                <c:ptCount val="500"/>
                <c:pt idx="0">
                  <c:v>-0.37285528888144159</c:v>
                </c:pt>
                <c:pt idx="1">
                  <c:v>-0.90672690360907149</c:v>
                </c:pt>
                <c:pt idx="2">
                  <c:v>0.66272336367548323</c:v>
                </c:pt>
                <c:pt idx="3">
                  <c:v>0.15403684950946261</c:v>
                </c:pt>
                <c:pt idx="4">
                  <c:v>0.44924293222446954</c:v>
                </c:pt>
                <c:pt idx="5">
                  <c:v>-0.74365115020988237</c:v>
                </c:pt>
                <c:pt idx="6">
                  <c:v>0.69839744684280869</c:v>
                </c:pt>
                <c:pt idx="7">
                  <c:v>8.5271867003751112E-2</c:v>
                </c:pt>
                <c:pt idx="8">
                  <c:v>-0.64992696167198627</c:v>
                </c:pt>
                <c:pt idx="9">
                  <c:v>0.39114529116746644</c:v>
                </c:pt>
                <c:pt idx="10">
                  <c:v>9.347978722496908E-2</c:v>
                </c:pt>
                <c:pt idx="11">
                  <c:v>-0.19855570580337001</c:v>
                </c:pt>
                <c:pt idx="12">
                  <c:v>-0.78678866053038776</c:v>
                </c:pt>
                <c:pt idx="13">
                  <c:v>-0.52500988824423289</c:v>
                </c:pt>
                <c:pt idx="14">
                  <c:v>-0.22377018381812741</c:v>
                </c:pt>
                <c:pt idx="15">
                  <c:v>-0.74703793214383318</c:v>
                </c:pt>
                <c:pt idx="16">
                  <c:v>0.32107299952414237</c:v>
                </c:pt>
                <c:pt idx="17">
                  <c:v>-0.46918678193415331</c:v>
                </c:pt>
                <c:pt idx="18">
                  <c:v>0.5220530807235142</c:v>
                </c:pt>
                <c:pt idx="19">
                  <c:v>-0.82735009252181468</c:v>
                </c:pt>
                <c:pt idx="20">
                  <c:v>-9.10833282546335E-2</c:v>
                </c:pt>
                <c:pt idx="21">
                  <c:v>-0.79977540490648136</c:v>
                </c:pt>
                <c:pt idx="22">
                  <c:v>0.62631342866914363</c:v>
                </c:pt>
                <c:pt idx="23">
                  <c:v>-0.91679788370538295</c:v>
                </c:pt>
                <c:pt idx="24">
                  <c:v>0.44065837696568111</c:v>
                </c:pt>
                <c:pt idx="25">
                  <c:v>0.23808504167396372</c:v>
                </c:pt>
                <c:pt idx="26">
                  <c:v>0.14006047149288037</c:v>
                </c:pt>
                <c:pt idx="27">
                  <c:v>-0.51109556622333607</c:v>
                </c:pt>
                <c:pt idx="28">
                  <c:v>0.10539167105959435</c:v>
                </c:pt>
                <c:pt idx="29">
                  <c:v>-0.34533364115407394</c:v>
                </c:pt>
                <c:pt idx="30">
                  <c:v>0.81052474368699934</c:v>
                </c:pt>
                <c:pt idx="31">
                  <c:v>-0.29350235032106853</c:v>
                </c:pt>
                <c:pt idx="32">
                  <c:v>0.7837161348423296</c:v>
                </c:pt>
                <c:pt idx="33">
                  <c:v>-6.8977899122335762E-2</c:v>
                </c:pt>
                <c:pt idx="34">
                  <c:v>-0.63436108153085202</c:v>
                </c:pt>
                <c:pt idx="35">
                  <c:v>-0.86442801719236129</c:v>
                </c:pt>
                <c:pt idx="36">
                  <c:v>-0.37876406856659783</c:v>
                </c:pt>
                <c:pt idx="37">
                  <c:v>0.22790886657574849</c:v>
                </c:pt>
                <c:pt idx="38">
                  <c:v>-0.53283217741543676</c:v>
                </c:pt>
                <c:pt idx="39">
                  <c:v>-0.1185714503225066</c:v>
                </c:pt>
                <c:pt idx="40">
                  <c:v>-0.81083096694950507</c:v>
                </c:pt>
                <c:pt idx="41">
                  <c:v>0.23664402622281377</c:v>
                </c:pt>
                <c:pt idx="42">
                  <c:v>-0.57558733722436495</c:v>
                </c:pt>
                <c:pt idx="43">
                  <c:v>-6.7070504010329213E-3</c:v>
                </c:pt>
                <c:pt idx="44">
                  <c:v>-0.33076163699874495</c:v>
                </c:pt>
                <c:pt idx="45">
                  <c:v>0.25738296073227951</c:v>
                </c:pt>
                <c:pt idx="46">
                  <c:v>2.6714180911111329E-2</c:v>
                </c:pt>
                <c:pt idx="47">
                  <c:v>-0.28930715081685876</c:v>
                </c:pt>
                <c:pt idx="48">
                  <c:v>0.2192740515919247</c:v>
                </c:pt>
                <c:pt idx="49">
                  <c:v>-0.60189708113326401</c:v>
                </c:pt>
                <c:pt idx="50">
                  <c:v>-0.12566332645679723</c:v>
                </c:pt>
                <c:pt idx="51">
                  <c:v>0.26212620222754923</c:v>
                </c:pt>
                <c:pt idx="52">
                  <c:v>-0.43957659008024574</c:v>
                </c:pt>
                <c:pt idx="53">
                  <c:v>0.27353999600846723</c:v>
                </c:pt>
                <c:pt idx="54">
                  <c:v>-0.94250012943606598</c:v>
                </c:pt>
                <c:pt idx="55">
                  <c:v>-0.64995739489358595</c:v>
                </c:pt>
                <c:pt idx="56">
                  <c:v>-0.10137619273004339</c:v>
                </c:pt>
                <c:pt idx="57">
                  <c:v>8.1591187672948262E-2</c:v>
                </c:pt>
                <c:pt idx="58">
                  <c:v>0.51566370748270307</c:v>
                </c:pt>
                <c:pt idx="59">
                  <c:v>0.16334461254837795</c:v>
                </c:pt>
                <c:pt idx="60">
                  <c:v>0.33896637783420114</c:v>
                </c:pt>
                <c:pt idx="61">
                  <c:v>0.53667737808903748</c:v>
                </c:pt>
                <c:pt idx="62">
                  <c:v>-0.85014756468213126</c:v>
                </c:pt>
                <c:pt idx="63">
                  <c:v>-7.2862027962266929E-2</c:v>
                </c:pt>
                <c:pt idx="64">
                  <c:v>-0.68411213472065024</c:v>
                </c:pt>
                <c:pt idx="65">
                  <c:v>-0.29457744017272147</c:v>
                </c:pt>
                <c:pt idx="66">
                  <c:v>-0.13967267165478514</c:v>
                </c:pt>
                <c:pt idx="67">
                  <c:v>0.46464080644809824</c:v>
                </c:pt>
                <c:pt idx="68">
                  <c:v>0.20505319835163216</c:v>
                </c:pt>
                <c:pt idx="69">
                  <c:v>0.51713691414518093</c:v>
                </c:pt>
                <c:pt idx="70">
                  <c:v>-0.84178129088663223</c:v>
                </c:pt>
                <c:pt idx="71">
                  <c:v>0.2800695454373423</c:v>
                </c:pt>
                <c:pt idx="72">
                  <c:v>-0.80526140223738119</c:v>
                </c:pt>
                <c:pt idx="73">
                  <c:v>-0.96261184971912539</c:v>
                </c:pt>
                <c:pt idx="74">
                  <c:v>-0.36725804979917398</c:v>
                </c:pt>
                <c:pt idx="75">
                  <c:v>0.84758060417199932</c:v>
                </c:pt>
                <c:pt idx="76">
                  <c:v>-7.1580650652300681E-2</c:v>
                </c:pt>
                <c:pt idx="77">
                  <c:v>3.1061334398022833E-2</c:v>
                </c:pt>
                <c:pt idx="78">
                  <c:v>0.44353818230914932</c:v>
                </c:pt>
                <c:pt idx="79">
                  <c:v>-0.46599522792308945</c:v>
                </c:pt>
                <c:pt idx="80">
                  <c:v>0.14443144606973735</c:v>
                </c:pt>
                <c:pt idx="81">
                  <c:v>-9.3223287011965361E-2</c:v>
                </c:pt>
                <c:pt idx="82">
                  <c:v>0.13639108060658001</c:v>
                </c:pt>
                <c:pt idx="83">
                  <c:v>-0.8578159184307057</c:v>
                </c:pt>
                <c:pt idx="84">
                  <c:v>-0.86743539619510668</c:v>
                </c:pt>
                <c:pt idx="85">
                  <c:v>0.55062058143423176</c:v>
                </c:pt>
                <c:pt idx="86">
                  <c:v>-0.72695497710238866</c:v>
                </c:pt>
                <c:pt idx="87">
                  <c:v>-0.84768559044460501</c:v>
                </c:pt>
                <c:pt idx="88">
                  <c:v>-0.66077811302092959</c:v>
                </c:pt>
                <c:pt idx="89">
                  <c:v>6.5002500479690584E-2</c:v>
                </c:pt>
                <c:pt idx="90">
                  <c:v>-0.15750496708175099</c:v>
                </c:pt>
                <c:pt idx="91">
                  <c:v>0.93338532947966057</c:v>
                </c:pt>
                <c:pt idx="92">
                  <c:v>-6.4253654605271882E-2</c:v>
                </c:pt>
                <c:pt idx="93">
                  <c:v>2.2390061219303981E-3</c:v>
                </c:pt>
                <c:pt idx="94">
                  <c:v>0.10803869397304822</c:v>
                </c:pt>
                <c:pt idx="95">
                  <c:v>0.38549167344371682</c:v>
                </c:pt>
                <c:pt idx="96">
                  <c:v>-5.7842383323584157E-2</c:v>
                </c:pt>
                <c:pt idx="97">
                  <c:v>-0.68426991987216956</c:v>
                </c:pt>
                <c:pt idx="98">
                  <c:v>-0.70206275897042336</c:v>
                </c:pt>
                <c:pt idx="99">
                  <c:v>-0.27888475169209559</c:v>
                </c:pt>
                <c:pt idx="100">
                  <c:v>-0.44971895110153226</c:v>
                </c:pt>
                <c:pt idx="101">
                  <c:v>0.26332863244717331</c:v>
                </c:pt>
                <c:pt idx="102">
                  <c:v>0.15871833301394478</c:v>
                </c:pt>
                <c:pt idx="103">
                  <c:v>-0.31079953811947303</c:v>
                </c:pt>
                <c:pt idx="104">
                  <c:v>-0.37657365095554329</c:v>
                </c:pt>
                <c:pt idx="105">
                  <c:v>-0.41642636789932785</c:v>
                </c:pt>
                <c:pt idx="106">
                  <c:v>0.95382363584982022</c:v>
                </c:pt>
                <c:pt idx="107">
                  <c:v>-0.11509772312467481</c:v>
                </c:pt>
                <c:pt idx="108">
                  <c:v>0.35881627578090125</c:v>
                </c:pt>
                <c:pt idx="109">
                  <c:v>0.61074712055843206</c:v>
                </c:pt>
                <c:pt idx="110">
                  <c:v>-0.53590978411301893</c:v>
                </c:pt>
                <c:pt idx="111">
                  <c:v>0.96214814176377916</c:v>
                </c:pt>
                <c:pt idx="112">
                  <c:v>0.14014360437136886</c:v>
                </c:pt>
                <c:pt idx="113">
                  <c:v>-2.0396140674767027E-2</c:v>
                </c:pt>
                <c:pt idx="114">
                  <c:v>0.35195253830667039</c:v>
                </c:pt>
                <c:pt idx="115">
                  <c:v>0.48439403336276365</c:v>
                </c:pt>
                <c:pt idx="116">
                  <c:v>0.13532450957471354</c:v>
                </c:pt>
                <c:pt idx="117">
                  <c:v>0.62895993311040455</c:v>
                </c:pt>
                <c:pt idx="118">
                  <c:v>-0.71338701187026765</c:v>
                </c:pt>
                <c:pt idx="119">
                  <c:v>-0.48205373744300695</c:v>
                </c:pt>
                <c:pt idx="120">
                  <c:v>-0.47712238716857747</c:v>
                </c:pt>
                <c:pt idx="121">
                  <c:v>0.63113922769514796</c:v>
                </c:pt>
                <c:pt idx="122">
                  <c:v>-8.1558599339525584E-2</c:v>
                </c:pt>
                <c:pt idx="123">
                  <c:v>-0.64792373731803665</c:v>
                </c:pt>
                <c:pt idx="124">
                  <c:v>0.43419560405516666</c:v>
                </c:pt>
                <c:pt idx="125">
                  <c:v>-0.31788842307128862</c:v>
                </c:pt>
                <c:pt idx="126">
                  <c:v>0.53591321549446058</c:v>
                </c:pt>
                <c:pt idx="127">
                  <c:v>0.46176770451940663</c:v>
                </c:pt>
                <c:pt idx="128">
                  <c:v>0.42854536707809321</c:v>
                </c:pt>
                <c:pt idx="129">
                  <c:v>-0.72390907460144072</c:v>
                </c:pt>
                <c:pt idx="130">
                  <c:v>-5.860279277971614E-4</c:v>
                </c:pt>
                <c:pt idx="131">
                  <c:v>0.91659890744862005</c:v>
                </c:pt>
                <c:pt idx="132">
                  <c:v>0.58800141290422192</c:v>
                </c:pt>
                <c:pt idx="133">
                  <c:v>0.21286155414763641</c:v>
                </c:pt>
                <c:pt idx="134">
                  <c:v>-0.11145805625478977</c:v>
                </c:pt>
                <c:pt idx="135">
                  <c:v>-0.42894092289138497</c:v>
                </c:pt>
                <c:pt idx="136">
                  <c:v>-0.54509462043387491</c:v>
                </c:pt>
                <c:pt idx="137">
                  <c:v>-3.3476868100283941E-3</c:v>
                </c:pt>
                <c:pt idx="138">
                  <c:v>-0.81708573708532217</c:v>
                </c:pt>
                <c:pt idx="139">
                  <c:v>-0.61191423672753742</c:v>
                </c:pt>
                <c:pt idx="140">
                  <c:v>-0.17550780715745584</c:v>
                </c:pt>
                <c:pt idx="141">
                  <c:v>0.56363441207718457</c:v>
                </c:pt>
                <c:pt idx="142">
                  <c:v>0.4963124989304244</c:v>
                </c:pt>
                <c:pt idx="143">
                  <c:v>0.61305902410404123</c:v>
                </c:pt>
                <c:pt idx="144">
                  <c:v>-0.66082676176526056</c:v>
                </c:pt>
                <c:pt idx="145">
                  <c:v>0.19302185276550299</c:v>
                </c:pt>
                <c:pt idx="146">
                  <c:v>7.3949849191701222E-2</c:v>
                </c:pt>
                <c:pt idx="147">
                  <c:v>0.26438442563156683</c:v>
                </c:pt>
                <c:pt idx="148">
                  <c:v>0.35696571315822045</c:v>
                </c:pt>
                <c:pt idx="149">
                  <c:v>-0.52428791329457747</c:v>
                </c:pt>
                <c:pt idx="150">
                  <c:v>-0.93599320034367728</c:v>
                </c:pt>
                <c:pt idx="151">
                  <c:v>-0.24138576078721785</c:v>
                </c:pt>
                <c:pt idx="152">
                  <c:v>-0.53624282595685102</c:v>
                </c:pt>
                <c:pt idx="153">
                  <c:v>0.3193714693606089</c:v>
                </c:pt>
                <c:pt idx="154">
                  <c:v>0.71045804389276701</c:v>
                </c:pt>
                <c:pt idx="155">
                  <c:v>-0.66744167378325248</c:v>
                </c:pt>
                <c:pt idx="156">
                  <c:v>-0.44473915282220822</c:v>
                </c:pt>
                <c:pt idx="157">
                  <c:v>-0.73711727095095791</c:v>
                </c:pt>
                <c:pt idx="158">
                  <c:v>0.46087793173755509</c:v>
                </c:pt>
                <c:pt idx="159">
                  <c:v>-0.48576126600838632</c:v>
                </c:pt>
                <c:pt idx="160">
                  <c:v>0.68274334596230846</c:v>
                </c:pt>
                <c:pt idx="161">
                  <c:v>0.43430688685743557</c:v>
                </c:pt>
                <c:pt idx="162">
                  <c:v>-0.35891055457044385</c:v>
                </c:pt>
                <c:pt idx="163">
                  <c:v>0.11760768837624758</c:v>
                </c:pt>
                <c:pt idx="164">
                  <c:v>0.49165831188293141</c:v>
                </c:pt>
                <c:pt idx="165">
                  <c:v>0.3605965227164627</c:v>
                </c:pt>
                <c:pt idx="166">
                  <c:v>-0.24130094803455426</c:v>
                </c:pt>
                <c:pt idx="167">
                  <c:v>0.51211636369972968</c:v>
                </c:pt>
                <c:pt idx="168">
                  <c:v>7.9891493061188257E-2</c:v>
                </c:pt>
                <c:pt idx="169">
                  <c:v>-0.62222526531973865</c:v>
                </c:pt>
                <c:pt idx="170">
                  <c:v>-0.14562568621489125</c:v>
                </c:pt>
                <c:pt idx="171">
                  <c:v>0.2723244052000644</c:v>
                </c:pt>
                <c:pt idx="172">
                  <c:v>9.1293071616705523E-2</c:v>
                </c:pt>
                <c:pt idx="173">
                  <c:v>0.57306522078211386</c:v>
                </c:pt>
                <c:pt idx="174">
                  <c:v>-0.40242353499477845</c:v>
                </c:pt>
                <c:pt idx="175">
                  <c:v>-0.42523680909943984</c:v>
                </c:pt>
                <c:pt idx="176">
                  <c:v>-9.6307702168258347E-2</c:v>
                </c:pt>
                <c:pt idx="177">
                  <c:v>0.20586576233137932</c:v>
                </c:pt>
                <c:pt idx="178">
                  <c:v>0.43847586366519531</c:v>
                </c:pt>
                <c:pt idx="179">
                  <c:v>0.2376448578251662</c:v>
                </c:pt>
                <c:pt idx="180">
                  <c:v>0.21768942016107817</c:v>
                </c:pt>
                <c:pt idx="181">
                  <c:v>0.54887985911201453</c:v>
                </c:pt>
                <c:pt idx="182">
                  <c:v>-7.985649457295585E-2</c:v>
                </c:pt>
                <c:pt idx="183">
                  <c:v>-0.59609243872232187</c:v>
                </c:pt>
                <c:pt idx="184">
                  <c:v>0.6274770627666042</c:v>
                </c:pt>
                <c:pt idx="185">
                  <c:v>-0.68209833609792825</c:v>
                </c:pt>
                <c:pt idx="186">
                  <c:v>0.64904561580845654</c:v>
                </c:pt>
                <c:pt idx="187">
                  <c:v>-0.41530916960869901</c:v>
                </c:pt>
                <c:pt idx="188">
                  <c:v>-0.3324104165457944</c:v>
                </c:pt>
                <c:pt idx="189">
                  <c:v>-0.42258418390803776</c:v>
                </c:pt>
                <c:pt idx="190">
                  <c:v>-8.0770829757597529E-2</c:v>
                </c:pt>
                <c:pt idx="191">
                  <c:v>-0.51669635132751068</c:v>
                </c:pt>
                <c:pt idx="192">
                  <c:v>-0.64386641029169422</c:v>
                </c:pt>
                <c:pt idx="193">
                  <c:v>-0.57701340015323987</c:v>
                </c:pt>
                <c:pt idx="194">
                  <c:v>-0.1670418240126228</c:v>
                </c:pt>
                <c:pt idx="195">
                  <c:v>-0.17852447446200559</c:v>
                </c:pt>
                <c:pt idx="196">
                  <c:v>5.7410333824505999E-2</c:v>
                </c:pt>
                <c:pt idx="197">
                  <c:v>6.3846844392987601E-2</c:v>
                </c:pt>
                <c:pt idx="198">
                  <c:v>-4.8826024926988953E-2</c:v>
                </c:pt>
                <c:pt idx="199">
                  <c:v>0.58216213238281878</c:v>
                </c:pt>
                <c:pt idx="200">
                  <c:v>0.33430750305897372</c:v>
                </c:pt>
                <c:pt idx="201">
                  <c:v>0.48634408338724899</c:v>
                </c:pt>
                <c:pt idx="202">
                  <c:v>-7.7651441494367868E-2</c:v>
                </c:pt>
                <c:pt idx="203">
                  <c:v>0.29116013149838338</c:v>
                </c:pt>
                <c:pt idx="204">
                  <c:v>-1.8462709751358553E-2</c:v>
                </c:pt>
                <c:pt idx="205">
                  <c:v>0.78345281138433576</c:v>
                </c:pt>
                <c:pt idx="206">
                  <c:v>0.38397655651283502</c:v>
                </c:pt>
                <c:pt idx="207">
                  <c:v>-0.39755333844022966</c:v>
                </c:pt>
                <c:pt idx="208">
                  <c:v>0.29944881251964262</c:v>
                </c:pt>
                <c:pt idx="209">
                  <c:v>-0.18712420434621535</c:v>
                </c:pt>
                <c:pt idx="210">
                  <c:v>0.44302828748336465</c:v>
                </c:pt>
                <c:pt idx="211">
                  <c:v>-0.72247771654027271</c:v>
                </c:pt>
                <c:pt idx="212">
                  <c:v>0.18325842092696742</c:v>
                </c:pt>
                <c:pt idx="213">
                  <c:v>0.68638216141977049</c:v>
                </c:pt>
                <c:pt idx="214">
                  <c:v>-0.75487596515981048</c:v>
                </c:pt>
                <c:pt idx="215">
                  <c:v>-0.33790722354201175</c:v>
                </c:pt>
                <c:pt idx="216">
                  <c:v>0.76425913531358436</c:v>
                </c:pt>
                <c:pt idx="217">
                  <c:v>0.50346837696808877</c:v>
                </c:pt>
                <c:pt idx="218">
                  <c:v>-0.39556619193734566</c:v>
                </c:pt>
                <c:pt idx="219">
                  <c:v>0.83058792081629629</c:v>
                </c:pt>
                <c:pt idx="220">
                  <c:v>4.5024910339950042E-2</c:v>
                </c:pt>
                <c:pt idx="221">
                  <c:v>-0.66111568343686034</c:v>
                </c:pt>
                <c:pt idx="222">
                  <c:v>0.48533785643546978</c:v>
                </c:pt>
                <c:pt idx="223">
                  <c:v>-0.52648715104139909</c:v>
                </c:pt>
                <c:pt idx="224">
                  <c:v>0.17790973473614002</c:v>
                </c:pt>
                <c:pt idx="225">
                  <c:v>-0.38458086158973415</c:v>
                </c:pt>
                <c:pt idx="226">
                  <c:v>-0.27487186456189727</c:v>
                </c:pt>
                <c:pt idx="227">
                  <c:v>-0.43138863917387416</c:v>
                </c:pt>
                <c:pt idx="228">
                  <c:v>0.14603111565432214</c:v>
                </c:pt>
                <c:pt idx="229">
                  <c:v>-0.68805911857468005</c:v>
                </c:pt>
                <c:pt idx="230">
                  <c:v>-0.37827903285089892</c:v>
                </c:pt>
                <c:pt idx="231">
                  <c:v>-0.71236775006385233</c:v>
                </c:pt>
                <c:pt idx="232">
                  <c:v>-0.2457187956279403</c:v>
                </c:pt>
                <c:pt idx="233">
                  <c:v>-0.41300355702679958</c:v>
                </c:pt>
                <c:pt idx="234">
                  <c:v>-0.82975559310936298</c:v>
                </c:pt>
                <c:pt idx="235">
                  <c:v>-0.46524403790958813</c:v>
                </c:pt>
                <c:pt idx="236">
                  <c:v>0.29160618244841663</c:v>
                </c:pt>
                <c:pt idx="237">
                  <c:v>0.31690565349567312</c:v>
                </c:pt>
                <c:pt idx="238">
                  <c:v>0.58221209111843497</c:v>
                </c:pt>
                <c:pt idx="239">
                  <c:v>-0.35296035162692463</c:v>
                </c:pt>
                <c:pt idx="240">
                  <c:v>-0.33570148090837915</c:v>
                </c:pt>
                <c:pt idx="241">
                  <c:v>0.27378473020086425</c:v>
                </c:pt>
                <c:pt idx="242">
                  <c:v>0.58629651666330718</c:v>
                </c:pt>
                <c:pt idx="243">
                  <c:v>-0.3444587939065511</c:v>
                </c:pt>
                <c:pt idx="244">
                  <c:v>0.53542849193638076</c:v>
                </c:pt>
                <c:pt idx="245">
                  <c:v>-0.94887301630672383</c:v>
                </c:pt>
                <c:pt idx="246">
                  <c:v>0.68182119679808606</c:v>
                </c:pt>
                <c:pt idx="247">
                  <c:v>-0.43091355063759584</c:v>
                </c:pt>
                <c:pt idx="248">
                  <c:v>-0.44183033605688871</c:v>
                </c:pt>
                <c:pt idx="249">
                  <c:v>-0.30889189501518488</c:v>
                </c:pt>
                <c:pt idx="250">
                  <c:v>-7.032537086178503E-2</c:v>
                </c:pt>
                <c:pt idx="251">
                  <c:v>-0.36138505453567027</c:v>
                </c:pt>
                <c:pt idx="252">
                  <c:v>0.65168079104548049</c:v>
                </c:pt>
                <c:pt idx="253">
                  <c:v>0.38645615628379559</c:v>
                </c:pt>
                <c:pt idx="254">
                  <c:v>-0.70380752596547147</c:v>
                </c:pt>
                <c:pt idx="255">
                  <c:v>4.2720720944879886E-3</c:v>
                </c:pt>
                <c:pt idx="256">
                  <c:v>-0.32876404161086348</c:v>
                </c:pt>
                <c:pt idx="257">
                  <c:v>0.72317710191591411</c:v>
                </c:pt>
                <c:pt idx="258">
                  <c:v>4.5999685507583266E-2</c:v>
                </c:pt>
                <c:pt idx="259">
                  <c:v>-0.16502223983008557</c:v>
                </c:pt>
                <c:pt idx="260">
                  <c:v>-0.56397443138096137</c:v>
                </c:pt>
                <c:pt idx="261">
                  <c:v>-0.62205185129727125</c:v>
                </c:pt>
                <c:pt idx="262">
                  <c:v>0.52128431891560689</c:v>
                </c:pt>
                <c:pt idx="263">
                  <c:v>-0.8343942617575244</c:v>
                </c:pt>
                <c:pt idx="264">
                  <c:v>-0.3983998298040119</c:v>
                </c:pt>
                <c:pt idx="265">
                  <c:v>-0.15933123648124203</c:v>
                </c:pt>
                <c:pt idx="266">
                  <c:v>0.18377987157847997</c:v>
                </c:pt>
                <c:pt idx="267">
                  <c:v>0.66167072420751816</c:v>
                </c:pt>
                <c:pt idx="268">
                  <c:v>4.8980587178116375E-2</c:v>
                </c:pt>
                <c:pt idx="269">
                  <c:v>0.3625854138817326</c:v>
                </c:pt>
                <c:pt idx="270">
                  <c:v>0.38970998270074353</c:v>
                </c:pt>
                <c:pt idx="271">
                  <c:v>-0.41489898002795189</c:v>
                </c:pt>
                <c:pt idx="272">
                  <c:v>-0.4119795457034896</c:v>
                </c:pt>
                <c:pt idx="273">
                  <c:v>-0.12526044178057139</c:v>
                </c:pt>
                <c:pt idx="274">
                  <c:v>0.14219445019421584</c:v>
                </c:pt>
                <c:pt idx="275">
                  <c:v>0.41791250812058678</c:v>
                </c:pt>
                <c:pt idx="276">
                  <c:v>-0.53395609403316024</c:v>
                </c:pt>
                <c:pt idx="277">
                  <c:v>-0.746998171218483</c:v>
                </c:pt>
                <c:pt idx="278">
                  <c:v>0.8139121962569813</c:v>
                </c:pt>
                <c:pt idx="279">
                  <c:v>0.25566608091085907</c:v>
                </c:pt>
                <c:pt idx="280">
                  <c:v>0.25524658294350866</c:v>
                </c:pt>
                <c:pt idx="281">
                  <c:v>0.37114286182852041</c:v>
                </c:pt>
                <c:pt idx="282">
                  <c:v>0.4555022094147021</c:v>
                </c:pt>
                <c:pt idx="283">
                  <c:v>0.69389478316046849</c:v>
                </c:pt>
                <c:pt idx="284">
                  <c:v>0.22907572489809525</c:v>
                </c:pt>
                <c:pt idx="285">
                  <c:v>-2.3084560732880455E-2</c:v>
                </c:pt>
                <c:pt idx="286">
                  <c:v>-0.43650513262619017</c:v>
                </c:pt>
                <c:pt idx="287">
                  <c:v>-0.48512118427864448</c:v>
                </c:pt>
                <c:pt idx="288">
                  <c:v>0.33864166528600048</c:v>
                </c:pt>
                <c:pt idx="289">
                  <c:v>6.8199557851573056E-2</c:v>
                </c:pt>
                <c:pt idx="290">
                  <c:v>0.65131401638123898</c:v>
                </c:pt>
                <c:pt idx="291">
                  <c:v>-0.39809937091214143</c:v>
                </c:pt>
                <c:pt idx="292">
                  <c:v>0.69473690239176977</c:v>
                </c:pt>
                <c:pt idx="293">
                  <c:v>-0.5262277183700339</c:v>
                </c:pt>
                <c:pt idx="294">
                  <c:v>0.684540779512399</c:v>
                </c:pt>
                <c:pt idx="295">
                  <c:v>0.41478606655705841</c:v>
                </c:pt>
                <c:pt idx="296">
                  <c:v>0.89515530248883479</c:v>
                </c:pt>
                <c:pt idx="297">
                  <c:v>9.3595920812291178E-2</c:v>
                </c:pt>
                <c:pt idx="298">
                  <c:v>-0.13716650457370427</c:v>
                </c:pt>
                <c:pt idx="299">
                  <c:v>-0.3824017525762291</c:v>
                </c:pt>
                <c:pt idx="300">
                  <c:v>4.3708908731121321E-2</c:v>
                </c:pt>
                <c:pt idx="301">
                  <c:v>-0.56864549470738668</c:v>
                </c:pt>
                <c:pt idx="302">
                  <c:v>-8.9535293148014228E-2</c:v>
                </c:pt>
                <c:pt idx="303">
                  <c:v>0.12701817532237736</c:v>
                </c:pt>
                <c:pt idx="304">
                  <c:v>-0.454697360773618</c:v>
                </c:pt>
                <c:pt idx="305">
                  <c:v>-0.24883900901938238</c:v>
                </c:pt>
                <c:pt idx="306">
                  <c:v>-0.19268176786955782</c:v>
                </c:pt>
                <c:pt idx="307">
                  <c:v>0.70203569963013779</c:v>
                </c:pt>
                <c:pt idx="308">
                  <c:v>0.41364096997175559</c:v>
                </c:pt>
                <c:pt idx="309">
                  <c:v>0.45108492551705304</c:v>
                </c:pt>
                <c:pt idx="310">
                  <c:v>0.19219055595043866</c:v>
                </c:pt>
                <c:pt idx="311">
                  <c:v>0.33724704198423372</c:v>
                </c:pt>
                <c:pt idx="312">
                  <c:v>-0.42210400360713218</c:v>
                </c:pt>
                <c:pt idx="313">
                  <c:v>-8.8648259810276686E-2</c:v>
                </c:pt>
                <c:pt idx="314">
                  <c:v>2.8356836987351031E-3</c:v>
                </c:pt>
                <c:pt idx="315">
                  <c:v>-0.16265079848506003</c:v>
                </c:pt>
                <c:pt idx="316">
                  <c:v>0.57637376096972814</c:v>
                </c:pt>
                <c:pt idx="317">
                  <c:v>0.43783517608082057</c:v>
                </c:pt>
                <c:pt idx="318">
                  <c:v>0.27225295620614554</c:v>
                </c:pt>
                <c:pt idx="319">
                  <c:v>-0.45727449432209721</c:v>
                </c:pt>
                <c:pt idx="320">
                  <c:v>-0.77597088300400863</c:v>
                </c:pt>
                <c:pt idx="321">
                  <c:v>0.21699165261276998</c:v>
                </c:pt>
                <c:pt idx="322">
                  <c:v>-0.14796847557897297</c:v>
                </c:pt>
                <c:pt idx="323">
                  <c:v>0.17198504738870746</c:v>
                </c:pt>
                <c:pt idx="324">
                  <c:v>-0.73642974150836382</c:v>
                </c:pt>
                <c:pt idx="325">
                  <c:v>8.6887862393091098E-2</c:v>
                </c:pt>
                <c:pt idx="326">
                  <c:v>-0.63900549757467129</c:v>
                </c:pt>
                <c:pt idx="327">
                  <c:v>0.69062838231836587</c:v>
                </c:pt>
                <c:pt idx="328">
                  <c:v>0.58026750187858345</c:v>
                </c:pt>
                <c:pt idx="329">
                  <c:v>-8.1093314246259762E-2</c:v>
                </c:pt>
                <c:pt idx="330">
                  <c:v>-0.12442237043937321</c:v>
                </c:pt>
                <c:pt idx="331">
                  <c:v>-0.71537323476580905</c:v>
                </c:pt>
                <c:pt idx="332">
                  <c:v>1.0245196091803521E-2</c:v>
                </c:pt>
                <c:pt idx="333">
                  <c:v>-0.77265100942570952</c:v>
                </c:pt>
                <c:pt idx="334">
                  <c:v>2.697023418728195E-2</c:v>
                </c:pt>
                <c:pt idx="335">
                  <c:v>0.37216927988717896</c:v>
                </c:pt>
                <c:pt idx="336">
                  <c:v>-0.33113812760790973</c:v>
                </c:pt>
                <c:pt idx="337">
                  <c:v>-0.11028513480767876</c:v>
                </c:pt>
                <c:pt idx="338">
                  <c:v>0.19193630632597736</c:v>
                </c:pt>
                <c:pt idx="339">
                  <c:v>0.34654655697999326</c:v>
                </c:pt>
                <c:pt idx="340">
                  <c:v>0.39792826582909568</c:v>
                </c:pt>
                <c:pt idx="341">
                  <c:v>-0.4983712028180407</c:v>
                </c:pt>
                <c:pt idx="342">
                  <c:v>0.16871985262021605</c:v>
                </c:pt>
                <c:pt idx="343">
                  <c:v>-0.62297331177395909</c:v>
                </c:pt>
                <c:pt idx="344">
                  <c:v>-0.38078159904405995</c:v>
                </c:pt>
                <c:pt idx="345">
                  <c:v>-0.24548791420418414</c:v>
                </c:pt>
                <c:pt idx="346">
                  <c:v>0.20304079809219133</c:v>
                </c:pt>
                <c:pt idx="347">
                  <c:v>0.51753554600696017</c:v>
                </c:pt>
                <c:pt idx="348">
                  <c:v>0.54326982708455751</c:v>
                </c:pt>
                <c:pt idx="349">
                  <c:v>0.43908115668739356</c:v>
                </c:pt>
                <c:pt idx="350">
                  <c:v>0.56044559796465143</c:v>
                </c:pt>
                <c:pt idx="351">
                  <c:v>0.26869229147030493</c:v>
                </c:pt>
                <c:pt idx="352">
                  <c:v>-0.67518820582953354</c:v>
                </c:pt>
                <c:pt idx="353">
                  <c:v>0.72804839676611177</c:v>
                </c:pt>
                <c:pt idx="354">
                  <c:v>-0.73808181096726844</c:v>
                </c:pt>
                <c:pt idx="355">
                  <c:v>0.64703242281658602</c:v>
                </c:pt>
                <c:pt idx="356">
                  <c:v>0.22659137737601998</c:v>
                </c:pt>
                <c:pt idx="357">
                  <c:v>-2.5852341060794259E-2</c:v>
                </c:pt>
                <c:pt idx="358">
                  <c:v>0.6893791098635158</c:v>
                </c:pt>
                <c:pt idx="359">
                  <c:v>0.11098185614359224</c:v>
                </c:pt>
                <c:pt idx="360">
                  <c:v>-0.20891590143016381</c:v>
                </c:pt>
                <c:pt idx="361">
                  <c:v>-0.15749601696019244</c:v>
                </c:pt>
                <c:pt idx="362">
                  <c:v>-0.82411820010128412</c:v>
                </c:pt>
                <c:pt idx="363">
                  <c:v>-0.25370282630031049</c:v>
                </c:pt>
                <c:pt idx="364">
                  <c:v>9.136076894289058E-2</c:v>
                </c:pt>
                <c:pt idx="365">
                  <c:v>0.91242542013466421</c:v>
                </c:pt>
                <c:pt idx="366">
                  <c:v>-0.78571349141693547</c:v>
                </c:pt>
                <c:pt idx="367">
                  <c:v>2.0993544925932861E-2</c:v>
                </c:pt>
                <c:pt idx="368">
                  <c:v>3.1688525284157887E-2</c:v>
                </c:pt>
                <c:pt idx="369">
                  <c:v>0.81734098495233853</c:v>
                </c:pt>
                <c:pt idx="370">
                  <c:v>0.83437687872379129</c:v>
                </c:pt>
                <c:pt idx="371">
                  <c:v>-0.37625758078390392</c:v>
                </c:pt>
                <c:pt idx="372">
                  <c:v>-0.90771628194190113</c:v>
                </c:pt>
                <c:pt idx="373">
                  <c:v>-0.17892200918448764</c:v>
                </c:pt>
                <c:pt idx="374">
                  <c:v>0.40043427686506039</c:v>
                </c:pt>
                <c:pt idx="375">
                  <c:v>-0.78832091059496601</c:v>
                </c:pt>
                <c:pt idx="376">
                  <c:v>-0.51539156686621945</c:v>
                </c:pt>
                <c:pt idx="377">
                  <c:v>-0.96185285337842719</c:v>
                </c:pt>
                <c:pt idx="378">
                  <c:v>-0.4846377486968938</c:v>
                </c:pt>
                <c:pt idx="379">
                  <c:v>0.4750915130311566</c:v>
                </c:pt>
                <c:pt idx="380">
                  <c:v>-0.47637523616176236</c:v>
                </c:pt>
                <c:pt idx="381">
                  <c:v>0.82881802632782708</c:v>
                </c:pt>
                <c:pt idx="382">
                  <c:v>2.1180902125316869E-2</c:v>
                </c:pt>
                <c:pt idx="383">
                  <c:v>-0.61653086801405799</c:v>
                </c:pt>
                <c:pt idx="384">
                  <c:v>0.29290354143142738</c:v>
                </c:pt>
                <c:pt idx="385">
                  <c:v>0.43135604777725356</c:v>
                </c:pt>
                <c:pt idx="386">
                  <c:v>-4.3249814501438832E-2</c:v>
                </c:pt>
                <c:pt idx="387">
                  <c:v>-0.53778467924977535</c:v>
                </c:pt>
                <c:pt idx="388">
                  <c:v>6.4081224503843348E-2</c:v>
                </c:pt>
                <c:pt idx="389">
                  <c:v>0.53454344203954629</c:v>
                </c:pt>
                <c:pt idx="390">
                  <c:v>0.5003815483138061</c:v>
                </c:pt>
                <c:pt idx="391">
                  <c:v>-0.17812217888705351</c:v>
                </c:pt>
                <c:pt idx="392">
                  <c:v>-0.75851400900080623</c:v>
                </c:pt>
                <c:pt idx="393">
                  <c:v>-0.32770354441874705</c:v>
                </c:pt>
                <c:pt idx="394">
                  <c:v>0.82425706035969526</c:v>
                </c:pt>
                <c:pt idx="395">
                  <c:v>0.1071898220056775</c:v>
                </c:pt>
                <c:pt idx="396">
                  <c:v>-0.70463438732794459</c:v>
                </c:pt>
                <c:pt idx="397">
                  <c:v>-7.3884564878367476E-2</c:v>
                </c:pt>
                <c:pt idx="398">
                  <c:v>0.44260514723231226</c:v>
                </c:pt>
                <c:pt idx="399">
                  <c:v>0.77149506002897072</c:v>
                </c:pt>
                <c:pt idx="400">
                  <c:v>-0.38981083733652522</c:v>
                </c:pt>
                <c:pt idx="401">
                  <c:v>0.46740526191206744</c:v>
                </c:pt>
                <c:pt idx="402">
                  <c:v>-0.62890214282838786</c:v>
                </c:pt>
                <c:pt idx="403">
                  <c:v>0.84219565808710461</c:v>
                </c:pt>
                <c:pt idx="404">
                  <c:v>-0.72754199274151654</c:v>
                </c:pt>
                <c:pt idx="405">
                  <c:v>0.49111795325757068</c:v>
                </c:pt>
                <c:pt idx="406">
                  <c:v>0.2896286356205835</c:v>
                </c:pt>
                <c:pt idx="407">
                  <c:v>-0.52721784372314318</c:v>
                </c:pt>
                <c:pt idx="408">
                  <c:v>-0.75991338392458552</c:v>
                </c:pt>
                <c:pt idx="409">
                  <c:v>-0.12717146292066506</c:v>
                </c:pt>
                <c:pt idx="410">
                  <c:v>0.87860875050753973</c:v>
                </c:pt>
                <c:pt idx="411">
                  <c:v>-0.80142859644322018</c:v>
                </c:pt>
                <c:pt idx="412">
                  <c:v>0.67950177404560197</c:v>
                </c:pt>
                <c:pt idx="413">
                  <c:v>0.12441371022584491</c:v>
                </c:pt>
                <c:pt idx="414">
                  <c:v>0.53559566759071831</c:v>
                </c:pt>
                <c:pt idx="415">
                  <c:v>3.2098445439365131E-2</c:v>
                </c:pt>
                <c:pt idx="416">
                  <c:v>0.34953109328350518</c:v>
                </c:pt>
                <c:pt idx="417">
                  <c:v>-0.82913313902667118</c:v>
                </c:pt>
                <c:pt idx="418">
                  <c:v>-0.40501501937802442</c:v>
                </c:pt>
                <c:pt idx="419">
                  <c:v>0.61877984396479291</c:v>
                </c:pt>
                <c:pt idx="420">
                  <c:v>9.8226863738798187E-2</c:v>
                </c:pt>
                <c:pt idx="421">
                  <c:v>-0.47686996499006362</c:v>
                </c:pt>
                <c:pt idx="422">
                  <c:v>-0.4963724613343663</c:v>
                </c:pt>
                <c:pt idx="423">
                  <c:v>-0.17925558068133807</c:v>
                </c:pt>
                <c:pt idx="424">
                  <c:v>0.19786778366161295</c:v>
                </c:pt>
                <c:pt idx="425">
                  <c:v>0.14386791652919428</c:v>
                </c:pt>
                <c:pt idx="426">
                  <c:v>0.56421798548150415</c:v>
                </c:pt>
                <c:pt idx="427">
                  <c:v>0.60542703740972548</c:v>
                </c:pt>
                <c:pt idx="428">
                  <c:v>0.2444370864378147</c:v>
                </c:pt>
                <c:pt idx="429">
                  <c:v>-5.4172153453415195E-2</c:v>
                </c:pt>
                <c:pt idx="430">
                  <c:v>-0.665784633362277</c:v>
                </c:pt>
                <c:pt idx="431">
                  <c:v>0.58696902221301195</c:v>
                </c:pt>
                <c:pt idx="432">
                  <c:v>0.33441761474099096</c:v>
                </c:pt>
                <c:pt idx="433">
                  <c:v>-0.55094359083907496</c:v>
                </c:pt>
                <c:pt idx="434">
                  <c:v>-0.20811806861971283</c:v>
                </c:pt>
                <c:pt idx="435">
                  <c:v>-0.36121289705591098</c:v>
                </c:pt>
                <c:pt idx="436">
                  <c:v>0.25436362686732572</c:v>
                </c:pt>
                <c:pt idx="437">
                  <c:v>-0.10313634839007313</c:v>
                </c:pt>
                <c:pt idx="438">
                  <c:v>-0.79120913595734765</c:v>
                </c:pt>
                <c:pt idx="439">
                  <c:v>-0.10021141391328126</c:v>
                </c:pt>
                <c:pt idx="440">
                  <c:v>7.023963420417445E-3</c:v>
                </c:pt>
                <c:pt idx="441">
                  <c:v>-0.36496933577457513</c:v>
                </c:pt>
                <c:pt idx="442">
                  <c:v>-0.19955437233573048</c:v>
                </c:pt>
                <c:pt idx="443">
                  <c:v>0.22482772130959106</c:v>
                </c:pt>
                <c:pt idx="444">
                  <c:v>-0.41821286076113617</c:v>
                </c:pt>
                <c:pt idx="445">
                  <c:v>-9.0484544302712466E-2</c:v>
                </c:pt>
                <c:pt idx="446">
                  <c:v>0.54780552953560235</c:v>
                </c:pt>
                <c:pt idx="447">
                  <c:v>0.9195295989797625</c:v>
                </c:pt>
                <c:pt idx="448">
                  <c:v>0.33871757428968019</c:v>
                </c:pt>
                <c:pt idx="449">
                  <c:v>0.47980384398065268</c:v>
                </c:pt>
                <c:pt idx="450">
                  <c:v>-0.72151597220046781</c:v>
                </c:pt>
                <c:pt idx="451">
                  <c:v>0.1573316256426005</c:v>
                </c:pt>
                <c:pt idx="452">
                  <c:v>-0.93368087391198928</c:v>
                </c:pt>
                <c:pt idx="453">
                  <c:v>-0.68034799742835461</c:v>
                </c:pt>
                <c:pt idx="454">
                  <c:v>-0.27294153383172559</c:v>
                </c:pt>
                <c:pt idx="455">
                  <c:v>0.59459084803658691</c:v>
                </c:pt>
                <c:pt idx="456">
                  <c:v>0.78023502288600777</c:v>
                </c:pt>
                <c:pt idx="457">
                  <c:v>-0.58981652987064304</c:v>
                </c:pt>
                <c:pt idx="458">
                  <c:v>-0.92123772375563817</c:v>
                </c:pt>
                <c:pt idx="459">
                  <c:v>-0.47443318317556904</c:v>
                </c:pt>
                <c:pt idx="460">
                  <c:v>0.49498780578844648</c:v>
                </c:pt>
                <c:pt idx="461">
                  <c:v>-0.48913948189655754</c:v>
                </c:pt>
                <c:pt idx="462">
                  <c:v>0.63153968051037235</c:v>
                </c:pt>
                <c:pt idx="463">
                  <c:v>0.34111692119549741</c:v>
                </c:pt>
                <c:pt idx="464">
                  <c:v>-0.15376119006828737</c:v>
                </c:pt>
                <c:pt idx="465">
                  <c:v>-0.85935306489531449</c:v>
                </c:pt>
                <c:pt idx="466">
                  <c:v>-0.31758440179667202</c:v>
                </c:pt>
                <c:pt idx="467">
                  <c:v>-0.22675905002490704</c:v>
                </c:pt>
                <c:pt idx="468">
                  <c:v>0.48499983857014817</c:v>
                </c:pt>
                <c:pt idx="469">
                  <c:v>0.12389709345166522</c:v>
                </c:pt>
                <c:pt idx="470">
                  <c:v>0.16173205727069639</c:v>
                </c:pt>
                <c:pt idx="471">
                  <c:v>0.67108892073545534</c:v>
                </c:pt>
                <c:pt idx="472">
                  <c:v>0.41587943977152531</c:v>
                </c:pt>
                <c:pt idx="473">
                  <c:v>-0.72799010269879005</c:v>
                </c:pt>
                <c:pt idx="474">
                  <c:v>0.42151968208569368</c:v>
                </c:pt>
                <c:pt idx="475">
                  <c:v>-0.15370928454944432</c:v>
                </c:pt>
                <c:pt idx="476">
                  <c:v>-0.16675981681693908</c:v>
                </c:pt>
                <c:pt idx="477">
                  <c:v>0.59854572604558665</c:v>
                </c:pt>
                <c:pt idx="478">
                  <c:v>0.34431026302557788</c:v>
                </c:pt>
                <c:pt idx="479">
                  <c:v>0.77422721949396967</c:v>
                </c:pt>
                <c:pt idx="480">
                  <c:v>-0.22668300171670674</c:v>
                </c:pt>
                <c:pt idx="481">
                  <c:v>0.52298347951011559</c:v>
                </c:pt>
                <c:pt idx="482">
                  <c:v>0.14871650772663747</c:v>
                </c:pt>
                <c:pt idx="483">
                  <c:v>-0.9251601601782784</c:v>
                </c:pt>
                <c:pt idx="484">
                  <c:v>-3.8670598375567078E-2</c:v>
                </c:pt>
                <c:pt idx="485">
                  <c:v>0.18953845051550222</c:v>
                </c:pt>
                <c:pt idx="486">
                  <c:v>0.59964540867154437</c:v>
                </c:pt>
                <c:pt idx="487">
                  <c:v>-0.33590650395888355</c:v>
                </c:pt>
                <c:pt idx="488">
                  <c:v>0.60328206188906508</c:v>
                </c:pt>
                <c:pt idx="489">
                  <c:v>0.25224552164500014</c:v>
                </c:pt>
                <c:pt idx="490">
                  <c:v>-0.43534499132226556</c:v>
                </c:pt>
                <c:pt idx="491">
                  <c:v>6.3688799856957523E-2</c:v>
                </c:pt>
                <c:pt idx="492">
                  <c:v>0.27622407349225253</c:v>
                </c:pt>
                <c:pt idx="493">
                  <c:v>-8.1096273396693119E-2</c:v>
                </c:pt>
                <c:pt idx="494">
                  <c:v>-0.27406334581275971</c:v>
                </c:pt>
                <c:pt idx="495">
                  <c:v>-0.16247820044692984</c:v>
                </c:pt>
                <c:pt idx="496">
                  <c:v>-0.12489343492531035</c:v>
                </c:pt>
                <c:pt idx="497">
                  <c:v>-0.63711615883431838</c:v>
                </c:pt>
                <c:pt idx="498">
                  <c:v>7.6112243017218972E-2</c:v>
                </c:pt>
                <c:pt idx="499">
                  <c:v>0.21031972070129323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31-3045-BFDA-37FFD8D59FC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'Prob zone rouge'!$H$5:$H$504</c:f>
              <c:numCache>
                <c:formatCode>General</c:formatCode>
                <c:ptCount val="5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0.22665299296155994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0.30564663528708635</c:v>
                </c:pt>
                <c:pt idx="25">
                  <c:v>#N/A</c:v>
                </c:pt>
                <c:pt idx="26">
                  <c:v>0.42723313695359355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-0.19487068794361151</c:v>
                </c:pt>
                <c:pt idx="31">
                  <c:v>#N/A</c:v>
                </c:pt>
                <c:pt idx="32">
                  <c:v>0.19400143165006489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0.22446732479624987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0.24031175624030587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0.5092318797513844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0.29692039330225306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4.3792111408921919E-2</c:v>
                </c:pt>
                <c:pt idx="59">
                  <c:v>0.52136755491571218</c:v>
                </c:pt>
                <c:pt idx="60">
                  <c:v>#N/A</c:v>
                </c:pt>
                <c:pt idx="61">
                  <c:v>1.839114496254024E-2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0.38230268846465232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0.45018443824592547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0.59644414309945049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0.51099737822066316</c:v>
                </c:pt>
                <c:pt idx="90">
                  <c:v>0.94064018452878129</c:v>
                </c:pt>
                <c:pt idx="91">
                  <c:v>4.2666835760793553E-2</c:v>
                </c:pt>
                <c:pt idx="92">
                  <c:v>0.44848007091324904</c:v>
                </c:pt>
                <c:pt idx="93">
                  <c:v>0.66688866705534289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-2.9460280802771077E-2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0.23158214651098663</c:v>
                </c:pt>
                <c:pt idx="112">
                  <c:v>0.20140536968586953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0.68557328551252761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-8.7006954449523333E-2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8.7525275417372761E-2</c:v>
                </c:pt>
                <c:pt idx="133">
                  <c:v>0.3089066254530568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0.55209653348238996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0.20058823610511478</c:v>
                </c:pt>
                <c:pt idx="154">
                  <c:v>-0.11531642407258302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-6.4078934832423773E-2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0.42003553048942677</c:v>
                </c:pt>
                <c:pt idx="172">
                  <c:v>0.98496953513788044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0.66908215415021322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0.2269452753129837</c:v>
                </c:pt>
                <c:pt idx="181">
                  <c:v>#N/A</c:v>
                </c:pt>
                <c:pt idx="182">
                  <c:v>0.43814229922697079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0.73754812459142549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6.5898731125562326E-2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-5.5018146923834443E-2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0.31707585496136681</c:v>
                </c:pt>
                <c:pt idx="211">
                  <c:v>#N/A</c:v>
                </c:pt>
                <c:pt idx="212">
                  <c:v>0.8412414460892863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0.15450549908861344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8.5455109731671586E-2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-3.0890721495921536E-2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0.30467521754913696</c:v>
                </c:pt>
                <c:pt idx="254">
                  <c:v>#N/A</c:v>
                </c:pt>
                <c:pt idx="255">
                  <c:v>0.71378882963168211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0.24321921590570472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-7.407604905552434E-2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0.7659452081642022</c:v>
                </c:pt>
                <c:pt idx="285">
                  <c:v>0.63309871099713955</c:v>
                </c:pt>
                <c:pt idx="286">
                  <c:v>#N/A</c:v>
                </c:pt>
                <c:pt idx="287">
                  <c:v>#N/A</c:v>
                </c:pt>
                <c:pt idx="288">
                  <c:v>5.3448918625491837E-2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3.2036717609439602E-2</c:v>
                </c:pt>
                <c:pt idx="297">
                  <c:v>0.73963391567596992</c:v>
                </c:pt>
                <c:pt idx="298">
                  <c:v>0.63699812500816422</c:v>
                </c:pt>
                <c:pt idx="299">
                  <c:v>#N/A</c:v>
                </c:pt>
                <c:pt idx="300">
                  <c:v>0.34781872134281611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0.83148386949848629</c:v>
                </c:pt>
                <c:pt idx="307">
                  <c:v>#N/A</c:v>
                </c:pt>
                <c:pt idx="308">
                  <c:v>0.3364567220577348</c:v>
                </c:pt>
                <c:pt idx="309">
                  <c:v>#N/A</c:v>
                </c:pt>
                <c:pt idx="310">
                  <c:v>#N/A</c:v>
                </c:pt>
                <c:pt idx="311">
                  <c:v>0.36893372133154889</c:v>
                </c:pt>
                <c:pt idx="312">
                  <c:v>#N/A</c:v>
                </c:pt>
                <c:pt idx="313">
                  <c:v>0.88361365341332543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0.91867495067925065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0.9392521658489188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0.64869406134641072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0.3088270027687614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0.91148066629162905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0.24810174914909422</c:v>
                </c:pt>
                <c:pt idx="357">
                  <c:v>0.87182188474192235</c:v>
                </c:pt>
                <c:pt idx="358">
                  <c:v>#N/A</c:v>
                </c:pt>
                <c:pt idx="359">
                  <c:v>0.49535266629989483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0.82673128815039165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0.9858375146661349</c:v>
                </c:pt>
                <c:pt idx="369">
                  <c:v>#N/A</c:v>
                </c:pt>
                <c:pt idx="370">
                  <c:v>4.2350772089258859E-2</c:v>
                </c:pt>
                <c:pt idx="371">
                  <c:v>#N/A</c:v>
                </c:pt>
                <c:pt idx="372">
                  <c:v>#N/A</c:v>
                </c:pt>
                <c:pt idx="373">
                  <c:v>0.94159990340786703</c:v>
                </c:pt>
                <c:pt idx="374">
                  <c:v>-4.8809663218516874E-2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-0.15271401290556574</c:v>
                </c:pt>
                <c:pt idx="382">
                  <c:v>0.81080016514563069</c:v>
                </c:pt>
                <c:pt idx="383">
                  <c:v>#N/A</c:v>
                </c:pt>
                <c:pt idx="384">
                  <c:v>#N/A</c:v>
                </c:pt>
                <c:pt idx="385">
                  <c:v>0.28706149236815737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-5.2274594048515866E-3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-0.1403741625154018</c:v>
                </c:pt>
                <c:pt idx="395">
                  <c:v>#N/A</c:v>
                </c:pt>
                <c:pt idx="396">
                  <c:v>#N/A</c:v>
                </c:pt>
                <c:pt idx="397">
                  <c:v>0.73939637813398806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0.15832608626636757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0.30960038353995478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-4.5363174774619708E-2</c:v>
                </c:pt>
                <c:pt idx="420">
                  <c:v>0.59759654016288133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0.23868783475945032</c:v>
                </c:pt>
                <c:pt idx="425">
                  <c:v>0.67910589610894201</c:v>
                </c:pt>
                <c:pt idx="426">
                  <c:v>-8.4925421104645293E-2</c:v>
                </c:pt>
                <c:pt idx="427">
                  <c:v>#N/A</c:v>
                </c:pt>
                <c:pt idx="428">
                  <c:v>#N/A</c:v>
                </c:pt>
                <c:pt idx="429">
                  <c:v>0.77981786729094571</c:v>
                </c:pt>
                <c:pt idx="430">
                  <c:v>#N/A</c:v>
                </c:pt>
                <c:pt idx="431">
                  <c:v>0.19482217725032225</c:v>
                </c:pt>
                <c:pt idx="432">
                  <c:v>#N/A</c:v>
                </c:pt>
                <c:pt idx="433">
                  <c:v>#N/A</c:v>
                </c:pt>
                <c:pt idx="434">
                  <c:v>0.8452476430626561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-3.2482150373637886E-2</c:v>
                </c:pt>
                <c:pt idx="448">
                  <c:v>#N/A</c:v>
                </c:pt>
                <c:pt idx="449">
                  <c:v>0.1114750039776593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0.95892968018223335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0.74582667584800455</c:v>
                </c:pt>
                <c:pt idx="470">
                  <c:v>#N/A</c:v>
                </c:pt>
                <c:pt idx="471">
                  <c:v>#N/A</c:v>
                </c:pt>
                <c:pt idx="472">
                  <c:v>0.11112333654494888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0.71749593656407429</c:v>
                </c:pt>
                <c:pt idx="477">
                  <c:v>#N/A</c:v>
                </c:pt>
                <c:pt idx="478">
                  <c:v>#N/A</c:v>
                </c:pt>
                <c:pt idx="479">
                  <c:v>-0.17755033673695575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0.16010648895044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0.38666702072628789</c:v>
                </c:pt>
                <c:pt idx="490">
                  <c:v>#N/A</c:v>
                </c:pt>
                <c:pt idx="491">
                  <c:v>0.59371096160338621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0.84911342432143244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'Prob zone rouge'!$I$5:$I$504</c:f>
              <c:numCache>
                <c:formatCode>General</c:formatCode>
                <c:ptCount val="5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0.44924293222446954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0.44065837696568111</c:v>
                </c:pt>
                <c:pt idx="25">
                  <c:v>#N/A</c:v>
                </c:pt>
                <c:pt idx="26">
                  <c:v>0.14006047149288037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0.81052474368699934</c:v>
                </c:pt>
                <c:pt idx="31">
                  <c:v>#N/A</c:v>
                </c:pt>
                <c:pt idx="32">
                  <c:v>0.7837161348423296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0.22790886657574849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0.23664402622281377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0.25738296073227951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0.27353999600846723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0.51566370748270307</c:v>
                </c:pt>
                <c:pt idx="59">
                  <c:v>0.16334461254837795</c:v>
                </c:pt>
                <c:pt idx="60">
                  <c:v>#N/A</c:v>
                </c:pt>
                <c:pt idx="61">
                  <c:v>0.53667737808903748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0.20505319835163216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-7.1580650652300681E-2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-9.3223287011965361E-2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6.5002500479690584E-2</c:v>
                </c:pt>
                <c:pt idx="90">
                  <c:v>-0.15750496708175099</c:v>
                </c:pt>
                <c:pt idx="91">
                  <c:v>0.93338532947966057</c:v>
                </c:pt>
                <c:pt idx="92">
                  <c:v>-6.4253654605271882E-2</c:v>
                </c:pt>
                <c:pt idx="93">
                  <c:v>2.2390061219303981E-3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0.95382363584982022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0.96214814176377916</c:v>
                </c:pt>
                <c:pt idx="112">
                  <c:v>0.14014360437136886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0.13532450957471354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0.43419560405516666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0.58800141290422192</c:v>
                </c:pt>
                <c:pt idx="133">
                  <c:v>0.21286155414763641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7.3949849191701222E-2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0.3193714693606089</c:v>
                </c:pt>
                <c:pt idx="154">
                  <c:v>0.71045804389276701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0.43430688685743557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0.2723244052000644</c:v>
                </c:pt>
                <c:pt idx="172">
                  <c:v>9.1293071616705523E-2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-9.6307702168258347E-2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0.21768942016107817</c:v>
                </c:pt>
                <c:pt idx="181">
                  <c:v>#N/A</c:v>
                </c:pt>
                <c:pt idx="182">
                  <c:v>-7.985649457295585E-2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5.7410333824505999E-2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0.48634408338724899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0.78345281138433576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0.44302828748336465</c:v>
                </c:pt>
                <c:pt idx="211">
                  <c:v>#N/A</c:v>
                </c:pt>
                <c:pt idx="212">
                  <c:v>0.18325842092696742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0.83058792081629629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0.17790973473614002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0.58221209111843497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0.38645615628379559</c:v>
                </c:pt>
                <c:pt idx="254">
                  <c:v>#N/A</c:v>
                </c:pt>
                <c:pt idx="255">
                  <c:v>4.2720720944879886E-3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0.18377987157847997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0.41791250812058678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0.22907572489809525</c:v>
                </c:pt>
                <c:pt idx="285">
                  <c:v>-2.3084560732880455E-2</c:v>
                </c:pt>
                <c:pt idx="286">
                  <c:v>#N/A</c:v>
                </c:pt>
                <c:pt idx="287">
                  <c:v>#N/A</c:v>
                </c:pt>
                <c:pt idx="288">
                  <c:v>0.33864166528600048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0.89515530248883479</c:v>
                </c:pt>
                <c:pt idx="297">
                  <c:v>9.3595920812291178E-2</c:v>
                </c:pt>
                <c:pt idx="298">
                  <c:v>-0.13716650457370427</c:v>
                </c:pt>
                <c:pt idx="299">
                  <c:v>#N/A</c:v>
                </c:pt>
                <c:pt idx="300">
                  <c:v>4.3708908731121321E-2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-0.19268176786955782</c:v>
                </c:pt>
                <c:pt idx="307">
                  <c:v>#N/A</c:v>
                </c:pt>
                <c:pt idx="308">
                  <c:v>0.41364096997175559</c:v>
                </c:pt>
                <c:pt idx="309">
                  <c:v>#N/A</c:v>
                </c:pt>
                <c:pt idx="310">
                  <c:v>#N/A</c:v>
                </c:pt>
                <c:pt idx="311">
                  <c:v>0.33724704198423372</c:v>
                </c:pt>
                <c:pt idx="312">
                  <c:v>#N/A</c:v>
                </c:pt>
                <c:pt idx="313">
                  <c:v>-8.8648259810276686E-2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8.6887862393091098E-2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-8.1093314246259762E-2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2.697023418728195E-2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0.39792826582909568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0.20304079809219133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0.22659137737601998</c:v>
                </c:pt>
                <c:pt idx="357">
                  <c:v>-2.5852341060794259E-2</c:v>
                </c:pt>
                <c:pt idx="358">
                  <c:v>#N/A</c:v>
                </c:pt>
                <c:pt idx="359">
                  <c:v>0.11098185614359224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9.136076894289058E-2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3.1688525284157887E-2</c:v>
                </c:pt>
                <c:pt idx="369">
                  <c:v>#N/A</c:v>
                </c:pt>
                <c:pt idx="370">
                  <c:v>0.83437687872379129</c:v>
                </c:pt>
                <c:pt idx="371">
                  <c:v>#N/A</c:v>
                </c:pt>
                <c:pt idx="372">
                  <c:v>#N/A</c:v>
                </c:pt>
                <c:pt idx="373">
                  <c:v>-0.17892200918448764</c:v>
                </c:pt>
                <c:pt idx="374">
                  <c:v>0.40043427686506039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0.82881802632782708</c:v>
                </c:pt>
                <c:pt idx="382">
                  <c:v>2.1180902125316869E-2</c:v>
                </c:pt>
                <c:pt idx="383">
                  <c:v>#N/A</c:v>
                </c:pt>
                <c:pt idx="384">
                  <c:v>#N/A</c:v>
                </c:pt>
                <c:pt idx="385">
                  <c:v>0.43135604777725356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0.53454344203954629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0.82425706035969526</c:v>
                </c:pt>
                <c:pt idx="395">
                  <c:v>#N/A</c:v>
                </c:pt>
                <c:pt idx="396">
                  <c:v>#N/A</c:v>
                </c:pt>
                <c:pt idx="397">
                  <c:v>-7.3884564878367476E-2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0.49111795325757068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3.2098445439365131E-2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0.61877984396479291</c:v>
                </c:pt>
                <c:pt idx="420">
                  <c:v>9.8226863738798187E-2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0.19786778366161295</c:v>
                </c:pt>
                <c:pt idx="425">
                  <c:v>0.14386791652919428</c:v>
                </c:pt>
                <c:pt idx="426">
                  <c:v>0.56421798548150415</c:v>
                </c:pt>
                <c:pt idx="427">
                  <c:v>#N/A</c:v>
                </c:pt>
                <c:pt idx="428">
                  <c:v>#N/A</c:v>
                </c:pt>
                <c:pt idx="429">
                  <c:v>-5.4172153453415195E-2</c:v>
                </c:pt>
                <c:pt idx="430">
                  <c:v>#N/A</c:v>
                </c:pt>
                <c:pt idx="431">
                  <c:v>0.58696902221301195</c:v>
                </c:pt>
                <c:pt idx="432">
                  <c:v>#N/A</c:v>
                </c:pt>
                <c:pt idx="433">
                  <c:v>#N/A</c:v>
                </c:pt>
                <c:pt idx="434">
                  <c:v>-0.20811806861971283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0.9195295989797625</c:v>
                </c:pt>
                <c:pt idx="448">
                  <c:v>#N/A</c:v>
                </c:pt>
                <c:pt idx="449">
                  <c:v>0.47980384398065268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-0.15376119006828737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0.12389709345166522</c:v>
                </c:pt>
                <c:pt idx="470">
                  <c:v>#N/A</c:v>
                </c:pt>
                <c:pt idx="471">
                  <c:v>#N/A</c:v>
                </c:pt>
                <c:pt idx="472">
                  <c:v>0.41587943977152531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-0.16675981681693908</c:v>
                </c:pt>
                <c:pt idx="477">
                  <c:v>#N/A</c:v>
                </c:pt>
                <c:pt idx="478">
                  <c:v>#N/A</c:v>
                </c:pt>
                <c:pt idx="479">
                  <c:v>0.77422721949396967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0.18953845051550222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0.25224552164500014</c:v>
                </c:pt>
                <c:pt idx="490">
                  <c:v>#N/A</c:v>
                </c:pt>
                <c:pt idx="491">
                  <c:v>6.3688799856957523E-2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-0.16247820044692984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31-3045-BFDA-37FFD8D59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724552"/>
        <c:axId val="659724944"/>
      </c:scatterChart>
      <c:valAx>
        <c:axId val="65972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24944"/>
        <c:crosses val="autoZero"/>
        <c:crossBetween val="midCat"/>
      </c:valAx>
      <c:valAx>
        <c:axId val="65972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24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'non-uniforme cercle (attention)'!$D$6:$D$205</c:f>
              <c:numCache>
                <c:formatCode>General</c:formatCode>
                <c:ptCount val="200"/>
                <c:pt idx="0">
                  <c:v>4.6071018228331713E-2</c:v>
                </c:pt>
                <c:pt idx="1">
                  <c:v>0.34085375468982987</c:v>
                </c:pt>
                <c:pt idx="2">
                  <c:v>-0.32627342334176751</c:v>
                </c:pt>
                <c:pt idx="3">
                  <c:v>0.46247355676426732</c:v>
                </c:pt>
                <c:pt idx="4">
                  <c:v>-0.19808878196192245</c:v>
                </c:pt>
                <c:pt idx="5">
                  <c:v>0.64513088168689781</c:v>
                </c:pt>
                <c:pt idx="6">
                  <c:v>1.3585548843291896E-2</c:v>
                </c:pt>
                <c:pt idx="7">
                  <c:v>0.16930151404703639</c:v>
                </c:pt>
                <c:pt idx="8">
                  <c:v>-6.7185973262520779E-2</c:v>
                </c:pt>
                <c:pt idx="9">
                  <c:v>0.12087923380721632</c:v>
                </c:pt>
                <c:pt idx="10">
                  <c:v>0.42273489038491241</c:v>
                </c:pt>
                <c:pt idx="11">
                  <c:v>0.11613893006661681</c:v>
                </c:pt>
                <c:pt idx="12">
                  <c:v>3.4652851993549089E-2</c:v>
                </c:pt>
                <c:pt idx="13">
                  <c:v>0.10175157543167272</c:v>
                </c:pt>
                <c:pt idx="14">
                  <c:v>0.22656159473907919</c:v>
                </c:pt>
                <c:pt idx="15">
                  <c:v>0.50346731841812764</c:v>
                </c:pt>
                <c:pt idx="16">
                  <c:v>2.6245908269297187E-2</c:v>
                </c:pt>
                <c:pt idx="17">
                  <c:v>-0.54079239331801443</c:v>
                </c:pt>
                <c:pt idx="18">
                  <c:v>0.16268136217896645</c:v>
                </c:pt>
                <c:pt idx="19">
                  <c:v>0.32559752141155052</c:v>
                </c:pt>
                <c:pt idx="20">
                  <c:v>-0.38854755385104556</c:v>
                </c:pt>
                <c:pt idx="21">
                  <c:v>-0.12820899850804993</c:v>
                </c:pt>
                <c:pt idx="22">
                  <c:v>-0.12400212063444564</c:v>
                </c:pt>
                <c:pt idx="23">
                  <c:v>0.1092714193999844</c:v>
                </c:pt>
                <c:pt idx="24">
                  <c:v>0.24105599987359078</c:v>
                </c:pt>
                <c:pt idx="25">
                  <c:v>-3.8857473069483471E-2</c:v>
                </c:pt>
                <c:pt idx="26">
                  <c:v>0.31892146530709048</c:v>
                </c:pt>
                <c:pt idx="27">
                  <c:v>0.61566040017005708</c:v>
                </c:pt>
                <c:pt idx="28">
                  <c:v>0.45273467997835992</c:v>
                </c:pt>
                <c:pt idx="29">
                  <c:v>-0.42134510579435447</c:v>
                </c:pt>
                <c:pt idx="30">
                  <c:v>5.6304992947927013E-3</c:v>
                </c:pt>
                <c:pt idx="31">
                  <c:v>0.26434129861488753</c:v>
                </c:pt>
                <c:pt idx="32">
                  <c:v>-0.33772491156012335</c:v>
                </c:pt>
                <c:pt idx="33">
                  <c:v>0.20424985575167487</c:v>
                </c:pt>
                <c:pt idx="34">
                  <c:v>0.64855885376507882</c:v>
                </c:pt>
                <c:pt idx="35">
                  <c:v>-0.47059627910002055</c:v>
                </c:pt>
                <c:pt idx="36">
                  <c:v>-3.1155176177845495E-2</c:v>
                </c:pt>
                <c:pt idx="37">
                  <c:v>5.6830741878443891E-2</c:v>
                </c:pt>
                <c:pt idx="38">
                  <c:v>0.71355780034128824</c:v>
                </c:pt>
                <c:pt idx="39">
                  <c:v>0.88642550609613546</c:v>
                </c:pt>
                <c:pt idx="40">
                  <c:v>0.47610090767087465</c:v>
                </c:pt>
                <c:pt idx="41">
                  <c:v>0.50210804481448967</c:v>
                </c:pt>
                <c:pt idx="42">
                  <c:v>-0.66207735919032207</c:v>
                </c:pt>
                <c:pt idx="43">
                  <c:v>-0.72068135679440948</c:v>
                </c:pt>
                <c:pt idx="44">
                  <c:v>0.39702591325914366</c:v>
                </c:pt>
                <c:pt idx="45">
                  <c:v>0.86236303621448585</c:v>
                </c:pt>
                <c:pt idx="46">
                  <c:v>-4.3639461642319723E-2</c:v>
                </c:pt>
                <c:pt idx="47">
                  <c:v>0.57984285426519011</c:v>
                </c:pt>
                <c:pt idx="48">
                  <c:v>-1.2480576579038855E-2</c:v>
                </c:pt>
                <c:pt idx="49">
                  <c:v>-0.94972912922881947</c:v>
                </c:pt>
                <c:pt idx="50">
                  <c:v>-0.1243032878661425</c:v>
                </c:pt>
                <c:pt idx="51">
                  <c:v>-0.55872610313399884</c:v>
                </c:pt>
                <c:pt idx="52">
                  <c:v>-0.56517631404568291</c:v>
                </c:pt>
                <c:pt idx="53">
                  <c:v>-9.00866168778338E-2</c:v>
                </c:pt>
                <c:pt idx="54">
                  <c:v>-0.11834863091561697</c:v>
                </c:pt>
                <c:pt idx="55">
                  <c:v>0.75006973394998389</c:v>
                </c:pt>
                <c:pt idx="56">
                  <c:v>0.73220730352606711</c:v>
                </c:pt>
                <c:pt idx="57">
                  <c:v>0.84406298294811666</c:v>
                </c:pt>
                <c:pt idx="58">
                  <c:v>0.21480430332327333</c:v>
                </c:pt>
                <c:pt idx="59">
                  <c:v>0.47488560769813837</c:v>
                </c:pt>
                <c:pt idx="60">
                  <c:v>0.26154951492416845</c:v>
                </c:pt>
                <c:pt idx="61">
                  <c:v>-9.457145327386951E-2</c:v>
                </c:pt>
                <c:pt idx="62">
                  <c:v>0.78350502330972038</c:v>
                </c:pt>
                <c:pt idx="63">
                  <c:v>-0.58578637745995776</c:v>
                </c:pt>
                <c:pt idx="64">
                  <c:v>-6.9189557626361656E-2</c:v>
                </c:pt>
                <c:pt idx="65">
                  <c:v>-9.1994970634908274E-2</c:v>
                </c:pt>
                <c:pt idx="66">
                  <c:v>-0.48739269210327701</c:v>
                </c:pt>
                <c:pt idx="67">
                  <c:v>-0.13309987707828896</c:v>
                </c:pt>
                <c:pt idx="68">
                  <c:v>0.47689060658435556</c:v>
                </c:pt>
                <c:pt idx="69">
                  <c:v>-0.24434767840900215</c:v>
                </c:pt>
                <c:pt idx="70">
                  <c:v>-0.41262514042556714</c:v>
                </c:pt>
                <c:pt idx="71">
                  <c:v>5.6536905113739261E-3</c:v>
                </c:pt>
                <c:pt idx="72">
                  <c:v>2.3155006974959636E-2</c:v>
                </c:pt>
                <c:pt idx="73">
                  <c:v>-0.21124201164881853</c:v>
                </c:pt>
                <c:pt idx="74">
                  <c:v>-4.7329667701998597E-2</c:v>
                </c:pt>
                <c:pt idx="75">
                  <c:v>-0.21573010995951616</c:v>
                </c:pt>
                <c:pt idx="76">
                  <c:v>0.10658509776010587</c:v>
                </c:pt>
                <c:pt idx="77">
                  <c:v>0.8418922078261144</c:v>
                </c:pt>
                <c:pt idx="78">
                  <c:v>0.64884245608571112</c:v>
                </c:pt>
                <c:pt idx="79">
                  <c:v>0.56986927700781342</c:v>
                </c:pt>
                <c:pt idx="80">
                  <c:v>-1.4706690391640262E-2</c:v>
                </c:pt>
                <c:pt idx="81">
                  <c:v>-0.12641498748121444</c:v>
                </c:pt>
                <c:pt idx="82">
                  <c:v>-0.52225201152879197</c:v>
                </c:pt>
                <c:pt idx="83">
                  <c:v>0.36917358085765228</c:v>
                </c:pt>
                <c:pt idx="84">
                  <c:v>-5.7083805955837501E-2</c:v>
                </c:pt>
                <c:pt idx="85">
                  <c:v>6.6985884197950887E-2</c:v>
                </c:pt>
                <c:pt idx="86">
                  <c:v>-0.68298375389087895</c:v>
                </c:pt>
                <c:pt idx="87">
                  <c:v>6.5192810079745978E-2</c:v>
                </c:pt>
                <c:pt idx="88">
                  <c:v>-0.13410193010540844</c:v>
                </c:pt>
                <c:pt idx="89">
                  <c:v>8.5367207707791409E-2</c:v>
                </c:pt>
                <c:pt idx="90">
                  <c:v>0.7733977537011304</c:v>
                </c:pt>
                <c:pt idx="91">
                  <c:v>0.12459726487163629</c:v>
                </c:pt>
                <c:pt idx="92">
                  <c:v>0.39673021298113065</c:v>
                </c:pt>
                <c:pt idx="93">
                  <c:v>-0.54579930657653986</c:v>
                </c:pt>
                <c:pt idx="94">
                  <c:v>-1.4445816855407873E-2</c:v>
                </c:pt>
                <c:pt idx="95">
                  <c:v>0.23371994163946708</c:v>
                </c:pt>
                <c:pt idx="96">
                  <c:v>0.20880451048389467</c:v>
                </c:pt>
                <c:pt idx="97">
                  <c:v>-0.21322753052226878</c:v>
                </c:pt>
                <c:pt idx="98">
                  <c:v>-6.1510973701885567E-2</c:v>
                </c:pt>
                <c:pt idx="99">
                  <c:v>-2.1688181130075878E-2</c:v>
                </c:pt>
                <c:pt idx="100">
                  <c:v>3.7907187064459572E-2</c:v>
                </c:pt>
                <c:pt idx="101">
                  <c:v>0.29870951287969377</c:v>
                </c:pt>
                <c:pt idx="102">
                  <c:v>-0.58097083313995312</c:v>
                </c:pt>
                <c:pt idx="103">
                  <c:v>0.67533650269594514</c:v>
                </c:pt>
                <c:pt idx="104">
                  <c:v>0.70795355239755764</c:v>
                </c:pt>
                <c:pt idx="105">
                  <c:v>-0.10880479037216653</c:v>
                </c:pt>
                <c:pt idx="106">
                  <c:v>1.1616365093227681E-2</c:v>
                </c:pt>
                <c:pt idx="107">
                  <c:v>0.15018401777561263</c:v>
                </c:pt>
                <c:pt idx="108">
                  <c:v>0.46001347281043731</c:v>
                </c:pt>
                <c:pt idx="109">
                  <c:v>0.78158241753845226</c:v>
                </c:pt>
                <c:pt idx="110">
                  <c:v>-0.56477200608211808</c:v>
                </c:pt>
                <c:pt idx="111">
                  <c:v>0.72718907072209904</c:v>
                </c:pt>
                <c:pt idx="112">
                  <c:v>0.23863664815436386</c:v>
                </c:pt>
                <c:pt idx="113">
                  <c:v>9.3670608040347138E-3</c:v>
                </c:pt>
                <c:pt idx="114">
                  <c:v>0.94601750685795549</c:v>
                </c:pt>
                <c:pt idx="115">
                  <c:v>2.8735544599631419E-2</c:v>
                </c:pt>
                <c:pt idx="116">
                  <c:v>-0.2673175335820322</c:v>
                </c:pt>
                <c:pt idx="117">
                  <c:v>0.62789932557513428</c:v>
                </c:pt>
                <c:pt idx="118">
                  <c:v>-8.2752973153925047E-3</c:v>
                </c:pt>
                <c:pt idx="119">
                  <c:v>0.68490801923652489</c:v>
                </c:pt>
                <c:pt idx="120">
                  <c:v>0.62948751403842684</c:v>
                </c:pt>
                <c:pt idx="121">
                  <c:v>-0.19825085288751776</c:v>
                </c:pt>
                <c:pt idx="122">
                  <c:v>-0.41537593936310929</c:v>
                </c:pt>
                <c:pt idx="123">
                  <c:v>0.27005740486562219</c:v>
                </c:pt>
                <c:pt idx="124">
                  <c:v>5.6023510635683033E-2</c:v>
                </c:pt>
                <c:pt idx="125">
                  <c:v>-0.56155846819767885</c:v>
                </c:pt>
                <c:pt idx="126">
                  <c:v>-0.25750558089869785</c:v>
                </c:pt>
                <c:pt idx="127">
                  <c:v>-2.3612018940567255E-2</c:v>
                </c:pt>
                <c:pt idx="128">
                  <c:v>2.4944125314030251E-2</c:v>
                </c:pt>
                <c:pt idx="129">
                  <c:v>-0.83693731822430606</c:v>
                </c:pt>
                <c:pt idx="130">
                  <c:v>0.30996053595017964</c:v>
                </c:pt>
                <c:pt idx="131">
                  <c:v>-0.50979158358607157</c:v>
                </c:pt>
                <c:pt idx="132">
                  <c:v>-0.27629954523770478</c:v>
                </c:pt>
                <c:pt idx="133">
                  <c:v>-1.9760458915115478E-2</c:v>
                </c:pt>
                <c:pt idx="134">
                  <c:v>0.44078678458019116</c:v>
                </c:pt>
                <c:pt idx="135">
                  <c:v>0.13391199971867127</c:v>
                </c:pt>
                <c:pt idx="136">
                  <c:v>-0.71731568639064691</c:v>
                </c:pt>
                <c:pt idx="137">
                  <c:v>0.31624848781904569</c:v>
                </c:pt>
                <c:pt idx="138">
                  <c:v>5.1096751609928992E-2</c:v>
                </c:pt>
                <c:pt idx="139">
                  <c:v>-0.96492761308171449</c:v>
                </c:pt>
                <c:pt idx="140">
                  <c:v>0.12916753868787179</c:v>
                </c:pt>
                <c:pt idx="141">
                  <c:v>-5.3544936395357824E-2</c:v>
                </c:pt>
                <c:pt idx="142">
                  <c:v>-0.90241213491551753</c:v>
                </c:pt>
                <c:pt idx="143">
                  <c:v>1.8471043108048559E-2</c:v>
                </c:pt>
                <c:pt idx="144">
                  <c:v>0.87332113520904375</c:v>
                </c:pt>
                <c:pt idx="145">
                  <c:v>-1.143337832952899E-2</c:v>
                </c:pt>
                <c:pt idx="146">
                  <c:v>-0.36748772213966896</c:v>
                </c:pt>
                <c:pt idx="147">
                  <c:v>-0.14223826919902216</c:v>
                </c:pt>
                <c:pt idx="148">
                  <c:v>2.8277612122366157E-3</c:v>
                </c:pt>
                <c:pt idx="149">
                  <c:v>0.12073449778998768</c:v>
                </c:pt>
                <c:pt idx="150">
                  <c:v>-0.17269575969005074</c:v>
                </c:pt>
                <c:pt idx="151">
                  <c:v>0.2125610144132373</c:v>
                </c:pt>
                <c:pt idx="152">
                  <c:v>0.60982147161177014</c:v>
                </c:pt>
                <c:pt idx="153">
                  <c:v>0.19620866649521004</c:v>
                </c:pt>
                <c:pt idx="154">
                  <c:v>9.7856489099557714E-2</c:v>
                </c:pt>
                <c:pt idx="155">
                  <c:v>0.35293885325704399</c:v>
                </c:pt>
                <c:pt idx="156">
                  <c:v>0.37846498937912909</c:v>
                </c:pt>
                <c:pt idx="157">
                  <c:v>-0.89226419701853033</c:v>
                </c:pt>
                <c:pt idx="158">
                  <c:v>8.9557256915993047E-2</c:v>
                </c:pt>
                <c:pt idx="159">
                  <c:v>-8.1005727196523172E-2</c:v>
                </c:pt>
                <c:pt idx="160">
                  <c:v>-0.3008790546356741</c:v>
                </c:pt>
                <c:pt idx="161">
                  <c:v>-0.16794536252027725</c:v>
                </c:pt>
                <c:pt idx="162">
                  <c:v>0.30555017139700247</c:v>
                </c:pt>
                <c:pt idx="163">
                  <c:v>0.4281157100504604</c:v>
                </c:pt>
                <c:pt idx="164">
                  <c:v>-0.95429359046146944</c:v>
                </c:pt>
                <c:pt idx="165">
                  <c:v>0.33450625776206927</c:v>
                </c:pt>
                <c:pt idx="166">
                  <c:v>0.230690824050616</c:v>
                </c:pt>
                <c:pt idx="167">
                  <c:v>-0.31771724032195936</c:v>
                </c:pt>
                <c:pt idx="168">
                  <c:v>2.8949559737862094E-2</c:v>
                </c:pt>
                <c:pt idx="169">
                  <c:v>-1.6576119326111199E-3</c:v>
                </c:pt>
                <c:pt idx="170">
                  <c:v>-0.19943515975117862</c:v>
                </c:pt>
                <c:pt idx="171">
                  <c:v>0.5351038308492132</c:v>
                </c:pt>
                <c:pt idx="172">
                  <c:v>-0.44633211123234917</c:v>
                </c:pt>
                <c:pt idx="173">
                  <c:v>-4.696706017233615E-2</c:v>
                </c:pt>
                <c:pt idx="174">
                  <c:v>-0.12037466884904859</c:v>
                </c:pt>
                <c:pt idx="175">
                  <c:v>0.34104409522320961</c:v>
                </c:pt>
                <c:pt idx="176">
                  <c:v>0.58247707924774472</c:v>
                </c:pt>
                <c:pt idx="177">
                  <c:v>0.81848257544196679</c:v>
                </c:pt>
                <c:pt idx="178">
                  <c:v>0.66617600582582404</c:v>
                </c:pt>
                <c:pt idx="179">
                  <c:v>0.53907790942431599</c:v>
                </c:pt>
                <c:pt idx="180">
                  <c:v>0.20368010312362425</c:v>
                </c:pt>
                <c:pt idx="181">
                  <c:v>-3.803498512539466E-2</c:v>
                </c:pt>
                <c:pt idx="182">
                  <c:v>-6.50540169004412E-2</c:v>
                </c:pt>
                <c:pt idx="183">
                  <c:v>-0.32417032088869752</c:v>
                </c:pt>
                <c:pt idx="184">
                  <c:v>0.28358554368011368</c:v>
                </c:pt>
                <c:pt idx="185">
                  <c:v>6.3587736471920717E-2</c:v>
                </c:pt>
                <c:pt idx="186">
                  <c:v>-0.32125484385923514</c:v>
                </c:pt>
                <c:pt idx="187">
                  <c:v>0.36098356158431621</c:v>
                </c:pt>
                <c:pt idx="188">
                  <c:v>-0.62900629649256168</c:v>
                </c:pt>
                <c:pt idx="189">
                  <c:v>-0.86204598193960325</c:v>
                </c:pt>
                <c:pt idx="190">
                  <c:v>0.24768886799655324</c:v>
                </c:pt>
                <c:pt idx="191">
                  <c:v>0.50708925694057805</c:v>
                </c:pt>
                <c:pt idx="192">
                  <c:v>-0.26177447173127716</c:v>
                </c:pt>
                <c:pt idx="193">
                  <c:v>-0.3983137498904904</c:v>
                </c:pt>
                <c:pt idx="194">
                  <c:v>-0.33246320561336812</c:v>
                </c:pt>
                <c:pt idx="195">
                  <c:v>-0.71141870260427564</c:v>
                </c:pt>
                <c:pt idx="196">
                  <c:v>-0.80134996638758416</c:v>
                </c:pt>
                <c:pt idx="197">
                  <c:v>-5.0399017040138057E-2</c:v>
                </c:pt>
                <c:pt idx="198">
                  <c:v>-0.23217846868134343</c:v>
                </c:pt>
                <c:pt idx="199">
                  <c:v>0.30513754099110002</c:v>
                </c:pt>
              </c:numCache>
            </c:numRef>
          </c:xVal>
          <c:yVal>
            <c:numRef>
              <c:f>'non-uniforme cercle (attention)'!$E$6:$E$205</c:f>
              <c:numCache>
                <c:formatCode>General</c:formatCode>
                <c:ptCount val="200"/>
                <c:pt idx="0">
                  <c:v>0.62335159003960028</c:v>
                </c:pt>
                <c:pt idx="1">
                  <c:v>0.50593450254750438</c:v>
                </c:pt>
                <c:pt idx="2">
                  <c:v>-0.10139756824374746</c:v>
                </c:pt>
                <c:pt idx="3">
                  <c:v>-0.19255529413452255</c:v>
                </c:pt>
                <c:pt idx="4">
                  <c:v>-0.21170871207574052</c:v>
                </c:pt>
                <c:pt idx="5">
                  <c:v>-3.712537930599355E-2</c:v>
                </c:pt>
                <c:pt idx="6">
                  <c:v>5.3524059585291134E-2</c:v>
                </c:pt>
                <c:pt idx="7">
                  <c:v>0.21902879464320826</c:v>
                </c:pt>
                <c:pt idx="8">
                  <c:v>-0.70139672369884987</c:v>
                </c:pt>
                <c:pt idx="9">
                  <c:v>-0.47176698597322192</c:v>
                </c:pt>
                <c:pt idx="10">
                  <c:v>-0.47822386125566324</c:v>
                </c:pt>
                <c:pt idx="11">
                  <c:v>0.56020785470559342</c:v>
                </c:pt>
                <c:pt idx="12">
                  <c:v>5.6270343021638716E-3</c:v>
                </c:pt>
                <c:pt idx="13">
                  <c:v>-0.13016852952038799</c:v>
                </c:pt>
                <c:pt idx="14">
                  <c:v>0.13875438859817865</c:v>
                </c:pt>
                <c:pt idx="15">
                  <c:v>0.34388294460967539</c:v>
                </c:pt>
                <c:pt idx="16">
                  <c:v>0.49683216506358024</c:v>
                </c:pt>
                <c:pt idx="17">
                  <c:v>0.52643535863780933</c:v>
                </c:pt>
                <c:pt idx="18">
                  <c:v>0.11249435417114748</c:v>
                </c:pt>
                <c:pt idx="19">
                  <c:v>2.221732052839058E-2</c:v>
                </c:pt>
                <c:pt idx="20">
                  <c:v>0.25649642666897321</c:v>
                </c:pt>
                <c:pt idx="21">
                  <c:v>6.2650192472505487E-2</c:v>
                </c:pt>
                <c:pt idx="22">
                  <c:v>8.9804727765249462E-2</c:v>
                </c:pt>
                <c:pt idx="23">
                  <c:v>-0.41623061716897114</c:v>
                </c:pt>
                <c:pt idx="24">
                  <c:v>0.58457312381097215</c:v>
                </c:pt>
                <c:pt idx="25">
                  <c:v>-0.61736830815656762</c:v>
                </c:pt>
                <c:pt idx="26">
                  <c:v>-0.80694525876080236</c:v>
                </c:pt>
                <c:pt idx="27">
                  <c:v>0.10043291307686147</c:v>
                </c:pt>
                <c:pt idx="28">
                  <c:v>-0.7325159472556857</c:v>
                </c:pt>
                <c:pt idx="29">
                  <c:v>0.28393265139453738</c:v>
                </c:pt>
                <c:pt idx="30">
                  <c:v>-1.2628890497675673E-3</c:v>
                </c:pt>
                <c:pt idx="31">
                  <c:v>-0.18506116336890172</c:v>
                </c:pt>
                <c:pt idx="32">
                  <c:v>0.7081167076998286</c:v>
                </c:pt>
                <c:pt idx="33">
                  <c:v>-0.12130112208918575</c:v>
                </c:pt>
                <c:pt idx="34">
                  <c:v>-0.20199727541780377</c:v>
                </c:pt>
                <c:pt idx="35">
                  <c:v>-0.64876347907745346</c:v>
                </c:pt>
                <c:pt idx="36">
                  <c:v>2.2023512615108248E-2</c:v>
                </c:pt>
                <c:pt idx="37">
                  <c:v>-7.0774141119563705E-2</c:v>
                </c:pt>
                <c:pt idx="38">
                  <c:v>0.59906661420964258</c:v>
                </c:pt>
                <c:pt idx="39">
                  <c:v>0.29496492738748714</c:v>
                </c:pt>
                <c:pt idx="40">
                  <c:v>0.18999596979469302</c:v>
                </c:pt>
                <c:pt idx="41">
                  <c:v>-7.0857018498104871E-2</c:v>
                </c:pt>
                <c:pt idx="42">
                  <c:v>8.3477957748468473E-2</c:v>
                </c:pt>
                <c:pt idx="43">
                  <c:v>0.42245757898291803</c:v>
                </c:pt>
                <c:pt idx="44">
                  <c:v>-0.15664891611263462</c:v>
                </c:pt>
                <c:pt idx="45">
                  <c:v>0.24023175713036202</c:v>
                </c:pt>
                <c:pt idx="46">
                  <c:v>-8.012998903687946E-3</c:v>
                </c:pt>
                <c:pt idx="47">
                  <c:v>0.15747200186998336</c:v>
                </c:pt>
                <c:pt idx="48">
                  <c:v>1.496931561636803E-2</c:v>
                </c:pt>
                <c:pt idx="49">
                  <c:v>-0.15699626594172497</c:v>
                </c:pt>
                <c:pt idx="50">
                  <c:v>-9.180938776528284E-3</c:v>
                </c:pt>
                <c:pt idx="51">
                  <c:v>-8.4561969774415949E-2</c:v>
                </c:pt>
                <c:pt idx="52">
                  <c:v>-0.29164577055232715</c:v>
                </c:pt>
                <c:pt idx="53">
                  <c:v>0.12920939768398065</c:v>
                </c:pt>
                <c:pt idx="54">
                  <c:v>0.22653223804348224</c:v>
                </c:pt>
                <c:pt idx="55">
                  <c:v>2.0301320957334841E-3</c:v>
                </c:pt>
                <c:pt idx="56">
                  <c:v>0.68106494000523543</c:v>
                </c:pt>
                <c:pt idx="57">
                  <c:v>0.16308638747167953</c:v>
                </c:pt>
                <c:pt idx="58">
                  <c:v>-0.16874111741122078</c:v>
                </c:pt>
                <c:pt idx="59">
                  <c:v>-0.44935338686086773</c:v>
                </c:pt>
                <c:pt idx="60">
                  <c:v>0.29312168322095805</c:v>
                </c:pt>
                <c:pt idx="61">
                  <c:v>0.10267107895097921</c:v>
                </c:pt>
                <c:pt idx="62">
                  <c:v>0.18002376652805963</c:v>
                </c:pt>
                <c:pt idx="63">
                  <c:v>0.50029551936242322</c:v>
                </c:pt>
                <c:pt idx="64">
                  <c:v>0.50734337244533445</c:v>
                </c:pt>
                <c:pt idx="65">
                  <c:v>1.1480746838508721E-2</c:v>
                </c:pt>
                <c:pt idx="66">
                  <c:v>-0.67931294654636654</c:v>
                </c:pt>
                <c:pt idx="67">
                  <c:v>-3.0999234509283529E-3</c:v>
                </c:pt>
                <c:pt idx="68">
                  <c:v>-0.27259194449208868</c:v>
                </c:pt>
                <c:pt idx="69">
                  <c:v>-0.14135106582719792</c:v>
                </c:pt>
                <c:pt idx="70">
                  <c:v>-0.45629818395844346</c:v>
                </c:pt>
                <c:pt idx="71">
                  <c:v>-2.8025776374732924E-2</c:v>
                </c:pt>
                <c:pt idx="72">
                  <c:v>8.1206496655042912E-3</c:v>
                </c:pt>
                <c:pt idx="73">
                  <c:v>0.31837783421133553</c:v>
                </c:pt>
                <c:pt idx="74">
                  <c:v>0.25973031897432153</c:v>
                </c:pt>
                <c:pt idx="75">
                  <c:v>-0.41396497793660431</c:v>
                </c:pt>
                <c:pt idx="76">
                  <c:v>-4.3612482474974387E-2</c:v>
                </c:pt>
                <c:pt idx="77">
                  <c:v>-0.11049251579035575</c:v>
                </c:pt>
                <c:pt idx="78">
                  <c:v>0.42427606804125578</c:v>
                </c:pt>
                <c:pt idx="79">
                  <c:v>0.45868767738962224</c:v>
                </c:pt>
                <c:pt idx="80">
                  <c:v>-2.5024400963677078E-2</c:v>
                </c:pt>
                <c:pt idx="81">
                  <c:v>-0.68823557264708324</c:v>
                </c:pt>
                <c:pt idx="82">
                  <c:v>0.54744977636033643</c:v>
                </c:pt>
                <c:pt idx="83">
                  <c:v>0.11742136816159389</c:v>
                </c:pt>
                <c:pt idx="84">
                  <c:v>0.16335202726791098</c:v>
                </c:pt>
                <c:pt idx="85">
                  <c:v>-0.19465508155266667</c:v>
                </c:pt>
                <c:pt idx="86">
                  <c:v>-0.23597964791342205</c:v>
                </c:pt>
                <c:pt idx="87">
                  <c:v>0.11012866617812198</c:v>
                </c:pt>
                <c:pt idx="88">
                  <c:v>-0.14452706604622259</c:v>
                </c:pt>
                <c:pt idx="89">
                  <c:v>0.89525158831914997</c:v>
                </c:pt>
                <c:pt idx="90">
                  <c:v>2.1793011084425801E-2</c:v>
                </c:pt>
                <c:pt idx="91">
                  <c:v>0.43699896309819058</c:v>
                </c:pt>
                <c:pt idx="92">
                  <c:v>-0.78639326224145456</c:v>
                </c:pt>
                <c:pt idx="93">
                  <c:v>-0.45767492998972525</c:v>
                </c:pt>
                <c:pt idx="94">
                  <c:v>2.1822648737109963E-2</c:v>
                </c:pt>
                <c:pt idx="95">
                  <c:v>-0.39433021074625929</c:v>
                </c:pt>
                <c:pt idx="96">
                  <c:v>-0.76390603838032944</c:v>
                </c:pt>
                <c:pt idx="97">
                  <c:v>-0.50703523806921191</c:v>
                </c:pt>
                <c:pt idx="98">
                  <c:v>-4.0104591733633059E-2</c:v>
                </c:pt>
                <c:pt idx="99">
                  <c:v>-0.94048366017936469</c:v>
                </c:pt>
                <c:pt idx="100">
                  <c:v>0.11795465348080451</c:v>
                </c:pt>
                <c:pt idx="101">
                  <c:v>0.64697514636312636</c:v>
                </c:pt>
                <c:pt idx="102">
                  <c:v>-0.60586144626696159</c:v>
                </c:pt>
                <c:pt idx="103">
                  <c:v>-0.48883769052578468</c:v>
                </c:pt>
                <c:pt idx="104">
                  <c:v>-0.69830213989694956</c:v>
                </c:pt>
                <c:pt idx="105">
                  <c:v>8.9499355757990479E-2</c:v>
                </c:pt>
                <c:pt idx="106">
                  <c:v>-0.17754098292701659</c:v>
                </c:pt>
                <c:pt idx="107">
                  <c:v>0.49796530771960251</c:v>
                </c:pt>
                <c:pt idx="108">
                  <c:v>0.18160001910114582</c:v>
                </c:pt>
                <c:pt idx="109">
                  <c:v>0.52377998603962794</c:v>
                </c:pt>
                <c:pt idx="110">
                  <c:v>-0.64100510050136061</c:v>
                </c:pt>
                <c:pt idx="111">
                  <c:v>-0.49605376898040976</c:v>
                </c:pt>
                <c:pt idx="112">
                  <c:v>-0.35780631003869728</c:v>
                </c:pt>
                <c:pt idx="113">
                  <c:v>0.84227163276403538</c:v>
                </c:pt>
                <c:pt idx="114">
                  <c:v>8.313432024723736E-3</c:v>
                </c:pt>
                <c:pt idx="115">
                  <c:v>-1.0313540704748558E-2</c:v>
                </c:pt>
                <c:pt idx="116">
                  <c:v>0.75907558501120298</c:v>
                </c:pt>
                <c:pt idx="117">
                  <c:v>0.71652762729939923</c:v>
                </c:pt>
                <c:pt idx="118">
                  <c:v>0.43148940371940048</c:v>
                </c:pt>
                <c:pt idx="119">
                  <c:v>0.18613130300107475</c:v>
                </c:pt>
                <c:pt idx="120">
                  <c:v>7.2683874745328503E-2</c:v>
                </c:pt>
                <c:pt idx="121">
                  <c:v>-9.1556753230155469E-2</c:v>
                </c:pt>
                <c:pt idx="122">
                  <c:v>-0.80627524073626455</c:v>
                </c:pt>
                <c:pt idx="123">
                  <c:v>-0.52218607940963158</c:v>
                </c:pt>
                <c:pt idx="124">
                  <c:v>-0.19042568303891061</c:v>
                </c:pt>
                <c:pt idx="125">
                  <c:v>-0.6356950663110682</c:v>
                </c:pt>
                <c:pt idx="126">
                  <c:v>0.39889589544988868</c:v>
                </c:pt>
                <c:pt idx="127">
                  <c:v>-0.3095358977309397</c:v>
                </c:pt>
                <c:pt idx="128">
                  <c:v>2.0251984057510889E-2</c:v>
                </c:pt>
                <c:pt idx="129">
                  <c:v>-0.24980328692608331</c:v>
                </c:pt>
                <c:pt idx="130">
                  <c:v>-0.15506395157994018</c:v>
                </c:pt>
                <c:pt idx="131">
                  <c:v>0.61800345825276337</c:v>
                </c:pt>
                <c:pt idx="132">
                  <c:v>-0.41692642978615363</c:v>
                </c:pt>
                <c:pt idx="133">
                  <c:v>-0.27633671394848802</c:v>
                </c:pt>
                <c:pt idx="134">
                  <c:v>0.13738592170850969</c:v>
                </c:pt>
                <c:pt idx="135">
                  <c:v>5.5186737792331927E-3</c:v>
                </c:pt>
                <c:pt idx="136">
                  <c:v>0.20953696734616659</c:v>
                </c:pt>
                <c:pt idx="137">
                  <c:v>-0.71429812480869781</c:v>
                </c:pt>
                <c:pt idx="138">
                  <c:v>-0.42151450021090969</c:v>
                </c:pt>
                <c:pt idx="139">
                  <c:v>4.0621574091379356E-2</c:v>
                </c:pt>
                <c:pt idx="140">
                  <c:v>-0.16379359373469687</c:v>
                </c:pt>
                <c:pt idx="141">
                  <c:v>-0.45107798571747448</c:v>
                </c:pt>
                <c:pt idx="142">
                  <c:v>4.9401710301317868E-2</c:v>
                </c:pt>
                <c:pt idx="143">
                  <c:v>-6.5959563200375416E-3</c:v>
                </c:pt>
                <c:pt idx="144">
                  <c:v>-0.44314438057998928</c:v>
                </c:pt>
                <c:pt idx="145">
                  <c:v>0.57670324017964836</c:v>
                </c:pt>
                <c:pt idx="146">
                  <c:v>0.2539547125659623</c:v>
                </c:pt>
                <c:pt idx="147">
                  <c:v>-0.31853053585739644</c:v>
                </c:pt>
                <c:pt idx="148">
                  <c:v>-0.17304140959752562</c:v>
                </c:pt>
                <c:pt idx="149">
                  <c:v>-0.89581039076556013</c:v>
                </c:pt>
                <c:pt idx="150">
                  <c:v>0.57052942496804493</c:v>
                </c:pt>
                <c:pt idx="151">
                  <c:v>-0.23779579461898151</c:v>
                </c:pt>
                <c:pt idx="152">
                  <c:v>-0.12144490702766186</c:v>
                </c:pt>
                <c:pt idx="153">
                  <c:v>0.69784995352468238</c:v>
                </c:pt>
                <c:pt idx="154">
                  <c:v>0.10758595775094172</c:v>
                </c:pt>
                <c:pt idx="155">
                  <c:v>0.25746459502866453</c:v>
                </c:pt>
                <c:pt idx="156">
                  <c:v>0.13260466171926064</c:v>
                </c:pt>
                <c:pt idx="157">
                  <c:v>0.25233957286523589</c:v>
                </c:pt>
                <c:pt idx="158">
                  <c:v>6.4913872953810348E-2</c:v>
                </c:pt>
                <c:pt idx="159">
                  <c:v>0.28515576173106388</c:v>
                </c:pt>
                <c:pt idx="160">
                  <c:v>-0.15328850922586842</c:v>
                </c:pt>
                <c:pt idx="161">
                  <c:v>-0.45721123339522263</c:v>
                </c:pt>
                <c:pt idx="162">
                  <c:v>0.31468410748433534</c:v>
                </c:pt>
                <c:pt idx="163">
                  <c:v>-0.60464368938635116</c:v>
                </c:pt>
                <c:pt idx="164">
                  <c:v>-0.17870270630404658</c:v>
                </c:pt>
                <c:pt idx="165">
                  <c:v>0.1731447612220097</c:v>
                </c:pt>
                <c:pt idx="166">
                  <c:v>-0.51130543737814749</c:v>
                </c:pt>
                <c:pt idx="167">
                  <c:v>-0.69392307817980003</c:v>
                </c:pt>
                <c:pt idx="168">
                  <c:v>-4.438005126223684E-2</c:v>
                </c:pt>
                <c:pt idx="169">
                  <c:v>0.36182966540052797</c:v>
                </c:pt>
                <c:pt idx="170">
                  <c:v>-0.76870160921614494</c:v>
                </c:pt>
                <c:pt idx="171">
                  <c:v>-0.64407102153445428</c:v>
                </c:pt>
                <c:pt idx="172">
                  <c:v>2.9401532814960721E-2</c:v>
                </c:pt>
                <c:pt idx="173">
                  <c:v>-0.30284060660768658</c:v>
                </c:pt>
                <c:pt idx="174">
                  <c:v>0.96849900300465441</c:v>
                </c:pt>
                <c:pt idx="175">
                  <c:v>-0.18032148448802446</c:v>
                </c:pt>
                <c:pt idx="176">
                  <c:v>0.70626529933174487</c:v>
                </c:pt>
                <c:pt idx="177">
                  <c:v>0.32458341407486235</c:v>
                </c:pt>
                <c:pt idx="178">
                  <c:v>-0.3129220351649537</c:v>
                </c:pt>
                <c:pt idx="179">
                  <c:v>0.78987467147331325</c:v>
                </c:pt>
                <c:pt idx="180">
                  <c:v>0.49188685423525469</c:v>
                </c:pt>
                <c:pt idx="181">
                  <c:v>-0.10664994297627423</c:v>
                </c:pt>
                <c:pt idx="182">
                  <c:v>0.53537074370543292</c:v>
                </c:pt>
                <c:pt idx="183">
                  <c:v>0.53513168493222307</c:v>
                </c:pt>
                <c:pt idx="184">
                  <c:v>8.1516889380820565E-2</c:v>
                </c:pt>
                <c:pt idx="185">
                  <c:v>-0.74576502599967898</c:v>
                </c:pt>
                <c:pt idx="186">
                  <c:v>0.27313609555368501</c:v>
                </c:pt>
                <c:pt idx="187">
                  <c:v>0.184749911408541</c:v>
                </c:pt>
                <c:pt idx="188">
                  <c:v>0.77401381798244573</c:v>
                </c:pt>
                <c:pt idx="189">
                  <c:v>0.46431497021064155</c:v>
                </c:pt>
                <c:pt idx="190">
                  <c:v>-0.34098028652729523</c:v>
                </c:pt>
                <c:pt idx="191">
                  <c:v>0.39741359588248903</c:v>
                </c:pt>
                <c:pt idx="192">
                  <c:v>-0.72029219362061758</c:v>
                </c:pt>
                <c:pt idx="193">
                  <c:v>0.2139809368925876</c:v>
                </c:pt>
                <c:pt idx="194">
                  <c:v>-0.27625234873554194</c:v>
                </c:pt>
                <c:pt idx="195">
                  <c:v>-0.19169502880656411</c:v>
                </c:pt>
                <c:pt idx="196">
                  <c:v>0.53275619750697267</c:v>
                </c:pt>
                <c:pt idx="197">
                  <c:v>-0.5080498066396284</c:v>
                </c:pt>
                <c:pt idx="198">
                  <c:v>9.7385129901801162E-2</c:v>
                </c:pt>
                <c:pt idx="199">
                  <c:v>-0.51201483773560197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3D-984E-96B2-4E89FC1D7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30600"/>
        <c:axId val="495425896"/>
      </c:scatterChart>
      <c:valAx>
        <c:axId val="495430600"/>
        <c:scaling>
          <c:orientation val="minMax"/>
          <c:max val="1"/>
          <c:min val="-1"/>
        </c:scaling>
        <c:delete val="0"/>
        <c:axPos val="b"/>
        <c:numFmt formatCode="General" sourceLinked="1"/>
        <c:majorTickMark val="out"/>
        <c:minorTickMark val="none"/>
        <c:tickLblPos val="nextTo"/>
        <c:crossAx val="495425896"/>
        <c:crosses val="autoZero"/>
        <c:crossBetween val="midCat"/>
      </c:valAx>
      <c:valAx>
        <c:axId val="495425896"/>
        <c:scaling>
          <c:orientation val="minMax"/>
          <c:max val="1"/>
          <c:min val="-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5430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Histogramme de la distance de zéro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Histogramme du rayon</c:v>
          </c:tx>
          <c:invertIfNegative val="0"/>
          <c:cat>
            <c:numRef>
              <c:f>'non-uniforme cercle (attention)'!$I$35:$I$45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'non-uniforme cercle (attention)'!$K$35:$K$45</c:f>
              <c:numCache>
                <c:formatCode>General</c:formatCode>
                <c:ptCount val="11"/>
                <c:pt idx="0">
                  <c:v>0</c:v>
                </c:pt>
                <c:pt idx="1">
                  <c:v>7.3999999999999996E-2</c:v>
                </c:pt>
                <c:pt idx="2">
                  <c:v>9.4000000000000014E-2</c:v>
                </c:pt>
                <c:pt idx="3">
                  <c:v>8.7999999999999995E-2</c:v>
                </c:pt>
                <c:pt idx="4">
                  <c:v>8.9999999999999969E-2</c:v>
                </c:pt>
                <c:pt idx="5">
                  <c:v>0.124</c:v>
                </c:pt>
                <c:pt idx="6">
                  <c:v>0.11399999999999999</c:v>
                </c:pt>
                <c:pt idx="7">
                  <c:v>9.2000000000000082E-2</c:v>
                </c:pt>
                <c:pt idx="8">
                  <c:v>9.7999999999999976E-2</c:v>
                </c:pt>
                <c:pt idx="9">
                  <c:v>0.124</c:v>
                </c:pt>
                <c:pt idx="10">
                  <c:v>0.10199999999999998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0-A343-975C-DC8D496F2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426680"/>
        <c:axId val="495427072"/>
      </c:barChart>
      <c:catAx>
        <c:axId val="495426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5427072"/>
        <c:crosses val="autoZero"/>
        <c:auto val="1"/>
        <c:lblAlgn val="ctr"/>
        <c:lblOffset val="100"/>
        <c:noMultiLvlLbl val="0"/>
      </c:catAx>
      <c:valAx>
        <c:axId val="495427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54266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398470976194635E-2"/>
          <c:y val="1.3035104055654317E-2"/>
          <c:w val="0.94308894257879539"/>
          <c:h val="0.9477885732470816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'non-uniforme cercle (attention)'!$W$6:$W$505</c:f>
              <c:numCache>
                <c:formatCode>General</c:formatCode>
                <c:ptCount val="500"/>
                <c:pt idx="0">
                  <c:v>4.6071018228331713E-2</c:v>
                </c:pt>
                <c:pt idx="1">
                  <c:v>0.34085375468982987</c:v>
                </c:pt>
                <c:pt idx="2">
                  <c:v>-0.32627342334176751</c:v>
                </c:pt>
                <c:pt idx="3">
                  <c:v>0.46247355676426732</c:v>
                </c:pt>
                <c:pt idx="4">
                  <c:v>-0.19808878196192245</c:v>
                </c:pt>
                <c:pt idx="5">
                  <c:v>0.64513088168689781</c:v>
                </c:pt>
                <c:pt idx="6">
                  <c:v>1.3585548843291896E-2</c:v>
                </c:pt>
                <c:pt idx="7">
                  <c:v>0.16930151404703639</c:v>
                </c:pt>
                <c:pt idx="8">
                  <c:v>-6.7185973262520779E-2</c:v>
                </c:pt>
                <c:pt idx="9">
                  <c:v>0.12087923380721632</c:v>
                </c:pt>
                <c:pt idx="10">
                  <c:v>0.42273489038491241</c:v>
                </c:pt>
                <c:pt idx="11">
                  <c:v>0.11613893006661681</c:v>
                </c:pt>
                <c:pt idx="12">
                  <c:v>3.4652851993549089E-2</c:v>
                </c:pt>
                <c:pt idx="13">
                  <c:v>0.10175157543167272</c:v>
                </c:pt>
                <c:pt idx="14">
                  <c:v>0.22656159473907919</c:v>
                </c:pt>
                <c:pt idx="15">
                  <c:v>0.50346731841812764</c:v>
                </c:pt>
                <c:pt idx="16">
                  <c:v>2.6245908269297187E-2</c:v>
                </c:pt>
                <c:pt idx="17">
                  <c:v>-0.54079239331801443</c:v>
                </c:pt>
                <c:pt idx="18">
                  <c:v>0.16268136217896645</c:v>
                </c:pt>
                <c:pt idx="19">
                  <c:v>0.32559752141155052</c:v>
                </c:pt>
                <c:pt idx="20">
                  <c:v>-0.38854755385104556</c:v>
                </c:pt>
                <c:pt idx="21">
                  <c:v>-0.12820899850804993</c:v>
                </c:pt>
                <c:pt idx="22">
                  <c:v>-0.12400212063444564</c:v>
                </c:pt>
                <c:pt idx="23">
                  <c:v>0.1092714193999844</c:v>
                </c:pt>
                <c:pt idx="24">
                  <c:v>0.24105599987359078</c:v>
                </c:pt>
                <c:pt idx="25">
                  <c:v>-3.8857473069483471E-2</c:v>
                </c:pt>
                <c:pt idx="26">
                  <c:v>0.31892146530709048</c:v>
                </c:pt>
                <c:pt idx="27">
                  <c:v>0.61566040017005708</c:v>
                </c:pt>
                <c:pt idx="28">
                  <c:v>0.45273467997835992</c:v>
                </c:pt>
                <c:pt idx="29">
                  <c:v>-0.42134510579435447</c:v>
                </c:pt>
                <c:pt idx="30">
                  <c:v>5.6304992947927013E-3</c:v>
                </c:pt>
                <c:pt idx="31">
                  <c:v>0.26434129861488753</c:v>
                </c:pt>
                <c:pt idx="32">
                  <c:v>-0.33772491156012335</c:v>
                </c:pt>
                <c:pt idx="33">
                  <c:v>0.20424985575167487</c:v>
                </c:pt>
                <c:pt idx="34">
                  <c:v>0.64855885376507882</c:v>
                </c:pt>
                <c:pt idx="35">
                  <c:v>-0.47059627910002055</c:v>
                </c:pt>
                <c:pt idx="36">
                  <c:v>-3.1155176177845495E-2</c:v>
                </c:pt>
                <c:pt idx="37">
                  <c:v>5.6830741878443891E-2</c:v>
                </c:pt>
                <c:pt idx="38">
                  <c:v>0.71355780034128824</c:v>
                </c:pt>
                <c:pt idx="39">
                  <c:v>0.88642550609613546</c:v>
                </c:pt>
                <c:pt idx="40">
                  <c:v>0.47610090767087465</c:v>
                </c:pt>
                <c:pt idx="41">
                  <c:v>0.50210804481448967</c:v>
                </c:pt>
                <c:pt idx="42">
                  <c:v>-0.66207735919032207</c:v>
                </c:pt>
                <c:pt idx="43">
                  <c:v>-0.72068135679440948</c:v>
                </c:pt>
                <c:pt idx="44">
                  <c:v>0.39702591325914366</c:v>
                </c:pt>
                <c:pt idx="45">
                  <c:v>0.86236303621448585</c:v>
                </c:pt>
                <c:pt idx="46">
                  <c:v>-4.3639461642319723E-2</c:v>
                </c:pt>
                <c:pt idx="47">
                  <c:v>0.57984285426519011</c:v>
                </c:pt>
                <c:pt idx="48">
                  <c:v>-1.2480576579038855E-2</c:v>
                </c:pt>
                <c:pt idx="49">
                  <c:v>-0.94972912922881947</c:v>
                </c:pt>
                <c:pt idx="50">
                  <c:v>-0.1243032878661425</c:v>
                </c:pt>
                <c:pt idx="51">
                  <c:v>-0.55872610313399884</c:v>
                </c:pt>
                <c:pt idx="52">
                  <c:v>-0.56517631404568291</c:v>
                </c:pt>
                <c:pt idx="53">
                  <c:v>-9.00866168778338E-2</c:v>
                </c:pt>
                <c:pt idx="54">
                  <c:v>-0.11834863091561697</c:v>
                </c:pt>
                <c:pt idx="55">
                  <c:v>0.75006973394998389</c:v>
                </c:pt>
                <c:pt idx="56">
                  <c:v>0.73220730352606711</c:v>
                </c:pt>
                <c:pt idx="57">
                  <c:v>0.84406298294811666</c:v>
                </c:pt>
                <c:pt idx="58">
                  <c:v>0.21480430332327333</c:v>
                </c:pt>
                <c:pt idx="59">
                  <c:v>0.47488560769813837</c:v>
                </c:pt>
                <c:pt idx="60">
                  <c:v>0.26154951492416845</c:v>
                </c:pt>
                <c:pt idx="61">
                  <c:v>-9.457145327386951E-2</c:v>
                </c:pt>
                <c:pt idx="62">
                  <c:v>0.78350502330972038</c:v>
                </c:pt>
                <c:pt idx="63">
                  <c:v>-0.58578637745995776</c:v>
                </c:pt>
                <c:pt idx="64">
                  <c:v>-6.9189557626361656E-2</c:v>
                </c:pt>
                <c:pt idx="65">
                  <c:v>-9.1994970634908274E-2</c:v>
                </c:pt>
                <c:pt idx="66">
                  <c:v>-0.48739269210327701</c:v>
                </c:pt>
                <c:pt idx="67">
                  <c:v>-0.13309987707828896</c:v>
                </c:pt>
                <c:pt idx="68">
                  <c:v>0.47689060658435556</c:v>
                </c:pt>
                <c:pt idx="69">
                  <c:v>-0.24434767840900215</c:v>
                </c:pt>
                <c:pt idx="70">
                  <c:v>-0.41262514042556714</c:v>
                </c:pt>
                <c:pt idx="71">
                  <c:v>5.6536905113739261E-3</c:v>
                </c:pt>
                <c:pt idx="72">
                  <c:v>2.3155006974959636E-2</c:v>
                </c:pt>
                <c:pt idx="73">
                  <c:v>-0.21124201164881853</c:v>
                </c:pt>
                <c:pt idx="74">
                  <c:v>-4.7329667701998597E-2</c:v>
                </c:pt>
                <c:pt idx="75">
                  <c:v>-0.21573010995951616</c:v>
                </c:pt>
                <c:pt idx="76">
                  <c:v>0.10658509776010587</c:v>
                </c:pt>
                <c:pt idx="77">
                  <c:v>0.8418922078261144</c:v>
                </c:pt>
                <c:pt idx="78">
                  <c:v>0.64884245608571112</c:v>
                </c:pt>
                <c:pt idx="79">
                  <c:v>0.56986927700781342</c:v>
                </c:pt>
                <c:pt idx="80">
                  <c:v>-1.4706690391640262E-2</c:v>
                </c:pt>
                <c:pt idx="81">
                  <c:v>-0.12641498748121444</c:v>
                </c:pt>
                <c:pt idx="82">
                  <c:v>-0.52225201152879197</c:v>
                </c:pt>
                <c:pt idx="83">
                  <c:v>0.36917358085765228</c:v>
                </c:pt>
                <c:pt idx="84">
                  <c:v>-5.7083805955837501E-2</c:v>
                </c:pt>
                <c:pt idx="85">
                  <c:v>6.6985884197950887E-2</c:v>
                </c:pt>
                <c:pt idx="86">
                  <c:v>-0.68298375389087895</c:v>
                </c:pt>
                <c:pt idx="87">
                  <c:v>6.5192810079745978E-2</c:v>
                </c:pt>
                <c:pt idx="88">
                  <c:v>-0.13410193010540844</c:v>
                </c:pt>
                <c:pt idx="89">
                  <c:v>8.5367207707791409E-2</c:v>
                </c:pt>
                <c:pt idx="90">
                  <c:v>0.7733977537011304</c:v>
                </c:pt>
                <c:pt idx="91">
                  <c:v>0.12459726487163629</c:v>
                </c:pt>
                <c:pt idx="92">
                  <c:v>0.39673021298113065</c:v>
                </c:pt>
                <c:pt idx="93">
                  <c:v>-0.54579930657653986</c:v>
                </c:pt>
                <c:pt idx="94">
                  <c:v>-1.4445816855407873E-2</c:v>
                </c:pt>
                <c:pt idx="95">
                  <c:v>0.23371994163946708</c:v>
                </c:pt>
                <c:pt idx="96">
                  <c:v>0.20880451048389467</c:v>
                </c:pt>
                <c:pt idx="97">
                  <c:v>-0.21322753052226878</c:v>
                </c:pt>
                <c:pt idx="98">
                  <c:v>-6.1510973701885567E-2</c:v>
                </c:pt>
                <c:pt idx="99">
                  <c:v>-2.1688181130075878E-2</c:v>
                </c:pt>
                <c:pt idx="100">
                  <c:v>3.7907187064459572E-2</c:v>
                </c:pt>
                <c:pt idx="101">
                  <c:v>0.29870951287969377</c:v>
                </c:pt>
                <c:pt idx="102">
                  <c:v>-0.58097083313995312</c:v>
                </c:pt>
                <c:pt idx="103">
                  <c:v>0.67533650269594514</c:v>
                </c:pt>
                <c:pt idx="104">
                  <c:v>0.70795355239755764</c:v>
                </c:pt>
                <c:pt idx="105">
                  <c:v>-0.10880479037216653</c:v>
                </c:pt>
                <c:pt idx="106">
                  <c:v>1.1616365093227681E-2</c:v>
                </c:pt>
                <c:pt idx="107">
                  <c:v>0.15018401777561263</c:v>
                </c:pt>
                <c:pt idx="108">
                  <c:v>0.46001347281043731</c:v>
                </c:pt>
                <c:pt idx="109">
                  <c:v>0.78158241753845226</c:v>
                </c:pt>
                <c:pt idx="110">
                  <c:v>-0.56477200608211808</c:v>
                </c:pt>
                <c:pt idx="111">
                  <c:v>0.72718907072209904</c:v>
                </c:pt>
                <c:pt idx="112">
                  <c:v>0.23863664815436386</c:v>
                </c:pt>
                <c:pt idx="113">
                  <c:v>9.3670608040347138E-3</c:v>
                </c:pt>
                <c:pt idx="114">
                  <c:v>0.94601750685795549</c:v>
                </c:pt>
                <c:pt idx="115">
                  <c:v>2.8735544599631419E-2</c:v>
                </c:pt>
                <c:pt idx="116">
                  <c:v>-0.2673175335820322</c:v>
                </c:pt>
                <c:pt idx="117">
                  <c:v>0.62789932557513428</c:v>
                </c:pt>
                <c:pt idx="118">
                  <c:v>-8.2752973153925047E-3</c:v>
                </c:pt>
                <c:pt idx="119">
                  <c:v>0.68490801923652489</c:v>
                </c:pt>
                <c:pt idx="120">
                  <c:v>0.62948751403842684</c:v>
                </c:pt>
                <c:pt idx="121">
                  <c:v>-0.19825085288751776</c:v>
                </c:pt>
                <c:pt idx="122">
                  <c:v>-0.41537593936310929</c:v>
                </c:pt>
                <c:pt idx="123">
                  <c:v>0.27005740486562219</c:v>
                </c:pt>
                <c:pt idx="124">
                  <c:v>5.6023510635683033E-2</c:v>
                </c:pt>
                <c:pt idx="125">
                  <c:v>-0.56155846819767885</c:v>
                </c:pt>
                <c:pt idx="126">
                  <c:v>-0.25750558089869785</c:v>
                </c:pt>
                <c:pt idx="127">
                  <c:v>-2.3612018940567255E-2</c:v>
                </c:pt>
                <c:pt idx="128">
                  <c:v>2.4944125314030251E-2</c:v>
                </c:pt>
                <c:pt idx="129">
                  <c:v>-0.83693731822430606</c:v>
                </c:pt>
                <c:pt idx="130">
                  <c:v>0.30996053595017964</c:v>
                </c:pt>
                <c:pt idx="131">
                  <c:v>-0.50979158358607157</c:v>
                </c:pt>
                <c:pt idx="132">
                  <c:v>-0.27629954523770478</c:v>
                </c:pt>
                <c:pt idx="133">
                  <c:v>-1.9760458915115478E-2</c:v>
                </c:pt>
                <c:pt idx="134">
                  <c:v>0.44078678458019116</c:v>
                </c:pt>
                <c:pt idx="135">
                  <c:v>0.13391199971867127</c:v>
                </c:pt>
                <c:pt idx="136">
                  <c:v>-0.71731568639064691</c:v>
                </c:pt>
                <c:pt idx="137">
                  <c:v>0.31624848781904569</c:v>
                </c:pt>
                <c:pt idx="138">
                  <c:v>5.1096751609928992E-2</c:v>
                </c:pt>
                <c:pt idx="139">
                  <c:v>-0.96492761308171449</c:v>
                </c:pt>
                <c:pt idx="140">
                  <c:v>0.12916753868787179</c:v>
                </c:pt>
                <c:pt idx="141">
                  <c:v>-5.3544936395357824E-2</c:v>
                </c:pt>
                <c:pt idx="142">
                  <c:v>-0.90241213491551753</c:v>
                </c:pt>
                <c:pt idx="143">
                  <c:v>1.8471043108048559E-2</c:v>
                </c:pt>
                <c:pt idx="144">
                  <c:v>0.87332113520904375</c:v>
                </c:pt>
                <c:pt idx="145">
                  <c:v>-1.143337832952899E-2</c:v>
                </c:pt>
                <c:pt idx="146">
                  <c:v>-0.36748772213966896</c:v>
                </c:pt>
                <c:pt idx="147">
                  <c:v>-0.14223826919902216</c:v>
                </c:pt>
                <c:pt idx="148">
                  <c:v>2.8277612122366157E-3</c:v>
                </c:pt>
                <c:pt idx="149">
                  <c:v>0.12073449778998768</c:v>
                </c:pt>
                <c:pt idx="150">
                  <c:v>-0.17269575969005074</c:v>
                </c:pt>
                <c:pt idx="151">
                  <c:v>0.2125610144132373</c:v>
                </c:pt>
                <c:pt idx="152">
                  <c:v>0.60982147161177014</c:v>
                </c:pt>
                <c:pt idx="153">
                  <c:v>0.19620866649521004</c:v>
                </c:pt>
                <c:pt idx="154">
                  <c:v>9.7856489099557714E-2</c:v>
                </c:pt>
                <c:pt idx="155">
                  <c:v>0.35293885325704399</c:v>
                </c:pt>
                <c:pt idx="156">
                  <c:v>0.37846498937912909</c:v>
                </c:pt>
                <c:pt idx="157">
                  <c:v>-0.89226419701853033</c:v>
                </c:pt>
                <c:pt idx="158">
                  <c:v>8.9557256915993047E-2</c:v>
                </c:pt>
                <c:pt idx="159">
                  <c:v>-8.1005727196523172E-2</c:v>
                </c:pt>
                <c:pt idx="160">
                  <c:v>-0.3008790546356741</c:v>
                </c:pt>
                <c:pt idx="161">
                  <c:v>-0.16794536252027725</c:v>
                </c:pt>
                <c:pt idx="162">
                  <c:v>0.30555017139700247</c:v>
                </c:pt>
                <c:pt idx="163">
                  <c:v>0.4281157100504604</c:v>
                </c:pt>
                <c:pt idx="164">
                  <c:v>-0.95429359046146944</c:v>
                </c:pt>
                <c:pt idx="165">
                  <c:v>0.33450625776206927</c:v>
                </c:pt>
                <c:pt idx="166">
                  <c:v>0.230690824050616</c:v>
                </c:pt>
                <c:pt idx="167">
                  <c:v>-0.31771724032195936</c:v>
                </c:pt>
                <c:pt idx="168">
                  <c:v>2.8949559737862094E-2</c:v>
                </c:pt>
                <c:pt idx="169">
                  <c:v>-1.6576119326111199E-3</c:v>
                </c:pt>
                <c:pt idx="170">
                  <c:v>-0.19943515975117862</c:v>
                </c:pt>
                <c:pt idx="171">
                  <c:v>0.5351038308492132</c:v>
                </c:pt>
                <c:pt idx="172">
                  <c:v>-0.44633211123234917</c:v>
                </c:pt>
                <c:pt idx="173">
                  <c:v>-4.696706017233615E-2</c:v>
                </c:pt>
                <c:pt idx="174">
                  <c:v>-0.12037466884904859</c:v>
                </c:pt>
                <c:pt idx="175">
                  <c:v>0.34104409522320961</c:v>
                </c:pt>
                <c:pt idx="176">
                  <c:v>0.58247707924774472</c:v>
                </c:pt>
                <c:pt idx="177">
                  <c:v>0.81848257544196679</c:v>
                </c:pt>
                <c:pt idx="178">
                  <c:v>0.66617600582582404</c:v>
                </c:pt>
                <c:pt idx="179">
                  <c:v>0.53907790942431599</c:v>
                </c:pt>
                <c:pt idx="180">
                  <c:v>0.20368010312362425</c:v>
                </c:pt>
                <c:pt idx="181">
                  <c:v>-3.803498512539466E-2</c:v>
                </c:pt>
                <c:pt idx="182">
                  <c:v>-6.50540169004412E-2</c:v>
                </c:pt>
                <c:pt idx="183">
                  <c:v>-0.32417032088869752</c:v>
                </c:pt>
                <c:pt idx="184">
                  <c:v>0.28358554368011368</c:v>
                </c:pt>
                <c:pt idx="185">
                  <c:v>6.3587736471920717E-2</c:v>
                </c:pt>
                <c:pt idx="186">
                  <c:v>-0.32125484385923514</c:v>
                </c:pt>
                <c:pt idx="187">
                  <c:v>0.36098356158431621</c:v>
                </c:pt>
                <c:pt idx="188">
                  <c:v>-0.62900629649256168</c:v>
                </c:pt>
                <c:pt idx="189">
                  <c:v>-0.86204598193960325</c:v>
                </c:pt>
                <c:pt idx="190">
                  <c:v>0.24768886799655324</c:v>
                </c:pt>
                <c:pt idx="191">
                  <c:v>0.50708925694057805</c:v>
                </c:pt>
                <c:pt idx="192">
                  <c:v>-0.26177447173127716</c:v>
                </c:pt>
                <c:pt idx="193">
                  <c:v>-0.3983137498904904</c:v>
                </c:pt>
                <c:pt idx="194">
                  <c:v>-0.33246320561336812</c:v>
                </c:pt>
                <c:pt idx="195">
                  <c:v>-0.71141870260427564</c:v>
                </c:pt>
                <c:pt idx="196">
                  <c:v>-0.80134996638758416</c:v>
                </c:pt>
                <c:pt idx="197">
                  <c:v>-5.0399017040138057E-2</c:v>
                </c:pt>
                <c:pt idx="198">
                  <c:v>-0.23217846868134343</c:v>
                </c:pt>
                <c:pt idx="199">
                  <c:v>0.30513754099110002</c:v>
                </c:pt>
                <c:pt idx="200">
                  <c:v>1.4149733800320505E-2</c:v>
                </c:pt>
                <c:pt idx="201">
                  <c:v>-0.55438468059343771</c:v>
                </c:pt>
                <c:pt idx="202">
                  <c:v>0.68104794737514751</c:v>
                </c:pt>
                <c:pt idx="203">
                  <c:v>0.10595794767970543</c:v>
                </c:pt>
                <c:pt idx="204">
                  <c:v>5.5847302298433774E-3</c:v>
                </c:pt>
                <c:pt idx="205">
                  <c:v>-7.9187261518363514E-2</c:v>
                </c:pt>
                <c:pt idx="206">
                  <c:v>0.16167273743297819</c:v>
                </c:pt>
                <c:pt idx="207">
                  <c:v>-0.18601081286536167</c:v>
                </c:pt>
                <c:pt idx="208">
                  <c:v>-0.38625534603565537</c:v>
                </c:pt>
                <c:pt idx="209">
                  <c:v>3.2536853546882585E-2</c:v>
                </c:pt>
                <c:pt idx="210">
                  <c:v>3.6812640104916125E-2</c:v>
                </c:pt>
                <c:pt idx="211">
                  <c:v>-0.2353099765319632</c:v>
                </c:pt>
                <c:pt idx="212">
                  <c:v>-0.48770705007134729</c:v>
                </c:pt>
                <c:pt idx="213">
                  <c:v>8.1932669064340644E-2</c:v>
                </c:pt>
                <c:pt idx="214">
                  <c:v>-0.17189740304453646</c:v>
                </c:pt>
                <c:pt idx="215">
                  <c:v>-1.0049914152630257E-2</c:v>
                </c:pt>
                <c:pt idx="216">
                  <c:v>-0.22155198553508329</c:v>
                </c:pt>
                <c:pt idx="217">
                  <c:v>-0.16238765257219617</c:v>
                </c:pt>
                <c:pt idx="218">
                  <c:v>2.133372144688794E-2</c:v>
                </c:pt>
                <c:pt idx="219">
                  <c:v>0.65465065052393989</c:v>
                </c:pt>
                <c:pt idx="220">
                  <c:v>-0.3770979801519791</c:v>
                </c:pt>
                <c:pt idx="221">
                  <c:v>0.28493730402461104</c:v>
                </c:pt>
                <c:pt idx="222">
                  <c:v>0.45032317558653795</c:v>
                </c:pt>
                <c:pt idx="223">
                  <c:v>0.1371943658981509</c:v>
                </c:pt>
                <c:pt idx="224">
                  <c:v>-0.34666772595914891</c:v>
                </c:pt>
                <c:pt idx="225">
                  <c:v>0.77849825148251706</c:v>
                </c:pt>
                <c:pt idx="226">
                  <c:v>0.37017275546558082</c:v>
                </c:pt>
                <c:pt idx="227">
                  <c:v>0.337286438883666</c:v>
                </c:pt>
                <c:pt idx="228">
                  <c:v>-5.1448685899000653E-2</c:v>
                </c:pt>
                <c:pt idx="229">
                  <c:v>0.1851179413663715</c:v>
                </c:pt>
                <c:pt idx="230">
                  <c:v>0.57567478065780242</c:v>
                </c:pt>
                <c:pt idx="231">
                  <c:v>0.54140175403595725</c:v>
                </c:pt>
                <c:pt idx="232">
                  <c:v>4.2338398561644341E-2</c:v>
                </c:pt>
                <c:pt idx="233">
                  <c:v>8.12339417338373E-2</c:v>
                </c:pt>
                <c:pt idx="234">
                  <c:v>-0.10035400266566726</c:v>
                </c:pt>
                <c:pt idx="235">
                  <c:v>-0.44674945711851749</c:v>
                </c:pt>
                <c:pt idx="236">
                  <c:v>-0.21690064546709295</c:v>
                </c:pt>
                <c:pt idx="237">
                  <c:v>-0.84159786212206922</c:v>
                </c:pt>
                <c:pt idx="238">
                  <c:v>-0.50955208170381683</c:v>
                </c:pt>
                <c:pt idx="239">
                  <c:v>0.35157093756900715</c:v>
                </c:pt>
                <c:pt idx="240">
                  <c:v>0.32436498137589925</c:v>
                </c:pt>
                <c:pt idx="241">
                  <c:v>3.7613373565819709E-2</c:v>
                </c:pt>
                <c:pt idx="242">
                  <c:v>-0.37146192975692438</c:v>
                </c:pt>
                <c:pt idx="243">
                  <c:v>-0.19478013122273044</c:v>
                </c:pt>
                <c:pt idx="244">
                  <c:v>-0.5360374786529285</c:v>
                </c:pt>
                <c:pt idx="245">
                  <c:v>0.11960500289282207</c:v>
                </c:pt>
                <c:pt idx="246">
                  <c:v>-0.39952786155198572</c:v>
                </c:pt>
                <c:pt idx="247">
                  <c:v>0.28637734472218401</c:v>
                </c:pt>
                <c:pt idx="248">
                  <c:v>0.10306480515523109</c:v>
                </c:pt>
                <c:pt idx="249">
                  <c:v>-0.68168292973946443</c:v>
                </c:pt>
                <c:pt idx="250">
                  <c:v>-0.14244729615058374</c:v>
                </c:pt>
                <c:pt idx="251">
                  <c:v>-0.84222974579794785</c:v>
                </c:pt>
                <c:pt idx="252">
                  <c:v>0.41345576769735543</c:v>
                </c:pt>
                <c:pt idx="253">
                  <c:v>0.62670655701948119</c:v>
                </c:pt>
                <c:pt idx="254">
                  <c:v>0.31056133796768959</c:v>
                </c:pt>
                <c:pt idx="255">
                  <c:v>-0.75695825305528375</c:v>
                </c:pt>
                <c:pt idx="256">
                  <c:v>-5.0957316524820398E-2</c:v>
                </c:pt>
                <c:pt idx="257">
                  <c:v>0.36973374912974438</c:v>
                </c:pt>
                <c:pt idx="258">
                  <c:v>0.55606876600056943</c:v>
                </c:pt>
                <c:pt idx="259">
                  <c:v>-6.7475115384074053E-2</c:v>
                </c:pt>
                <c:pt idx="260">
                  <c:v>0.13668365062274165</c:v>
                </c:pt>
                <c:pt idx="261">
                  <c:v>-6.0220758658182341E-2</c:v>
                </c:pt>
                <c:pt idx="262">
                  <c:v>-9.8807601571398757E-2</c:v>
                </c:pt>
                <c:pt idx="263">
                  <c:v>3.2366560776488835E-3</c:v>
                </c:pt>
                <c:pt idx="264">
                  <c:v>-0.3569702397790317</c:v>
                </c:pt>
                <c:pt idx="265">
                  <c:v>0.51021939020554707</c:v>
                </c:pt>
                <c:pt idx="266">
                  <c:v>0.35185403283715905</c:v>
                </c:pt>
                <c:pt idx="267">
                  <c:v>0.25909131466386748</c:v>
                </c:pt>
                <c:pt idx="268">
                  <c:v>0.22712549714206665</c:v>
                </c:pt>
                <c:pt idx="269">
                  <c:v>0.70911717127841323</c:v>
                </c:pt>
                <c:pt idx="270">
                  <c:v>-0.1499273540323981</c:v>
                </c:pt>
                <c:pt idx="271">
                  <c:v>7.3954276584192805E-2</c:v>
                </c:pt>
                <c:pt idx="272">
                  <c:v>0.47641992384139642</c:v>
                </c:pt>
                <c:pt idx="273">
                  <c:v>0.2916564497107037</c:v>
                </c:pt>
                <c:pt idx="274">
                  <c:v>-0.44962605468729866</c:v>
                </c:pt>
                <c:pt idx="275">
                  <c:v>-0.10637033286778576</c:v>
                </c:pt>
                <c:pt idx="276">
                  <c:v>0.50350141413788441</c:v>
                </c:pt>
                <c:pt idx="277">
                  <c:v>-0.29000175813482854</c:v>
                </c:pt>
                <c:pt idx="278">
                  <c:v>-6.3896690037512277E-2</c:v>
                </c:pt>
                <c:pt idx="279">
                  <c:v>-0.133314535635671</c:v>
                </c:pt>
                <c:pt idx="280">
                  <c:v>-1.1152670228886839E-3</c:v>
                </c:pt>
                <c:pt idx="281">
                  <c:v>0.32208538461962205</c:v>
                </c:pt>
                <c:pt idx="282">
                  <c:v>-0.14437217500295144</c:v>
                </c:pt>
                <c:pt idx="283">
                  <c:v>-0.82448312956268022</c:v>
                </c:pt>
                <c:pt idx="284">
                  <c:v>0.22125953276259733</c:v>
                </c:pt>
                <c:pt idx="285">
                  <c:v>-1.627386729454261E-2</c:v>
                </c:pt>
                <c:pt idx="286">
                  <c:v>-0.31283864513537124</c:v>
                </c:pt>
                <c:pt idx="287">
                  <c:v>0.22696067603928502</c:v>
                </c:pt>
                <c:pt idx="288">
                  <c:v>-0.31515579784327308</c:v>
                </c:pt>
                <c:pt idx="289">
                  <c:v>8.1224889167854072E-2</c:v>
                </c:pt>
                <c:pt idx="290">
                  <c:v>0.52488625162063129</c:v>
                </c:pt>
                <c:pt idx="291">
                  <c:v>-0.79558961163632058</c:v>
                </c:pt>
                <c:pt idx="292">
                  <c:v>0.39749837662222437</c:v>
                </c:pt>
                <c:pt idx="293">
                  <c:v>-0.27815556683969761</c:v>
                </c:pt>
                <c:pt idx="294">
                  <c:v>0.17900539126220708</c:v>
                </c:pt>
                <c:pt idx="295">
                  <c:v>0.19514738134377912</c:v>
                </c:pt>
                <c:pt idx="296">
                  <c:v>-4.8668265883803623E-2</c:v>
                </c:pt>
                <c:pt idx="297">
                  <c:v>-0.26941544460602396</c:v>
                </c:pt>
                <c:pt idx="298">
                  <c:v>0.78124965324600137</c:v>
                </c:pt>
                <c:pt idx="299">
                  <c:v>-0.11292195373271928</c:v>
                </c:pt>
                <c:pt idx="300">
                  <c:v>-0.65821584025595392</c:v>
                </c:pt>
                <c:pt idx="301">
                  <c:v>0.2477928500331093</c:v>
                </c:pt>
                <c:pt idx="302">
                  <c:v>1.0790400158795186E-2</c:v>
                </c:pt>
                <c:pt idx="303">
                  <c:v>-0.27794614631359749</c:v>
                </c:pt>
                <c:pt idx="304">
                  <c:v>8.4926308127050182E-2</c:v>
                </c:pt>
                <c:pt idx="305">
                  <c:v>0.84605622943230196</c:v>
                </c:pt>
                <c:pt idx="306">
                  <c:v>0.97216674362753119</c:v>
                </c:pt>
                <c:pt idx="307">
                  <c:v>0.16237573377286721</c:v>
                </c:pt>
                <c:pt idx="308">
                  <c:v>-1.1223322043318815E-2</c:v>
                </c:pt>
                <c:pt idx="309">
                  <c:v>0.1531641138210259</c:v>
                </c:pt>
                <c:pt idx="310">
                  <c:v>-3.3787144069357893E-2</c:v>
                </c:pt>
                <c:pt idx="311">
                  <c:v>0.26883506774852878</c:v>
                </c:pt>
                <c:pt idx="312">
                  <c:v>-0.2436793616707533</c:v>
                </c:pt>
                <c:pt idx="313">
                  <c:v>0.40915630167863409</c:v>
                </c:pt>
                <c:pt idx="314">
                  <c:v>-0.24548699556204825</c:v>
                </c:pt>
                <c:pt idx="315">
                  <c:v>0.39116647149469419</c:v>
                </c:pt>
                <c:pt idx="316">
                  <c:v>0.24103724420896067</c:v>
                </c:pt>
                <c:pt idx="317">
                  <c:v>0.47438117727448653</c:v>
                </c:pt>
                <c:pt idx="318">
                  <c:v>-0.78311165124587956</c:v>
                </c:pt>
                <c:pt idx="319">
                  <c:v>0.21673964122051878</c:v>
                </c:pt>
                <c:pt idx="320">
                  <c:v>-3.8037523904156649E-2</c:v>
                </c:pt>
                <c:pt idx="321">
                  <c:v>0.22007827228296639</c:v>
                </c:pt>
                <c:pt idx="322">
                  <c:v>-0.6820522603825786</c:v>
                </c:pt>
                <c:pt idx="323">
                  <c:v>0.67627032519149022</c:v>
                </c:pt>
                <c:pt idx="324">
                  <c:v>0.46141033349127503</c:v>
                </c:pt>
                <c:pt idx="325">
                  <c:v>0.12305173944093413</c:v>
                </c:pt>
                <c:pt idx="326">
                  <c:v>0.66146872080937102</c:v>
                </c:pt>
                <c:pt idx="327">
                  <c:v>0.26946308926997492</c:v>
                </c:pt>
                <c:pt idx="328">
                  <c:v>0.33480369762117235</c:v>
                </c:pt>
                <c:pt idx="329">
                  <c:v>0.61315641007913158</c:v>
                </c:pt>
                <c:pt idx="330">
                  <c:v>-0.28700692984142584</c:v>
                </c:pt>
                <c:pt idx="331">
                  <c:v>-0.47353897104346643</c:v>
                </c:pt>
                <c:pt idx="332">
                  <c:v>-0.45134540714312732</c:v>
                </c:pt>
                <c:pt idx="333">
                  <c:v>0.60866465795467095</c:v>
                </c:pt>
                <c:pt idx="334">
                  <c:v>-0.62466053099312846</c:v>
                </c:pt>
                <c:pt idx="335">
                  <c:v>-0.23496669448891327</c:v>
                </c:pt>
                <c:pt idx="336">
                  <c:v>0.53167357048839248</c:v>
                </c:pt>
                <c:pt idx="337">
                  <c:v>6.2558320378851659E-2</c:v>
                </c:pt>
                <c:pt idx="338">
                  <c:v>6.8287429455572118E-2</c:v>
                </c:pt>
                <c:pt idx="339">
                  <c:v>1.3664472416249646E-3</c:v>
                </c:pt>
                <c:pt idx="340">
                  <c:v>0.14862456096362145</c:v>
                </c:pt>
                <c:pt idx="341">
                  <c:v>0.32519212450118207</c:v>
                </c:pt>
                <c:pt idx="342">
                  <c:v>0.71367113360131207</c:v>
                </c:pt>
                <c:pt idx="343">
                  <c:v>-0.14535894561980756</c:v>
                </c:pt>
                <c:pt idx="344">
                  <c:v>0.82931933324132201</c:v>
                </c:pt>
                <c:pt idx="345">
                  <c:v>-1.8519116489917962E-2</c:v>
                </c:pt>
                <c:pt idx="346">
                  <c:v>-0.38064775381409122</c:v>
                </c:pt>
                <c:pt idx="347">
                  <c:v>2.0088329467510525E-2</c:v>
                </c:pt>
                <c:pt idx="348">
                  <c:v>6.5298033607513614E-2</c:v>
                </c:pt>
                <c:pt idx="349">
                  <c:v>1.8805735316300212E-2</c:v>
                </c:pt>
                <c:pt idx="350">
                  <c:v>0.38190553543607592</c:v>
                </c:pt>
                <c:pt idx="351">
                  <c:v>-0.45094447792239301</c:v>
                </c:pt>
                <c:pt idx="352">
                  <c:v>0.32876378563038577</c:v>
                </c:pt>
                <c:pt idx="353">
                  <c:v>-0.27068273667939391</c:v>
                </c:pt>
                <c:pt idx="354">
                  <c:v>0.10416916925938129</c:v>
                </c:pt>
                <c:pt idx="355">
                  <c:v>0.56326782712339118</c:v>
                </c:pt>
                <c:pt idx="356">
                  <c:v>0.82748548412356382</c:v>
                </c:pt>
                <c:pt idx="357">
                  <c:v>0.35471189389841806</c:v>
                </c:pt>
                <c:pt idx="358">
                  <c:v>-4.7361704827747139E-3</c:v>
                </c:pt>
                <c:pt idx="359">
                  <c:v>0.1715536968452325</c:v>
                </c:pt>
                <c:pt idx="360">
                  <c:v>-2.5743855697584878E-2</c:v>
                </c:pt>
                <c:pt idx="361">
                  <c:v>0.8670553837980437</c:v>
                </c:pt>
                <c:pt idx="362">
                  <c:v>-0.87325244033517513</c:v>
                </c:pt>
                <c:pt idx="363">
                  <c:v>-0.13766676661547833</c:v>
                </c:pt>
                <c:pt idx="364">
                  <c:v>-0.27811592780776917</c:v>
                </c:pt>
                <c:pt idx="365">
                  <c:v>0.18872456650984157</c:v>
                </c:pt>
                <c:pt idx="366">
                  <c:v>0.58647094537354372</c:v>
                </c:pt>
                <c:pt idx="367">
                  <c:v>-0.65917459410203982</c:v>
                </c:pt>
                <c:pt idx="368">
                  <c:v>-0.64718146566703472</c:v>
                </c:pt>
                <c:pt idx="369">
                  <c:v>0.35925204393828986</c:v>
                </c:pt>
                <c:pt idx="370">
                  <c:v>-0.48404357900258965</c:v>
                </c:pt>
                <c:pt idx="371">
                  <c:v>-7.577566367145501E-2</c:v>
                </c:pt>
                <c:pt idx="372">
                  <c:v>0.81260512510448957</c:v>
                </c:pt>
                <c:pt idx="373">
                  <c:v>-0.55327976099277498</c:v>
                </c:pt>
                <c:pt idx="374">
                  <c:v>0.22177710229988676</c:v>
                </c:pt>
                <c:pt idx="375">
                  <c:v>0.39039574412427425</c:v>
                </c:pt>
                <c:pt idx="376">
                  <c:v>0.16099375533514798</c:v>
                </c:pt>
                <c:pt idx="377">
                  <c:v>-0.54179554106799843</c:v>
                </c:pt>
                <c:pt idx="378">
                  <c:v>0.43204809311047221</c:v>
                </c:pt>
                <c:pt idx="379">
                  <c:v>-0.23750250202977419</c:v>
                </c:pt>
                <c:pt idx="380">
                  <c:v>-0.3340118100763948</c:v>
                </c:pt>
                <c:pt idx="381">
                  <c:v>0.86833701212135517</c:v>
                </c:pt>
                <c:pt idx="382">
                  <c:v>0.25238971676325844</c:v>
                </c:pt>
                <c:pt idx="383">
                  <c:v>1.5882749123735562E-2</c:v>
                </c:pt>
                <c:pt idx="384">
                  <c:v>0.20064539716861943</c:v>
                </c:pt>
                <c:pt idx="385">
                  <c:v>-0.50914711980892557</c:v>
                </c:pt>
                <c:pt idx="386">
                  <c:v>-0.76938349776008752</c:v>
                </c:pt>
                <c:pt idx="387">
                  <c:v>0.52736503278424107</c:v>
                </c:pt>
                <c:pt idx="388">
                  <c:v>-1.4402748524939385E-2</c:v>
                </c:pt>
                <c:pt idx="389">
                  <c:v>-0.18652002463997755</c:v>
                </c:pt>
                <c:pt idx="390">
                  <c:v>-0.36132900071142104</c:v>
                </c:pt>
                <c:pt idx="391">
                  <c:v>0.60022245804853425</c:v>
                </c:pt>
                <c:pt idx="392">
                  <c:v>-0.13435186782593048</c:v>
                </c:pt>
                <c:pt idx="393">
                  <c:v>0.16548239999390504</c:v>
                </c:pt>
                <c:pt idx="394">
                  <c:v>0.37102510330224292</c:v>
                </c:pt>
                <c:pt idx="395">
                  <c:v>0.29157535119377598</c:v>
                </c:pt>
                <c:pt idx="396">
                  <c:v>-6.2498495728281249E-2</c:v>
                </c:pt>
                <c:pt idx="397">
                  <c:v>-0.15655239334527576</c:v>
                </c:pt>
                <c:pt idx="398">
                  <c:v>0.4107628604972508</c:v>
                </c:pt>
                <c:pt idx="399">
                  <c:v>-6.561140431575177E-2</c:v>
                </c:pt>
                <c:pt idx="400">
                  <c:v>-0.20778169219374343</c:v>
                </c:pt>
                <c:pt idx="401">
                  <c:v>6.0344727680311905E-2</c:v>
                </c:pt>
                <c:pt idx="402">
                  <c:v>-0.70561030806435432</c:v>
                </c:pt>
                <c:pt idx="403">
                  <c:v>-0.18363855253785658</c:v>
                </c:pt>
                <c:pt idx="404">
                  <c:v>-0.19711808199379091</c:v>
                </c:pt>
                <c:pt idx="405">
                  <c:v>-0.73324319849925601</c:v>
                </c:pt>
                <c:pt idx="406">
                  <c:v>0.940166473597154</c:v>
                </c:pt>
                <c:pt idx="407">
                  <c:v>6.158628822496752E-2</c:v>
                </c:pt>
                <c:pt idx="408">
                  <c:v>-0.16784695410326919</c:v>
                </c:pt>
                <c:pt idx="409">
                  <c:v>0.45454974118632729</c:v>
                </c:pt>
                <c:pt idx="410">
                  <c:v>0.22082580167203167</c:v>
                </c:pt>
                <c:pt idx="411">
                  <c:v>-7.5953021596441156E-2</c:v>
                </c:pt>
                <c:pt idx="412">
                  <c:v>5.5433358624923254E-2</c:v>
                </c:pt>
                <c:pt idx="413">
                  <c:v>0.6015608244203835</c:v>
                </c:pt>
                <c:pt idx="414">
                  <c:v>0.51558954457150008</c:v>
                </c:pt>
                <c:pt idx="415">
                  <c:v>-0.51688544568152228</c:v>
                </c:pt>
                <c:pt idx="416">
                  <c:v>0.46971732591707044</c:v>
                </c:pt>
                <c:pt idx="417">
                  <c:v>-0.20044866864190364</c:v>
                </c:pt>
                <c:pt idx="418">
                  <c:v>-0.39731550618660399</c:v>
                </c:pt>
                <c:pt idx="419">
                  <c:v>4.6824341168871422E-2</c:v>
                </c:pt>
                <c:pt idx="420">
                  <c:v>0.75520885779403157</c:v>
                </c:pt>
                <c:pt idx="421">
                  <c:v>-0.12309297892184176</c:v>
                </c:pt>
                <c:pt idx="422">
                  <c:v>-0.67454672918029468</c:v>
                </c:pt>
                <c:pt idx="423">
                  <c:v>-0.28939297383463652</c:v>
                </c:pt>
                <c:pt idx="424">
                  <c:v>0.37790375481012134</c:v>
                </c:pt>
                <c:pt idx="425">
                  <c:v>0.31912136851679329</c:v>
                </c:pt>
                <c:pt idx="426">
                  <c:v>0.28428278540785928</c:v>
                </c:pt>
                <c:pt idx="427">
                  <c:v>0.13061836236660734</c:v>
                </c:pt>
                <c:pt idx="428">
                  <c:v>0.19185884454539623</c:v>
                </c:pt>
                <c:pt idx="429">
                  <c:v>-0.17075904023109315</c:v>
                </c:pt>
                <c:pt idx="430">
                  <c:v>-2.1247092047839918E-2</c:v>
                </c:pt>
                <c:pt idx="431">
                  <c:v>-0.65973947365611163</c:v>
                </c:pt>
                <c:pt idx="432">
                  <c:v>7.7071026504755141E-2</c:v>
                </c:pt>
                <c:pt idx="433">
                  <c:v>-1.6334350838338469E-2</c:v>
                </c:pt>
                <c:pt idx="434">
                  <c:v>0.21028027411876671</c:v>
                </c:pt>
                <c:pt idx="435">
                  <c:v>2.7108748505418272E-2</c:v>
                </c:pt>
                <c:pt idx="436">
                  <c:v>-0.17148841264058004</c:v>
                </c:pt>
                <c:pt idx="437">
                  <c:v>-0.38613382889968118</c:v>
                </c:pt>
                <c:pt idx="438">
                  <c:v>0.13774997121326615</c:v>
                </c:pt>
                <c:pt idx="439">
                  <c:v>0.2492942077041844</c:v>
                </c:pt>
                <c:pt idx="440">
                  <c:v>0.44709876695144035</c:v>
                </c:pt>
                <c:pt idx="441">
                  <c:v>-0.38884490807016181</c:v>
                </c:pt>
                <c:pt idx="442">
                  <c:v>-0.51211162613165295</c:v>
                </c:pt>
                <c:pt idx="443">
                  <c:v>0.29736930295375746</c:v>
                </c:pt>
                <c:pt idx="444">
                  <c:v>0.53090500726609002</c:v>
                </c:pt>
                <c:pt idx="445">
                  <c:v>0.30273006904895328</c:v>
                </c:pt>
                <c:pt idx="446">
                  <c:v>-0.78409674444321142</c:v>
                </c:pt>
                <c:pt idx="447">
                  <c:v>-0.10715033798469203</c:v>
                </c:pt>
                <c:pt idx="448">
                  <c:v>0.10579448993628845</c:v>
                </c:pt>
                <c:pt idx="449">
                  <c:v>0.4828541205567724</c:v>
                </c:pt>
                <c:pt idx="450">
                  <c:v>-0.50277017346608699</c:v>
                </c:pt>
                <c:pt idx="451">
                  <c:v>-0.22829043474369101</c:v>
                </c:pt>
                <c:pt idx="452">
                  <c:v>0.14043740862467319</c:v>
                </c:pt>
                <c:pt idx="453">
                  <c:v>-0.49500199589043659</c:v>
                </c:pt>
                <c:pt idx="454">
                  <c:v>-0.48889921045317775</c:v>
                </c:pt>
                <c:pt idx="455">
                  <c:v>1.8145417531813039E-2</c:v>
                </c:pt>
                <c:pt idx="456">
                  <c:v>-0.48560889751101266</c:v>
                </c:pt>
                <c:pt idx="457">
                  <c:v>-0.51098918333234988</c:v>
                </c:pt>
                <c:pt idx="458">
                  <c:v>0.20705161195842162</c:v>
                </c:pt>
                <c:pt idx="459">
                  <c:v>-7.3889797231928248E-2</c:v>
                </c:pt>
                <c:pt idx="460">
                  <c:v>0.24062564051132393</c:v>
                </c:pt>
                <c:pt idx="461">
                  <c:v>0.14829716755643413</c:v>
                </c:pt>
                <c:pt idx="462">
                  <c:v>3.0543050760813019E-2</c:v>
                </c:pt>
                <c:pt idx="463">
                  <c:v>-9.0382764737736709E-2</c:v>
                </c:pt>
                <c:pt idx="464">
                  <c:v>0.56439113798644669</c:v>
                </c:pt>
                <c:pt idx="465">
                  <c:v>-0.18941486768129548</c:v>
                </c:pt>
                <c:pt idx="466">
                  <c:v>-0.38771137543730777</c:v>
                </c:pt>
                <c:pt idx="467">
                  <c:v>-4.3655771372523425E-2</c:v>
                </c:pt>
                <c:pt idx="468">
                  <c:v>0.15944681112710629</c:v>
                </c:pt>
                <c:pt idx="469">
                  <c:v>0.63099355771132748</c:v>
                </c:pt>
                <c:pt idx="470">
                  <c:v>-0.24493732046857786</c:v>
                </c:pt>
                <c:pt idx="471">
                  <c:v>7.4886279051095961E-2</c:v>
                </c:pt>
                <c:pt idx="472">
                  <c:v>-0.52486776587143047</c:v>
                </c:pt>
                <c:pt idx="473">
                  <c:v>0.87888623616197337</c:v>
                </c:pt>
                <c:pt idx="474">
                  <c:v>0.30883830294820008</c:v>
                </c:pt>
                <c:pt idx="475">
                  <c:v>-6.2955717822360119E-2</c:v>
                </c:pt>
                <c:pt idx="476">
                  <c:v>-0.19175197583442588</c:v>
                </c:pt>
                <c:pt idx="477">
                  <c:v>0.36335602643264381</c:v>
                </c:pt>
                <c:pt idx="478">
                  <c:v>-1.0838543874880228E-2</c:v>
                </c:pt>
                <c:pt idx="479">
                  <c:v>0.49248180330750529</c:v>
                </c:pt>
                <c:pt idx="480">
                  <c:v>0.29260141610837348</c:v>
                </c:pt>
                <c:pt idx="481">
                  <c:v>0.74378671931207851</c:v>
                </c:pt>
                <c:pt idx="482">
                  <c:v>-4.3049912862301476E-2</c:v>
                </c:pt>
                <c:pt idx="483">
                  <c:v>0.87526450471832562</c:v>
                </c:pt>
                <c:pt idx="484">
                  <c:v>4.2508008278199214E-2</c:v>
                </c:pt>
                <c:pt idx="485">
                  <c:v>-0.21454604838616301</c:v>
                </c:pt>
                <c:pt idx="486">
                  <c:v>0.23046866759137805</c:v>
                </c:pt>
                <c:pt idx="487">
                  <c:v>0.41438713523945153</c:v>
                </c:pt>
                <c:pt idx="488">
                  <c:v>0.20660336618282785</c:v>
                </c:pt>
                <c:pt idx="489">
                  <c:v>2.8826860346276906E-2</c:v>
                </c:pt>
                <c:pt idx="490">
                  <c:v>-0.43360389318549231</c:v>
                </c:pt>
                <c:pt idx="491">
                  <c:v>-0.19886858125794243</c:v>
                </c:pt>
                <c:pt idx="492">
                  <c:v>-0.4276716583381292</c:v>
                </c:pt>
                <c:pt idx="493">
                  <c:v>1.0401597114886257E-2</c:v>
                </c:pt>
                <c:pt idx="494">
                  <c:v>-0.43017487853806113</c:v>
                </c:pt>
                <c:pt idx="495">
                  <c:v>-0.36573074094533126</c:v>
                </c:pt>
                <c:pt idx="496">
                  <c:v>0.15113610936428404</c:v>
                </c:pt>
                <c:pt idx="497">
                  <c:v>-0.61395280011585174</c:v>
                </c:pt>
                <c:pt idx="498">
                  <c:v>-0.95537128395130655</c:v>
                </c:pt>
                <c:pt idx="499">
                  <c:v>0.98491950651958171</c:v>
                </c:pt>
              </c:numCache>
            </c:numRef>
          </c:xVal>
          <c:yVal>
            <c:numRef>
              <c:f>'non-uniforme cercle (attention)'!$X$6:$X$505</c:f>
              <c:numCache>
                <c:formatCode>General</c:formatCode>
                <c:ptCount val="500"/>
                <c:pt idx="0">
                  <c:v>0.62335159003960028</c:v>
                </c:pt>
                <c:pt idx="1">
                  <c:v>0.50593450254750438</c:v>
                </c:pt>
                <c:pt idx="2">
                  <c:v>-0.10139756824374746</c:v>
                </c:pt>
                <c:pt idx="3">
                  <c:v>-0.19255529413452255</c:v>
                </c:pt>
                <c:pt idx="4">
                  <c:v>-0.21170871207574052</c:v>
                </c:pt>
                <c:pt idx="5">
                  <c:v>-3.712537930599355E-2</c:v>
                </c:pt>
                <c:pt idx="6">
                  <c:v>5.3524059585291134E-2</c:v>
                </c:pt>
                <c:pt idx="7">
                  <c:v>0.21902879464320826</c:v>
                </c:pt>
                <c:pt idx="8">
                  <c:v>-0.70139672369884987</c:v>
                </c:pt>
                <c:pt idx="9">
                  <c:v>-0.47176698597322192</c:v>
                </c:pt>
                <c:pt idx="10">
                  <c:v>-0.47822386125566324</c:v>
                </c:pt>
                <c:pt idx="11">
                  <c:v>0.56020785470559342</c:v>
                </c:pt>
                <c:pt idx="12">
                  <c:v>5.6270343021638716E-3</c:v>
                </c:pt>
                <c:pt idx="13">
                  <c:v>-0.13016852952038799</c:v>
                </c:pt>
                <c:pt idx="14">
                  <c:v>0.13875438859817865</c:v>
                </c:pt>
                <c:pt idx="15">
                  <c:v>0.34388294460967539</c:v>
                </c:pt>
                <c:pt idx="16">
                  <c:v>0.49683216506358024</c:v>
                </c:pt>
                <c:pt idx="17">
                  <c:v>0.52643535863780933</c:v>
                </c:pt>
                <c:pt idx="18">
                  <c:v>0.11249435417114748</c:v>
                </c:pt>
                <c:pt idx="19">
                  <c:v>2.221732052839058E-2</c:v>
                </c:pt>
                <c:pt idx="20">
                  <c:v>0.25649642666897321</c:v>
                </c:pt>
                <c:pt idx="21">
                  <c:v>6.2650192472505487E-2</c:v>
                </c:pt>
                <c:pt idx="22">
                  <c:v>8.9804727765249462E-2</c:v>
                </c:pt>
                <c:pt idx="23">
                  <c:v>-0.41623061716897114</c:v>
                </c:pt>
                <c:pt idx="24">
                  <c:v>0.58457312381097215</c:v>
                </c:pt>
                <c:pt idx="25">
                  <c:v>-0.61736830815656762</c:v>
                </c:pt>
                <c:pt idx="26">
                  <c:v>-0.80694525876080236</c:v>
                </c:pt>
                <c:pt idx="27">
                  <c:v>0.10043291307686147</c:v>
                </c:pt>
                <c:pt idx="28">
                  <c:v>-0.7325159472556857</c:v>
                </c:pt>
                <c:pt idx="29">
                  <c:v>0.28393265139453738</c:v>
                </c:pt>
                <c:pt idx="30">
                  <c:v>-1.2628890497675673E-3</c:v>
                </c:pt>
                <c:pt idx="31">
                  <c:v>-0.18506116336890172</c:v>
                </c:pt>
                <c:pt idx="32">
                  <c:v>0.7081167076998286</c:v>
                </c:pt>
                <c:pt idx="33">
                  <c:v>-0.12130112208918575</c:v>
                </c:pt>
                <c:pt idx="34">
                  <c:v>-0.20199727541780377</c:v>
                </c:pt>
                <c:pt idx="35">
                  <c:v>-0.64876347907745346</c:v>
                </c:pt>
                <c:pt idx="36">
                  <c:v>2.2023512615108248E-2</c:v>
                </c:pt>
                <c:pt idx="37">
                  <c:v>-7.0774141119563705E-2</c:v>
                </c:pt>
                <c:pt idx="38">
                  <c:v>0.59906661420964258</c:v>
                </c:pt>
                <c:pt idx="39">
                  <c:v>0.29496492738748714</c:v>
                </c:pt>
                <c:pt idx="40">
                  <c:v>0.18999596979469302</c:v>
                </c:pt>
                <c:pt idx="41">
                  <c:v>-7.0857018498104871E-2</c:v>
                </c:pt>
                <c:pt idx="42">
                  <c:v>8.3477957748468473E-2</c:v>
                </c:pt>
                <c:pt idx="43">
                  <c:v>0.42245757898291803</c:v>
                </c:pt>
                <c:pt idx="44">
                  <c:v>-0.15664891611263462</c:v>
                </c:pt>
                <c:pt idx="45">
                  <c:v>0.24023175713036202</c:v>
                </c:pt>
                <c:pt idx="46">
                  <c:v>-8.012998903687946E-3</c:v>
                </c:pt>
                <c:pt idx="47">
                  <c:v>0.15747200186998336</c:v>
                </c:pt>
                <c:pt idx="48">
                  <c:v>1.496931561636803E-2</c:v>
                </c:pt>
                <c:pt idx="49">
                  <c:v>-0.15699626594172497</c:v>
                </c:pt>
                <c:pt idx="50">
                  <c:v>-9.180938776528284E-3</c:v>
                </c:pt>
                <c:pt idx="51">
                  <c:v>-8.4561969774415949E-2</c:v>
                </c:pt>
                <c:pt idx="52">
                  <c:v>-0.29164577055232715</c:v>
                </c:pt>
                <c:pt idx="53">
                  <c:v>0.12920939768398065</c:v>
                </c:pt>
                <c:pt idx="54">
                  <c:v>0.22653223804348224</c:v>
                </c:pt>
                <c:pt idx="55">
                  <c:v>2.0301320957334841E-3</c:v>
                </c:pt>
                <c:pt idx="56">
                  <c:v>0.68106494000523543</c:v>
                </c:pt>
                <c:pt idx="57">
                  <c:v>0.16308638747167953</c:v>
                </c:pt>
                <c:pt idx="58">
                  <c:v>-0.16874111741122078</c:v>
                </c:pt>
                <c:pt idx="59">
                  <c:v>-0.44935338686086773</c:v>
                </c:pt>
                <c:pt idx="60">
                  <c:v>0.29312168322095805</c:v>
                </c:pt>
                <c:pt idx="61">
                  <c:v>0.10267107895097921</c:v>
                </c:pt>
                <c:pt idx="62">
                  <c:v>0.18002376652805963</c:v>
                </c:pt>
                <c:pt idx="63">
                  <c:v>0.50029551936242322</c:v>
                </c:pt>
                <c:pt idx="64">
                  <c:v>0.50734337244533445</c:v>
                </c:pt>
                <c:pt idx="65">
                  <c:v>1.1480746838508721E-2</c:v>
                </c:pt>
                <c:pt idx="66">
                  <c:v>-0.67931294654636654</c:v>
                </c:pt>
                <c:pt idx="67">
                  <c:v>-3.0999234509283529E-3</c:v>
                </c:pt>
                <c:pt idx="68">
                  <c:v>-0.27259194449208868</c:v>
                </c:pt>
                <c:pt idx="69">
                  <c:v>-0.14135106582719792</c:v>
                </c:pt>
                <c:pt idx="70">
                  <c:v>-0.45629818395844346</c:v>
                </c:pt>
                <c:pt idx="71">
                  <c:v>-2.8025776374732924E-2</c:v>
                </c:pt>
                <c:pt idx="72">
                  <c:v>8.1206496655042912E-3</c:v>
                </c:pt>
                <c:pt idx="73">
                  <c:v>0.31837783421133553</c:v>
                </c:pt>
                <c:pt idx="74">
                  <c:v>0.25973031897432153</c:v>
                </c:pt>
                <c:pt idx="75">
                  <c:v>-0.41396497793660431</c:v>
                </c:pt>
                <c:pt idx="76">
                  <c:v>-4.3612482474974387E-2</c:v>
                </c:pt>
                <c:pt idx="77">
                  <c:v>-0.11049251579035575</c:v>
                </c:pt>
                <c:pt idx="78">
                  <c:v>0.42427606804125578</c:v>
                </c:pt>
                <c:pt idx="79">
                  <c:v>0.45868767738962224</c:v>
                </c:pt>
                <c:pt idx="80">
                  <c:v>-2.5024400963677078E-2</c:v>
                </c:pt>
                <c:pt idx="81">
                  <c:v>-0.68823557264708324</c:v>
                </c:pt>
                <c:pt idx="82">
                  <c:v>0.54744977636033643</c:v>
                </c:pt>
                <c:pt idx="83">
                  <c:v>0.11742136816159389</c:v>
                </c:pt>
                <c:pt idx="84">
                  <c:v>0.16335202726791098</c:v>
                </c:pt>
                <c:pt idx="85">
                  <c:v>-0.19465508155266667</c:v>
                </c:pt>
                <c:pt idx="86">
                  <c:v>-0.23597964791342205</c:v>
                </c:pt>
                <c:pt idx="87">
                  <c:v>0.11012866617812198</c:v>
                </c:pt>
                <c:pt idx="88">
                  <c:v>-0.14452706604622259</c:v>
                </c:pt>
                <c:pt idx="89">
                  <c:v>0.89525158831914997</c:v>
                </c:pt>
                <c:pt idx="90">
                  <c:v>2.1793011084425801E-2</c:v>
                </c:pt>
                <c:pt idx="91">
                  <c:v>0.43699896309819058</c:v>
                </c:pt>
                <c:pt idx="92">
                  <c:v>-0.78639326224145456</c:v>
                </c:pt>
                <c:pt idx="93">
                  <c:v>-0.45767492998972525</c:v>
                </c:pt>
                <c:pt idx="94">
                  <c:v>2.1822648737109963E-2</c:v>
                </c:pt>
                <c:pt idx="95">
                  <c:v>-0.39433021074625929</c:v>
                </c:pt>
                <c:pt idx="96">
                  <c:v>-0.76390603838032944</c:v>
                </c:pt>
                <c:pt idx="97">
                  <c:v>-0.50703523806921191</c:v>
                </c:pt>
                <c:pt idx="98">
                  <c:v>-4.0104591733633059E-2</c:v>
                </c:pt>
                <c:pt idx="99">
                  <c:v>-0.94048366017936469</c:v>
                </c:pt>
                <c:pt idx="100">
                  <c:v>0.11795465348080451</c:v>
                </c:pt>
                <c:pt idx="101">
                  <c:v>0.64697514636312636</c:v>
                </c:pt>
                <c:pt idx="102">
                  <c:v>-0.60586144626696159</c:v>
                </c:pt>
                <c:pt idx="103">
                  <c:v>-0.48883769052578468</c:v>
                </c:pt>
                <c:pt idx="104">
                  <c:v>-0.69830213989694956</c:v>
                </c:pt>
                <c:pt idx="105">
                  <c:v>8.9499355757990479E-2</c:v>
                </c:pt>
                <c:pt idx="106">
                  <c:v>-0.17754098292701659</c:v>
                </c:pt>
                <c:pt idx="107">
                  <c:v>0.49796530771960251</c:v>
                </c:pt>
                <c:pt idx="108">
                  <c:v>0.18160001910114582</c:v>
                </c:pt>
                <c:pt idx="109">
                  <c:v>0.52377998603962794</c:v>
                </c:pt>
                <c:pt idx="110">
                  <c:v>-0.64100510050136061</c:v>
                </c:pt>
                <c:pt idx="111">
                  <c:v>-0.49605376898040976</c:v>
                </c:pt>
                <c:pt idx="112">
                  <c:v>-0.35780631003869728</c:v>
                </c:pt>
                <c:pt idx="113">
                  <c:v>0.84227163276403538</c:v>
                </c:pt>
                <c:pt idx="114">
                  <c:v>8.313432024723736E-3</c:v>
                </c:pt>
                <c:pt idx="115">
                  <c:v>-1.0313540704748558E-2</c:v>
                </c:pt>
                <c:pt idx="116">
                  <c:v>0.75907558501120298</c:v>
                </c:pt>
                <c:pt idx="117">
                  <c:v>0.71652762729939923</c:v>
                </c:pt>
                <c:pt idx="118">
                  <c:v>0.43148940371940048</c:v>
                </c:pt>
                <c:pt idx="119">
                  <c:v>0.18613130300107475</c:v>
                </c:pt>
                <c:pt idx="120">
                  <c:v>7.2683874745328503E-2</c:v>
                </c:pt>
                <c:pt idx="121">
                  <c:v>-9.1556753230155469E-2</c:v>
                </c:pt>
                <c:pt idx="122">
                  <c:v>-0.80627524073626455</c:v>
                </c:pt>
                <c:pt idx="123">
                  <c:v>-0.52218607940963158</c:v>
                </c:pt>
                <c:pt idx="124">
                  <c:v>-0.19042568303891061</c:v>
                </c:pt>
                <c:pt idx="125">
                  <c:v>-0.6356950663110682</c:v>
                </c:pt>
                <c:pt idx="126">
                  <c:v>0.39889589544988868</c:v>
                </c:pt>
                <c:pt idx="127">
                  <c:v>-0.3095358977309397</c:v>
                </c:pt>
                <c:pt idx="128">
                  <c:v>2.0251984057510889E-2</c:v>
                </c:pt>
                <c:pt idx="129">
                  <c:v>-0.24980328692608331</c:v>
                </c:pt>
                <c:pt idx="130">
                  <c:v>-0.15506395157994018</c:v>
                </c:pt>
                <c:pt idx="131">
                  <c:v>0.61800345825276337</c:v>
                </c:pt>
                <c:pt idx="132">
                  <c:v>-0.41692642978615363</c:v>
                </c:pt>
                <c:pt idx="133">
                  <c:v>-0.27633671394848802</c:v>
                </c:pt>
                <c:pt idx="134">
                  <c:v>0.13738592170850969</c:v>
                </c:pt>
                <c:pt idx="135">
                  <c:v>5.5186737792331927E-3</c:v>
                </c:pt>
                <c:pt idx="136">
                  <c:v>0.20953696734616659</c:v>
                </c:pt>
                <c:pt idx="137">
                  <c:v>-0.71429812480869781</c:v>
                </c:pt>
                <c:pt idx="138">
                  <c:v>-0.42151450021090969</c:v>
                </c:pt>
                <c:pt idx="139">
                  <c:v>4.0621574091379356E-2</c:v>
                </c:pt>
                <c:pt idx="140">
                  <c:v>-0.16379359373469687</c:v>
                </c:pt>
                <c:pt idx="141">
                  <c:v>-0.45107798571747448</c:v>
                </c:pt>
                <c:pt idx="142">
                  <c:v>4.9401710301317868E-2</c:v>
                </c:pt>
                <c:pt idx="143">
                  <c:v>-6.5959563200375416E-3</c:v>
                </c:pt>
                <c:pt idx="144">
                  <c:v>-0.44314438057998928</c:v>
                </c:pt>
                <c:pt idx="145">
                  <c:v>0.57670324017964836</c:v>
                </c:pt>
                <c:pt idx="146">
                  <c:v>0.2539547125659623</c:v>
                </c:pt>
                <c:pt idx="147">
                  <c:v>-0.31853053585739644</c:v>
                </c:pt>
                <c:pt idx="148">
                  <c:v>-0.17304140959752562</c:v>
                </c:pt>
                <c:pt idx="149">
                  <c:v>-0.89581039076556013</c:v>
                </c:pt>
                <c:pt idx="150">
                  <c:v>0.57052942496804493</c:v>
                </c:pt>
                <c:pt idx="151">
                  <c:v>-0.23779579461898151</c:v>
                </c:pt>
                <c:pt idx="152">
                  <c:v>-0.12144490702766186</c:v>
                </c:pt>
                <c:pt idx="153">
                  <c:v>0.69784995352468238</c:v>
                </c:pt>
                <c:pt idx="154">
                  <c:v>0.10758595775094172</c:v>
                </c:pt>
                <c:pt idx="155">
                  <c:v>0.25746459502866453</c:v>
                </c:pt>
                <c:pt idx="156">
                  <c:v>0.13260466171926064</c:v>
                </c:pt>
                <c:pt idx="157">
                  <c:v>0.25233957286523589</c:v>
                </c:pt>
                <c:pt idx="158">
                  <c:v>6.4913872953810348E-2</c:v>
                </c:pt>
                <c:pt idx="159">
                  <c:v>0.28515576173106388</c:v>
                </c:pt>
                <c:pt idx="160">
                  <c:v>-0.15328850922586842</c:v>
                </c:pt>
                <c:pt idx="161">
                  <c:v>-0.45721123339522263</c:v>
                </c:pt>
                <c:pt idx="162">
                  <c:v>0.31468410748433534</c:v>
                </c:pt>
                <c:pt idx="163">
                  <c:v>-0.60464368938635116</c:v>
                </c:pt>
                <c:pt idx="164">
                  <c:v>-0.17870270630404658</c:v>
                </c:pt>
                <c:pt idx="165">
                  <c:v>0.1731447612220097</c:v>
                </c:pt>
                <c:pt idx="166">
                  <c:v>-0.51130543737814749</c:v>
                </c:pt>
                <c:pt idx="167">
                  <c:v>-0.69392307817980003</c:v>
                </c:pt>
                <c:pt idx="168">
                  <c:v>-4.438005126223684E-2</c:v>
                </c:pt>
                <c:pt idx="169">
                  <c:v>0.36182966540052797</c:v>
                </c:pt>
                <c:pt idx="170">
                  <c:v>-0.76870160921614494</c:v>
                </c:pt>
                <c:pt idx="171">
                  <c:v>-0.64407102153445428</c:v>
                </c:pt>
                <c:pt idx="172">
                  <c:v>2.9401532814960721E-2</c:v>
                </c:pt>
                <c:pt idx="173">
                  <c:v>-0.30284060660768658</c:v>
                </c:pt>
                <c:pt idx="174">
                  <c:v>0.96849900300465441</c:v>
                </c:pt>
                <c:pt idx="175">
                  <c:v>-0.18032148448802446</c:v>
                </c:pt>
                <c:pt idx="176">
                  <c:v>0.70626529933174487</c:v>
                </c:pt>
                <c:pt idx="177">
                  <c:v>0.32458341407486235</c:v>
                </c:pt>
                <c:pt idx="178">
                  <c:v>-0.3129220351649537</c:v>
                </c:pt>
                <c:pt idx="179">
                  <c:v>0.78987467147331325</c:v>
                </c:pt>
                <c:pt idx="180">
                  <c:v>0.49188685423525469</c:v>
                </c:pt>
                <c:pt idx="181">
                  <c:v>-0.10664994297627423</c:v>
                </c:pt>
                <c:pt idx="182">
                  <c:v>0.53537074370543292</c:v>
                </c:pt>
                <c:pt idx="183">
                  <c:v>0.53513168493222307</c:v>
                </c:pt>
                <c:pt idx="184">
                  <c:v>8.1516889380820565E-2</c:v>
                </c:pt>
                <c:pt idx="185">
                  <c:v>-0.74576502599967898</c:v>
                </c:pt>
                <c:pt idx="186">
                  <c:v>0.27313609555368501</c:v>
                </c:pt>
                <c:pt idx="187">
                  <c:v>0.184749911408541</c:v>
                </c:pt>
                <c:pt idx="188">
                  <c:v>0.77401381798244573</c:v>
                </c:pt>
                <c:pt idx="189">
                  <c:v>0.46431497021064155</c:v>
                </c:pt>
                <c:pt idx="190">
                  <c:v>-0.34098028652729523</c:v>
                </c:pt>
                <c:pt idx="191">
                  <c:v>0.39741359588248903</c:v>
                </c:pt>
                <c:pt idx="192">
                  <c:v>-0.72029219362061758</c:v>
                </c:pt>
                <c:pt idx="193">
                  <c:v>0.2139809368925876</c:v>
                </c:pt>
                <c:pt idx="194">
                  <c:v>-0.27625234873554194</c:v>
                </c:pt>
                <c:pt idx="195">
                  <c:v>-0.19169502880656411</c:v>
                </c:pt>
                <c:pt idx="196">
                  <c:v>0.53275619750697267</c:v>
                </c:pt>
                <c:pt idx="197">
                  <c:v>-0.5080498066396284</c:v>
                </c:pt>
                <c:pt idx="198">
                  <c:v>9.7385129901801162E-2</c:v>
                </c:pt>
                <c:pt idx="199">
                  <c:v>-0.51201483773560197</c:v>
                </c:pt>
                <c:pt idx="200">
                  <c:v>-5.2846269550546152E-2</c:v>
                </c:pt>
                <c:pt idx="201">
                  <c:v>-0.33222755882662797</c:v>
                </c:pt>
                <c:pt idx="202">
                  <c:v>-3.3675190153939397E-2</c:v>
                </c:pt>
                <c:pt idx="203">
                  <c:v>5.767309976890659E-2</c:v>
                </c:pt>
                <c:pt idx="204">
                  <c:v>-8.4876474166292015E-2</c:v>
                </c:pt>
                <c:pt idx="205">
                  <c:v>5.9050586924646988E-3</c:v>
                </c:pt>
                <c:pt idx="206">
                  <c:v>-0.71129151880587249</c:v>
                </c:pt>
                <c:pt idx="207">
                  <c:v>-0.26143262767280184</c:v>
                </c:pt>
                <c:pt idx="208">
                  <c:v>0.31146982163435266</c:v>
                </c:pt>
                <c:pt idx="209">
                  <c:v>5.5957435042475009E-2</c:v>
                </c:pt>
                <c:pt idx="210">
                  <c:v>-0.35825109867212368</c:v>
                </c:pt>
                <c:pt idx="211">
                  <c:v>0.25737473777666392</c:v>
                </c:pt>
                <c:pt idx="212">
                  <c:v>6.026193636313798E-2</c:v>
                </c:pt>
                <c:pt idx="213">
                  <c:v>0.44577537367854775</c:v>
                </c:pt>
                <c:pt idx="214">
                  <c:v>0.11551687583970188</c:v>
                </c:pt>
                <c:pt idx="215">
                  <c:v>-0.12814196496982361</c:v>
                </c:pt>
                <c:pt idx="216">
                  <c:v>-0.34655343711995995</c:v>
                </c:pt>
                <c:pt idx="217">
                  <c:v>-0.30563457297597096</c:v>
                </c:pt>
                <c:pt idx="218">
                  <c:v>4.1894967373943791E-2</c:v>
                </c:pt>
                <c:pt idx="219">
                  <c:v>0.16433910279943545</c:v>
                </c:pt>
                <c:pt idx="220">
                  <c:v>0.88128713687463489</c:v>
                </c:pt>
                <c:pt idx="221">
                  <c:v>-0.47137906149010733</c:v>
                </c:pt>
                <c:pt idx="222">
                  <c:v>0.45304508274737582</c:v>
                </c:pt>
                <c:pt idx="223">
                  <c:v>0.18528749827128083</c:v>
                </c:pt>
                <c:pt idx="224">
                  <c:v>0.38688002458813792</c:v>
                </c:pt>
                <c:pt idx="225">
                  <c:v>-0.52452816379693112</c:v>
                </c:pt>
                <c:pt idx="226">
                  <c:v>-0.65966942800417416</c:v>
                </c:pt>
                <c:pt idx="227">
                  <c:v>-0.2962015442682645</c:v>
                </c:pt>
                <c:pt idx="228">
                  <c:v>-2.7681929142227658E-2</c:v>
                </c:pt>
                <c:pt idx="229">
                  <c:v>1.1284899987366166E-2</c:v>
                </c:pt>
                <c:pt idx="230">
                  <c:v>0.27506650218275103</c:v>
                </c:pt>
                <c:pt idx="231">
                  <c:v>0.65497431454663624</c:v>
                </c:pt>
                <c:pt idx="232">
                  <c:v>0.23304591172748512</c:v>
                </c:pt>
                <c:pt idx="233">
                  <c:v>0.16638107025951407</c:v>
                </c:pt>
                <c:pt idx="234">
                  <c:v>-0.14419463405341171</c:v>
                </c:pt>
                <c:pt idx="235">
                  <c:v>0.69894407714061524</c:v>
                </c:pt>
                <c:pt idx="236">
                  <c:v>-1.5114909363456256E-2</c:v>
                </c:pt>
                <c:pt idx="237">
                  <c:v>-3.872559300911585E-3</c:v>
                </c:pt>
                <c:pt idx="238">
                  <c:v>-0.27766921173299786</c:v>
                </c:pt>
                <c:pt idx="239">
                  <c:v>-0.316794734808092</c:v>
                </c:pt>
                <c:pt idx="240">
                  <c:v>0.19869347192315603</c:v>
                </c:pt>
                <c:pt idx="241">
                  <c:v>-6.2979453239481939E-2</c:v>
                </c:pt>
                <c:pt idx="242">
                  <c:v>-0.62639279372727863</c:v>
                </c:pt>
                <c:pt idx="243">
                  <c:v>-0.13877125322128628</c:v>
                </c:pt>
                <c:pt idx="244">
                  <c:v>-0.30831401224855581</c:v>
                </c:pt>
                <c:pt idx="245">
                  <c:v>0.20164151341118602</c:v>
                </c:pt>
                <c:pt idx="246">
                  <c:v>0.1846618232714333</c:v>
                </c:pt>
                <c:pt idx="247">
                  <c:v>-0.38902610665904114</c:v>
                </c:pt>
                <c:pt idx="248">
                  <c:v>-0.41874531059151349</c:v>
                </c:pt>
                <c:pt idx="249">
                  <c:v>0.24262706695485234</c:v>
                </c:pt>
                <c:pt idx="250">
                  <c:v>-7.4020887903145163E-2</c:v>
                </c:pt>
                <c:pt idx="251">
                  <c:v>0.51064659889748565</c:v>
                </c:pt>
                <c:pt idx="252">
                  <c:v>0.32375082170247621</c:v>
                </c:pt>
                <c:pt idx="253">
                  <c:v>0.64560377791389145</c:v>
                </c:pt>
                <c:pt idx="254">
                  <c:v>-0.37406292060386065</c:v>
                </c:pt>
                <c:pt idx="255">
                  <c:v>-0.62883622173483666</c:v>
                </c:pt>
                <c:pt idx="256">
                  <c:v>-0.9376396341729657</c:v>
                </c:pt>
                <c:pt idx="257">
                  <c:v>-0.73970065283992648</c:v>
                </c:pt>
                <c:pt idx="258">
                  <c:v>-0.10209457150045131</c:v>
                </c:pt>
                <c:pt idx="259">
                  <c:v>0.89369543686472352</c:v>
                </c:pt>
                <c:pt idx="260">
                  <c:v>0.26383086121602939</c:v>
                </c:pt>
                <c:pt idx="261">
                  <c:v>-6.2470353588014805E-3</c:v>
                </c:pt>
                <c:pt idx="262">
                  <c:v>-0.17957630911183756</c:v>
                </c:pt>
                <c:pt idx="263">
                  <c:v>0.1500876538644047</c:v>
                </c:pt>
                <c:pt idx="264">
                  <c:v>-0.38677563873455589</c:v>
                </c:pt>
                <c:pt idx="265">
                  <c:v>-0.13955309030399454</c:v>
                </c:pt>
                <c:pt idx="266">
                  <c:v>0.92399397549005047</c:v>
                </c:pt>
                <c:pt idx="267">
                  <c:v>-0.24735306943914087</c:v>
                </c:pt>
                <c:pt idx="268">
                  <c:v>-0.45243262340771789</c:v>
                </c:pt>
                <c:pt idx="269">
                  <c:v>0.6565976610346359</c:v>
                </c:pt>
                <c:pt idx="270">
                  <c:v>4.5858292484053792E-2</c:v>
                </c:pt>
                <c:pt idx="271">
                  <c:v>6.946665214300915E-2</c:v>
                </c:pt>
                <c:pt idx="272">
                  <c:v>-0.40684011827137523</c:v>
                </c:pt>
                <c:pt idx="273">
                  <c:v>-0.15804413793547836</c:v>
                </c:pt>
                <c:pt idx="274">
                  <c:v>-0.45846940936854153</c:v>
                </c:pt>
                <c:pt idx="275">
                  <c:v>0.92929276235150349</c:v>
                </c:pt>
                <c:pt idx="276">
                  <c:v>0.53984970746377192</c:v>
                </c:pt>
                <c:pt idx="277">
                  <c:v>0.35018850534808954</c:v>
                </c:pt>
                <c:pt idx="278">
                  <c:v>0.82257445041117838</c:v>
                </c:pt>
                <c:pt idx="279">
                  <c:v>0.1718272183556992</c:v>
                </c:pt>
                <c:pt idx="280">
                  <c:v>0.4525891856545125</c:v>
                </c:pt>
                <c:pt idx="281">
                  <c:v>0.41880498424664642</c:v>
                </c:pt>
                <c:pt idx="282">
                  <c:v>-0.96885489940355973</c:v>
                </c:pt>
                <c:pt idx="283">
                  <c:v>-0.1086066439823839</c:v>
                </c:pt>
                <c:pt idx="284">
                  <c:v>0.26485584176660626</c:v>
                </c:pt>
                <c:pt idx="285">
                  <c:v>0.27466421123651569</c:v>
                </c:pt>
                <c:pt idx="286">
                  <c:v>0.82641180308932805</c:v>
                </c:pt>
                <c:pt idx="287">
                  <c:v>-0.24425980458276109</c:v>
                </c:pt>
                <c:pt idx="288">
                  <c:v>2.6732406547259117E-2</c:v>
                </c:pt>
                <c:pt idx="289">
                  <c:v>0.32479411182443674</c:v>
                </c:pt>
                <c:pt idx="290">
                  <c:v>-0.53772101008274054</c:v>
                </c:pt>
                <c:pt idx="291">
                  <c:v>0.41296328771547391</c:v>
                </c:pt>
                <c:pt idx="292">
                  <c:v>0.45185338910060446</c:v>
                </c:pt>
                <c:pt idx="293">
                  <c:v>0.39753314598191003</c:v>
                </c:pt>
                <c:pt idx="294">
                  <c:v>0.16054536570199507</c:v>
                </c:pt>
                <c:pt idx="295">
                  <c:v>-0.48596550459711335</c:v>
                </c:pt>
                <c:pt idx="296">
                  <c:v>0.2966212657061183</c:v>
                </c:pt>
                <c:pt idx="297">
                  <c:v>0.40735368204104133</c:v>
                </c:pt>
                <c:pt idx="298">
                  <c:v>0.5741031285346726</c:v>
                </c:pt>
                <c:pt idx="299">
                  <c:v>8.0663254210237303E-2</c:v>
                </c:pt>
                <c:pt idx="300">
                  <c:v>0.58399631034355792</c:v>
                </c:pt>
                <c:pt idx="301">
                  <c:v>0.34146352330272267</c:v>
                </c:pt>
                <c:pt idx="302">
                  <c:v>-4.4737749645113602E-2</c:v>
                </c:pt>
                <c:pt idx="303">
                  <c:v>-0.50132479480570513</c:v>
                </c:pt>
                <c:pt idx="304">
                  <c:v>-0.4215654218823956</c:v>
                </c:pt>
                <c:pt idx="305">
                  <c:v>0.52582204914746378</c:v>
                </c:pt>
                <c:pt idx="306">
                  <c:v>-0.13103321270401599</c:v>
                </c:pt>
                <c:pt idx="307">
                  <c:v>0.10821063628329154</c:v>
                </c:pt>
                <c:pt idx="308">
                  <c:v>8.8828498714120047E-2</c:v>
                </c:pt>
                <c:pt idx="309">
                  <c:v>0.27284604685946062</c:v>
                </c:pt>
                <c:pt idx="310">
                  <c:v>-0.69551208310373691</c:v>
                </c:pt>
                <c:pt idx="311">
                  <c:v>0.25424313594623527</c:v>
                </c:pt>
                <c:pt idx="312">
                  <c:v>0.45564097276168103</c:v>
                </c:pt>
                <c:pt idx="313">
                  <c:v>-0.34270704062934398</c:v>
                </c:pt>
                <c:pt idx="314">
                  <c:v>-7.2131398322588164E-2</c:v>
                </c:pt>
                <c:pt idx="315">
                  <c:v>0.3155609816077275</c:v>
                </c:pt>
                <c:pt idx="316">
                  <c:v>0.72342207354451638</c:v>
                </c:pt>
                <c:pt idx="317">
                  <c:v>-0.34889774110641003</c:v>
                </c:pt>
                <c:pt idx="318">
                  <c:v>-0.30312490813873122</c:v>
                </c:pt>
                <c:pt idx="319">
                  <c:v>0.15570352766402937</c:v>
                </c:pt>
                <c:pt idx="320">
                  <c:v>-2.5766191336763961E-2</c:v>
                </c:pt>
                <c:pt idx="321">
                  <c:v>0.71127891869968973</c:v>
                </c:pt>
                <c:pt idx="322">
                  <c:v>0.53758096147697154</c:v>
                </c:pt>
                <c:pt idx="323">
                  <c:v>-0.12575585171714104</c:v>
                </c:pt>
                <c:pt idx="324">
                  <c:v>0.24177061168617536</c:v>
                </c:pt>
                <c:pt idx="325">
                  <c:v>-3.5489673234909681E-2</c:v>
                </c:pt>
                <c:pt idx="326">
                  <c:v>-0.23269599014597681</c:v>
                </c:pt>
                <c:pt idx="327">
                  <c:v>0.56022753291324501</c:v>
                </c:pt>
                <c:pt idx="328">
                  <c:v>-0.25070039957008644</c:v>
                </c:pt>
                <c:pt idx="329">
                  <c:v>-0.69425913274298556</c:v>
                </c:pt>
                <c:pt idx="330">
                  <c:v>0.25817853920603712</c:v>
                </c:pt>
                <c:pt idx="331">
                  <c:v>-0.54461254809178905</c:v>
                </c:pt>
                <c:pt idx="332">
                  <c:v>0.1324781785974396</c:v>
                </c:pt>
                <c:pt idx="333">
                  <c:v>-0.52847644216249645</c:v>
                </c:pt>
                <c:pt idx="334">
                  <c:v>-0.50917452126805807</c:v>
                </c:pt>
                <c:pt idx="335">
                  <c:v>-0.33517245803362455</c:v>
                </c:pt>
                <c:pt idx="336">
                  <c:v>0.83781790308105519</c:v>
                </c:pt>
                <c:pt idx="337">
                  <c:v>0.49917249732285857</c:v>
                </c:pt>
                <c:pt idx="338">
                  <c:v>-0.54295481802401724</c:v>
                </c:pt>
                <c:pt idx="339">
                  <c:v>-3.9476887892281442E-3</c:v>
                </c:pt>
                <c:pt idx="340">
                  <c:v>0.19546652930265959</c:v>
                </c:pt>
                <c:pt idx="341">
                  <c:v>-4.9806234741155055E-3</c:v>
                </c:pt>
                <c:pt idx="342">
                  <c:v>-0.37821007788040395</c:v>
                </c:pt>
                <c:pt idx="343">
                  <c:v>-0.91485522747845782</c:v>
                </c:pt>
                <c:pt idx="344">
                  <c:v>0.18545044591225629</c:v>
                </c:pt>
                <c:pt idx="345">
                  <c:v>0.18061078406953476</c:v>
                </c:pt>
                <c:pt idx="346">
                  <c:v>0.75826359996265924</c:v>
                </c:pt>
                <c:pt idx="347">
                  <c:v>0.66006808954323992</c:v>
                </c:pt>
                <c:pt idx="348">
                  <c:v>-0.12577461302168688</c:v>
                </c:pt>
                <c:pt idx="349">
                  <c:v>0.120773462778948</c:v>
                </c:pt>
                <c:pt idx="350">
                  <c:v>-0.3223962655499864</c:v>
                </c:pt>
                <c:pt idx="351">
                  <c:v>-0.2199095205599563</c:v>
                </c:pt>
                <c:pt idx="352">
                  <c:v>0.77883282393873166</c:v>
                </c:pt>
                <c:pt idx="353">
                  <c:v>8.7747377778816693E-2</c:v>
                </c:pt>
                <c:pt idx="354">
                  <c:v>-0.30253633890065457</c:v>
                </c:pt>
                <c:pt idx="355">
                  <c:v>0.59939279799904432</c:v>
                </c:pt>
                <c:pt idx="356">
                  <c:v>-0.36360127730926378</c:v>
                </c:pt>
                <c:pt idx="357">
                  <c:v>-4.3508833165044919E-2</c:v>
                </c:pt>
                <c:pt idx="358">
                  <c:v>0.56733543354000404</c:v>
                </c:pt>
                <c:pt idx="359">
                  <c:v>3.3249734822452345E-2</c:v>
                </c:pt>
                <c:pt idx="360">
                  <c:v>0.98777036460878365</c:v>
                </c:pt>
                <c:pt idx="361">
                  <c:v>0.40045995101885767</c:v>
                </c:pt>
                <c:pt idx="362">
                  <c:v>-5.3258370885084498E-2</c:v>
                </c:pt>
                <c:pt idx="363">
                  <c:v>-1.0616107297095678E-2</c:v>
                </c:pt>
                <c:pt idx="364">
                  <c:v>0.42807739024690872</c:v>
                </c:pt>
                <c:pt idx="365">
                  <c:v>-0.38518653496217059</c:v>
                </c:pt>
                <c:pt idx="366">
                  <c:v>0.18141365382528582</c:v>
                </c:pt>
                <c:pt idx="367">
                  <c:v>-6.1847667688173708E-2</c:v>
                </c:pt>
                <c:pt idx="368">
                  <c:v>0.44696887900629284</c:v>
                </c:pt>
                <c:pt idx="369">
                  <c:v>0.75333572234031754</c:v>
                </c:pt>
                <c:pt idx="370">
                  <c:v>0.1044081301686709</c:v>
                </c:pt>
                <c:pt idx="371">
                  <c:v>0.25023518237819165</c:v>
                </c:pt>
                <c:pt idx="372">
                  <c:v>0.26064041772622448</c:v>
                </c:pt>
                <c:pt idx="373">
                  <c:v>-0.57591055674870262</c:v>
                </c:pt>
                <c:pt idx="374">
                  <c:v>-0.49979656255469629</c:v>
                </c:pt>
                <c:pt idx="375">
                  <c:v>-3.0267904209843214E-2</c:v>
                </c:pt>
                <c:pt idx="376">
                  <c:v>-0.18413504859602198</c:v>
                </c:pt>
                <c:pt idx="377">
                  <c:v>-0.32616129431381169</c:v>
                </c:pt>
                <c:pt idx="378">
                  <c:v>0.56350515992560146</c:v>
                </c:pt>
                <c:pt idx="379">
                  <c:v>-0.39508250558238817</c:v>
                </c:pt>
                <c:pt idx="380">
                  <c:v>-0.16008069565254865</c:v>
                </c:pt>
                <c:pt idx="381">
                  <c:v>-0.20737644388062312</c:v>
                </c:pt>
                <c:pt idx="382">
                  <c:v>0.63306124845464651</c:v>
                </c:pt>
                <c:pt idx="383">
                  <c:v>-6.7410182709825399E-3</c:v>
                </c:pt>
                <c:pt idx="384">
                  <c:v>-0.85505161434650956</c:v>
                </c:pt>
                <c:pt idx="385">
                  <c:v>0.82979128984257633</c:v>
                </c:pt>
                <c:pt idx="386">
                  <c:v>-0.37766372279468324</c:v>
                </c:pt>
                <c:pt idx="387">
                  <c:v>-0.49189444508342223</c:v>
                </c:pt>
                <c:pt idx="388">
                  <c:v>-0.20279617103063238</c:v>
                </c:pt>
                <c:pt idx="389">
                  <c:v>0.19235916357628327</c:v>
                </c:pt>
                <c:pt idx="390">
                  <c:v>-0.57848315358660318</c:v>
                </c:pt>
                <c:pt idx="391">
                  <c:v>6.2138499886842245E-2</c:v>
                </c:pt>
                <c:pt idx="392">
                  <c:v>0.27003222972424967</c:v>
                </c:pt>
                <c:pt idx="393">
                  <c:v>0.6744072555166748</c:v>
                </c:pt>
                <c:pt idx="394">
                  <c:v>-0.4054125581850041</c:v>
                </c:pt>
                <c:pt idx="395">
                  <c:v>0.3007925606513922</c:v>
                </c:pt>
                <c:pt idx="396">
                  <c:v>0.42684480655655205</c:v>
                </c:pt>
                <c:pt idx="397">
                  <c:v>-0.18111707122605064</c:v>
                </c:pt>
                <c:pt idx="398">
                  <c:v>-0.16918862949299507</c:v>
                </c:pt>
                <c:pt idx="399">
                  <c:v>-2.2964415336337719E-3</c:v>
                </c:pt>
                <c:pt idx="400">
                  <c:v>0.85211376907760128</c:v>
                </c:pt>
                <c:pt idx="401">
                  <c:v>0.7116051191104813</c:v>
                </c:pt>
                <c:pt idx="402">
                  <c:v>4.7034241270645025E-2</c:v>
                </c:pt>
                <c:pt idx="403">
                  <c:v>0.54011409213101502</c:v>
                </c:pt>
                <c:pt idx="404">
                  <c:v>-0.3309441913317881</c:v>
                </c:pt>
                <c:pt idx="405">
                  <c:v>-0.21664530041116822</c:v>
                </c:pt>
                <c:pt idx="406">
                  <c:v>0.22819275279580084</c:v>
                </c:pt>
                <c:pt idx="407">
                  <c:v>0.65798006404547427</c:v>
                </c:pt>
                <c:pt idx="408">
                  <c:v>-0.10465397851151483</c:v>
                </c:pt>
                <c:pt idx="409">
                  <c:v>-0.47592252824485692</c:v>
                </c:pt>
                <c:pt idx="410">
                  <c:v>-0.41262137408961019</c:v>
                </c:pt>
                <c:pt idx="411">
                  <c:v>6.5211996202305125E-2</c:v>
                </c:pt>
                <c:pt idx="412">
                  <c:v>9.354651891946017E-2</c:v>
                </c:pt>
                <c:pt idx="413">
                  <c:v>0.16562954862811749</c:v>
                </c:pt>
                <c:pt idx="414">
                  <c:v>0.45836010408434341</c:v>
                </c:pt>
                <c:pt idx="415">
                  <c:v>-0.43730303577739288</c:v>
                </c:pt>
                <c:pt idx="416">
                  <c:v>-0.21539780358143859</c:v>
                </c:pt>
                <c:pt idx="417">
                  <c:v>0.68051925288596105</c:v>
                </c:pt>
                <c:pt idx="418">
                  <c:v>0.13699611494447797</c:v>
                </c:pt>
                <c:pt idx="419">
                  <c:v>-4.7224823188370922E-2</c:v>
                </c:pt>
                <c:pt idx="420">
                  <c:v>-0.36068654262781114</c:v>
                </c:pt>
                <c:pt idx="421">
                  <c:v>0.1630229106384975</c:v>
                </c:pt>
                <c:pt idx="422">
                  <c:v>-0.41325589203201613</c:v>
                </c:pt>
                <c:pt idx="423">
                  <c:v>0.80807166446552003</c:v>
                </c:pt>
                <c:pt idx="424">
                  <c:v>-0.19311135094060819</c:v>
                </c:pt>
                <c:pt idx="425">
                  <c:v>-0.81967545976989953</c:v>
                </c:pt>
                <c:pt idx="426">
                  <c:v>-0.48043640713686642</c:v>
                </c:pt>
                <c:pt idx="427">
                  <c:v>-0.1321261602448574</c:v>
                </c:pt>
                <c:pt idx="428">
                  <c:v>0.9424192572630854</c:v>
                </c:pt>
                <c:pt idx="429">
                  <c:v>-0.57224158080265497</c:v>
                </c:pt>
                <c:pt idx="430">
                  <c:v>-0.77122338424615366</c:v>
                </c:pt>
                <c:pt idx="431">
                  <c:v>0.52765699657083798</c:v>
                </c:pt>
                <c:pt idx="432">
                  <c:v>0.14933423073368002</c:v>
                </c:pt>
                <c:pt idx="433">
                  <c:v>-0.46338103925613788</c:v>
                </c:pt>
                <c:pt idx="434">
                  <c:v>0.92408058608866861</c:v>
                </c:pt>
                <c:pt idx="435">
                  <c:v>-6.6266476329973865E-3</c:v>
                </c:pt>
                <c:pt idx="436">
                  <c:v>-0.23238041858319128</c:v>
                </c:pt>
                <c:pt idx="437">
                  <c:v>-0.13777463579747037</c:v>
                </c:pt>
                <c:pt idx="438">
                  <c:v>-0.24249049973128992</c:v>
                </c:pt>
                <c:pt idx="439">
                  <c:v>-7.1891744630831672E-2</c:v>
                </c:pt>
                <c:pt idx="440">
                  <c:v>2.442805202362458E-2</c:v>
                </c:pt>
                <c:pt idx="441">
                  <c:v>-0.3342660025184534</c:v>
                </c:pt>
                <c:pt idx="442">
                  <c:v>-9.6206058010232381E-2</c:v>
                </c:pt>
                <c:pt idx="443">
                  <c:v>-4.1819388950990098E-2</c:v>
                </c:pt>
                <c:pt idx="444">
                  <c:v>0.80721867628297861</c:v>
                </c:pt>
                <c:pt idx="445">
                  <c:v>0.83437143798417368</c:v>
                </c:pt>
                <c:pt idx="446">
                  <c:v>-0.26595754695585816</c:v>
                </c:pt>
                <c:pt idx="447">
                  <c:v>-0.75616346225622488</c:v>
                </c:pt>
                <c:pt idx="448">
                  <c:v>0.37653193425529258</c:v>
                </c:pt>
                <c:pt idx="449">
                  <c:v>0.68201016716098295</c:v>
                </c:pt>
                <c:pt idx="450">
                  <c:v>0.69097231937258952</c:v>
                </c:pt>
                <c:pt idx="451">
                  <c:v>0.13846105088372038</c:v>
                </c:pt>
                <c:pt idx="452">
                  <c:v>0.39403849429395321</c:v>
                </c:pt>
                <c:pt idx="453">
                  <c:v>-0.21913498975595344</c:v>
                </c:pt>
                <c:pt idx="454">
                  <c:v>0.15915966756014741</c:v>
                </c:pt>
                <c:pt idx="455">
                  <c:v>-0.86975387418023509</c:v>
                </c:pt>
                <c:pt idx="456">
                  <c:v>0.51077383090011863</c:v>
                </c:pt>
                <c:pt idx="457">
                  <c:v>0.73861818178845784</c:v>
                </c:pt>
                <c:pt idx="458">
                  <c:v>6.5129307163999103E-2</c:v>
                </c:pt>
                <c:pt idx="459">
                  <c:v>-6.3528168918803182E-2</c:v>
                </c:pt>
                <c:pt idx="460">
                  <c:v>0.27258807987816053</c:v>
                </c:pt>
                <c:pt idx="461">
                  <c:v>-6.6174677965496875E-3</c:v>
                </c:pt>
                <c:pt idx="462">
                  <c:v>0.17054674780874277</c:v>
                </c:pt>
                <c:pt idx="463">
                  <c:v>-0.16612988103306997</c:v>
                </c:pt>
                <c:pt idx="464">
                  <c:v>-0.12371179047458111</c:v>
                </c:pt>
                <c:pt idx="465">
                  <c:v>0.23469375725922978</c:v>
                </c:pt>
                <c:pt idx="466">
                  <c:v>0.13620081308161935</c:v>
                </c:pt>
                <c:pt idx="467">
                  <c:v>0.53744064841769379</c:v>
                </c:pt>
                <c:pt idx="468">
                  <c:v>0.49279330806206723</c:v>
                </c:pt>
                <c:pt idx="469">
                  <c:v>-0.44181249909258902</c:v>
                </c:pt>
                <c:pt idx="470">
                  <c:v>-0.12985090910843849</c:v>
                </c:pt>
                <c:pt idx="471">
                  <c:v>0.32745968929039554</c:v>
                </c:pt>
                <c:pt idx="472">
                  <c:v>9.0779166777849529E-2</c:v>
                </c:pt>
                <c:pt idx="473">
                  <c:v>0.30712489531817844</c:v>
                </c:pt>
                <c:pt idx="474">
                  <c:v>-0.85614648431202056</c:v>
                </c:pt>
                <c:pt idx="475">
                  <c:v>0.14187046254440552</c:v>
                </c:pt>
                <c:pt idx="476">
                  <c:v>0.11581612166631008</c:v>
                </c:pt>
                <c:pt idx="477">
                  <c:v>0.67500586473978097</c:v>
                </c:pt>
                <c:pt idx="478">
                  <c:v>-2.6693096620132896E-2</c:v>
                </c:pt>
                <c:pt idx="479">
                  <c:v>-0.80580460970965229</c:v>
                </c:pt>
                <c:pt idx="480">
                  <c:v>-0.88599487786852771</c:v>
                </c:pt>
                <c:pt idx="481">
                  <c:v>0.43419003568946479</c:v>
                </c:pt>
                <c:pt idx="482">
                  <c:v>8.057022891662767E-2</c:v>
                </c:pt>
                <c:pt idx="483">
                  <c:v>6.4212896776409553E-2</c:v>
                </c:pt>
                <c:pt idx="484">
                  <c:v>-0.34395469086954833</c:v>
                </c:pt>
                <c:pt idx="485">
                  <c:v>0.78793209767111838</c:v>
                </c:pt>
                <c:pt idx="486">
                  <c:v>-0.46593702058659991</c:v>
                </c:pt>
                <c:pt idx="487">
                  <c:v>-0.27595868556842196</c:v>
                </c:pt>
                <c:pt idx="488">
                  <c:v>-8.4691500794215585E-2</c:v>
                </c:pt>
                <c:pt idx="489">
                  <c:v>-0.37942694864028098</c:v>
                </c:pt>
                <c:pt idx="490">
                  <c:v>0.36556549672265887</c:v>
                </c:pt>
                <c:pt idx="491">
                  <c:v>-0.47628907441199964</c:v>
                </c:pt>
                <c:pt idx="492">
                  <c:v>-0.54412041730754335</c:v>
                </c:pt>
                <c:pt idx="493">
                  <c:v>6.3802736074646982E-2</c:v>
                </c:pt>
                <c:pt idx="494">
                  <c:v>0.47438147492616339</c:v>
                </c:pt>
                <c:pt idx="495">
                  <c:v>-0.21939242354681238</c:v>
                </c:pt>
                <c:pt idx="496">
                  <c:v>0.30911848008083226</c:v>
                </c:pt>
                <c:pt idx="497">
                  <c:v>0.41275304772759902</c:v>
                </c:pt>
                <c:pt idx="498">
                  <c:v>9.2884241088974182E-2</c:v>
                </c:pt>
                <c:pt idx="499">
                  <c:v>7.3730768174822811E-2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3A-F746-8BBB-058E5BE2D48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'non-uniforme cercle (attention)'!$AC$6:$AC$505</c:f>
              <c:numCache>
                <c:formatCode>General</c:formatCode>
                <c:ptCount val="500"/>
                <c:pt idx="0">
                  <c:v>4.6071018228331713E-2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0.64513088168689781</c:v>
                </c:pt>
                <c:pt idx="6">
                  <c:v>#N/A</c:v>
                </c:pt>
                <c:pt idx="7">
                  <c:v>0.16930151404703639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0.11613893006661681</c:v>
                </c:pt>
                <c:pt idx="12">
                  <c:v>#N/A</c:v>
                </c:pt>
                <c:pt idx="13">
                  <c:v>#N/A</c:v>
                </c:pt>
                <c:pt idx="14">
                  <c:v>0.22656159473907919</c:v>
                </c:pt>
                <c:pt idx="15">
                  <c:v>#N/A</c:v>
                </c:pt>
                <c:pt idx="16">
                  <c:v>2.6245908269297187E-2</c:v>
                </c:pt>
                <c:pt idx="17">
                  <c:v>#N/A</c:v>
                </c:pt>
                <c:pt idx="18">
                  <c:v>0.16268136217896645</c:v>
                </c:pt>
                <c:pt idx="19">
                  <c:v>0.32559752141155052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0.24105599987359078</c:v>
                </c:pt>
                <c:pt idx="25">
                  <c:v>#N/A</c:v>
                </c:pt>
                <c:pt idx="26">
                  <c:v>#N/A</c:v>
                </c:pt>
                <c:pt idx="27">
                  <c:v>0.61566040017005708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0.47610090767087465</c:v>
                </c:pt>
                <c:pt idx="41">
                  <c:v>0.50210804481448967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0.86236303621448585</c:v>
                </c:pt>
                <c:pt idx="46">
                  <c:v>#N/A</c:v>
                </c:pt>
                <c:pt idx="47">
                  <c:v>0.57984285426519011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0.75006973394998389</c:v>
                </c:pt>
                <c:pt idx="56">
                  <c:v>#N/A</c:v>
                </c:pt>
                <c:pt idx="57">
                  <c:v>0.84406298294811666</c:v>
                </c:pt>
                <c:pt idx="58">
                  <c:v>#N/A</c:v>
                </c:pt>
                <c:pt idx="59">
                  <c:v>#N/A</c:v>
                </c:pt>
                <c:pt idx="60">
                  <c:v>0.26154951492416845</c:v>
                </c:pt>
                <c:pt idx="61">
                  <c:v>#N/A</c:v>
                </c:pt>
                <c:pt idx="62">
                  <c:v>0.78350502330972038</c:v>
                </c:pt>
                <c:pt idx="63">
                  <c:v>#N/A</c:v>
                </c:pt>
                <c:pt idx="64">
                  <c:v>-6.9189557626361656E-2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0.8418922078261144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0.36917358085765228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8.5367207707791409E-2</c:v>
                </c:pt>
                <c:pt idx="90">
                  <c:v>0.7733977537011304</c:v>
                </c:pt>
                <c:pt idx="91">
                  <c:v>0.12459726487163629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0.15018401777561263</c:v>
                </c:pt>
                <c:pt idx="108">
                  <c:v>0.46001347281043731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9.3670608040347138E-3</c:v>
                </c:pt>
                <c:pt idx="114">
                  <c:v>0.94601750685795549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-8.2752973153925047E-3</c:v>
                </c:pt>
                <c:pt idx="119">
                  <c:v>0.68490801923652489</c:v>
                </c:pt>
                <c:pt idx="120">
                  <c:v>0.62948751403842684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0.44078678458019116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-1.143337832952899E-2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0.60982147161177014</c:v>
                </c:pt>
                <c:pt idx="153">
                  <c:v>0.19620866649521004</c:v>
                </c:pt>
                <c:pt idx="154">
                  <c:v>#N/A</c:v>
                </c:pt>
                <c:pt idx="155">
                  <c:v>0.35293885325704399</c:v>
                </c:pt>
                <c:pt idx="156">
                  <c:v>0.37846498937912909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0.30555017139700247</c:v>
                </c:pt>
                <c:pt idx="163">
                  <c:v>#N/A</c:v>
                </c:pt>
                <c:pt idx="164">
                  <c:v>#N/A</c:v>
                </c:pt>
                <c:pt idx="165">
                  <c:v>0.33450625776206927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-1.6576119326111199E-3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-0.12037466884904859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0.20368010312362425</c:v>
                </c:pt>
                <c:pt idx="181">
                  <c:v>#N/A</c:v>
                </c:pt>
                <c:pt idx="182">
                  <c:v>-6.50540169004412E-2</c:v>
                </c:pt>
                <c:pt idx="183">
                  <c:v>#N/A</c:v>
                </c:pt>
                <c:pt idx="184">
                  <c:v>0.28358554368011368</c:v>
                </c:pt>
                <c:pt idx="185">
                  <c:v>#N/A</c:v>
                </c:pt>
                <c:pt idx="186">
                  <c:v>#N/A</c:v>
                </c:pt>
                <c:pt idx="187">
                  <c:v>0.36098356158431621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0.68104794737514751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8.1932669064340644E-2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0.65465065052393989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0.1371943658981509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4.2338398561644341E-2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0.32436498137589925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0.11960500289282207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0.41345576769735543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0.55606876600056943</c:v>
                </c:pt>
                <c:pt idx="259">
                  <c:v>-6.7475115384074053E-2</c:v>
                </c:pt>
                <c:pt idx="260">
                  <c:v>0.13668365062274165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-0.10637033286778576</c:v>
                </c:pt>
                <c:pt idx="276">
                  <c:v>#N/A</c:v>
                </c:pt>
                <c:pt idx="277">
                  <c:v>#N/A</c:v>
                </c:pt>
                <c:pt idx="278">
                  <c:v>-6.3896690037512277E-2</c:v>
                </c:pt>
                <c:pt idx="279">
                  <c:v>#N/A</c:v>
                </c:pt>
                <c:pt idx="280">
                  <c:v>-1.1152670228886839E-3</c:v>
                </c:pt>
                <c:pt idx="281">
                  <c:v>0.32208538461962205</c:v>
                </c:pt>
                <c:pt idx="282">
                  <c:v>#N/A</c:v>
                </c:pt>
                <c:pt idx="283">
                  <c:v>#N/A</c:v>
                </c:pt>
                <c:pt idx="284">
                  <c:v>0.22125953276259733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8.1224889167854072E-2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0.17900539126220708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0.2477928500331093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0.97216674362753119</c:v>
                </c:pt>
                <c:pt idx="307">
                  <c:v>0.16237573377286721</c:v>
                </c:pt>
                <c:pt idx="308">
                  <c:v>#N/A</c:v>
                </c:pt>
                <c:pt idx="309">
                  <c:v>0.1531641138210259</c:v>
                </c:pt>
                <c:pt idx="310">
                  <c:v>#N/A</c:v>
                </c:pt>
                <c:pt idx="311">
                  <c:v>0.26883506774852878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0.39116647149469419</c:v>
                </c:pt>
                <c:pt idx="316">
                  <c:v>0.24103724420896067</c:v>
                </c:pt>
                <c:pt idx="317">
                  <c:v>#N/A</c:v>
                </c:pt>
                <c:pt idx="318">
                  <c:v>#N/A</c:v>
                </c:pt>
                <c:pt idx="319">
                  <c:v>0.21673964122051878</c:v>
                </c:pt>
                <c:pt idx="320">
                  <c:v>#N/A</c:v>
                </c:pt>
                <c:pt idx="321">
                  <c:v>0.22007827228296639</c:v>
                </c:pt>
                <c:pt idx="322">
                  <c:v>#N/A</c:v>
                </c:pt>
                <c:pt idx="323">
                  <c:v>0.67627032519149022</c:v>
                </c:pt>
                <c:pt idx="324">
                  <c:v>0.46141033349127503</c:v>
                </c:pt>
                <c:pt idx="325">
                  <c:v>#N/A</c:v>
                </c:pt>
                <c:pt idx="326">
                  <c:v>#N/A</c:v>
                </c:pt>
                <c:pt idx="327">
                  <c:v>0.26946308926997492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6.2558320378851659E-2</c:v>
                </c:pt>
                <c:pt idx="338">
                  <c:v>#N/A</c:v>
                </c:pt>
                <c:pt idx="339">
                  <c:v>#N/A</c:v>
                </c:pt>
                <c:pt idx="340">
                  <c:v>0.14862456096362145</c:v>
                </c:pt>
                <c:pt idx="341">
                  <c:v>0.32519212450118207</c:v>
                </c:pt>
                <c:pt idx="342">
                  <c:v>#N/A</c:v>
                </c:pt>
                <c:pt idx="343">
                  <c:v>#N/A</c:v>
                </c:pt>
                <c:pt idx="344">
                  <c:v>0.82931933324132201</c:v>
                </c:pt>
                <c:pt idx="345">
                  <c:v>#N/A</c:v>
                </c:pt>
                <c:pt idx="346">
                  <c:v>#N/A</c:v>
                </c:pt>
                <c:pt idx="347">
                  <c:v>2.0088329467510525E-2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0.35471189389841806</c:v>
                </c:pt>
                <c:pt idx="358">
                  <c:v>-4.7361704827747139E-3</c:v>
                </c:pt>
                <c:pt idx="359">
                  <c:v>#N/A</c:v>
                </c:pt>
                <c:pt idx="360">
                  <c:v>-2.5743855697584878E-2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0.58647094537354372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0.39039574412427425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0.86833701212135517</c:v>
                </c:pt>
                <c:pt idx="382">
                  <c:v>0.25238971676325844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0.60022245804853425</c:v>
                </c:pt>
                <c:pt idx="392">
                  <c:v>#N/A</c:v>
                </c:pt>
                <c:pt idx="393">
                  <c:v>0.16548239999390504</c:v>
                </c:pt>
                <c:pt idx="394">
                  <c:v>#N/A</c:v>
                </c:pt>
                <c:pt idx="395">
                  <c:v>0.29157535119377598</c:v>
                </c:pt>
                <c:pt idx="396">
                  <c:v>-6.2498495728281249E-2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-0.20778169219374343</c:v>
                </c:pt>
                <c:pt idx="401">
                  <c:v>6.0344727680311905E-2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0.940166473597154</c:v>
                </c:pt>
                <c:pt idx="407">
                  <c:v>6.158628822496752E-2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0.6015608244203835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0.19185884454539623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0.21028027411876671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0.44709876695144035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0.10579448993628845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0.14043740862467319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0.20705161195842162</c:v>
                </c:pt>
                <c:pt idx="459">
                  <c:v>#N/A</c:v>
                </c:pt>
                <c:pt idx="460">
                  <c:v>0.24062564051132393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0.56439113798644669</c:v>
                </c:pt>
                <c:pt idx="465">
                  <c:v>#N/A</c:v>
                </c:pt>
                <c:pt idx="466">
                  <c:v>#N/A</c:v>
                </c:pt>
                <c:pt idx="467">
                  <c:v>-4.3655771372523425E-2</c:v>
                </c:pt>
                <c:pt idx="468">
                  <c:v>0.15944681112710629</c:v>
                </c:pt>
                <c:pt idx="469">
                  <c:v>#N/A</c:v>
                </c:pt>
                <c:pt idx="470">
                  <c:v>#N/A</c:v>
                </c:pt>
                <c:pt idx="471">
                  <c:v>7.4886279051095961E-2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0.87526450471832562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0.15113610936428404</c:v>
                </c:pt>
                <c:pt idx="497">
                  <c:v>#N/A</c:v>
                </c:pt>
                <c:pt idx="498">
                  <c:v>#N/A</c:v>
                </c:pt>
                <c:pt idx="499">
                  <c:v>0.98491950651958171</c:v>
                </c:pt>
              </c:numCache>
            </c:numRef>
          </c:xVal>
          <c:yVal>
            <c:numRef>
              <c:f>'non-uniforme cercle (attention)'!$AD$6:$AD$505</c:f>
              <c:numCache>
                <c:formatCode>General</c:formatCode>
                <c:ptCount val="500"/>
                <c:pt idx="0">
                  <c:v>0.62335159003960028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-3.712537930599355E-2</c:v>
                </c:pt>
                <c:pt idx="6">
                  <c:v>#N/A</c:v>
                </c:pt>
                <c:pt idx="7">
                  <c:v>0.21902879464320826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0.56020785470559342</c:v>
                </c:pt>
                <c:pt idx="12">
                  <c:v>#N/A</c:v>
                </c:pt>
                <c:pt idx="13">
                  <c:v>#N/A</c:v>
                </c:pt>
                <c:pt idx="14">
                  <c:v>0.13875438859817865</c:v>
                </c:pt>
                <c:pt idx="15">
                  <c:v>#N/A</c:v>
                </c:pt>
                <c:pt idx="16">
                  <c:v>0.49683216506358024</c:v>
                </c:pt>
                <c:pt idx="17">
                  <c:v>#N/A</c:v>
                </c:pt>
                <c:pt idx="18">
                  <c:v>0.11249435417114748</c:v>
                </c:pt>
                <c:pt idx="19">
                  <c:v>2.221732052839058E-2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0.58457312381097215</c:v>
                </c:pt>
                <c:pt idx="25">
                  <c:v>#N/A</c:v>
                </c:pt>
                <c:pt idx="26">
                  <c:v>#N/A</c:v>
                </c:pt>
                <c:pt idx="27">
                  <c:v>0.10043291307686147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0.18999596979469302</c:v>
                </c:pt>
                <c:pt idx="41">
                  <c:v>-7.0857018498104871E-2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0.24023175713036202</c:v>
                </c:pt>
                <c:pt idx="46">
                  <c:v>#N/A</c:v>
                </c:pt>
                <c:pt idx="47">
                  <c:v>0.15747200186998336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2.0301320957334841E-3</c:v>
                </c:pt>
                <c:pt idx="56">
                  <c:v>#N/A</c:v>
                </c:pt>
                <c:pt idx="57">
                  <c:v>0.16308638747167953</c:v>
                </c:pt>
                <c:pt idx="58">
                  <c:v>#N/A</c:v>
                </c:pt>
                <c:pt idx="59">
                  <c:v>#N/A</c:v>
                </c:pt>
                <c:pt idx="60">
                  <c:v>0.29312168322095805</c:v>
                </c:pt>
                <c:pt idx="61">
                  <c:v>#N/A</c:v>
                </c:pt>
                <c:pt idx="62">
                  <c:v>0.18002376652805963</c:v>
                </c:pt>
                <c:pt idx="63">
                  <c:v>#N/A</c:v>
                </c:pt>
                <c:pt idx="64">
                  <c:v>0.50734337244533445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-0.11049251579035575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0.11742136816159389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0.89525158831914997</c:v>
                </c:pt>
                <c:pt idx="90">
                  <c:v>2.1793011084425801E-2</c:v>
                </c:pt>
                <c:pt idx="91">
                  <c:v>0.43699896309819058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0.49796530771960251</c:v>
                </c:pt>
                <c:pt idx="108">
                  <c:v>0.18160001910114582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0.84227163276403538</c:v>
                </c:pt>
                <c:pt idx="114">
                  <c:v>8.313432024723736E-3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0.43148940371940048</c:v>
                </c:pt>
                <c:pt idx="119">
                  <c:v>0.18613130300107475</c:v>
                </c:pt>
                <c:pt idx="120">
                  <c:v>7.2683874745328503E-2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0.13738592170850969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0.57670324017964836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-0.12144490702766186</c:v>
                </c:pt>
                <c:pt idx="153">
                  <c:v>0.69784995352468238</c:v>
                </c:pt>
                <c:pt idx="154">
                  <c:v>#N/A</c:v>
                </c:pt>
                <c:pt idx="155">
                  <c:v>0.25746459502866453</c:v>
                </c:pt>
                <c:pt idx="156">
                  <c:v>0.13260466171926064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0.31468410748433534</c:v>
                </c:pt>
                <c:pt idx="163">
                  <c:v>#N/A</c:v>
                </c:pt>
                <c:pt idx="164">
                  <c:v>#N/A</c:v>
                </c:pt>
                <c:pt idx="165">
                  <c:v>0.1731447612220097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0.36182966540052797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0.96849900300465441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0.49188685423525469</c:v>
                </c:pt>
                <c:pt idx="181">
                  <c:v>#N/A</c:v>
                </c:pt>
                <c:pt idx="182">
                  <c:v>0.53537074370543292</c:v>
                </c:pt>
                <c:pt idx="183">
                  <c:v>#N/A</c:v>
                </c:pt>
                <c:pt idx="184">
                  <c:v>8.1516889380820565E-2</c:v>
                </c:pt>
                <c:pt idx="185">
                  <c:v>#N/A</c:v>
                </c:pt>
                <c:pt idx="186">
                  <c:v>#N/A</c:v>
                </c:pt>
                <c:pt idx="187">
                  <c:v>0.184749911408541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-3.3675190153939397E-2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0.44577537367854775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0.16433910279943545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0.18528749827128083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0.23304591172748512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0.19869347192315603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0.20164151341118602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0.32375082170247621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-0.10209457150045131</c:v>
                </c:pt>
                <c:pt idx="259">
                  <c:v>0.89369543686472352</c:v>
                </c:pt>
                <c:pt idx="260">
                  <c:v>0.26383086121602939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0.92929276235150349</c:v>
                </c:pt>
                <c:pt idx="276">
                  <c:v>#N/A</c:v>
                </c:pt>
                <c:pt idx="277">
                  <c:v>#N/A</c:v>
                </c:pt>
                <c:pt idx="278">
                  <c:v>0.82257445041117838</c:v>
                </c:pt>
                <c:pt idx="279">
                  <c:v>#N/A</c:v>
                </c:pt>
                <c:pt idx="280">
                  <c:v>0.4525891856545125</c:v>
                </c:pt>
                <c:pt idx="281">
                  <c:v>0.41880498424664642</c:v>
                </c:pt>
                <c:pt idx="282">
                  <c:v>#N/A</c:v>
                </c:pt>
                <c:pt idx="283">
                  <c:v>#N/A</c:v>
                </c:pt>
                <c:pt idx="284">
                  <c:v>0.26485584176660626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0.32479411182443674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0.16054536570199507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0.34146352330272267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-0.13103321270401599</c:v>
                </c:pt>
                <c:pt idx="307">
                  <c:v>0.10821063628329154</c:v>
                </c:pt>
                <c:pt idx="308">
                  <c:v>#N/A</c:v>
                </c:pt>
                <c:pt idx="309">
                  <c:v>0.27284604685946062</c:v>
                </c:pt>
                <c:pt idx="310">
                  <c:v>#N/A</c:v>
                </c:pt>
                <c:pt idx="311">
                  <c:v>0.25424313594623527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0.3155609816077275</c:v>
                </c:pt>
                <c:pt idx="316">
                  <c:v>0.72342207354451638</c:v>
                </c:pt>
                <c:pt idx="317">
                  <c:v>#N/A</c:v>
                </c:pt>
                <c:pt idx="318">
                  <c:v>#N/A</c:v>
                </c:pt>
                <c:pt idx="319">
                  <c:v>0.15570352766402937</c:v>
                </c:pt>
                <c:pt idx="320">
                  <c:v>#N/A</c:v>
                </c:pt>
                <c:pt idx="321">
                  <c:v>0.71127891869968973</c:v>
                </c:pt>
                <c:pt idx="322">
                  <c:v>#N/A</c:v>
                </c:pt>
                <c:pt idx="323">
                  <c:v>-0.12575585171714104</c:v>
                </c:pt>
                <c:pt idx="324">
                  <c:v>0.24177061168617536</c:v>
                </c:pt>
                <c:pt idx="325">
                  <c:v>#N/A</c:v>
                </c:pt>
                <c:pt idx="326">
                  <c:v>#N/A</c:v>
                </c:pt>
                <c:pt idx="327">
                  <c:v>0.56022753291324501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0.49917249732285857</c:v>
                </c:pt>
                <c:pt idx="338">
                  <c:v>#N/A</c:v>
                </c:pt>
                <c:pt idx="339">
                  <c:v>#N/A</c:v>
                </c:pt>
                <c:pt idx="340">
                  <c:v>0.19546652930265959</c:v>
                </c:pt>
                <c:pt idx="341">
                  <c:v>-4.9806234741155055E-3</c:v>
                </c:pt>
                <c:pt idx="342">
                  <c:v>#N/A</c:v>
                </c:pt>
                <c:pt idx="343">
                  <c:v>#N/A</c:v>
                </c:pt>
                <c:pt idx="344">
                  <c:v>0.18545044591225629</c:v>
                </c:pt>
                <c:pt idx="345">
                  <c:v>#N/A</c:v>
                </c:pt>
                <c:pt idx="346">
                  <c:v>#N/A</c:v>
                </c:pt>
                <c:pt idx="347">
                  <c:v>0.66006808954323992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-4.3508833165044919E-2</c:v>
                </c:pt>
                <c:pt idx="358">
                  <c:v>0.56733543354000404</c:v>
                </c:pt>
                <c:pt idx="359">
                  <c:v>#N/A</c:v>
                </c:pt>
                <c:pt idx="360">
                  <c:v>0.98777036460878365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0.18141365382528582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-3.0267904209843214E-2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-0.20737644388062312</c:v>
                </c:pt>
                <c:pt idx="382">
                  <c:v>0.63306124845464651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6.2138499886842245E-2</c:v>
                </c:pt>
                <c:pt idx="392">
                  <c:v>#N/A</c:v>
                </c:pt>
                <c:pt idx="393">
                  <c:v>0.6744072555166748</c:v>
                </c:pt>
                <c:pt idx="394">
                  <c:v>#N/A</c:v>
                </c:pt>
                <c:pt idx="395">
                  <c:v>0.3007925606513922</c:v>
                </c:pt>
                <c:pt idx="396">
                  <c:v>0.42684480655655205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0.85211376907760128</c:v>
                </c:pt>
                <c:pt idx="401">
                  <c:v>0.7116051191104813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0.22819275279580084</c:v>
                </c:pt>
                <c:pt idx="407">
                  <c:v>0.65798006404547427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0.16562954862811749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0.9424192572630854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0.92408058608866861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2.442805202362458E-2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0.37653193425529258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0.39403849429395321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6.5129307163999103E-2</c:v>
                </c:pt>
                <c:pt idx="459">
                  <c:v>#N/A</c:v>
                </c:pt>
                <c:pt idx="460">
                  <c:v>0.27258807987816053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-0.12371179047458111</c:v>
                </c:pt>
                <c:pt idx="465">
                  <c:v>#N/A</c:v>
                </c:pt>
                <c:pt idx="466">
                  <c:v>#N/A</c:v>
                </c:pt>
                <c:pt idx="467">
                  <c:v>0.53744064841769379</c:v>
                </c:pt>
                <c:pt idx="468">
                  <c:v>0.49279330806206723</c:v>
                </c:pt>
                <c:pt idx="469">
                  <c:v>#N/A</c:v>
                </c:pt>
                <c:pt idx="470">
                  <c:v>#N/A</c:v>
                </c:pt>
                <c:pt idx="471">
                  <c:v>0.32745968929039554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6.4212896776409553E-2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0.30911848008083226</c:v>
                </c:pt>
                <c:pt idx="497">
                  <c:v>#N/A</c:v>
                </c:pt>
                <c:pt idx="498">
                  <c:v>#N/A</c:v>
                </c:pt>
                <c:pt idx="499">
                  <c:v>7.3730768174822811E-2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3A-F746-8BBB-058E5BE2D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724552"/>
        <c:axId val="659724944"/>
      </c:scatterChart>
      <c:valAx>
        <c:axId val="65972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24944"/>
        <c:crosses val="autoZero"/>
        <c:crossBetween val="midCat"/>
      </c:valAx>
      <c:valAx>
        <c:axId val="65972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24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8</xdr:row>
      <xdr:rowOff>180975</xdr:rowOff>
    </xdr:from>
    <xdr:to>
      <xdr:col>21</xdr:col>
      <xdr:colOff>228600</xdr:colOff>
      <xdr:row>33</xdr:row>
      <xdr:rowOff>114301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639536</xdr:colOff>
      <xdr:row>2</xdr:row>
      <xdr:rowOff>340178</xdr:rowOff>
    </xdr:from>
    <xdr:to>
      <xdr:col>17</xdr:col>
      <xdr:colOff>639536</xdr:colOff>
      <xdr:row>17</xdr:row>
      <xdr:rowOff>13607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557893</xdr:colOff>
      <xdr:row>17</xdr:row>
      <xdr:rowOff>136071</xdr:rowOff>
    </xdr:from>
    <xdr:to>
      <xdr:col>17</xdr:col>
      <xdr:colOff>557893</xdr:colOff>
      <xdr:row>32</xdr:row>
      <xdr:rowOff>27214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467590</xdr:colOff>
      <xdr:row>2</xdr:row>
      <xdr:rowOff>86591</xdr:rowOff>
    </xdr:from>
    <xdr:to>
      <xdr:col>19</xdr:col>
      <xdr:colOff>606135</xdr:colOff>
      <xdr:row>29</xdr:row>
      <xdr:rowOff>103910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2</xdr:row>
      <xdr:rowOff>190499</xdr:rowOff>
    </xdr:from>
    <xdr:to>
      <xdr:col>15</xdr:col>
      <xdr:colOff>133350</xdr:colOff>
      <xdr:row>27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433387</xdr:colOff>
      <xdr:row>30</xdr:row>
      <xdr:rowOff>0</xdr:rowOff>
    </xdr:from>
    <xdr:to>
      <xdr:col>19</xdr:col>
      <xdr:colOff>128587</xdr:colOff>
      <xdr:row>44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467590</xdr:colOff>
      <xdr:row>2</xdr:row>
      <xdr:rowOff>86591</xdr:rowOff>
    </xdr:from>
    <xdr:to>
      <xdr:col>40</xdr:col>
      <xdr:colOff>606135</xdr:colOff>
      <xdr:row>29</xdr:row>
      <xdr:rowOff>103910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C92828B9-52C2-F545-9DB4-68434B70C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O687"/>
  <sheetViews>
    <sheetView tabSelected="1" zoomScaleNormal="100" workbookViewId="0"/>
  </sheetViews>
  <sheetFormatPr baseColWidth="10" defaultColWidth="11.5" defaultRowHeight="15" x14ac:dyDescent="0.2"/>
  <cols>
    <col min="1" max="1" width="19.5" customWidth="1"/>
    <col min="2" max="2" width="13.6640625" customWidth="1"/>
    <col min="3" max="4" width="14.1640625" customWidth="1"/>
  </cols>
  <sheetData>
    <row r="3" spans="1:15" ht="21" x14ac:dyDescent="0.25">
      <c r="A3" s="5" t="s">
        <v>27</v>
      </c>
    </row>
    <row r="5" spans="1:15" x14ac:dyDescent="0.2">
      <c r="L5" s="2"/>
    </row>
    <row r="6" spans="1:15" x14ac:dyDescent="0.2">
      <c r="A6" t="s">
        <v>4</v>
      </c>
      <c r="B6">
        <f>4/PI()</f>
        <v>1.2732395447351628</v>
      </c>
      <c r="L6" s="2"/>
      <c r="M6" s="1"/>
    </row>
    <row r="7" spans="1:15" x14ac:dyDescent="0.2">
      <c r="L7" s="2"/>
      <c r="M7" s="1"/>
    </row>
    <row r="8" spans="1:15" x14ac:dyDescent="0.2">
      <c r="A8" t="s">
        <v>1</v>
      </c>
      <c r="L8" t="s">
        <v>26</v>
      </c>
    </row>
    <row r="9" spans="1:15" s="3" customFormat="1" ht="28.5" customHeight="1" x14ac:dyDescent="0.2">
      <c r="A9" s="3" t="s">
        <v>2</v>
      </c>
      <c r="B9" s="3" t="s">
        <v>3</v>
      </c>
      <c r="C9" s="3" t="s">
        <v>7</v>
      </c>
      <c r="D9" s="3" t="s">
        <v>8</v>
      </c>
      <c r="E9" s="3" t="s">
        <v>5</v>
      </c>
      <c r="F9" s="3" t="s">
        <v>6</v>
      </c>
      <c r="G9" s="3" t="s">
        <v>11</v>
      </c>
      <c r="H9" s="3" t="s">
        <v>25</v>
      </c>
      <c r="I9" s="3" t="s">
        <v>9</v>
      </c>
      <c r="J9" s="3" t="s">
        <v>10</v>
      </c>
      <c r="L9" s="3" t="s">
        <v>0</v>
      </c>
      <c r="M9" s="3" t="s">
        <v>9</v>
      </c>
      <c r="N9" s="3" t="s">
        <v>10</v>
      </c>
      <c r="O9" s="3" t="s">
        <v>16</v>
      </c>
    </row>
    <row r="10" spans="1:15" x14ac:dyDescent="0.2">
      <c r="A10">
        <v>1</v>
      </c>
      <c r="B10">
        <f t="shared" ref="B10:B73" ca="1" si="0">RAND()</f>
        <v>0.37838519385461145</v>
      </c>
      <c r="C10">
        <f t="shared" ref="C10:D29" ca="1" si="1">2*RAND()-1</f>
        <v>-0.37065883238826403</v>
      </c>
      <c r="D10">
        <f t="shared" ca="1" si="1"/>
        <v>-0.37285528888144159</v>
      </c>
      <c r="E10">
        <f t="shared" ref="E10:E73" ca="1" si="2">(1/PI())*IF(C10^2+D10^2&lt;=1,1,0)</f>
        <v>0.31830988618379069</v>
      </c>
      <c r="F10">
        <f>1/4</f>
        <v>0.25</v>
      </c>
      <c r="G10">
        <f t="shared" ref="G10:G73" ca="1" si="3">IF($B$6*B10&lt;=E10/F10,1,0)</f>
        <v>1</v>
      </c>
      <c r="H10">
        <f ca="1">IF(G10=1,SUM($G$10:G10),"-")</f>
        <v>1</v>
      </c>
      <c r="I10">
        <f t="shared" ref="I10:I73" ca="1" si="4">IF($G10,C10,"-")</f>
        <v>-0.37065883238826403</v>
      </c>
      <c r="J10">
        <f t="shared" ref="J10:J73" ca="1" si="5">IF($G10,D10,"-")</f>
        <v>-0.37285528888144159</v>
      </c>
      <c r="L10">
        <v>1</v>
      </c>
      <c r="M10">
        <f t="shared" ref="M10:M73" ca="1" si="6">VLOOKUP(L10,$H$10:$J$687,2,FALSE)</f>
        <v>-0.37065883238826403</v>
      </c>
      <c r="N10">
        <f t="shared" ref="N10:N73" ca="1" si="7">VLOOKUP(L10,$H$10:$J$687,3,FALSE)</f>
        <v>-0.37285528888144159</v>
      </c>
      <c r="O10">
        <f t="shared" ref="O10:O73" ca="1" si="8">SQRT(M10^2+N10^2)</f>
        <v>0.52574617114563416</v>
      </c>
    </row>
    <row r="11" spans="1:15" x14ac:dyDescent="0.2">
      <c r="A11">
        <f>1+A10</f>
        <v>2</v>
      </c>
      <c r="B11">
        <f t="shared" ca="1" si="0"/>
        <v>0.95418604098398951</v>
      </c>
      <c r="C11">
        <f t="shared" ca="1" si="1"/>
        <v>-9.0019855182084552E-2</v>
      </c>
      <c r="D11">
        <f t="shared" ca="1" si="1"/>
        <v>-0.90672690360907149</v>
      </c>
      <c r="E11">
        <f t="shared" ca="1" si="2"/>
        <v>0.31830988618379069</v>
      </c>
      <c r="F11">
        <f t="shared" ref="F11:F74" si="9">1/4</f>
        <v>0.25</v>
      </c>
      <c r="G11">
        <f t="shared" ca="1" si="3"/>
        <v>1</v>
      </c>
      <c r="H11">
        <f ca="1">IF(G11=1,SUM($G$10:G11),"-")</f>
        <v>2</v>
      </c>
      <c r="I11">
        <f t="shared" ca="1" si="4"/>
        <v>-9.0019855182084552E-2</v>
      </c>
      <c r="J11">
        <f t="shared" ca="1" si="5"/>
        <v>-0.90672690360907149</v>
      </c>
      <c r="L11">
        <f>1+L10</f>
        <v>2</v>
      </c>
      <c r="M11">
        <f t="shared" ca="1" si="6"/>
        <v>-9.0019855182084552E-2</v>
      </c>
      <c r="N11">
        <f t="shared" ca="1" si="7"/>
        <v>-0.90672690360907149</v>
      </c>
      <c r="O11">
        <f t="shared" ca="1" si="8"/>
        <v>0.91118453238380748</v>
      </c>
    </row>
    <row r="12" spans="1:15" x14ac:dyDescent="0.2">
      <c r="A12">
        <f t="shared" ref="A12:A38" si="10">1+A11</f>
        <v>3</v>
      </c>
      <c r="B12">
        <f t="shared" ca="1" si="0"/>
        <v>0.44140354132401693</v>
      </c>
      <c r="C12">
        <f t="shared" ca="1" si="1"/>
        <v>-0.24899950226759415</v>
      </c>
      <c r="D12">
        <f t="shared" ca="1" si="1"/>
        <v>0.66272336367548323</v>
      </c>
      <c r="E12">
        <f t="shared" ca="1" si="2"/>
        <v>0.31830988618379069</v>
      </c>
      <c r="F12">
        <f t="shared" si="9"/>
        <v>0.25</v>
      </c>
      <c r="G12">
        <f t="shared" ca="1" si="3"/>
        <v>1</v>
      </c>
      <c r="H12">
        <f ca="1">IF(G12=1,SUM($G$10:G12),"-")</f>
        <v>3</v>
      </c>
      <c r="I12">
        <f t="shared" ca="1" si="4"/>
        <v>-0.24899950226759415</v>
      </c>
      <c r="J12">
        <f t="shared" ca="1" si="5"/>
        <v>0.66272336367548323</v>
      </c>
      <c r="L12">
        <f t="shared" ref="L12:L75" si="11">1+L11</f>
        <v>3</v>
      </c>
      <c r="M12">
        <f t="shared" ca="1" si="6"/>
        <v>-0.24899950226759415</v>
      </c>
      <c r="N12">
        <f t="shared" ca="1" si="7"/>
        <v>0.66272336367548323</v>
      </c>
      <c r="O12">
        <f t="shared" ca="1" si="8"/>
        <v>0.70795692587251124</v>
      </c>
    </row>
    <row r="13" spans="1:15" x14ac:dyDescent="0.2">
      <c r="A13">
        <f t="shared" si="10"/>
        <v>4</v>
      </c>
      <c r="B13">
        <f t="shared" ca="1" si="0"/>
        <v>0.62803986541567736</v>
      </c>
      <c r="C13">
        <f t="shared" ca="1" si="1"/>
        <v>6.8244952980820894E-2</v>
      </c>
      <c r="D13">
        <f t="shared" ca="1" si="1"/>
        <v>0.15403684950946261</v>
      </c>
      <c r="E13">
        <f t="shared" ca="1" si="2"/>
        <v>0.31830988618379069</v>
      </c>
      <c r="F13">
        <f t="shared" si="9"/>
        <v>0.25</v>
      </c>
      <c r="G13">
        <f t="shared" ca="1" si="3"/>
        <v>1</v>
      </c>
      <c r="H13">
        <f ca="1">IF(G13=1,SUM($G$10:G13),"-")</f>
        <v>4</v>
      </c>
      <c r="I13">
        <f t="shared" ca="1" si="4"/>
        <v>6.8244952980820894E-2</v>
      </c>
      <c r="J13">
        <f t="shared" ca="1" si="5"/>
        <v>0.15403684950946261</v>
      </c>
      <c r="L13">
        <f t="shared" si="11"/>
        <v>4</v>
      </c>
      <c r="M13">
        <f t="shared" ca="1" si="6"/>
        <v>6.8244952980820894E-2</v>
      </c>
      <c r="N13">
        <f t="shared" ca="1" si="7"/>
        <v>0.15403684950946261</v>
      </c>
      <c r="O13">
        <f t="shared" ca="1" si="8"/>
        <v>0.16847766799832933</v>
      </c>
    </row>
    <row r="14" spans="1:15" x14ac:dyDescent="0.2">
      <c r="A14">
        <f t="shared" si="10"/>
        <v>5</v>
      </c>
      <c r="B14">
        <f t="shared" ca="1" si="0"/>
        <v>0.2626724473385732</v>
      </c>
      <c r="C14">
        <f t="shared" ca="1" si="1"/>
        <v>0.68983939862418175</v>
      </c>
      <c r="D14">
        <f t="shared" ca="1" si="1"/>
        <v>-0.85452478320915493</v>
      </c>
      <c r="E14">
        <f t="shared" ca="1" si="2"/>
        <v>0</v>
      </c>
      <c r="F14">
        <f t="shared" si="9"/>
        <v>0.25</v>
      </c>
      <c r="G14">
        <f t="shared" ca="1" si="3"/>
        <v>0</v>
      </c>
      <c r="H14" t="str">
        <f ca="1">IF(G14=1,SUM($G$10:G14),"-")</f>
        <v>-</v>
      </c>
      <c r="I14" t="str">
        <f t="shared" ca="1" si="4"/>
        <v>-</v>
      </c>
      <c r="J14" t="str">
        <f t="shared" ca="1" si="5"/>
        <v>-</v>
      </c>
      <c r="L14">
        <f t="shared" si="11"/>
        <v>5</v>
      </c>
      <c r="M14">
        <f t="shared" ca="1" si="6"/>
        <v>0.22665299296155994</v>
      </c>
      <c r="N14">
        <f t="shared" ca="1" si="7"/>
        <v>0.44924293222446954</v>
      </c>
      <c r="O14">
        <f t="shared" ca="1" si="8"/>
        <v>0.50318067468064809</v>
      </c>
    </row>
    <row r="15" spans="1:15" x14ac:dyDescent="0.2">
      <c r="A15">
        <f t="shared" si="10"/>
        <v>6</v>
      </c>
      <c r="B15">
        <f t="shared" ca="1" si="0"/>
        <v>0.28049222781774708</v>
      </c>
      <c r="C15">
        <f t="shared" ca="1" si="1"/>
        <v>0.22665299296155994</v>
      </c>
      <c r="D15">
        <f t="shared" ca="1" si="1"/>
        <v>0.44924293222446954</v>
      </c>
      <c r="E15">
        <f t="shared" ca="1" si="2"/>
        <v>0.31830988618379069</v>
      </c>
      <c r="F15">
        <f t="shared" si="9"/>
        <v>0.25</v>
      </c>
      <c r="G15">
        <f t="shared" ca="1" si="3"/>
        <v>1</v>
      </c>
      <c r="H15">
        <f ca="1">IF(G15=1,SUM($G$10:G15),"-")</f>
        <v>5</v>
      </c>
      <c r="I15">
        <f t="shared" ca="1" si="4"/>
        <v>0.22665299296155994</v>
      </c>
      <c r="J15">
        <f t="shared" ca="1" si="5"/>
        <v>0.44924293222446954</v>
      </c>
      <c r="L15">
        <f t="shared" si="11"/>
        <v>6</v>
      </c>
      <c r="M15">
        <f t="shared" ca="1" si="6"/>
        <v>0.28192509407307553</v>
      </c>
      <c r="N15">
        <f t="shared" ca="1" si="7"/>
        <v>-0.74365115020988237</v>
      </c>
      <c r="O15">
        <f t="shared" ca="1" si="8"/>
        <v>0.79529792648830255</v>
      </c>
    </row>
    <row r="16" spans="1:15" x14ac:dyDescent="0.2">
      <c r="A16">
        <f t="shared" si="10"/>
        <v>7</v>
      </c>
      <c r="B16">
        <f t="shared" ca="1" si="0"/>
        <v>0.29232516449768287</v>
      </c>
      <c r="C16">
        <f t="shared" ca="1" si="1"/>
        <v>0.28192509407307553</v>
      </c>
      <c r="D16">
        <f t="shared" ca="1" si="1"/>
        <v>-0.74365115020988237</v>
      </c>
      <c r="E16">
        <f t="shared" ca="1" si="2"/>
        <v>0.31830988618379069</v>
      </c>
      <c r="F16">
        <f t="shared" si="9"/>
        <v>0.25</v>
      </c>
      <c r="G16">
        <f t="shared" ca="1" si="3"/>
        <v>1</v>
      </c>
      <c r="H16">
        <f ca="1">IF(G16=1,SUM($G$10:G16),"-")</f>
        <v>6</v>
      </c>
      <c r="I16">
        <f t="shared" ca="1" si="4"/>
        <v>0.28192509407307553</v>
      </c>
      <c r="J16">
        <f t="shared" ca="1" si="5"/>
        <v>-0.74365115020988237</v>
      </c>
      <c r="L16">
        <f t="shared" si="11"/>
        <v>7</v>
      </c>
      <c r="M16">
        <f t="shared" ca="1" si="6"/>
        <v>0.32873345678994959</v>
      </c>
      <c r="N16">
        <f t="shared" ca="1" si="7"/>
        <v>0.69839744684280869</v>
      </c>
      <c r="O16">
        <f t="shared" ca="1" si="8"/>
        <v>0.77189680616622802</v>
      </c>
    </row>
    <row r="17" spans="1:15" x14ac:dyDescent="0.2">
      <c r="A17">
        <f t="shared" si="10"/>
        <v>8</v>
      </c>
      <c r="B17">
        <f t="shared" ca="1" si="0"/>
        <v>0.1893525962488285</v>
      </c>
      <c r="C17">
        <f t="shared" ca="1" si="1"/>
        <v>0.75356738327649442</v>
      </c>
      <c r="D17">
        <f t="shared" ca="1" si="1"/>
        <v>0.92172970022478085</v>
      </c>
      <c r="E17">
        <f t="shared" ca="1" si="2"/>
        <v>0</v>
      </c>
      <c r="F17">
        <f t="shared" si="9"/>
        <v>0.25</v>
      </c>
      <c r="G17">
        <f t="shared" ca="1" si="3"/>
        <v>0</v>
      </c>
      <c r="H17" t="str">
        <f ca="1">IF(G17=1,SUM($G$10:G17),"-")</f>
        <v>-</v>
      </c>
      <c r="I17" t="str">
        <f t="shared" ca="1" si="4"/>
        <v>-</v>
      </c>
      <c r="J17" t="str">
        <f t="shared" ca="1" si="5"/>
        <v>-</v>
      </c>
      <c r="L17">
        <f t="shared" si="11"/>
        <v>8</v>
      </c>
      <c r="M17">
        <f t="shared" ca="1" si="6"/>
        <v>-0.85827678492662596</v>
      </c>
      <c r="N17">
        <f t="shared" ca="1" si="7"/>
        <v>8.5271867003751112E-2</v>
      </c>
      <c r="O17">
        <f t="shared" ca="1" si="8"/>
        <v>0.86250236570475047</v>
      </c>
    </row>
    <row r="18" spans="1:15" x14ac:dyDescent="0.2">
      <c r="A18">
        <f t="shared" si="10"/>
        <v>9</v>
      </c>
      <c r="B18">
        <f t="shared" ca="1" si="0"/>
        <v>0.21444888186578392</v>
      </c>
      <c r="C18">
        <f t="shared" ca="1" si="1"/>
        <v>0.32873345678994959</v>
      </c>
      <c r="D18">
        <f t="shared" ca="1" si="1"/>
        <v>0.69839744684280869</v>
      </c>
      <c r="E18">
        <f t="shared" ca="1" si="2"/>
        <v>0.31830988618379069</v>
      </c>
      <c r="F18">
        <f t="shared" si="9"/>
        <v>0.25</v>
      </c>
      <c r="G18">
        <f t="shared" ca="1" si="3"/>
        <v>1</v>
      </c>
      <c r="H18">
        <f ca="1">IF(G18=1,SUM($G$10:G18),"-")</f>
        <v>7</v>
      </c>
      <c r="I18">
        <f t="shared" ca="1" si="4"/>
        <v>0.32873345678994959</v>
      </c>
      <c r="J18">
        <f t="shared" ca="1" si="5"/>
        <v>0.69839744684280869</v>
      </c>
      <c r="L18">
        <f t="shared" si="11"/>
        <v>9</v>
      </c>
      <c r="M18">
        <f t="shared" ca="1" si="6"/>
        <v>0.18970217759962793</v>
      </c>
      <c r="N18">
        <f t="shared" ca="1" si="7"/>
        <v>-0.64992696167198627</v>
      </c>
      <c r="O18">
        <f t="shared" ca="1" si="8"/>
        <v>0.67704650630087471</v>
      </c>
    </row>
    <row r="19" spans="1:15" x14ac:dyDescent="0.2">
      <c r="A19">
        <f t="shared" si="10"/>
        <v>10</v>
      </c>
      <c r="B19">
        <f t="shared" ca="1" si="0"/>
        <v>0.66295431703414109</v>
      </c>
      <c r="C19">
        <f t="shared" ca="1" si="1"/>
        <v>-0.85827678492662596</v>
      </c>
      <c r="D19">
        <f t="shared" ca="1" si="1"/>
        <v>8.5271867003751112E-2</v>
      </c>
      <c r="E19">
        <f t="shared" ca="1" si="2"/>
        <v>0.31830988618379069</v>
      </c>
      <c r="F19">
        <f t="shared" si="9"/>
        <v>0.25</v>
      </c>
      <c r="G19">
        <f t="shared" ca="1" si="3"/>
        <v>1</v>
      </c>
      <c r="H19">
        <f ca="1">IF(G19=1,SUM($G$10:G19),"-")</f>
        <v>8</v>
      </c>
      <c r="I19">
        <f t="shared" ca="1" si="4"/>
        <v>-0.85827678492662596</v>
      </c>
      <c r="J19">
        <f t="shared" ca="1" si="5"/>
        <v>8.5271867003751112E-2</v>
      </c>
      <c r="L19">
        <f t="shared" si="11"/>
        <v>10</v>
      </c>
      <c r="M19">
        <f t="shared" ca="1" si="6"/>
        <v>0.36918322505175727</v>
      </c>
      <c r="N19">
        <f t="shared" ca="1" si="7"/>
        <v>0.39114529116746644</v>
      </c>
      <c r="O19">
        <f t="shared" ca="1" si="8"/>
        <v>0.53785768792692601</v>
      </c>
    </row>
    <row r="20" spans="1:15" x14ac:dyDescent="0.2">
      <c r="A20">
        <f t="shared" si="10"/>
        <v>11</v>
      </c>
      <c r="B20">
        <f t="shared" ca="1" si="0"/>
        <v>0.65278824720821704</v>
      </c>
      <c r="C20">
        <f t="shared" ca="1" si="1"/>
        <v>0.18970217759962793</v>
      </c>
      <c r="D20">
        <f t="shared" ca="1" si="1"/>
        <v>-0.64992696167198627</v>
      </c>
      <c r="E20">
        <f t="shared" ca="1" si="2"/>
        <v>0.31830988618379069</v>
      </c>
      <c r="F20">
        <f t="shared" si="9"/>
        <v>0.25</v>
      </c>
      <c r="G20">
        <f t="shared" ca="1" si="3"/>
        <v>1</v>
      </c>
      <c r="H20">
        <f ca="1">IF(G20=1,SUM($G$10:G20),"-")</f>
        <v>9</v>
      </c>
      <c r="I20">
        <f t="shared" ca="1" si="4"/>
        <v>0.18970217759962793</v>
      </c>
      <c r="J20">
        <f t="shared" ca="1" si="5"/>
        <v>-0.64992696167198627</v>
      </c>
      <c r="L20">
        <f t="shared" si="11"/>
        <v>11</v>
      </c>
      <c r="M20">
        <f t="shared" ca="1" si="6"/>
        <v>-0.24941141570130454</v>
      </c>
      <c r="N20">
        <f t="shared" ca="1" si="7"/>
        <v>9.347978722496908E-2</v>
      </c>
      <c r="O20">
        <f t="shared" ca="1" si="8"/>
        <v>0.26635413438081723</v>
      </c>
    </row>
    <row r="21" spans="1:15" x14ac:dyDescent="0.2">
      <c r="A21">
        <f t="shared" si="10"/>
        <v>12</v>
      </c>
      <c r="B21">
        <f t="shared" ca="1" si="0"/>
        <v>0.91956291252700073</v>
      </c>
      <c r="C21">
        <f t="shared" ca="1" si="1"/>
        <v>0.36918322505175727</v>
      </c>
      <c r="D21">
        <f t="shared" ca="1" si="1"/>
        <v>0.39114529116746644</v>
      </c>
      <c r="E21">
        <f t="shared" ca="1" si="2"/>
        <v>0.31830988618379069</v>
      </c>
      <c r="F21">
        <f t="shared" si="9"/>
        <v>0.25</v>
      </c>
      <c r="G21">
        <f t="shared" ca="1" si="3"/>
        <v>1</v>
      </c>
      <c r="H21">
        <f ca="1">IF(G21=1,SUM($G$10:G21),"-")</f>
        <v>10</v>
      </c>
      <c r="I21">
        <f t="shared" ca="1" si="4"/>
        <v>0.36918322505175727</v>
      </c>
      <c r="J21">
        <f t="shared" ca="1" si="5"/>
        <v>0.39114529116746644</v>
      </c>
      <c r="L21">
        <f t="shared" si="11"/>
        <v>12</v>
      </c>
      <c r="M21">
        <f t="shared" ca="1" si="6"/>
        <v>-0.82542411696763041</v>
      </c>
      <c r="N21">
        <f t="shared" ca="1" si="7"/>
        <v>-0.19855570580337001</v>
      </c>
      <c r="O21">
        <f t="shared" ca="1" si="8"/>
        <v>0.84896957612088009</v>
      </c>
    </row>
    <row r="22" spans="1:15" x14ac:dyDescent="0.2">
      <c r="A22">
        <f t="shared" si="10"/>
        <v>13</v>
      </c>
      <c r="B22">
        <f t="shared" ca="1" si="0"/>
        <v>0.71892284712293741</v>
      </c>
      <c r="C22">
        <f t="shared" ca="1" si="1"/>
        <v>-0.24941141570130454</v>
      </c>
      <c r="D22">
        <f t="shared" ca="1" si="1"/>
        <v>9.347978722496908E-2</v>
      </c>
      <c r="E22">
        <f t="shared" ca="1" si="2"/>
        <v>0.31830988618379069</v>
      </c>
      <c r="F22">
        <f t="shared" si="9"/>
        <v>0.25</v>
      </c>
      <c r="G22">
        <f t="shared" ca="1" si="3"/>
        <v>1</v>
      </c>
      <c r="H22">
        <f ca="1">IF(G22=1,SUM($G$10:G22),"-")</f>
        <v>11</v>
      </c>
      <c r="I22">
        <f t="shared" ca="1" si="4"/>
        <v>-0.24941141570130454</v>
      </c>
      <c r="J22">
        <f t="shared" ca="1" si="5"/>
        <v>9.347978722496908E-2</v>
      </c>
      <c r="L22">
        <f t="shared" si="11"/>
        <v>13</v>
      </c>
      <c r="M22">
        <f t="shared" ca="1" si="6"/>
        <v>-0.43889576684524712</v>
      </c>
      <c r="N22">
        <f t="shared" ca="1" si="7"/>
        <v>-0.78678866053038776</v>
      </c>
      <c r="O22">
        <f t="shared" ca="1" si="8"/>
        <v>0.9009250193517101</v>
      </c>
    </row>
    <row r="23" spans="1:15" x14ac:dyDescent="0.2">
      <c r="A23">
        <f t="shared" si="10"/>
        <v>14</v>
      </c>
      <c r="B23">
        <f t="shared" ca="1" si="0"/>
        <v>0.77121113765406657</v>
      </c>
      <c r="C23">
        <f t="shared" ca="1" si="1"/>
        <v>-0.99617365974301508</v>
      </c>
      <c r="D23">
        <f t="shared" ca="1" si="1"/>
        <v>0.61697524896303735</v>
      </c>
      <c r="E23">
        <f t="shared" ca="1" si="2"/>
        <v>0</v>
      </c>
      <c r="F23">
        <f t="shared" si="9"/>
        <v>0.25</v>
      </c>
      <c r="G23">
        <f t="shared" ca="1" si="3"/>
        <v>0</v>
      </c>
      <c r="H23" t="str">
        <f ca="1">IF(G23=1,SUM($G$10:G23),"-")</f>
        <v>-</v>
      </c>
      <c r="I23" t="str">
        <f t="shared" ca="1" si="4"/>
        <v>-</v>
      </c>
      <c r="J23" t="str">
        <f t="shared" ca="1" si="5"/>
        <v>-</v>
      </c>
      <c r="L23">
        <f t="shared" si="11"/>
        <v>14</v>
      </c>
      <c r="M23">
        <f t="shared" ca="1" si="6"/>
        <v>-0.20649894929057133</v>
      </c>
      <c r="N23">
        <f t="shared" ca="1" si="7"/>
        <v>-0.52500988824423289</v>
      </c>
      <c r="O23">
        <f t="shared" ca="1" si="8"/>
        <v>0.56416061437531406</v>
      </c>
    </row>
    <row r="24" spans="1:15" x14ac:dyDescent="0.2">
      <c r="A24">
        <f t="shared" si="10"/>
        <v>15</v>
      </c>
      <c r="B24">
        <f t="shared" ca="1" si="0"/>
        <v>0.84720471173098932</v>
      </c>
      <c r="C24">
        <f t="shared" ca="1" si="1"/>
        <v>-0.82542411696763041</v>
      </c>
      <c r="D24">
        <f t="shared" ca="1" si="1"/>
        <v>-0.19855570580337001</v>
      </c>
      <c r="E24">
        <f t="shared" ca="1" si="2"/>
        <v>0.31830988618379069</v>
      </c>
      <c r="F24">
        <f t="shared" si="9"/>
        <v>0.25</v>
      </c>
      <c r="G24">
        <f t="shared" ca="1" si="3"/>
        <v>1</v>
      </c>
      <c r="H24">
        <f ca="1">IF(G24=1,SUM($G$10:G24),"-")</f>
        <v>12</v>
      </c>
      <c r="I24">
        <f t="shared" ca="1" si="4"/>
        <v>-0.82542411696763041</v>
      </c>
      <c r="J24">
        <f t="shared" ca="1" si="5"/>
        <v>-0.19855570580337001</v>
      </c>
      <c r="L24">
        <f t="shared" si="11"/>
        <v>15</v>
      </c>
      <c r="M24">
        <f t="shared" ca="1" si="6"/>
        <v>0.60121368102237338</v>
      </c>
      <c r="N24">
        <f t="shared" ca="1" si="7"/>
        <v>-0.22377018381812741</v>
      </c>
      <c r="O24">
        <f t="shared" ca="1" si="8"/>
        <v>0.64150680854880304</v>
      </c>
    </row>
    <row r="25" spans="1:15" x14ac:dyDescent="0.2">
      <c r="A25">
        <f t="shared" si="10"/>
        <v>16</v>
      </c>
      <c r="B25">
        <f t="shared" ca="1" si="0"/>
        <v>0.38618599458548941</v>
      </c>
      <c r="C25">
        <f t="shared" ca="1" si="1"/>
        <v>-0.43889576684524712</v>
      </c>
      <c r="D25">
        <f t="shared" ca="1" si="1"/>
        <v>-0.78678866053038776</v>
      </c>
      <c r="E25">
        <f t="shared" ca="1" si="2"/>
        <v>0.31830988618379069</v>
      </c>
      <c r="F25">
        <f t="shared" si="9"/>
        <v>0.25</v>
      </c>
      <c r="G25">
        <f t="shared" ca="1" si="3"/>
        <v>1</v>
      </c>
      <c r="H25">
        <f ca="1">IF(G25=1,SUM($G$10:G25),"-")</f>
        <v>13</v>
      </c>
      <c r="I25">
        <f t="shared" ca="1" si="4"/>
        <v>-0.43889576684524712</v>
      </c>
      <c r="J25">
        <f t="shared" ca="1" si="5"/>
        <v>-0.78678866053038776</v>
      </c>
      <c r="L25">
        <f t="shared" si="11"/>
        <v>16</v>
      </c>
      <c r="M25">
        <f t="shared" ca="1" si="6"/>
        <v>-0.52779177211756245</v>
      </c>
      <c r="N25">
        <f t="shared" ca="1" si="7"/>
        <v>-0.74703793214383318</v>
      </c>
      <c r="O25">
        <f t="shared" ca="1" si="8"/>
        <v>0.91467471090914676</v>
      </c>
    </row>
    <row r="26" spans="1:15" x14ac:dyDescent="0.2">
      <c r="A26">
        <f t="shared" si="10"/>
        <v>17</v>
      </c>
      <c r="B26">
        <f t="shared" ca="1" si="0"/>
        <v>0.54288934064811301</v>
      </c>
      <c r="C26">
        <f t="shared" ca="1" si="1"/>
        <v>-0.7341137806629412</v>
      </c>
      <c r="D26">
        <f t="shared" ca="1" si="1"/>
        <v>-0.92081969208083847</v>
      </c>
      <c r="E26">
        <f t="shared" ca="1" si="2"/>
        <v>0</v>
      </c>
      <c r="F26">
        <f t="shared" si="9"/>
        <v>0.25</v>
      </c>
      <c r="G26">
        <f t="shared" ca="1" si="3"/>
        <v>0</v>
      </c>
      <c r="H26" t="str">
        <f ca="1">IF(G26=1,SUM($G$10:G26),"-")</f>
        <v>-</v>
      </c>
      <c r="I26" t="str">
        <f t="shared" ca="1" si="4"/>
        <v>-</v>
      </c>
      <c r="J26" t="str">
        <f t="shared" ca="1" si="5"/>
        <v>-</v>
      </c>
      <c r="L26">
        <f t="shared" si="11"/>
        <v>17</v>
      </c>
      <c r="M26">
        <f t="shared" ca="1" si="6"/>
        <v>-0.5309432195415098</v>
      </c>
      <c r="N26">
        <f t="shared" ca="1" si="7"/>
        <v>0.32107299952414237</v>
      </c>
      <c r="O26">
        <f t="shared" ca="1" si="8"/>
        <v>0.62047447441497039</v>
      </c>
    </row>
    <row r="27" spans="1:15" x14ac:dyDescent="0.2">
      <c r="A27">
        <f t="shared" si="10"/>
        <v>18</v>
      </c>
      <c r="B27">
        <f t="shared" ca="1" si="0"/>
        <v>0.76923046958112307</v>
      </c>
      <c r="C27">
        <f t="shared" ca="1" si="1"/>
        <v>-0.20649894929057133</v>
      </c>
      <c r="D27">
        <f t="shared" ca="1" si="1"/>
        <v>-0.52500988824423289</v>
      </c>
      <c r="E27">
        <f t="shared" ca="1" si="2"/>
        <v>0.31830988618379069</v>
      </c>
      <c r="F27">
        <f t="shared" si="9"/>
        <v>0.25</v>
      </c>
      <c r="G27">
        <f t="shared" ca="1" si="3"/>
        <v>1</v>
      </c>
      <c r="H27">
        <f ca="1">IF(G27=1,SUM($G$10:G27),"-")</f>
        <v>14</v>
      </c>
      <c r="I27">
        <f t="shared" ca="1" si="4"/>
        <v>-0.20649894929057133</v>
      </c>
      <c r="J27">
        <f t="shared" ca="1" si="5"/>
        <v>-0.52500988824423289</v>
      </c>
      <c r="L27">
        <f t="shared" si="11"/>
        <v>18</v>
      </c>
      <c r="M27">
        <f t="shared" ca="1" si="6"/>
        <v>0.2630723100277963</v>
      </c>
      <c r="N27">
        <f t="shared" ca="1" si="7"/>
        <v>-0.46918678193415331</v>
      </c>
      <c r="O27">
        <f t="shared" ca="1" si="8"/>
        <v>0.53790638278894565</v>
      </c>
    </row>
    <row r="28" spans="1:15" x14ac:dyDescent="0.2">
      <c r="A28">
        <f t="shared" si="10"/>
        <v>19</v>
      </c>
      <c r="B28">
        <f t="shared" ca="1" si="0"/>
        <v>0.44746349599090562</v>
      </c>
      <c r="C28">
        <f t="shared" ca="1" si="1"/>
        <v>0.60121368102237338</v>
      </c>
      <c r="D28">
        <f t="shared" ca="1" si="1"/>
        <v>-0.22377018381812741</v>
      </c>
      <c r="E28">
        <f t="shared" ca="1" si="2"/>
        <v>0.31830988618379069</v>
      </c>
      <c r="F28">
        <f t="shared" si="9"/>
        <v>0.25</v>
      </c>
      <c r="G28">
        <f t="shared" ca="1" si="3"/>
        <v>1</v>
      </c>
      <c r="H28">
        <f ca="1">IF(G28=1,SUM($G$10:G28),"-")</f>
        <v>15</v>
      </c>
      <c r="I28">
        <f t="shared" ca="1" si="4"/>
        <v>0.60121368102237338</v>
      </c>
      <c r="J28">
        <f t="shared" ca="1" si="5"/>
        <v>-0.22377018381812741</v>
      </c>
      <c r="L28">
        <f t="shared" si="11"/>
        <v>19</v>
      </c>
      <c r="M28">
        <f t="shared" ca="1" si="6"/>
        <v>-0.24040913886294946</v>
      </c>
      <c r="N28">
        <f t="shared" ca="1" si="7"/>
        <v>0.5220530807235142</v>
      </c>
      <c r="O28">
        <f t="shared" ca="1" si="8"/>
        <v>0.57474861734652039</v>
      </c>
    </row>
    <row r="29" spans="1:15" x14ac:dyDescent="0.2">
      <c r="A29">
        <f t="shared" si="10"/>
        <v>20</v>
      </c>
      <c r="B29">
        <f t="shared" ca="1" si="0"/>
        <v>0.60359604116358423</v>
      </c>
      <c r="C29">
        <f t="shared" ca="1" si="1"/>
        <v>-0.52779177211756245</v>
      </c>
      <c r="D29">
        <f t="shared" ca="1" si="1"/>
        <v>-0.74703793214383318</v>
      </c>
      <c r="E29">
        <f t="shared" ca="1" si="2"/>
        <v>0.31830988618379069</v>
      </c>
      <c r="F29">
        <f t="shared" si="9"/>
        <v>0.25</v>
      </c>
      <c r="G29">
        <f t="shared" ca="1" si="3"/>
        <v>1</v>
      </c>
      <c r="H29">
        <f ca="1">IF(G29=1,SUM($G$10:G29),"-")</f>
        <v>16</v>
      </c>
      <c r="I29">
        <f t="shared" ca="1" si="4"/>
        <v>-0.52779177211756245</v>
      </c>
      <c r="J29">
        <f t="shared" ca="1" si="5"/>
        <v>-0.74703793214383318</v>
      </c>
      <c r="L29">
        <f t="shared" si="11"/>
        <v>20</v>
      </c>
      <c r="M29">
        <f t="shared" ca="1" si="6"/>
        <v>-0.20897830122665995</v>
      </c>
      <c r="N29">
        <f t="shared" ca="1" si="7"/>
        <v>-0.82735009252181468</v>
      </c>
      <c r="O29">
        <f t="shared" ca="1" si="8"/>
        <v>0.85333469751290203</v>
      </c>
    </row>
    <row r="30" spans="1:15" x14ac:dyDescent="0.2">
      <c r="A30">
        <f t="shared" si="10"/>
        <v>21</v>
      </c>
      <c r="B30">
        <f t="shared" ca="1" si="0"/>
        <v>0.76815502846636352</v>
      </c>
      <c r="C30">
        <f t="shared" ref="C30:D49" ca="1" si="12">2*RAND()-1</f>
        <v>-0.99726336121353754</v>
      </c>
      <c r="D30">
        <f t="shared" ca="1" si="12"/>
        <v>-0.17232545625121509</v>
      </c>
      <c r="E30">
        <f t="shared" ca="1" si="2"/>
        <v>0</v>
      </c>
      <c r="F30">
        <f t="shared" si="9"/>
        <v>0.25</v>
      </c>
      <c r="G30">
        <f t="shared" ca="1" si="3"/>
        <v>0</v>
      </c>
      <c r="H30" t="str">
        <f ca="1">IF(G30=1,SUM($G$10:G30),"-")</f>
        <v>-</v>
      </c>
      <c r="I30" t="str">
        <f t="shared" ca="1" si="4"/>
        <v>-</v>
      </c>
      <c r="J30" t="str">
        <f t="shared" ca="1" si="5"/>
        <v>-</v>
      </c>
      <c r="L30">
        <f t="shared" si="11"/>
        <v>21</v>
      </c>
      <c r="M30">
        <f t="shared" ca="1" si="6"/>
        <v>-0.67354792558674292</v>
      </c>
      <c r="N30">
        <f t="shared" ca="1" si="7"/>
        <v>-9.10833282546335E-2</v>
      </c>
      <c r="O30">
        <f t="shared" ca="1" si="8"/>
        <v>0.67967858635398093</v>
      </c>
    </row>
    <row r="31" spans="1:15" x14ac:dyDescent="0.2">
      <c r="A31">
        <f t="shared" si="10"/>
        <v>22</v>
      </c>
      <c r="B31">
        <f t="shared" ca="1" si="0"/>
        <v>0.63410525742317703</v>
      </c>
      <c r="C31">
        <f t="shared" ca="1" si="12"/>
        <v>-0.55245379649710169</v>
      </c>
      <c r="D31">
        <f t="shared" ca="1" si="12"/>
        <v>-0.88300333345645399</v>
      </c>
      <c r="E31">
        <f t="shared" ca="1" si="2"/>
        <v>0</v>
      </c>
      <c r="F31">
        <f t="shared" si="9"/>
        <v>0.25</v>
      </c>
      <c r="G31">
        <f t="shared" ca="1" si="3"/>
        <v>0</v>
      </c>
      <c r="H31" t="str">
        <f ca="1">IF(G31=1,SUM($G$10:G31),"-")</f>
        <v>-</v>
      </c>
      <c r="I31" t="str">
        <f t="shared" ca="1" si="4"/>
        <v>-</v>
      </c>
      <c r="J31" t="str">
        <f t="shared" ca="1" si="5"/>
        <v>-</v>
      </c>
      <c r="L31">
        <f t="shared" si="11"/>
        <v>22</v>
      </c>
      <c r="M31">
        <f t="shared" ca="1" si="6"/>
        <v>0.57326339455173692</v>
      </c>
      <c r="N31">
        <f t="shared" ca="1" si="7"/>
        <v>-0.79977540490648136</v>
      </c>
      <c r="O31">
        <f t="shared" ca="1" si="8"/>
        <v>0.98400793585535007</v>
      </c>
    </row>
    <row r="32" spans="1:15" x14ac:dyDescent="0.2">
      <c r="A32">
        <f t="shared" si="10"/>
        <v>23</v>
      </c>
      <c r="B32">
        <f t="shared" ca="1" si="0"/>
        <v>0.82501549548032382</v>
      </c>
      <c r="C32">
        <f t="shared" ca="1" si="12"/>
        <v>-0.5309432195415098</v>
      </c>
      <c r="D32">
        <f t="shared" ca="1" si="12"/>
        <v>0.32107299952414237</v>
      </c>
      <c r="E32">
        <f t="shared" ca="1" si="2"/>
        <v>0.31830988618379069</v>
      </c>
      <c r="F32">
        <f t="shared" si="9"/>
        <v>0.25</v>
      </c>
      <c r="G32">
        <f t="shared" ca="1" si="3"/>
        <v>1</v>
      </c>
      <c r="H32">
        <f ca="1">IF(G32=1,SUM($G$10:G32),"-")</f>
        <v>17</v>
      </c>
      <c r="I32">
        <f t="shared" ca="1" si="4"/>
        <v>-0.5309432195415098</v>
      </c>
      <c r="J32">
        <f t="shared" ca="1" si="5"/>
        <v>0.32107299952414237</v>
      </c>
      <c r="L32">
        <f t="shared" si="11"/>
        <v>23</v>
      </c>
      <c r="M32">
        <f t="shared" ca="1" si="6"/>
        <v>0.69896941668651613</v>
      </c>
      <c r="N32">
        <f t="shared" ca="1" si="7"/>
        <v>0.62631342866914363</v>
      </c>
      <c r="O32">
        <f t="shared" ca="1" si="8"/>
        <v>0.93852371115192779</v>
      </c>
    </row>
    <row r="33" spans="1:15" x14ac:dyDescent="0.2">
      <c r="A33">
        <f t="shared" si="10"/>
        <v>24</v>
      </c>
      <c r="B33">
        <f t="shared" ca="1" si="0"/>
        <v>3.9992883535219459E-2</v>
      </c>
      <c r="C33">
        <f t="shared" ca="1" si="12"/>
        <v>0.2630723100277963</v>
      </c>
      <c r="D33">
        <f t="shared" ca="1" si="12"/>
        <v>-0.46918678193415331</v>
      </c>
      <c r="E33">
        <f t="shared" ca="1" si="2"/>
        <v>0.31830988618379069</v>
      </c>
      <c r="F33">
        <f t="shared" si="9"/>
        <v>0.25</v>
      </c>
      <c r="G33">
        <f t="shared" ca="1" si="3"/>
        <v>1</v>
      </c>
      <c r="H33">
        <f ca="1">IF(G33=1,SUM($G$10:G33),"-")</f>
        <v>18</v>
      </c>
      <c r="I33">
        <f t="shared" ca="1" si="4"/>
        <v>0.2630723100277963</v>
      </c>
      <c r="J33">
        <f t="shared" ca="1" si="5"/>
        <v>-0.46918678193415331</v>
      </c>
      <c r="L33">
        <f t="shared" si="11"/>
        <v>24</v>
      </c>
      <c r="M33">
        <f t="shared" ca="1" si="6"/>
        <v>0.28059708928632143</v>
      </c>
      <c r="N33">
        <f t="shared" ca="1" si="7"/>
        <v>-0.91679788370538295</v>
      </c>
      <c r="O33">
        <f t="shared" ca="1" si="8"/>
        <v>0.95877686980998067</v>
      </c>
    </row>
    <row r="34" spans="1:15" x14ac:dyDescent="0.2">
      <c r="A34">
        <f t="shared" si="10"/>
        <v>25</v>
      </c>
      <c r="B34">
        <f t="shared" ca="1" si="0"/>
        <v>0.21261015905975189</v>
      </c>
      <c r="C34">
        <f t="shared" ca="1" si="12"/>
        <v>-0.24040913886294946</v>
      </c>
      <c r="D34">
        <f t="shared" ca="1" si="12"/>
        <v>0.5220530807235142</v>
      </c>
      <c r="E34">
        <f t="shared" ca="1" si="2"/>
        <v>0.31830988618379069</v>
      </c>
      <c r="F34">
        <f t="shared" si="9"/>
        <v>0.25</v>
      </c>
      <c r="G34">
        <f t="shared" ca="1" si="3"/>
        <v>1</v>
      </c>
      <c r="H34">
        <f ca="1">IF(G34=1,SUM($G$10:G34),"-")</f>
        <v>19</v>
      </c>
      <c r="I34">
        <f t="shared" ca="1" si="4"/>
        <v>-0.24040913886294946</v>
      </c>
      <c r="J34">
        <f t="shared" ca="1" si="5"/>
        <v>0.5220530807235142</v>
      </c>
      <c r="L34">
        <f t="shared" si="11"/>
        <v>25</v>
      </c>
      <c r="M34">
        <f t="shared" ca="1" si="6"/>
        <v>0.30564663528708635</v>
      </c>
      <c r="N34">
        <f t="shared" ca="1" si="7"/>
        <v>0.44065837696568111</v>
      </c>
      <c r="O34">
        <f t="shared" ca="1" si="8"/>
        <v>0.53628320023318421</v>
      </c>
    </row>
    <row r="35" spans="1:15" x14ac:dyDescent="0.2">
      <c r="A35">
        <f t="shared" si="10"/>
        <v>26</v>
      </c>
      <c r="B35">
        <f t="shared" ca="1" si="0"/>
        <v>0.72091420501153947</v>
      </c>
      <c r="C35">
        <f t="shared" ca="1" si="12"/>
        <v>-0.20897830122665995</v>
      </c>
      <c r="D35">
        <f t="shared" ca="1" si="12"/>
        <v>-0.82735009252181468</v>
      </c>
      <c r="E35">
        <f t="shared" ca="1" si="2"/>
        <v>0.31830988618379069</v>
      </c>
      <c r="F35">
        <f t="shared" si="9"/>
        <v>0.25</v>
      </c>
      <c r="G35">
        <f t="shared" ca="1" si="3"/>
        <v>1</v>
      </c>
      <c r="H35">
        <f ca="1">IF(G35=1,SUM($G$10:G35),"-")</f>
        <v>20</v>
      </c>
      <c r="I35">
        <f t="shared" ca="1" si="4"/>
        <v>-0.20897830122665995</v>
      </c>
      <c r="J35">
        <f t="shared" ca="1" si="5"/>
        <v>-0.82735009252181468</v>
      </c>
      <c r="L35">
        <f t="shared" si="11"/>
        <v>26</v>
      </c>
      <c r="M35">
        <f t="shared" ca="1" si="6"/>
        <v>-0.90223063673221127</v>
      </c>
      <c r="N35">
        <f t="shared" ca="1" si="7"/>
        <v>0.23808504167396372</v>
      </c>
      <c r="O35">
        <f t="shared" ca="1" si="8"/>
        <v>0.93311553889489185</v>
      </c>
    </row>
    <row r="36" spans="1:15" x14ac:dyDescent="0.2">
      <c r="A36">
        <f t="shared" si="10"/>
        <v>27</v>
      </c>
      <c r="B36">
        <f t="shared" ca="1" si="0"/>
        <v>0.65817871230547209</v>
      </c>
      <c r="C36">
        <f t="shared" ca="1" si="12"/>
        <v>-0.67354792558674292</v>
      </c>
      <c r="D36">
        <f t="shared" ca="1" si="12"/>
        <v>-9.10833282546335E-2</v>
      </c>
      <c r="E36">
        <f t="shared" ca="1" si="2"/>
        <v>0.31830988618379069</v>
      </c>
      <c r="F36">
        <f t="shared" si="9"/>
        <v>0.25</v>
      </c>
      <c r="G36">
        <f t="shared" ca="1" si="3"/>
        <v>1</v>
      </c>
      <c r="H36">
        <f ca="1">IF(G36=1,SUM($G$10:G36),"-")</f>
        <v>21</v>
      </c>
      <c r="I36">
        <f t="shared" ca="1" si="4"/>
        <v>-0.67354792558674292</v>
      </c>
      <c r="J36">
        <f t="shared" ca="1" si="5"/>
        <v>-9.10833282546335E-2</v>
      </c>
      <c r="L36">
        <f t="shared" si="11"/>
        <v>27</v>
      </c>
      <c r="M36">
        <f t="shared" ca="1" si="6"/>
        <v>0.42723313695359355</v>
      </c>
      <c r="N36">
        <f t="shared" ca="1" si="7"/>
        <v>0.14006047149288037</v>
      </c>
      <c r="O36">
        <f t="shared" ca="1" si="8"/>
        <v>0.44960548149017932</v>
      </c>
    </row>
    <row r="37" spans="1:15" x14ac:dyDescent="0.2">
      <c r="A37">
        <f t="shared" si="10"/>
        <v>28</v>
      </c>
      <c r="B37">
        <f t="shared" ca="1" si="0"/>
        <v>0.21619602082786205</v>
      </c>
      <c r="C37">
        <f t="shared" ca="1" si="12"/>
        <v>-0.9646518038113383</v>
      </c>
      <c r="D37">
        <f t="shared" ca="1" si="12"/>
        <v>0.98291307758959157</v>
      </c>
      <c r="E37">
        <f t="shared" ca="1" si="2"/>
        <v>0</v>
      </c>
      <c r="F37">
        <f t="shared" si="9"/>
        <v>0.25</v>
      </c>
      <c r="G37">
        <f t="shared" ca="1" si="3"/>
        <v>0</v>
      </c>
      <c r="H37" t="str">
        <f ca="1">IF(G37=1,SUM($G$10:G37),"-")</f>
        <v>-</v>
      </c>
      <c r="I37" t="str">
        <f t="shared" ca="1" si="4"/>
        <v>-</v>
      </c>
      <c r="J37" t="str">
        <f t="shared" ca="1" si="5"/>
        <v>-</v>
      </c>
      <c r="L37">
        <f t="shared" si="11"/>
        <v>28</v>
      </c>
      <c r="M37">
        <f t="shared" ca="1" si="6"/>
        <v>0.39364284337987265</v>
      </c>
      <c r="N37">
        <f t="shared" ca="1" si="7"/>
        <v>-0.51109556622333607</v>
      </c>
      <c r="O37">
        <f t="shared" ca="1" si="8"/>
        <v>0.64511500211771811</v>
      </c>
    </row>
    <row r="38" spans="1:15" x14ac:dyDescent="0.2">
      <c r="A38">
        <f t="shared" si="10"/>
        <v>29</v>
      </c>
      <c r="B38">
        <f t="shared" ca="1" si="0"/>
        <v>6.4107274035185902E-2</v>
      </c>
      <c r="C38">
        <f t="shared" ca="1" si="12"/>
        <v>0.57326339455173692</v>
      </c>
      <c r="D38">
        <f t="shared" ca="1" si="12"/>
        <v>-0.79977540490648136</v>
      </c>
      <c r="E38">
        <f t="shared" ca="1" si="2"/>
        <v>0.31830988618379069</v>
      </c>
      <c r="F38">
        <f t="shared" si="9"/>
        <v>0.25</v>
      </c>
      <c r="G38">
        <f t="shared" ca="1" si="3"/>
        <v>1</v>
      </c>
      <c r="H38">
        <f ca="1">IF(G38=1,SUM($G$10:G38),"-")</f>
        <v>22</v>
      </c>
      <c r="I38">
        <f t="shared" ca="1" si="4"/>
        <v>0.57326339455173692</v>
      </c>
      <c r="J38">
        <f t="shared" ca="1" si="5"/>
        <v>-0.79977540490648136</v>
      </c>
      <c r="L38">
        <f t="shared" si="11"/>
        <v>29</v>
      </c>
      <c r="M38">
        <f t="shared" ca="1" si="6"/>
        <v>8.0128248754276266E-2</v>
      </c>
      <c r="N38">
        <f t="shared" ca="1" si="7"/>
        <v>0.10539167105959435</v>
      </c>
      <c r="O38">
        <f t="shared" ca="1" si="8"/>
        <v>0.13239312888953458</v>
      </c>
    </row>
    <row r="39" spans="1:15" x14ac:dyDescent="0.2">
      <c r="A39">
        <f>1+A38</f>
        <v>30</v>
      </c>
      <c r="B39">
        <f t="shared" ca="1" si="0"/>
        <v>0.95157082754560196</v>
      </c>
      <c r="C39">
        <f t="shared" ca="1" si="12"/>
        <v>0.69896941668651613</v>
      </c>
      <c r="D39">
        <f t="shared" ca="1" si="12"/>
        <v>0.62631342866914363</v>
      </c>
      <c r="E39">
        <f t="shared" ca="1" si="2"/>
        <v>0.31830988618379069</v>
      </c>
      <c r="F39">
        <f t="shared" si="9"/>
        <v>0.25</v>
      </c>
      <c r="G39">
        <f t="shared" ca="1" si="3"/>
        <v>1</v>
      </c>
      <c r="H39">
        <f ca="1">IF(G39=1,SUM($G$10:G39),"-")</f>
        <v>23</v>
      </c>
      <c r="I39">
        <f t="shared" ca="1" si="4"/>
        <v>0.69896941668651613</v>
      </c>
      <c r="J39">
        <f t="shared" ca="1" si="5"/>
        <v>0.62631342866914363</v>
      </c>
      <c r="L39">
        <f t="shared" si="11"/>
        <v>30</v>
      </c>
      <c r="M39">
        <f t="shared" ca="1" si="6"/>
        <v>0.65284725452006565</v>
      </c>
      <c r="N39">
        <f t="shared" ca="1" si="7"/>
        <v>-0.34533364115407394</v>
      </c>
      <c r="O39">
        <f t="shared" ca="1" si="8"/>
        <v>0.73855592980296225</v>
      </c>
    </row>
    <row r="40" spans="1:15" x14ac:dyDescent="0.2">
      <c r="A40">
        <f t="shared" ref="A40:A54" si="13">1+A39</f>
        <v>31</v>
      </c>
      <c r="B40">
        <f t="shared" ca="1" si="0"/>
        <v>0.37825047770706577</v>
      </c>
      <c r="C40">
        <f t="shared" ca="1" si="12"/>
        <v>0.77936092658056233</v>
      </c>
      <c r="D40">
        <f t="shared" ca="1" si="12"/>
        <v>-0.98955067984403877</v>
      </c>
      <c r="E40">
        <f t="shared" ca="1" si="2"/>
        <v>0</v>
      </c>
      <c r="F40">
        <f t="shared" si="9"/>
        <v>0.25</v>
      </c>
      <c r="G40">
        <f t="shared" ca="1" si="3"/>
        <v>0</v>
      </c>
      <c r="H40" t="str">
        <f ca="1">IF(G40=1,SUM($G$10:G40),"-")</f>
        <v>-</v>
      </c>
      <c r="I40" t="str">
        <f t="shared" ca="1" si="4"/>
        <v>-</v>
      </c>
      <c r="J40" t="str">
        <f t="shared" ca="1" si="5"/>
        <v>-</v>
      </c>
      <c r="L40">
        <f t="shared" si="11"/>
        <v>31</v>
      </c>
      <c r="M40">
        <f t="shared" ca="1" si="6"/>
        <v>-0.19487068794361151</v>
      </c>
      <c r="N40">
        <f t="shared" ca="1" si="7"/>
        <v>0.81052474368699934</v>
      </c>
      <c r="O40">
        <f t="shared" ca="1" si="8"/>
        <v>0.83362158390272767</v>
      </c>
    </row>
    <row r="41" spans="1:15" x14ac:dyDescent="0.2">
      <c r="A41">
        <f t="shared" si="13"/>
        <v>32</v>
      </c>
      <c r="B41">
        <f t="shared" ca="1" si="0"/>
        <v>0.93685762669327899</v>
      </c>
      <c r="C41">
        <f t="shared" ca="1" si="12"/>
        <v>0.28059708928632143</v>
      </c>
      <c r="D41">
        <f t="shared" ca="1" si="12"/>
        <v>-0.91679788370538295</v>
      </c>
      <c r="E41">
        <f t="shared" ca="1" si="2"/>
        <v>0.31830988618379069</v>
      </c>
      <c r="F41">
        <f t="shared" si="9"/>
        <v>0.25</v>
      </c>
      <c r="G41">
        <f t="shared" ca="1" si="3"/>
        <v>1</v>
      </c>
      <c r="H41">
        <f ca="1">IF(G41=1,SUM($G$10:G41),"-")</f>
        <v>24</v>
      </c>
      <c r="I41">
        <f t="shared" ca="1" si="4"/>
        <v>0.28059708928632143</v>
      </c>
      <c r="J41">
        <f t="shared" ca="1" si="5"/>
        <v>-0.91679788370538295</v>
      </c>
      <c r="L41">
        <f t="shared" si="11"/>
        <v>32</v>
      </c>
      <c r="M41">
        <f t="shared" ca="1" si="6"/>
        <v>-4.7786061163548776E-2</v>
      </c>
      <c r="N41">
        <f t="shared" ca="1" si="7"/>
        <v>-0.29350235032106853</v>
      </c>
      <c r="O41">
        <f t="shared" ca="1" si="8"/>
        <v>0.29736700772869484</v>
      </c>
    </row>
    <row r="42" spans="1:15" x14ac:dyDescent="0.2">
      <c r="A42">
        <f t="shared" si="13"/>
        <v>33</v>
      </c>
      <c r="B42">
        <f t="shared" ca="1" si="0"/>
        <v>0.94103181511280698</v>
      </c>
      <c r="C42">
        <f t="shared" ca="1" si="12"/>
        <v>0.30564663528708635</v>
      </c>
      <c r="D42">
        <f t="shared" ca="1" si="12"/>
        <v>0.44065837696568111</v>
      </c>
      <c r="E42">
        <f t="shared" ca="1" si="2"/>
        <v>0.31830988618379069</v>
      </c>
      <c r="F42">
        <f t="shared" si="9"/>
        <v>0.25</v>
      </c>
      <c r="G42">
        <f t="shared" ca="1" si="3"/>
        <v>1</v>
      </c>
      <c r="H42">
        <f ca="1">IF(G42=1,SUM($G$10:G42),"-")</f>
        <v>25</v>
      </c>
      <c r="I42">
        <f t="shared" ca="1" si="4"/>
        <v>0.30564663528708635</v>
      </c>
      <c r="J42">
        <f t="shared" ca="1" si="5"/>
        <v>0.44065837696568111</v>
      </c>
      <c r="L42">
        <f t="shared" si="11"/>
        <v>33</v>
      </c>
      <c r="M42">
        <f t="shared" ca="1" si="6"/>
        <v>0.19400143165006489</v>
      </c>
      <c r="N42">
        <f t="shared" ca="1" si="7"/>
        <v>0.7837161348423296</v>
      </c>
      <c r="O42">
        <f t="shared" ca="1" si="8"/>
        <v>0.80737075466880481</v>
      </c>
    </row>
    <row r="43" spans="1:15" x14ac:dyDescent="0.2">
      <c r="A43">
        <f t="shared" si="13"/>
        <v>34</v>
      </c>
      <c r="B43">
        <f t="shared" ca="1" si="0"/>
        <v>4.3187945053637322E-2</v>
      </c>
      <c r="C43">
        <f t="shared" ca="1" si="12"/>
        <v>-0.90223063673221127</v>
      </c>
      <c r="D43">
        <f t="shared" ca="1" si="12"/>
        <v>0.23808504167396372</v>
      </c>
      <c r="E43">
        <f t="shared" ca="1" si="2"/>
        <v>0.31830988618379069</v>
      </c>
      <c r="F43">
        <f t="shared" si="9"/>
        <v>0.25</v>
      </c>
      <c r="G43">
        <f t="shared" ca="1" si="3"/>
        <v>1</v>
      </c>
      <c r="H43">
        <f ca="1">IF(G43=1,SUM($G$10:G43),"-")</f>
        <v>26</v>
      </c>
      <c r="I43">
        <f t="shared" ca="1" si="4"/>
        <v>-0.90223063673221127</v>
      </c>
      <c r="J43">
        <f t="shared" ca="1" si="5"/>
        <v>0.23808504167396372</v>
      </c>
      <c r="L43">
        <f t="shared" si="11"/>
        <v>34</v>
      </c>
      <c r="M43">
        <f t="shared" ca="1" si="6"/>
        <v>-0.11593281701190916</v>
      </c>
      <c r="N43">
        <f t="shared" ca="1" si="7"/>
        <v>-6.8977899122335762E-2</v>
      </c>
      <c r="O43">
        <f t="shared" ca="1" si="8"/>
        <v>0.13490132922861783</v>
      </c>
    </row>
    <row r="44" spans="1:15" x14ac:dyDescent="0.2">
      <c r="A44">
        <f t="shared" si="13"/>
        <v>35</v>
      </c>
      <c r="B44">
        <f t="shared" ca="1" si="0"/>
        <v>0.35090601945249988</v>
      </c>
      <c r="C44">
        <f t="shared" ca="1" si="12"/>
        <v>0.42723313695359355</v>
      </c>
      <c r="D44">
        <f t="shared" ca="1" si="12"/>
        <v>0.14006047149288037</v>
      </c>
      <c r="E44">
        <f t="shared" ca="1" si="2"/>
        <v>0.31830988618379069</v>
      </c>
      <c r="F44">
        <f t="shared" si="9"/>
        <v>0.25</v>
      </c>
      <c r="G44">
        <f t="shared" ca="1" si="3"/>
        <v>1</v>
      </c>
      <c r="H44">
        <f ca="1">IF(G44=1,SUM($G$10:G44),"-")</f>
        <v>27</v>
      </c>
      <c r="I44">
        <f t="shared" ca="1" si="4"/>
        <v>0.42723313695359355</v>
      </c>
      <c r="J44">
        <f t="shared" ca="1" si="5"/>
        <v>0.14006047149288037</v>
      </c>
      <c r="L44">
        <f t="shared" si="11"/>
        <v>35</v>
      </c>
      <c r="M44">
        <f t="shared" ca="1" si="6"/>
        <v>-0.59169147279780887</v>
      </c>
      <c r="N44">
        <f t="shared" ca="1" si="7"/>
        <v>-0.63436108153085202</v>
      </c>
      <c r="O44">
        <f t="shared" ca="1" si="8"/>
        <v>0.86747494531117875</v>
      </c>
    </row>
    <row r="45" spans="1:15" x14ac:dyDescent="0.2">
      <c r="A45">
        <f t="shared" si="13"/>
        <v>36</v>
      </c>
      <c r="B45">
        <f t="shared" ca="1" si="0"/>
        <v>0.54027613470882008</v>
      </c>
      <c r="C45">
        <f t="shared" ca="1" si="12"/>
        <v>0.39364284337987265</v>
      </c>
      <c r="D45">
        <f t="shared" ca="1" si="12"/>
        <v>-0.51109556622333607</v>
      </c>
      <c r="E45">
        <f t="shared" ca="1" si="2"/>
        <v>0.31830988618379069</v>
      </c>
      <c r="F45">
        <f t="shared" si="9"/>
        <v>0.25</v>
      </c>
      <c r="G45">
        <f t="shared" ca="1" si="3"/>
        <v>1</v>
      </c>
      <c r="H45">
        <f ca="1">IF(G45=1,SUM($G$10:G45),"-")</f>
        <v>28</v>
      </c>
      <c r="I45">
        <f t="shared" ca="1" si="4"/>
        <v>0.39364284337987265</v>
      </c>
      <c r="J45">
        <f t="shared" ca="1" si="5"/>
        <v>-0.51109556622333607</v>
      </c>
      <c r="L45">
        <f t="shared" si="11"/>
        <v>36</v>
      </c>
      <c r="M45">
        <f t="shared" ca="1" si="6"/>
        <v>-0.3921903240548088</v>
      </c>
      <c r="N45">
        <f t="shared" ca="1" si="7"/>
        <v>-0.86442801719236129</v>
      </c>
      <c r="O45">
        <f t="shared" ca="1" si="8"/>
        <v>0.94923603344443952</v>
      </c>
    </row>
    <row r="46" spans="1:15" x14ac:dyDescent="0.2">
      <c r="A46">
        <f t="shared" si="13"/>
        <v>37</v>
      </c>
      <c r="B46">
        <f t="shared" ca="1" si="0"/>
        <v>0.61729445383615633</v>
      </c>
      <c r="C46">
        <f t="shared" ca="1" si="12"/>
        <v>-0.82097002037471989</v>
      </c>
      <c r="D46">
        <f t="shared" ca="1" si="12"/>
        <v>-0.57243818269322988</v>
      </c>
      <c r="E46">
        <f t="shared" ca="1" si="2"/>
        <v>0</v>
      </c>
      <c r="F46">
        <f t="shared" si="9"/>
        <v>0.25</v>
      </c>
      <c r="G46">
        <f t="shared" ca="1" si="3"/>
        <v>0</v>
      </c>
      <c r="H46" t="str">
        <f ca="1">IF(G46=1,SUM($G$10:G46),"-")</f>
        <v>-</v>
      </c>
      <c r="I46" t="str">
        <f t="shared" ca="1" si="4"/>
        <v>-</v>
      </c>
      <c r="J46" t="str">
        <f t="shared" ca="1" si="5"/>
        <v>-</v>
      </c>
      <c r="L46">
        <f t="shared" si="11"/>
        <v>37</v>
      </c>
      <c r="M46">
        <f t="shared" ca="1" si="6"/>
        <v>-0.65750006296392915</v>
      </c>
      <c r="N46">
        <f t="shared" ca="1" si="7"/>
        <v>-0.37876406856659783</v>
      </c>
      <c r="O46">
        <f t="shared" ca="1" si="8"/>
        <v>0.75879414364812614</v>
      </c>
    </row>
    <row r="47" spans="1:15" x14ac:dyDescent="0.2">
      <c r="A47">
        <f t="shared" si="13"/>
        <v>38</v>
      </c>
      <c r="B47">
        <f t="shared" ca="1" si="0"/>
        <v>0.32559425159373301</v>
      </c>
      <c r="C47">
        <f t="shared" ca="1" si="12"/>
        <v>0.97131102461269792</v>
      </c>
      <c r="D47">
        <f t="shared" ca="1" si="12"/>
        <v>0.57461313321978702</v>
      </c>
      <c r="E47">
        <f t="shared" ca="1" si="2"/>
        <v>0</v>
      </c>
      <c r="F47">
        <f t="shared" si="9"/>
        <v>0.25</v>
      </c>
      <c r="G47">
        <f t="shared" ca="1" si="3"/>
        <v>0</v>
      </c>
      <c r="H47" t="str">
        <f ca="1">IF(G47=1,SUM($G$10:G47),"-")</f>
        <v>-</v>
      </c>
      <c r="I47" t="str">
        <f t="shared" ca="1" si="4"/>
        <v>-</v>
      </c>
      <c r="J47" t="str">
        <f t="shared" ca="1" si="5"/>
        <v>-</v>
      </c>
      <c r="L47">
        <f t="shared" si="11"/>
        <v>38</v>
      </c>
      <c r="M47">
        <f t="shared" ca="1" si="6"/>
        <v>0.22446732479624987</v>
      </c>
      <c r="N47">
        <f t="shared" ca="1" si="7"/>
        <v>0.22790886657574849</v>
      </c>
      <c r="O47">
        <f t="shared" ca="1" si="8"/>
        <v>0.31988752924274411</v>
      </c>
    </row>
    <row r="48" spans="1:15" x14ac:dyDescent="0.2">
      <c r="A48">
        <f t="shared" si="13"/>
        <v>39</v>
      </c>
      <c r="B48">
        <f t="shared" ca="1" si="0"/>
        <v>0.27204641508304261</v>
      </c>
      <c r="C48">
        <f t="shared" ca="1" si="12"/>
        <v>0.81591724314611414</v>
      </c>
      <c r="D48">
        <f t="shared" ca="1" si="12"/>
        <v>0.94014820041423808</v>
      </c>
      <c r="E48">
        <f t="shared" ca="1" si="2"/>
        <v>0</v>
      </c>
      <c r="F48">
        <f t="shared" si="9"/>
        <v>0.25</v>
      </c>
      <c r="G48">
        <f t="shared" ca="1" si="3"/>
        <v>0</v>
      </c>
      <c r="H48" t="str">
        <f ca="1">IF(G48=1,SUM($G$10:G48),"-")</f>
        <v>-</v>
      </c>
      <c r="I48" t="str">
        <f t="shared" ca="1" si="4"/>
        <v>-</v>
      </c>
      <c r="J48" t="str">
        <f t="shared" ca="1" si="5"/>
        <v>-</v>
      </c>
      <c r="L48">
        <f t="shared" si="11"/>
        <v>39</v>
      </c>
      <c r="M48">
        <f t="shared" ca="1" si="6"/>
        <v>-0.5777191522380285</v>
      </c>
      <c r="N48">
        <f t="shared" ca="1" si="7"/>
        <v>-0.53283217741543676</v>
      </c>
      <c r="O48">
        <f t="shared" ca="1" si="8"/>
        <v>0.78591955577648132</v>
      </c>
    </row>
    <row r="49" spans="1:15" x14ac:dyDescent="0.2">
      <c r="A49">
        <f t="shared" si="13"/>
        <v>40</v>
      </c>
      <c r="B49">
        <f t="shared" ca="1" si="0"/>
        <v>0.17382810995628117</v>
      </c>
      <c r="C49">
        <f t="shared" ca="1" si="12"/>
        <v>8.0128248754276266E-2</v>
      </c>
      <c r="D49">
        <f t="shared" ca="1" si="12"/>
        <v>0.10539167105959435</v>
      </c>
      <c r="E49">
        <f t="shared" ca="1" si="2"/>
        <v>0.31830988618379069</v>
      </c>
      <c r="F49">
        <f t="shared" si="9"/>
        <v>0.25</v>
      </c>
      <c r="G49">
        <f t="shared" ca="1" si="3"/>
        <v>1</v>
      </c>
      <c r="H49">
        <f ca="1">IF(G49=1,SUM($G$10:G49),"-")</f>
        <v>29</v>
      </c>
      <c r="I49">
        <f t="shared" ca="1" si="4"/>
        <v>8.0128248754276266E-2</v>
      </c>
      <c r="J49">
        <f t="shared" ca="1" si="5"/>
        <v>0.10539167105959435</v>
      </c>
      <c r="L49">
        <f t="shared" si="11"/>
        <v>40</v>
      </c>
      <c r="M49">
        <f t="shared" ca="1" si="6"/>
        <v>-0.71107816222770426</v>
      </c>
      <c r="N49">
        <f t="shared" ca="1" si="7"/>
        <v>-0.1185714503225066</v>
      </c>
      <c r="O49">
        <f t="shared" ca="1" si="8"/>
        <v>0.72089620725088566</v>
      </c>
    </row>
    <row r="50" spans="1:15" x14ac:dyDescent="0.2">
      <c r="A50">
        <f t="shared" si="13"/>
        <v>41</v>
      </c>
      <c r="B50">
        <f t="shared" ca="1" si="0"/>
        <v>0.83723771318939832</v>
      </c>
      <c r="C50">
        <f t="shared" ref="C50:D69" ca="1" si="14">2*RAND()-1</f>
        <v>-0.83456499991312239</v>
      </c>
      <c r="D50">
        <f t="shared" ca="1" si="14"/>
        <v>0.77899822566214527</v>
      </c>
      <c r="E50">
        <f t="shared" ca="1" si="2"/>
        <v>0</v>
      </c>
      <c r="F50">
        <f t="shared" si="9"/>
        <v>0.25</v>
      </c>
      <c r="G50">
        <f t="shared" ca="1" si="3"/>
        <v>0</v>
      </c>
      <c r="H50" t="str">
        <f ca="1">IF(G50=1,SUM($G$10:G50),"-")</f>
        <v>-</v>
      </c>
      <c r="I50" t="str">
        <f t="shared" ca="1" si="4"/>
        <v>-</v>
      </c>
      <c r="J50" t="str">
        <f t="shared" ca="1" si="5"/>
        <v>-</v>
      </c>
      <c r="L50">
        <f t="shared" si="11"/>
        <v>41</v>
      </c>
      <c r="M50">
        <f t="shared" ca="1" si="6"/>
        <v>-2.5439099025597045E-3</v>
      </c>
      <c r="N50">
        <f t="shared" ca="1" si="7"/>
        <v>-0.81083096694950507</v>
      </c>
      <c r="O50">
        <f t="shared" ca="1" si="8"/>
        <v>0.81083495758499569</v>
      </c>
    </row>
    <row r="51" spans="1:15" x14ac:dyDescent="0.2">
      <c r="A51">
        <f t="shared" si="13"/>
        <v>42</v>
      </c>
      <c r="B51">
        <f t="shared" ca="1" si="0"/>
        <v>0.77150059465246656</v>
      </c>
      <c r="C51">
        <f t="shared" ca="1" si="14"/>
        <v>0.65284725452006565</v>
      </c>
      <c r="D51">
        <f t="shared" ca="1" si="14"/>
        <v>-0.34533364115407394</v>
      </c>
      <c r="E51">
        <f t="shared" ca="1" si="2"/>
        <v>0.31830988618379069</v>
      </c>
      <c r="F51">
        <f t="shared" si="9"/>
        <v>0.25</v>
      </c>
      <c r="G51">
        <f t="shared" ca="1" si="3"/>
        <v>1</v>
      </c>
      <c r="H51">
        <f ca="1">IF(G51=1,SUM($G$10:G51),"-")</f>
        <v>30</v>
      </c>
      <c r="I51">
        <f t="shared" ca="1" si="4"/>
        <v>0.65284725452006565</v>
      </c>
      <c r="J51">
        <f t="shared" ca="1" si="5"/>
        <v>-0.34533364115407394</v>
      </c>
      <c r="L51">
        <f t="shared" si="11"/>
        <v>42</v>
      </c>
      <c r="M51">
        <f t="shared" ca="1" si="6"/>
        <v>0.24031175624030587</v>
      </c>
      <c r="N51">
        <f t="shared" ca="1" si="7"/>
        <v>0.23664402622281377</v>
      </c>
      <c r="O51">
        <f t="shared" ca="1" si="8"/>
        <v>0.33726863971357307</v>
      </c>
    </row>
    <row r="52" spans="1:15" x14ac:dyDescent="0.2">
      <c r="A52">
        <f t="shared" si="13"/>
        <v>43</v>
      </c>
      <c r="B52">
        <f t="shared" ca="1" si="0"/>
        <v>0.91086438300283501</v>
      </c>
      <c r="C52">
        <f t="shared" ca="1" si="14"/>
        <v>-0.19487068794361151</v>
      </c>
      <c r="D52">
        <f t="shared" ca="1" si="14"/>
        <v>0.81052474368699934</v>
      </c>
      <c r="E52">
        <f t="shared" ca="1" si="2"/>
        <v>0.31830988618379069</v>
      </c>
      <c r="F52">
        <f t="shared" si="9"/>
        <v>0.25</v>
      </c>
      <c r="G52">
        <f t="shared" ca="1" si="3"/>
        <v>1</v>
      </c>
      <c r="H52">
        <f ca="1">IF(G52=1,SUM($G$10:G52),"-")</f>
        <v>31</v>
      </c>
      <c r="I52">
        <f t="shared" ca="1" si="4"/>
        <v>-0.19487068794361151</v>
      </c>
      <c r="J52">
        <f t="shared" ca="1" si="5"/>
        <v>0.81052474368699934</v>
      </c>
      <c r="L52">
        <f t="shared" si="11"/>
        <v>43</v>
      </c>
      <c r="M52">
        <f t="shared" ca="1" si="6"/>
        <v>0.20383733124264114</v>
      </c>
      <c r="N52">
        <f t="shared" ca="1" si="7"/>
        <v>-0.57558733722436495</v>
      </c>
      <c r="O52">
        <f t="shared" ca="1" si="8"/>
        <v>0.61061480524235323</v>
      </c>
    </row>
    <row r="53" spans="1:15" x14ac:dyDescent="0.2">
      <c r="A53">
        <f t="shared" si="13"/>
        <v>44</v>
      </c>
      <c r="B53">
        <f t="shared" ca="1" si="0"/>
        <v>0.25756322006702903</v>
      </c>
      <c r="C53">
        <f t="shared" ca="1" si="14"/>
        <v>0.71854275411201574</v>
      </c>
      <c r="D53">
        <f t="shared" ca="1" si="14"/>
        <v>0.88100248899103328</v>
      </c>
      <c r="E53">
        <f t="shared" ca="1" si="2"/>
        <v>0</v>
      </c>
      <c r="F53">
        <f t="shared" si="9"/>
        <v>0.25</v>
      </c>
      <c r="G53">
        <f t="shared" ca="1" si="3"/>
        <v>0</v>
      </c>
      <c r="H53" t="str">
        <f ca="1">IF(G53=1,SUM($G$10:G53),"-")</f>
        <v>-</v>
      </c>
      <c r="I53" t="str">
        <f t="shared" ca="1" si="4"/>
        <v>-</v>
      </c>
      <c r="J53" t="str">
        <f t="shared" ca="1" si="5"/>
        <v>-</v>
      </c>
      <c r="L53">
        <f t="shared" si="11"/>
        <v>44</v>
      </c>
      <c r="M53">
        <f t="shared" ca="1" si="6"/>
        <v>-0.74308851468199855</v>
      </c>
      <c r="N53">
        <f t="shared" ca="1" si="7"/>
        <v>-6.7070504010329213E-3</v>
      </c>
      <c r="O53">
        <f t="shared" ca="1" si="8"/>
        <v>0.74311878268375153</v>
      </c>
    </row>
    <row r="54" spans="1:15" x14ac:dyDescent="0.2">
      <c r="A54">
        <f t="shared" si="13"/>
        <v>45</v>
      </c>
      <c r="B54">
        <f t="shared" ca="1" si="0"/>
        <v>0.3109212236792338</v>
      </c>
      <c r="C54">
        <f t="shared" ca="1" si="14"/>
        <v>-4.7786061163548776E-2</v>
      </c>
      <c r="D54">
        <f t="shared" ca="1" si="14"/>
        <v>-0.29350235032106853</v>
      </c>
      <c r="E54">
        <f t="shared" ca="1" si="2"/>
        <v>0.31830988618379069</v>
      </c>
      <c r="F54">
        <f t="shared" si="9"/>
        <v>0.25</v>
      </c>
      <c r="G54">
        <f t="shared" ca="1" si="3"/>
        <v>1</v>
      </c>
      <c r="H54">
        <f ca="1">IF(G54=1,SUM($G$10:G54),"-")</f>
        <v>32</v>
      </c>
      <c r="I54">
        <f t="shared" ca="1" si="4"/>
        <v>-4.7786061163548776E-2</v>
      </c>
      <c r="J54">
        <f t="shared" ca="1" si="5"/>
        <v>-0.29350235032106853</v>
      </c>
      <c r="L54">
        <f t="shared" si="11"/>
        <v>45</v>
      </c>
      <c r="M54">
        <f t="shared" ca="1" si="6"/>
        <v>0.45586797318147654</v>
      </c>
      <c r="N54">
        <f t="shared" ca="1" si="7"/>
        <v>-0.33076163699874495</v>
      </c>
      <c r="O54">
        <f t="shared" ca="1" si="8"/>
        <v>0.56322186523844842</v>
      </c>
    </row>
    <row r="55" spans="1:15" x14ac:dyDescent="0.2">
      <c r="A55">
        <f>1+A54</f>
        <v>46</v>
      </c>
      <c r="B55">
        <f t="shared" ca="1" si="0"/>
        <v>0.57391380216266674</v>
      </c>
      <c r="C55">
        <f t="shared" ca="1" si="14"/>
        <v>0.19400143165006489</v>
      </c>
      <c r="D55">
        <f t="shared" ca="1" si="14"/>
        <v>0.7837161348423296</v>
      </c>
      <c r="E55">
        <f t="shared" ca="1" si="2"/>
        <v>0.31830988618379069</v>
      </c>
      <c r="F55">
        <f t="shared" si="9"/>
        <v>0.25</v>
      </c>
      <c r="G55">
        <f t="shared" ca="1" si="3"/>
        <v>1</v>
      </c>
      <c r="H55">
        <f ca="1">IF(G55=1,SUM($G$10:G55),"-")</f>
        <v>33</v>
      </c>
      <c r="I55">
        <f t="shared" ca="1" si="4"/>
        <v>0.19400143165006489</v>
      </c>
      <c r="J55">
        <f t="shared" ca="1" si="5"/>
        <v>0.7837161348423296</v>
      </c>
      <c r="L55">
        <f t="shared" si="11"/>
        <v>46</v>
      </c>
      <c r="M55">
        <f t="shared" ca="1" si="6"/>
        <v>0.5092318797513844</v>
      </c>
      <c r="N55">
        <f t="shared" ca="1" si="7"/>
        <v>0.25738296073227951</v>
      </c>
      <c r="O55">
        <f t="shared" ca="1" si="8"/>
        <v>0.57058136652929925</v>
      </c>
    </row>
    <row r="56" spans="1:15" x14ac:dyDescent="0.2">
      <c r="A56">
        <f t="shared" ref="A56:A72" si="15">1+A55</f>
        <v>47</v>
      </c>
      <c r="B56">
        <f t="shared" ca="1" si="0"/>
        <v>7.8407002002068626E-2</v>
      </c>
      <c r="C56">
        <f t="shared" ca="1" si="14"/>
        <v>0.89088209094474458</v>
      </c>
      <c r="D56">
        <f t="shared" ca="1" si="14"/>
        <v>0.8372145831826856</v>
      </c>
      <c r="E56">
        <f t="shared" ca="1" si="2"/>
        <v>0</v>
      </c>
      <c r="F56">
        <f t="shared" si="9"/>
        <v>0.25</v>
      </c>
      <c r="G56">
        <f t="shared" ca="1" si="3"/>
        <v>0</v>
      </c>
      <c r="H56" t="str">
        <f ca="1">IF(G56=1,SUM($G$10:G56),"-")</f>
        <v>-</v>
      </c>
      <c r="I56" t="str">
        <f t="shared" ca="1" si="4"/>
        <v>-</v>
      </c>
      <c r="J56" t="str">
        <f t="shared" ca="1" si="5"/>
        <v>-</v>
      </c>
      <c r="L56">
        <f t="shared" si="11"/>
        <v>47</v>
      </c>
      <c r="M56">
        <f t="shared" ca="1" si="6"/>
        <v>-0.89883188299015604</v>
      </c>
      <c r="N56">
        <f t="shared" ca="1" si="7"/>
        <v>2.6714180911111329E-2</v>
      </c>
      <c r="O56">
        <f t="shared" ca="1" si="8"/>
        <v>0.89922878142404961</v>
      </c>
    </row>
    <row r="57" spans="1:15" x14ac:dyDescent="0.2">
      <c r="A57">
        <f t="shared" si="15"/>
        <v>48</v>
      </c>
      <c r="B57">
        <f t="shared" ca="1" si="0"/>
        <v>0.17447192650410581</v>
      </c>
      <c r="C57">
        <f t="shared" ca="1" si="14"/>
        <v>-0.11593281701190916</v>
      </c>
      <c r="D57">
        <f t="shared" ca="1" si="14"/>
        <v>-6.8977899122335762E-2</v>
      </c>
      <c r="E57">
        <f t="shared" ca="1" si="2"/>
        <v>0.31830988618379069</v>
      </c>
      <c r="F57">
        <f t="shared" si="9"/>
        <v>0.25</v>
      </c>
      <c r="G57">
        <f t="shared" ca="1" si="3"/>
        <v>1</v>
      </c>
      <c r="H57">
        <f ca="1">IF(G57=1,SUM($G$10:G57),"-")</f>
        <v>34</v>
      </c>
      <c r="I57">
        <f t="shared" ca="1" si="4"/>
        <v>-0.11593281701190916</v>
      </c>
      <c r="J57">
        <f t="shared" ca="1" si="5"/>
        <v>-6.8977899122335762E-2</v>
      </c>
      <c r="L57">
        <f t="shared" si="11"/>
        <v>48</v>
      </c>
      <c r="M57">
        <f t="shared" ca="1" si="6"/>
        <v>0.94473553403628241</v>
      </c>
      <c r="N57">
        <f t="shared" ca="1" si="7"/>
        <v>-0.28930715081685876</v>
      </c>
      <c r="O57">
        <f t="shared" ca="1" si="8"/>
        <v>0.98804041252602026</v>
      </c>
    </row>
    <row r="58" spans="1:15" x14ac:dyDescent="0.2">
      <c r="A58">
        <f t="shared" si="15"/>
        <v>49</v>
      </c>
      <c r="B58">
        <f t="shared" ca="1" si="0"/>
        <v>0.90926292592339553</v>
      </c>
      <c r="C58">
        <f t="shared" ca="1" si="14"/>
        <v>-0.59169147279780887</v>
      </c>
      <c r="D58">
        <f t="shared" ca="1" si="14"/>
        <v>-0.63436108153085202</v>
      </c>
      <c r="E58">
        <f t="shared" ca="1" si="2"/>
        <v>0.31830988618379069</v>
      </c>
      <c r="F58">
        <f t="shared" si="9"/>
        <v>0.25</v>
      </c>
      <c r="G58">
        <f t="shared" ca="1" si="3"/>
        <v>1</v>
      </c>
      <c r="H58">
        <f ca="1">IF(G58=1,SUM($G$10:G58),"-")</f>
        <v>35</v>
      </c>
      <c r="I58">
        <f t="shared" ca="1" si="4"/>
        <v>-0.59169147279780887</v>
      </c>
      <c r="J58">
        <f t="shared" ca="1" si="5"/>
        <v>-0.63436108153085202</v>
      </c>
      <c r="L58">
        <f t="shared" si="11"/>
        <v>49</v>
      </c>
      <c r="M58">
        <f t="shared" ca="1" si="6"/>
        <v>-0.88222259792012414</v>
      </c>
      <c r="N58">
        <f t="shared" ca="1" si="7"/>
        <v>0.2192740515919247</v>
      </c>
      <c r="O58">
        <f t="shared" ca="1" si="8"/>
        <v>0.90906425624510778</v>
      </c>
    </row>
    <row r="59" spans="1:15" x14ac:dyDescent="0.2">
      <c r="A59">
        <f t="shared" si="15"/>
        <v>50</v>
      </c>
      <c r="B59">
        <f t="shared" ca="1" si="0"/>
        <v>8.1324231260186286E-2</v>
      </c>
      <c r="C59">
        <f t="shared" ca="1" si="14"/>
        <v>-0.3921903240548088</v>
      </c>
      <c r="D59">
        <f t="shared" ca="1" si="14"/>
        <v>-0.86442801719236129</v>
      </c>
      <c r="E59">
        <f t="shared" ca="1" si="2"/>
        <v>0.31830988618379069</v>
      </c>
      <c r="F59">
        <f t="shared" si="9"/>
        <v>0.25</v>
      </c>
      <c r="G59">
        <f t="shared" ca="1" si="3"/>
        <v>1</v>
      </c>
      <c r="H59">
        <f ca="1">IF(G59=1,SUM($G$10:G59),"-")</f>
        <v>36</v>
      </c>
      <c r="I59">
        <f t="shared" ca="1" si="4"/>
        <v>-0.3921903240548088</v>
      </c>
      <c r="J59">
        <f t="shared" ca="1" si="5"/>
        <v>-0.86442801719236129</v>
      </c>
      <c r="L59">
        <f t="shared" si="11"/>
        <v>50</v>
      </c>
      <c r="M59">
        <f t="shared" ca="1" si="6"/>
        <v>-0.39335767282093426</v>
      </c>
      <c r="N59">
        <f t="shared" ca="1" si="7"/>
        <v>-0.60189708113326401</v>
      </c>
      <c r="O59">
        <f t="shared" ca="1" si="8"/>
        <v>0.71903432118630062</v>
      </c>
    </row>
    <row r="60" spans="1:15" x14ac:dyDescent="0.2">
      <c r="A60">
        <f t="shared" si="15"/>
        <v>51</v>
      </c>
      <c r="B60">
        <f t="shared" ca="1" si="0"/>
        <v>0.11149460712092729</v>
      </c>
      <c r="C60">
        <f t="shared" ca="1" si="14"/>
        <v>-0.65750006296392915</v>
      </c>
      <c r="D60">
        <f t="shared" ca="1" si="14"/>
        <v>-0.37876406856659783</v>
      </c>
      <c r="E60">
        <f t="shared" ca="1" si="2"/>
        <v>0.31830988618379069</v>
      </c>
      <c r="F60">
        <f t="shared" si="9"/>
        <v>0.25</v>
      </c>
      <c r="G60">
        <f t="shared" ca="1" si="3"/>
        <v>1</v>
      </c>
      <c r="H60">
        <f ca="1">IF(G60=1,SUM($G$10:G60),"-")</f>
        <v>37</v>
      </c>
      <c r="I60">
        <f t="shared" ca="1" si="4"/>
        <v>-0.65750006296392915</v>
      </c>
      <c r="J60">
        <f t="shared" ca="1" si="5"/>
        <v>-0.37876406856659783</v>
      </c>
      <c r="L60">
        <f t="shared" si="11"/>
        <v>51</v>
      </c>
      <c r="M60">
        <f t="shared" ca="1" si="6"/>
        <v>0.48319991255675121</v>
      </c>
      <c r="N60">
        <f t="shared" ca="1" si="7"/>
        <v>-0.12566332645679723</v>
      </c>
      <c r="O60">
        <f t="shared" ca="1" si="8"/>
        <v>0.49927289843435285</v>
      </c>
    </row>
    <row r="61" spans="1:15" x14ac:dyDescent="0.2">
      <c r="A61">
        <f t="shared" si="15"/>
        <v>52</v>
      </c>
      <c r="B61">
        <f t="shared" ca="1" si="0"/>
        <v>3.3973499458225254E-2</v>
      </c>
      <c r="C61">
        <f t="shared" ca="1" si="14"/>
        <v>0.22446732479624987</v>
      </c>
      <c r="D61">
        <f t="shared" ca="1" si="14"/>
        <v>0.22790886657574849</v>
      </c>
      <c r="E61">
        <f t="shared" ca="1" si="2"/>
        <v>0.31830988618379069</v>
      </c>
      <c r="F61">
        <f t="shared" si="9"/>
        <v>0.25</v>
      </c>
      <c r="G61">
        <f t="shared" ca="1" si="3"/>
        <v>1</v>
      </c>
      <c r="H61">
        <f ca="1">IF(G61=1,SUM($G$10:G61),"-")</f>
        <v>38</v>
      </c>
      <c r="I61">
        <f t="shared" ca="1" si="4"/>
        <v>0.22446732479624987</v>
      </c>
      <c r="J61">
        <f t="shared" ca="1" si="5"/>
        <v>0.22790886657574849</v>
      </c>
      <c r="L61">
        <f t="shared" si="11"/>
        <v>52</v>
      </c>
      <c r="M61">
        <f t="shared" ca="1" si="6"/>
        <v>0.84828507406543618</v>
      </c>
      <c r="N61">
        <f t="shared" ca="1" si="7"/>
        <v>0.26212620222754923</v>
      </c>
      <c r="O61">
        <f t="shared" ca="1" si="8"/>
        <v>0.88786131393165268</v>
      </c>
    </row>
    <row r="62" spans="1:15" x14ac:dyDescent="0.2">
      <c r="A62">
        <f t="shared" si="15"/>
        <v>53</v>
      </c>
      <c r="B62">
        <f t="shared" ca="1" si="0"/>
        <v>6.7395884312366761E-2</v>
      </c>
      <c r="C62">
        <f t="shared" ca="1" si="14"/>
        <v>0.78000048189886306</v>
      </c>
      <c r="D62">
        <f t="shared" ca="1" si="14"/>
        <v>0.93669492483130434</v>
      </c>
      <c r="E62">
        <f t="shared" ca="1" si="2"/>
        <v>0</v>
      </c>
      <c r="F62">
        <f t="shared" si="9"/>
        <v>0.25</v>
      </c>
      <c r="G62">
        <f t="shared" ca="1" si="3"/>
        <v>0</v>
      </c>
      <c r="H62" t="str">
        <f ca="1">IF(G62=1,SUM($G$10:G62),"-")</f>
        <v>-</v>
      </c>
      <c r="I62" t="str">
        <f t="shared" ca="1" si="4"/>
        <v>-</v>
      </c>
      <c r="J62" t="str">
        <f t="shared" ca="1" si="5"/>
        <v>-</v>
      </c>
      <c r="L62">
        <f t="shared" si="11"/>
        <v>53</v>
      </c>
      <c r="M62">
        <f t="shared" ca="1" si="6"/>
        <v>0.11260652318292563</v>
      </c>
      <c r="N62">
        <f t="shared" ca="1" si="7"/>
        <v>-0.43957659008024574</v>
      </c>
      <c r="O62">
        <f t="shared" ca="1" si="8"/>
        <v>0.45377065529838218</v>
      </c>
    </row>
    <row r="63" spans="1:15" x14ac:dyDescent="0.2">
      <c r="A63">
        <f t="shared" si="15"/>
        <v>54</v>
      </c>
      <c r="B63">
        <f t="shared" ca="1" si="0"/>
        <v>0.30769498930924954</v>
      </c>
      <c r="C63">
        <f t="shared" ca="1" si="14"/>
        <v>-0.94700567470368258</v>
      </c>
      <c r="D63">
        <f t="shared" ca="1" si="14"/>
        <v>0.93264744260417798</v>
      </c>
      <c r="E63">
        <f t="shared" ca="1" si="2"/>
        <v>0</v>
      </c>
      <c r="F63">
        <f t="shared" si="9"/>
        <v>0.25</v>
      </c>
      <c r="G63">
        <f t="shared" ca="1" si="3"/>
        <v>0</v>
      </c>
      <c r="H63" t="str">
        <f ca="1">IF(G63=1,SUM($G$10:G63),"-")</f>
        <v>-</v>
      </c>
      <c r="I63" t="str">
        <f t="shared" ca="1" si="4"/>
        <v>-</v>
      </c>
      <c r="J63" t="str">
        <f t="shared" ca="1" si="5"/>
        <v>-</v>
      </c>
      <c r="L63">
        <f t="shared" si="11"/>
        <v>54</v>
      </c>
      <c r="M63">
        <f t="shared" ca="1" si="6"/>
        <v>0.29692039330225306</v>
      </c>
      <c r="N63">
        <f t="shared" ca="1" si="7"/>
        <v>0.27353999600846723</v>
      </c>
      <c r="O63">
        <f t="shared" ca="1" si="8"/>
        <v>0.40371505963374332</v>
      </c>
    </row>
    <row r="64" spans="1:15" x14ac:dyDescent="0.2">
      <c r="A64">
        <f t="shared" si="15"/>
        <v>55</v>
      </c>
      <c r="B64">
        <f t="shared" ca="1" si="0"/>
        <v>0.37369429311591384</v>
      </c>
      <c r="C64">
        <f t="shared" ca="1" si="14"/>
        <v>-0.5777191522380285</v>
      </c>
      <c r="D64">
        <f t="shared" ca="1" si="14"/>
        <v>-0.53283217741543676</v>
      </c>
      <c r="E64">
        <f t="shared" ca="1" si="2"/>
        <v>0.31830988618379069</v>
      </c>
      <c r="F64">
        <f t="shared" si="9"/>
        <v>0.25</v>
      </c>
      <c r="G64">
        <f t="shared" ca="1" si="3"/>
        <v>1</v>
      </c>
      <c r="H64">
        <f ca="1">IF(G64=1,SUM($G$10:G64),"-")</f>
        <v>39</v>
      </c>
      <c r="I64">
        <f t="shared" ca="1" si="4"/>
        <v>-0.5777191522380285</v>
      </c>
      <c r="J64">
        <f t="shared" ca="1" si="5"/>
        <v>-0.53283217741543676</v>
      </c>
      <c r="L64">
        <f t="shared" si="11"/>
        <v>55</v>
      </c>
      <c r="M64">
        <f t="shared" ca="1" si="6"/>
        <v>-0.24093429270808797</v>
      </c>
      <c r="N64">
        <f t="shared" ca="1" si="7"/>
        <v>-0.94250012943606598</v>
      </c>
      <c r="O64">
        <f t="shared" ca="1" si="8"/>
        <v>0.97280821716808485</v>
      </c>
    </row>
    <row r="65" spans="1:15" x14ac:dyDescent="0.2">
      <c r="A65">
        <f t="shared" si="15"/>
        <v>56</v>
      </c>
      <c r="B65">
        <f t="shared" ca="1" si="0"/>
        <v>0.14490391906279765</v>
      </c>
      <c r="C65">
        <f t="shared" ca="1" si="14"/>
        <v>-0.71829830041653731</v>
      </c>
      <c r="D65">
        <f t="shared" ca="1" si="14"/>
        <v>-0.91337297353338798</v>
      </c>
      <c r="E65">
        <f t="shared" ca="1" si="2"/>
        <v>0</v>
      </c>
      <c r="F65">
        <f t="shared" si="9"/>
        <v>0.25</v>
      </c>
      <c r="G65">
        <f t="shared" ca="1" si="3"/>
        <v>0</v>
      </c>
      <c r="H65" t="str">
        <f ca="1">IF(G65=1,SUM($G$10:G65),"-")</f>
        <v>-</v>
      </c>
      <c r="I65" t="str">
        <f t="shared" ca="1" si="4"/>
        <v>-</v>
      </c>
      <c r="J65" t="str">
        <f t="shared" ca="1" si="5"/>
        <v>-</v>
      </c>
      <c r="L65">
        <f t="shared" si="11"/>
        <v>56</v>
      </c>
      <c r="M65">
        <f t="shared" ca="1" si="6"/>
        <v>0.58073287836808118</v>
      </c>
      <c r="N65">
        <f t="shared" ca="1" si="7"/>
        <v>-0.64995739489358595</v>
      </c>
      <c r="O65">
        <f t="shared" ca="1" si="8"/>
        <v>0.87160500870206881</v>
      </c>
    </row>
    <row r="66" spans="1:15" x14ac:dyDescent="0.2">
      <c r="A66">
        <f t="shared" si="15"/>
        <v>57</v>
      </c>
      <c r="B66">
        <f t="shared" ca="1" si="0"/>
        <v>0.24371943756253134</v>
      </c>
      <c r="C66">
        <f t="shared" ca="1" si="14"/>
        <v>-0.71107816222770426</v>
      </c>
      <c r="D66">
        <f t="shared" ca="1" si="14"/>
        <v>-0.1185714503225066</v>
      </c>
      <c r="E66">
        <f t="shared" ca="1" si="2"/>
        <v>0.31830988618379069</v>
      </c>
      <c r="F66">
        <f t="shared" si="9"/>
        <v>0.25</v>
      </c>
      <c r="G66">
        <f t="shared" ca="1" si="3"/>
        <v>1</v>
      </c>
      <c r="H66">
        <f ca="1">IF(G66=1,SUM($G$10:G66),"-")</f>
        <v>40</v>
      </c>
      <c r="I66">
        <f t="shared" ca="1" si="4"/>
        <v>-0.71107816222770426</v>
      </c>
      <c r="J66">
        <f t="shared" ca="1" si="5"/>
        <v>-0.1185714503225066</v>
      </c>
      <c r="L66">
        <f t="shared" si="11"/>
        <v>57</v>
      </c>
      <c r="M66">
        <f t="shared" ca="1" si="6"/>
        <v>0.4182920415856326</v>
      </c>
      <c r="N66">
        <f t="shared" ca="1" si="7"/>
        <v>-0.10137619273004339</v>
      </c>
      <c r="O66">
        <f t="shared" ca="1" si="8"/>
        <v>0.43040139928480192</v>
      </c>
    </row>
    <row r="67" spans="1:15" x14ac:dyDescent="0.2">
      <c r="A67">
        <f t="shared" si="15"/>
        <v>58</v>
      </c>
      <c r="B67">
        <f t="shared" ca="1" si="0"/>
        <v>0.62007034293764518</v>
      </c>
      <c r="C67">
        <f t="shared" ca="1" si="14"/>
        <v>-2.5439099025597045E-3</v>
      </c>
      <c r="D67">
        <f t="shared" ca="1" si="14"/>
        <v>-0.81083096694950507</v>
      </c>
      <c r="E67">
        <f t="shared" ca="1" si="2"/>
        <v>0.31830988618379069</v>
      </c>
      <c r="F67">
        <f t="shared" si="9"/>
        <v>0.25</v>
      </c>
      <c r="G67">
        <f t="shared" ca="1" si="3"/>
        <v>1</v>
      </c>
      <c r="H67">
        <f ca="1">IF(G67=1,SUM($G$10:G67),"-")</f>
        <v>41</v>
      </c>
      <c r="I67">
        <f t="shared" ca="1" si="4"/>
        <v>-2.5439099025597045E-3</v>
      </c>
      <c r="J67">
        <f t="shared" ca="1" si="5"/>
        <v>-0.81083096694950507</v>
      </c>
      <c r="L67">
        <f t="shared" si="11"/>
        <v>58</v>
      </c>
      <c r="M67">
        <f t="shared" ca="1" si="6"/>
        <v>-0.17699623393508457</v>
      </c>
      <c r="N67">
        <f t="shared" ca="1" si="7"/>
        <v>8.1591187672948262E-2</v>
      </c>
      <c r="O67">
        <f t="shared" ca="1" si="8"/>
        <v>0.19489686691449262</v>
      </c>
    </row>
    <row r="68" spans="1:15" x14ac:dyDescent="0.2">
      <c r="A68">
        <f t="shared" si="15"/>
        <v>59</v>
      </c>
      <c r="B68">
        <f t="shared" ca="1" si="0"/>
        <v>0.85957171911886576</v>
      </c>
      <c r="C68">
        <f t="shared" ca="1" si="14"/>
        <v>0.24031175624030587</v>
      </c>
      <c r="D68">
        <f t="shared" ca="1" si="14"/>
        <v>0.23664402622281377</v>
      </c>
      <c r="E68">
        <f t="shared" ca="1" si="2"/>
        <v>0.31830988618379069</v>
      </c>
      <c r="F68">
        <f t="shared" si="9"/>
        <v>0.25</v>
      </c>
      <c r="G68">
        <f t="shared" ca="1" si="3"/>
        <v>1</v>
      </c>
      <c r="H68">
        <f ca="1">IF(G68=1,SUM($G$10:G68),"-")</f>
        <v>42</v>
      </c>
      <c r="I68">
        <f t="shared" ca="1" si="4"/>
        <v>0.24031175624030587</v>
      </c>
      <c r="J68">
        <f t="shared" ca="1" si="5"/>
        <v>0.23664402622281377</v>
      </c>
      <c r="L68">
        <f t="shared" si="11"/>
        <v>59</v>
      </c>
      <c r="M68">
        <f t="shared" ca="1" si="6"/>
        <v>4.3792111408921919E-2</v>
      </c>
      <c r="N68">
        <f t="shared" ca="1" si="7"/>
        <v>0.51566370748270307</v>
      </c>
      <c r="O68">
        <f t="shared" ca="1" si="8"/>
        <v>0.51751986264921102</v>
      </c>
    </row>
    <row r="69" spans="1:15" x14ac:dyDescent="0.2">
      <c r="A69">
        <f t="shared" si="15"/>
        <v>60</v>
      </c>
      <c r="B69">
        <f t="shared" ca="1" si="0"/>
        <v>0.99855601739510313</v>
      </c>
      <c r="C69">
        <f t="shared" ca="1" si="14"/>
        <v>0.20383733124264114</v>
      </c>
      <c r="D69">
        <f t="shared" ca="1" si="14"/>
        <v>-0.57558733722436495</v>
      </c>
      <c r="E69">
        <f t="shared" ca="1" si="2"/>
        <v>0.31830988618379069</v>
      </c>
      <c r="F69">
        <f t="shared" si="9"/>
        <v>0.25</v>
      </c>
      <c r="G69">
        <f t="shared" ca="1" si="3"/>
        <v>1</v>
      </c>
      <c r="H69">
        <f ca="1">IF(G69=1,SUM($G$10:G69),"-")</f>
        <v>43</v>
      </c>
      <c r="I69">
        <f t="shared" ca="1" si="4"/>
        <v>0.20383733124264114</v>
      </c>
      <c r="J69">
        <f t="shared" ca="1" si="5"/>
        <v>-0.57558733722436495</v>
      </c>
      <c r="L69">
        <f t="shared" si="11"/>
        <v>60</v>
      </c>
      <c r="M69">
        <f t="shared" ca="1" si="6"/>
        <v>0.52136755491571218</v>
      </c>
      <c r="N69">
        <f t="shared" ca="1" si="7"/>
        <v>0.16334461254837795</v>
      </c>
      <c r="O69">
        <f t="shared" ca="1" si="8"/>
        <v>0.54635665070297057</v>
      </c>
    </row>
    <row r="70" spans="1:15" x14ac:dyDescent="0.2">
      <c r="A70">
        <f t="shared" si="15"/>
        <v>61</v>
      </c>
      <c r="B70">
        <f t="shared" ca="1" si="0"/>
        <v>0.16830223392977128</v>
      </c>
      <c r="C70">
        <f t="shared" ref="C70:D89" ca="1" si="16">2*RAND()-1</f>
        <v>-0.74308851468199855</v>
      </c>
      <c r="D70">
        <f t="shared" ca="1" si="16"/>
        <v>-6.7070504010329213E-3</v>
      </c>
      <c r="E70">
        <f t="shared" ca="1" si="2"/>
        <v>0.31830988618379069</v>
      </c>
      <c r="F70">
        <f t="shared" si="9"/>
        <v>0.25</v>
      </c>
      <c r="G70">
        <f t="shared" ca="1" si="3"/>
        <v>1</v>
      </c>
      <c r="H70">
        <f ca="1">IF(G70=1,SUM($G$10:G70),"-")</f>
        <v>44</v>
      </c>
      <c r="I70">
        <f t="shared" ca="1" si="4"/>
        <v>-0.74308851468199855</v>
      </c>
      <c r="J70">
        <f t="shared" ca="1" si="5"/>
        <v>-6.7070504010329213E-3</v>
      </c>
      <c r="L70">
        <f t="shared" si="11"/>
        <v>61</v>
      </c>
      <c r="M70">
        <f t="shared" ca="1" si="6"/>
        <v>-0.41727230873957333</v>
      </c>
      <c r="N70">
        <f t="shared" ca="1" si="7"/>
        <v>0.33896637783420114</v>
      </c>
      <c r="O70">
        <f t="shared" ca="1" si="8"/>
        <v>0.53760058123377452</v>
      </c>
    </row>
    <row r="71" spans="1:15" x14ac:dyDescent="0.2">
      <c r="A71">
        <f t="shared" si="15"/>
        <v>62</v>
      </c>
      <c r="B71">
        <f t="shared" ca="1" si="0"/>
        <v>3.9234319393247952E-2</v>
      </c>
      <c r="C71">
        <f t="shared" ca="1" si="16"/>
        <v>0.45586797318147654</v>
      </c>
      <c r="D71">
        <f t="shared" ca="1" si="16"/>
        <v>-0.33076163699874495</v>
      </c>
      <c r="E71">
        <f t="shared" ca="1" si="2"/>
        <v>0.31830988618379069</v>
      </c>
      <c r="F71">
        <f t="shared" si="9"/>
        <v>0.25</v>
      </c>
      <c r="G71">
        <f t="shared" ca="1" si="3"/>
        <v>1</v>
      </c>
      <c r="H71">
        <f ca="1">IF(G71=1,SUM($G$10:G71),"-")</f>
        <v>45</v>
      </c>
      <c r="I71">
        <f t="shared" ca="1" si="4"/>
        <v>0.45586797318147654</v>
      </c>
      <c r="J71">
        <f t="shared" ca="1" si="5"/>
        <v>-0.33076163699874495</v>
      </c>
      <c r="L71">
        <f t="shared" si="11"/>
        <v>62</v>
      </c>
      <c r="M71">
        <f t="shared" ca="1" si="6"/>
        <v>1.839114496254024E-2</v>
      </c>
      <c r="N71">
        <f t="shared" ca="1" si="7"/>
        <v>0.53667737808903748</v>
      </c>
      <c r="O71">
        <f t="shared" ca="1" si="8"/>
        <v>0.5369924043834855</v>
      </c>
    </row>
    <row r="72" spans="1:15" x14ac:dyDescent="0.2">
      <c r="A72">
        <f t="shared" si="15"/>
        <v>63</v>
      </c>
      <c r="B72">
        <f t="shared" ca="1" si="0"/>
        <v>0.65208259046472028</v>
      </c>
      <c r="C72">
        <f t="shared" ca="1" si="16"/>
        <v>0.9750739915322697</v>
      </c>
      <c r="D72">
        <f t="shared" ca="1" si="16"/>
        <v>-0.66280948681489504</v>
      </c>
      <c r="E72">
        <f t="shared" ca="1" si="2"/>
        <v>0</v>
      </c>
      <c r="F72">
        <f t="shared" si="9"/>
        <v>0.25</v>
      </c>
      <c r="G72">
        <f t="shared" ca="1" si="3"/>
        <v>0</v>
      </c>
      <c r="H72" t="str">
        <f ca="1">IF(G72=1,SUM($G$10:G72),"-")</f>
        <v>-</v>
      </c>
      <c r="I72" t="str">
        <f t="shared" ca="1" si="4"/>
        <v>-</v>
      </c>
      <c r="J72" t="str">
        <f t="shared" ca="1" si="5"/>
        <v>-</v>
      </c>
      <c r="L72">
        <f t="shared" si="11"/>
        <v>63</v>
      </c>
      <c r="M72">
        <f t="shared" ca="1" si="6"/>
        <v>0.17666807587545774</v>
      </c>
      <c r="N72">
        <f t="shared" ca="1" si="7"/>
        <v>-0.85014756468213126</v>
      </c>
      <c r="O72">
        <f t="shared" ca="1" si="8"/>
        <v>0.86831013512943356</v>
      </c>
    </row>
    <row r="73" spans="1:15" x14ac:dyDescent="0.2">
      <c r="A73">
        <f t="shared" ref="A73:A110" si="17">1+A72</f>
        <v>64</v>
      </c>
      <c r="B73">
        <f t="shared" ca="1" si="0"/>
        <v>0.35477963114267008</v>
      </c>
      <c r="C73">
        <f t="shared" ca="1" si="16"/>
        <v>0.5092318797513844</v>
      </c>
      <c r="D73">
        <f t="shared" ca="1" si="16"/>
        <v>0.25738296073227951</v>
      </c>
      <c r="E73">
        <f t="shared" ca="1" si="2"/>
        <v>0.31830988618379069</v>
      </c>
      <c r="F73">
        <f t="shared" si="9"/>
        <v>0.25</v>
      </c>
      <c r="G73">
        <f t="shared" ca="1" si="3"/>
        <v>1</v>
      </c>
      <c r="H73">
        <f ca="1">IF(G73=1,SUM($G$10:G73),"-")</f>
        <v>46</v>
      </c>
      <c r="I73">
        <f t="shared" ca="1" si="4"/>
        <v>0.5092318797513844</v>
      </c>
      <c r="J73">
        <f t="shared" ca="1" si="5"/>
        <v>0.25738296073227951</v>
      </c>
      <c r="L73">
        <f t="shared" si="11"/>
        <v>64</v>
      </c>
      <c r="M73">
        <f t="shared" ca="1" si="6"/>
        <v>-0.33968993895609234</v>
      </c>
      <c r="N73">
        <f t="shared" ca="1" si="7"/>
        <v>-7.2862027962266929E-2</v>
      </c>
      <c r="O73">
        <f t="shared" ca="1" si="8"/>
        <v>0.34741636367155748</v>
      </c>
    </row>
    <row r="74" spans="1:15" x14ac:dyDescent="0.2">
      <c r="A74">
        <f t="shared" si="17"/>
        <v>65</v>
      </c>
      <c r="B74">
        <f t="shared" ref="B74:B137" ca="1" si="18">RAND()</f>
        <v>0.50914177300604546</v>
      </c>
      <c r="C74">
        <f t="shared" ca="1" si="16"/>
        <v>-0.89883188299015604</v>
      </c>
      <c r="D74">
        <f t="shared" ca="1" si="16"/>
        <v>2.6714180911111329E-2</v>
      </c>
      <c r="E74">
        <f t="shared" ref="E74:E137" ca="1" si="19">(1/PI())*IF(C74^2+D74^2&lt;=1,1,0)</f>
        <v>0.31830988618379069</v>
      </c>
      <c r="F74">
        <f t="shared" si="9"/>
        <v>0.25</v>
      </c>
      <c r="G74">
        <f t="shared" ref="G74:G137" ca="1" si="20">IF($B$6*B74&lt;=E74/F74,1,0)</f>
        <v>1</v>
      </c>
      <c r="H74">
        <f ca="1">IF(G74=1,SUM($G$10:G74),"-")</f>
        <v>47</v>
      </c>
      <c r="I74">
        <f t="shared" ref="I74:I137" ca="1" si="21">IF($G74,C74,"-")</f>
        <v>-0.89883188299015604</v>
      </c>
      <c r="J74">
        <f t="shared" ref="J74:J137" ca="1" si="22">IF($G74,D74,"-")</f>
        <v>2.6714180911111329E-2</v>
      </c>
      <c r="L74">
        <f t="shared" si="11"/>
        <v>65</v>
      </c>
      <c r="M74">
        <f t="shared" ref="M74:M137" ca="1" si="23">VLOOKUP(L74,$H$10:$J$687,2,FALSE)</f>
        <v>-6.0025866196560695E-2</v>
      </c>
      <c r="N74">
        <f t="shared" ref="N74:N137" ca="1" si="24">VLOOKUP(L74,$H$10:$J$687,3,FALSE)</f>
        <v>-0.68411213472065024</v>
      </c>
      <c r="O74">
        <f t="shared" ref="O74:O137" ca="1" si="25">SQRT(M74^2+N74^2)</f>
        <v>0.68674050228939643</v>
      </c>
    </row>
    <row r="75" spans="1:15" x14ac:dyDescent="0.2">
      <c r="A75">
        <f t="shared" si="17"/>
        <v>66</v>
      </c>
      <c r="B75">
        <f t="shared" ca="1" si="18"/>
        <v>0.51827847834475749</v>
      </c>
      <c r="C75">
        <f t="shared" ca="1" si="16"/>
        <v>0.94473553403628241</v>
      </c>
      <c r="D75">
        <f t="shared" ca="1" si="16"/>
        <v>-0.28930715081685876</v>
      </c>
      <c r="E75">
        <f t="shared" ca="1" si="19"/>
        <v>0.31830988618379069</v>
      </c>
      <c r="F75">
        <f t="shared" ref="F75:F138" si="26">1/4</f>
        <v>0.25</v>
      </c>
      <c r="G75">
        <f t="shared" ca="1" si="20"/>
        <v>1</v>
      </c>
      <c r="H75">
        <f ca="1">IF(G75=1,SUM($G$10:G75),"-")</f>
        <v>48</v>
      </c>
      <c r="I75">
        <f t="shared" ca="1" si="21"/>
        <v>0.94473553403628241</v>
      </c>
      <c r="J75">
        <f t="shared" ca="1" si="22"/>
        <v>-0.28930715081685876</v>
      </c>
      <c r="L75">
        <f t="shared" si="11"/>
        <v>66</v>
      </c>
      <c r="M75">
        <f t="shared" ca="1" si="23"/>
        <v>-0.55550370434775354</v>
      </c>
      <c r="N75">
        <f t="shared" ca="1" si="24"/>
        <v>-0.29457744017272147</v>
      </c>
      <c r="O75">
        <f t="shared" ca="1" si="25"/>
        <v>0.62877677581379365</v>
      </c>
    </row>
    <row r="76" spans="1:15" x14ac:dyDescent="0.2">
      <c r="A76">
        <f t="shared" si="17"/>
        <v>67</v>
      </c>
      <c r="B76">
        <f t="shared" ca="1" si="18"/>
        <v>0.86187647242855348</v>
      </c>
      <c r="C76">
        <f t="shared" ca="1" si="16"/>
        <v>-0.88222259792012414</v>
      </c>
      <c r="D76">
        <f t="shared" ca="1" si="16"/>
        <v>0.2192740515919247</v>
      </c>
      <c r="E76">
        <f t="shared" ca="1" si="19"/>
        <v>0.31830988618379069</v>
      </c>
      <c r="F76">
        <f t="shared" si="26"/>
        <v>0.25</v>
      </c>
      <c r="G76">
        <f t="shared" ca="1" si="20"/>
        <v>1</v>
      </c>
      <c r="H76">
        <f ca="1">IF(G76=1,SUM($G$10:G76),"-")</f>
        <v>49</v>
      </c>
      <c r="I76">
        <f t="shared" ca="1" si="21"/>
        <v>-0.88222259792012414</v>
      </c>
      <c r="J76">
        <f t="shared" ca="1" si="22"/>
        <v>0.2192740515919247</v>
      </c>
      <c r="L76">
        <f t="shared" ref="L76:L109" si="27">1+L75</f>
        <v>67</v>
      </c>
      <c r="M76">
        <f t="shared" ca="1" si="23"/>
        <v>-0.85751353122469975</v>
      </c>
      <c r="N76">
        <f t="shared" ca="1" si="24"/>
        <v>-0.13967267165478514</v>
      </c>
      <c r="O76">
        <f t="shared" ca="1" si="25"/>
        <v>0.86881408335767651</v>
      </c>
    </row>
    <row r="77" spans="1:15" x14ac:dyDescent="0.2">
      <c r="A77">
        <f t="shared" si="17"/>
        <v>68</v>
      </c>
      <c r="B77">
        <f t="shared" ca="1" si="18"/>
        <v>0.86759361279052416</v>
      </c>
      <c r="C77">
        <f t="shared" ca="1" si="16"/>
        <v>-0.39335767282093426</v>
      </c>
      <c r="D77">
        <f t="shared" ca="1" si="16"/>
        <v>-0.60189708113326401</v>
      </c>
      <c r="E77">
        <f t="shared" ca="1" si="19"/>
        <v>0.31830988618379069</v>
      </c>
      <c r="F77">
        <f t="shared" si="26"/>
        <v>0.25</v>
      </c>
      <c r="G77">
        <f t="shared" ca="1" si="20"/>
        <v>1</v>
      </c>
      <c r="H77">
        <f ca="1">IF(G77=1,SUM($G$10:G77),"-")</f>
        <v>50</v>
      </c>
      <c r="I77">
        <f t="shared" ca="1" si="21"/>
        <v>-0.39335767282093426</v>
      </c>
      <c r="J77">
        <f t="shared" ca="1" si="22"/>
        <v>-0.60189708113326401</v>
      </c>
      <c r="L77">
        <f t="shared" si="27"/>
        <v>68</v>
      </c>
      <c r="M77">
        <f t="shared" ca="1" si="23"/>
        <v>-0.18889135543136581</v>
      </c>
      <c r="N77">
        <f t="shared" ca="1" si="24"/>
        <v>0.46464080644809824</v>
      </c>
      <c r="O77">
        <f t="shared" ca="1" si="25"/>
        <v>0.50156856278422957</v>
      </c>
    </row>
    <row r="78" spans="1:15" x14ac:dyDescent="0.2">
      <c r="A78">
        <f t="shared" si="17"/>
        <v>69</v>
      </c>
      <c r="B78">
        <f t="shared" ca="1" si="18"/>
        <v>4.0355963854162846E-3</v>
      </c>
      <c r="C78">
        <f t="shared" ca="1" si="16"/>
        <v>0.48319991255675121</v>
      </c>
      <c r="D78">
        <f t="shared" ca="1" si="16"/>
        <v>-0.12566332645679723</v>
      </c>
      <c r="E78">
        <f t="shared" ca="1" si="19"/>
        <v>0.31830988618379069</v>
      </c>
      <c r="F78">
        <f t="shared" si="26"/>
        <v>0.25</v>
      </c>
      <c r="G78">
        <f t="shared" ca="1" si="20"/>
        <v>1</v>
      </c>
      <c r="H78">
        <f ca="1">IF(G78=1,SUM($G$10:G78),"-")</f>
        <v>51</v>
      </c>
      <c r="I78">
        <f t="shared" ca="1" si="21"/>
        <v>0.48319991255675121</v>
      </c>
      <c r="J78">
        <f t="shared" ca="1" si="22"/>
        <v>-0.12566332645679723</v>
      </c>
      <c r="L78">
        <f t="shared" si="27"/>
        <v>69</v>
      </c>
      <c r="M78">
        <f t="shared" ca="1" si="23"/>
        <v>0.38230268846465232</v>
      </c>
      <c r="N78">
        <f t="shared" ca="1" si="24"/>
        <v>0.20505319835163216</v>
      </c>
      <c r="O78">
        <f t="shared" ca="1" si="25"/>
        <v>0.43382272849809844</v>
      </c>
    </row>
    <row r="79" spans="1:15" x14ac:dyDescent="0.2">
      <c r="A79">
        <f t="shared" si="17"/>
        <v>70</v>
      </c>
      <c r="B79">
        <f t="shared" ca="1" si="18"/>
        <v>0.28208453130300548</v>
      </c>
      <c r="C79">
        <f t="shared" ca="1" si="16"/>
        <v>0.84828507406543618</v>
      </c>
      <c r="D79">
        <f t="shared" ca="1" si="16"/>
        <v>0.26212620222754923</v>
      </c>
      <c r="E79">
        <f t="shared" ca="1" si="19"/>
        <v>0.31830988618379069</v>
      </c>
      <c r="F79">
        <f t="shared" si="26"/>
        <v>0.25</v>
      </c>
      <c r="G79">
        <f t="shared" ca="1" si="20"/>
        <v>1</v>
      </c>
      <c r="H79">
        <f ca="1">IF(G79=1,SUM($G$10:G79),"-")</f>
        <v>52</v>
      </c>
      <c r="I79">
        <f t="shared" ca="1" si="21"/>
        <v>0.84828507406543618</v>
      </c>
      <c r="J79">
        <f t="shared" ca="1" si="22"/>
        <v>0.26212620222754923</v>
      </c>
      <c r="L79">
        <f t="shared" si="27"/>
        <v>70</v>
      </c>
      <c r="M79">
        <f t="shared" ca="1" si="23"/>
        <v>-0.38880618047702198</v>
      </c>
      <c r="N79">
        <f t="shared" ca="1" si="24"/>
        <v>0.51713691414518093</v>
      </c>
      <c r="O79">
        <f t="shared" ca="1" si="25"/>
        <v>0.64699368926499645</v>
      </c>
    </row>
    <row r="80" spans="1:15" x14ac:dyDescent="0.2">
      <c r="A80">
        <f t="shared" si="17"/>
        <v>71</v>
      </c>
      <c r="B80">
        <f t="shared" ca="1" si="18"/>
        <v>0.16865638170035124</v>
      </c>
      <c r="C80">
        <f t="shared" ca="1" si="16"/>
        <v>0.11260652318292563</v>
      </c>
      <c r="D80">
        <f t="shared" ca="1" si="16"/>
        <v>-0.43957659008024574</v>
      </c>
      <c r="E80">
        <f t="shared" ca="1" si="19"/>
        <v>0.31830988618379069</v>
      </c>
      <c r="F80">
        <f t="shared" si="26"/>
        <v>0.25</v>
      </c>
      <c r="G80">
        <f t="shared" ca="1" si="20"/>
        <v>1</v>
      </c>
      <c r="H80">
        <f ca="1">IF(G80=1,SUM($G$10:G80),"-")</f>
        <v>53</v>
      </c>
      <c r="I80">
        <f t="shared" ca="1" si="21"/>
        <v>0.11260652318292563</v>
      </c>
      <c r="J80">
        <f t="shared" ca="1" si="22"/>
        <v>-0.43957659008024574</v>
      </c>
      <c r="L80">
        <f t="shared" si="27"/>
        <v>71</v>
      </c>
      <c r="M80">
        <f t="shared" ca="1" si="23"/>
        <v>-0.22779559227363633</v>
      </c>
      <c r="N80">
        <f t="shared" ca="1" si="24"/>
        <v>-0.84178129088663223</v>
      </c>
      <c r="O80">
        <f t="shared" ca="1" si="25"/>
        <v>0.87205881312332467</v>
      </c>
    </row>
    <row r="81" spans="1:15" x14ac:dyDescent="0.2">
      <c r="A81">
        <f t="shared" si="17"/>
        <v>72</v>
      </c>
      <c r="B81">
        <f t="shared" ca="1" si="18"/>
        <v>0.37187614043898853</v>
      </c>
      <c r="C81">
        <f t="shared" ca="1" si="16"/>
        <v>-0.96705309240344595</v>
      </c>
      <c r="D81">
        <f t="shared" ca="1" si="16"/>
        <v>-0.84093681233845019</v>
      </c>
      <c r="E81">
        <f t="shared" ca="1" si="19"/>
        <v>0</v>
      </c>
      <c r="F81">
        <f t="shared" si="26"/>
        <v>0.25</v>
      </c>
      <c r="G81">
        <f t="shared" ca="1" si="20"/>
        <v>0</v>
      </c>
      <c r="H81" t="str">
        <f ca="1">IF(G81=1,SUM($G$10:G81),"-")</f>
        <v>-</v>
      </c>
      <c r="I81" t="str">
        <f t="shared" ca="1" si="21"/>
        <v>-</v>
      </c>
      <c r="J81" t="str">
        <f t="shared" ca="1" si="22"/>
        <v>-</v>
      </c>
      <c r="L81">
        <f t="shared" si="27"/>
        <v>72</v>
      </c>
      <c r="M81">
        <f t="shared" ca="1" si="23"/>
        <v>-0.49555891467440771</v>
      </c>
      <c r="N81">
        <f t="shared" ca="1" si="24"/>
        <v>0.2800695454373423</v>
      </c>
      <c r="O81">
        <f t="shared" ca="1" si="25"/>
        <v>0.56922542827491152</v>
      </c>
    </row>
    <row r="82" spans="1:15" x14ac:dyDescent="0.2">
      <c r="A82">
        <f t="shared" si="17"/>
        <v>73</v>
      </c>
      <c r="B82">
        <f t="shared" ca="1" si="18"/>
        <v>0.87038344369465548</v>
      </c>
      <c r="C82">
        <f t="shared" ca="1" si="16"/>
        <v>0.29692039330225306</v>
      </c>
      <c r="D82">
        <f t="shared" ca="1" si="16"/>
        <v>0.27353999600846723</v>
      </c>
      <c r="E82">
        <f t="shared" ca="1" si="19"/>
        <v>0.31830988618379069</v>
      </c>
      <c r="F82">
        <f t="shared" si="26"/>
        <v>0.25</v>
      </c>
      <c r="G82">
        <f t="shared" ca="1" si="20"/>
        <v>1</v>
      </c>
      <c r="H82">
        <f ca="1">IF(G82=1,SUM($G$10:G82),"-")</f>
        <v>54</v>
      </c>
      <c r="I82">
        <f t="shared" ca="1" si="21"/>
        <v>0.29692039330225306</v>
      </c>
      <c r="J82">
        <f t="shared" ca="1" si="22"/>
        <v>0.27353999600846723</v>
      </c>
      <c r="L82">
        <f t="shared" si="27"/>
        <v>73</v>
      </c>
      <c r="M82">
        <f t="shared" ca="1" si="23"/>
        <v>0.54275359037716608</v>
      </c>
      <c r="N82">
        <f t="shared" ca="1" si="24"/>
        <v>-0.80526140223738119</v>
      </c>
      <c r="O82">
        <f t="shared" ca="1" si="25"/>
        <v>0.97109597146760829</v>
      </c>
    </row>
    <row r="83" spans="1:15" x14ac:dyDescent="0.2">
      <c r="A83">
        <f t="shared" si="17"/>
        <v>74</v>
      </c>
      <c r="B83">
        <f t="shared" ca="1" si="18"/>
        <v>3.663693340164087E-2</v>
      </c>
      <c r="C83">
        <f t="shared" ca="1" si="16"/>
        <v>-0.24093429270808797</v>
      </c>
      <c r="D83">
        <f t="shared" ca="1" si="16"/>
        <v>-0.94250012943606598</v>
      </c>
      <c r="E83">
        <f t="shared" ca="1" si="19"/>
        <v>0.31830988618379069</v>
      </c>
      <c r="F83">
        <f t="shared" si="26"/>
        <v>0.25</v>
      </c>
      <c r="G83">
        <f t="shared" ca="1" si="20"/>
        <v>1</v>
      </c>
      <c r="H83">
        <f ca="1">IF(G83=1,SUM($G$10:G83),"-")</f>
        <v>55</v>
      </c>
      <c r="I83">
        <f t="shared" ca="1" si="21"/>
        <v>-0.24093429270808797</v>
      </c>
      <c r="J83">
        <f t="shared" ca="1" si="22"/>
        <v>-0.94250012943606598</v>
      </c>
      <c r="L83">
        <f t="shared" si="27"/>
        <v>74</v>
      </c>
      <c r="M83">
        <f t="shared" ca="1" si="23"/>
        <v>-6.5900654409481563E-2</v>
      </c>
      <c r="N83">
        <f t="shared" ca="1" si="24"/>
        <v>-0.96261184971912539</v>
      </c>
      <c r="O83">
        <f t="shared" ca="1" si="25"/>
        <v>0.96486500064582814</v>
      </c>
    </row>
    <row r="84" spans="1:15" x14ac:dyDescent="0.2">
      <c r="A84">
        <f t="shared" si="17"/>
        <v>75</v>
      </c>
      <c r="B84">
        <f t="shared" ca="1" si="18"/>
        <v>0.82444811838025334</v>
      </c>
      <c r="C84">
        <f t="shared" ca="1" si="16"/>
        <v>0.58073287836808118</v>
      </c>
      <c r="D84">
        <f t="shared" ca="1" si="16"/>
        <v>-0.64995739489358595</v>
      </c>
      <c r="E84">
        <f t="shared" ca="1" si="19"/>
        <v>0.31830988618379069</v>
      </c>
      <c r="F84">
        <f t="shared" si="26"/>
        <v>0.25</v>
      </c>
      <c r="G84">
        <f t="shared" ca="1" si="20"/>
        <v>1</v>
      </c>
      <c r="H84">
        <f ca="1">IF(G84=1,SUM($G$10:G84),"-")</f>
        <v>56</v>
      </c>
      <c r="I84">
        <f t="shared" ca="1" si="21"/>
        <v>0.58073287836808118</v>
      </c>
      <c r="J84">
        <f t="shared" ca="1" si="22"/>
        <v>-0.64995739489358595</v>
      </c>
      <c r="L84">
        <f t="shared" si="27"/>
        <v>75</v>
      </c>
      <c r="M84">
        <f t="shared" ca="1" si="23"/>
        <v>-0.17070464858176981</v>
      </c>
      <c r="N84">
        <f t="shared" ca="1" si="24"/>
        <v>-0.36725804979917398</v>
      </c>
      <c r="O84">
        <f t="shared" ca="1" si="25"/>
        <v>0.40499203966216185</v>
      </c>
    </row>
    <row r="85" spans="1:15" x14ac:dyDescent="0.2">
      <c r="A85">
        <f t="shared" si="17"/>
        <v>76</v>
      </c>
      <c r="B85">
        <f t="shared" ca="1" si="18"/>
        <v>0.71506925587030956</v>
      </c>
      <c r="C85">
        <f t="shared" ca="1" si="16"/>
        <v>-0.92993251307018032</v>
      </c>
      <c r="D85">
        <f t="shared" ca="1" si="16"/>
        <v>0.39086198735642608</v>
      </c>
      <c r="E85">
        <f t="shared" ca="1" si="19"/>
        <v>0</v>
      </c>
      <c r="F85">
        <f t="shared" si="26"/>
        <v>0.25</v>
      </c>
      <c r="G85">
        <f t="shared" ca="1" si="20"/>
        <v>0</v>
      </c>
      <c r="H85" t="str">
        <f ca="1">IF(G85=1,SUM($G$10:G85),"-")</f>
        <v>-</v>
      </c>
      <c r="I85" t="str">
        <f t="shared" ca="1" si="21"/>
        <v>-</v>
      </c>
      <c r="J85" t="str">
        <f t="shared" ca="1" si="22"/>
        <v>-</v>
      </c>
      <c r="L85">
        <f t="shared" si="27"/>
        <v>76</v>
      </c>
      <c r="M85">
        <f t="shared" ca="1" si="23"/>
        <v>0.30028017464776302</v>
      </c>
      <c r="N85">
        <f t="shared" ca="1" si="24"/>
        <v>0.84758060417199932</v>
      </c>
      <c r="O85">
        <f t="shared" ca="1" si="25"/>
        <v>0.89920023568450114</v>
      </c>
    </row>
    <row r="86" spans="1:15" x14ac:dyDescent="0.2">
      <c r="A86">
        <f t="shared" si="17"/>
        <v>77</v>
      </c>
      <c r="B86">
        <f t="shared" ca="1" si="18"/>
        <v>0.86846352118376824</v>
      </c>
      <c r="C86">
        <f t="shared" ca="1" si="16"/>
        <v>0.90721098889661822</v>
      </c>
      <c r="D86">
        <f t="shared" ca="1" si="16"/>
        <v>-0.84411829238227143</v>
      </c>
      <c r="E86">
        <f t="shared" ca="1" si="19"/>
        <v>0</v>
      </c>
      <c r="F86">
        <f t="shared" si="26"/>
        <v>0.25</v>
      </c>
      <c r="G86">
        <f t="shared" ca="1" si="20"/>
        <v>0</v>
      </c>
      <c r="H86" t="str">
        <f ca="1">IF(G86=1,SUM($G$10:G86),"-")</f>
        <v>-</v>
      </c>
      <c r="I86" t="str">
        <f t="shared" ca="1" si="21"/>
        <v>-</v>
      </c>
      <c r="J86" t="str">
        <f t="shared" ca="1" si="22"/>
        <v>-</v>
      </c>
      <c r="L86">
        <f t="shared" si="27"/>
        <v>77</v>
      </c>
      <c r="M86">
        <f t="shared" ca="1" si="23"/>
        <v>0.45018443824592547</v>
      </c>
      <c r="N86">
        <f t="shared" ca="1" si="24"/>
        <v>-7.1580650652300681E-2</v>
      </c>
      <c r="O86">
        <f t="shared" ca="1" si="25"/>
        <v>0.45583968452363399</v>
      </c>
    </row>
    <row r="87" spans="1:15" x14ac:dyDescent="0.2">
      <c r="A87">
        <f t="shared" si="17"/>
        <v>78</v>
      </c>
      <c r="B87">
        <f t="shared" ca="1" si="18"/>
        <v>0.58546698049910817</v>
      </c>
      <c r="C87">
        <f t="shared" ca="1" si="16"/>
        <v>0.4182920415856326</v>
      </c>
      <c r="D87">
        <f t="shared" ca="1" si="16"/>
        <v>-0.10137619273004339</v>
      </c>
      <c r="E87">
        <f t="shared" ca="1" si="19"/>
        <v>0.31830988618379069</v>
      </c>
      <c r="F87">
        <f t="shared" si="26"/>
        <v>0.25</v>
      </c>
      <c r="G87">
        <f t="shared" ca="1" si="20"/>
        <v>1</v>
      </c>
      <c r="H87">
        <f ca="1">IF(G87=1,SUM($G$10:G87),"-")</f>
        <v>57</v>
      </c>
      <c r="I87">
        <f t="shared" ca="1" si="21"/>
        <v>0.4182920415856326</v>
      </c>
      <c r="J87">
        <f t="shared" ca="1" si="22"/>
        <v>-0.10137619273004339</v>
      </c>
      <c r="L87">
        <f t="shared" si="27"/>
        <v>78</v>
      </c>
      <c r="M87">
        <f t="shared" ca="1" si="23"/>
        <v>-4.7191372428773581E-2</v>
      </c>
      <c r="N87">
        <f t="shared" ca="1" si="24"/>
        <v>3.1061334398022833E-2</v>
      </c>
      <c r="O87">
        <f t="shared" ca="1" si="25"/>
        <v>5.6496301881601138E-2</v>
      </c>
    </row>
    <row r="88" spans="1:15" x14ac:dyDescent="0.2">
      <c r="A88">
        <f t="shared" si="17"/>
        <v>79</v>
      </c>
      <c r="B88">
        <f t="shared" ca="1" si="18"/>
        <v>9.0134961747838638E-2</v>
      </c>
      <c r="C88">
        <f t="shared" ca="1" si="16"/>
        <v>-0.17699623393508457</v>
      </c>
      <c r="D88">
        <f t="shared" ca="1" si="16"/>
        <v>8.1591187672948262E-2</v>
      </c>
      <c r="E88">
        <f t="shared" ca="1" si="19"/>
        <v>0.31830988618379069</v>
      </c>
      <c r="F88">
        <f t="shared" si="26"/>
        <v>0.25</v>
      </c>
      <c r="G88">
        <f t="shared" ca="1" si="20"/>
        <v>1</v>
      </c>
      <c r="H88">
        <f ca="1">IF(G88=1,SUM($G$10:G88),"-")</f>
        <v>58</v>
      </c>
      <c r="I88">
        <f t="shared" ca="1" si="21"/>
        <v>-0.17699623393508457</v>
      </c>
      <c r="J88">
        <f t="shared" ca="1" si="22"/>
        <v>8.1591187672948262E-2</v>
      </c>
      <c r="L88">
        <f t="shared" si="27"/>
        <v>79</v>
      </c>
      <c r="M88">
        <f t="shared" ca="1" si="23"/>
        <v>-0.7911338860149697</v>
      </c>
      <c r="N88">
        <f t="shared" ca="1" si="24"/>
        <v>0.44353818230914932</v>
      </c>
      <c r="O88">
        <f t="shared" ca="1" si="25"/>
        <v>0.90698343136313753</v>
      </c>
    </row>
    <row r="89" spans="1:15" x14ac:dyDescent="0.2">
      <c r="A89">
        <f t="shared" si="17"/>
        <v>80</v>
      </c>
      <c r="B89">
        <f t="shared" ca="1" si="18"/>
        <v>0.33114784480899906</v>
      </c>
      <c r="C89">
        <f t="shared" ca="1" si="16"/>
        <v>4.3792111408921919E-2</v>
      </c>
      <c r="D89">
        <f t="shared" ca="1" si="16"/>
        <v>0.51566370748270307</v>
      </c>
      <c r="E89">
        <f t="shared" ca="1" si="19"/>
        <v>0.31830988618379069</v>
      </c>
      <c r="F89">
        <f t="shared" si="26"/>
        <v>0.25</v>
      </c>
      <c r="G89">
        <f t="shared" ca="1" si="20"/>
        <v>1</v>
      </c>
      <c r="H89">
        <f ca="1">IF(G89=1,SUM($G$10:G89),"-")</f>
        <v>59</v>
      </c>
      <c r="I89">
        <f t="shared" ca="1" si="21"/>
        <v>4.3792111408921919E-2</v>
      </c>
      <c r="J89">
        <f t="shared" ca="1" si="22"/>
        <v>0.51566370748270307</v>
      </c>
      <c r="L89">
        <f t="shared" si="27"/>
        <v>80</v>
      </c>
      <c r="M89">
        <f t="shared" ca="1" si="23"/>
        <v>-0.11150120078523584</v>
      </c>
      <c r="N89">
        <f t="shared" ca="1" si="24"/>
        <v>-0.46599522792308945</v>
      </c>
      <c r="O89">
        <f t="shared" ca="1" si="25"/>
        <v>0.47914931933964128</v>
      </c>
    </row>
    <row r="90" spans="1:15" x14ac:dyDescent="0.2">
      <c r="A90">
        <f t="shared" si="17"/>
        <v>81</v>
      </c>
      <c r="B90">
        <f t="shared" ca="1" si="18"/>
        <v>0.35919790045948752</v>
      </c>
      <c r="C90">
        <f t="shared" ref="C90:D109" ca="1" si="28">2*RAND()-1</f>
        <v>0.52136755491571218</v>
      </c>
      <c r="D90">
        <f t="shared" ca="1" si="28"/>
        <v>0.16334461254837795</v>
      </c>
      <c r="E90">
        <f t="shared" ca="1" si="19"/>
        <v>0.31830988618379069</v>
      </c>
      <c r="F90">
        <f t="shared" si="26"/>
        <v>0.25</v>
      </c>
      <c r="G90">
        <f t="shared" ca="1" si="20"/>
        <v>1</v>
      </c>
      <c r="H90">
        <f ca="1">IF(G90=1,SUM($G$10:G90),"-")</f>
        <v>60</v>
      </c>
      <c r="I90">
        <f t="shared" ca="1" si="21"/>
        <v>0.52136755491571218</v>
      </c>
      <c r="J90">
        <f t="shared" ca="1" si="22"/>
        <v>0.16334461254837795</v>
      </c>
      <c r="L90">
        <f t="shared" si="27"/>
        <v>81</v>
      </c>
      <c r="M90">
        <f t="shared" ca="1" si="23"/>
        <v>-0.49230118482856988</v>
      </c>
      <c r="N90">
        <f t="shared" ca="1" si="24"/>
        <v>0.14443144606973735</v>
      </c>
      <c r="O90">
        <f t="shared" ca="1" si="25"/>
        <v>0.51305058151941429</v>
      </c>
    </row>
    <row r="91" spans="1:15" x14ac:dyDescent="0.2">
      <c r="A91">
        <f t="shared" si="17"/>
        <v>82</v>
      </c>
      <c r="B91">
        <f t="shared" ca="1" si="18"/>
        <v>0.66891333513904216</v>
      </c>
      <c r="C91">
        <f t="shared" ca="1" si="28"/>
        <v>-0.41727230873957333</v>
      </c>
      <c r="D91">
        <f t="shared" ca="1" si="28"/>
        <v>0.33896637783420114</v>
      </c>
      <c r="E91">
        <f t="shared" ca="1" si="19"/>
        <v>0.31830988618379069</v>
      </c>
      <c r="F91">
        <f t="shared" si="26"/>
        <v>0.25</v>
      </c>
      <c r="G91">
        <f t="shared" ca="1" si="20"/>
        <v>1</v>
      </c>
      <c r="H91">
        <f ca="1">IF(G91=1,SUM($G$10:G91),"-")</f>
        <v>61</v>
      </c>
      <c r="I91">
        <f t="shared" ca="1" si="21"/>
        <v>-0.41727230873957333</v>
      </c>
      <c r="J91">
        <f t="shared" ca="1" si="22"/>
        <v>0.33896637783420114</v>
      </c>
      <c r="L91">
        <f t="shared" si="27"/>
        <v>82</v>
      </c>
      <c r="M91">
        <f t="shared" ca="1" si="23"/>
        <v>0.59644414309945049</v>
      </c>
      <c r="N91">
        <f t="shared" ca="1" si="24"/>
        <v>-9.3223287011965361E-2</v>
      </c>
      <c r="O91">
        <f t="shared" ca="1" si="25"/>
        <v>0.60368551173516916</v>
      </c>
    </row>
    <row r="92" spans="1:15" x14ac:dyDescent="0.2">
      <c r="A92">
        <f t="shared" si="17"/>
        <v>83</v>
      </c>
      <c r="B92">
        <f t="shared" ca="1" si="18"/>
        <v>0.84276744906977297</v>
      </c>
      <c r="C92">
        <f t="shared" ca="1" si="28"/>
        <v>1.839114496254024E-2</v>
      </c>
      <c r="D92">
        <f t="shared" ca="1" si="28"/>
        <v>0.53667737808903748</v>
      </c>
      <c r="E92">
        <f t="shared" ca="1" si="19"/>
        <v>0.31830988618379069</v>
      </c>
      <c r="F92">
        <f t="shared" si="26"/>
        <v>0.25</v>
      </c>
      <c r="G92">
        <f t="shared" ca="1" si="20"/>
        <v>1</v>
      </c>
      <c r="H92">
        <f ca="1">IF(G92=1,SUM($G$10:G92),"-")</f>
        <v>62</v>
      </c>
      <c r="I92">
        <f t="shared" ca="1" si="21"/>
        <v>1.839114496254024E-2</v>
      </c>
      <c r="J92">
        <f t="shared" ca="1" si="22"/>
        <v>0.53667737808903748</v>
      </c>
      <c r="L92">
        <f t="shared" si="27"/>
        <v>83</v>
      </c>
      <c r="M92">
        <f t="shared" ca="1" si="23"/>
        <v>-0.98360338572862616</v>
      </c>
      <c r="N92">
        <f t="shared" ca="1" si="24"/>
        <v>0.13639108060658001</v>
      </c>
      <c r="O92">
        <f t="shared" ca="1" si="25"/>
        <v>0.99301467626911089</v>
      </c>
    </row>
    <row r="93" spans="1:15" x14ac:dyDescent="0.2">
      <c r="A93">
        <f t="shared" si="17"/>
        <v>84</v>
      </c>
      <c r="B93">
        <f t="shared" ca="1" si="18"/>
        <v>0.18744990150216556</v>
      </c>
      <c r="C93">
        <f t="shared" ca="1" si="28"/>
        <v>0.17666807587545774</v>
      </c>
      <c r="D93">
        <f t="shared" ca="1" si="28"/>
        <v>-0.85014756468213126</v>
      </c>
      <c r="E93">
        <f t="shared" ca="1" si="19"/>
        <v>0.31830988618379069</v>
      </c>
      <c r="F93">
        <f t="shared" si="26"/>
        <v>0.25</v>
      </c>
      <c r="G93">
        <f t="shared" ca="1" si="20"/>
        <v>1</v>
      </c>
      <c r="H93">
        <f ca="1">IF(G93=1,SUM($G$10:G93),"-")</f>
        <v>63</v>
      </c>
      <c r="I93">
        <f t="shared" ca="1" si="21"/>
        <v>0.17666807587545774</v>
      </c>
      <c r="J93">
        <f t="shared" ca="1" si="22"/>
        <v>-0.85014756468213126</v>
      </c>
      <c r="L93">
        <f t="shared" si="27"/>
        <v>84</v>
      </c>
      <c r="M93">
        <f t="shared" ca="1" si="23"/>
        <v>-0.18354250776494196</v>
      </c>
      <c r="N93">
        <f t="shared" ca="1" si="24"/>
        <v>-0.8578159184307057</v>
      </c>
      <c r="O93">
        <f t="shared" ca="1" si="25"/>
        <v>0.8772320115395692</v>
      </c>
    </row>
    <row r="94" spans="1:15" x14ac:dyDescent="0.2">
      <c r="A94">
        <f t="shared" si="17"/>
        <v>85</v>
      </c>
      <c r="B94">
        <f t="shared" ca="1" si="18"/>
        <v>0.42178012307133106</v>
      </c>
      <c r="C94">
        <f t="shared" ca="1" si="28"/>
        <v>-0.33968993895609234</v>
      </c>
      <c r="D94">
        <f t="shared" ca="1" si="28"/>
        <v>-7.2862027962266929E-2</v>
      </c>
      <c r="E94">
        <f t="shared" ca="1" si="19"/>
        <v>0.31830988618379069</v>
      </c>
      <c r="F94">
        <f t="shared" si="26"/>
        <v>0.25</v>
      </c>
      <c r="G94">
        <f t="shared" ca="1" si="20"/>
        <v>1</v>
      </c>
      <c r="H94">
        <f ca="1">IF(G94=1,SUM($G$10:G94),"-")</f>
        <v>64</v>
      </c>
      <c r="I94">
        <f t="shared" ca="1" si="21"/>
        <v>-0.33968993895609234</v>
      </c>
      <c r="J94">
        <f t="shared" ca="1" si="22"/>
        <v>-7.2862027962266929E-2</v>
      </c>
      <c r="L94">
        <f t="shared" si="27"/>
        <v>85</v>
      </c>
      <c r="M94">
        <f t="shared" ca="1" si="23"/>
        <v>-0.32389167781645312</v>
      </c>
      <c r="N94">
        <f t="shared" ca="1" si="24"/>
        <v>-0.86743539619510668</v>
      </c>
      <c r="O94">
        <f t="shared" ca="1" si="25"/>
        <v>0.92593195513002946</v>
      </c>
    </row>
    <row r="95" spans="1:15" x14ac:dyDescent="0.2">
      <c r="A95">
        <f t="shared" si="17"/>
        <v>86</v>
      </c>
      <c r="B95">
        <f t="shared" ca="1" si="18"/>
        <v>0.1064283435531167</v>
      </c>
      <c r="C95">
        <f t="shared" ca="1" si="28"/>
        <v>-6.0025866196560695E-2</v>
      </c>
      <c r="D95">
        <f t="shared" ca="1" si="28"/>
        <v>-0.68411213472065024</v>
      </c>
      <c r="E95">
        <f t="shared" ca="1" si="19"/>
        <v>0.31830988618379069</v>
      </c>
      <c r="F95">
        <f t="shared" si="26"/>
        <v>0.25</v>
      </c>
      <c r="G95">
        <f t="shared" ca="1" si="20"/>
        <v>1</v>
      </c>
      <c r="H95">
        <f ca="1">IF(G95=1,SUM($G$10:G95),"-")</f>
        <v>65</v>
      </c>
      <c r="I95">
        <f t="shared" ca="1" si="21"/>
        <v>-6.0025866196560695E-2</v>
      </c>
      <c r="J95">
        <f t="shared" ca="1" si="22"/>
        <v>-0.68411213472065024</v>
      </c>
      <c r="L95">
        <f t="shared" si="27"/>
        <v>86</v>
      </c>
      <c r="M95">
        <f t="shared" ca="1" si="23"/>
        <v>0.38213314959882894</v>
      </c>
      <c r="N95">
        <f t="shared" ca="1" si="24"/>
        <v>0.55062058143423176</v>
      </c>
      <c r="O95">
        <f t="shared" ca="1" si="25"/>
        <v>0.67023038480905384</v>
      </c>
    </row>
    <row r="96" spans="1:15" x14ac:dyDescent="0.2">
      <c r="A96">
        <f t="shared" si="17"/>
        <v>87</v>
      </c>
      <c r="B96">
        <f t="shared" ca="1" si="18"/>
        <v>0.83482722996191916</v>
      </c>
      <c r="C96">
        <f t="shared" ca="1" si="28"/>
        <v>-0.55550370434775354</v>
      </c>
      <c r="D96">
        <f t="shared" ca="1" si="28"/>
        <v>-0.29457744017272147</v>
      </c>
      <c r="E96">
        <f t="shared" ca="1" si="19"/>
        <v>0.31830988618379069</v>
      </c>
      <c r="F96">
        <f t="shared" si="26"/>
        <v>0.25</v>
      </c>
      <c r="G96">
        <f t="shared" ca="1" si="20"/>
        <v>1</v>
      </c>
      <c r="H96">
        <f ca="1">IF(G96=1,SUM($G$10:G96),"-")</f>
        <v>66</v>
      </c>
      <c r="I96">
        <f t="shared" ca="1" si="21"/>
        <v>-0.55550370434775354</v>
      </c>
      <c r="J96">
        <f t="shared" ca="1" si="22"/>
        <v>-0.29457744017272147</v>
      </c>
      <c r="L96">
        <f t="shared" si="27"/>
        <v>87</v>
      </c>
      <c r="M96">
        <f t="shared" ca="1" si="23"/>
        <v>0.43370766556011975</v>
      </c>
      <c r="N96">
        <f t="shared" ca="1" si="24"/>
        <v>-0.72695497710238866</v>
      </c>
      <c r="O96">
        <f t="shared" ca="1" si="25"/>
        <v>0.84650214287947501</v>
      </c>
    </row>
    <row r="97" spans="1:15" x14ac:dyDescent="0.2">
      <c r="A97">
        <f t="shared" si="17"/>
        <v>88</v>
      </c>
      <c r="B97">
        <f t="shared" ca="1" si="18"/>
        <v>0.39228213632365017</v>
      </c>
      <c r="C97">
        <f t="shared" ca="1" si="28"/>
        <v>-0.85751353122469975</v>
      </c>
      <c r="D97">
        <f t="shared" ca="1" si="28"/>
        <v>-0.13967267165478514</v>
      </c>
      <c r="E97">
        <f t="shared" ca="1" si="19"/>
        <v>0.31830988618379069</v>
      </c>
      <c r="F97">
        <f t="shared" si="26"/>
        <v>0.25</v>
      </c>
      <c r="G97">
        <f t="shared" ca="1" si="20"/>
        <v>1</v>
      </c>
      <c r="H97">
        <f ca="1">IF(G97=1,SUM($G$10:G97),"-")</f>
        <v>67</v>
      </c>
      <c r="I97">
        <f t="shared" ca="1" si="21"/>
        <v>-0.85751353122469975</v>
      </c>
      <c r="J97">
        <f t="shared" ca="1" si="22"/>
        <v>-0.13967267165478514</v>
      </c>
      <c r="L97">
        <f t="shared" si="27"/>
        <v>88</v>
      </c>
      <c r="M97">
        <f t="shared" ca="1" si="23"/>
        <v>-0.15729465865069669</v>
      </c>
      <c r="N97">
        <f t="shared" ca="1" si="24"/>
        <v>-0.84768559044460501</v>
      </c>
      <c r="O97">
        <f t="shared" ca="1" si="25"/>
        <v>0.86215571092898169</v>
      </c>
    </row>
    <row r="98" spans="1:15" x14ac:dyDescent="0.2">
      <c r="A98">
        <f t="shared" si="17"/>
        <v>89</v>
      </c>
      <c r="B98">
        <f t="shared" ca="1" si="18"/>
        <v>0.86254529319274043</v>
      </c>
      <c r="C98">
        <f t="shared" ca="1" si="28"/>
        <v>0.76903660767136084</v>
      </c>
      <c r="D98">
        <f t="shared" ca="1" si="28"/>
        <v>0.68913186117204694</v>
      </c>
      <c r="E98">
        <f t="shared" ca="1" si="19"/>
        <v>0</v>
      </c>
      <c r="F98">
        <f t="shared" si="26"/>
        <v>0.25</v>
      </c>
      <c r="G98">
        <f t="shared" ca="1" si="20"/>
        <v>0</v>
      </c>
      <c r="H98" t="str">
        <f ca="1">IF(G98=1,SUM($G$10:G98),"-")</f>
        <v>-</v>
      </c>
      <c r="I98" t="str">
        <f t="shared" ca="1" si="21"/>
        <v>-</v>
      </c>
      <c r="J98" t="str">
        <f t="shared" ca="1" si="22"/>
        <v>-</v>
      </c>
      <c r="L98">
        <f t="shared" si="27"/>
        <v>89</v>
      </c>
      <c r="M98">
        <f t="shared" ca="1" si="23"/>
        <v>-0.246441946674681</v>
      </c>
      <c r="N98">
        <f t="shared" ca="1" si="24"/>
        <v>-0.66077811302092959</v>
      </c>
      <c r="O98">
        <f t="shared" ca="1" si="25"/>
        <v>0.70523850414473732</v>
      </c>
    </row>
    <row r="99" spans="1:15" x14ac:dyDescent="0.2">
      <c r="A99">
        <f t="shared" si="17"/>
        <v>90</v>
      </c>
      <c r="B99">
        <f t="shared" ca="1" si="18"/>
        <v>0.76946323836765318</v>
      </c>
      <c r="C99">
        <f t="shared" ca="1" si="28"/>
        <v>-0.18889135543136581</v>
      </c>
      <c r="D99">
        <f t="shared" ca="1" si="28"/>
        <v>0.46464080644809824</v>
      </c>
      <c r="E99">
        <f t="shared" ca="1" si="19"/>
        <v>0.31830988618379069</v>
      </c>
      <c r="F99">
        <f t="shared" si="26"/>
        <v>0.25</v>
      </c>
      <c r="G99">
        <f t="shared" ca="1" si="20"/>
        <v>1</v>
      </c>
      <c r="H99">
        <f ca="1">IF(G99=1,SUM($G$10:G99),"-")</f>
        <v>68</v>
      </c>
      <c r="I99">
        <f t="shared" ca="1" si="21"/>
        <v>-0.18889135543136581</v>
      </c>
      <c r="J99">
        <f t="shared" ca="1" si="22"/>
        <v>0.46464080644809824</v>
      </c>
      <c r="L99">
        <f t="shared" si="27"/>
        <v>90</v>
      </c>
      <c r="M99">
        <f t="shared" ca="1" si="23"/>
        <v>0.51099737822066316</v>
      </c>
      <c r="N99">
        <f t="shared" ca="1" si="24"/>
        <v>6.5002500479690584E-2</v>
      </c>
      <c r="O99">
        <f t="shared" ca="1" si="25"/>
        <v>0.5151151770400515</v>
      </c>
    </row>
    <row r="100" spans="1:15" x14ac:dyDescent="0.2">
      <c r="A100">
        <f t="shared" si="17"/>
        <v>91</v>
      </c>
      <c r="B100">
        <f t="shared" ca="1" si="18"/>
        <v>0.17836197953610922</v>
      </c>
      <c r="C100">
        <f t="shared" ca="1" si="28"/>
        <v>0.38230268846465232</v>
      </c>
      <c r="D100">
        <f t="shared" ca="1" si="28"/>
        <v>0.20505319835163216</v>
      </c>
      <c r="E100">
        <f t="shared" ca="1" si="19"/>
        <v>0.31830988618379069</v>
      </c>
      <c r="F100">
        <f t="shared" si="26"/>
        <v>0.25</v>
      </c>
      <c r="G100">
        <f t="shared" ca="1" si="20"/>
        <v>1</v>
      </c>
      <c r="H100">
        <f ca="1">IF(G100=1,SUM($G$10:G100),"-")</f>
        <v>69</v>
      </c>
      <c r="I100">
        <f t="shared" ca="1" si="21"/>
        <v>0.38230268846465232</v>
      </c>
      <c r="J100">
        <f t="shared" ca="1" si="22"/>
        <v>0.20505319835163216</v>
      </c>
      <c r="L100">
        <f t="shared" si="27"/>
        <v>91</v>
      </c>
      <c r="M100">
        <f t="shared" ca="1" si="23"/>
        <v>0.94064018452878129</v>
      </c>
      <c r="N100">
        <f t="shared" ca="1" si="24"/>
        <v>-0.15750496708175099</v>
      </c>
      <c r="O100">
        <f t="shared" ca="1" si="25"/>
        <v>0.9537356926348951</v>
      </c>
    </row>
    <row r="101" spans="1:15" x14ac:dyDescent="0.2">
      <c r="A101">
        <f t="shared" si="17"/>
        <v>92</v>
      </c>
      <c r="B101">
        <f t="shared" ca="1" si="18"/>
        <v>0.24493970846525259</v>
      </c>
      <c r="C101">
        <f t="shared" ca="1" si="28"/>
        <v>-0.38880618047702198</v>
      </c>
      <c r="D101">
        <f t="shared" ca="1" si="28"/>
        <v>0.51713691414518093</v>
      </c>
      <c r="E101">
        <f t="shared" ca="1" si="19"/>
        <v>0.31830988618379069</v>
      </c>
      <c r="F101">
        <f t="shared" si="26"/>
        <v>0.25</v>
      </c>
      <c r="G101">
        <f t="shared" ca="1" si="20"/>
        <v>1</v>
      </c>
      <c r="H101">
        <f ca="1">IF(G101=1,SUM($G$10:G101),"-")</f>
        <v>70</v>
      </c>
      <c r="I101">
        <f t="shared" ca="1" si="21"/>
        <v>-0.38880618047702198</v>
      </c>
      <c r="J101">
        <f t="shared" ca="1" si="22"/>
        <v>0.51713691414518093</v>
      </c>
      <c r="L101">
        <f t="shared" si="27"/>
        <v>92</v>
      </c>
      <c r="M101">
        <f t="shared" ca="1" si="23"/>
        <v>4.2666835760793553E-2</v>
      </c>
      <c r="N101">
        <f t="shared" ca="1" si="24"/>
        <v>0.93338532947966057</v>
      </c>
      <c r="O101">
        <f t="shared" ca="1" si="25"/>
        <v>0.93436001207334052</v>
      </c>
    </row>
    <row r="102" spans="1:15" x14ac:dyDescent="0.2">
      <c r="A102">
        <f t="shared" si="17"/>
        <v>93</v>
      </c>
      <c r="B102">
        <f t="shared" ca="1" si="18"/>
        <v>0.39628835781465588</v>
      </c>
      <c r="C102">
        <f t="shared" ca="1" si="28"/>
        <v>-0.22779559227363633</v>
      </c>
      <c r="D102">
        <f t="shared" ca="1" si="28"/>
        <v>-0.84178129088663223</v>
      </c>
      <c r="E102">
        <f t="shared" ca="1" si="19"/>
        <v>0.31830988618379069</v>
      </c>
      <c r="F102">
        <f t="shared" si="26"/>
        <v>0.25</v>
      </c>
      <c r="G102">
        <f t="shared" ca="1" si="20"/>
        <v>1</v>
      </c>
      <c r="H102">
        <f ca="1">IF(G102=1,SUM($G$10:G102),"-")</f>
        <v>71</v>
      </c>
      <c r="I102">
        <f t="shared" ca="1" si="21"/>
        <v>-0.22779559227363633</v>
      </c>
      <c r="J102">
        <f t="shared" ca="1" si="22"/>
        <v>-0.84178129088663223</v>
      </c>
      <c r="L102">
        <f t="shared" si="27"/>
        <v>93</v>
      </c>
      <c r="M102">
        <f t="shared" ca="1" si="23"/>
        <v>0.44848007091324904</v>
      </c>
      <c r="N102">
        <f t="shared" ca="1" si="24"/>
        <v>-6.4253654605271882E-2</v>
      </c>
      <c r="O102">
        <f t="shared" ca="1" si="25"/>
        <v>0.45305949513997218</v>
      </c>
    </row>
    <row r="103" spans="1:15" x14ac:dyDescent="0.2">
      <c r="A103">
        <f t="shared" si="17"/>
        <v>94</v>
      </c>
      <c r="B103">
        <f t="shared" ca="1" si="18"/>
        <v>0.97458250285517511</v>
      </c>
      <c r="C103">
        <f t="shared" ca="1" si="28"/>
        <v>-0.49555891467440771</v>
      </c>
      <c r="D103">
        <f t="shared" ca="1" si="28"/>
        <v>0.2800695454373423</v>
      </c>
      <c r="E103">
        <f t="shared" ca="1" si="19"/>
        <v>0.31830988618379069</v>
      </c>
      <c r="F103">
        <f t="shared" si="26"/>
        <v>0.25</v>
      </c>
      <c r="G103">
        <f t="shared" ca="1" si="20"/>
        <v>1</v>
      </c>
      <c r="H103">
        <f ca="1">IF(G103=1,SUM($G$10:G103),"-")</f>
        <v>72</v>
      </c>
      <c r="I103">
        <f t="shared" ca="1" si="21"/>
        <v>-0.49555891467440771</v>
      </c>
      <c r="J103">
        <f t="shared" ca="1" si="22"/>
        <v>0.2800695454373423</v>
      </c>
      <c r="L103">
        <f t="shared" si="27"/>
        <v>94</v>
      </c>
      <c r="M103">
        <f t="shared" ca="1" si="23"/>
        <v>0.66688866705534289</v>
      </c>
      <c r="N103">
        <f t="shared" ca="1" si="24"/>
        <v>2.2390061219303981E-3</v>
      </c>
      <c r="O103">
        <f t="shared" ca="1" si="25"/>
        <v>0.6668924256544424</v>
      </c>
    </row>
    <row r="104" spans="1:15" x14ac:dyDescent="0.2">
      <c r="A104">
        <f t="shared" si="17"/>
        <v>95</v>
      </c>
      <c r="B104">
        <f t="shared" ca="1" si="18"/>
        <v>0.50632445457683473</v>
      </c>
      <c r="C104">
        <f t="shared" ca="1" si="28"/>
        <v>0.54275359037716608</v>
      </c>
      <c r="D104">
        <f t="shared" ca="1" si="28"/>
        <v>-0.80526140223738119</v>
      </c>
      <c r="E104">
        <f t="shared" ca="1" si="19"/>
        <v>0.31830988618379069</v>
      </c>
      <c r="F104">
        <f t="shared" si="26"/>
        <v>0.25</v>
      </c>
      <c r="G104">
        <f t="shared" ca="1" si="20"/>
        <v>1</v>
      </c>
      <c r="H104">
        <f ca="1">IF(G104=1,SUM($G$10:G104),"-")</f>
        <v>73</v>
      </c>
      <c r="I104">
        <f t="shared" ca="1" si="21"/>
        <v>0.54275359037716608</v>
      </c>
      <c r="J104">
        <f t="shared" ca="1" si="22"/>
        <v>-0.80526140223738119</v>
      </c>
      <c r="L104">
        <f t="shared" si="27"/>
        <v>95</v>
      </c>
      <c r="M104">
        <f t="shared" ca="1" si="23"/>
        <v>-0.37259452389716752</v>
      </c>
      <c r="N104">
        <f t="shared" ca="1" si="24"/>
        <v>0.10803869397304822</v>
      </c>
      <c r="O104">
        <f t="shared" ca="1" si="25"/>
        <v>0.38794205576807334</v>
      </c>
    </row>
    <row r="105" spans="1:15" x14ac:dyDescent="0.2">
      <c r="A105">
        <f t="shared" si="17"/>
        <v>96</v>
      </c>
      <c r="B105">
        <f t="shared" ca="1" si="18"/>
        <v>0.4908423811964634</v>
      </c>
      <c r="C105">
        <f t="shared" ca="1" si="28"/>
        <v>-6.5900654409481563E-2</v>
      </c>
      <c r="D105">
        <f t="shared" ca="1" si="28"/>
        <v>-0.96261184971912539</v>
      </c>
      <c r="E105">
        <f t="shared" ca="1" si="19"/>
        <v>0.31830988618379069</v>
      </c>
      <c r="F105">
        <f t="shared" si="26"/>
        <v>0.25</v>
      </c>
      <c r="G105">
        <f t="shared" ca="1" si="20"/>
        <v>1</v>
      </c>
      <c r="H105">
        <f ca="1">IF(G105=1,SUM($G$10:G105),"-")</f>
        <v>74</v>
      </c>
      <c r="I105">
        <f t="shared" ca="1" si="21"/>
        <v>-6.5900654409481563E-2</v>
      </c>
      <c r="J105">
        <f t="shared" ca="1" si="22"/>
        <v>-0.96261184971912539</v>
      </c>
      <c r="L105">
        <f t="shared" si="27"/>
        <v>96</v>
      </c>
      <c r="M105">
        <f t="shared" ca="1" si="23"/>
        <v>0.64506913337908256</v>
      </c>
      <c r="N105">
        <f t="shared" ca="1" si="24"/>
        <v>0.38549167344371682</v>
      </c>
      <c r="O105">
        <f t="shared" ca="1" si="25"/>
        <v>0.75147722329614075</v>
      </c>
    </row>
    <row r="106" spans="1:15" x14ac:dyDescent="0.2">
      <c r="A106">
        <f t="shared" si="17"/>
        <v>97</v>
      </c>
      <c r="B106">
        <f t="shared" ca="1" si="18"/>
        <v>0.15424793793088709</v>
      </c>
      <c r="C106">
        <f t="shared" ca="1" si="28"/>
        <v>-0.17070464858176981</v>
      </c>
      <c r="D106">
        <f t="shared" ca="1" si="28"/>
        <v>-0.36725804979917398</v>
      </c>
      <c r="E106">
        <f t="shared" ca="1" si="19"/>
        <v>0.31830988618379069</v>
      </c>
      <c r="F106">
        <f t="shared" si="26"/>
        <v>0.25</v>
      </c>
      <c r="G106">
        <f t="shared" ca="1" si="20"/>
        <v>1</v>
      </c>
      <c r="H106">
        <f ca="1">IF(G106=1,SUM($G$10:G106),"-")</f>
        <v>75</v>
      </c>
      <c r="I106">
        <f t="shared" ca="1" si="21"/>
        <v>-0.17070464858176981</v>
      </c>
      <c r="J106">
        <f t="shared" ca="1" si="22"/>
        <v>-0.36725804979917398</v>
      </c>
      <c r="L106">
        <f t="shared" si="27"/>
        <v>97</v>
      </c>
      <c r="M106">
        <f t="shared" ca="1" si="23"/>
        <v>-0.49030617808703925</v>
      </c>
      <c r="N106">
        <f t="shared" ca="1" si="24"/>
        <v>-5.7842383323584157E-2</v>
      </c>
      <c r="O106">
        <f t="shared" ca="1" si="25"/>
        <v>0.49370627865044608</v>
      </c>
    </row>
    <row r="107" spans="1:15" x14ac:dyDescent="0.2">
      <c r="A107">
        <f t="shared" si="17"/>
        <v>98</v>
      </c>
      <c r="B107">
        <f t="shared" ca="1" si="18"/>
        <v>0.81375274642364093</v>
      </c>
      <c r="C107">
        <f t="shared" ca="1" si="28"/>
        <v>0.30028017464776302</v>
      </c>
      <c r="D107">
        <f t="shared" ca="1" si="28"/>
        <v>0.84758060417199932</v>
      </c>
      <c r="E107">
        <f t="shared" ca="1" si="19"/>
        <v>0.31830988618379069</v>
      </c>
      <c r="F107">
        <f t="shared" si="26"/>
        <v>0.25</v>
      </c>
      <c r="G107">
        <f t="shared" ca="1" si="20"/>
        <v>1</v>
      </c>
      <c r="H107">
        <f ca="1">IF(G107=1,SUM($G$10:G107),"-")</f>
        <v>76</v>
      </c>
      <c r="I107">
        <f t="shared" ca="1" si="21"/>
        <v>0.30028017464776302</v>
      </c>
      <c r="J107">
        <f t="shared" ca="1" si="22"/>
        <v>0.84758060417199932</v>
      </c>
      <c r="L107">
        <f t="shared" si="27"/>
        <v>98</v>
      </c>
      <c r="M107">
        <f t="shared" ca="1" si="23"/>
        <v>-0.43242488849029148</v>
      </c>
      <c r="N107">
        <f t="shared" ca="1" si="24"/>
        <v>-0.68426991987216956</v>
      </c>
      <c r="O107">
        <f t="shared" ca="1" si="25"/>
        <v>0.80945451226594967</v>
      </c>
    </row>
    <row r="108" spans="1:15" x14ac:dyDescent="0.2">
      <c r="A108">
        <f t="shared" si="17"/>
        <v>99</v>
      </c>
      <c r="B108">
        <f t="shared" ca="1" si="18"/>
        <v>0.28596204897024113</v>
      </c>
      <c r="C108">
        <f t="shared" ca="1" si="28"/>
        <v>0.45018443824592547</v>
      </c>
      <c r="D108">
        <f t="shared" ca="1" si="28"/>
        <v>-7.1580650652300681E-2</v>
      </c>
      <c r="E108">
        <f t="shared" ca="1" si="19"/>
        <v>0.31830988618379069</v>
      </c>
      <c r="F108">
        <f t="shared" si="26"/>
        <v>0.25</v>
      </c>
      <c r="G108">
        <f t="shared" ca="1" si="20"/>
        <v>1</v>
      </c>
      <c r="H108">
        <f ca="1">IF(G108=1,SUM($G$10:G108),"-")</f>
        <v>77</v>
      </c>
      <c r="I108">
        <f t="shared" ca="1" si="21"/>
        <v>0.45018443824592547</v>
      </c>
      <c r="J108">
        <f t="shared" ca="1" si="22"/>
        <v>-7.1580650652300681E-2</v>
      </c>
      <c r="L108">
        <f t="shared" si="27"/>
        <v>99</v>
      </c>
      <c r="M108">
        <f t="shared" ca="1" si="23"/>
        <v>-1.71913237750565E-2</v>
      </c>
      <c r="N108">
        <f t="shared" ca="1" si="24"/>
        <v>-0.70206275897042336</v>
      </c>
      <c r="O108">
        <f t="shared" ca="1" si="25"/>
        <v>0.70227320833583107</v>
      </c>
    </row>
    <row r="109" spans="1:15" x14ac:dyDescent="0.2">
      <c r="A109">
        <f t="shared" si="17"/>
        <v>100</v>
      </c>
      <c r="B109">
        <f t="shared" ca="1" si="18"/>
        <v>0.11020352948854217</v>
      </c>
      <c r="C109">
        <f t="shared" ca="1" si="28"/>
        <v>-4.7191372428773581E-2</v>
      </c>
      <c r="D109">
        <f t="shared" ca="1" si="28"/>
        <v>3.1061334398022833E-2</v>
      </c>
      <c r="E109">
        <f t="shared" ca="1" si="19"/>
        <v>0.31830988618379069</v>
      </c>
      <c r="F109">
        <f t="shared" si="26"/>
        <v>0.25</v>
      </c>
      <c r="G109">
        <f t="shared" ca="1" si="20"/>
        <v>1</v>
      </c>
      <c r="H109">
        <f ca="1">IF(G109=1,SUM($G$10:G109),"-")</f>
        <v>78</v>
      </c>
      <c r="I109">
        <f t="shared" ca="1" si="21"/>
        <v>-4.7191372428773581E-2</v>
      </c>
      <c r="J109">
        <f t="shared" ca="1" si="22"/>
        <v>3.1061334398022833E-2</v>
      </c>
      <c r="L109">
        <f t="shared" si="27"/>
        <v>100</v>
      </c>
      <c r="M109">
        <f t="shared" ca="1" si="23"/>
        <v>0.31717417852140839</v>
      </c>
      <c r="N109">
        <f t="shared" ca="1" si="24"/>
        <v>-0.27888475169209559</v>
      </c>
      <c r="O109">
        <f t="shared" ca="1" si="25"/>
        <v>0.42234602430600915</v>
      </c>
    </row>
    <row r="110" spans="1:15" x14ac:dyDescent="0.2">
      <c r="A110">
        <f t="shared" si="17"/>
        <v>101</v>
      </c>
      <c r="B110">
        <f t="shared" ca="1" si="18"/>
        <v>0.49108801592779094</v>
      </c>
      <c r="C110">
        <f t="shared" ref="C110:D129" ca="1" si="29">2*RAND()-1</f>
        <v>-0.9655787136538645</v>
      </c>
      <c r="D110">
        <f t="shared" ca="1" si="29"/>
        <v>-0.80021403349236953</v>
      </c>
      <c r="E110">
        <f t="shared" ca="1" si="19"/>
        <v>0</v>
      </c>
      <c r="F110">
        <f t="shared" si="26"/>
        <v>0.25</v>
      </c>
      <c r="G110">
        <f t="shared" ca="1" si="20"/>
        <v>0</v>
      </c>
      <c r="H110" t="str">
        <f ca="1">IF(G110=1,SUM($G$10:G110),"-")</f>
        <v>-</v>
      </c>
      <c r="I110" t="str">
        <f t="shared" ca="1" si="21"/>
        <v>-</v>
      </c>
      <c r="J110" t="str">
        <f t="shared" ca="1" si="22"/>
        <v>-</v>
      </c>
      <c r="L110">
        <f t="shared" ref="L110:L163" si="30">1+L109</f>
        <v>101</v>
      </c>
      <c r="M110">
        <f t="shared" ca="1" si="23"/>
        <v>0.60745438790598771</v>
      </c>
      <c r="N110">
        <f t="shared" ca="1" si="24"/>
        <v>-0.44971895110153226</v>
      </c>
      <c r="O110">
        <f t="shared" ca="1" si="25"/>
        <v>0.75580947888082251</v>
      </c>
    </row>
    <row r="111" spans="1:15" x14ac:dyDescent="0.2">
      <c r="A111">
        <f t="shared" ref="A111:A174" si="31">1+A110</f>
        <v>102</v>
      </c>
      <c r="B111">
        <f t="shared" ca="1" si="18"/>
        <v>0.26559134614275648</v>
      </c>
      <c r="C111">
        <f t="shared" ca="1" si="29"/>
        <v>-0.7911338860149697</v>
      </c>
      <c r="D111">
        <f t="shared" ca="1" si="29"/>
        <v>0.44353818230914932</v>
      </c>
      <c r="E111">
        <f t="shared" ca="1" si="19"/>
        <v>0.31830988618379069</v>
      </c>
      <c r="F111">
        <f t="shared" si="26"/>
        <v>0.25</v>
      </c>
      <c r="G111">
        <f t="shared" ca="1" si="20"/>
        <v>1</v>
      </c>
      <c r="H111">
        <f ca="1">IF(G111=1,SUM($G$10:G111),"-")</f>
        <v>79</v>
      </c>
      <c r="I111">
        <f t="shared" ca="1" si="21"/>
        <v>-0.7911338860149697</v>
      </c>
      <c r="J111">
        <f t="shared" ca="1" si="22"/>
        <v>0.44353818230914932</v>
      </c>
      <c r="L111">
        <f t="shared" si="30"/>
        <v>102</v>
      </c>
      <c r="M111">
        <f t="shared" ca="1" si="23"/>
        <v>-0.53640608859101646</v>
      </c>
      <c r="N111">
        <f t="shared" ca="1" si="24"/>
        <v>0.26332863244717331</v>
      </c>
      <c r="O111">
        <f t="shared" ca="1" si="25"/>
        <v>0.59755624048620892</v>
      </c>
    </row>
    <row r="112" spans="1:15" x14ac:dyDescent="0.2">
      <c r="A112">
        <f t="shared" si="31"/>
        <v>103</v>
      </c>
      <c r="B112">
        <f t="shared" ca="1" si="18"/>
        <v>0.7606437132750189</v>
      </c>
      <c r="C112">
        <f t="shared" ca="1" si="29"/>
        <v>-0.11150120078523584</v>
      </c>
      <c r="D112">
        <f t="shared" ca="1" si="29"/>
        <v>-0.46599522792308945</v>
      </c>
      <c r="E112">
        <f t="shared" ca="1" si="19"/>
        <v>0.31830988618379069</v>
      </c>
      <c r="F112">
        <f t="shared" si="26"/>
        <v>0.25</v>
      </c>
      <c r="G112">
        <f t="shared" ca="1" si="20"/>
        <v>1</v>
      </c>
      <c r="H112">
        <f ca="1">IF(G112=1,SUM($G$10:G112),"-")</f>
        <v>80</v>
      </c>
      <c r="I112">
        <f t="shared" ca="1" si="21"/>
        <v>-0.11150120078523584</v>
      </c>
      <c r="J112">
        <f t="shared" ca="1" si="22"/>
        <v>-0.46599522792308945</v>
      </c>
      <c r="L112">
        <f t="shared" si="30"/>
        <v>103</v>
      </c>
      <c r="M112">
        <f t="shared" ca="1" si="23"/>
        <v>-0.82906453503987687</v>
      </c>
      <c r="N112">
        <f t="shared" ca="1" si="24"/>
        <v>0.15871833301394478</v>
      </c>
      <c r="O112">
        <f t="shared" ca="1" si="25"/>
        <v>0.84412055566465893</v>
      </c>
    </row>
    <row r="113" spans="1:15" x14ac:dyDescent="0.2">
      <c r="A113">
        <f t="shared" si="31"/>
        <v>104</v>
      </c>
      <c r="B113">
        <f t="shared" ca="1" si="18"/>
        <v>0.53168311437877047</v>
      </c>
      <c r="C113">
        <f t="shared" ca="1" si="29"/>
        <v>-0.49230118482856988</v>
      </c>
      <c r="D113">
        <f t="shared" ca="1" si="29"/>
        <v>0.14443144606973735</v>
      </c>
      <c r="E113">
        <f t="shared" ca="1" si="19"/>
        <v>0.31830988618379069</v>
      </c>
      <c r="F113">
        <f t="shared" si="26"/>
        <v>0.25</v>
      </c>
      <c r="G113">
        <f t="shared" ca="1" si="20"/>
        <v>1</v>
      </c>
      <c r="H113">
        <f ca="1">IF(G113=1,SUM($G$10:G113),"-")</f>
        <v>81</v>
      </c>
      <c r="I113">
        <f t="shared" ca="1" si="21"/>
        <v>-0.49230118482856988</v>
      </c>
      <c r="J113">
        <f t="shared" ca="1" si="22"/>
        <v>0.14443144606973735</v>
      </c>
      <c r="L113">
        <f t="shared" si="30"/>
        <v>104</v>
      </c>
      <c r="M113">
        <f t="shared" ca="1" si="23"/>
        <v>-0.88883051357042842</v>
      </c>
      <c r="N113">
        <f t="shared" ca="1" si="24"/>
        <v>-0.31079953811947303</v>
      </c>
      <c r="O113">
        <f t="shared" ca="1" si="25"/>
        <v>0.94160290714777917</v>
      </c>
    </row>
    <row r="114" spans="1:15" x14ac:dyDescent="0.2">
      <c r="A114">
        <f t="shared" si="31"/>
        <v>105</v>
      </c>
      <c r="B114">
        <f t="shared" ca="1" si="18"/>
        <v>0.47828672086460533</v>
      </c>
      <c r="C114">
        <f t="shared" ca="1" si="29"/>
        <v>0.88449437476719028</v>
      </c>
      <c r="D114">
        <f t="shared" ca="1" si="29"/>
        <v>-0.96653298929289932</v>
      </c>
      <c r="E114">
        <f t="shared" ca="1" si="19"/>
        <v>0</v>
      </c>
      <c r="F114">
        <f t="shared" si="26"/>
        <v>0.25</v>
      </c>
      <c r="G114">
        <f t="shared" ca="1" si="20"/>
        <v>0</v>
      </c>
      <c r="H114" t="str">
        <f ca="1">IF(G114=1,SUM($G$10:G114),"-")</f>
        <v>-</v>
      </c>
      <c r="I114" t="str">
        <f t="shared" ca="1" si="21"/>
        <v>-</v>
      </c>
      <c r="J114" t="str">
        <f t="shared" ca="1" si="22"/>
        <v>-</v>
      </c>
      <c r="L114">
        <f t="shared" si="30"/>
        <v>105</v>
      </c>
      <c r="M114">
        <f t="shared" ca="1" si="23"/>
        <v>-0.23020696219876458</v>
      </c>
      <c r="N114">
        <f t="shared" ca="1" si="24"/>
        <v>-0.37657365095554329</v>
      </c>
      <c r="O114">
        <f t="shared" ca="1" si="25"/>
        <v>0.44136488310554428</v>
      </c>
    </row>
    <row r="115" spans="1:15" x14ac:dyDescent="0.2">
      <c r="A115">
        <f t="shared" si="31"/>
        <v>106</v>
      </c>
      <c r="B115">
        <f t="shared" ca="1" si="18"/>
        <v>0.14893603290496904</v>
      </c>
      <c r="C115">
        <f t="shared" ca="1" si="29"/>
        <v>-0.86857807226465722</v>
      </c>
      <c r="D115">
        <f t="shared" ca="1" si="29"/>
        <v>0.90712384699812021</v>
      </c>
      <c r="E115">
        <f t="shared" ca="1" si="19"/>
        <v>0</v>
      </c>
      <c r="F115">
        <f t="shared" si="26"/>
        <v>0.25</v>
      </c>
      <c r="G115">
        <f t="shared" ca="1" si="20"/>
        <v>0</v>
      </c>
      <c r="H115" t="str">
        <f ca="1">IF(G115=1,SUM($G$10:G115),"-")</f>
        <v>-</v>
      </c>
      <c r="I115" t="str">
        <f t="shared" ca="1" si="21"/>
        <v>-</v>
      </c>
      <c r="J115" t="str">
        <f t="shared" ca="1" si="22"/>
        <v>-</v>
      </c>
      <c r="L115">
        <f t="shared" si="30"/>
        <v>106</v>
      </c>
      <c r="M115">
        <f t="shared" ca="1" si="23"/>
        <v>-0.65781306306629461</v>
      </c>
      <c r="N115">
        <f t="shared" ca="1" si="24"/>
        <v>-0.41642636789932785</v>
      </c>
      <c r="O115">
        <f t="shared" ca="1" si="25"/>
        <v>0.77854283493105714</v>
      </c>
    </row>
    <row r="116" spans="1:15" x14ac:dyDescent="0.2">
      <c r="A116">
        <f t="shared" si="31"/>
        <v>107</v>
      </c>
      <c r="B116">
        <f t="shared" ca="1" si="18"/>
        <v>0.20713676641767154</v>
      </c>
      <c r="C116">
        <f t="shared" ca="1" si="29"/>
        <v>0.59644414309945049</v>
      </c>
      <c r="D116">
        <f t="shared" ca="1" si="29"/>
        <v>-9.3223287011965361E-2</v>
      </c>
      <c r="E116">
        <f t="shared" ca="1" si="19"/>
        <v>0.31830988618379069</v>
      </c>
      <c r="F116">
        <f t="shared" si="26"/>
        <v>0.25</v>
      </c>
      <c r="G116">
        <f t="shared" ca="1" si="20"/>
        <v>1</v>
      </c>
      <c r="H116">
        <f ca="1">IF(G116=1,SUM($G$10:G116),"-")</f>
        <v>82</v>
      </c>
      <c r="I116">
        <f t="shared" ca="1" si="21"/>
        <v>0.59644414309945049</v>
      </c>
      <c r="J116">
        <f t="shared" ca="1" si="22"/>
        <v>-9.3223287011965361E-2</v>
      </c>
      <c r="L116">
        <f t="shared" si="30"/>
        <v>107</v>
      </c>
      <c r="M116">
        <f t="shared" ca="1" si="23"/>
        <v>-2.9460280802771077E-2</v>
      </c>
      <c r="N116">
        <f t="shared" ca="1" si="24"/>
        <v>0.95382363584982022</v>
      </c>
      <c r="O116">
        <f t="shared" ca="1" si="25"/>
        <v>0.95427848998641307</v>
      </c>
    </row>
    <row r="117" spans="1:15" x14ac:dyDescent="0.2">
      <c r="A117">
        <f t="shared" si="31"/>
        <v>108</v>
      </c>
      <c r="B117">
        <f t="shared" ca="1" si="18"/>
        <v>0.45447583800181668</v>
      </c>
      <c r="C117">
        <f t="shared" ca="1" si="29"/>
        <v>-0.98360338572862616</v>
      </c>
      <c r="D117">
        <f t="shared" ca="1" si="29"/>
        <v>0.13639108060658001</v>
      </c>
      <c r="E117">
        <f t="shared" ca="1" si="19"/>
        <v>0.31830988618379069</v>
      </c>
      <c r="F117">
        <f t="shared" si="26"/>
        <v>0.25</v>
      </c>
      <c r="G117">
        <f t="shared" ca="1" si="20"/>
        <v>1</v>
      </c>
      <c r="H117">
        <f ca="1">IF(G117=1,SUM($G$10:G117),"-")</f>
        <v>83</v>
      </c>
      <c r="I117">
        <f t="shared" ca="1" si="21"/>
        <v>-0.98360338572862616</v>
      </c>
      <c r="J117">
        <f t="shared" ca="1" si="22"/>
        <v>0.13639108060658001</v>
      </c>
      <c r="L117">
        <f t="shared" si="30"/>
        <v>108</v>
      </c>
      <c r="M117">
        <f t="shared" ca="1" si="23"/>
        <v>-0.29038103046032893</v>
      </c>
      <c r="N117">
        <f t="shared" ca="1" si="24"/>
        <v>-0.11509772312467481</v>
      </c>
      <c r="O117">
        <f t="shared" ca="1" si="25"/>
        <v>0.31235977449038915</v>
      </c>
    </row>
    <row r="118" spans="1:15" x14ac:dyDescent="0.2">
      <c r="A118">
        <f t="shared" si="31"/>
        <v>109</v>
      </c>
      <c r="B118">
        <f t="shared" ca="1" si="18"/>
        <v>0.2063720288348585</v>
      </c>
      <c r="C118">
        <f t="shared" ca="1" si="29"/>
        <v>-0.18354250776494196</v>
      </c>
      <c r="D118">
        <f t="shared" ca="1" si="29"/>
        <v>-0.8578159184307057</v>
      </c>
      <c r="E118">
        <f t="shared" ca="1" si="19"/>
        <v>0.31830988618379069</v>
      </c>
      <c r="F118">
        <f t="shared" si="26"/>
        <v>0.25</v>
      </c>
      <c r="G118">
        <f t="shared" ca="1" si="20"/>
        <v>1</v>
      </c>
      <c r="H118">
        <f ca="1">IF(G118=1,SUM($G$10:G118),"-")</f>
        <v>84</v>
      </c>
      <c r="I118">
        <f t="shared" ca="1" si="21"/>
        <v>-0.18354250776494196</v>
      </c>
      <c r="J118">
        <f t="shared" ca="1" si="22"/>
        <v>-0.8578159184307057</v>
      </c>
      <c r="L118">
        <f t="shared" si="30"/>
        <v>109</v>
      </c>
      <c r="M118">
        <f t="shared" ca="1" si="23"/>
        <v>-0.89120778823232105</v>
      </c>
      <c r="N118">
        <f t="shared" ca="1" si="24"/>
        <v>0.35881627578090125</v>
      </c>
      <c r="O118">
        <f t="shared" ca="1" si="25"/>
        <v>0.96072911976853359</v>
      </c>
    </row>
    <row r="119" spans="1:15" x14ac:dyDescent="0.2">
      <c r="A119">
        <f t="shared" si="31"/>
        <v>110</v>
      </c>
      <c r="B119">
        <f t="shared" ca="1" si="18"/>
        <v>0.99536423447574407</v>
      </c>
      <c r="C119">
        <f t="shared" ca="1" si="29"/>
        <v>0.27009126247583404</v>
      </c>
      <c r="D119">
        <f t="shared" ca="1" si="29"/>
        <v>-0.97618402973333884</v>
      </c>
      <c r="E119">
        <f t="shared" ca="1" si="19"/>
        <v>0</v>
      </c>
      <c r="F119">
        <f t="shared" si="26"/>
        <v>0.25</v>
      </c>
      <c r="G119">
        <f t="shared" ca="1" si="20"/>
        <v>0</v>
      </c>
      <c r="H119" t="str">
        <f ca="1">IF(G119=1,SUM($G$10:G119),"-")</f>
        <v>-</v>
      </c>
      <c r="I119" t="str">
        <f t="shared" ca="1" si="21"/>
        <v>-</v>
      </c>
      <c r="J119" t="str">
        <f t="shared" ca="1" si="22"/>
        <v>-</v>
      </c>
      <c r="L119">
        <f t="shared" si="30"/>
        <v>110</v>
      </c>
      <c r="M119">
        <f t="shared" ca="1" si="23"/>
        <v>-0.61111064056696796</v>
      </c>
      <c r="N119">
        <f t="shared" ca="1" si="24"/>
        <v>0.61074712055843206</v>
      </c>
      <c r="O119">
        <f t="shared" ca="1" si="25"/>
        <v>0.86398394677481472</v>
      </c>
    </row>
    <row r="120" spans="1:15" x14ac:dyDescent="0.2">
      <c r="A120">
        <f t="shared" si="31"/>
        <v>111</v>
      </c>
      <c r="B120">
        <f t="shared" ca="1" si="18"/>
        <v>0.59713186600190427</v>
      </c>
      <c r="C120">
        <f t="shared" ca="1" si="29"/>
        <v>0.88983797504183593</v>
      </c>
      <c r="D120">
        <f t="shared" ca="1" si="29"/>
        <v>0.75166530858435099</v>
      </c>
      <c r="E120">
        <f t="shared" ca="1" si="19"/>
        <v>0</v>
      </c>
      <c r="F120">
        <f t="shared" si="26"/>
        <v>0.25</v>
      </c>
      <c r="G120">
        <f t="shared" ca="1" si="20"/>
        <v>0</v>
      </c>
      <c r="H120" t="str">
        <f ca="1">IF(G120=1,SUM($G$10:G120),"-")</f>
        <v>-</v>
      </c>
      <c r="I120" t="str">
        <f t="shared" ca="1" si="21"/>
        <v>-</v>
      </c>
      <c r="J120" t="str">
        <f t="shared" ca="1" si="22"/>
        <v>-</v>
      </c>
      <c r="L120">
        <f t="shared" si="30"/>
        <v>111</v>
      </c>
      <c r="M120">
        <f t="shared" ca="1" si="23"/>
        <v>0.61350101424429448</v>
      </c>
      <c r="N120">
        <f t="shared" ca="1" si="24"/>
        <v>-0.53590978411301893</v>
      </c>
      <c r="O120">
        <f t="shared" ca="1" si="25"/>
        <v>0.81460591158353413</v>
      </c>
    </row>
    <row r="121" spans="1:15" x14ac:dyDescent="0.2">
      <c r="A121">
        <f t="shared" si="31"/>
        <v>112</v>
      </c>
      <c r="B121">
        <f t="shared" ca="1" si="18"/>
        <v>0.57055377314723188</v>
      </c>
      <c r="C121">
        <f t="shared" ca="1" si="29"/>
        <v>-0.32389167781645312</v>
      </c>
      <c r="D121">
        <f t="shared" ca="1" si="29"/>
        <v>-0.86743539619510668</v>
      </c>
      <c r="E121">
        <f t="shared" ca="1" si="19"/>
        <v>0.31830988618379069</v>
      </c>
      <c r="F121">
        <f t="shared" si="26"/>
        <v>0.25</v>
      </c>
      <c r="G121">
        <f t="shared" ca="1" si="20"/>
        <v>1</v>
      </c>
      <c r="H121">
        <f ca="1">IF(G121=1,SUM($G$10:G121),"-")</f>
        <v>85</v>
      </c>
      <c r="I121">
        <f t="shared" ca="1" si="21"/>
        <v>-0.32389167781645312</v>
      </c>
      <c r="J121">
        <f t="shared" ca="1" si="22"/>
        <v>-0.86743539619510668</v>
      </c>
      <c r="L121">
        <f t="shared" si="30"/>
        <v>112</v>
      </c>
      <c r="M121">
        <f t="shared" ca="1" si="23"/>
        <v>0.23158214651098663</v>
      </c>
      <c r="N121">
        <f t="shared" ca="1" si="24"/>
        <v>0.96214814176377916</v>
      </c>
      <c r="O121">
        <f t="shared" ca="1" si="25"/>
        <v>0.98962585722187424</v>
      </c>
    </row>
    <row r="122" spans="1:15" x14ac:dyDescent="0.2">
      <c r="A122">
        <f t="shared" si="31"/>
        <v>113</v>
      </c>
      <c r="B122">
        <f t="shared" ca="1" si="18"/>
        <v>0.56422618051404605</v>
      </c>
      <c r="C122">
        <f t="shared" ca="1" si="29"/>
        <v>0.38213314959882894</v>
      </c>
      <c r="D122">
        <f t="shared" ca="1" si="29"/>
        <v>0.55062058143423176</v>
      </c>
      <c r="E122">
        <f t="shared" ca="1" si="19"/>
        <v>0.31830988618379069</v>
      </c>
      <c r="F122">
        <f t="shared" si="26"/>
        <v>0.25</v>
      </c>
      <c r="G122">
        <f t="shared" ca="1" si="20"/>
        <v>1</v>
      </c>
      <c r="H122">
        <f ca="1">IF(G122=1,SUM($G$10:G122),"-")</f>
        <v>86</v>
      </c>
      <c r="I122">
        <f t="shared" ca="1" si="21"/>
        <v>0.38213314959882894</v>
      </c>
      <c r="J122">
        <f t="shared" ca="1" si="22"/>
        <v>0.55062058143423176</v>
      </c>
      <c r="L122">
        <f t="shared" si="30"/>
        <v>113</v>
      </c>
      <c r="M122">
        <f t="shared" ca="1" si="23"/>
        <v>0.20140536968586953</v>
      </c>
      <c r="N122">
        <f t="shared" ca="1" si="24"/>
        <v>0.14014360437136886</v>
      </c>
      <c r="O122">
        <f t="shared" ca="1" si="25"/>
        <v>0.24536575307996941</v>
      </c>
    </row>
    <row r="123" spans="1:15" x14ac:dyDescent="0.2">
      <c r="A123">
        <f t="shared" si="31"/>
        <v>114</v>
      </c>
      <c r="B123">
        <f t="shared" ca="1" si="18"/>
        <v>0.13276757523712635</v>
      </c>
      <c r="C123">
        <f t="shared" ca="1" si="29"/>
        <v>-0.56536117769083472</v>
      </c>
      <c r="D123">
        <f t="shared" ca="1" si="29"/>
        <v>0.91925192706552394</v>
      </c>
      <c r="E123">
        <f t="shared" ca="1" si="19"/>
        <v>0</v>
      </c>
      <c r="F123">
        <f t="shared" si="26"/>
        <v>0.25</v>
      </c>
      <c r="G123">
        <f t="shared" ca="1" si="20"/>
        <v>0</v>
      </c>
      <c r="H123" t="str">
        <f ca="1">IF(G123=1,SUM($G$10:G123),"-")</f>
        <v>-</v>
      </c>
      <c r="I123" t="str">
        <f t="shared" ca="1" si="21"/>
        <v>-</v>
      </c>
      <c r="J123" t="str">
        <f t="shared" ca="1" si="22"/>
        <v>-</v>
      </c>
      <c r="L123">
        <f t="shared" si="30"/>
        <v>114</v>
      </c>
      <c r="M123">
        <f t="shared" ca="1" si="23"/>
        <v>0.27407722075338525</v>
      </c>
      <c r="N123">
        <f t="shared" ca="1" si="24"/>
        <v>-2.0396140674767027E-2</v>
      </c>
      <c r="O123">
        <f t="shared" ca="1" si="25"/>
        <v>0.27483508780780658</v>
      </c>
    </row>
    <row r="124" spans="1:15" x14ac:dyDescent="0.2">
      <c r="A124">
        <f t="shared" si="31"/>
        <v>115</v>
      </c>
      <c r="B124">
        <f t="shared" ca="1" si="18"/>
        <v>0.83518886064681597</v>
      </c>
      <c r="C124">
        <f t="shared" ca="1" si="29"/>
        <v>0.43370766556011975</v>
      </c>
      <c r="D124">
        <f t="shared" ca="1" si="29"/>
        <v>-0.72695497710238866</v>
      </c>
      <c r="E124">
        <f t="shared" ca="1" si="19"/>
        <v>0.31830988618379069</v>
      </c>
      <c r="F124">
        <f t="shared" si="26"/>
        <v>0.25</v>
      </c>
      <c r="G124">
        <f t="shared" ca="1" si="20"/>
        <v>1</v>
      </c>
      <c r="H124">
        <f ca="1">IF(G124=1,SUM($G$10:G124),"-")</f>
        <v>87</v>
      </c>
      <c r="I124">
        <f t="shared" ca="1" si="21"/>
        <v>0.43370766556011975</v>
      </c>
      <c r="J124">
        <f t="shared" ca="1" si="22"/>
        <v>-0.72695497710238866</v>
      </c>
      <c r="L124">
        <f t="shared" si="30"/>
        <v>115</v>
      </c>
      <c r="M124">
        <f t="shared" ca="1" si="23"/>
        <v>-0.72793995650205456</v>
      </c>
      <c r="N124">
        <f t="shared" ca="1" si="24"/>
        <v>0.35195253830667039</v>
      </c>
      <c r="O124">
        <f t="shared" ca="1" si="25"/>
        <v>0.80855869885415332</v>
      </c>
    </row>
    <row r="125" spans="1:15" x14ac:dyDescent="0.2">
      <c r="A125">
        <f t="shared" si="31"/>
        <v>116</v>
      </c>
      <c r="B125">
        <f t="shared" ca="1" si="18"/>
        <v>0.81355894761401937</v>
      </c>
      <c r="C125">
        <f t="shared" ca="1" si="29"/>
        <v>-0.15729465865069669</v>
      </c>
      <c r="D125">
        <f t="shared" ca="1" si="29"/>
        <v>-0.84768559044460501</v>
      </c>
      <c r="E125">
        <f t="shared" ca="1" si="19"/>
        <v>0.31830988618379069</v>
      </c>
      <c r="F125">
        <f t="shared" si="26"/>
        <v>0.25</v>
      </c>
      <c r="G125">
        <f t="shared" ca="1" si="20"/>
        <v>1</v>
      </c>
      <c r="H125">
        <f ca="1">IF(G125=1,SUM($G$10:G125),"-")</f>
        <v>88</v>
      </c>
      <c r="I125">
        <f t="shared" ca="1" si="21"/>
        <v>-0.15729465865069669</v>
      </c>
      <c r="J125">
        <f t="shared" ca="1" si="22"/>
        <v>-0.84768559044460501</v>
      </c>
      <c r="L125">
        <f t="shared" si="30"/>
        <v>116</v>
      </c>
      <c r="M125">
        <f t="shared" ca="1" si="23"/>
        <v>-0.54521479465473677</v>
      </c>
      <c r="N125">
        <f t="shared" ca="1" si="24"/>
        <v>0.48439403336276365</v>
      </c>
      <c r="O125">
        <f t="shared" ca="1" si="25"/>
        <v>0.72931252002680791</v>
      </c>
    </row>
    <row r="126" spans="1:15" x14ac:dyDescent="0.2">
      <c r="A126">
        <f t="shared" si="31"/>
        <v>117</v>
      </c>
      <c r="B126">
        <f t="shared" ca="1" si="18"/>
        <v>0.1817276585418357</v>
      </c>
      <c r="C126">
        <f t="shared" ca="1" si="29"/>
        <v>0.5295359671443578</v>
      </c>
      <c r="D126">
        <f t="shared" ca="1" si="29"/>
        <v>-0.92227805109261318</v>
      </c>
      <c r="E126">
        <f t="shared" ca="1" si="19"/>
        <v>0</v>
      </c>
      <c r="F126">
        <f t="shared" si="26"/>
        <v>0.25</v>
      </c>
      <c r="G126">
        <f t="shared" ca="1" si="20"/>
        <v>0</v>
      </c>
      <c r="H126" t="str">
        <f ca="1">IF(G126=1,SUM($G$10:G126),"-")</f>
        <v>-</v>
      </c>
      <c r="I126" t="str">
        <f t="shared" ca="1" si="21"/>
        <v>-</v>
      </c>
      <c r="J126" t="str">
        <f t="shared" ca="1" si="22"/>
        <v>-</v>
      </c>
      <c r="L126">
        <f t="shared" si="30"/>
        <v>117</v>
      </c>
      <c r="M126">
        <f t="shared" ca="1" si="23"/>
        <v>0.68557328551252761</v>
      </c>
      <c r="N126">
        <f t="shared" ca="1" si="24"/>
        <v>0.13532450957471354</v>
      </c>
      <c r="O126">
        <f t="shared" ca="1" si="25"/>
        <v>0.69880144011019207</v>
      </c>
    </row>
    <row r="127" spans="1:15" x14ac:dyDescent="0.2">
      <c r="A127">
        <f t="shared" si="31"/>
        <v>118</v>
      </c>
      <c r="B127">
        <f t="shared" ca="1" si="18"/>
        <v>0.45677387658909729</v>
      </c>
      <c r="C127">
        <f t="shared" ca="1" si="29"/>
        <v>-0.246441946674681</v>
      </c>
      <c r="D127">
        <f t="shared" ca="1" si="29"/>
        <v>-0.66077811302092959</v>
      </c>
      <c r="E127">
        <f t="shared" ca="1" si="19"/>
        <v>0.31830988618379069</v>
      </c>
      <c r="F127">
        <f t="shared" si="26"/>
        <v>0.25</v>
      </c>
      <c r="G127">
        <f t="shared" ca="1" si="20"/>
        <v>1</v>
      </c>
      <c r="H127">
        <f ca="1">IF(G127=1,SUM($G$10:G127),"-")</f>
        <v>89</v>
      </c>
      <c r="I127">
        <f t="shared" ca="1" si="21"/>
        <v>-0.246441946674681</v>
      </c>
      <c r="J127">
        <f t="shared" ca="1" si="22"/>
        <v>-0.66077811302092959</v>
      </c>
      <c r="L127">
        <f t="shared" si="30"/>
        <v>118</v>
      </c>
      <c r="M127">
        <f t="shared" ca="1" si="23"/>
        <v>0.59756211716899399</v>
      </c>
      <c r="N127">
        <f t="shared" ca="1" si="24"/>
        <v>0.62895993311040455</v>
      </c>
      <c r="O127">
        <f t="shared" ca="1" si="25"/>
        <v>0.86756618268218311</v>
      </c>
    </row>
    <row r="128" spans="1:15" x14ac:dyDescent="0.2">
      <c r="A128">
        <f t="shared" si="31"/>
        <v>119</v>
      </c>
      <c r="B128">
        <f t="shared" ca="1" si="18"/>
        <v>0.30154128099017596</v>
      </c>
      <c r="C128">
        <f t="shared" ca="1" si="29"/>
        <v>0.51099737822066316</v>
      </c>
      <c r="D128">
        <f t="shared" ca="1" si="29"/>
        <v>6.5002500479690584E-2</v>
      </c>
      <c r="E128">
        <f t="shared" ca="1" si="19"/>
        <v>0.31830988618379069</v>
      </c>
      <c r="F128">
        <f t="shared" si="26"/>
        <v>0.25</v>
      </c>
      <c r="G128">
        <f t="shared" ca="1" si="20"/>
        <v>1</v>
      </c>
      <c r="H128">
        <f ca="1">IF(G128=1,SUM($G$10:G128),"-")</f>
        <v>90</v>
      </c>
      <c r="I128">
        <f t="shared" ca="1" si="21"/>
        <v>0.51099737822066316</v>
      </c>
      <c r="J128">
        <f t="shared" ca="1" si="22"/>
        <v>6.5002500479690584E-2</v>
      </c>
      <c r="L128">
        <f t="shared" si="30"/>
        <v>119</v>
      </c>
      <c r="M128">
        <f t="shared" ca="1" si="23"/>
        <v>0.51665231540486611</v>
      </c>
      <c r="N128">
        <f t="shared" ca="1" si="24"/>
        <v>-0.71338701187026765</v>
      </c>
      <c r="O128">
        <f t="shared" ca="1" si="25"/>
        <v>0.88082384374992861</v>
      </c>
    </row>
    <row r="129" spans="1:15" x14ac:dyDescent="0.2">
      <c r="A129">
        <f t="shared" si="31"/>
        <v>120</v>
      </c>
      <c r="B129">
        <f t="shared" ca="1" si="18"/>
        <v>0.58991763440259182</v>
      </c>
      <c r="C129">
        <f t="shared" ca="1" si="29"/>
        <v>-0.92225808592897529</v>
      </c>
      <c r="D129">
        <f t="shared" ca="1" si="29"/>
        <v>-0.49015058299936554</v>
      </c>
      <c r="E129">
        <f t="shared" ca="1" si="19"/>
        <v>0</v>
      </c>
      <c r="F129">
        <f t="shared" si="26"/>
        <v>0.25</v>
      </c>
      <c r="G129">
        <f t="shared" ca="1" si="20"/>
        <v>0</v>
      </c>
      <c r="H129" t="str">
        <f ca="1">IF(G129=1,SUM($G$10:G129),"-")</f>
        <v>-</v>
      </c>
      <c r="I129" t="str">
        <f t="shared" ca="1" si="21"/>
        <v>-</v>
      </c>
      <c r="J129" t="str">
        <f t="shared" ca="1" si="22"/>
        <v>-</v>
      </c>
      <c r="L129">
        <f t="shared" si="30"/>
        <v>120</v>
      </c>
      <c r="M129">
        <f t="shared" ca="1" si="23"/>
        <v>0.16910018602308674</v>
      </c>
      <c r="N129">
        <f t="shared" ca="1" si="24"/>
        <v>-0.48205373744300695</v>
      </c>
      <c r="O129">
        <f t="shared" ca="1" si="25"/>
        <v>0.51085289340064821</v>
      </c>
    </row>
    <row r="130" spans="1:15" x14ac:dyDescent="0.2">
      <c r="A130">
        <f t="shared" si="31"/>
        <v>121</v>
      </c>
      <c r="B130">
        <f t="shared" ca="1" si="18"/>
        <v>0.7583689009407939</v>
      </c>
      <c r="C130">
        <f t="shared" ref="C130:D149" ca="1" si="32">2*RAND()-1</f>
        <v>0.30498600124113739</v>
      </c>
      <c r="D130">
        <f t="shared" ca="1" si="32"/>
        <v>0.97596289141689452</v>
      </c>
      <c r="E130">
        <f t="shared" ca="1" si="19"/>
        <v>0</v>
      </c>
      <c r="F130">
        <f t="shared" si="26"/>
        <v>0.25</v>
      </c>
      <c r="G130">
        <f t="shared" ca="1" si="20"/>
        <v>0</v>
      </c>
      <c r="H130" t="str">
        <f ca="1">IF(G130=1,SUM($G$10:G130),"-")</f>
        <v>-</v>
      </c>
      <c r="I130" t="str">
        <f t="shared" ca="1" si="21"/>
        <v>-</v>
      </c>
      <c r="J130" t="str">
        <f t="shared" ca="1" si="22"/>
        <v>-</v>
      </c>
      <c r="L130">
        <f t="shared" si="30"/>
        <v>121</v>
      </c>
      <c r="M130">
        <f t="shared" ca="1" si="23"/>
        <v>7.5894643643880544E-2</v>
      </c>
      <c r="N130">
        <f t="shared" ca="1" si="24"/>
        <v>-0.47712238716857747</v>
      </c>
      <c r="O130">
        <f t="shared" ca="1" si="25"/>
        <v>0.48312086404053545</v>
      </c>
    </row>
    <row r="131" spans="1:15" x14ac:dyDescent="0.2">
      <c r="A131">
        <f t="shared" si="31"/>
        <v>122</v>
      </c>
      <c r="B131">
        <f t="shared" ca="1" si="18"/>
        <v>0.17568004869198894</v>
      </c>
      <c r="C131">
        <f t="shared" ca="1" si="32"/>
        <v>0.94064018452878129</v>
      </c>
      <c r="D131">
        <f t="shared" ca="1" si="32"/>
        <v>-0.15750496708175099</v>
      </c>
      <c r="E131">
        <f t="shared" ca="1" si="19"/>
        <v>0.31830988618379069</v>
      </c>
      <c r="F131">
        <f t="shared" si="26"/>
        <v>0.25</v>
      </c>
      <c r="G131">
        <f t="shared" ca="1" si="20"/>
        <v>1</v>
      </c>
      <c r="H131">
        <f ca="1">IF(G131=1,SUM($G$10:G131),"-")</f>
        <v>91</v>
      </c>
      <c r="I131">
        <f t="shared" ca="1" si="21"/>
        <v>0.94064018452878129</v>
      </c>
      <c r="J131">
        <f t="shared" ca="1" si="22"/>
        <v>-0.15750496708175099</v>
      </c>
      <c r="L131">
        <f t="shared" si="30"/>
        <v>122</v>
      </c>
      <c r="M131">
        <f t="shared" ca="1" si="23"/>
        <v>-0.40052045094348743</v>
      </c>
      <c r="N131">
        <f t="shared" ca="1" si="24"/>
        <v>0.63113922769514796</v>
      </c>
      <c r="O131">
        <f t="shared" ca="1" si="25"/>
        <v>0.74749806445207756</v>
      </c>
    </row>
    <row r="132" spans="1:15" x14ac:dyDescent="0.2">
      <c r="A132">
        <f t="shared" si="31"/>
        <v>123</v>
      </c>
      <c r="B132">
        <f t="shared" ca="1" si="18"/>
        <v>0.70082894335353574</v>
      </c>
      <c r="C132">
        <f t="shared" ca="1" si="32"/>
        <v>4.2666835760793553E-2</v>
      </c>
      <c r="D132">
        <f t="shared" ca="1" si="32"/>
        <v>0.93338532947966057</v>
      </c>
      <c r="E132">
        <f t="shared" ca="1" si="19"/>
        <v>0.31830988618379069</v>
      </c>
      <c r="F132">
        <f t="shared" si="26"/>
        <v>0.25</v>
      </c>
      <c r="G132">
        <f t="shared" ca="1" si="20"/>
        <v>1</v>
      </c>
      <c r="H132">
        <f ca="1">IF(G132=1,SUM($G$10:G132),"-")</f>
        <v>92</v>
      </c>
      <c r="I132">
        <f t="shared" ca="1" si="21"/>
        <v>4.2666835760793553E-2</v>
      </c>
      <c r="J132">
        <f t="shared" ca="1" si="22"/>
        <v>0.93338532947966057</v>
      </c>
      <c r="L132">
        <f t="shared" si="30"/>
        <v>123</v>
      </c>
      <c r="M132">
        <f t="shared" ca="1" si="23"/>
        <v>-0.49721672456535071</v>
      </c>
      <c r="N132">
        <f t="shared" ca="1" si="24"/>
        <v>-8.1558599339525584E-2</v>
      </c>
      <c r="O132">
        <f t="shared" ca="1" si="25"/>
        <v>0.5038613661650605</v>
      </c>
    </row>
    <row r="133" spans="1:15" x14ac:dyDescent="0.2">
      <c r="A133">
        <f t="shared" si="31"/>
        <v>124</v>
      </c>
      <c r="B133">
        <f t="shared" ca="1" si="18"/>
        <v>0.12339300177367674</v>
      </c>
      <c r="C133">
        <f t="shared" ca="1" si="32"/>
        <v>0.44848007091324904</v>
      </c>
      <c r="D133">
        <f t="shared" ca="1" si="32"/>
        <v>-6.4253654605271882E-2</v>
      </c>
      <c r="E133">
        <f t="shared" ca="1" si="19"/>
        <v>0.31830988618379069</v>
      </c>
      <c r="F133">
        <f t="shared" si="26"/>
        <v>0.25</v>
      </c>
      <c r="G133">
        <f t="shared" ca="1" si="20"/>
        <v>1</v>
      </c>
      <c r="H133">
        <f ca="1">IF(G133=1,SUM($G$10:G133),"-")</f>
        <v>93</v>
      </c>
      <c r="I133">
        <f t="shared" ca="1" si="21"/>
        <v>0.44848007091324904</v>
      </c>
      <c r="J133">
        <f t="shared" ca="1" si="22"/>
        <v>-6.4253654605271882E-2</v>
      </c>
      <c r="L133">
        <f t="shared" si="30"/>
        <v>124</v>
      </c>
      <c r="M133">
        <f t="shared" ca="1" si="23"/>
        <v>-0.68126329069722846</v>
      </c>
      <c r="N133">
        <f t="shared" ca="1" si="24"/>
        <v>-0.64792373731803665</v>
      </c>
      <c r="O133">
        <f t="shared" ca="1" si="25"/>
        <v>0.94017277169240998</v>
      </c>
    </row>
    <row r="134" spans="1:15" x14ac:dyDescent="0.2">
      <c r="A134">
        <f t="shared" si="31"/>
        <v>125</v>
      </c>
      <c r="B134">
        <f t="shared" ca="1" si="18"/>
        <v>3.2877816642143842E-2</v>
      </c>
      <c r="C134">
        <f t="shared" ca="1" si="32"/>
        <v>-0.72742400255878059</v>
      </c>
      <c r="D134">
        <f t="shared" ca="1" si="32"/>
        <v>0.88044167043278576</v>
      </c>
      <c r="E134">
        <f t="shared" ca="1" si="19"/>
        <v>0</v>
      </c>
      <c r="F134">
        <f t="shared" si="26"/>
        <v>0.25</v>
      </c>
      <c r="G134">
        <f t="shared" ca="1" si="20"/>
        <v>0</v>
      </c>
      <c r="H134" t="str">
        <f ca="1">IF(G134=1,SUM($G$10:G134),"-")</f>
        <v>-</v>
      </c>
      <c r="I134" t="str">
        <f t="shared" ca="1" si="21"/>
        <v>-</v>
      </c>
      <c r="J134" t="str">
        <f t="shared" ca="1" si="22"/>
        <v>-</v>
      </c>
      <c r="L134">
        <f t="shared" si="30"/>
        <v>125</v>
      </c>
      <c r="M134">
        <f t="shared" ca="1" si="23"/>
        <v>-8.7006954449523333E-2</v>
      </c>
      <c r="N134">
        <f t="shared" ca="1" si="24"/>
        <v>0.43419560405516666</v>
      </c>
      <c r="O134">
        <f t="shared" ca="1" si="25"/>
        <v>0.44282731702483363</v>
      </c>
    </row>
    <row r="135" spans="1:15" x14ac:dyDescent="0.2">
      <c r="A135">
        <f t="shared" si="31"/>
        <v>126</v>
      </c>
      <c r="B135">
        <f t="shared" ca="1" si="18"/>
        <v>0.13811355716806439</v>
      </c>
      <c r="C135">
        <f t="shared" ca="1" si="32"/>
        <v>0.66688866705534289</v>
      </c>
      <c r="D135">
        <f t="shared" ca="1" si="32"/>
        <v>2.2390061219303981E-3</v>
      </c>
      <c r="E135">
        <f t="shared" ca="1" si="19"/>
        <v>0.31830988618379069</v>
      </c>
      <c r="F135">
        <f t="shared" si="26"/>
        <v>0.25</v>
      </c>
      <c r="G135">
        <f t="shared" ca="1" si="20"/>
        <v>1</v>
      </c>
      <c r="H135">
        <f ca="1">IF(G135=1,SUM($G$10:G135),"-")</f>
        <v>94</v>
      </c>
      <c r="I135">
        <f t="shared" ca="1" si="21"/>
        <v>0.66688866705534289</v>
      </c>
      <c r="J135">
        <f t="shared" ca="1" si="22"/>
        <v>2.2390061219303981E-3</v>
      </c>
      <c r="L135">
        <f t="shared" si="30"/>
        <v>126</v>
      </c>
      <c r="M135">
        <f t="shared" ca="1" si="23"/>
        <v>-0.55980645228139303</v>
      </c>
      <c r="N135">
        <f t="shared" ca="1" si="24"/>
        <v>-0.31788842307128862</v>
      </c>
      <c r="O135">
        <f t="shared" ca="1" si="25"/>
        <v>0.64376728212812284</v>
      </c>
    </row>
    <row r="136" spans="1:15" x14ac:dyDescent="0.2">
      <c r="A136">
        <f t="shared" si="31"/>
        <v>127</v>
      </c>
      <c r="B136">
        <f t="shared" ca="1" si="18"/>
        <v>0.55715182098629268</v>
      </c>
      <c r="C136">
        <f t="shared" ca="1" si="32"/>
        <v>-0.37259452389716752</v>
      </c>
      <c r="D136">
        <f t="shared" ca="1" si="32"/>
        <v>0.10803869397304822</v>
      </c>
      <c r="E136">
        <f t="shared" ca="1" si="19"/>
        <v>0.31830988618379069</v>
      </c>
      <c r="F136">
        <f t="shared" si="26"/>
        <v>0.25</v>
      </c>
      <c r="G136">
        <f t="shared" ca="1" si="20"/>
        <v>1</v>
      </c>
      <c r="H136">
        <f ca="1">IF(G136=1,SUM($G$10:G136),"-")</f>
        <v>95</v>
      </c>
      <c r="I136">
        <f t="shared" ca="1" si="21"/>
        <v>-0.37259452389716752</v>
      </c>
      <c r="J136">
        <f t="shared" ca="1" si="22"/>
        <v>0.10803869397304822</v>
      </c>
      <c r="L136">
        <f t="shared" si="30"/>
        <v>127</v>
      </c>
      <c r="M136">
        <f t="shared" ca="1" si="23"/>
        <v>-0.6300228740179461</v>
      </c>
      <c r="N136">
        <f t="shared" ca="1" si="24"/>
        <v>0.53591321549446058</v>
      </c>
      <c r="O136">
        <f t="shared" ca="1" si="25"/>
        <v>0.82712260054205078</v>
      </c>
    </row>
    <row r="137" spans="1:15" x14ac:dyDescent="0.2">
      <c r="A137">
        <f t="shared" si="31"/>
        <v>128</v>
      </c>
      <c r="B137">
        <f t="shared" ca="1" si="18"/>
        <v>0.28616944146827628</v>
      </c>
      <c r="C137">
        <f t="shared" ca="1" si="32"/>
        <v>0.64506913337908256</v>
      </c>
      <c r="D137">
        <f t="shared" ca="1" si="32"/>
        <v>0.38549167344371682</v>
      </c>
      <c r="E137">
        <f t="shared" ca="1" si="19"/>
        <v>0.31830988618379069</v>
      </c>
      <c r="F137">
        <f t="shared" si="26"/>
        <v>0.25</v>
      </c>
      <c r="G137">
        <f t="shared" ca="1" si="20"/>
        <v>1</v>
      </c>
      <c r="H137">
        <f ca="1">IF(G137=1,SUM($G$10:G137),"-")</f>
        <v>96</v>
      </c>
      <c r="I137">
        <f t="shared" ca="1" si="21"/>
        <v>0.64506913337908256</v>
      </c>
      <c r="J137">
        <f t="shared" ca="1" si="22"/>
        <v>0.38549167344371682</v>
      </c>
      <c r="L137">
        <f t="shared" si="30"/>
        <v>128</v>
      </c>
      <c r="M137">
        <f t="shared" ca="1" si="23"/>
        <v>-0.11564569405856884</v>
      </c>
      <c r="N137">
        <f t="shared" ca="1" si="24"/>
        <v>0.46176770451940663</v>
      </c>
      <c r="O137">
        <f t="shared" ca="1" si="25"/>
        <v>0.47602871708691075</v>
      </c>
    </row>
    <row r="138" spans="1:15" x14ac:dyDescent="0.2">
      <c r="A138">
        <f t="shared" si="31"/>
        <v>129</v>
      </c>
      <c r="B138">
        <f t="shared" ref="B138:B201" ca="1" si="33">RAND()</f>
        <v>0.1505780964541209</v>
      </c>
      <c r="C138">
        <f t="shared" ca="1" si="32"/>
        <v>-0.49030617808703925</v>
      </c>
      <c r="D138">
        <f t="shared" ca="1" si="32"/>
        <v>-5.7842383323584157E-2</v>
      </c>
      <c r="E138">
        <f t="shared" ref="E138:E201" ca="1" si="34">(1/PI())*IF(C138^2+D138^2&lt;=1,1,0)</f>
        <v>0.31830988618379069</v>
      </c>
      <c r="F138">
        <f t="shared" si="26"/>
        <v>0.25</v>
      </c>
      <c r="G138">
        <f t="shared" ref="G138:G201" ca="1" si="35">IF($B$6*B138&lt;=E138/F138,1,0)</f>
        <v>1</v>
      </c>
      <c r="H138">
        <f ca="1">IF(G138=1,SUM($G$10:G138),"-")</f>
        <v>97</v>
      </c>
      <c r="I138">
        <f t="shared" ref="I138:I201" ca="1" si="36">IF($G138,C138,"-")</f>
        <v>-0.49030617808703925</v>
      </c>
      <c r="J138">
        <f t="shared" ref="J138:J201" ca="1" si="37">IF($G138,D138,"-")</f>
        <v>-5.7842383323584157E-2</v>
      </c>
      <c r="L138">
        <f t="shared" si="30"/>
        <v>129</v>
      </c>
      <c r="M138">
        <f t="shared" ref="M138:M201" ca="1" si="38">VLOOKUP(L138,$H$10:$J$687,2,FALSE)</f>
        <v>-0.50428270650601359</v>
      </c>
      <c r="N138">
        <f t="shared" ref="N138:N201" ca="1" si="39">VLOOKUP(L138,$H$10:$J$687,3,FALSE)</f>
        <v>0.42854536707809321</v>
      </c>
      <c r="O138">
        <f t="shared" ref="O138:O201" ca="1" si="40">SQRT(M138^2+N138^2)</f>
        <v>0.66177955523355958</v>
      </c>
    </row>
    <row r="139" spans="1:15" x14ac:dyDescent="0.2">
      <c r="A139">
        <f t="shared" si="31"/>
        <v>130</v>
      </c>
      <c r="B139">
        <f t="shared" ca="1" si="33"/>
        <v>0.79740485010402529</v>
      </c>
      <c r="C139">
        <f t="shared" ca="1" si="32"/>
        <v>0.37272449259903762</v>
      </c>
      <c r="D139">
        <f t="shared" ca="1" si="32"/>
        <v>-0.9819939658394039</v>
      </c>
      <c r="E139">
        <f t="shared" ca="1" si="34"/>
        <v>0</v>
      </c>
      <c r="F139">
        <f t="shared" ref="F139:F202" si="41">1/4</f>
        <v>0.25</v>
      </c>
      <c r="G139">
        <f t="shared" ca="1" si="35"/>
        <v>0</v>
      </c>
      <c r="H139" t="str">
        <f ca="1">IF(G139=1,SUM($G$10:G139),"-")</f>
        <v>-</v>
      </c>
      <c r="I139" t="str">
        <f t="shared" ca="1" si="36"/>
        <v>-</v>
      </c>
      <c r="J139" t="str">
        <f t="shared" ca="1" si="37"/>
        <v>-</v>
      </c>
      <c r="L139">
        <f t="shared" si="30"/>
        <v>130</v>
      </c>
      <c r="M139">
        <f t="shared" ca="1" si="38"/>
        <v>-0.21366854995070339</v>
      </c>
      <c r="N139">
        <f t="shared" ca="1" si="39"/>
        <v>-0.72390907460144072</v>
      </c>
      <c r="O139">
        <f t="shared" ca="1" si="40"/>
        <v>0.75478380846991566</v>
      </c>
    </row>
    <row r="140" spans="1:15" x14ac:dyDescent="0.2">
      <c r="A140">
        <f t="shared" si="31"/>
        <v>131</v>
      </c>
      <c r="B140">
        <f t="shared" ca="1" si="33"/>
        <v>0.38777586941914322</v>
      </c>
      <c r="C140">
        <f t="shared" ca="1" si="32"/>
        <v>-0.43242488849029148</v>
      </c>
      <c r="D140">
        <f t="shared" ca="1" si="32"/>
        <v>-0.68426991987216956</v>
      </c>
      <c r="E140">
        <f t="shared" ca="1" si="34"/>
        <v>0.31830988618379069</v>
      </c>
      <c r="F140">
        <f t="shared" si="41"/>
        <v>0.25</v>
      </c>
      <c r="G140">
        <f t="shared" ca="1" si="35"/>
        <v>1</v>
      </c>
      <c r="H140">
        <f ca="1">IF(G140=1,SUM($G$10:G140),"-")</f>
        <v>98</v>
      </c>
      <c r="I140">
        <f t="shared" ca="1" si="36"/>
        <v>-0.43242488849029148</v>
      </c>
      <c r="J140">
        <f t="shared" ca="1" si="37"/>
        <v>-0.68426991987216956</v>
      </c>
      <c r="L140">
        <f t="shared" si="30"/>
        <v>131</v>
      </c>
      <c r="M140">
        <f t="shared" ca="1" si="38"/>
        <v>-0.71766218606975851</v>
      </c>
      <c r="N140">
        <f t="shared" ca="1" si="39"/>
        <v>-5.860279277971614E-4</v>
      </c>
      <c r="O140">
        <f t="shared" ca="1" si="40"/>
        <v>0.71766242533879177</v>
      </c>
    </row>
    <row r="141" spans="1:15" x14ac:dyDescent="0.2">
      <c r="A141">
        <f t="shared" si="31"/>
        <v>132</v>
      </c>
      <c r="B141">
        <f t="shared" ca="1" si="33"/>
        <v>0.6104548240362152</v>
      </c>
      <c r="C141">
        <f t="shared" ca="1" si="32"/>
        <v>-0.92256423097519358</v>
      </c>
      <c r="D141">
        <f t="shared" ca="1" si="32"/>
        <v>-0.71794183904523345</v>
      </c>
      <c r="E141">
        <f t="shared" ca="1" si="34"/>
        <v>0</v>
      </c>
      <c r="F141">
        <f t="shared" si="41"/>
        <v>0.25</v>
      </c>
      <c r="G141">
        <f t="shared" ca="1" si="35"/>
        <v>0</v>
      </c>
      <c r="H141" t="str">
        <f ca="1">IF(G141=1,SUM($G$10:G141),"-")</f>
        <v>-</v>
      </c>
      <c r="I141" t="str">
        <f t="shared" ca="1" si="36"/>
        <v>-</v>
      </c>
      <c r="J141" t="str">
        <f t="shared" ca="1" si="37"/>
        <v>-</v>
      </c>
      <c r="L141">
        <f t="shared" si="30"/>
        <v>132</v>
      </c>
      <c r="M141">
        <f t="shared" ca="1" si="38"/>
        <v>-0.37298669554306119</v>
      </c>
      <c r="N141">
        <f t="shared" ca="1" si="39"/>
        <v>0.91659890744862005</v>
      </c>
      <c r="O141">
        <f t="shared" ca="1" si="40"/>
        <v>0.9895820492451024</v>
      </c>
    </row>
    <row r="142" spans="1:15" x14ac:dyDescent="0.2">
      <c r="A142">
        <f t="shared" si="31"/>
        <v>133</v>
      </c>
      <c r="B142">
        <f t="shared" ca="1" si="33"/>
        <v>0.3688173533735617</v>
      </c>
      <c r="C142">
        <f t="shared" ca="1" si="32"/>
        <v>-1.71913237750565E-2</v>
      </c>
      <c r="D142">
        <f t="shared" ca="1" si="32"/>
        <v>-0.70206275897042336</v>
      </c>
      <c r="E142">
        <f t="shared" ca="1" si="34"/>
        <v>0.31830988618379069</v>
      </c>
      <c r="F142">
        <f t="shared" si="41"/>
        <v>0.25</v>
      </c>
      <c r="G142">
        <f t="shared" ca="1" si="35"/>
        <v>1</v>
      </c>
      <c r="H142">
        <f ca="1">IF(G142=1,SUM($G$10:G142),"-")</f>
        <v>99</v>
      </c>
      <c r="I142">
        <f t="shared" ca="1" si="36"/>
        <v>-1.71913237750565E-2</v>
      </c>
      <c r="J142">
        <f t="shared" ca="1" si="37"/>
        <v>-0.70206275897042336</v>
      </c>
      <c r="L142">
        <f t="shared" si="30"/>
        <v>133</v>
      </c>
      <c r="M142">
        <f t="shared" ca="1" si="38"/>
        <v>8.7525275417372761E-2</v>
      </c>
      <c r="N142">
        <f t="shared" ca="1" si="39"/>
        <v>0.58800141290422192</v>
      </c>
      <c r="O142">
        <f t="shared" ca="1" si="40"/>
        <v>0.59447988646736249</v>
      </c>
    </row>
    <row r="143" spans="1:15" x14ac:dyDescent="0.2">
      <c r="A143">
        <f t="shared" si="31"/>
        <v>134</v>
      </c>
      <c r="B143">
        <f t="shared" ca="1" si="33"/>
        <v>0.57901420337813259</v>
      </c>
      <c r="C143">
        <f t="shared" ca="1" si="32"/>
        <v>0.31717417852140839</v>
      </c>
      <c r="D143">
        <f t="shared" ca="1" si="32"/>
        <v>-0.27888475169209559</v>
      </c>
      <c r="E143">
        <f t="shared" ca="1" si="34"/>
        <v>0.31830988618379069</v>
      </c>
      <c r="F143">
        <f t="shared" si="41"/>
        <v>0.25</v>
      </c>
      <c r="G143">
        <f t="shared" ca="1" si="35"/>
        <v>1</v>
      </c>
      <c r="H143">
        <f ca="1">IF(G143=1,SUM($G$10:G143),"-")</f>
        <v>100</v>
      </c>
      <c r="I143">
        <f t="shared" ca="1" si="36"/>
        <v>0.31717417852140839</v>
      </c>
      <c r="J143">
        <f t="shared" ca="1" si="37"/>
        <v>-0.27888475169209559</v>
      </c>
      <c r="L143">
        <f t="shared" si="30"/>
        <v>134</v>
      </c>
      <c r="M143">
        <f t="shared" ca="1" si="38"/>
        <v>0.3089066254530568</v>
      </c>
      <c r="N143">
        <f t="shared" ca="1" si="39"/>
        <v>0.21286155414763641</v>
      </c>
      <c r="O143">
        <f t="shared" ca="1" si="40"/>
        <v>0.37514443149664672</v>
      </c>
    </row>
    <row r="144" spans="1:15" x14ac:dyDescent="0.2">
      <c r="A144">
        <f t="shared" si="31"/>
        <v>135</v>
      </c>
      <c r="B144">
        <f t="shared" ca="1" si="33"/>
        <v>0.12772543496115674</v>
      </c>
      <c r="C144">
        <f t="shared" ca="1" si="32"/>
        <v>0.65333740320343359</v>
      </c>
      <c r="D144">
        <f t="shared" ca="1" si="32"/>
        <v>-0.88187004673073632</v>
      </c>
      <c r="E144">
        <f t="shared" ca="1" si="34"/>
        <v>0</v>
      </c>
      <c r="F144">
        <f t="shared" si="41"/>
        <v>0.25</v>
      </c>
      <c r="G144">
        <f t="shared" ca="1" si="35"/>
        <v>0</v>
      </c>
      <c r="H144" t="str">
        <f ca="1">IF(G144=1,SUM($G$10:G144),"-")</f>
        <v>-</v>
      </c>
      <c r="I144" t="str">
        <f t="shared" ca="1" si="36"/>
        <v>-</v>
      </c>
      <c r="J144" t="str">
        <f t="shared" ca="1" si="37"/>
        <v>-</v>
      </c>
      <c r="L144">
        <f t="shared" si="30"/>
        <v>135</v>
      </c>
      <c r="M144">
        <f t="shared" ca="1" si="38"/>
        <v>-0.59437502843849077</v>
      </c>
      <c r="N144">
        <f t="shared" ca="1" si="39"/>
        <v>-0.11145805625478977</v>
      </c>
      <c r="O144">
        <f t="shared" ca="1" si="40"/>
        <v>0.604735126096833</v>
      </c>
    </row>
    <row r="145" spans="1:15" x14ac:dyDescent="0.2">
      <c r="A145">
        <f t="shared" si="31"/>
        <v>136</v>
      </c>
      <c r="B145">
        <f t="shared" ca="1" si="33"/>
        <v>0.19343491675674995</v>
      </c>
      <c r="C145">
        <f t="shared" ca="1" si="32"/>
        <v>0.96155299662070681</v>
      </c>
      <c r="D145">
        <f t="shared" ca="1" si="32"/>
        <v>-0.3028902367729096</v>
      </c>
      <c r="E145">
        <f t="shared" ca="1" si="34"/>
        <v>0</v>
      </c>
      <c r="F145">
        <f t="shared" si="41"/>
        <v>0.25</v>
      </c>
      <c r="G145">
        <f t="shared" ca="1" si="35"/>
        <v>0</v>
      </c>
      <c r="H145" t="str">
        <f ca="1">IF(G145=1,SUM($G$10:G145),"-")</f>
        <v>-</v>
      </c>
      <c r="I145" t="str">
        <f t="shared" ca="1" si="36"/>
        <v>-</v>
      </c>
      <c r="J145" t="str">
        <f t="shared" ca="1" si="37"/>
        <v>-</v>
      </c>
      <c r="L145">
        <f t="shared" si="30"/>
        <v>136</v>
      </c>
      <c r="M145">
        <f t="shared" ca="1" si="38"/>
        <v>-0.49864958375447732</v>
      </c>
      <c r="N145">
        <f t="shared" ca="1" si="39"/>
        <v>-0.42894092289138497</v>
      </c>
      <c r="O145">
        <f t="shared" ca="1" si="40"/>
        <v>0.65775506285351126</v>
      </c>
    </row>
    <row r="146" spans="1:15" x14ac:dyDescent="0.2">
      <c r="A146">
        <f t="shared" si="31"/>
        <v>137</v>
      </c>
      <c r="B146">
        <f t="shared" ca="1" si="33"/>
        <v>0.75256837270133725</v>
      </c>
      <c r="C146">
        <f t="shared" ca="1" si="32"/>
        <v>-0.70246459604924127</v>
      </c>
      <c r="D146">
        <f t="shared" ca="1" si="32"/>
        <v>0.86132296063856129</v>
      </c>
      <c r="E146">
        <f t="shared" ca="1" si="34"/>
        <v>0</v>
      </c>
      <c r="F146">
        <f t="shared" si="41"/>
        <v>0.25</v>
      </c>
      <c r="G146">
        <f t="shared" ca="1" si="35"/>
        <v>0</v>
      </c>
      <c r="H146" t="str">
        <f ca="1">IF(G146=1,SUM($G$10:G146),"-")</f>
        <v>-</v>
      </c>
      <c r="I146" t="str">
        <f t="shared" ca="1" si="36"/>
        <v>-</v>
      </c>
      <c r="J146" t="str">
        <f t="shared" ca="1" si="37"/>
        <v>-</v>
      </c>
      <c r="L146">
        <f t="shared" si="30"/>
        <v>137</v>
      </c>
      <c r="M146">
        <f t="shared" ca="1" si="38"/>
        <v>0.32884515286045768</v>
      </c>
      <c r="N146">
        <f t="shared" ca="1" si="39"/>
        <v>-0.54509462043387491</v>
      </c>
      <c r="O146">
        <f t="shared" ca="1" si="40"/>
        <v>0.63660606326500535</v>
      </c>
    </row>
    <row r="147" spans="1:15" x14ac:dyDescent="0.2">
      <c r="A147">
        <f t="shared" si="31"/>
        <v>138</v>
      </c>
      <c r="B147">
        <f t="shared" ca="1" si="33"/>
        <v>0.21495222750782217</v>
      </c>
      <c r="C147">
        <f t="shared" ca="1" si="32"/>
        <v>0.60745438790598771</v>
      </c>
      <c r="D147">
        <f t="shared" ca="1" si="32"/>
        <v>-0.44971895110153226</v>
      </c>
      <c r="E147">
        <f t="shared" ca="1" si="34"/>
        <v>0.31830988618379069</v>
      </c>
      <c r="F147">
        <f t="shared" si="41"/>
        <v>0.25</v>
      </c>
      <c r="G147">
        <f t="shared" ca="1" si="35"/>
        <v>1</v>
      </c>
      <c r="H147">
        <f ca="1">IF(G147=1,SUM($G$10:G147),"-")</f>
        <v>101</v>
      </c>
      <c r="I147">
        <f t="shared" ca="1" si="36"/>
        <v>0.60745438790598771</v>
      </c>
      <c r="J147">
        <f t="shared" ca="1" si="37"/>
        <v>-0.44971895110153226</v>
      </c>
      <c r="L147">
        <f t="shared" si="30"/>
        <v>138</v>
      </c>
      <c r="M147">
        <f t="shared" ca="1" si="38"/>
        <v>-0.36971981324480652</v>
      </c>
      <c r="N147">
        <f t="shared" ca="1" si="39"/>
        <v>-3.3476868100283941E-3</v>
      </c>
      <c r="O147">
        <f t="shared" ca="1" si="40"/>
        <v>0.36973496901531056</v>
      </c>
    </row>
    <row r="148" spans="1:15" x14ac:dyDescent="0.2">
      <c r="A148">
        <f t="shared" si="31"/>
        <v>139</v>
      </c>
      <c r="B148">
        <f t="shared" ca="1" si="33"/>
        <v>0.54519621170967048</v>
      </c>
      <c r="C148">
        <f t="shared" ca="1" si="32"/>
        <v>-0.53640608859101646</v>
      </c>
      <c r="D148">
        <f t="shared" ca="1" si="32"/>
        <v>0.26332863244717331</v>
      </c>
      <c r="E148">
        <f t="shared" ca="1" si="34"/>
        <v>0.31830988618379069</v>
      </c>
      <c r="F148">
        <f t="shared" si="41"/>
        <v>0.25</v>
      </c>
      <c r="G148">
        <f t="shared" ca="1" si="35"/>
        <v>1</v>
      </c>
      <c r="H148">
        <f ca="1">IF(G148=1,SUM($G$10:G148),"-")</f>
        <v>102</v>
      </c>
      <c r="I148">
        <f t="shared" ca="1" si="36"/>
        <v>-0.53640608859101646</v>
      </c>
      <c r="J148">
        <f t="shared" ca="1" si="37"/>
        <v>0.26332863244717331</v>
      </c>
      <c r="L148">
        <f t="shared" si="30"/>
        <v>139</v>
      </c>
      <c r="M148">
        <f t="shared" ca="1" si="38"/>
        <v>0.12539276380532827</v>
      </c>
      <c r="N148">
        <f t="shared" ca="1" si="39"/>
        <v>-0.81708573708532217</v>
      </c>
      <c r="O148">
        <f t="shared" ca="1" si="40"/>
        <v>0.82665134546736385</v>
      </c>
    </row>
    <row r="149" spans="1:15" x14ac:dyDescent="0.2">
      <c r="A149">
        <f t="shared" si="31"/>
        <v>140</v>
      </c>
      <c r="B149">
        <f t="shared" ca="1" si="33"/>
        <v>0.96096604265434982</v>
      </c>
      <c r="C149">
        <f t="shared" ca="1" si="32"/>
        <v>-0.82906453503987687</v>
      </c>
      <c r="D149">
        <f t="shared" ca="1" si="32"/>
        <v>0.15871833301394478</v>
      </c>
      <c r="E149">
        <f t="shared" ca="1" si="34"/>
        <v>0.31830988618379069</v>
      </c>
      <c r="F149">
        <f t="shared" si="41"/>
        <v>0.25</v>
      </c>
      <c r="G149">
        <f t="shared" ca="1" si="35"/>
        <v>1</v>
      </c>
      <c r="H149">
        <f ca="1">IF(G149=1,SUM($G$10:G149),"-")</f>
        <v>103</v>
      </c>
      <c r="I149">
        <f t="shared" ca="1" si="36"/>
        <v>-0.82906453503987687</v>
      </c>
      <c r="J149">
        <f t="shared" ca="1" si="37"/>
        <v>0.15871833301394478</v>
      </c>
      <c r="L149">
        <f t="shared" si="30"/>
        <v>140</v>
      </c>
      <c r="M149">
        <f t="shared" ca="1" si="38"/>
        <v>-3.241389183488641E-2</v>
      </c>
      <c r="N149">
        <f t="shared" ca="1" si="39"/>
        <v>-0.61191423672753742</v>
      </c>
      <c r="O149">
        <f t="shared" ca="1" si="40"/>
        <v>0.61277213831385025</v>
      </c>
    </row>
    <row r="150" spans="1:15" x14ac:dyDescent="0.2">
      <c r="A150">
        <f t="shared" si="31"/>
        <v>141</v>
      </c>
      <c r="B150">
        <f t="shared" ca="1" si="33"/>
        <v>0.83343525015501041</v>
      </c>
      <c r="C150">
        <f t="shared" ref="C150:D169" ca="1" si="42">2*RAND()-1</f>
        <v>-0.88883051357042842</v>
      </c>
      <c r="D150">
        <f t="shared" ca="1" si="42"/>
        <v>-0.31079953811947303</v>
      </c>
      <c r="E150">
        <f t="shared" ca="1" si="34"/>
        <v>0.31830988618379069</v>
      </c>
      <c r="F150">
        <f t="shared" si="41"/>
        <v>0.25</v>
      </c>
      <c r="G150">
        <f t="shared" ca="1" si="35"/>
        <v>1</v>
      </c>
      <c r="H150">
        <f ca="1">IF(G150=1,SUM($G$10:G150),"-")</f>
        <v>104</v>
      </c>
      <c r="I150">
        <f t="shared" ca="1" si="36"/>
        <v>-0.88883051357042842</v>
      </c>
      <c r="J150">
        <f t="shared" ca="1" si="37"/>
        <v>-0.31079953811947303</v>
      </c>
      <c r="L150">
        <f t="shared" si="30"/>
        <v>141</v>
      </c>
      <c r="M150">
        <f t="shared" ca="1" si="38"/>
        <v>-0.38085805573880882</v>
      </c>
      <c r="N150">
        <f t="shared" ca="1" si="39"/>
        <v>-0.17550780715745584</v>
      </c>
      <c r="O150">
        <f t="shared" ca="1" si="40"/>
        <v>0.41935170083637952</v>
      </c>
    </row>
    <row r="151" spans="1:15" x14ac:dyDescent="0.2">
      <c r="A151">
        <f t="shared" si="31"/>
        <v>142</v>
      </c>
      <c r="B151">
        <f t="shared" ca="1" si="33"/>
        <v>0.82707589671435933</v>
      </c>
      <c r="C151">
        <f t="shared" ca="1" si="42"/>
        <v>-0.23020696219876458</v>
      </c>
      <c r="D151">
        <f t="shared" ca="1" si="42"/>
        <v>-0.37657365095554329</v>
      </c>
      <c r="E151">
        <f t="shared" ca="1" si="34"/>
        <v>0.31830988618379069</v>
      </c>
      <c r="F151">
        <f t="shared" si="41"/>
        <v>0.25</v>
      </c>
      <c r="G151">
        <f t="shared" ca="1" si="35"/>
        <v>1</v>
      </c>
      <c r="H151">
        <f ca="1">IF(G151=1,SUM($G$10:G151),"-")</f>
        <v>105</v>
      </c>
      <c r="I151">
        <f t="shared" ca="1" si="36"/>
        <v>-0.23020696219876458</v>
      </c>
      <c r="J151">
        <f t="shared" ca="1" si="37"/>
        <v>-0.37657365095554329</v>
      </c>
      <c r="L151">
        <f t="shared" si="30"/>
        <v>142</v>
      </c>
      <c r="M151">
        <f t="shared" ca="1" si="38"/>
        <v>-0.14922141115602106</v>
      </c>
      <c r="N151">
        <f t="shared" ca="1" si="39"/>
        <v>0.56363441207718457</v>
      </c>
      <c r="O151">
        <f t="shared" ca="1" si="40"/>
        <v>0.58305298217656665</v>
      </c>
    </row>
    <row r="152" spans="1:15" x14ac:dyDescent="0.2">
      <c r="A152">
        <f t="shared" si="31"/>
        <v>143</v>
      </c>
      <c r="B152">
        <f t="shared" ca="1" si="33"/>
        <v>0.22205786137968364</v>
      </c>
      <c r="C152">
        <f t="shared" ca="1" si="42"/>
        <v>-0.65781306306629461</v>
      </c>
      <c r="D152">
        <f t="shared" ca="1" si="42"/>
        <v>-0.41642636789932785</v>
      </c>
      <c r="E152">
        <f t="shared" ca="1" si="34"/>
        <v>0.31830988618379069</v>
      </c>
      <c r="F152">
        <f t="shared" si="41"/>
        <v>0.25</v>
      </c>
      <c r="G152">
        <f t="shared" ca="1" si="35"/>
        <v>1</v>
      </c>
      <c r="H152">
        <f ca="1">IF(G152=1,SUM($G$10:G152),"-")</f>
        <v>106</v>
      </c>
      <c r="I152">
        <f t="shared" ca="1" si="36"/>
        <v>-0.65781306306629461</v>
      </c>
      <c r="J152">
        <f t="shared" ca="1" si="37"/>
        <v>-0.41642636789932785</v>
      </c>
      <c r="L152">
        <f t="shared" si="30"/>
        <v>143</v>
      </c>
      <c r="M152">
        <f t="shared" ca="1" si="38"/>
        <v>-0.75465871537984941</v>
      </c>
      <c r="N152">
        <f t="shared" ca="1" si="39"/>
        <v>0.4963124989304244</v>
      </c>
      <c r="O152">
        <f t="shared" ca="1" si="40"/>
        <v>0.903236333023272</v>
      </c>
    </row>
    <row r="153" spans="1:15" x14ac:dyDescent="0.2">
      <c r="A153">
        <f t="shared" si="31"/>
        <v>144</v>
      </c>
      <c r="B153">
        <f t="shared" ca="1" si="33"/>
        <v>0.95978742402533213</v>
      </c>
      <c r="C153">
        <f t="shared" ca="1" si="42"/>
        <v>-2.9460280802771077E-2</v>
      </c>
      <c r="D153">
        <f t="shared" ca="1" si="42"/>
        <v>0.95382363584982022</v>
      </c>
      <c r="E153">
        <f t="shared" ca="1" si="34"/>
        <v>0.31830988618379069</v>
      </c>
      <c r="F153">
        <f t="shared" si="41"/>
        <v>0.25</v>
      </c>
      <c r="G153">
        <f t="shared" ca="1" si="35"/>
        <v>1</v>
      </c>
      <c r="H153">
        <f ca="1">IF(G153=1,SUM($G$10:G153),"-")</f>
        <v>107</v>
      </c>
      <c r="I153">
        <f t="shared" ca="1" si="36"/>
        <v>-2.9460280802771077E-2</v>
      </c>
      <c r="J153">
        <f t="shared" ca="1" si="37"/>
        <v>0.95382363584982022</v>
      </c>
      <c r="L153">
        <f t="shared" si="30"/>
        <v>144</v>
      </c>
      <c r="M153">
        <f t="shared" ca="1" si="38"/>
        <v>0.61727525880150891</v>
      </c>
      <c r="N153">
        <f t="shared" ca="1" si="39"/>
        <v>0.61305902410404123</v>
      </c>
      <c r="O153">
        <f t="shared" ca="1" si="40"/>
        <v>0.86998282291311313</v>
      </c>
    </row>
    <row r="154" spans="1:15" x14ac:dyDescent="0.2">
      <c r="A154">
        <f t="shared" si="31"/>
        <v>145</v>
      </c>
      <c r="B154">
        <f t="shared" ca="1" si="33"/>
        <v>0.65359638982890433</v>
      </c>
      <c r="C154">
        <f t="shared" ca="1" si="42"/>
        <v>-0.29038103046032893</v>
      </c>
      <c r="D154">
        <f t="shared" ca="1" si="42"/>
        <v>-0.11509772312467481</v>
      </c>
      <c r="E154">
        <f t="shared" ca="1" si="34"/>
        <v>0.31830988618379069</v>
      </c>
      <c r="F154">
        <f t="shared" si="41"/>
        <v>0.25</v>
      </c>
      <c r="G154">
        <f t="shared" ca="1" si="35"/>
        <v>1</v>
      </c>
      <c r="H154">
        <f ca="1">IF(G154=1,SUM($G$10:G154),"-")</f>
        <v>108</v>
      </c>
      <c r="I154">
        <f t="shared" ca="1" si="36"/>
        <v>-0.29038103046032893</v>
      </c>
      <c r="J154">
        <f t="shared" ca="1" si="37"/>
        <v>-0.11509772312467481</v>
      </c>
      <c r="L154">
        <f t="shared" si="30"/>
        <v>145</v>
      </c>
      <c r="M154">
        <f t="shared" ca="1" si="38"/>
        <v>0.22192801710324672</v>
      </c>
      <c r="N154">
        <f t="shared" ca="1" si="39"/>
        <v>-0.66082676176526056</v>
      </c>
      <c r="O154">
        <f t="shared" ca="1" si="40"/>
        <v>0.69709687550622357</v>
      </c>
    </row>
    <row r="155" spans="1:15" x14ac:dyDescent="0.2">
      <c r="A155">
        <f t="shared" si="31"/>
        <v>146</v>
      </c>
      <c r="B155">
        <f t="shared" ca="1" si="33"/>
        <v>0.16254577554274274</v>
      </c>
      <c r="C155">
        <f t="shared" ca="1" si="42"/>
        <v>-0.89120778823232105</v>
      </c>
      <c r="D155">
        <f t="shared" ca="1" si="42"/>
        <v>0.35881627578090125</v>
      </c>
      <c r="E155">
        <f t="shared" ca="1" si="34"/>
        <v>0.31830988618379069</v>
      </c>
      <c r="F155">
        <f t="shared" si="41"/>
        <v>0.25</v>
      </c>
      <c r="G155">
        <f t="shared" ca="1" si="35"/>
        <v>1</v>
      </c>
      <c r="H155">
        <f ca="1">IF(G155=1,SUM($G$10:G155),"-")</f>
        <v>109</v>
      </c>
      <c r="I155">
        <f t="shared" ca="1" si="36"/>
        <v>-0.89120778823232105</v>
      </c>
      <c r="J155">
        <f t="shared" ca="1" si="37"/>
        <v>0.35881627578090125</v>
      </c>
      <c r="L155">
        <f t="shared" si="30"/>
        <v>146</v>
      </c>
      <c r="M155">
        <f t="shared" ca="1" si="38"/>
        <v>2.4864567483524169E-2</v>
      </c>
      <c r="N155">
        <f t="shared" ca="1" si="39"/>
        <v>0.19302185276550299</v>
      </c>
      <c r="O155">
        <f t="shared" ca="1" si="40"/>
        <v>0.194616757657634</v>
      </c>
    </row>
    <row r="156" spans="1:15" x14ac:dyDescent="0.2">
      <c r="A156">
        <f t="shared" si="31"/>
        <v>147</v>
      </c>
      <c r="B156">
        <f t="shared" ca="1" si="33"/>
        <v>0.15045168668301889</v>
      </c>
      <c r="C156">
        <f t="shared" ca="1" si="42"/>
        <v>0.99297441819630472</v>
      </c>
      <c r="D156">
        <f t="shared" ca="1" si="42"/>
        <v>0.5322817231046526</v>
      </c>
      <c r="E156">
        <f t="shared" ca="1" si="34"/>
        <v>0</v>
      </c>
      <c r="F156">
        <f t="shared" si="41"/>
        <v>0.25</v>
      </c>
      <c r="G156">
        <f t="shared" ca="1" si="35"/>
        <v>0</v>
      </c>
      <c r="H156" t="str">
        <f ca="1">IF(G156=1,SUM($G$10:G156),"-")</f>
        <v>-</v>
      </c>
      <c r="I156" t="str">
        <f t="shared" ca="1" si="36"/>
        <v>-</v>
      </c>
      <c r="J156" t="str">
        <f t="shared" ca="1" si="37"/>
        <v>-</v>
      </c>
      <c r="L156">
        <f t="shared" si="30"/>
        <v>147</v>
      </c>
      <c r="M156">
        <f t="shared" ca="1" si="38"/>
        <v>0.55209653348238996</v>
      </c>
      <c r="N156">
        <f t="shared" ca="1" si="39"/>
        <v>7.3949849191701222E-2</v>
      </c>
      <c r="O156">
        <f t="shared" ca="1" si="40"/>
        <v>0.55702707517565708</v>
      </c>
    </row>
    <row r="157" spans="1:15" x14ac:dyDescent="0.2">
      <c r="A157">
        <f t="shared" si="31"/>
        <v>148</v>
      </c>
      <c r="B157">
        <f t="shared" ca="1" si="33"/>
        <v>0.84362771286182126</v>
      </c>
      <c r="C157">
        <f t="shared" ca="1" si="42"/>
        <v>-0.61111064056696796</v>
      </c>
      <c r="D157">
        <f t="shared" ca="1" si="42"/>
        <v>0.61074712055843206</v>
      </c>
      <c r="E157">
        <f t="shared" ca="1" si="34"/>
        <v>0.31830988618379069</v>
      </c>
      <c r="F157">
        <f t="shared" si="41"/>
        <v>0.25</v>
      </c>
      <c r="G157">
        <f t="shared" ca="1" si="35"/>
        <v>1</v>
      </c>
      <c r="H157">
        <f ca="1">IF(G157=1,SUM($G$10:G157),"-")</f>
        <v>110</v>
      </c>
      <c r="I157">
        <f t="shared" ca="1" si="36"/>
        <v>-0.61111064056696796</v>
      </c>
      <c r="J157">
        <f t="shared" ca="1" si="37"/>
        <v>0.61074712055843206</v>
      </c>
      <c r="L157">
        <f t="shared" si="30"/>
        <v>148</v>
      </c>
      <c r="M157">
        <f t="shared" ca="1" si="38"/>
        <v>0.69896923001006006</v>
      </c>
      <c r="N157">
        <f t="shared" ca="1" si="39"/>
        <v>0.26438442563156683</v>
      </c>
      <c r="O157">
        <f t="shared" ca="1" si="40"/>
        <v>0.74729987890898908</v>
      </c>
    </row>
    <row r="158" spans="1:15" x14ac:dyDescent="0.2">
      <c r="A158">
        <f t="shared" si="31"/>
        <v>149</v>
      </c>
      <c r="B158">
        <f t="shared" ca="1" si="33"/>
        <v>0.68103377022666944</v>
      </c>
      <c r="C158">
        <f t="shared" ca="1" si="42"/>
        <v>0.61350101424429448</v>
      </c>
      <c r="D158">
        <f t="shared" ca="1" si="42"/>
        <v>-0.53590978411301893</v>
      </c>
      <c r="E158">
        <f t="shared" ca="1" si="34"/>
        <v>0.31830988618379069</v>
      </c>
      <c r="F158">
        <f t="shared" si="41"/>
        <v>0.25</v>
      </c>
      <c r="G158">
        <f t="shared" ca="1" si="35"/>
        <v>1</v>
      </c>
      <c r="H158">
        <f ca="1">IF(G158=1,SUM($G$10:G158),"-")</f>
        <v>111</v>
      </c>
      <c r="I158">
        <f t="shared" ca="1" si="36"/>
        <v>0.61350101424429448</v>
      </c>
      <c r="J158">
        <f t="shared" ca="1" si="37"/>
        <v>-0.53590978411301893</v>
      </c>
      <c r="L158">
        <f t="shared" si="30"/>
        <v>149</v>
      </c>
      <c r="M158">
        <f t="shared" ca="1" si="38"/>
        <v>0.82833849757509048</v>
      </c>
      <c r="N158">
        <f t="shared" ca="1" si="39"/>
        <v>0.35696571315822045</v>
      </c>
      <c r="O158">
        <f t="shared" ca="1" si="40"/>
        <v>0.9019807020859788</v>
      </c>
    </row>
    <row r="159" spans="1:15" x14ac:dyDescent="0.2">
      <c r="A159">
        <f t="shared" si="31"/>
        <v>150</v>
      </c>
      <c r="B159">
        <f t="shared" ca="1" si="33"/>
        <v>0.87056117300037783</v>
      </c>
      <c r="C159">
        <f t="shared" ca="1" si="42"/>
        <v>0.23158214651098663</v>
      </c>
      <c r="D159">
        <f t="shared" ca="1" si="42"/>
        <v>0.96214814176377916</v>
      </c>
      <c r="E159">
        <f t="shared" ca="1" si="34"/>
        <v>0.31830988618379069</v>
      </c>
      <c r="F159">
        <f t="shared" si="41"/>
        <v>0.25</v>
      </c>
      <c r="G159">
        <f t="shared" ca="1" si="35"/>
        <v>1</v>
      </c>
      <c r="H159">
        <f ca="1">IF(G159=1,SUM($G$10:G159),"-")</f>
        <v>112</v>
      </c>
      <c r="I159">
        <f t="shared" ca="1" si="36"/>
        <v>0.23158214651098663</v>
      </c>
      <c r="J159">
        <f t="shared" ca="1" si="37"/>
        <v>0.96214814176377916</v>
      </c>
      <c r="L159">
        <f t="shared" si="30"/>
        <v>150</v>
      </c>
      <c r="M159">
        <f t="shared" ca="1" si="38"/>
        <v>0.58081469436696564</v>
      </c>
      <c r="N159">
        <f t="shared" ca="1" si="39"/>
        <v>-0.52428791329457747</v>
      </c>
      <c r="O159">
        <f t="shared" ca="1" si="40"/>
        <v>0.78244713892976447</v>
      </c>
    </row>
    <row r="160" spans="1:15" x14ac:dyDescent="0.2">
      <c r="A160">
        <f t="shared" si="31"/>
        <v>151</v>
      </c>
      <c r="B160">
        <f t="shared" ca="1" si="33"/>
        <v>0.48122047584820915</v>
      </c>
      <c r="C160">
        <f t="shared" ca="1" si="42"/>
        <v>0.20140536968586953</v>
      </c>
      <c r="D160">
        <f t="shared" ca="1" si="42"/>
        <v>0.14014360437136886</v>
      </c>
      <c r="E160">
        <f t="shared" ca="1" si="34"/>
        <v>0.31830988618379069</v>
      </c>
      <c r="F160">
        <f t="shared" si="41"/>
        <v>0.25</v>
      </c>
      <c r="G160">
        <f t="shared" ca="1" si="35"/>
        <v>1</v>
      </c>
      <c r="H160">
        <f ca="1">IF(G160=1,SUM($G$10:G160),"-")</f>
        <v>113</v>
      </c>
      <c r="I160">
        <f t="shared" ca="1" si="36"/>
        <v>0.20140536968586953</v>
      </c>
      <c r="J160">
        <f t="shared" ca="1" si="37"/>
        <v>0.14014360437136886</v>
      </c>
      <c r="L160">
        <f t="shared" si="30"/>
        <v>151</v>
      </c>
      <c r="M160">
        <f t="shared" ca="1" si="38"/>
        <v>-0.28652288580614926</v>
      </c>
      <c r="N160">
        <f t="shared" ca="1" si="39"/>
        <v>-0.93599320034367728</v>
      </c>
      <c r="O160">
        <f t="shared" ca="1" si="40"/>
        <v>0.97886599449581591</v>
      </c>
    </row>
    <row r="161" spans="1:15" x14ac:dyDescent="0.2">
      <c r="A161">
        <f t="shared" si="31"/>
        <v>152</v>
      </c>
      <c r="B161">
        <f t="shared" ca="1" si="33"/>
        <v>0.28431205030964568</v>
      </c>
      <c r="C161">
        <f t="shared" ca="1" si="42"/>
        <v>0.27407722075338525</v>
      </c>
      <c r="D161">
        <f t="shared" ca="1" si="42"/>
        <v>-2.0396140674767027E-2</v>
      </c>
      <c r="E161">
        <f t="shared" ca="1" si="34"/>
        <v>0.31830988618379069</v>
      </c>
      <c r="F161">
        <f t="shared" si="41"/>
        <v>0.25</v>
      </c>
      <c r="G161">
        <f t="shared" ca="1" si="35"/>
        <v>1</v>
      </c>
      <c r="H161">
        <f ca="1">IF(G161=1,SUM($G$10:G161),"-")</f>
        <v>114</v>
      </c>
      <c r="I161">
        <f t="shared" ca="1" si="36"/>
        <v>0.27407722075338525</v>
      </c>
      <c r="J161">
        <f t="shared" ca="1" si="37"/>
        <v>-2.0396140674767027E-2</v>
      </c>
      <c r="L161">
        <f t="shared" si="30"/>
        <v>152</v>
      </c>
      <c r="M161">
        <f t="shared" ca="1" si="38"/>
        <v>0.17621913362156327</v>
      </c>
      <c r="N161">
        <f t="shared" ca="1" si="39"/>
        <v>-0.24138576078721785</v>
      </c>
      <c r="O161">
        <f t="shared" ca="1" si="40"/>
        <v>0.29886496710915839</v>
      </c>
    </row>
    <row r="162" spans="1:15" x14ac:dyDescent="0.2">
      <c r="A162">
        <f t="shared" si="31"/>
        <v>153</v>
      </c>
      <c r="B162">
        <f t="shared" ca="1" si="33"/>
        <v>0.62161626679879811</v>
      </c>
      <c r="C162">
        <f t="shared" ca="1" si="42"/>
        <v>0.68228090741344283</v>
      </c>
      <c r="D162">
        <f t="shared" ca="1" si="42"/>
        <v>0.9690773784566582</v>
      </c>
      <c r="E162">
        <f t="shared" ca="1" si="34"/>
        <v>0</v>
      </c>
      <c r="F162">
        <f t="shared" si="41"/>
        <v>0.25</v>
      </c>
      <c r="G162">
        <f t="shared" ca="1" si="35"/>
        <v>0</v>
      </c>
      <c r="H162" t="str">
        <f ca="1">IF(G162=1,SUM($G$10:G162),"-")</f>
        <v>-</v>
      </c>
      <c r="I162" t="str">
        <f t="shared" ca="1" si="36"/>
        <v>-</v>
      </c>
      <c r="J162" t="str">
        <f t="shared" ca="1" si="37"/>
        <v>-</v>
      </c>
      <c r="L162">
        <f t="shared" si="30"/>
        <v>153</v>
      </c>
      <c r="M162">
        <f t="shared" ca="1" si="38"/>
        <v>0.44332888634397505</v>
      </c>
      <c r="N162">
        <f t="shared" ca="1" si="39"/>
        <v>-0.53624282595685102</v>
      </c>
      <c r="O162">
        <f t="shared" ca="1" si="40"/>
        <v>0.69577070206870506</v>
      </c>
    </row>
    <row r="163" spans="1:15" x14ac:dyDescent="0.2">
      <c r="A163">
        <f t="shared" si="31"/>
        <v>154</v>
      </c>
      <c r="B163">
        <f t="shared" ca="1" si="33"/>
        <v>0.77135918120553049</v>
      </c>
      <c r="C163">
        <f t="shared" ca="1" si="42"/>
        <v>-0.72793995650205456</v>
      </c>
      <c r="D163">
        <f t="shared" ca="1" si="42"/>
        <v>0.35195253830667039</v>
      </c>
      <c r="E163">
        <f t="shared" ca="1" si="34"/>
        <v>0.31830988618379069</v>
      </c>
      <c r="F163">
        <f t="shared" si="41"/>
        <v>0.25</v>
      </c>
      <c r="G163">
        <f t="shared" ca="1" si="35"/>
        <v>1</v>
      </c>
      <c r="H163">
        <f ca="1">IF(G163=1,SUM($G$10:G163),"-")</f>
        <v>115</v>
      </c>
      <c r="I163">
        <f t="shared" ca="1" si="36"/>
        <v>-0.72793995650205456</v>
      </c>
      <c r="J163">
        <f t="shared" ca="1" si="37"/>
        <v>0.35195253830667039</v>
      </c>
      <c r="L163">
        <f t="shared" si="30"/>
        <v>154</v>
      </c>
      <c r="M163">
        <f t="shared" ca="1" si="38"/>
        <v>0.20058823610511478</v>
      </c>
      <c r="N163">
        <f t="shared" ca="1" si="39"/>
        <v>0.3193714693606089</v>
      </c>
      <c r="O163">
        <f t="shared" ca="1" si="40"/>
        <v>0.37713893448610636</v>
      </c>
    </row>
    <row r="164" spans="1:15" x14ac:dyDescent="0.2">
      <c r="A164">
        <f t="shared" si="31"/>
        <v>155</v>
      </c>
      <c r="B164">
        <f t="shared" ca="1" si="33"/>
        <v>0.77141103234400776</v>
      </c>
      <c r="C164">
        <f t="shared" ca="1" si="42"/>
        <v>-0.94099621490204277</v>
      </c>
      <c r="D164">
        <f t="shared" ca="1" si="42"/>
        <v>0.55102999607206837</v>
      </c>
      <c r="E164">
        <f t="shared" ca="1" si="34"/>
        <v>0</v>
      </c>
      <c r="F164">
        <f t="shared" si="41"/>
        <v>0.25</v>
      </c>
      <c r="G164">
        <f t="shared" ca="1" si="35"/>
        <v>0</v>
      </c>
      <c r="H164" t="str">
        <f ca="1">IF(G164=1,SUM($G$10:G164),"-")</f>
        <v>-</v>
      </c>
      <c r="I164" t="str">
        <f t="shared" ca="1" si="36"/>
        <v>-</v>
      </c>
      <c r="J164" t="str">
        <f t="shared" ca="1" si="37"/>
        <v>-</v>
      </c>
      <c r="L164">
        <f t="shared" ref="L164:L227" si="43">1+L163</f>
        <v>155</v>
      </c>
      <c r="M164">
        <f t="shared" ca="1" si="38"/>
        <v>-0.11531642407258302</v>
      </c>
      <c r="N164">
        <f t="shared" ca="1" si="39"/>
        <v>0.71045804389276701</v>
      </c>
      <c r="O164">
        <f t="shared" ca="1" si="40"/>
        <v>0.71975586818922477</v>
      </c>
    </row>
    <row r="165" spans="1:15" x14ac:dyDescent="0.2">
      <c r="A165">
        <f t="shared" si="31"/>
        <v>156</v>
      </c>
      <c r="B165">
        <f t="shared" ca="1" si="33"/>
        <v>0.46748510402118604</v>
      </c>
      <c r="C165">
        <f t="shared" ca="1" si="42"/>
        <v>-0.54521479465473677</v>
      </c>
      <c r="D165">
        <f t="shared" ca="1" si="42"/>
        <v>0.48439403336276365</v>
      </c>
      <c r="E165">
        <f t="shared" ca="1" si="34"/>
        <v>0.31830988618379069</v>
      </c>
      <c r="F165">
        <f t="shared" si="41"/>
        <v>0.25</v>
      </c>
      <c r="G165">
        <f t="shared" ca="1" si="35"/>
        <v>1</v>
      </c>
      <c r="H165">
        <f ca="1">IF(G165=1,SUM($G$10:G165),"-")</f>
        <v>116</v>
      </c>
      <c r="I165">
        <f t="shared" ca="1" si="36"/>
        <v>-0.54521479465473677</v>
      </c>
      <c r="J165">
        <f t="shared" ca="1" si="37"/>
        <v>0.48439403336276365</v>
      </c>
      <c r="L165">
        <f t="shared" si="43"/>
        <v>156</v>
      </c>
      <c r="M165">
        <f t="shared" ca="1" si="38"/>
        <v>0.21062698331727536</v>
      </c>
      <c r="N165">
        <f t="shared" ca="1" si="39"/>
        <v>-0.66744167378325248</v>
      </c>
      <c r="O165">
        <f t="shared" ca="1" si="40"/>
        <v>0.69988721520251063</v>
      </c>
    </row>
    <row r="166" spans="1:15" x14ac:dyDescent="0.2">
      <c r="A166">
        <f t="shared" si="31"/>
        <v>157</v>
      </c>
      <c r="B166">
        <f t="shared" ca="1" si="33"/>
        <v>0.68563034022422986</v>
      </c>
      <c r="C166">
        <f t="shared" ca="1" si="42"/>
        <v>0.68557328551252761</v>
      </c>
      <c r="D166">
        <f t="shared" ca="1" si="42"/>
        <v>0.13532450957471354</v>
      </c>
      <c r="E166">
        <f t="shared" ca="1" si="34"/>
        <v>0.31830988618379069</v>
      </c>
      <c r="F166">
        <f t="shared" si="41"/>
        <v>0.25</v>
      </c>
      <c r="G166">
        <f t="shared" ca="1" si="35"/>
        <v>1</v>
      </c>
      <c r="H166">
        <f ca="1">IF(G166=1,SUM($G$10:G166),"-")</f>
        <v>117</v>
      </c>
      <c r="I166">
        <f t="shared" ca="1" si="36"/>
        <v>0.68557328551252761</v>
      </c>
      <c r="J166">
        <f t="shared" ca="1" si="37"/>
        <v>0.13532450957471354</v>
      </c>
      <c r="L166">
        <f t="shared" si="43"/>
        <v>157</v>
      </c>
      <c r="M166">
        <f t="shared" ca="1" si="38"/>
        <v>0.65182486951935426</v>
      </c>
      <c r="N166">
        <f t="shared" ca="1" si="39"/>
        <v>-0.44473915282220822</v>
      </c>
      <c r="O166">
        <f t="shared" ca="1" si="40"/>
        <v>0.78909351446893716</v>
      </c>
    </row>
    <row r="167" spans="1:15" x14ac:dyDescent="0.2">
      <c r="A167">
        <f t="shared" si="31"/>
        <v>158</v>
      </c>
      <c r="B167">
        <f t="shared" ca="1" si="33"/>
        <v>0.36268669964875622</v>
      </c>
      <c r="C167">
        <f t="shared" ca="1" si="42"/>
        <v>0.59756211716899399</v>
      </c>
      <c r="D167">
        <f t="shared" ca="1" si="42"/>
        <v>0.62895993311040455</v>
      </c>
      <c r="E167">
        <f t="shared" ca="1" si="34"/>
        <v>0.31830988618379069</v>
      </c>
      <c r="F167">
        <f t="shared" si="41"/>
        <v>0.25</v>
      </c>
      <c r="G167">
        <f t="shared" ca="1" si="35"/>
        <v>1</v>
      </c>
      <c r="H167">
        <f ca="1">IF(G167=1,SUM($G$10:G167),"-")</f>
        <v>118</v>
      </c>
      <c r="I167">
        <f t="shared" ca="1" si="36"/>
        <v>0.59756211716899399</v>
      </c>
      <c r="J167">
        <f t="shared" ca="1" si="37"/>
        <v>0.62895993311040455</v>
      </c>
      <c r="L167">
        <f t="shared" si="43"/>
        <v>158</v>
      </c>
      <c r="M167">
        <f t="shared" ca="1" si="38"/>
        <v>-0.6452460436053653</v>
      </c>
      <c r="N167">
        <f t="shared" ca="1" si="39"/>
        <v>-0.73711727095095791</v>
      </c>
      <c r="O167">
        <f t="shared" ca="1" si="40"/>
        <v>0.97963479313597512</v>
      </c>
    </row>
    <row r="168" spans="1:15" x14ac:dyDescent="0.2">
      <c r="A168">
        <f t="shared" si="31"/>
        <v>159</v>
      </c>
      <c r="B168">
        <f t="shared" ca="1" si="33"/>
        <v>0.73576961000743468</v>
      </c>
      <c r="C168">
        <f t="shared" ca="1" si="42"/>
        <v>0.51665231540486611</v>
      </c>
      <c r="D168">
        <f t="shared" ca="1" si="42"/>
        <v>-0.71338701187026765</v>
      </c>
      <c r="E168">
        <f t="shared" ca="1" si="34"/>
        <v>0.31830988618379069</v>
      </c>
      <c r="F168">
        <f t="shared" si="41"/>
        <v>0.25</v>
      </c>
      <c r="G168">
        <f t="shared" ca="1" si="35"/>
        <v>1</v>
      </c>
      <c r="H168">
        <f ca="1">IF(G168=1,SUM($G$10:G168),"-")</f>
        <v>119</v>
      </c>
      <c r="I168">
        <f t="shared" ca="1" si="36"/>
        <v>0.51665231540486611</v>
      </c>
      <c r="J168">
        <f t="shared" ca="1" si="37"/>
        <v>-0.71338701187026765</v>
      </c>
      <c r="L168">
        <f t="shared" si="43"/>
        <v>159</v>
      </c>
      <c r="M168">
        <f t="shared" ca="1" si="38"/>
        <v>-0.83797510353540661</v>
      </c>
      <c r="N168">
        <f t="shared" ca="1" si="39"/>
        <v>0.46087793173755509</v>
      </c>
      <c r="O168">
        <f t="shared" ca="1" si="40"/>
        <v>0.95635283348137889</v>
      </c>
    </row>
    <row r="169" spans="1:15" x14ac:dyDescent="0.2">
      <c r="A169">
        <f t="shared" si="31"/>
        <v>160</v>
      </c>
      <c r="B169">
        <f t="shared" ca="1" si="33"/>
        <v>0.6276158090509204</v>
      </c>
      <c r="C169">
        <f t="shared" ca="1" si="42"/>
        <v>0.57827525310200323</v>
      </c>
      <c r="D169">
        <f t="shared" ca="1" si="42"/>
        <v>-0.9727278998917821</v>
      </c>
      <c r="E169">
        <f t="shared" ca="1" si="34"/>
        <v>0</v>
      </c>
      <c r="F169">
        <f t="shared" si="41"/>
        <v>0.25</v>
      </c>
      <c r="G169">
        <f t="shared" ca="1" si="35"/>
        <v>0</v>
      </c>
      <c r="H169" t="str">
        <f ca="1">IF(G169=1,SUM($G$10:G169),"-")</f>
        <v>-</v>
      </c>
      <c r="I169" t="str">
        <f t="shared" ca="1" si="36"/>
        <v>-</v>
      </c>
      <c r="J169" t="str">
        <f t="shared" ca="1" si="37"/>
        <v>-</v>
      </c>
      <c r="L169">
        <f t="shared" si="43"/>
        <v>160</v>
      </c>
      <c r="M169">
        <f t="shared" ca="1" si="38"/>
        <v>0.47185147847338405</v>
      </c>
      <c r="N169">
        <f t="shared" ca="1" si="39"/>
        <v>-0.48576126600838632</v>
      </c>
      <c r="O169">
        <f t="shared" ca="1" si="40"/>
        <v>0.67720589578915269</v>
      </c>
    </row>
    <row r="170" spans="1:15" x14ac:dyDescent="0.2">
      <c r="A170">
        <f t="shared" si="31"/>
        <v>161</v>
      </c>
      <c r="B170">
        <f t="shared" ca="1" si="33"/>
        <v>0.8831814269919509</v>
      </c>
      <c r="C170">
        <f t="shared" ref="C170:D189" ca="1" si="44">2*RAND()-1</f>
        <v>0.16910018602308674</v>
      </c>
      <c r="D170">
        <f t="shared" ca="1" si="44"/>
        <v>-0.48205373744300695</v>
      </c>
      <c r="E170">
        <f t="shared" ca="1" si="34"/>
        <v>0.31830988618379069</v>
      </c>
      <c r="F170">
        <f t="shared" si="41"/>
        <v>0.25</v>
      </c>
      <c r="G170">
        <f t="shared" ca="1" si="35"/>
        <v>1</v>
      </c>
      <c r="H170">
        <f ca="1">IF(G170=1,SUM($G$10:G170),"-")</f>
        <v>120</v>
      </c>
      <c r="I170">
        <f t="shared" ca="1" si="36"/>
        <v>0.16910018602308674</v>
      </c>
      <c r="J170">
        <f t="shared" ca="1" si="37"/>
        <v>-0.48205373744300695</v>
      </c>
      <c r="L170">
        <f t="shared" si="43"/>
        <v>161</v>
      </c>
      <c r="M170">
        <f t="shared" ca="1" si="38"/>
        <v>-0.40027816487250045</v>
      </c>
      <c r="N170">
        <f t="shared" ca="1" si="39"/>
        <v>0.68274334596230846</v>
      </c>
      <c r="O170">
        <f t="shared" ca="1" si="40"/>
        <v>0.79142977308760953</v>
      </c>
    </row>
    <row r="171" spans="1:15" x14ac:dyDescent="0.2">
      <c r="A171">
        <f t="shared" si="31"/>
        <v>162</v>
      </c>
      <c r="B171">
        <f t="shared" ca="1" si="33"/>
        <v>0.65500844410781511</v>
      </c>
      <c r="C171">
        <f t="shared" ca="1" si="44"/>
        <v>7.5894643643880544E-2</v>
      </c>
      <c r="D171">
        <f t="shared" ca="1" si="44"/>
        <v>-0.47712238716857747</v>
      </c>
      <c r="E171">
        <f t="shared" ca="1" si="34"/>
        <v>0.31830988618379069</v>
      </c>
      <c r="F171">
        <f t="shared" si="41"/>
        <v>0.25</v>
      </c>
      <c r="G171">
        <f t="shared" ca="1" si="35"/>
        <v>1</v>
      </c>
      <c r="H171">
        <f ca="1">IF(G171=1,SUM($G$10:G171),"-")</f>
        <v>121</v>
      </c>
      <c r="I171">
        <f t="shared" ca="1" si="36"/>
        <v>7.5894643643880544E-2</v>
      </c>
      <c r="J171">
        <f t="shared" ca="1" si="37"/>
        <v>-0.47712238716857747</v>
      </c>
      <c r="L171">
        <f t="shared" si="43"/>
        <v>162</v>
      </c>
      <c r="M171">
        <f t="shared" ca="1" si="38"/>
        <v>-6.4078934832423773E-2</v>
      </c>
      <c r="N171">
        <f t="shared" ca="1" si="39"/>
        <v>0.43430688685743557</v>
      </c>
      <c r="O171">
        <f t="shared" ca="1" si="40"/>
        <v>0.43900863529212653</v>
      </c>
    </row>
    <row r="172" spans="1:15" x14ac:dyDescent="0.2">
      <c r="A172">
        <f t="shared" si="31"/>
        <v>163</v>
      </c>
      <c r="B172">
        <f t="shared" ca="1" si="33"/>
        <v>0.35022955185045834</v>
      </c>
      <c r="C172">
        <f t="shared" ca="1" si="44"/>
        <v>-0.40052045094348743</v>
      </c>
      <c r="D172">
        <f t="shared" ca="1" si="44"/>
        <v>0.63113922769514796</v>
      </c>
      <c r="E172">
        <f t="shared" ca="1" si="34"/>
        <v>0.31830988618379069</v>
      </c>
      <c r="F172">
        <f t="shared" si="41"/>
        <v>0.25</v>
      </c>
      <c r="G172">
        <f t="shared" ca="1" si="35"/>
        <v>1</v>
      </c>
      <c r="H172">
        <f ca="1">IF(G172=1,SUM($G$10:G172),"-")</f>
        <v>122</v>
      </c>
      <c r="I172">
        <f t="shared" ca="1" si="36"/>
        <v>-0.40052045094348743</v>
      </c>
      <c r="J172">
        <f t="shared" ca="1" si="37"/>
        <v>0.63113922769514796</v>
      </c>
      <c r="L172">
        <f t="shared" si="43"/>
        <v>163</v>
      </c>
      <c r="M172">
        <f t="shared" ca="1" si="38"/>
        <v>0.47859397283038385</v>
      </c>
      <c r="N172">
        <f t="shared" ca="1" si="39"/>
        <v>-0.35891055457044385</v>
      </c>
      <c r="O172">
        <f t="shared" ca="1" si="40"/>
        <v>0.59822151165904569</v>
      </c>
    </row>
    <row r="173" spans="1:15" x14ac:dyDescent="0.2">
      <c r="A173">
        <f t="shared" si="31"/>
        <v>164</v>
      </c>
      <c r="B173">
        <f t="shared" ca="1" si="33"/>
        <v>0.79609406568269614</v>
      </c>
      <c r="C173">
        <f t="shared" ca="1" si="44"/>
        <v>-0.56330120791223148</v>
      </c>
      <c r="D173">
        <f t="shared" ca="1" si="44"/>
        <v>-0.83566865366843279</v>
      </c>
      <c r="E173">
        <f t="shared" ca="1" si="34"/>
        <v>0</v>
      </c>
      <c r="F173">
        <f t="shared" si="41"/>
        <v>0.25</v>
      </c>
      <c r="G173">
        <f t="shared" ca="1" si="35"/>
        <v>0</v>
      </c>
      <c r="H173" t="str">
        <f ca="1">IF(G173=1,SUM($G$10:G173),"-")</f>
        <v>-</v>
      </c>
      <c r="I173" t="str">
        <f t="shared" ca="1" si="36"/>
        <v>-</v>
      </c>
      <c r="J173" t="str">
        <f t="shared" ca="1" si="37"/>
        <v>-</v>
      </c>
      <c r="L173">
        <f t="shared" si="43"/>
        <v>164</v>
      </c>
      <c r="M173">
        <f t="shared" ca="1" si="38"/>
        <v>-0.696939274471293</v>
      </c>
      <c r="N173">
        <f t="shared" ca="1" si="39"/>
        <v>0.11760768837624758</v>
      </c>
      <c r="O173">
        <f t="shared" ca="1" si="40"/>
        <v>0.70679269992394289</v>
      </c>
    </row>
    <row r="174" spans="1:15" x14ac:dyDescent="0.2">
      <c r="A174">
        <f t="shared" si="31"/>
        <v>165</v>
      </c>
      <c r="B174">
        <f t="shared" ca="1" si="33"/>
        <v>0.2612192147498843</v>
      </c>
      <c r="C174">
        <f t="shared" ca="1" si="44"/>
        <v>-0.49721672456535071</v>
      </c>
      <c r="D174">
        <f t="shared" ca="1" si="44"/>
        <v>-8.1558599339525584E-2</v>
      </c>
      <c r="E174">
        <f t="shared" ca="1" si="34"/>
        <v>0.31830988618379069</v>
      </c>
      <c r="F174">
        <f t="shared" si="41"/>
        <v>0.25</v>
      </c>
      <c r="G174">
        <f t="shared" ca="1" si="35"/>
        <v>1</v>
      </c>
      <c r="H174">
        <f ca="1">IF(G174=1,SUM($G$10:G174),"-")</f>
        <v>123</v>
      </c>
      <c r="I174">
        <f t="shared" ca="1" si="36"/>
        <v>-0.49721672456535071</v>
      </c>
      <c r="J174">
        <f t="shared" ca="1" si="37"/>
        <v>-8.1558599339525584E-2</v>
      </c>
      <c r="L174">
        <f t="shared" si="43"/>
        <v>165</v>
      </c>
      <c r="M174">
        <f t="shared" ca="1" si="38"/>
        <v>-0.22028948144143867</v>
      </c>
      <c r="N174">
        <f t="shared" ca="1" si="39"/>
        <v>0.49165831188293141</v>
      </c>
      <c r="O174">
        <f t="shared" ca="1" si="40"/>
        <v>0.53875351625517198</v>
      </c>
    </row>
    <row r="175" spans="1:15" x14ac:dyDescent="0.2">
      <c r="A175">
        <f t="shared" ref="A175:A238" si="45">1+A174</f>
        <v>166</v>
      </c>
      <c r="B175">
        <f t="shared" ca="1" si="33"/>
        <v>0.84470585975760359</v>
      </c>
      <c r="C175">
        <f t="shared" ca="1" si="44"/>
        <v>-0.68126329069722846</v>
      </c>
      <c r="D175">
        <f t="shared" ca="1" si="44"/>
        <v>-0.64792373731803665</v>
      </c>
      <c r="E175">
        <f t="shared" ca="1" si="34"/>
        <v>0.31830988618379069</v>
      </c>
      <c r="F175">
        <f t="shared" si="41"/>
        <v>0.25</v>
      </c>
      <c r="G175">
        <f t="shared" ca="1" si="35"/>
        <v>1</v>
      </c>
      <c r="H175">
        <f ca="1">IF(G175=1,SUM($G$10:G175),"-")</f>
        <v>124</v>
      </c>
      <c r="I175">
        <f t="shared" ca="1" si="36"/>
        <v>-0.68126329069722846</v>
      </c>
      <c r="J175">
        <f t="shared" ca="1" si="37"/>
        <v>-0.64792373731803665</v>
      </c>
      <c r="L175">
        <f t="shared" si="43"/>
        <v>166</v>
      </c>
      <c r="M175">
        <f t="shared" ca="1" si="38"/>
        <v>-0.19672053577375959</v>
      </c>
      <c r="N175">
        <f t="shared" ca="1" si="39"/>
        <v>0.3605965227164627</v>
      </c>
      <c r="O175">
        <f t="shared" ca="1" si="40"/>
        <v>0.4107661395372304</v>
      </c>
    </row>
    <row r="176" spans="1:15" x14ac:dyDescent="0.2">
      <c r="A176">
        <f t="shared" si="45"/>
        <v>167</v>
      </c>
      <c r="B176">
        <f t="shared" ca="1" si="33"/>
        <v>0.74853567137727461</v>
      </c>
      <c r="C176">
        <f t="shared" ca="1" si="44"/>
        <v>-8.7006954449523333E-2</v>
      </c>
      <c r="D176">
        <f t="shared" ca="1" si="44"/>
        <v>0.43419560405516666</v>
      </c>
      <c r="E176">
        <f t="shared" ca="1" si="34"/>
        <v>0.31830988618379069</v>
      </c>
      <c r="F176">
        <f t="shared" si="41"/>
        <v>0.25</v>
      </c>
      <c r="G176">
        <f t="shared" ca="1" si="35"/>
        <v>1</v>
      </c>
      <c r="H176">
        <f ca="1">IF(G176=1,SUM($G$10:G176),"-")</f>
        <v>125</v>
      </c>
      <c r="I176">
        <f t="shared" ca="1" si="36"/>
        <v>-8.7006954449523333E-2</v>
      </c>
      <c r="J176">
        <f t="shared" ca="1" si="37"/>
        <v>0.43419560405516666</v>
      </c>
      <c r="L176">
        <f t="shared" si="43"/>
        <v>167</v>
      </c>
      <c r="M176">
        <f t="shared" ca="1" si="38"/>
        <v>0.83857719624460669</v>
      </c>
      <c r="N176">
        <f t="shared" ca="1" si="39"/>
        <v>-0.24130094803455426</v>
      </c>
      <c r="O176">
        <f t="shared" ca="1" si="40"/>
        <v>0.87260406919968025</v>
      </c>
    </row>
    <row r="177" spans="1:15" x14ac:dyDescent="0.2">
      <c r="A177">
        <f t="shared" si="45"/>
        <v>168</v>
      </c>
      <c r="B177">
        <f t="shared" ca="1" si="33"/>
        <v>0.9684370611646409</v>
      </c>
      <c r="C177">
        <f t="shared" ca="1" si="44"/>
        <v>-0.55980645228139303</v>
      </c>
      <c r="D177">
        <f t="shared" ca="1" si="44"/>
        <v>-0.31788842307128862</v>
      </c>
      <c r="E177">
        <f t="shared" ca="1" si="34"/>
        <v>0.31830988618379069</v>
      </c>
      <c r="F177">
        <f t="shared" si="41"/>
        <v>0.25</v>
      </c>
      <c r="G177">
        <f t="shared" ca="1" si="35"/>
        <v>1</v>
      </c>
      <c r="H177">
        <f ca="1">IF(G177=1,SUM($G$10:G177),"-")</f>
        <v>126</v>
      </c>
      <c r="I177">
        <f t="shared" ca="1" si="36"/>
        <v>-0.55980645228139303</v>
      </c>
      <c r="J177">
        <f t="shared" ca="1" si="37"/>
        <v>-0.31788842307128862</v>
      </c>
      <c r="L177">
        <f t="shared" si="43"/>
        <v>168</v>
      </c>
      <c r="M177">
        <f t="shared" ca="1" si="38"/>
        <v>-0.80088678109733813</v>
      </c>
      <c r="N177">
        <f t="shared" ca="1" si="39"/>
        <v>0.51211636369972968</v>
      </c>
      <c r="O177">
        <f t="shared" ca="1" si="40"/>
        <v>0.95062232569274818</v>
      </c>
    </row>
    <row r="178" spans="1:15" x14ac:dyDescent="0.2">
      <c r="A178">
        <f t="shared" si="45"/>
        <v>169</v>
      </c>
      <c r="B178">
        <f t="shared" ca="1" si="33"/>
        <v>0.46833976272959077</v>
      </c>
      <c r="C178">
        <f t="shared" ca="1" si="44"/>
        <v>-0.85643584028982755</v>
      </c>
      <c r="D178">
        <f t="shared" ca="1" si="44"/>
        <v>0.91740295207354916</v>
      </c>
      <c r="E178">
        <f t="shared" ca="1" si="34"/>
        <v>0</v>
      </c>
      <c r="F178">
        <f t="shared" si="41"/>
        <v>0.25</v>
      </c>
      <c r="G178">
        <f t="shared" ca="1" si="35"/>
        <v>0</v>
      </c>
      <c r="H178" t="str">
        <f ca="1">IF(G178=1,SUM($G$10:G178),"-")</f>
        <v>-</v>
      </c>
      <c r="I178" t="str">
        <f t="shared" ca="1" si="36"/>
        <v>-</v>
      </c>
      <c r="J178" t="str">
        <f t="shared" ca="1" si="37"/>
        <v>-</v>
      </c>
      <c r="L178">
        <f t="shared" si="43"/>
        <v>169</v>
      </c>
      <c r="M178">
        <f t="shared" ca="1" si="38"/>
        <v>-0.31529796596964133</v>
      </c>
      <c r="N178">
        <f t="shared" ca="1" si="39"/>
        <v>7.9891493061188257E-2</v>
      </c>
      <c r="O178">
        <f t="shared" ca="1" si="40"/>
        <v>0.32526213737251836</v>
      </c>
    </row>
    <row r="179" spans="1:15" x14ac:dyDescent="0.2">
      <c r="A179">
        <f t="shared" si="45"/>
        <v>170</v>
      </c>
      <c r="B179">
        <f t="shared" ca="1" si="33"/>
        <v>0.39409163178929363</v>
      </c>
      <c r="C179">
        <f t="shared" ca="1" si="44"/>
        <v>-0.6300228740179461</v>
      </c>
      <c r="D179">
        <f t="shared" ca="1" si="44"/>
        <v>0.53591321549446058</v>
      </c>
      <c r="E179">
        <f t="shared" ca="1" si="34"/>
        <v>0.31830988618379069</v>
      </c>
      <c r="F179">
        <f t="shared" si="41"/>
        <v>0.25</v>
      </c>
      <c r="G179">
        <f t="shared" ca="1" si="35"/>
        <v>1</v>
      </c>
      <c r="H179">
        <f ca="1">IF(G179=1,SUM($G$10:G179),"-")</f>
        <v>127</v>
      </c>
      <c r="I179">
        <f t="shared" ca="1" si="36"/>
        <v>-0.6300228740179461</v>
      </c>
      <c r="J179">
        <f t="shared" ca="1" si="37"/>
        <v>0.53591321549446058</v>
      </c>
      <c r="L179">
        <f t="shared" si="43"/>
        <v>170</v>
      </c>
      <c r="M179">
        <f t="shared" ca="1" si="38"/>
        <v>-0.63758943279684299</v>
      </c>
      <c r="N179">
        <f t="shared" ca="1" si="39"/>
        <v>-0.62222526531973865</v>
      </c>
      <c r="O179">
        <f t="shared" ca="1" si="40"/>
        <v>0.89088976064180869</v>
      </c>
    </row>
    <row r="180" spans="1:15" x14ac:dyDescent="0.2">
      <c r="A180">
        <f t="shared" si="45"/>
        <v>171</v>
      </c>
      <c r="B180">
        <f t="shared" ca="1" si="33"/>
        <v>0.78866304956009492</v>
      </c>
      <c r="C180">
        <f t="shared" ca="1" si="44"/>
        <v>-0.11564569405856884</v>
      </c>
      <c r="D180">
        <f t="shared" ca="1" si="44"/>
        <v>0.46176770451940663</v>
      </c>
      <c r="E180">
        <f t="shared" ca="1" si="34"/>
        <v>0.31830988618379069</v>
      </c>
      <c r="F180">
        <f t="shared" si="41"/>
        <v>0.25</v>
      </c>
      <c r="G180">
        <f t="shared" ca="1" si="35"/>
        <v>1</v>
      </c>
      <c r="H180">
        <f ca="1">IF(G180=1,SUM($G$10:G180),"-")</f>
        <v>128</v>
      </c>
      <c r="I180">
        <f t="shared" ca="1" si="36"/>
        <v>-0.11564569405856884</v>
      </c>
      <c r="J180">
        <f t="shared" ca="1" si="37"/>
        <v>0.46176770451940663</v>
      </c>
      <c r="L180">
        <f t="shared" si="43"/>
        <v>171</v>
      </c>
      <c r="M180">
        <f t="shared" ca="1" si="38"/>
        <v>0.23717881921607353</v>
      </c>
      <c r="N180">
        <f t="shared" ca="1" si="39"/>
        <v>-0.14562568621489125</v>
      </c>
      <c r="O180">
        <f t="shared" ca="1" si="40"/>
        <v>0.27831750352841422</v>
      </c>
    </row>
    <row r="181" spans="1:15" x14ac:dyDescent="0.2">
      <c r="A181">
        <f t="shared" si="45"/>
        <v>172</v>
      </c>
      <c r="B181">
        <f t="shared" ca="1" si="33"/>
        <v>0.84434684393246229</v>
      </c>
      <c r="C181">
        <f t="shared" ca="1" si="44"/>
        <v>-0.50428270650601359</v>
      </c>
      <c r="D181">
        <f t="shared" ca="1" si="44"/>
        <v>0.42854536707809321</v>
      </c>
      <c r="E181">
        <f t="shared" ca="1" si="34"/>
        <v>0.31830988618379069</v>
      </c>
      <c r="F181">
        <f t="shared" si="41"/>
        <v>0.25</v>
      </c>
      <c r="G181">
        <f t="shared" ca="1" si="35"/>
        <v>1</v>
      </c>
      <c r="H181">
        <f ca="1">IF(G181=1,SUM($G$10:G181),"-")</f>
        <v>129</v>
      </c>
      <c r="I181">
        <f t="shared" ca="1" si="36"/>
        <v>-0.50428270650601359</v>
      </c>
      <c r="J181">
        <f t="shared" ca="1" si="37"/>
        <v>0.42854536707809321</v>
      </c>
      <c r="L181">
        <f t="shared" si="43"/>
        <v>172</v>
      </c>
      <c r="M181">
        <f t="shared" ca="1" si="38"/>
        <v>0.42003553048942677</v>
      </c>
      <c r="N181">
        <f t="shared" ca="1" si="39"/>
        <v>0.2723244052000644</v>
      </c>
      <c r="O181">
        <f t="shared" ca="1" si="40"/>
        <v>0.50059008034628794</v>
      </c>
    </row>
    <row r="182" spans="1:15" x14ac:dyDescent="0.2">
      <c r="A182">
        <f t="shared" si="45"/>
        <v>173</v>
      </c>
      <c r="B182">
        <f t="shared" ca="1" si="33"/>
        <v>0.2359617378298845</v>
      </c>
      <c r="C182">
        <f t="shared" ca="1" si="44"/>
        <v>0.99296358383515715</v>
      </c>
      <c r="D182">
        <f t="shared" ca="1" si="44"/>
        <v>0.53350115743959337</v>
      </c>
      <c r="E182">
        <f t="shared" ca="1" si="34"/>
        <v>0</v>
      </c>
      <c r="F182">
        <f t="shared" si="41"/>
        <v>0.25</v>
      </c>
      <c r="G182">
        <f t="shared" ca="1" si="35"/>
        <v>0</v>
      </c>
      <c r="H182" t="str">
        <f ca="1">IF(G182=1,SUM($G$10:G182),"-")</f>
        <v>-</v>
      </c>
      <c r="I182" t="str">
        <f t="shared" ca="1" si="36"/>
        <v>-</v>
      </c>
      <c r="J182" t="str">
        <f t="shared" ca="1" si="37"/>
        <v>-</v>
      </c>
      <c r="L182">
        <f t="shared" si="43"/>
        <v>173</v>
      </c>
      <c r="M182">
        <f t="shared" ca="1" si="38"/>
        <v>0.98496953513788044</v>
      </c>
      <c r="N182">
        <f t="shared" ca="1" si="39"/>
        <v>9.1293071616705523E-2</v>
      </c>
      <c r="O182">
        <f t="shared" ca="1" si="40"/>
        <v>0.98919129094171931</v>
      </c>
    </row>
    <row r="183" spans="1:15" x14ac:dyDescent="0.2">
      <c r="A183">
        <f t="shared" si="45"/>
        <v>174</v>
      </c>
      <c r="B183">
        <f t="shared" ca="1" si="33"/>
        <v>8.2266287547303141E-2</v>
      </c>
      <c r="C183">
        <f t="shared" ca="1" si="44"/>
        <v>-0.21366854995070339</v>
      </c>
      <c r="D183">
        <f t="shared" ca="1" si="44"/>
        <v>-0.72390907460144072</v>
      </c>
      <c r="E183">
        <f t="shared" ca="1" si="34"/>
        <v>0.31830988618379069</v>
      </c>
      <c r="F183">
        <f t="shared" si="41"/>
        <v>0.25</v>
      </c>
      <c r="G183">
        <f t="shared" ca="1" si="35"/>
        <v>1</v>
      </c>
      <c r="H183">
        <f ca="1">IF(G183=1,SUM($G$10:G183),"-")</f>
        <v>130</v>
      </c>
      <c r="I183">
        <f t="shared" ca="1" si="36"/>
        <v>-0.21366854995070339</v>
      </c>
      <c r="J183">
        <f t="shared" ca="1" si="37"/>
        <v>-0.72390907460144072</v>
      </c>
      <c r="L183">
        <f t="shared" si="43"/>
        <v>174</v>
      </c>
      <c r="M183">
        <f t="shared" ca="1" si="38"/>
        <v>-0.56439678630190437</v>
      </c>
      <c r="N183">
        <f t="shared" ca="1" si="39"/>
        <v>0.57306522078211386</v>
      </c>
      <c r="O183">
        <f t="shared" ca="1" si="40"/>
        <v>0.8043304542648938</v>
      </c>
    </row>
    <row r="184" spans="1:15" x14ac:dyDescent="0.2">
      <c r="A184">
        <f t="shared" si="45"/>
        <v>175</v>
      </c>
      <c r="B184">
        <f t="shared" ca="1" si="33"/>
        <v>0.58887603041344316</v>
      </c>
      <c r="C184">
        <f t="shared" ca="1" si="44"/>
        <v>-0.71766218606975851</v>
      </c>
      <c r="D184">
        <f t="shared" ca="1" si="44"/>
        <v>-5.860279277971614E-4</v>
      </c>
      <c r="E184">
        <f t="shared" ca="1" si="34"/>
        <v>0.31830988618379069</v>
      </c>
      <c r="F184">
        <f t="shared" si="41"/>
        <v>0.25</v>
      </c>
      <c r="G184">
        <f t="shared" ca="1" si="35"/>
        <v>1</v>
      </c>
      <c r="H184">
        <f ca="1">IF(G184=1,SUM($G$10:G184),"-")</f>
        <v>131</v>
      </c>
      <c r="I184">
        <f t="shared" ca="1" si="36"/>
        <v>-0.71766218606975851</v>
      </c>
      <c r="J184">
        <f t="shared" ca="1" si="37"/>
        <v>-5.860279277971614E-4</v>
      </c>
      <c r="L184">
        <f t="shared" si="43"/>
        <v>175</v>
      </c>
      <c r="M184">
        <f t="shared" ca="1" si="38"/>
        <v>0.75603287192200308</v>
      </c>
      <c r="N184">
        <f t="shared" ca="1" si="39"/>
        <v>-0.40242353499477845</v>
      </c>
      <c r="O184">
        <f t="shared" ca="1" si="40"/>
        <v>0.85646389587905314</v>
      </c>
    </row>
    <row r="185" spans="1:15" x14ac:dyDescent="0.2">
      <c r="A185">
        <f t="shared" si="45"/>
        <v>176</v>
      </c>
      <c r="B185">
        <f t="shared" ca="1" si="33"/>
        <v>0.35061717967585571</v>
      </c>
      <c r="C185">
        <f t="shared" ca="1" si="44"/>
        <v>0.65103079303558453</v>
      </c>
      <c r="D185">
        <f t="shared" ca="1" si="44"/>
        <v>-0.85488789581884661</v>
      </c>
      <c r="E185">
        <f t="shared" ca="1" si="34"/>
        <v>0</v>
      </c>
      <c r="F185">
        <f t="shared" si="41"/>
        <v>0.25</v>
      </c>
      <c r="G185">
        <f t="shared" ca="1" si="35"/>
        <v>0</v>
      </c>
      <c r="H185" t="str">
        <f ca="1">IF(G185=1,SUM($G$10:G185),"-")</f>
        <v>-</v>
      </c>
      <c r="I185" t="str">
        <f t="shared" ca="1" si="36"/>
        <v>-</v>
      </c>
      <c r="J185" t="str">
        <f t="shared" ca="1" si="37"/>
        <v>-</v>
      </c>
      <c r="L185">
        <f t="shared" si="43"/>
        <v>176</v>
      </c>
      <c r="M185">
        <f t="shared" ca="1" si="38"/>
        <v>0.12656947813611663</v>
      </c>
      <c r="N185">
        <f t="shared" ca="1" si="39"/>
        <v>-0.42523680909943984</v>
      </c>
      <c r="O185">
        <f t="shared" ca="1" si="40"/>
        <v>0.44367350226120372</v>
      </c>
    </row>
    <row r="186" spans="1:15" x14ac:dyDescent="0.2">
      <c r="A186">
        <f t="shared" si="45"/>
        <v>177</v>
      </c>
      <c r="B186">
        <f t="shared" ca="1" si="33"/>
        <v>0.2179013974837184</v>
      </c>
      <c r="C186">
        <f t="shared" ca="1" si="44"/>
        <v>-0.37298669554306119</v>
      </c>
      <c r="D186">
        <f t="shared" ca="1" si="44"/>
        <v>0.91659890744862005</v>
      </c>
      <c r="E186">
        <f t="shared" ca="1" si="34"/>
        <v>0.31830988618379069</v>
      </c>
      <c r="F186">
        <f t="shared" si="41"/>
        <v>0.25</v>
      </c>
      <c r="G186">
        <f t="shared" ca="1" si="35"/>
        <v>1</v>
      </c>
      <c r="H186">
        <f ca="1">IF(G186=1,SUM($G$10:G186),"-")</f>
        <v>132</v>
      </c>
      <c r="I186">
        <f t="shared" ca="1" si="36"/>
        <v>-0.37298669554306119</v>
      </c>
      <c r="J186">
        <f t="shared" ca="1" si="37"/>
        <v>0.91659890744862005</v>
      </c>
      <c r="L186">
        <f t="shared" si="43"/>
        <v>177</v>
      </c>
      <c r="M186">
        <f t="shared" ca="1" si="38"/>
        <v>0.66908215415021322</v>
      </c>
      <c r="N186">
        <f t="shared" ca="1" si="39"/>
        <v>-9.6307702168258347E-2</v>
      </c>
      <c r="O186">
        <f t="shared" ca="1" si="40"/>
        <v>0.67597788610221532</v>
      </c>
    </row>
    <row r="187" spans="1:15" x14ac:dyDescent="0.2">
      <c r="A187">
        <f t="shared" si="45"/>
        <v>178</v>
      </c>
      <c r="B187">
        <f t="shared" ca="1" si="33"/>
        <v>0.79410418493996549</v>
      </c>
      <c r="C187">
        <f t="shared" ca="1" si="44"/>
        <v>8.7525275417372761E-2</v>
      </c>
      <c r="D187">
        <f t="shared" ca="1" si="44"/>
        <v>0.58800141290422192</v>
      </c>
      <c r="E187">
        <f t="shared" ca="1" si="34"/>
        <v>0.31830988618379069</v>
      </c>
      <c r="F187">
        <f t="shared" si="41"/>
        <v>0.25</v>
      </c>
      <c r="G187">
        <f t="shared" ca="1" si="35"/>
        <v>1</v>
      </c>
      <c r="H187">
        <f ca="1">IF(G187=1,SUM($G$10:G187),"-")</f>
        <v>133</v>
      </c>
      <c r="I187">
        <f t="shared" ca="1" si="36"/>
        <v>8.7525275417372761E-2</v>
      </c>
      <c r="J187">
        <f t="shared" ca="1" si="37"/>
        <v>0.58800141290422192</v>
      </c>
      <c r="L187">
        <f t="shared" si="43"/>
        <v>178</v>
      </c>
      <c r="M187">
        <f t="shared" ca="1" si="38"/>
        <v>-2.927822832200544E-2</v>
      </c>
      <c r="N187">
        <f t="shared" ca="1" si="39"/>
        <v>0.20586576233137932</v>
      </c>
      <c r="O187">
        <f t="shared" ca="1" si="40"/>
        <v>0.20793731448192612</v>
      </c>
    </row>
    <row r="188" spans="1:15" x14ac:dyDescent="0.2">
      <c r="A188">
        <f t="shared" si="45"/>
        <v>179</v>
      </c>
      <c r="B188">
        <f t="shared" ca="1" si="33"/>
        <v>0.38312731027999891</v>
      </c>
      <c r="C188">
        <f t="shared" ca="1" si="44"/>
        <v>0.3089066254530568</v>
      </c>
      <c r="D188">
        <f t="shared" ca="1" si="44"/>
        <v>0.21286155414763641</v>
      </c>
      <c r="E188">
        <f t="shared" ca="1" si="34"/>
        <v>0.31830988618379069</v>
      </c>
      <c r="F188">
        <f t="shared" si="41"/>
        <v>0.25</v>
      </c>
      <c r="G188">
        <f t="shared" ca="1" si="35"/>
        <v>1</v>
      </c>
      <c r="H188">
        <f ca="1">IF(G188=1,SUM($G$10:G188),"-")</f>
        <v>134</v>
      </c>
      <c r="I188">
        <f t="shared" ca="1" si="36"/>
        <v>0.3089066254530568</v>
      </c>
      <c r="J188">
        <f t="shared" ca="1" si="37"/>
        <v>0.21286155414763641</v>
      </c>
      <c r="L188">
        <f t="shared" si="43"/>
        <v>179</v>
      </c>
      <c r="M188">
        <f t="shared" ca="1" si="38"/>
        <v>-0.63613211323640551</v>
      </c>
      <c r="N188">
        <f t="shared" ca="1" si="39"/>
        <v>0.43847586366519531</v>
      </c>
      <c r="O188">
        <f t="shared" ca="1" si="40"/>
        <v>0.77260931168835523</v>
      </c>
    </row>
    <row r="189" spans="1:15" x14ac:dyDescent="0.2">
      <c r="A189">
        <f t="shared" si="45"/>
        <v>180</v>
      </c>
      <c r="B189">
        <f t="shared" ca="1" si="33"/>
        <v>0.19548526739043992</v>
      </c>
      <c r="C189">
        <f t="shared" ca="1" si="44"/>
        <v>-0.59437502843849077</v>
      </c>
      <c r="D189">
        <f t="shared" ca="1" si="44"/>
        <v>-0.11145805625478977</v>
      </c>
      <c r="E189">
        <f t="shared" ca="1" si="34"/>
        <v>0.31830988618379069</v>
      </c>
      <c r="F189">
        <f t="shared" si="41"/>
        <v>0.25</v>
      </c>
      <c r="G189">
        <f t="shared" ca="1" si="35"/>
        <v>1</v>
      </c>
      <c r="H189">
        <f ca="1">IF(G189=1,SUM($G$10:G189),"-")</f>
        <v>135</v>
      </c>
      <c r="I189">
        <f t="shared" ca="1" si="36"/>
        <v>-0.59437502843849077</v>
      </c>
      <c r="J189">
        <f t="shared" ca="1" si="37"/>
        <v>-0.11145805625478977</v>
      </c>
      <c r="L189">
        <f t="shared" si="43"/>
        <v>180</v>
      </c>
      <c r="M189">
        <f t="shared" ca="1" si="38"/>
        <v>-0.17286106049227179</v>
      </c>
      <c r="N189">
        <f t="shared" ca="1" si="39"/>
        <v>0.2376448578251662</v>
      </c>
      <c r="O189">
        <f t="shared" ca="1" si="40"/>
        <v>0.29386395608385912</v>
      </c>
    </row>
    <row r="190" spans="1:15" x14ac:dyDescent="0.2">
      <c r="A190">
        <f t="shared" si="45"/>
        <v>181</v>
      </c>
      <c r="B190">
        <f t="shared" ca="1" si="33"/>
        <v>0.98633476058087954</v>
      </c>
      <c r="C190">
        <f t="shared" ref="C190:D209" ca="1" si="46">2*RAND()-1</f>
        <v>-0.49864958375447732</v>
      </c>
      <c r="D190">
        <f t="shared" ca="1" si="46"/>
        <v>-0.42894092289138497</v>
      </c>
      <c r="E190">
        <f t="shared" ca="1" si="34"/>
        <v>0.31830988618379069</v>
      </c>
      <c r="F190">
        <f t="shared" si="41"/>
        <v>0.25</v>
      </c>
      <c r="G190">
        <f t="shared" ca="1" si="35"/>
        <v>1</v>
      </c>
      <c r="H190">
        <f ca="1">IF(G190=1,SUM($G$10:G190),"-")</f>
        <v>136</v>
      </c>
      <c r="I190">
        <f t="shared" ca="1" si="36"/>
        <v>-0.49864958375447732</v>
      </c>
      <c r="J190">
        <f t="shared" ca="1" si="37"/>
        <v>-0.42894092289138497</v>
      </c>
      <c r="L190">
        <f t="shared" si="43"/>
        <v>181</v>
      </c>
      <c r="M190">
        <f t="shared" ca="1" si="38"/>
        <v>0.2269452753129837</v>
      </c>
      <c r="N190">
        <f t="shared" ca="1" si="39"/>
        <v>0.21768942016107817</v>
      </c>
      <c r="O190">
        <f t="shared" ca="1" si="40"/>
        <v>0.31447232252926871</v>
      </c>
    </row>
    <row r="191" spans="1:15" x14ac:dyDescent="0.2">
      <c r="A191">
        <f t="shared" si="45"/>
        <v>182</v>
      </c>
      <c r="B191">
        <f t="shared" ca="1" si="33"/>
        <v>0.8181867595180754</v>
      </c>
      <c r="C191">
        <f t="shared" ca="1" si="46"/>
        <v>0.32884515286045768</v>
      </c>
      <c r="D191">
        <f t="shared" ca="1" si="46"/>
        <v>-0.54509462043387491</v>
      </c>
      <c r="E191">
        <f t="shared" ca="1" si="34"/>
        <v>0.31830988618379069</v>
      </c>
      <c r="F191">
        <f t="shared" si="41"/>
        <v>0.25</v>
      </c>
      <c r="G191">
        <f t="shared" ca="1" si="35"/>
        <v>1</v>
      </c>
      <c r="H191">
        <f ca="1">IF(G191=1,SUM($G$10:G191),"-")</f>
        <v>137</v>
      </c>
      <c r="I191">
        <f t="shared" ca="1" si="36"/>
        <v>0.32884515286045768</v>
      </c>
      <c r="J191">
        <f t="shared" ca="1" si="37"/>
        <v>-0.54509462043387491</v>
      </c>
      <c r="L191">
        <f t="shared" si="43"/>
        <v>182</v>
      </c>
      <c r="M191">
        <f t="shared" ca="1" si="38"/>
        <v>0.82168178271305958</v>
      </c>
      <c r="N191">
        <f t="shared" ca="1" si="39"/>
        <v>0.54887985911201453</v>
      </c>
      <c r="O191">
        <f t="shared" ca="1" si="40"/>
        <v>0.98814475244335365</v>
      </c>
    </row>
    <row r="192" spans="1:15" x14ac:dyDescent="0.2">
      <c r="A192">
        <f t="shared" si="45"/>
        <v>183</v>
      </c>
      <c r="B192">
        <f t="shared" ca="1" si="33"/>
        <v>0.29092089881912631</v>
      </c>
      <c r="C192">
        <f t="shared" ca="1" si="46"/>
        <v>-0.36971981324480652</v>
      </c>
      <c r="D192">
        <f t="shared" ca="1" si="46"/>
        <v>-3.3476868100283941E-3</v>
      </c>
      <c r="E192">
        <f t="shared" ca="1" si="34"/>
        <v>0.31830988618379069</v>
      </c>
      <c r="F192">
        <f t="shared" si="41"/>
        <v>0.25</v>
      </c>
      <c r="G192">
        <f t="shared" ca="1" si="35"/>
        <v>1</v>
      </c>
      <c r="H192">
        <f ca="1">IF(G192=1,SUM($G$10:G192),"-")</f>
        <v>138</v>
      </c>
      <c r="I192">
        <f t="shared" ca="1" si="36"/>
        <v>-0.36971981324480652</v>
      </c>
      <c r="J192">
        <f t="shared" ca="1" si="37"/>
        <v>-3.3476868100283941E-3</v>
      </c>
      <c r="L192">
        <f t="shared" si="43"/>
        <v>183</v>
      </c>
      <c r="M192">
        <f t="shared" ca="1" si="38"/>
        <v>0.43814229922697079</v>
      </c>
      <c r="N192">
        <f t="shared" ca="1" si="39"/>
        <v>-7.985649457295585E-2</v>
      </c>
      <c r="O192">
        <f t="shared" ca="1" si="40"/>
        <v>0.44536022958654148</v>
      </c>
    </row>
    <row r="193" spans="1:15" x14ac:dyDescent="0.2">
      <c r="A193">
        <f t="shared" si="45"/>
        <v>184</v>
      </c>
      <c r="B193">
        <f t="shared" ca="1" si="33"/>
        <v>0.85561352385691214</v>
      </c>
      <c r="C193">
        <f t="shared" ca="1" si="46"/>
        <v>0.12539276380532827</v>
      </c>
      <c r="D193">
        <f t="shared" ca="1" si="46"/>
        <v>-0.81708573708532217</v>
      </c>
      <c r="E193">
        <f t="shared" ca="1" si="34"/>
        <v>0.31830988618379069</v>
      </c>
      <c r="F193">
        <f t="shared" si="41"/>
        <v>0.25</v>
      </c>
      <c r="G193">
        <f t="shared" ca="1" si="35"/>
        <v>1</v>
      </c>
      <c r="H193">
        <f ca="1">IF(G193=1,SUM($G$10:G193),"-")</f>
        <v>139</v>
      </c>
      <c r="I193">
        <f t="shared" ca="1" si="36"/>
        <v>0.12539276380532827</v>
      </c>
      <c r="J193">
        <f t="shared" ca="1" si="37"/>
        <v>-0.81708573708532217</v>
      </c>
      <c r="L193">
        <f t="shared" si="43"/>
        <v>184</v>
      </c>
      <c r="M193">
        <f t="shared" ca="1" si="38"/>
        <v>-0.7946422952001484</v>
      </c>
      <c r="N193">
        <f t="shared" ca="1" si="39"/>
        <v>-0.59609243872232187</v>
      </c>
      <c r="O193">
        <f t="shared" ca="1" si="40"/>
        <v>0.99336930334235962</v>
      </c>
    </row>
    <row r="194" spans="1:15" x14ac:dyDescent="0.2">
      <c r="A194">
        <f t="shared" si="45"/>
        <v>185</v>
      </c>
      <c r="B194">
        <f t="shared" ca="1" si="33"/>
        <v>8.2914537854434256E-2</v>
      </c>
      <c r="C194">
        <f t="shared" ca="1" si="46"/>
        <v>-3.241389183488641E-2</v>
      </c>
      <c r="D194">
        <f t="shared" ca="1" si="46"/>
        <v>-0.61191423672753742</v>
      </c>
      <c r="E194">
        <f t="shared" ca="1" si="34"/>
        <v>0.31830988618379069</v>
      </c>
      <c r="F194">
        <f t="shared" si="41"/>
        <v>0.25</v>
      </c>
      <c r="G194">
        <f t="shared" ca="1" si="35"/>
        <v>1</v>
      </c>
      <c r="H194">
        <f ca="1">IF(G194=1,SUM($G$10:G194),"-")</f>
        <v>140</v>
      </c>
      <c r="I194">
        <f t="shared" ca="1" si="36"/>
        <v>-3.241389183488641E-2</v>
      </c>
      <c r="J194">
        <f t="shared" ca="1" si="37"/>
        <v>-0.61191423672753742</v>
      </c>
      <c r="L194">
        <f t="shared" si="43"/>
        <v>185</v>
      </c>
      <c r="M194">
        <f t="shared" ca="1" si="38"/>
        <v>0.43003336413654369</v>
      </c>
      <c r="N194">
        <f t="shared" ca="1" si="39"/>
        <v>0.6274770627666042</v>
      </c>
      <c r="O194">
        <f t="shared" ca="1" si="40"/>
        <v>0.76069452381938318</v>
      </c>
    </row>
    <row r="195" spans="1:15" x14ac:dyDescent="0.2">
      <c r="A195">
        <f t="shared" si="45"/>
        <v>186</v>
      </c>
      <c r="B195">
        <f t="shared" ca="1" si="33"/>
        <v>0.11861525917032223</v>
      </c>
      <c r="C195">
        <f t="shared" ca="1" si="46"/>
        <v>-0.38085805573880882</v>
      </c>
      <c r="D195">
        <f t="shared" ca="1" si="46"/>
        <v>-0.17550780715745584</v>
      </c>
      <c r="E195">
        <f t="shared" ca="1" si="34"/>
        <v>0.31830988618379069</v>
      </c>
      <c r="F195">
        <f t="shared" si="41"/>
        <v>0.25</v>
      </c>
      <c r="G195">
        <f t="shared" ca="1" si="35"/>
        <v>1</v>
      </c>
      <c r="H195">
        <f ca="1">IF(G195=1,SUM($G$10:G195),"-")</f>
        <v>141</v>
      </c>
      <c r="I195">
        <f t="shared" ca="1" si="36"/>
        <v>-0.38085805573880882</v>
      </c>
      <c r="J195">
        <f t="shared" ca="1" si="37"/>
        <v>-0.17550780715745584</v>
      </c>
      <c r="L195">
        <f t="shared" si="43"/>
        <v>186</v>
      </c>
      <c r="M195">
        <f t="shared" ca="1" si="38"/>
        <v>-3.086301665795288E-2</v>
      </c>
      <c r="N195">
        <f t="shared" ca="1" si="39"/>
        <v>-0.68209833609792825</v>
      </c>
      <c r="O195">
        <f t="shared" ca="1" si="40"/>
        <v>0.68279621110898925</v>
      </c>
    </row>
    <row r="196" spans="1:15" x14ac:dyDescent="0.2">
      <c r="A196">
        <f t="shared" si="45"/>
        <v>187</v>
      </c>
      <c r="B196">
        <f t="shared" ca="1" si="33"/>
        <v>5.51419313192969E-3</v>
      </c>
      <c r="C196">
        <f t="shared" ca="1" si="46"/>
        <v>-0.14922141115602106</v>
      </c>
      <c r="D196">
        <f t="shared" ca="1" si="46"/>
        <v>0.56363441207718457</v>
      </c>
      <c r="E196">
        <f t="shared" ca="1" si="34"/>
        <v>0.31830988618379069</v>
      </c>
      <c r="F196">
        <f t="shared" si="41"/>
        <v>0.25</v>
      </c>
      <c r="G196">
        <f t="shared" ca="1" si="35"/>
        <v>1</v>
      </c>
      <c r="H196">
        <f ca="1">IF(G196=1,SUM($G$10:G196),"-")</f>
        <v>142</v>
      </c>
      <c r="I196">
        <f t="shared" ca="1" si="36"/>
        <v>-0.14922141115602106</v>
      </c>
      <c r="J196">
        <f t="shared" ca="1" si="37"/>
        <v>0.56363441207718457</v>
      </c>
      <c r="L196">
        <f t="shared" si="43"/>
        <v>187</v>
      </c>
      <c r="M196">
        <f t="shared" ca="1" si="38"/>
        <v>-0.22366459897329438</v>
      </c>
      <c r="N196">
        <f t="shared" ca="1" si="39"/>
        <v>0.64904561580845654</v>
      </c>
      <c r="O196">
        <f t="shared" ca="1" si="40"/>
        <v>0.68650277802355841</v>
      </c>
    </row>
    <row r="197" spans="1:15" x14ac:dyDescent="0.2">
      <c r="A197">
        <f t="shared" si="45"/>
        <v>188</v>
      </c>
      <c r="B197">
        <f t="shared" ca="1" si="33"/>
        <v>0.81412569302804738</v>
      </c>
      <c r="C197">
        <f t="shared" ca="1" si="46"/>
        <v>-0.75465871537984941</v>
      </c>
      <c r="D197">
        <f t="shared" ca="1" si="46"/>
        <v>0.4963124989304244</v>
      </c>
      <c r="E197">
        <f t="shared" ca="1" si="34"/>
        <v>0.31830988618379069</v>
      </c>
      <c r="F197">
        <f t="shared" si="41"/>
        <v>0.25</v>
      </c>
      <c r="G197">
        <f t="shared" ca="1" si="35"/>
        <v>1</v>
      </c>
      <c r="H197">
        <f ca="1">IF(G197=1,SUM($G$10:G197),"-")</f>
        <v>143</v>
      </c>
      <c r="I197">
        <f t="shared" ca="1" si="36"/>
        <v>-0.75465871537984941</v>
      </c>
      <c r="J197">
        <f t="shared" ca="1" si="37"/>
        <v>0.4963124989304244</v>
      </c>
      <c r="L197">
        <f t="shared" si="43"/>
        <v>188</v>
      </c>
      <c r="M197">
        <f t="shared" ca="1" si="38"/>
        <v>0.8362343363052942</v>
      </c>
      <c r="N197">
        <f t="shared" ca="1" si="39"/>
        <v>-0.41530916960869901</v>
      </c>
      <c r="O197">
        <f t="shared" ca="1" si="40"/>
        <v>0.93368601337763601</v>
      </c>
    </row>
    <row r="198" spans="1:15" x14ac:dyDescent="0.2">
      <c r="A198">
        <f t="shared" si="45"/>
        <v>189</v>
      </c>
      <c r="B198">
        <f t="shared" ca="1" si="33"/>
        <v>0.30565677684009229</v>
      </c>
      <c r="C198">
        <f t="shared" ca="1" si="46"/>
        <v>0.61727525880150891</v>
      </c>
      <c r="D198">
        <f t="shared" ca="1" si="46"/>
        <v>0.61305902410404123</v>
      </c>
      <c r="E198">
        <f t="shared" ca="1" si="34"/>
        <v>0.31830988618379069</v>
      </c>
      <c r="F198">
        <f t="shared" si="41"/>
        <v>0.25</v>
      </c>
      <c r="G198">
        <f t="shared" ca="1" si="35"/>
        <v>1</v>
      </c>
      <c r="H198">
        <f ca="1">IF(G198=1,SUM($G$10:G198),"-")</f>
        <v>144</v>
      </c>
      <c r="I198">
        <f t="shared" ca="1" si="36"/>
        <v>0.61727525880150891</v>
      </c>
      <c r="J198">
        <f t="shared" ca="1" si="37"/>
        <v>0.61305902410404123</v>
      </c>
      <c r="L198">
        <f t="shared" si="43"/>
        <v>189</v>
      </c>
      <c r="M198">
        <f t="shared" ca="1" si="38"/>
        <v>-0.46824254982622193</v>
      </c>
      <c r="N198">
        <f t="shared" ca="1" si="39"/>
        <v>-0.3324104165457944</v>
      </c>
      <c r="O198">
        <f t="shared" ca="1" si="40"/>
        <v>0.57423668508369485</v>
      </c>
    </row>
    <row r="199" spans="1:15" x14ac:dyDescent="0.2">
      <c r="A199">
        <f t="shared" si="45"/>
        <v>190</v>
      </c>
      <c r="B199">
        <f t="shared" ca="1" si="33"/>
        <v>0.87673652551002823</v>
      </c>
      <c r="C199">
        <f t="shared" ca="1" si="46"/>
        <v>0.22192801710324672</v>
      </c>
      <c r="D199">
        <f t="shared" ca="1" si="46"/>
        <v>-0.66082676176526056</v>
      </c>
      <c r="E199">
        <f t="shared" ca="1" si="34"/>
        <v>0.31830988618379069</v>
      </c>
      <c r="F199">
        <f t="shared" si="41"/>
        <v>0.25</v>
      </c>
      <c r="G199">
        <f t="shared" ca="1" si="35"/>
        <v>1</v>
      </c>
      <c r="H199">
        <f ca="1">IF(G199=1,SUM($G$10:G199),"-")</f>
        <v>145</v>
      </c>
      <c r="I199">
        <f t="shared" ca="1" si="36"/>
        <v>0.22192801710324672</v>
      </c>
      <c r="J199">
        <f t="shared" ca="1" si="37"/>
        <v>-0.66082676176526056</v>
      </c>
      <c r="L199">
        <f t="shared" si="43"/>
        <v>190</v>
      </c>
      <c r="M199">
        <f t="shared" ca="1" si="38"/>
        <v>0.63732296931491672</v>
      </c>
      <c r="N199">
        <f t="shared" ca="1" si="39"/>
        <v>-0.42258418390803776</v>
      </c>
      <c r="O199">
        <f t="shared" ca="1" si="40"/>
        <v>0.76469468397890961</v>
      </c>
    </row>
    <row r="200" spans="1:15" x14ac:dyDescent="0.2">
      <c r="A200">
        <f t="shared" si="45"/>
        <v>191</v>
      </c>
      <c r="B200">
        <f t="shared" ca="1" si="33"/>
        <v>0.41775725477889392</v>
      </c>
      <c r="C200">
        <f t="shared" ca="1" si="46"/>
        <v>2.4864567483524169E-2</v>
      </c>
      <c r="D200">
        <f t="shared" ca="1" si="46"/>
        <v>0.19302185276550299</v>
      </c>
      <c r="E200">
        <f t="shared" ca="1" si="34"/>
        <v>0.31830988618379069</v>
      </c>
      <c r="F200">
        <f t="shared" si="41"/>
        <v>0.25</v>
      </c>
      <c r="G200">
        <f t="shared" ca="1" si="35"/>
        <v>1</v>
      </c>
      <c r="H200">
        <f ca="1">IF(G200=1,SUM($G$10:G200),"-")</f>
        <v>146</v>
      </c>
      <c r="I200">
        <f t="shared" ca="1" si="36"/>
        <v>2.4864567483524169E-2</v>
      </c>
      <c r="J200">
        <f t="shared" ca="1" si="37"/>
        <v>0.19302185276550299</v>
      </c>
      <c r="L200">
        <f t="shared" si="43"/>
        <v>191</v>
      </c>
      <c r="M200">
        <f t="shared" ca="1" si="38"/>
        <v>2.5095112065302461E-2</v>
      </c>
      <c r="N200">
        <f t="shared" ca="1" si="39"/>
        <v>-8.0770829757597529E-2</v>
      </c>
      <c r="O200">
        <f t="shared" ca="1" si="40"/>
        <v>8.4579498634721709E-2</v>
      </c>
    </row>
    <row r="201" spans="1:15" x14ac:dyDescent="0.2">
      <c r="A201">
        <f t="shared" si="45"/>
        <v>192</v>
      </c>
      <c r="B201">
        <f t="shared" ca="1" si="33"/>
        <v>0.11524984586968856</v>
      </c>
      <c r="C201">
        <f t="shared" ca="1" si="46"/>
        <v>0.55209653348238996</v>
      </c>
      <c r="D201">
        <f t="shared" ca="1" si="46"/>
        <v>7.3949849191701222E-2</v>
      </c>
      <c r="E201">
        <f t="shared" ca="1" si="34"/>
        <v>0.31830988618379069</v>
      </c>
      <c r="F201">
        <f t="shared" si="41"/>
        <v>0.25</v>
      </c>
      <c r="G201">
        <f t="shared" ca="1" si="35"/>
        <v>1</v>
      </c>
      <c r="H201">
        <f ca="1">IF(G201=1,SUM($G$10:G201),"-")</f>
        <v>147</v>
      </c>
      <c r="I201">
        <f t="shared" ca="1" si="36"/>
        <v>0.55209653348238996</v>
      </c>
      <c r="J201">
        <f t="shared" ca="1" si="37"/>
        <v>7.3949849191701222E-2</v>
      </c>
      <c r="L201">
        <f t="shared" si="43"/>
        <v>192</v>
      </c>
      <c r="M201">
        <f t="shared" ca="1" si="38"/>
        <v>-0.35880181154627389</v>
      </c>
      <c r="N201">
        <f t="shared" ca="1" si="39"/>
        <v>-0.51669635132751068</v>
      </c>
      <c r="O201">
        <f t="shared" ca="1" si="40"/>
        <v>0.62905791422098023</v>
      </c>
    </row>
    <row r="202" spans="1:15" x14ac:dyDescent="0.2">
      <c r="A202">
        <f t="shared" si="45"/>
        <v>193</v>
      </c>
      <c r="B202">
        <f t="shared" ref="B202:B265" ca="1" si="47">RAND()</f>
        <v>0.96272387574261109</v>
      </c>
      <c r="C202">
        <f t="shared" ca="1" si="46"/>
        <v>0.69896923001006006</v>
      </c>
      <c r="D202">
        <f t="shared" ca="1" si="46"/>
        <v>0.26438442563156683</v>
      </c>
      <c r="E202">
        <f t="shared" ref="E202:E265" ca="1" si="48">(1/PI())*IF(C202^2+D202^2&lt;=1,1,0)</f>
        <v>0.31830988618379069</v>
      </c>
      <c r="F202">
        <f t="shared" si="41"/>
        <v>0.25</v>
      </c>
      <c r="G202">
        <f t="shared" ref="G202:G265" ca="1" si="49">IF($B$6*B202&lt;=E202/F202,1,0)</f>
        <v>1</v>
      </c>
      <c r="H202">
        <f ca="1">IF(G202=1,SUM($G$10:G202),"-")</f>
        <v>148</v>
      </c>
      <c r="I202">
        <f t="shared" ref="I202:I265" ca="1" si="50">IF($G202,C202,"-")</f>
        <v>0.69896923001006006</v>
      </c>
      <c r="J202">
        <f t="shared" ref="J202:J265" ca="1" si="51">IF($G202,D202,"-")</f>
        <v>0.26438442563156683</v>
      </c>
      <c r="L202">
        <f t="shared" si="43"/>
        <v>193</v>
      </c>
      <c r="M202">
        <f t="shared" ref="M202:M265" ca="1" si="52">VLOOKUP(L202,$H$10:$J$687,2,FALSE)</f>
        <v>0.2686440819692435</v>
      </c>
      <c r="N202">
        <f t="shared" ref="N202:N265" ca="1" si="53">VLOOKUP(L202,$H$10:$J$687,3,FALSE)</f>
        <v>-0.64386641029169422</v>
      </c>
      <c r="O202">
        <f t="shared" ref="O202:O265" ca="1" si="54">SQRT(M202^2+N202^2)</f>
        <v>0.69766295378141585</v>
      </c>
    </row>
    <row r="203" spans="1:15" x14ac:dyDescent="0.2">
      <c r="A203">
        <f t="shared" si="45"/>
        <v>194</v>
      </c>
      <c r="B203">
        <f t="shared" ca="1" si="47"/>
        <v>0.51588497356694185</v>
      </c>
      <c r="C203">
        <f t="shared" ca="1" si="46"/>
        <v>0.82833849757509048</v>
      </c>
      <c r="D203">
        <f t="shared" ca="1" si="46"/>
        <v>0.35696571315822045</v>
      </c>
      <c r="E203">
        <f t="shared" ca="1" si="48"/>
        <v>0.31830988618379069</v>
      </c>
      <c r="F203">
        <f t="shared" ref="F203:F266" si="55">1/4</f>
        <v>0.25</v>
      </c>
      <c r="G203">
        <f t="shared" ca="1" si="49"/>
        <v>1</v>
      </c>
      <c r="H203">
        <f ca="1">IF(G203=1,SUM($G$10:G203),"-")</f>
        <v>149</v>
      </c>
      <c r="I203">
        <f t="shared" ca="1" si="50"/>
        <v>0.82833849757509048</v>
      </c>
      <c r="J203">
        <f t="shared" ca="1" si="51"/>
        <v>0.35696571315822045</v>
      </c>
      <c r="L203">
        <f t="shared" si="43"/>
        <v>194</v>
      </c>
      <c r="M203">
        <f t="shared" ca="1" si="52"/>
        <v>0.63736512465283179</v>
      </c>
      <c r="N203">
        <f t="shared" ca="1" si="53"/>
        <v>-0.57701340015323987</v>
      </c>
      <c r="O203">
        <f t="shared" ca="1" si="54"/>
        <v>0.8597550616775238</v>
      </c>
    </row>
    <row r="204" spans="1:15" x14ac:dyDescent="0.2">
      <c r="A204">
        <f t="shared" si="45"/>
        <v>195</v>
      </c>
      <c r="B204">
        <f t="shared" ca="1" si="47"/>
        <v>0.26716061971063942</v>
      </c>
      <c r="C204">
        <f t="shared" ca="1" si="46"/>
        <v>0.58081469436696564</v>
      </c>
      <c r="D204">
        <f t="shared" ca="1" si="46"/>
        <v>-0.52428791329457747</v>
      </c>
      <c r="E204">
        <f t="shared" ca="1" si="48"/>
        <v>0.31830988618379069</v>
      </c>
      <c r="F204">
        <f t="shared" si="55"/>
        <v>0.25</v>
      </c>
      <c r="G204">
        <f t="shared" ca="1" si="49"/>
        <v>1</v>
      </c>
      <c r="H204">
        <f ca="1">IF(G204=1,SUM($G$10:G204),"-")</f>
        <v>150</v>
      </c>
      <c r="I204">
        <f t="shared" ca="1" si="50"/>
        <v>0.58081469436696564</v>
      </c>
      <c r="J204">
        <f t="shared" ca="1" si="51"/>
        <v>-0.52428791329457747</v>
      </c>
      <c r="L204">
        <f t="shared" si="43"/>
        <v>195</v>
      </c>
      <c r="M204">
        <f t="shared" ca="1" si="52"/>
        <v>-0.44984261748245036</v>
      </c>
      <c r="N204">
        <f t="shared" ca="1" si="53"/>
        <v>-0.1670418240126228</v>
      </c>
      <c r="O204">
        <f t="shared" ca="1" si="54"/>
        <v>0.47985555271657138</v>
      </c>
    </row>
    <row r="205" spans="1:15" x14ac:dyDescent="0.2">
      <c r="A205">
        <f t="shared" si="45"/>
        <v>196</v>
      </c>
      <c r="B205">
        <f t="shared" ca="1" si="47"/>
        <v>0.15147728490700929</v>
      </c>
      <c r="C205">
        <f t="shared" ca="1" si="46"/>
        <v>0.63197599722632547</v>
      </c>
      <c r="D205">
        <f t="shared" ca="1" si="46"/>
        <v>-0.91704224044773675</v>
      </c>
      <c r="E205">
        <f t="shared" ca="1" si="48"/>
        <v>0</v>
      </c>
      <c r="F205">
        <f t="shared" si="55"/>
        <v>0.25</v>
      </c>
      <c r="G205">
        <f t="shared" ca="1" si="49"/>
        <v>0</v>
      </c>
      <c r="H205" t="str">
        <f ca="1">IF(G205=1,SUM($G$10:G205),"-")</f>
        <v>-</v>
      </c>
      <c r="I205" t="str">
        <f t="shared" ca="1" si="50"/>
        <v>-</v>
      </c>
      <c r="J205" t="str">
        <f t="shared" ca="1" si="51"/>
        <v>-</v>
      </c>
      <c r="L205">
        <f t="shared" si="43"/>
        <v>196</v>
      </c>
      <c r="M205">
        <f t="shared" ca="1" si="52"/>
        <v>-0.25045049154528409</v>
      </c>
      <c r="N205">
        <f t="shared" ca="1" si="53"/>
        <v>-0.17852447446200559</v>
      </c>
      <c r="O205">
        <f t="shared" ca="1" si="54"/>
        <v>0.30756533728170621</v>
      </c>
    </row>
    <row r="206" spans="1:15" x14ac:dyDescent="0.2">
      <c r="A206">
        <f t="shared" si="45"/>
        <v>197</v>
      </c>
      <c r="B206">
        <f t="shared" ca="1" si="47"/>
        <v>0.86322603129955511</v>
      </c>
      <c r="C206">
        <f t="shared" ca="1" si="46"/>
        <v>-0.88607438132125704</v>
      </c>
      <c r="D206">
        <f t="shared" ca="1" si="46"/>
        <v>-0.77484816787127442</v>
      </c>
      <c r="E206">
        <f t="shared" ca="1" si="48"/>
        <v>0</v>
      </c>
      <c r="F206">
        <f t="shared" si="55"/>
        <v>0.25</v>
      </c>
      <c r="G206">
        <f t="shared" ca="1" si="49"/>
        <v>0</v>
      </c>
      <c r="H206" t="str">
        <f ca="1">IF(G206=1,SUM($G$10:G206),"-")</f>
        <v>-</v>
      </c>
      <c r="I206" t="str">
        <f t="shared" ca="1" si="50"/>
        <v>-</v>
      </c>
      <c r="J206" t="str">
        <f t="shared" ca="1" si="51"/>
        <v>-</v>
      </c>
      <c r="L206">
        <f t="shared" si="43"/>
        <v>197</v>
      </c>
      <c r="M206">
        <f t="shared" ca="1" si="52"/>
        <v>0.73754812459142549</v>
      </c>
      <c r="N206">
        <f t="shared" ca="1" si="53"/>
        <v>5.7410333824505999E-2</v>
      </c>
      <c r="O206">
        <f t="shared" ca="1" si="54"/>
        <v>0.73977914441958292</v>
      </c>
    </row>
    <row r="207" spans="1:15" x14ac:dyDescent="0.2">
      <c r="A207">
        <f t="shared" si="45"/>
        <v>198</v>
      </c>
      <c r="B207">
        <f t="shared" ca="1" si="47"/>
        <v>0.35663722630354044</v>
      </c>
      <c r="C207">
        <f t="shared" ca="1" si="46"/>
        <v>-0.28652288580614926</v>
      </c>
      <c r="D207">
        <f t="shared" ca="1" si="46"/>
        <v>-0.93599320034367728</v>
      </c>
      <c r="E207">
        <f t="shared" ca="1" si="48"/>
        <v>0.31830988618379069</v>
      </c>
      <c r="F207">
        <f t="shared" si="55"/>
        <v>0.25</v>
      </c>
      <c r="G207">
        <f t="shared" ca="1" si="49"/>
        <v>1</v>
      </c>
      <c r="H207">
        <f ca="1">IF(G207=1,SUM($G$10:G207),"-")</f>
        <v>151</v>
      </c>
      <c r="I207">
        <f t="shared" ca="1" si="50"/>
        <v>-0.28652288580614926</v>
      </c>
      <c r="J207">
        <f t="shared" ca="1" si="51"/>
        <v>-0.93599320034367728</v>
      </c>
      <c r="L207">
        <f t="shared" si="43"/>
        <v>198</v>
      </c>
      <c r="M207">
        <f t="shared" ca="1" si="52"/>
        <v>8.3754633407560508E-2</v>
      </c>
      <c r="N207">
        <f t="shared" ca="1" si="53"/>
        <v>6.3846844392987601E-2</v>
      </c>
      <c r="O207">
        <f t="shared" ca="1" si="54"/>
        <v>0.10531504240220019</v>
      </c>
    </row>
    <row r="208" spans="1:15" x14ac:dyDescent="0.2">
      <c r="A208">
        <f t="shared" si="45"/>
        <v>199</v>
      </c>
      <c r="B208">
        <f t="shared" ca="1" si="47"/>
        <v>1.1001308338535187E-3</v>
      </c>
      <c r="C208">
        <f t="shared" ca="1" si="46"/>
        <v>0.17621913362156327</v>
      </c>
      <c r="D208">
        <f t="shared" ca="1" si="46"/>
        <v>-0.24138576078721785</v>
      </c>
      <c r="E208">
        <f t="shared" ca="1" si="48"/>
        <v>0.31830988618379069</v>
      </c>
      <c r="F208">
        <f t="shared" si="55"/>
        <v>0.25</v>
      </c>
      <c r="G208">
        <f t="shared" ca="1" si="49"/>
        <v>1</v>
      </c>
      <c r="H208">
        <f ca="1">IF(G208=1,SUM($G$10:G208),"-")</f>
        <v>152</v>
      </c>
      <c r="I208">
        <f t="shared" ca="1" si="50"/>
        <v>0.17621913362156327</v>
      </c>
      <c r="J208">
        <f t="shared" ca="1" si="51"/>
        <v>-0.24138576078721785</v>
      </c>
      <c r="L208">
        <f t="shared" si="43"/>
        <v>199</v>
      </c>
      <c r="M208">
        <f t="shared" ca="1" si="52"/>
        <v>0.1113223276005364</v>
      </c>
      <c r="N208">
        <f t="shared" ca="1" si="53"/>
        <v>-4.8826024926988953E-2</v>
      </c>
      <c r="O208">
        <f t="shared" ca="1" si="54"/>
        <v>0.1215592091639794</v>
      </c>
    </row>
    <row r="209" spans="1:15" x14ac:dyDescent="0.2">
      <c r="A209">
        <f t="shared" si="45"/>
        <v>200</v>
      </c>
      <c r="B209">
        <f t="shared" ca="1" si="47"/>
        <v>8.1631141407215058E-2</v>
      </c>
      <c r="C209">
        <f t="shared" ca="1" si="46"/>
        <v>0.44332888634397505</v>
      </c>
      <c r="D209">
        <f t="shared" ca="1" si="46"/>
        <v>-0.53624282595685102</v>
      </c>
      <c r="E209">
        <f t="shared" ca="1" si="48"/>
        <v>0.31830988618379069</v>
      </c>
      <c r="F209">
        <f t="shared" si="55"/>
        <v>0.25</v>
      </c>
      <c r="G209">
        <f t="shared" ca="1" si="49"/>
        <v>1</v>
      </c>
      <c r="H209">
        <f ca="1">IF(G209=1,SUM($G$10:G209),"-")</f>
        <v>153</v>
      </c>
      <c r="I209">
        <f t="shared" ca="1" si="50"/>
        <v>0.44332888634397505</v>
      </c>
      <c r="J209">
        <f t="shared" ca="1" si="51"/>
        <v>-0.53624282595685102</v>
      </c>
      <c r="L209">
        <f t="shared" si="43"/>
        <v>200</v>
      </c>
      <c r="M209">
        <f t="shared" ca="1" si="52"/>
        <v>-0.71291256263702785</v>
      </c>
      <c r="N209">
        <f t="shared" ca="1" si="53"/>
        <v>0.58216213238281878</v>
      </c>
      <c r="O209">
        <f t="shared" ca="1" si="54"/>
        <v>0.92041135930963214</v>
      </c>
    </row>
    <row r="210" spans="1:15" x14ac:dyDescent="0.2">
      <c r="A210">
        <f t="shared" si="45"/>
        <v>201</v>
      </c>
      <c r="B210">
        <f t="shared" ca="1" si="47"/>
        <v>0.23349196281780238</v>
      </c>
      <c r="C210">
        <f t="shared" ref="C210:D229" ca="1" si="56">2*RAND()-1</f>
        <v>0.20058823610511478</v>
      </c>
      <c r="D210">
        <f t="shared" ca="1" si="56"/>
        <v>0.3193714693606089</v>
      </c>
      <c r="E210">
        <f t="shared" ca="1" si="48"/>
        <v>0.31830988618379069</v>
      </c>
      <c r="F210">
        <f t="shared" si="55"/>
        <v>0.25</v>
      </c>
      <c r="G210">
        <f t="shared" ca="1" si="49"/>
        <v>1</v>
      </c>
      <c r="H210">
        <f ca="1">IF(G210=1,SUM($G$10:G210),"-")</f>
        <v>154</v>
      </c>
      <c r="I210">
        <f t="shared" ca="1" si="50"/>
        <v>0.20058823610511478</v>
      </c>
      <c r="J210">
        <f t="shared" ca="1" si="51"/>
        <v>0.3193714693606089</v>
      </c>
      <c r="L210">
        <f t="shared" si="43"/>
        <v>201</v>
      </c>
      <c r="M210">
        <f t="shared" ca="1" si="52"/>
        <v>-0.11940346508821498</v>
      </c>
      <c r="N210">
        <f t="shared" ca="1" si="53"/>
        <v>0.33430750305897372</v>
      </c>
      <c r="O210">
        <f t="shared" ca="1" si="54"/>
        <v>0.35499111830663921</v>
      </c>
    </row>
    <row r="211" spans="1:15" x14ac:dyDescent="0.2">
      <c r="A211">
        <f t="shared" si="45"/>
        <v>202</v>
      </c>
      <c r="B211">
        <f t="shared" ca="1" si="47"/>
        <v>0.75738860321872836</v>
      </c>
      <c r="C211">
        <f t="shared" ca="1" si="56"/>
        <v>-0.84248109338973554</v>
      </c>
      <c r="D211">
        <f t="shared" ca="1" si="56"/>
        <v>0.92125960030034748</v>
      </c>
      <c r="E211">
        <f t="shared" ca="1" si="48"/>
        <v>0</v>
      </c>
      <c r="F211">
        <f t="shared" si="55"/>
        <v>0.25</v>
      </c>
      <c r="G211">
        <f t="shared" ca="1" si="49"/>
        <v>0</v>
      </c>
      <c r="H211" t="str">
        <f ca="1">IF(G211=1,SUM($G$10:G211),"-")</f>
        <v>-</v>
      </c>
      <c r="I211" t="str">
        <f t="shared" ca="1" si="50"/>
        <v>-</v>
      </c>
      <c r="J211" t="str">
        <f t="shared" ca="1" si="51"/>
        <v>-</v>
      </c>
      <c r="L211">
        <f t="shared" si="43"/>
        <v>202</v>
      </c>
      <c r="M211">
        <f t="shared" ca="1" si="52"/>
        <v>6.5898731125562326E-2</v>
      </c>
      <c r="N211">
        <f t="shared" ca="1" si="53"/>
        <v>0.48634408338724899</v>
      </c>
      <c r="O211">
        <f t="shared" ca="1" si="54"/>
        <v>0.49078835582126695</v>
      </c>
    </row>
    <row r="212" spans="1:15" x14ac:dyDescent="0.2">
      <c r="A212">
        <f t="shared" si="45"/>
        <v>203</v>
      </c>
      <c r="B212">
        <f t="shared" ca="1" si="47"/>
        <v>0.30588239542604667</v>
      </c>
      <c r="C212">
        <f t="shared" ca="1" si="56"/>
        <v>-0.11531642407258302</v>
      </c>
      <c r="D212">
        <f t="shared" ca="1" si="56"/>
        <v>0.71045804389276701</v>
      </c>
      <c r="E212">
        <f t="shared" ca="1" si="48"/>
        <v>0.31830988618379069</v>
      </c>
      <c r="F212">
        <f t="shared" si="55"/>
        <v>0.25</v>
      </c>
      <c r="G212">
        <f t="shared" ca="1" si="49"/>
        <v>1</v>
      </c>
      <c r="H212">
        <f ca="1">IF(G212=1,SUM($G$10:G212),"-")</f>
        <v>155</v>
      </c>
      <c r="I212">
        <f t="shared" ca="1" si="50"/>
        <v>-0.11531642407258302</v>
      </c>
      <c r="J212">
        <f t="shared" ca="1" si="51"/>
        <v>0.71045804389276701</v>
      </c>
      <c r="L212">
        <f t="shared" si="43"/>
        <v>203</v>
      </c>
      <c r="M212">
        <f t="shared" ca="1" si="52"/>
        <v>3.4345534365215924E-2</v>
      </c>
      <c r="N212">
        <f t="shared" ca="1" si="53"/>
        <v>-7.7651441494367868E-2</v>
      </c>
      <c r="O212">
        <f t="shared" ca="1" si="54"/>
        <v>8.490796250638373E-2</v>
      </c>
    </row>
    <row r="213" spans="1:15" x14ac:dyDescent="0.2">
      <c r="A213">
        <f t="shared" si="45"/>
        <v>204</v>
      </c>
      <c r="B213">
        <f t="shared" ca="1" si="47"/>
        <v>0.22503121651146352</v>
      </c>
      <c r="C213">
        <f t="shared" ca="1" si="56"/>
        <v>-0.83971149774096143</v>
      </c>
      <c r="D213">
        <f t="shared" ca="1" si="56"/>
        <v>-0.94689478355563916</v>
      </c>
      <c r="E213">
        <f t="shared" ca="1" si="48"/>
        <v>0</v>
      </c>
      <c r="F213">
        <f t="shared" si="55"/>
        <v>0.25</v>
      </c>
      <c r="G213">
        <f t="shared" ca="1" si="49"/>
        <v>0</v>
      </c>
      <c r="H213" t="str">
        <f ca="1">IF(G213=1,SUM($G$10:G213),"-")</f>
        <v>-</v>
      </c>
      <c r="I213" t="str">
        <f t="shared" ca="1" si="50"/>
        <v>-</v>
      </c>
      <c r="J213" t="str">
        <f t="shared" ca="1" si="51"/>
        <v>-</v>
      </c>
      <c r="L213">
        <f t="shared" si="43"/>
        <v>204</v>
      </c>
      <c r="M213">
        <f t="shared" ca="1" si="52"/>
        <v>-0.72843531206936163</v>
      </c>
      <c r="N213">
        <f t="shared" ca="1" si="53"/>
        <v>0.29116013149838338</v>
      </c>
      <c r="O213">
        <f t="shared" ca="1" si="54"/>
        <v>0.78446939140016425</v>
      </c>
    </row>
    <row r="214" spans="1:15" x14ac:dyDescent="0.2">
      <c r="A214">
        <f t="shared" si="45"/>
        <v>205</v>
      </c>
      <c r="B214">
        <f t="shared" ca="1" si="47"/>
        <v>0.3950068147374014</v>
      </c>
      <c r="C214">
        <f t="shared" ca="1" si="56"/>
        <v>0.21062698331727536</v>
      </c>
      <c r="D214">
        <f t="shared" ca="1" si="56"/>
        <v>-0.66744167378325248</v>
      </c>
      <c r="E214">
        <f t="shared" ca="1" si="48"/>
        <v>0.31830988618379069</v>
      </c>
      <c r="F214">
        <f t="shared" si="55"/>
        <v>0.25</v>
      </c>
      <c r="G214">
        <f t="shared" ca="1" si="49"/>
        <v>1</v>
      </c>
      <c r="H214">
        <f ca="1">IF(G214=1,SUM($G$10:G214),"-")</f>
        <v>156</v>
      </c>
      <c r="I214">
        <f t="shared" ca="1" si="50"/>
        <v>0.21062698331727536</v>
      </c>
      <c r="J214">
        <f t="shared" ca="1" si="51"/>
        <v>-0.66744167378325248</v>
      </c>
      <c r="L214">
        <f t="shared" si="43"/>
        <v>205</v>
      </c>
      <c r="M214">
        <f t="shared" ca="1" si="52"/>
        <v>-0.59227308925563715</v>
      </c>
      <c r="N214">
        <f t="shared" ca="1" si="53"/>
        <v>-1.8462709751358553E-2</v>
      </c>
      <c r="O214">
        <f t="shared" ca="1" si="54"/>
        <v>0.59256078498984288</v>
      </c>
    </row>
    <row r="215" spans="1:15" x14ac:dyDescent="0.2">
      <c r="A215">
        <f t="shared" si="45"/>
        <v>206</v>
      </c>
      <c r="B215">
        <f t="shared" ca="1" si="47"/>
        <v>4.3713868236445408E-2</v>
      </c>
      <c r="C215">
        <f t="shared" ca="1" si="56"/>
        <v>0.65182486951935426</v>
      </c>
      <c r="D215">
        <f t="shared" ca="1" si="56"/>
        <v>-0.44473915282220822</v>
      </c>
      <c r="E215">
        <f t="shared" ca="1" si="48"/>
        <v>0.31830988618379069</v>
      </c>
      <c r="F215">
        <f t="shared" si="55"/>
        <v>0.25</v>
      </c>
      <c r="G215">
        <f t="shared" ca="1" si="49"/>
        <v>1</v>
      </c>
      <c r="H215">
        <f ca="1">IF(G215=1,SUM($G$10:G215),"-")</f>
        <v>157</v>
      </c>
      <c r="I215">
        <f t="shared" ca="1" si="50"/>
        <v>0.65182486951935426</v>
      </c>
      <c r="J215">
        <f t="shared" ca="1" si="51"/>
        <v>-0.44473915282220822</v>
      </c>
      <c r="L215">
        <f t="shared" si="43"/>
        <v>206</v>
      </c>
      <c r="M215">
        <f t="shared" ca="1" si="52"/>
        <v>-5.5018146923834443E-2</v>
      </c>
      <c r="N215">
        <f t="shared" ca="1" si="53"/>
        <v>0.78345281138433576</v>
      </c>
      <c r="O215">
        <f t="shared" ca="1" si="54"/>
        <v>0.78538226626080132</v>
      </c>
    </row>
    <row r="216" spans="1:15" x14ac:dyDescent="0.2">
      <c r="A216">
        <f t="shared" si="45"/>
        <v>207</v>
      </c>
      <c r="B216">
        <f t="shared" ca="1" si="47"/>
        <v>0.8635069746670696</v>
      </c>
      <c r="C216">
        <f t="shared" ca="1" si="56"/>
        <v>-0.6452460436053653</v>
      </c>
      <c r="D216">
        <f t="shared" ca="1" si="56"/>
        <v>-0.73711727095095791</v>
      </c>
      <c r="E216">
        <f t="shared" ca="1" si="48"/>
        <v>0.31830988618379069</v>
      </c>
      <c r="F216">
        <f t="shared" si="55"/>
        <v>0.25</v>
      </c>
      <c r="G216">
        <f t="shared" ca="1" si="49"/>
        <v>1</v>
      </c>
      <c r="H216">
        <f ca="1">IF(G216=1,SUM($G$10:G216),"-")</f>
        <v>158</v>
      </c>
      <c r="I216">
        <f t="shared" ca="1" si="50"/>
        <v>-0.6452460436053653</v>
      </c>
      <c r="J216">
        <f t="shared" ca="1" si="51"/>
        <v>-0.73711727095095791</v>
      </c>
      <c r="L216">
        <f t="shared" si="43"/>
        <v>207</v>
      </c>
      <c r="M216">
        <f t="shared" ca="1" si="52"/>
        <v>-0.8935169112273369</v>
      </c>
      <c r="N216">
        <f t="shared" ca="1" si="53"/>
        <v>0.38397655651283502</v>
      </c>
      <c r="O216">
        <f t="shared" ca="1" si="54"/>
        <v>0.97252787445949074</v>
      </c>
    </row>
    <row r="217" spans="1:15" x14ac:dyDescent="0.2">
      <c r="A217">
        <f t="shared" si="45"/>
        <v>208</v>
      </c>
      <c r="B217">
        <f t="shared" ca="1" si="47"/>
        <v>0.10576891461454452</v>
      </c>
      <c r="C217">
        <f t="shared" ca="1" si="56"/>
        <v>-0.83797510353540661</v>
      </c>
      <c r="D217">
        <f t="shared" ca="1" si="56"/>
        <v>0.46087793173755509</v>
      </c>
      <c r="E217">
        <f t="shared" ca="1" si="48"/>
        <v>0.31830988618379069</v>
      </c>
      <c r="F217">
        <f t="shared" si="55"/>
        <v>0.25</v>
      </c>
      <c r="G217">
        <f t="shared" ca="1" si="49"/>
        <v>1</v>
      </c>
      <c r="H217">
        <f ca="1">IF(G217=1,SUM($G$10:G217),"-")</f>
        <v>159</v>
      </c>
      <c r="I217">
        <f t="shared" ca="1" si="50"/>
        <v>-0.83797510353540661</v>
      </c>
      <c r="J217">
        <f t="shared" ca="1" si="51"/>
        <v>0.46087793173755509</v>
      </c>
      <c r="L217">
        <f t="shared" si="43"/>
        <v>208</v>
      </c>
      <c r="M217">
        <f t="shared" ca="1" si="52"/>
        <v>0.53220199495428244</v>
      </c>
      <c r="N217">
        <f t="shared" ca="1" si="53"/>
        <v>-0.39755333844022966</v>
      </c>
      <c r="O217">
        <f t="shared" ca="1" si="54"/>
        <v>0.66429482937795759</v>
      </c>
    </row>
    <row r="218" spans="1:15" x14ac:dyDescent="0.2">
      <c r="A218">
        <f t="shared" si="45"/>
        <v>209</v>
      </c>
      <c r="B218">
        <f t="shared" ca="1" si="47"/>
        <v>0.80252676447921589</v>
      </c>
      <c r="C218">
        <f t="shared" ca="1" si="56"/>
        <v>0.47185147847338405</v>
      </c>
      <c r="D218">
        <f t="shared" ca="1" si="56"/>
        <v>-0.48576126600838632</v>
      </c>
      <c r="E218">
        <f t="shared" ca="1" si="48"/>
        <v>0.31830988618379069</v>
      </c>
      <c r="F218">
        <f t="shared" si="55"/>
        <v>0.25</v>
      </c>
      <c r="G218">
        <f t="shared" ca="1" si="49"/>
        <v>1</v>
      </c>
      <c r="H218">
        <f ca="1">IF(G218=1,SUM($G$10:G218),"-")</f>
        <v>160</v>
      </c>
      <c r="I218">
        <f t="shared" ca="1" si="50"/>
        <v>0.47185147847338405</v>
      </c>
      <c r="J218">
        <f t="shared" ca="1" si="51"/>
        <v>-0.48576126600838632</v>
      </c>
      <c r="L218">
        <f t="shared" si="43"/>
        <v>209</v>
      </c>
      <c r="M218">
        <f t="shared" ca="1" si="52"/>
        <v>-0.93093134767783403</v>
      </c>
      <c r="N218">
        <f t="shared" ca="1" si="53"/>
        <v>0.29944881251964262</v>
      </c>
      <c r="O218">
        <f t="shared" ca="1" si="54"/>
        <v>0.97790733988895517</v>
      </c>
    </row>
    <row r="219" spans="1:15" x14ac:dyDescent="0.2">
      <c r="A219">
        <f t="shared" si="45"/>
        <v>210</v>
      </c>
      <c r="B219">
        <f t="shared" ca="1" si="47"/>
        <v>0.69077127467480004</v>
      </c>
      <c r="C219">
        <f t="shared" ca="1" si="56"/>
        <v>-0.9880564798768261</v>
      </c>
      <c r="D219">
        <f t="shared" ca="1" si="56"/>
        <v>-0.16565219067800285</v>
      </c>
      <c r="E219">
        <f t="shared" ca="1" si="48"/>
        <v>0</v>
      </c>
      <c r="F219">
        <f t="shared" si="55"/>
        <v>0.25</v>
      </c>
      <c r="G219">
        <f t="shared" ca="1" si="49"/>
        <v>0</v>
      </c>
      <c r="H219" t="str">
        <f ca="1">IF(G219=1,SUM($G$10:G219),"-")</f>
        <v>-</v>
      </c>
      <c r="I219" t="str">
        <f t="shared" ca="1" si="50"/>
        <v>-</v>
      </c>
      <c r="J219" t="str">
        <f t="shared" ca="1" si="51"/>
        <v>-</v>
      </c>
      <c r="L219">
        <f t="shared" si="43"/>
        <v>210</v>
      </c>
      <c r="M219">
        <f t="shared" ca="1" si="52"/>
        <v>-0.60833624582970169</v>
      </c>
      <c r="N219">
        <f t="shared" ca="1" si="53"/>
        <v>-0.18712420434621535</v>
      </c>
      <c r="O219">
        <f t="shared" ca="1" si="54"/>
        <v>0.63646559674689362</v>
      </c>
    </row>
    <row r="220" spans="1:15" x14ac:dyDescent="0.2">
      <c r="A220">
        <f t="shared" si="45"/>
        <v>211</v>
      </c>
      <c r="B220">
        <f t="shared" ca="1" si="47"/>
        <v>0.63032734155522707</v>
      </c>
      <c r="C220">
        <f t="shared" ca="1" si="56"/>
        <v>-0.40027816487250045</v>
      </c>
      <c r="D220">
        <f t="shared" ca="1" si="56"/>
        <v>0.68274334596230846</v>
      </c>
      <c r="E220">
        <f t="shared" ca="1" si="48"/>
        <v>0.31830988618379069</v>
      </c>
      <c r="F220">
        <f t="shared" si="55"/>
        <v>0.25</v>
      </c>
      <c r="G220">
        <f t="shared" ca="1" si="49"/>
        <v>1</v>
      </c>
      <c r="H220">
        <f ca="1">IF(G220=1,SUM($G$10:G220),"-")</f>
        <v>161</v>
      </c>
      <c r="I220">
        <f t="shared" ca="1" si="50"/>
        <v>-0.40027816487250045</v>
      </c>
      <c r="J220">
        <f t="shared" ca="1" si="51"/>
        <v>0.68274334596230846</v>
      </c>
      <c r="L220">
        <f t="shared" si="43"/>
        <v>211</v>
      </c>
      <c r="M220">
        <f t="shared" ca="1" si="52"/>
        <v>0.31707585496136681</v>
      </c>
      <c r="N220">
        <f t="shared" ca="1" si="53"/>
        <v>0.44302828748336465</v>
      </c>
      <c r="O220">
        <f t="shared" ca="1" si="54"/>
        <v>0.54480378239318838</v>
      </c>
    </row>
    <row r="221" spans="1:15" x14ac:dyDescent="0.2">
      <c r="A221">
        <f t="shared" si="45"/>
        <v>212</v>
      </c>
      <c r="B221">
        <f t="shared" ca="1" si="47"/>
        <v>0.3957979083041705</v>
      </c>
      <c r="C221">
        <f t="shared" ca="1" si="56"/>
        <v>-6.4078934832423773E-2</v>
      </c>
      <c r="D221">
        <f t="shared" ca="1" si="56"/>
        <v>0.43430688685743557</v>
      </c>
      <c r="E221">
        <f t="shared" ca="1" si="48"/>
        <v>0.31830988618379069</v>
      </c>
      <c r="F221">
        <f t="shared" si="55"/>
        <v>0.25</v>
      </c>
      <c r="G221">
        <f t="shared" ca="1" si="49"/>
        <v>1</v>
      </c>
      <c r="H221">
        <f ca="1">IF(G221=1,SUM($G$10:G221),"-")</f>
        <v>162</v>
      </c>
      <c r="I221">
        <f t="shared" ca="1" si="50"/>
        <v>-6.4078934832423773E-2</v>
      </c>
      <c r="J221">
        <f t="shared" ca="1" si="51"/>
        <v>0.43430688685743557</v>
      </c>
      <c r="L221">
        <f t="shared" si="43"/>
        <v>212</v>
      </c>
      <c r="M221">
        <f t="shared" ca="1" si="52"/>
        <v>-7.7423927345139365E-3</v>
      </c>
      <c r="N221">
        <f t="shared" ca="1" si="53"/>
        <v>-0.72247771654027271</v>
      </c>
      <c r="O221">
        <f t="shared" ca="1" si="54"/>
        <v>0.72251920081233978</v>
      </c>
    </row>
    <row r="222" spans="1:15" x14ac:dyDescent="0.2">
      <c r="A222">
        <f t="shared" si="45"/>
        <v>213</v>
      </c>
      <c r="B222">
        <f t="shared" ca="1" si="47"/>
        <v>0.92048067182983984</v>
      </c>
      <c r="C222">
        <f t="shared" ca="1" si="56"/>
        <v>0.47859397283038385</v>
      </c>
      <c r="D222">
        <f t="shared" ca="1" si="56"/>
        <v>-0.35891055457044385</v>
      </c>
      <c r="E222">
        <f t="shared" ca="1" si="48"/>
        <v>0.31830988618379069</v>
      </c>
      <c r="F222">
        <f t="shared" si="55"/>
        <v>0.25</v>
      </c>
      <c r="G222">
        <f t="shared" ca="1" si="49"/>
        <v>1</v>
      </c>
      <c r="H222">
        <f ca="1">IF(G222=1,SUM($G$10:G222),"-")</f>
        <v>163</v>
      </c>
      <c r="I222">
        <f t="shared" ca="1" si="50"/>
        <v>0.47859397283038385</v>
      </c>
      <c r="J222">
        <f t="shared" ca="1" si="51"/>
        <v>-0.35891055457044385</v>
      </c>
      <c r="L222">
        <f t="shared" si="43"/>
        <v>213</v>
      </c>
      <c r="M222">
        <f t="shared" ca="1" si="52"/>
        <v>0.8412414460892863</v>
      </c>
      <c r="N222">
        <f t="shared" ca="1" si="53"/>
        <v>0.18325842092696742</v>
      </c>
      <c r="O222">
        <f t="shared" ca="1" si="54"/>
        <v>0.86097085865843281</v>
      </c>
    </row>
    <row r="223" spans="1:15" x14ac:dyDescent="0.2">
      <c r="A223">
        <f t="shared" si="45"/>
        <v>214</v>
      </c>
      <c r="B223">
        <f t="shared" ca="1" si="47"/>
        <v>5.387564179767268E-3</v>
      </c>
      <c r="C223">
        <f t="shared" ca="1" si="56"/>
        <v>-0.696939274471293</v>
      </c>
      <c r="D223">
        <f t="shared" ca="1" si="56"/>
        <v>0.11760768837624758</v>
      </c>
      <c r="E223">
        <f t="shared" ca="1" si="48"/>
        <v>0.31830988618379069</v>
      </c>
      <c r="F223">
        <f t="shared" si="55"/>
        <v>0.25</v>
      </c>
      <c r="G223">
        <f t="shared" ca="1" si="49"/>
        <v>1</v>
      </c>
      <c r="H223">
        <f ca="1">IF(G223=1,SUM($G$10:G223),"-")</f>
        <v>164</v>
      </c>
      <c r="I223">
        <f t="shared" ca="1" si="50"/>
        <v>-0.696939274471293</v>
      </c>
      <c r="J223">
        <f t="shared" ca="1" si="51"/>
        <v>0.11760768837624758</v>
      </c>
      <c r="L223">
        <f t="shared" si="43"/>
        <v>214</v>
      </c>
      <c r="M223">
        <f t="shared" ca="1" si="52"/>
        <v>-0.49017904771442766</v>
      </c>
      <c r="N223">
        <f t="shared" ca="1" si="53"/>
        <v>0.68638216141977049</v>
      </c>
      <c r="O223">
        <f t="shared" ca="1" si="54"/>
        <v>0.84344292654186093</v>
      </c>
    </row>
    <row r="224" spans="1:15" x14ac:dyDescent="0.2">
      <c r="A224">
        <f t="shared" si="45"/>
        <v>215</v>
      </c>
      <c r="B224">
        <f t="shared" ca="1" si="47"/>
        <v>0.58647944183210787</v>
      </c>
      <c r="C224">
        <f t="shared" ca="1" si="56"/>
        <v>-0.22028948144143867</v>
      </c>
      <c r="D224">
        <f t="shared" ca="1" si="56"/>
        <v>0.49165831188293141</v>
      </c>
      <c r="E224">
        <f t="shared" ca="1" si="48"/>
        <v>0.31830988618379069</v>
      </c>
      <c r="F224">
        <f t="shared" si="55"/>
        <v>0.25</v>
      </c>
      <c r="G224">
        <f t="shared" ca="1" si="49"/>
        <v>1</v>
      </c>
      <c r="H224">
        <f ca="1">IF(G224=1,SUM($G$10:G224),"-")</f>
        <v>165</v>
      </c>
      <c r="I224">
        <f t="shared" ca="1" si="50"/>
        <v>-0.22028948144143867</v>
      </c>
      <c r="J224">
        <f t="shared" ca="1" si="51"/>
        <v>0.49165831188293141</v>
      </c>
      <c r="L224">
        <f t="shared" si="43"/>
        <v>215</v>
      </c>
      <c r="M224">
        <f t="shared" ca="1" si="52"/>
        <v>0.3216297227910665</v>
      </c>
      <c r="N224">
        <f t="shared" ca="1" si="53"/>
        <v>-0.75487596515981048</v>
      </c>
      <c r="O224">
        <f t="shared" ca="1" si="54"/>
        <v>0.82053848255801731</v>
      </c>
    </row>
    <row r="225" spans="1:15" x14ac:dyDescent="0.2">
      <c r="A225">
        <f t="shared" si="45"/>
        <v>216</v>
      </c>
      <c r="B225">
        <f t="shared" ca="1" si="47"/>
        <v>4.8138966027870822E-2</v>
      </c>
      <c r="C225">
        <f t="shared" ca="1" si="56"/>
        <v>-0.19672053577375959</v>
      </c>
      <c r="D225">
        <f t="shared" ca="1" si="56"/>
        <v>0.3605965227164627</v>
      </c>
      <c r="E225">
        <f t="shared" ca="1" si="48"/>
        <v>0.31830988618379069</v>
      </c>
      <c r="F225">
        <f t="shared" si="55"/>
        <v>0.25</v>
      </c>
      <c r="G225">
        <f t="shared" ca="1" si="49"/>
        <v>1</v>
      </c>
      <c r="H225">
        <f ca="1">IF(G225=1,SUM($G$10:G225),"-")</f>
        <v>166</v>
      </c>
      <c r="I225">
        <f t="shared" ca="1" si="50"/>
        <v>-0.19672053577375959</v>
      </c>
      <c r="J225">
        <f t="shared" ca="1" si="51"/>
        <v>0.3605965227164627</v>
      </c>
      <c r="L225">
        <f t="shared" si="43"/>
        <v>216</v>
      </c>
      <c r="M225">
        <f t="shared" ca="1" si="52"/>
        <v>0.79162276842605261</v>
      </c>
      <c r="N225">
        <f t="shared" ca="1" si="53"/>
        <v>-0.33790722354201175</v>
      </c>
      <c r="O225">
        <f t="shared" ca="1" si="54"/>
        <v>0.86072521701899662</v>
      </c>
    </row>
    <row r="226" spans="1:15" x14ac:dyDescent="0.2">
      <c r="A226">
        <f t="shared" si="45"/>
        <v>217</v>
      </c>
      <c r="B226">
        <f t="shared" ca="1" si="47"/>
        <v>0.30523918160090258</v>
      </c>
      <c r="C226">
        <f t="shared" ca="1" si="56"/>
        <v>0.83857719624460669</v>
      </c>
      <c r="D226">
        <f t="shared" ca="1" si="56"/>
        <v>-0.24130094803455426</v>
      </c>
      <c r="E226">
        <f t="shared" ca="1" si="48"/>
        <v>0.31830988618379069</v>
      </c>
      <c r="F226">
        <f t="shared" si="55"/>
        <v>0.25</v>
      </c>
      <c r="G226">
        <f t="shared" ca="1" si="49"/>
        <v>1</v>
      </c>
      <c r="H226">
        <f ca="1">IF(G226=1,SUM($G$10:G226),"-")</f>
        <v>167</v>
      </c>
      <c r="I226">
        <f t="shared" ca="1" si="50"/>
        <v>0.83857719624460669</v>
      </c>
      <c r="J226">
        <f t="shared" ca="1" si="51"/>
        <v>-0.24130094803455426</v>
      </c>
      <c r="L226">
        <f t="shared" si="43"/>
        <v>217</v>
      </c>
      <c r="M226">
        <f t="shared" ca="1" si="52"/>
        <v>-0.45663968524265131</v>
      </c>
      <c r="N226">
        <f t="shared" ca="1" si="53"/>
        <v>0.76425913531358436</v>
      </c>
      <c r="O226">
        <f t="shared" ca="1" si="54"/>
        <v>0.8902874974123669</v>
      </c>
    </row>
    <row r="227" spans="1:15" x14ac:dyDescent="0.2">
      <c r="A227">
        <f t="shared" si="45"/>
        <v>218</v>
      </c>
      <c r="B227">
        <f t="shared" ca="1" si="47"/>
        <v>0.59024683141273182</v>
      </c>
      <c r="C227">
        <f t="shared" ca="1" si="56"/>
        <v>-0.80088678109733813</v>
      </c>
      <c r="D227">
        <f t="shared" ca="1" si="56"/>
        <v>0.51211636369972968</v>
      </c>
      <c r="E227">
        <f t="shared" ca="1" si="48"/>
        <v>0.31830988618379069</v>
      </c>
      <c r="F227">
        <f t="shared" si="55"/>
        <v>0.25</v>
      </c>
      <c r="G227">
        <f t="shared" ca="1" si="49"/>
        <v>1</v>
      </c>
      <c r="H227">
        <f ca="1">IF(G227=1,SUM($G$10:G227),"-")</f>
        <v>168</v>
      </c>
      <c r="I227">
        <f t="shared" ca="1" si="50"/>
        <v>-0.80088678109733813</v>
      </c>
      <c r="J227">
        <f t="shared" ca="1" si="51"/>
        <v>0.51211636369972968</v>
      </c>
      <c r="L227">
        <f t="shared" si="43"/>
        <v>218</v>
      </c>
      <c r="M227">
        <f t="shared" ca="1" si="52"/>
        <v>0.71454569525652167</v>
      </c>
      <c r="N227">
        <f t="shared" ca="1" si="53"/>
        <v>0.50346837696808877</v>
      </c>
      <c r="O227">
        <f t="shared" ca="1" si="54"/>
        <v>0.87410294429003466</v>
      </c>
    </row>
    <row r="228" spans="1:15" x14ac:dyDescent="0.2">
      <c r="A228">
        <f t="shared" si="45"/>
        <v>219</v>
      </c>
      <c r="B228">
        <f t="shared" ca="1" si="47"/>
        <v>0.12370361231522231</v>
      </c>
      <c r="C228">
        <f t="shared" ca="1" si="56"/>
        <v>-0.31529796596964133</v>
      </c>
      <c r="D228">
        <f t="shared" ca="1" si="56"/>
        <v>7.9891493061188257E-2</v>
      </c>
      <c r="E228">
        <f t="shared" ca="1" si="48"/>
        <v>0.31830988618379069</v>
      </c>
      <c r="F228">
        <f t="shared" si="55"/>
        <v>0.25</v>
      </c>
      <c r="G228">
        <f t="shared" ca="1" si="49"/>
        <v>1</v>
      </c>
      <c r="H228">
        <f ca="1">IF(G228=1,SUM($G$10:G228),"-")</f>
        <v>169</v>
      </c>
      <c r="I228">
        <f t="shared" ca="1" si="50"/>
        <v>-0.31529796596964133</v>
      </c>
      <c r="J228">
        <f t="shared" ca="1" si="51"/>
        <v>7.9891493061188257E-2</v>
      </c>
      <c r="L228">
        <f t="shared" ref="L228:L291" si="57">1+L227</f>
        <v>219</v>
      </c>
      <c r="M228">
        <f t="shared" ca="1" si="52"/>
        <v>-0.22655596396344801</v>
      </c>
      <c r="N228">
        <f t="shared" ca="1" si="53"/>
        <v>-0.39556619193734566</v>
      </c>
      <c r="O228">
        <f t="shared" ca="1" si="54"/>
        <v>0.45585109083035014</v>
      </c>
    </row>
    <row r="229" spans="1:15" x14ac:dyDescent="0.2">
      <c r="A229">
        <f t="shared" si="45"/>
        <v>220</v>
      </c>
      <c r="B229">
        <f t="shared" ca="1" si="47"/>
        <v>0.1172233150244032</v>
      </c>
      <c r="C229">
        <f t="shared" ca="1" si="56"/>
        <v>0.86637193159242365</v>
      </c>
      <c r="D229">
        <f t="shared" ca="1" si="56"/>
        <v>-0.79965098345609897</v>
      </c>
      <c r="E229">
        <f t="shared" ca="1" si="48"/>
        <v>0</v>
      </c>
      <c r="F229">
        <f t="shared" si="55"/>
        <v>0.25</v>
      </c>
      <c r="G229">
        <f t="shared" ca="1" si="49"/>
        <v>0</v>
      </c>
      <c r="H229" t="str">
        <f ca="1">IF(G229=1,SUM($G$10:G229),"-")</f>
        <v>-</v>
      </c>
      <c r="I229" t="str">
        <f t="shared" ca="1" si="50"/>
        <v>-</v>
      </c>
      <c r="J229" t="str">
        <f t="shared" ca="1" si="51"/>
        <v>-</v>
      </c>
      <c r="L229">
        <f t="shared" si="57"/>
        <v>220</v>
      </c>
      <c r="M229">
        <f t="shared" ca="1" si="52"/>
        <v>0.15450549908861344</v>
      </c>
      <c r="N229">
        <f t="shared" ca="1" si="53"/>
        <v>0.83058792081629629</v>
      </c>
      <c r="O229">
        <f t="shared" ca="1" si="54"/>
        <v>0.84483622285893945</v>
      </c>
    </row>
    <row r="230" spans="1:15" x14ac:dyDescent="0.2">
      <c r="A230">
        <f t="shared" si="45"/>
        <v>221</v>
      </c>
      <c r="B230">
        <f t="shared" ca="1" si="47"/>
        <v>0.95922822223907178</v>
      </c>
      <c r="C230">
        <f t="shared" ref="C230:D249" ca="1" si="58">2*RAND()-1</f>
        <v>-0.63758943279684299</v>
      </c>
      <c r="D230">
        <f t="shared" ca="1" si="58"/>
        <v>-0.62222526531973865</v>
      </c>
      <c r="E230">
        <f t="shared" ca="1" si="48"/>
        <v>0.31830988618379069</v>
      </c>
      <c r="F230">
        <f t="shared" si="55"/>
        <v>0.25</v>
      </c>
      <c r="G230">
        <f t="shared" ca="1" si="49"/>
        <v>1</v>
      </c>
      <c r="H230">
        <f ca="1">IF(G230=1,SUM($G$10:G230),"-")</f>
        <v>170</v>
      </c>
      <c r="I230">
        <f t="shared" ca="1" si="50"/>
        <v>-0.63758943279684299</v>
      </c>
      <c r="J230">
        <f t="shared" ca="1" si="51"/>
        <v>-0.62222526531973865</v>
      </c>
      <c r="L230">
        <f t="shared" si="57"/>
        <v>221</v>
      </c>
      <c r="M230">
        <f t="shared" ca="1" si="52"/>
        <v>-0.19150635827607232</v>
      </c>
      <c r="N230">
        <f t="shared" ca="1" si="53"/>
        <v>4.5024910339950042E-2</v>
      </c>
      <c r="O230">
        <f t="shared" ca="1" si="54"/>
        <v>0.19672805547578595</v>
      </c>
    </row>
    <row r="231" spans="1:15" x14ac:dyDescent="0.2">
      <c r="A231">
        <f t="shared" si="45"/>
        <v>222</v>
      </c>
      <c r="B231">
        <f t="shared" ca="1" si="47"/>
        <v>0.51103905379973269</v>
      </c>
      <c r="C231">
        <f t="shared" ca="1" si="58"/>
        <v>0.23717881921607353</v>
      </c>
      <c r="D231">
        <f t="shared" ca="1" si="58"/>
        <v>-0.14562568621489125</v>
      </c>
      <c r="E231">
        <f t="shared" ca="1" si="48"/>
        <v>0.31830988618379069</v>
      </c>
      <c r="F231">
        <f t="shared" si="55"/>
        <v>0.25</v>
      </c>
      <c r="G231">
        <f t="shared" ca="1" si="49"/>
        <v>1</v>
      </c>
      <c r="H231">
        <f ca="1">IF(G231=1,SUM($G$10:G231),"-")</f>
        <v>171</v>
      </c>
      <c r="I231">
        <f t="shared" ca="1" si="50"/>
        <v>0.23717881921607353</v>
      </c>
      <c r="J231">
        <f t="shared" ca="1" si="51"/>
        <v>-0.14562568621489125</v>
      </c>
      <c r="L231">
        <f t="shared" si="57"/>
        <v>222</v>
      </c>
      <c r="M231">
        <f t="shared" ca="1" si="52"/>
        <v>0.27873893867987598</v>
      </c>
      <c r="N231">
        <f t="shared" ca="1" si="53"/>
        <v>-0.66111568343686034</v>
      </c>
      <c r="O231">
        <f t="shared" ca="1" si="54"/>
        <v>0.71747428025161331</v>
      </c>
    </row>
    <row r="232" spans="1:15" x14ac:dyDescent="0.2">
      <c r="A232">
        <f t="shared" si="45"/>
        <v>223</v>
      </c>
      <c r="B232">
        <f t="shared" ca="1" si="47"/>
        <v>0.4500477518956888</v>
      </c>
      <c r="C232">
        <f t="shared" ca="1" si="58"/>
        <v>0.42003553048942677</v>
      </c>
      <c r="D232">
        <f t="shared" ca="1" si="58"/>
        <v>0.2723244052000644</v>
      </c>
      <c r="E232">
        <f t="shared" ca="1" si="48"/>
        <v>0.31830988618379069</v>
      </c>
      <c r="F232">
        <f t="shared" si="55"/>
        <v>0.25</v>
      </c>
      <c r="G232">
        <f t="shared" ca="1" si="49"/>
        <v>1</v>
      </c>
      <c r="H232">
        <f ca="1">IF(G232=1,SUM($G$10:G232),"-")</f>
        <v>172</v>
      </c>
      <c r="I232">
        <f t="shared" ca="1" si="50"/>
        <v>0.42003553048942677</v>
      </c>
      <c r="J232">
        <f t="shared" ca="1" si="51"/>
        <v>0.2723244052000644</v>
      </c>
      <c r="L232">
        <f t="shared" si="57"/>
        <v>223</v>
      </c>
      <c r="M232">
        <f t="shared" ca="1" si="52"/>
        <v>-0.13803672475362672</v>
      </c>
      <c r="N232">
        <f t="shared" ca="1" si="53"/>
        <v>0.48533785643546978</v>
      </c>
      <c r="O232">
        <f t="shared" ca="1" si="54"/>
        <v>0.50458594141145585</v>
      </c>
    </row>
    <row r="233" spans="1:15" x14ac:dyDescent="0.2">
      <c r="A233">
        <f t="shared" si="45"/>
        <v>224</v>
      </c>
      <c r="B233">
        <f t="shared" ca="1" si="47"/>
        <v>0.71847009109985516</v>
      </c>
      <c r="C233">
        <f t="shared" ca="1" si="58"/>
        <v>0.98496953513788044</v>
      </c>
      <c r="D233">
        <f t="shared" ca="1" si="58"/>
        <v>9.1293071616705523E-2</v>
      </c>
      <c r="E233">
        <f t="shared" ca="1" si="48"/>
        <v>0.31830988618379069</v>
      </c>
      <c r="F233">
        <f t="shared" si="55"/>
        <v>0.25</v>
      </c>
      <c r="G233">
        <f t="shared" ca="1" si="49"/>
        <v>1</v>
      </c>
      <c r="H233">
        <f ca="1">IF(G233=1,SUM($G$10:G233),"-")</f>
        <v>173</v>
      </c>
      <c r="I233">
        <f t="shared" ca="1" si="50"/>
        <v>0.98496953513788044</v>
      </c>
      <c r="J233">
        <f t="shared" ca="1" si="51"/>
        <v>9.1293071616705523E-2</v>
      </c>
      <c r="L233">
        <f t="shared" si="57"/>
        <v>224</v>
      </c>
      <c r="M233">
        <f t="shared" ca="1" si="52"/>
        <v>-0.42706499602327086</v>
      </c>
      <c r="N233">
        <f t="shared" ca="1" si="53"/>
        <v>-0.52648715104139909</v>
      </c>
      <c r="O233">
        <f t="shared" ca="1" si="54"/>
        <v>0.67791830705479939</v>
      </c>
    </row>
    <row r="234" spans="1:15" x14ac:dyDescent="0.2">
      <c r="A234">
        <f t="shared" si="45"/>
        <v>225</v>
      </c>
      <c r="B234">
        <f t="shared" ca="1" si="47"/>
        <v>0.86444691599979873</v>
      </c>
      <c r="C234">
        <f t="shared" ca="1" si="58"/>
        <v>-0.56439678630190437</v>
      </c>
      <c r="D234">
        <f t="shared" ca="1" si="58"/>
        <v>0.57306522078211386</v>
      </c>
      <c r="E234">
        <f t="shared" ca="1" si="48"/>
        <v>0.31830988618379069</v>
      </c>
      <c r="F234">
        <f t="shared" si="55"/>
        <v>0.25</v>
      </c>
      <c r="G234">
        <f t="shared" ca="1" si="49"/>
        <v>1</v>
      </c>
      <c r="H234">
        <f ca="1">IF(G234=1,SUM($G$10:G234),"-")</f>
        <v>174</v>
      </c>
      <c r="I234">
        <f t="shared" ca="1" si="50"/>
        <v>-0.56439678630190437</v>
      </c>
      <c r="J234">
        <f t="shared" ca="1" si="51"/>
        <v>0.57306522078211386</v>
      </c>
      <c r="L234">
        <f t="shared" si="57"/>
        <v>225</v>
      </c>
      <c r="M234">
        <f t="shared" ca="1" si="52"/>
        <v>8.5455109731671586E-2</v>
      </c>
      <c r="N234">
        <f t="shared" ca="1" si="53"/>
        <v>0.17790973473614002</v>
      </c>
      <c r="O234">
        <f t="shared" ca="1" si="54"/>
        <v>0.19736881590853134</v>
      </c>
    </row>
    <row r="235" spans="1:15" x14ac:dyDescent="0.2">
      <c r="A235">
        <f t="shared" si="45"/>
        <v>226</v>
      </c>
      <c r="B235">
        <f t="shared" ca="1" si="47"/>
        <v>0.56435088922045262</v>
      </c>
      <c r="C235">
        <f t="shared" ca="1" si="58"/>
        <v>-0.79492831380683082</v>
      </c>
      <c r="D235">
        <f t="shared" ca="1" si="58"/>
        <v>-0.84312180591410879</v>
      </c>
      <c r="E235">
        <f t="shared" ca="1" si="48"/>
        <v>0</v>
      </c>
      <c r="F235">
        <f t="shared" si="55"/>
        <v>0.25</v>
      </c>
      <c r="G235">
        <f t="shared" ca="1" si="49"/>
        <v>0</v>
      </c>
      <c r="H235" t="str">
        <f ca="1">IF(G235=1,SUM($G$10:G235),"-")</f>
        <v>-</v>
      </c>
      <c r="I235" t="str">
        <f t="shared" ca="1" si="50"/>
        <v>-</v>
      </c>
      <c r="J235" t="str">
        <f t="shared" ca="1" si="51"/>
        <v>-</v>
      </c>
      <c r="L235">
        <f t="shared" si="57"/>
        <v>226</v>
      </c>
      <c r="M235">
        <f t="shared" ca="1" si="52"/>
        <v>0.55058201797569439</v>
      </c>
      <c r="N235">
        <f t="shared" ca="1" si="53"/>
        <v>-0.38458086158973415</v>
      </c>
      <c r="O235">
        <f t="shared" ca="1" si="54"/>
        <v>0.67159734783521152</v>
      </c>
    </row>
    <row r="236" spans="1:15" x14ac:dyDescent="0.2">
      <c r="A236">
        <f t="shared" si="45"/>
        <v>227</v>
      </c>
      <c r="B236">
        <f t="shared" ca="1" si="47"/>
        <v>0.78723678973638211</v>
      </c>
      <c r="C236">
        <f t="shared" ca="1" si="58"/>
        <v>0.75603287192200308</v>
      </c>
      <c r="D236">
        <f t="shared" ca="1" si="58"/>
        <v>-0.40242353499477845</v>
      </c>
      <c r="E236">
        <f t="shared" ca="1" si="48"/>
        <v>0.31830988618379069</v>
      </c>
      <c r="F236">
        <f t="shared" si="55"/>
        <v>0.25</v>
      </c>
      <c r="G236">
        <f t="shared" ca="1" si="49"/>
        <v>1</v>
      </c>
      <c r="H236">
        <f ca="1">IF(G236=1,SUM($G$10:G236),"-")</f>
        <v>175</v>
      </c>
      <c r="I236">
        <f t="shared" ca="1" si="50"/>
        <v>0.75603287192200308</v>
      </c>
      <c r="J236">
        <f t="shared" ca="1" si="51"/>
        <v>-0.40242353499477845</v>
      </c>
      <c r="L236">
        <f t="shared" si="57"/>
        <v>227</v>
      </c>
      <c r="M236">
        <f t="shared" ca="1" si="52"/>
        <v>-0.38636600515455832</v>
      </c>
      <c r="N236">
        <f t="shared" ca="1" si="53"/>
        <v>-0.27487186456189727</v>
      </c>
      <c r="O236">
        <f t="shared" ca="1" si="54"/>
        <v>0.47416582739251273</v>
      </c>
    </row>
    <row r="237" spans="1:15" x14ac:dyDescent="0.2">
      <c r="A237">
        <f t="shared" si="45"/>
        <v>228</v>
      </c>
      <c r="B237">
        <f t="shared" ca="1" si="47"/>
        <v>0.21436069710535599</v>
      </c>
      <c r="C237">
        <f t="shared" ca="1" si="58"/>
        <v>0.12656947813611663</v>
      </c>
      <c r="D237">
        <f t="shared" ca="1" si="58"/>
        <v>-0.42523680909943984</v>
      </c>
      <c r="E237">
        <f t="shared" ca="1" si="48"/>
        <v>0.31830988618379069</v>
      </c>
      <c r="F237">
        <f t="shared" si="55"/>
        <v>0.25</v>
      </c>
      <c r="G237">
        <f t="shared" ca="1" si="49"/>
        <v>1</v>
      </c>
      <c r="H237">
        <f ca="1">IF(G237=1,SUM($G$10:G237),"-")</f>
        <v>176</v>
      </c>
      <c r="I237">
        <f t="shared" ca="1" si="50"/>
        <v>0.12656947813611663</v>
      </c>
      <c r="J237">
        <f t="shared" ca="1" si="51"/>
        <v>-0.42523680909943984</v>
      </c>
      <c r="L237">
        <f t="shared" si="57"/>
        <v>228</v>
      </c>
      <c r="M237">
        <f t="shared" ca="1" si="52"/>
        <v>-0.24559283089309503</v>
      </c>
      <c r="N237">
        <f t="shared" ca="1" si="53"/>
        <v>-0.43138863917387416</v>
      </c>
      <c r="O237">
        <f t="shared" ca="1" si="54"/>
        <v>0.49639902960659721</v>
      </c>
    </row>
    <row r="238" spans="1:15" x14ac:dyDescent="0.2">
      <c r="A238">
        <f t="shared" si="45"/>
        <v>229</v>
      </c>
      <c r="B238">
        <f t="shared" ca="1" si="47"/>
        <v>0.79343391703424127</v>
      </c>
      <c r="C238">
        <f t="shared" ca="1" si="58"/>
        <v>-0.65056490690220148</v>
      </c>
      <c r="D238">
        <f t="shared" ca="1" si="58"/>
        <v>0.84261473186306213</v>
      </c>
      <c r="E238">
        <f t="shared" ca="1" si="48"/>
        <v>0</v>
      </c>
      <c r="F238">
        <f t="shared" si="55"/>
        <v>0.25</v>
      </c>
      <c r="G238">
        <f t="shared" ca="1" si="49"/>
        <v>0</v>
      </c>
      <c r="H238" t="str">
        <f ca="1">IF(G238=1,SUM($G$10:G238),"-")</f>
        <v>-</v>
      </c>
      <c r="I238" t="str">
        <f t="shared" ca="1" si="50"/>
        <v>-</v>
      </c>
      <c r="J238" t="str">
        <f t="shared" ca="1" si="51"/>
        <v>-</v>
      </c>
      <c r="L238">
        <f t="shared" si="57"/>
        <v>229</v>
      </c>
      <c r="M238">
        <f t="shared" ca="1" si="52"/>
        <v>-0.4717173394905203</v>
      </c>
      <c r="N238">
        <f t="shared" ca="1" si="53"/>
        <v>0.14603111565432214</v>
      </c>
      <c r="O238">
        <f t="shared" ca="1" si="54"/>
        <v>0.49380394400537225</v>
      </c>
    </row>
    <row r="239" spans="1:15" x14ac:dyDescent="0.2">
      <c r="A239">
        <f t="shared" ref="A239:A302" si="59">1+A238</f>
        <v>230</v>
      </c>
      <c r="B239">
        <f t="shared" ca="1" si="47"/>
        <v>0.42064819396541164</v>
      </c>
      <c r="C239">
        <f t="shared" ca="1" si="58"/>
        <v>0.66908215415021322</v>
      </c>
      <c r="D239">
        <f t="shared" ca="1" si="58"/>
        <v>-9.6307702168258347E-2</v>
      </c>
      <c r="E239">
        <f t="shared" ca="1" si="48"/>
        <v>0.31830988618379069</v>
      </c>
      <c r="F239">
        <f t="shared" si="55"/>
        <v>0.25</v>
      </c>
      <c r="G239">
        <f t="shared" ca="1" si="49"/>
        <v>1</v>
      </c>
      <c r="H239">
        <f ca="1">IF(G239=1,SUM($G$10:G239),"-")</f>
        <v>177</v>
      </c>
      <c r="I239">
        <f t="shared" ca="1" si="50"/>
        <v>0.66908215415021322</v>
      </c>
      <c r="J239">
        <f t="shared" ca="1" si="51"/>
        <v>-9.6307702168258347E-2</v>
      </c>
      <c r="L239">
        <f t="shared" si="57"/>
        <v>230</v>
      </c>
      <c r="M239">
        <f t="shared" ca="1" si="52"/>
        <v>-0.1824507461715712</v>
      </c>
      <c r="N239">
        <f t="shared" ca="1" si="53"/>
        <v>-0.68805911857468005</v>
      </c>
      <c r="O239">
        <f t="shared" ca="1" si="54"/>
        <v>0.71183820172306622</v>
      </c>
    </row>
    <row r="240" spans="1:15" x14ac:dyDescent="0.2">
      <c r="A240">
        <f t="shared" si="59"/>
        <v>231</v>
      </c>
      <c r="B240">
        <f t="shared" ca="1" si="47"/>
        <v>0.63744005466271725</v>
      </c>
      <c r="C240">
        <f t="shared" ca="1" si="58"/>
        <v>-2.927822832200544E-2</v>
      </c>
      <c r="D240">
        <f t="shared" ca="1" si="58"/>
        <v>0.20586576233137932</v>
      </c>
      <c r="E240">
        <f t="shared" ca="1" si="48"/>
        <v>0.31830988618379069</v>
      </c>
      <c r="F240">
        <f t="shared" si="55"/>
        <v>0.25</v>
      </c>
      <c r="G240">
        <f t="shared" ca="1" si="49"/>
        <v>1</v>
      </c>
      <c r="H240">
        <f ca="1">IF(G240=1,SUM($G$10:G240),"-")</f>
        <v>178</v>
      </c>
      <c r="I240">
        <f t="shared" ca="1" si="50"/>
        <v>-2.927822832200544E-2</v>
      </c>
      <c r="J240">
        <f t="shared" ca="1" si="51"/>
        <v>0.20586576233137932</v>
      </c>
      <c r="L240">
        <f t="shared" si="57"/>
        <v>231</v>
      </c>
      <c r="M240">
        <f t="shared" ca="1" si="52"/>
        <v>0.16792201324440481</v>
      </c>
      <c r="N240">
        <f t="shared" ca="1" si="53"/>
        <v>-0.37827903285089892</v>
      </c>
      <c r="O240">
        <f t="shared" ca="1" si="54"/>
        <v>0.41387537886018966</v>
      </c>
    </row>
    <row r="241" spans="1:15" x14ac:dyDescent="0.2">
      <c r="A241">
        <f t="shared" si="59"/>
        <v>232</v>
      </c>
      <c r="B241">
        <f t="shared" ca="1" si="47"/>
        <v>0.1625528211671563</v>
      </c>
      <c r="C241">
        <f t="shared" ca="1" si="58"/>
        <v>0.77118656951058928</v>
      </c>
      <c r="D241">
        <f t="shared" ca="1" si="58"/>
        <v>0.99987606509481353</v>
      </c>
      <c r="E241">
        <f t="shared" ca="1" si="48"/>
        <v>0</v>
      </c>
      <c r="F241">
        <f t="shared" si="55"/>
        <v>0.25</v>
      </c>
      <c r="G241">
        <f t="shared" ca="1" si="49"/>
        <v>0</v>
      </c>
      <c r="H241" t="str">
        <f ca="1">IF(G241=1,SUM($G$10:G241),"-")</f>
        <v>-</v>
      </c>
      <c r="I241" t="str">
        <f t="shared" ca="1" si="50"/>
        <v>-</v>
      </c>
      <c r="J241" t="str">
        <f t="shared" ca="1" si="51"/>
        <v>-</v>
      </c>
      <c r="L241">
        <f t="shared" si="57"/>
        <v>232</v>
      </c>
      <c r="M241">
        <f t="shared" ca="1" si="52"/>
        <v>0.64786069817050107</v>
      </c>
      <c r="N241">
        <f t="shared" ca="1" si="53"/>
        <v>-0.71236775006385233</v>
      </c>
      <c r="O241">
        <f t="shared" ca="1" si="54"/>
        <v>0.96290772951773751</v>
      </c>
    </row>
    <row r="242" spans="1:15" x14ac:dyDescent="0.2">
      <c r="A242">
        <f t="shared" si="59"/>
        <v>233</v>
      </c>
      <c r="B242">
        <f t="shared" ca="1" si="47"/>
        <v>0.42698052892480676</v>
      </c>
      <c r="C242">
        <f t="shared" ca="1" si="58"/>
        <v>-0.91245211533756754</v>
      </c>
      <c r="D242">
        <f t="shared" ca="1" si="58"/>
        <v>0.74852654535261109</v>
      </c>
      <c r="E242">
        <f t="shared" ca="1" si="48"/>
        <v>0</v>
      </c>
      <c r="F242">
        <f t="shared" si="55"/>
        <v>0.25</v>
      </c>
      <c r="G242">
        <f t="shared" ca="1" si="49"/>
        <v>0</v>
      </c>
      <c r="H242" t="str">
        <f ca="1">IF(G242=1,SUM($G$10:G242),"-")</f>
        <v>-</v>
      </c>
      <c r="I242" t="str">
        <f t="shared" ca="1" si="50"/>
        <v>-</v>
      </c>
      <c r="J242" t="str">
        <f t="shared" ca="1" si="51"/>
        <v>-</v>
      </c>
      <c r="L242">
        <f t="shared" si="57"/>
        <v>233</v>
      </c>
      <c r="M242">
        <f t="shared" ca="1" si="52"/>
        <v>-6.6377985463702105E-2</v>
      </c>
      <c r="N242">
        <f t="shared" ca="1" si="53"/>
        <v>-0.2457187956279403</v>
      </c>
      <c r="O242">
        <f t="shared" ca="1" si="54"/>
        <v>0.25452654769014749</v>
      </c>
    </row>
    <row r="243" spans="1:15" x14ac:dyDescent="0.2">
      <c r="A243">
        <f t="shared" si="59"/>
        <v>234</v>
      </c>
      <c r="B243">
        <f t="shared" ca="1" si="47"/>
        <v>0.85633361549986775</v>
      </c>
      <c r="C243">
        <f t="shared" ca="1" si="58"/>
        <v>-0.63613211323640551</v>
      </c>
      <c r="D243">
        <f t="shared" ca="1" si="58"/>
        <v>0.43847586366519531</v>
      </c>
      <c r="E243">
        <f t="shared" ca="1" si="48"/>
        <v>0.31830988618379069</v>
      </c>
      <c r="F243">
        <f t="shared" si="55"/>
        <v>0.25</v>
      </c>
      <c r="G243">
        <f t="shared" ca="1" si="49"/>
        <v>1</v>
      </c>
      <c r="H243">
        <f ca="1">IF(G243=1,SUM($G$10:G243),"-")</f>
        <v>179</v>
      </c>
      <c r="I243">
        <f t="shared" ca="1" si="50"/>
        <v>-0.63613211323640551</v>
      </c>
      <c r="J243">
        <f t="shared" ca="1" si="51"/>
        <v>0.43847586366519531</v>
      </c>
      <c r="L243">
        <f t="shared" si="57"/>
        <v>234</v>
      </c>
      <c r="M243">
        <f t="shared" ca="1" si="52"/>
        <v>0.79811305130147092</v>
      </c>
      <c r="N243">
        <f t="shared" ca="1" si="53"/>
        <v>-0.41300355702679958</v>
      </c>
      <c r="O243">
        <f t="shared" ca="1" si="54"/>
        <v>0.89864140833512296</v>
      </c>
    </row>
    <row r="244" spans="1:15" x14ac:dyDescent="0.2">
      <c r="A244">
        <f t="shared" si="59"/>
        <v>235</v>
      </c>
      <c r="B244">
        <f t="shared" ca="1" si="47"/>
        <v>0.49248819861123416</v>
      </c>
      <c r="C244">
        <f t="shared" ca="1" si="58"/>
        <v>-0.17286106049227179</v>
      </c>
      <c r="D244">
        <f t="shared" ca="1" si="58"/>
        <v>0.2376448578251662</v>
      </c>
      <c r="E244">
        <f t="shared" ca="1" si="48"/>
        <v>0.31830988618379069</v>
      </c>
      <c r="F244">
        <f t="shared" si="55"/>
        <v>0.25</v>
      </c>
      <c r="G244">
        <f t="shared" ca="1" si="49"/>
        <v>1</v>
      </c>
      <c r="H244">
        <f ca="1">IF(G244=1,SUM($G$10:G244),"-")</f>
        <v>180</v>
      </c>
      <c r="I244">
        <f t="shared" ca="1" si="50"/>
        <v>-0.17286106049227179</v>
      </c>
      <c r="J244">
        <f t="shared" ca="1" si="51"/>
        <v>0.2376448578251662</v>
      </c>
      <c r="L244">
        <f t="shared" si="57"/>
        <v>235</v>
      </c>
      <c r="M244">
        <f t="shared" ca="1" si="52"/>
        <v>-0.21024126143005351</v>
      </c>
      <c r="N244">
        <f t="shared" ca="1" si="53"/>
        <v>-0.82975559310936298</v>
      </c>
      <c r="O244">
        <f t="shared" ca="1" si="54"/>
        <v>0.85597647882635819</v>
      </c>
    </row>
    <row r="245" spans="1:15" x14ac:dyDescent="0.2">
      <c r="A245">
        <f t="shared" si="59"/>
        <v>236</v>
      </c>
      <c r="B245">
        <f t="shared" ca="1" si="47"/>
        <v>0.50893593642339197</v>
      </c>
      <c r="C245">
        <f t="shared" ca="1" si="58"/>
        <v>0.2269452753129837</v>
      </c>
      <c r="D245">
        <f t="shared" ca="1" si="58"/>
        <v>0.21768942016107817</v>
      </c>
      <c r="E245">
        <f t="shared" ca="1" si="48"/>
        <v>0.31830988618379069</v>
      </c>
      <c r="F245">
        <f t="shared" si="55"/>
        <v>0.25</v>
      </c>
      <c r="G245">
        <f t="shared" ca="1" si="49"/>
        <v>1</v>
      </c>
      <c r="H245">
        <f ca="1">IF(G245=1,SUM($G$10:G245),"-")</f>
        <v>181</v>
      </c>
      <c r="I245">
        <f t="shared" ca="1" si="50"/>
        <v>0.2269452753129837</v>
      </c>
      <c r="J245">
        <f t="shared" ca="1" si="51"/>
        <v>0.21768942016107817</v>
      </c>
      <c r="L245">
        <f t="shared" si="57"/>
        <v>236</v>
      </c>
      <c r="M245">
        <f t="shared" ca="1" si="52"/>
        <v>0.78059967654771478</v>
      </c>
      <c r="N245">
        <f t="shared" ca="1" si="53"/>
        <v>-0.46524403790958813</v>
      </c>
      <c r="O245">
        <f t="shared" ca="1" si="54"/>
        <v>0.90872871080252293</v>
      </c>
    </row>
    <row r="246" spans="1:15" x14ac:dyDescent="0.2">
      <c r="A246">
        <f t="shared" si="59"/>
        <v>237</v>
      </c>
      <c r="B246">
        <f t="shared" ca="1" si="47"/>
        <v>0.43102763815844092</v>
      </c>
      <c r="C246">
        <f t="shared" ca="1" si="58"/>
        <v>0.82168178271305958</v>
      </c>
      <c r="D246">
        <f t="shared" ca="1" si="58"/>
        <v>0.54887985911201453</v>
      </c>
      <c r="E246">
        <f t="shared" ca="1" si="48"/>
        <v>0.31830988618379069</v>
      </c>
      <c r="F246">
        <f t="shared" si="55"/>
        <v>0.25</v>
      </c>
      <c r="G246">
        <f t="shared" ca="1" si="49"/>
        <v>1</v>
      </c>
      <c r="H246">
        <f ca="1">IF(G246=1,SUM($G$10:G246),"-")</f>
        <v>182</v>
      </c>
      <c r="I246">
        <f t="shared" ca="1" si="50"/>
        <v>0.82168178271305958</v>
      </c>
      <c r="J246">
        <f t="shared" ca="1" si="51"/>
        <v>0.54887985911201453</v>
      </c>
      <c r="L246">
        <f t="shared" si="57"/>
        <v>237</v>
      </c>
      <c r="M246">
        <f t="shared" ca="1" si="52"/>
        <v>-0.53261164325099353</v>
      </c>
      <c r="N246">
        <f t="shared" ca="1" si="53"/>
        <v>0.29160618244841663</v>
      </c>
      <c r="O246">
        <f t="shared" ca="1" si="54"/>
        <v>0.6072144004951322</v>
      </c>
    </row>
    <row r="247" spans="1:15" x14ac:dyDescent="0.2">
      <c r="A247">
        <f t="shared" si="59"/>
        <v>238</v>
      </c>
      <c r="B247">
        <f t="shared" ca="1" si="47"/>
        <v>0.56461300020304261</v>
      </c>
      <c r="C247">
        <f t="shared" ca="1" si="58"/>
        <v>0.43814229922697079</v>
      </c>
      <c r="D247">
        <f t="shared" ca="1" si="58"/>
        <v>-7.985649457295585E-2</v>
      </c>
      <c r="E247">
        <f t="shared" ca="1" si="48"/>
        <v>0.31830988618379069</v>
      </c>
      <c r="F247">
        <f t="shared" si="55"/>
        <v>0.25</v>
      </c>
      <c r="G247">
        <f t="shared" ca="1" si="49"/>
        <v>1</v>
      </c>
      <c r="H247">
        <f ca="1">IF(G247=1,SUM($G$10:G247),"-")</f>
        <v>183</v>
      </c>
      <c r="I247">
        <f t="shared" ca="1" si="50"/>
        <v>0.43814229922697079</v>
      </c>
      <c r="J247">
        <f t="shared" ca="1" si="51"/>
        <v>-7.985649457295585E-2</v>
      </c>
      <c r="L247">
        <f t="shared" si="57"/>
        <v>238</v>
      </c>
      <c r="M247">
        <f t="shared" ca="1" si="52"/>
        <v>-0.38856703549400673</v>
      </c>
      <c r="N247">
        <f t="shared" ca="1" si="53"/>
        <v>0.31690565349567312</v>
      </c>
      <c r="O247">
        <f t="shared" ca="1" si="54"/>
        <v>0.501411541839755</v>
      </c>
    </row>
    <row r="248" spans="1:15" x14ac:dyDescent="0.2">
      <c r="A248">
        <f t="shared" si="59"/>
        <v>239</v>
      </c>
      <c r="B248">
        <f t="shared" ca="1" si="47"/>
        <v>2.0658297538460046E-2</v>
      </c>
      <c r="C248">
        <f t="shared" ca="1" si="58"/>
        <v>-0.7946422952001484</v>
      </c>
      <c r="D248">
        <f t="shared" ca="1" si="58"/>
        <v>-0.59609243872232187</v>
      </c>
      <c r="E248">
        <f t="shared" ca="1" si="48"/>
        <v>0.31830988618379069</v>
      </c>
      <c r="F248">
        <f t="shared" si="55"/>
        <v>0.25</v>
      </c>
      <c r="G248">
        <f t="shared" ca="1" si="49"/>
        <v>1</v>
      </c>
      <c r="H248">
        <f ca="1">IF(G248=1,SUM($G$10:G248),"-")</f>
        <v>184</v>
      </c>
      <c r="I248">
        <f t="shared" ca="1" si="50"/>
        <v>-0.7946422952001484</v>
      </c>
      <c r="J248">
        <f t="shared" ca="1" si="51"/>
        <v>-0.59609243872232187</v>
      </c>
      <c r="L248">
        <f t="shared" si="57"/>
        <v>239</v>
      </c>
      <c r="M248">
        <f t="shared" ca="1" si="52"/>
        <v>-3.0890721495921536E-2</v>
      </c>
      <c r="N248">
        <f t="shared" ca="1" si="53"/>
        <v>0.58221209111843497</v>
      </c>
      <c r="O248">
        <f t="shared" ca="1" si="54"/>
        <v>0.58303100751078363</v>
      </c>
    </row>
    <row r="249" spans="1:15" x14ac:dyDescent="0.2">
      <c r="A249">
        <f t="shared" si="59"/>
        <v>240</v>
      </c>
      <c r="B249">
        <f t="shared" ca="1" si="47"/>
        <v>0.93795070404229164</v>
      </c>
      <c r="C249">
        <f t="shared" ca="1" si="58"/>
        <v>0.56557004152572921</v>
      </c>
      <c r="D249">
        <f t="shared" ca="1" si="58"/>
        <v>0.97204237402517601</v>
      </c>
      <c r="E249">
        <f t="shared" ca="1" si="48"/>
        <v>0</v>
      </c>
      <c r="F249">
        <f t="shared" si="55"/>
        <v>0.25</v>
      </c>
      <c r="G249">
        <f t="shared" ca="1" si="49"/>
        <v>0</v>
      </c>
      <c r="H249" t="str">
        <f ca="1">IF(G249=1,SUM($G$10:G249),"-")</f>
        <v>-</v>
      </c>
      <c r="I249" t="str">
        <f t="shared" ca="1" si="50"/>
        <v>-</v>
      </c>
      <c r="J249" t="str">
        <f t="shared" ca="1" si="51"/>
        <v>-</v>
      </c>
      <c r="L249">
        <f t="shared" si="57"/>
        <v>240</v>
      </c>
      <c r="M249">
        <f t="shared" ca="1" si="52"/>
        <v>-0.46826499217963824</v>
      </c>
      <c r="N249">
        <f t="shared" ca="1" si="53"/>
        <v>-0.35296035162692463</v>
      </c>
      <c r="O249">
        <f t="shared" ca="1" si="54"/>
        <v>0.58638989820903198</v>
      </c>
    </row>
    <row r="250" spans="1:15" x14ac:dyDescent="0.2">
      <c r="A250">
        <f t="shared" si="59"/>
        <v>241</v>
      </c>
      <c r="B250">
        <f t="shared" ca="1" si="47"/>
        <v>0.58872074408724051</v>
      </c>
      <c r="C250">
        <f t="shared" ref="C250:D269" ca="1" si="60">2*RAND()-1</f>
        <v>0.43003336413654369</v>
      </c>
      <c r="D250">
        <f t="shared" ca="1" si="60"/>
        <v>0.6274770627666042</v>
      </c>
      <c r="E250">
        <f t="shared" ca="1" si="48"/>
        <v>0.31830988618379069</v>
      </c>
      <c r="F250">
        <f t="shared" si="55"/>
        <v>0.25</v>
      </c>
      <c r="G250">
        <f t="shared" ca="1" si="49"/>
        <v>1</v>
      </c>
      <c r="H250">
        <f ca="1">IF(G250=1,SUM($G$10:G250),"-")</f>
        <v>185</v>
      </c>
      <c r="I250">
        <f t="shared" ca="1" si="50"/>
        <v>0.43003336413654369</v>
      </c>
      <c r="J250">
        <f t="shared" ca="1" si="51"/>
        <v>0.6274770627666042</v>
      </c>
      <c r="L250">
        <f t="shared" si="57"/>
        <v>241</v>
      </c>
      <c r="M250">
        <f t="shared" ca="1" si="52"/>
        <v>2.236175422472142E-2</v>
      </c>
      <c r="N250">
        <f t="shared" ca="1" si="53"/>
        <v>-0.33570148090837915</v>
      </c>
      <c r="O250">
        <f t="shared" ca="1" si="54"/>
        <v>0.33644543738336785</v>
      </c>
    </row>
    <row r="251" spans="1:15" x14ac:dyDescent="0.2">
      <c r="A251">
        <f t="shared" si="59"/>
        <v>242</v>
      </c>
      <c r="B251">
        <f t="shared" ca="1" si="47"/>
        <v>0.64227727218021713</v>
      </c>
      <c r="C251">
        <f t="shared" ca="1" si="60"/>
        <v>-3.086301665795288E-2</v>
      </c>
      <c r="D251">
        <f t="shared" ca="1" si="60"/>
        <v>-0.68209833609792825</v>
      </c>
      <c r="E251">
        <f t="shared" ca="1" si="48"/>
        <v>0.31830988618379069</v>
      </c>
      <c r="F251">
        <f t="shared" si="55"/>
        <v>0.25</v>
      </c>
      <c r="G251">
        <f t="shared" ca="1" si="49"/>
        <v>1</v>
      </c>
      <c r="H251">
        <f ca="1">IF(G251=1,SUM($G$10:G251),"-")</f>
        <v>186</v>
      </c>
      <c r="I251">
        <f t="shared" ca="1" si="50"/>
        <v>-3.086301665795288E-2</v>
      </c>
      <c r="J251">
        <f t="shared" ca="1" si="51"/>
        <v>-0.68209833609792825</v>
      </c>
      <c r="L251">
        <f t="shared" si="57"/>
        <v>242</v>
      </c>
      <c r="M251">
        <f t="shared" ca="1" si="52"/>
        <v>-0.60906964774133932</v>
      </c>
      <c r="N251">
        <f t="shared" ca="1" si="53"/>
        <v>0.27378473020086425</v>
      </c>
      <c r="O251">
        <f t="shared" ca="1" si="54"/>
        <v>0.66777534717217524</v>
      </c>
    </row>
    <row r="252" spans="1:15" x14ac:dyDescent="0.2">
      <c r="A252">
        <f t="shared" si="59"/>
        <v>243</v>
      </c>
      <c r="B252">
        <f t="shared" ca="1" si="47"/>
        <v>0.42138122915577647</v>
      </c>
      <c r="C252">
        <f t="shared" ca="1" si="60"/>
        <v>-0.22366459897329438</v>
      </c>
      <c r="D252">
        <f t="shared" ca="1" si="60"/>
        <v>0.64904561580845654</v>
      </c>
      <c r="E252">
        <f t="shared" ca="1" si="48"/>
        <v>0.31830988618379069</v>
      </c>
      <c r="F252">
        <f t="shared" si="55"/>
        <v>0.25</v>
      </c>
      <c r="G252">
        <f t="shared" ca="1" si="49"/>
        <v>1</v>
      </c>
      <c r="H252">
        <f ca="1">IF(G252=1,SUM($G$10:G252),"-")</f>
        <v>187</v>
      </c>
      <c r="I252">
        <f t="shared" ca="1" si="50"/>
        <v>-0.22366459897329438</v>
      </c>
      <c r="J252">
        <f t="shared" ca="1" si="51"/>
        <v>0.64904561580845654</v>
      </c>
      <c r="L252">
        <f t="shared" si="57"/>
        <v>243</v>
      </c>
      <c r="M252">
        <f t="shared" ca="1" si="52"/>
        <v>-0.49165666893455962</v>
      </c>
      <c r="N252">
        <f t="shared" ca="1" si="53"/>
        <v>0.58629651666330718</v>
      </c>
      <c r="O252">
        <f t="shared" ca="1" si="54"/>
        <v>0.76516003918092501</v>
      </c>
    </row>
    <row r="253" spans="1:15" x14ac:dyDescent="0.2">
      <c r="A253">
        <f t="shared" si="59"/>
        <v>244</v>
      </c>
      <c r="B253">
        <f t="shared" ca="1" si="47"/>
        <v>0.9296304912315978</v>
      </c>
      <c r="C253">
        <f t="shared" ca="1" si="60"/>
        <v>-0.89745954403315165</v>
      </c>
      <c r="D253">
        <f t="shared" ca="1" si="60"/>
        <v>-0.98323996848297601</v>
      </c>
      <c r="E253">
        <f t="shared" ca="1" si="48"/>
        <v>0</v>
      </c>
      <c r="F253">
        <f t="shared" si="55"/>
        <v>0.25</v>
      </c>
      <c r="G253">
        <f t="shared" ca="1" si="49"/>
        <v>0</v>
      </c>
      <c r="H253" t="str">
        <f ca="1">IF(G253=1,SUM($G$10:G253),"-")</f>
        <v>-</v>
      </c>
      <c r="I253" t="str">
        <f t="shared" ca="1" si="50"/>
        <v>-</v>
      </c>
      <c r="J253" t="str">
        <f t="shared" ca="1" si="51"/>
        <v>-</v>
      </c>
      <c r="L253">
        <f t="shared" si="57"/>
        <v>244</v>
      </c>
      <c r="M253">
        <f t="shared" ca="1" si="52"/>
        <v>-0.87105376787406308</v>
      </c>
      <c r="N253">
        <f t="shared" ca="1" si="53"/>
        <v>-0.3444587939065511</v>
      </c>
      <c r="O253">
        <f t="shared" ca="1" si="54"/>
        <v>0.9366891305161803</v>
      </c>
    </row>
    <row r="254" spans="1:15" x14ac:dyDescent="0.2">
      <c r="A254">
        <f t="shared" si="59"/>
        <v>245</v>
      </c>
      <c r="B254">
        <f t="shared" ca="1" si="47"/>
        <v>0.17472393892050753</v>
      </c>
      <c r="C254">
        <f t="shared" ca="1" si="60"/>
        <v>0.8362343363052942</v>
      </c>
      <c r="D254">
        <f t="shared" ca="1" si="60"/>
        <v>-0.41530916960869901</v>
      </c>
      <c r="E254">
        <f t="shared" ca="1" si="48"/>
        <v>0.31830988618379069</v>
      </c>
      <c r="F254">
        <f t="shared" si="55"/>
        <v>0.25</v>
      </c>
      <c r="G254">
        <f t="shared" ca="1" si="49"/>
        <v>1</v>
      </c>
      <c r="H254">
        <f ca="1">IF(G254=1,SUM($G$10:G254),"-")</f>
        <v>188</v>
      </c>
      <c r="I254">
        <f t="shared" ca="1" si="50"/>
        <v>0.8362343363052942</v>
      </c>
      <c r="J254">
        <f t="shared" ca="1" si="51"/>
        <v>-0.41530916960869901</v>
      </c>
      <c r="L254">
        <f t="shared" si="57"/>
        <v>245</v>
      </c>
      <c r="M254">
        <f t="shared" ca="1" si="52"/>
        <v>-0.16911596373500082</v>
      </c>
      <c r="N254">
        <f t="shared" ca="1" si="53"/>
        <v>0.53542849193638076</v>
      </c>
      <c r="O254">
        <f t="shared" ca="1" si="54"/>
        <v>0.5615014507258953</v>
      </c>
    </row>
    <row r="255" spans="1:15" x14ac:dyDescent="0.2">
      <c r="A255">
        <f t="shared" si="59"/>
        <v>246</v>
      </c>
      <c r="B255">
        <f t="shared" ca="1" si="47"/>
        <v>0.50762360652655369</v>
      </c>
      <c r="C255">
        <f t="shared" ca="1" si="60"/>
        <v>-0.46824254982622193</v>
      </c>
      <c r="D255">
        <f t="shared" ca="1" si="60"/>
        <v>-0.3324104165457944</v>
      </c>
      <c r="E255">
        <f t="shared" ca="1" si="48"/>
        <v>0.31830988618379069</v>
      </c>
      <c r="F255">
        <f t="shared" si="55"/>
        <v>0.25</v>
      </c>
      <c r="G255">
        <f t="shared" ca="1" si="49"/>
        <v>1</v>
      </c>
      <c r="H255">
        <f ca="1">IF(G255=1,SUM($G$10:G255),"-")</f>
        <v>189</v>
      </c>
      <c r="I255">
        <f t="shared" ca="1" si="50"/>
        <v>-0.46824254982622193</v>
      </c>
      <c r="J255">
        <f t="shared" ca="1" si="51"/>
        <v>-0.3324104165457944</v>
      </c>
      <c r="L255">
        <f t="shared" si="57"/>
        <v>246</v>
      </c>
      <c r="M255">
        <f t="shared" ca="1" si="52"/>
        <v>-0.13017569524902783</v>
      </c>
      <c r="N255">
        <f t="shared" ca="1" si="53"/>
        <v>-0.94887301630672383</v>
      </c>
      <c r="O255">
        <f t="shared" ca="1" si="54"/>
        <v>0.95776078052329328</v>
      </c>
    </row>
    <row r="256" spans="1:15" x14ac:dyDescent="0.2">
      <c r="A256">
        <f t="shared" si="59"/>
        <v>247</v>
      </c>
      <c r="B256">
        <f t="shared" ca="1" si="47"/>
        <v>0.56701932908293173</v>
      </c>
      <c r="C256">
        <f t="shared" ca="1" si="60"/>
        <v>0.63732296931491672</v>
      </c>
      <c r="D256">
        <f t="shared" ca="1" si="60"/>
        <v>-0.42258418390803776</v>
      </c>
      <c r="E256">
        <f t="shared" ca="1" si="48"/>
        <v>0.31830988618379069</v>
      </c>
      <c r="F256">
        <f t="shared" si="55"/>
        <v>0.25</v>
      </c>
      <c r="G256">
        <f t="shared" ca="1" si="49"/>
        <v>1</v>
      </c>
      <c r="H256">
        <f ca="1">IF(G256=1,SUM($G$10:G256),"-")</f>
        <v>190</v>
      </c>
      <c r="I256">
        <f t="shared" ca="1" si="50"/>
        <v>0.63732296931491672</v>
      </c>
      <c r="J256">
        <f t="shared" ca="1" si="51"/>
        <v>-0.42258418390803776</v>
      </c>
      <c r="L256">
        <f t="shared" si="57"/>
        <v>247</v>
      </c>
      <c r="M256">
        <f t="shared" ca="1" si="52"/>
        <v>-0.31544042386176874</v>
      </c>
      <c r="N256">
        <f t="shared" ca="1" si="53"/>
        <v>0.68182119679808606</v>
      </c>
      <c r="O256">
        <f t="shared" ca="1" si="54"/>
        <v>0.75125415500299675</v>
      </c>
    </row>
    <row r="257" spans="1:15" x14ac:dyDescent="0.2">
      <c r="A257">
        <f t="shared" si="59"/>
        <v>248</v>
      </c>
      <c r="B257">
        <f t="shared" ca="1" si="47"/>
        <v>0.14208586316986549</v>
      </c>
      <c r="C257">
        <f t="shared" ca="1" si="60"/>
        <v>-0.76186562398323421</v>
      </c>
      <c r="D257">
        <f t="shared" ca="1" si="60"/>
        <v>0.65992968121498397</v>
      </c>
      <c r="E257">
        <f t="shared" ca="1" si="48"/>
        <v>0</v>
      </c>
      <c r="F257">
        <f t="shared" si="55"/>
        <v>0.25</v>
      </c>
      <c r="G257">
        <f t="shared" ca="1" si="49"/>
        <v>0</v>
      </c>
      <c r="H257" t="str">
        <f ca="1">IF(G257=1,SUM($G$10:G257),"-")</f>
        <v>-</v>
      </c>
      <c r="I257" t="str">
        <f t="shared" ca="1" si="50"/>
        <v>-</v>
      </c>
      <c r="J257" t="str">
        <f t="shared" ca="1" si="51"/>
        <v>-</v>
      </c>
      <c r="L257">
        <f t="shared" si="57"/>
        <v>248</v>
      </c>
      <c r="M257">
        <f t="shared" ca="1" si="52"/>
        <v>0.20744178398669089</v>
      </c>
      <c r="N257">
        <f t="shared" ca="1" si="53"/>
        <v>-0.43091355063759584</v>
      </c>
      <c r="O257">
        <f t="shared" ca="1" si="54"/>
        <v>0.47824531557212435</v>
      </c>
    </row>
    <row r="258" spans="1:15" x14ac:dyDescent="0.2">
      <c r="A258">
        <f t="shared" si="59"/>
        <v>249</v>
      </c>
      <c r="B258">
        <f t="shared" ca="1" si="47"/>
        <v>0.55684884035603666</v>
      </c>
      <c r="C258">
        <f t="shared" ca="1" si="60"/>
        <v>2.5095112065302461E-2</v>
      </c>
      <c r="D258">
        <f t="shared" ca="1" si="60"/>
        <v>-8.0770829757597529E-2</v>
      </c>
      <c r="E258">
        <f t="shared" ca="1" si="48"/>
        <v>0.31830988618379069</v>
      </c>
      <c r="F258">
        <f t="shared" si="55"/>
        <v>0.25</v>
      </c>
      <c r="G258">
        <f t="shared" ca="1" si="49"/>
        <v>1</v>
      </c>
      <c r="H258">
        <f ca="1">IF(G258=1,SUM($G$10:G258),"-")</f>
        <v>191</v>
      </c>
      <c r="I258">
        <f t="shared" ca="1" si="50"/>
        <v>2.5095112065302461E-2</v>
      </c>
      <c r="J258">
        <f t="shared" ca="1" si="51"/>
        <v>-8.0770829757597529E-2</v>
      </c>
      <c r="L258">
        <f t="shared" si="57"/>
        <v>249</v>
      </c>
      <c r="M258">
        <f t="shared" ca="1" si="52"/>
        <v>0.78947090007764409</v>
      </c>
      <c r="N258">
        <f t="shared" ca="1" si="53"/>
        <v>-0.44183033605688871</v>
      </c>
      <c r="O258">
        <f t="shared" ca="1" si="54"/>
        <v>0.90469793186983072</v>
      </c>
    </row>
    <row r="259" spans="1:15" x14ac:dyDescent="0.2">
      <c r="A259">
        <f t="shared" si="59"/>
        <v>250</v>
      </c>
      <c r="B259">
        <f t="shared" ca="1" si="47"/>
        <v>0.24999694967118891</v>
      </c>
      <c r="C259">
        <f t="shared" ca="1" si="60"/>
        <v>-0.35880181154627389</v>
      </c>
      <c r="D259">
        <f t="shared" ca="1" si="60"/>
        <v>-0.51669635132751068</v>
      </c>
      <c r="E259">
        <f t="shared" ca="1" si="48"/>
        <v>0.31830988618379069</v>
      </c>
      <c r="F259">
        <f t="shared" si="55"/>
        <v>0.25</v>
      </c>
      <c r="G259">
        <f t="shared" ca="1" si="49"/>
        <v>1</v>
      </c>
      <c r="H259">
        <f ca="1">IF(G259=1,SUM($G$10:G259),"-")</f>
        <v>192</v>
      </c>
      <c r="I259">
        <f t="shared" ca="1" si="50"/>
        <v>-0.35880181154627389</v>
      </c>
      <c r="J259">
        <f t="shared" ca="1" si="51"/>
        <v>-0.51669635132751068</v>
      </c>
      <c r="L259">
        <f t="shared" si="57"/>
        <v>250</v>
      </c>
      <c r="M259">
        <f t="shared" ca="1" si="52"/>
        <v>-0.91382075709878796</v>
      </c>
      <c r="N259">
        <f t="shared" ca="1" si="53"/>
        <v>-0.30889189501518488</v>
      </c>
      <c r="O259">
        <f t="shared" ca="1" si="54"/>
        <v>0.96461524915930807</v>
      </c>
    </row>
    <row r="260" spans="1:15" x14ac:dyDescent="0.2">
      <c r="A260">
        <f t="shared" si="59"/>
        <v>251</v>
      </c>
      <c r="B260">
        <f t="shared" ca="1" si="47"/>
        <v>0.6584996573995523</v>
      </c>
      <c r="C260">
        <f t="shared" ca="1" si="60"/>
        <v>0.2686440819692435</v>
      </c>
      <c r="D260">
        <f t="shared" ca="1" si="60"/>
        <v>-0.64386641029169422</v>
      </c>
      <c r="E260">
        <f t="shared" ca="1" si="48"/>
        <v>0.31830988618379069</v>
      </c>
      <c r="F260">
        <f t="shared" si="55"/>
        <v>0.25</v>
      </c>
      <c r="G260">
        <f t="shared" ca="1" si="49"/>
        <v>1</v>
      </c>
      <c r="H260">
        <f ca="1">IF(G260=1,SUM($G$10:G260),"-")</f>
        <v>193</v>
      </c>
      <c r="I260">
        <f t="shared" ca="1" si="50"/>
        <v>0.2686440819692435</v>
      </c>
      <c r="J260">
        <f t="shared" ca="1" si="51"/>
        <v>-0.64386641029169422</v>
      </c>
      <c r="L260">
        <f t="shared" si="57"/>
        <v>251</v>
      </c>
      <c r="M260">
        <f t="shared" ca="1" si="52"/>
        <v>-0.81034919280714401</v>
      </c>
      <c r="N260">
        <f t="shared" ca="1" si="53"/>
        <v>-7.032537086178503E-2</v>
      </c>
      <c r="O260">
        <f t="shared" ca="1" si="54"/>
        <v>0.81339502830422894</v>
      </c>
    </row>
    <row r="261" spans="1:15" x14ac:dyDescent="0.2">
      <c r="A261">
        <f t="shared" si="59"/>
        <v>252</v>
      </c>
      <c r="B261">
        <f t="shared" ca="1" si="47"/>
        <v>0.14709730397685561</v>
      </c>
      <c r="C261">
        <f t="shared" ca="1" si="60"/>
        <v>0.63736512465283179</v>
      </c>
      <c r="D261">
        <f t="shared" ca="1" si="60"/>
        <v>-0.57701340015323987</v>
      </c>
      <c r="E261">
        <f t="shared" ca="1" si="48"/>
        <v>0.31830988618379069</v>
      </c>
      <c r="F261">
        <f t="shared" si="55"/>
        <v>0.25</v>
      </c>
      <c r="G261">
        <f t="shared" ca="1" si="49"/>
        <v>1</v>
      </c>
      <c r="H261">
        <f ca="1">IF(G261=1,SUM($G$10:G261),"-")</f>
        <v>194</v>
      </c>
      <c r="I261">
        <f t="shared" ca="1" si="50"/>
        <v>0.63736512465283179</v>
      </c>
      <c r="J261">
        <f t="shared" ca="1" si="51"/>
        <v>-0.57701340015323987</v>
      </c>
      <c r="L261">
        <f t="shared" si="57"/>
        <v>252</v>
      </c>
      <c r="M261">
        <f t="shared" ca="1" si="52"/>
        <v>0.50220010809376436</v>
      </c>
      <c r="N261">
        <f t="shared" ca="1" si="53"/>
        <v>-0.36138505453567027</v>
      </c>
      <c r="O261">
        <f t="shared" ca="1" si="54"/>
        <v>0.61871165029530362</v>
      </c>
    </row>
    <row r="262" spans="1:15" x14ac:dyDescent="0.2">
      <c r="A262">
        <f t="shared" si="59"/>
        <v>253</v>
      </c>
      <c r="B262">
        <f t="shared" ca="1" si="47"/>
        <v>0.69062184502668889</v>
      </c>
      <c r="C262">
        <f t="shared" ca="1" si="60"/>
        <v>-0.55261288259286023</v>
      </c>
      <c r="D262">
        <f t="shared" ca="1" si="60"/>
        <v>-0.97477445861751622</v>
      </c>
      <c r="E262">
        <f t="shared" ca="1" si="48"/>
        <v>0</v>
      </c>
      <c r="F262">
        <f t="shared" si="55"/>
        <v>0.25</v>
      </c>
      <c r="G262">
        <f t="shared" ca="1" si="49"/>
        <v>0</v>
      </c>
      <c r="H262" t="str">
        <f ca="1">IF(G262=1,SUM($G$10:G262),"-")</f>
        <v>-</v>
      </c>
      <c r="I262" t="str">
        <f t="shared" ca="1" si="50"/>
        <v>-</v>
      </c>
      <c r="J262" t="str">
        <f t="shared" ca="1" si="51"/>
        <v>-</v>
      </c>
      <c r="L262">
        <f t="shared" si="57"/>
        <v>253</v>
      </c>
      <c r="M262">
        <f t="shared" ca="1" si="52"/>
        <v>0.42284489542996129</v>
      </c>
      <c r="N262">
        <f t="shared" ca="1" si="53"/>
        <v>0.65168079104548049</v>
      </c>
      <c r="O262">
        <f t="shared" ca="1" si="54"/>
        <v>0.77684339413348824</v>
      </c>
    </row>
    <row r="263" spans="1:15" x14ac:dyDescent="0.2">
      <c r="A263">
        <f t="shared" si="59"/>
        <v>254</v>
      </c>
      <c r="B263">
        <f t="shared" ca="1" si="47"/>
        <v>0.25211257613254323</v>
      </c>
      <c r="C263">
        <f t="shared" ca="1" si="60"/>
        <v>-0.44984261748245036</v>
      </c>
      <c r="D263">
        <f t="shared" ca="1" si="60"/>
        <v>-0.1670418240126228</v>
      </c>
      <c r="E263">
        <f t="shared" ca="1" si="48"/>
        <v>0.31830988618379069</v>
      </c>
      <c r="F263">
        <f t="shared" si="55"/>
        <v>0.25</v>
      </c>
      <c r="G263">
        <f t="shared" ca="1" si="49"/>
        <v>1</v>
      </c>
      <c r="H263">
        <f ca="1">IF(G263=1,SUM($G$10:G263),"-")</f>
        <v>195</v>
      </c>
      <c r="I263">
        <f t="shared" ca="1" si="50"/>
        <v>-0.44984261748245036</v>
      </c>
      <c r="J263">
        <f t="shared" ca="1" si="51"/>
        <v>-0.1670418240126228</v>
      </c>
      <c r="L263">
        <f t="shared" si="57"/>
        <v>254</v>
      </c>
      <c r="M263">
        <f t="shared" ca="1" si="52"/>
        <v>0.30467521754913696</v>
      </c>
      <c r="N263">
        <f t="shared" ca="1" si="53"/>
        <v>0.38645615628379559</v>
      </c>
      <c r="O263">
        <f t="shared" ca="1" si="54"/>
        <v>0.49211314645948989</v>
      </c>
    </row>
    <row r="264" spans="1:15" x14ac:dyDescent="0.2">
      <c r="A264">
        <f t="shared" si="59"/>
        <v>255</v>
      </c>
      <c r="B264">
        <f t="shared" ca="1" si="47"/>
        <v>0.94974414951898833</v>
      </c>
      <c r="C264">
        <f t="shared" ca="1" si="60"/>
        <v>-0.25045049154528409</v>
      </c>
      <c r="D264">
        <f t="shared" ca="1" si="60"/>
        <v>-0.17852447446200559</v>
      </c>
      <c r="E264">
        <f t="shared" ca="1" si="48"/>
        <v>0.31830988618379069</v>
      </c>
      <c r="F264">
        <f t="shared" si="55"/>
        <v>0.25</v>
      </c>
      <c r="G264">
        <f t="shared" ca="1" si="49"/>
        <v>1</v>
      </c>
      <c r="H264">
        <f ca="1">IF(G264=1,SUM($G$10:G264),"-")</f>
        <v>196</v>
      </c>
      <c r="I264">
        <f t="shared" ca="1" si="50"/>
        <v>-0.25045049154528409</v>
      </c>
      <c r="J264">
        <f t="shared" ca="1" si="51"/>
        <v>-0.17852447446200559</v>
      </c>
      <c r="L264">
        <f t="shared" si="57"/>
        <v>255</v>
      </c>
      <c r="M264">
        <f t="shared" ca="1" si="52"/>
        <v>0.27033828547836602</v>
      </c>
      <c r="N264">
        <f t="shared" ca="1" si="53"/>
        <v>-0.70380752596547147</v>
      </c>
      <c r="O264">
        <f t="shared" ca="1" si="54"/>
        <v>0.75394152439099704</v>
      </c>
    </row>
    <row r="265" spans="1:15" x14ac:dyDescent="0.2">
      <c r="A265">
        <f t="shared" si="59"/>
        <v>256</v>
      </c>
      <c r="B265">
        <f t="shared" ca="1" si="47"/>
        <v>0.13879395834021058</v>
      </c>
      <c r="C265">
        <f t="shared" ca="1" si="60"/>
        <v>0.73754812459142549</v>
      </c>
      <c r="D265">
        <f t="shared" ca="1" si="60"/>
        <v>5.7410333824505999E-2</v>
      </c>
      <c r="E265">
        <f t="shared" ca="1" si="48"/>
        <v>0.31830988618379069</v>
      </c>
      <c r="F265">
        <f t="shared" si="55"/>
        <v>0.25</v>
      </c>
      <c r="G265">
        <f t="shared" ca="1" si="49"/>
        <v>1</v>
      </c>
      <c r="H265">
        <f ca="1">IF(G265=1,SUM($G$10:G265),"-")</f>
        <v>197</v>
      </c>
      <c r="I265">
        <f t="shared" ca="1" si="50"/>
        <v>0.73754812459142549</v>
      </c>
      <c r="J265">
        <f t="shared" ca="1" si="51"/>
        <v>5.7410333824505999E-2</v>
      </c>
      <c r="L265">
        <f t="shared" si="57"/>
        <v>256</v>
      </c>
      <c r="M265">
        <f t="shared" ca="1" si="52"/>
        <v>0.71378882963168211</v>
      </c>
      <c r="N265">
        <f t="shared" ca="1" si="53"/>
        <v>4.2720720944879886E-3</v>
      </c>
      <c r="O265">
        <f t="shared" ca="1" si="54"/>
        <v>0.71380161383044449</v>
      </c>
    </row>
    <row r="266" spans="1:15" x14ac:dyDescent="0.2">
      <c r="A266">
        <f t="shared" si="59"/>
        <v>257</v>
      </c>
      <c r="B266">
        <f t="shared" ref="B266:B329" ca="1" si="61">RAND()</f>
        <v>0.25201875983147315</v>
      </c>
      <c r="C266">
        <f t="shared" ca="1" si="60"/>
        <v>0.59251171272622138</v>
      </c>
      <c r="D266">
        <f t="shared" ca="1" si="60"/>
        <v>0.82868803484513665</v>
      </c>
      <c r="E266">
        <f t="shared" ref="E266:E329" ca="1" si="62">(1/PI())*IF(C266^2+D266^2&lt;=1,1,0)</f>
        <v>0</v>
      </c>
      <c r="F266">
        <f t="shared" si="55"/>
        <v>0.25</v>
      </c>
      <c r="G266">
        <f t="shared" ref="G266:G329" ca="1" si="63">IF($B$6*B266&lt;=E266/F266,1,0)</f>
        <v>0</v>
      </c>
      <c r="H266" t="str">
        <f ca="1">IF(G266=1,SUM($G$10:G266),"-")</f>
        <v>-</v>
      </c>
      <c r="I266" t="str">
        <f t="shared" ref="I266:I329" ca="1" si="64">IF($G266,C266,"-")</f>
        <v>-</v>
      </c>
      <c r="J266" t="str">
        <f t="shared" ref="J266:J329" ca="1" si="65">IF($G266,D266,"-")</f>
        <v>-</v>
      </c>
      <c r="L266">
        <f t="shared" si="57"/>
        <v>257</v>
      </c>
      <c r="M266">
        <f t="shared" ref="M266:M329" ca="1" si="66">VLOOKUP(L266,$H$10:$J$687,2,FALSE)</f>
        <v>0.51891968858752913</v>
      </c>
      <c r="N266">
        <f t="shared" ref="N266:N329" ca="1" si="67">VLOOKUP(L266,$H$10:$J$687,3,FALSE)</f>
        <v>-0.32876404161086348</v>
      </c>
      <c r="O266">
        <f t="shared" ref="O266:O329" ca="1" si="68">SQRT(M266^2+N266^2)</f>
        <v>0.61429914395194118</v>
      </c>
    </row>
    <row r="267" spans="1:15" x14ac:dyDescent="0.2">
      <c r="A267">
        <f t="shared" si="59"/>
        <v>258</v>
      </c>
      <c r="B267">
        <f t="shared" ca="1" si="61"/>
        <v>0.8840592082175226</v>
      </c>
      <c r="C267">
        <f t="shared" ca="1" si="60"/>
        <v>8.3754633407560508E-2</v>
      </c>
      <c r="D267">
        <f t="shared" ca="1" si="60"/>
        <v>6.3846844392987601E-2</v>
      </c>
      <c r="E267">
        <f t="shared" ca="1" si="62"/>
        <v>0.31830988618379069</v>
      </c>
      <c r="F267">
        <f t="shared" ref="F267:F330" si="69">1/4</f>
        <v>0.25</v>
      </c>
      <c r="G267">
        <f t="shared" ca="1" si="63"/>
        <v>1</v>
      </c>
      <c r="H267">
        <f ca="1">IF(G267=1,SUM($G$10:G267),"-")</f>
        <v>198</v>
      </c>
      <c r="I267">
        <f t="shared" ca="1" si="64"/>
        <v>8.3754633407560508E-2</v>
      </c>
      <c r="J267">
        <f t="shared" ca="1" si="65"/>
        <v>6.3846844392987601E-2</v>
      </c>
      <c r="L267">
        <f t="shared" si="57"/>
        <v>258</v>
      </c>
      <c r="M267">
        <f t="shared" ca="1" si="66"/>
        <v>-0.30173540505473939</v>
      </c>
      <c r="N267">
        <f t="shared" ca="1" si="67"/>
        <v>0.72317710191591411</v>
      </c>
      <c r="O267">
        <f t="shared" ca="1" si="68"/>
        <v>0.78360026505805114</v>
      </c>
    </row>
    <row r="268" spans="1:15" x14ac:dyDescent="0.2">
      <c r="A268">
        <f t="shared" si="59"/>
        <v>259</v>
      </c>
      <c r="B268">
        <f t="shared" ca="1" si="61"/>
        <v>0.17027537798053949</v>
      </c>
      <c r="C268">
        <f t="shared" ca="1" si="60"/>
        <v>0.1113223276005364</v>
      </c>
      <c r="D268">
        <f t="shared" ca="1" si="60"/>
        <v>-4.8826024926988953E-2</v>
      </c>
      <c r="E268">
        <f t="shared" ca="1" si="62"/>
        <v>0.31830988618379069</v>
      </c>
      <c r="F268">
        <f t="shared" si="69"/>
        <v>0.25</v>
      </c>
      <c r="G268">
        <f t="shared" ca="1" si="63"/>
        <v>1</v>
      </c>
      <c r="H268">
        <f ca="1">IF(G268=1,SUM($G$10:G268),"-")</f>
        <v>199</v>
      </c>
      <c r="I268">
        <f t="shared" ca="1" si="64"/>
        <v>0.1113223276005364</v>
      </c>
      <c r="J268">
        <f t="shared" ca="1" si="65"/>
        <v>-4.8826024926988953E-2</v>
      </c>
      <c r="L268">
        <f t="shared" si="57"/>
        <v>259</v>
      </c>
      <c r="M268">
        <f t="shared" ca="1" si="66"/>
        <v>6.6293946739651277E-2</v>
      </c>
      <c r="N268">
        <f t="shared" ca="1" si="67"/>
        <v>4.5999685507583266E-2</v>
      </c>
      <c r="O268">
        <f t="shared" ca="1" si="68"/>
        <v>8.0689890575686651E-2</v>
      </c>
    </row>
    <row r="269" spans="1:15" x14ac:dyDescent="0.2">
      <c r="A269">
        <f t="shared" si="59"/>
        <v>260</v>
      </c>
      <c r="B269">
        <f t="shared" ca="1" si="61"/>
        <v>1.0178205315679367E-2</v>
      </c>
      <c r="C269">
        <f t="shared" ca="1" si="60"/>
        <v>0.82164776650781324</v>
      </c>
      <c r="D269">
        <f t="shared" ca="1" si="60"/>
        <v>0.83183262544428338</v>
      </c>
      <c r="E269">
        <f t="shared" ca="1" si="62"/>
        <v>0</v>
      </c>
      <c r="F269">
        <f t="shared" si="69"/>
        <v>0.25</v>
      </c>
      <c r="G269">
        <f t="shared" ca="1" si="63"/>
        <v>0</v>
      </c>
      <c r="H269" t="str">
        <f ca="1">IF(G269=1,SUM($G$10:G269),"-")</f>
        <v>-</v>
      </c>
      <c r="I269" t="str">
        <f t="shared" ca="1" si="64"/>
        <v>-</v>
      </c>
      <c r="J269" t="str">
        <f t="shared" ca="1" si="65"/>
        <v>-</v>
      </c>
      <c r="L269">
        <f t="shared" si="57"/>
        <v>260</v>
      </c>
      <c r="M269">
        <f t="shared" ca="1" si="66"/>
        <v>-0.35204826827594693</v>
      </c>
      <c r="N269">
        <f t="shared" ca="1" si="67"/>
        <v>-0.16502223983008557</v>
      </c>
      <c r="O269">
        <f t="shared" ca="1" si="68"/>
        <v>0.38880627931481687</v>
      </c>
    </row>
    <row r="270" spans="1:15" x14ac:dyDescent="0.2">
      <c r="A270">
        <f t="shared" si="59"/>
        <v>261</v>
      </c>
      <c r="B270">
        <f t="shared" ca="1" si="61"/>
        <v>0.39796546187253556</v>
      </c>
      <c r="C270">
        <f t="shared" ref="C270:D289" ca="1" si="70">2*RAND()-1</f>
        <v>-0.71291256263702785</v>
      </c>
      <c r="D270">
        <f t="shared" ca="1" si="70"/>
        <v>0.58216213238281878</v>
      </c>
      <c r="E270">
        <f t="shared" ca="1" si="62"/>
        <v>0.31830988618379069</v>
      </c>
      <c r="F270">
        <f t="shared" si="69"/>
        <v>0.25</v>
      </c>
      <c r="G270">
        <f t="shared" ca="1" si="63"/>
        <v>1</v>
      </c>
      <c r="H270">
        <f ca="1">IF(G270=1,SUM($G$10:G270),"-")</f>
        <v>200</v>
      </c>
      <c r="I270">
        <f t="shared" ca="1" si="64"/>
        <v>-0.71291256263702785</v>
      </c>
      <c r="J270">
        <f t="shared" ca="1" si="65"/>
        <v>0.58216213238281878</v>
      </c>
      <c r="L270">
        <f t="shared" si="57"/>
        <v>261</v>
      </c>
      <c r="M270">
        <f t="shared" ca="1" si="66"/>
        <v>0.63734370719098354</v>
      </c>
      <c r="N270">
        <f t="shared" ca="1" si="67"/>
        <v>-0.56397443138096137</v>
      </c>
      <c r="O270">
        <f t="shared" ca="1" si="68"/>
        <v>0.85104298384242905</v>
      </c>
    </row>
    <row r="271" spans="1:15" x14ac:dyDescent="0.2">
      <c r="A271">
        <f t="shared" si="59"/>
        <v>262</v>
      </c>
      <c r="B271">
        <f t="shared" ca="1" si="61"/>
        <v>0.91234159124093861</v>
      </c>
      <c r="C271">
        <f t="shared" ca="1" si="70"/>
        <v>-0.39872198359830247</v>
      </c>
      <c r="D271">
        <f t="shared" ca="1" si="70"/>
        <v>-0.96490307654213292</v>
      </c>
      <c r="E271">
        <f t="shared" ca="1" si="62"/>
        <v>0</v>
      </c>
      <c r="F271">
        <f t="shared" si="69"/>
        <v>0.25</v>
      </c>
      <c r="G271">
        <f t="shared" ca="1" si="63"/>
        <v>0</v>
      </c>
      <c r="H271" t="str">
        <f ca="1">IF(G271=1,SUM($G$10:G271),"-")</f>
        <v>-</v>
      </c>
      <c r="I271" t="str">
        <f t="shared" ca="1" si="64"/>
        <v>-</v>
      </c>
      <c r="J271" t="str">
        <f t="shared" ca="1" si="65"/>
        <v>-</v>
      </c>
      <c r="L271">
        <f t="shared" si="57"/>
        <v>262</v>
      </c>
      <c r="M271">
        <f t="shared" ca="1" si="66"/>
        <v>0.15883300634351327</v>
      </c>
      <c r="N271">
        <f t="shared" ca="1" si="67"/>
        <v>-0.62205185129727125</v>
      </c>
      <c r="O271">
        <f t="shared" ca="1" si="68"/>
        <v>0.64200968030589767</v>
      </c>
    </row>
    <row r="272" spans="1:15" x14ac:dyDescent="0.2">
      <c r="A272">
        <f t="shared" si="59"/>
        <v>263</v>
      </c>
      <c r="B272">
        <f t="shared" ca="1" si="61"/>
        <v>0.26393774400978254</v>
      </c>
      <c r="C272">
        <f t="shared" ca="1" si="70"/>
        <v>-0.11940346508821498</v>
      </c>
      <c r="D272">
        <f t="shared" ca="1" si="70"/>
        <v>0.33430750305897372</v>
      </c>
      <c r="E272">
        <f t="shared" ca="1" si="62"/>
        <v>0.31830988618379069</v>
      </c>
      <c r="F272">
        <f t="shared" si="69"/>
        <v>0.25</v>
      </c>
      <c r="G272">
        <f t="shared" ca="1" si="63"/>
        <v>1</v>
      </c>
      <c r="H272">
        <f ca="1">IF(G272=1,SUM($G$10:G272),"-")</f>
        <v>201</v>
      </c>
      <c r="I272">
        <f t="shared" ca="1" si="64"/>
        <v>-0.11940346508821498</v>
      </c>
      <c r="J272">
        <f t="shared" ca="1" si="65"/>
        <v>0.33430750305897372</v>
      </c>
      <c r="L272">
        <f t="shared" si="57"/>
        <v>263</v>
      </c>
      <c r="M272">
        <f t="shared" ca="1" si="66"/>
        <v>0.34785923715921618</v>
      </c>
      <c r="N272">
        <f t="shared" ca="1" si="67"/>
        <v>0.52128431891560689</v>
      </c>
      <c r="O272">
        <f t="shared" ca="1" si="68"/>
        <v>0.6266924205894786</v>
      </c>
    </row>
    <row r="273" spans="1:15" x14ac:dyDescent="0.2">
      <c r="A273">
        <f t="shared" si="59"/>
        <v>264</v>
      </c>
      <c r="B273">
        <f t="shared" ca="1" si="61"/>
        <v>0.41262854474452837</v>
      </c>
      <c r="C273">
        <f t="shared" ca="1" si="70"/>
        <v>6.5898731125562326E-2</v>
      </c>
      <c r="D273">
        <f t="shared" ca="1" si="70"/>
        <v>0.48634408338724899</v>
      </c>
      <c r="E273">
        <f t="shared" ca="1" si="62"/>
        <v>0.31830988618379069</v>
      </c>
      <c r="F273">
        <f t="shared" si="69"/>
        <v>0.25</v>
      </c>
      <c r="G273">
        <f t="shared" ca="1" si="63"/>
        <v>1</v>
      </c>
      <c r="H273">
        <f ca="1">IF(G273=1,SUM($G$10:G273),"-")</f>
        <v>202</v>
      </c>
      <c r="I273">
        <f t="shared" ca="1" si="64"/>
        <v>6.5898731125562326E-2</v>
      </c>
      <c r="J273">
        <f t="shared" ca="1" si="65"/>
        <v>0.48634408338724899</v>
      </c>
      <c r="L273">
        <f t="shared" si="57"/>
        <v>264</v>
      </c>
      <c r="M273">
        <f t="shared" ca="1" si="66"/>
        <v>-0.41353024281190542</v>
      </c>
      <c r="N273">
        <f t="shared" ca="1" si="67"/>
        <v>-0.8343942617575244</v>
      </c>
      <c r="O273">
        <f t="shared" ca="1" si="68"/>
        <v>0.93124703799472974</v>
      </c>
    </row>
    <row r="274" spans="1:15" x14ac:dyDescent="0.2">
      <c r="A274">
        <f t="shared" si="59"/>
        <v>265</v>
      </c>
      <c r="B274">
        <f t="shared" ca="1" si="61"/>
        <v>0.71145665580899975</v>
      </c>
      <c r="C274">
        <f t="shared" ca="1" si="70"/>
        <v>3.4345534365215924E-2</v>
      </c>
      <c r="D274">
        <f t="shared" ca="1" si="70"/>
        <v>-7.7651441494367868E-2</v>
      </c>
      <c r="E274">
        <f t="shared" ca="1" si="62"/>
        <v>0.31830988618379069</v>
      </c>
      <c r="F274">
        <f t="shared" si="69"/>
        <v>0.25</v>
      </c>
      <c r="G274">
        <f t="shared" ca="1" si="63"/>
        <v>1</v>
      </c>
      <c r="H274">
        <f ca="1">IF(G274=1,SUM($G$10:G274),"-")</f>
        <v>203</v>
      </c>
      <c r="I274">
        <f t="shared" ca="1" si="64"/>
        <v>3.4345534365215924E-2</v>
      </c>
      <c r="J274">
        <f t="shared" ca="1" si="65"/>
        <v>-7.7651441494367868E-2</v>
      </c>
      <c r="L274">
        <f t="shared" si="57"/>
        <v>265</v>
      </c>
      <c r="M274">
        <f t="shared" ca="1" si="66"/>
        <v>-0.47632185792090653</v>
      </c>
      <c r="N274">
        <f t="shared" ca="1" si="67"/>
        <v>-0.3983998298040119</v>
      </c>
      <c r="O274">
        <f t="shared" ca="1" si="68"/>
        <v>0.62097096286468167</v>
      </c>
    </row>
    <row r="275" spans="1:15" x14ac:dyDescent="0.2">
      <c r="A275">
        <f t="shared" si="59"/>
        <v>266</v>
      </c>
      <c r="B275">
        <f t="shared" ca="1" si="61"/>
        <v>0.64125525947084494</v>
      </c>
      <c r="C275">
        <f t="shared" ca="1" si="70"/>
        <v>-0.73885020932588752</v>
      </c>
      <c r="D275">
        <f t="shared" ca="1" si="70"/>
        <v>0.86938861087266783</v>
      </c>
      <c r="E275">
        <f t="shared" ca="1" si="62"/>
        <v>0</v>
      </c>
      <c r="F275">
        <f t="shared" si="69"/>
        <v>0.25</v>
      </c>
      <c r="G275">
        <f t="shared" ca="1" si="63"/>
        <v>0</v>
      </c>
      <c r="H275" t="str">
        <f ca="1">IF(G275=1,SUM($G$10:G275),"-")</f>
        <v>-</v>
      </c>
      <c r="I275" t="str">
        <f t="shared" ca="1" si="64"/>
        <v>-</v>
      </c>
      <c r="J275" t="str">
        <f t="shared" ca="1" si="65"/>
        <v>-</v>
      </c>
      <c r="L275">
        <f t="shared" si="57"/>
        <v>266</v>
      </c>
      <c r="M275">
        <f t="shared" ca="1" si="66"/>
        <v>-0.50576044907298812</v>
      </c>
      <c r="N275">
        <f t="shared" ca="1" si="67"/>
        <v>-0.15933123648124203</v>
      </c>
      <c r="O275">
        <f t="shared" ca="1" si="68"/>
        <v>0.53026415564806195</v>
      </c>
    </row>
    <row r="276" spans="1:15" x14ac:dyDescent="0.2">
      <c r="A276">
        <f t="shared" si="59"/>
        <v>267</v>
      </c>
      <c r="B276">
        <f t="shared" ca="1" si="61"/>
        <v>0.10554251563006711</v>
      </c>
      <c r="C276">
        <f t="shared" ca="1" si="70"/>
        <v>-0.72843531206936163</v>
      </c>
      <c r="D276">
        <f t="shared" ca="1" si="70"/>
        <v>0.29116013149838338</v>
      </c>
      <c r="E276">
        <f t="shared" ca="1" si="62"/>
        <v>0.31830988618379069</v>
      </c>
      <c r="F276">
        <f t="shared" si="69"/>
        <v>0.25</v>
      </c>
      <c r="G276">
        <f t="shared" ca="1" si="63"/>
        <v>1</v>
      </c>
      <c r="H276">
        <f ca="1">IF(G276=1,SUM($G$10:G276),"-")</f>
        <v>204</v>
      </c>
      <c r="I276">
        <f t="shared" ca="1" si="64"/>
        <v>-0.72843531206936163</v>
      </c>
      <c r="J276">
        <f t="shared" ca="1" si="65"/>
        <v>0.29116013149838338</v>
      </c>
      <c r="L276">
        <f t="shared" si="57"/>
        <v>267</v>
      </c>
      <c r="M276">
        <f t="shared" ca="1" si="66"/>
        <v>0.24321921590570472</v>
      </c>
      <c r="N276">
        <f t="shared" ca="1" si="67"/>
        <v>0.18377987157847997</v>
      </c>
      <c r="O276">
        <f t="shared" ca="1" si="68"/>
        <v>0.30484525284673269</v>
      </c>
    </row>
    <row r="277" spans="1:15" x14ac:dyDescent="0.2">
      <c r="A277">
        <f t="shared" si="59"/>
        <v>268</v>
      </c>
      <c r="B277">
        <f t="shared" ca="1" si="61"/>
        <v>0.68706558438507859</v>
      </c>
      <c r="C277">
        <f t="shared" ca="1" si="70"/>
        <v>0.12850505710551907</v>
      </c>
      <c r="D277">
        <f t="shared" ca="1" si="70"/>
        <v>-0.99779054709174209</v>
      </c>
      <c r="E277">
        <f t="shared" ca="1" si="62"/>
        <v>0</v>
      </c>
      <c r="F277">
        <f t="shared" si="69"/>
        <v>0.25</v>
      </c>
      <c r="G277">
        <f t="shared" ca="1" si="63"/>
        <v>0</v>
      </c>
      <c r="H277" t="str">
        <f ca="1">IF(G277=1,SUM($G$10:G277),"-")</f>
        <v>-</v>
      </c>
      <c r="I277" t="str">
        <f t="shared" ca="1" si="64"/>
        <v>-</v>
      </c>
      <c r="J277" t="str">
        <f t="shared" ca="1" si="65"/>
        <v>-</v>
      </c>
      <c r="L277">
        <f t="shared" si="57"/>
        <v>268</v>
      </c>
      <c r="M277">
        <f t="shared" ca="1" si="66"/>
        <v>-0.33200641506340323</v>
      </c>
      <c r="N277">
        <f t="shared" ca="1" si="67"/>
        <v>0.66167072420751816</v>
      </c>
      <c r="O277">
        <f t="shared" ca="1" si="68"/>
        <v>0.74029481081293169</v>
      </c>
    </row>
    <row r="278" spans="1:15" x14ac:dyDescent="0.2">
      <c r="A278">
        <f t="shared" si="59"/>
        <v>269</v>
      </c>
      <c r="B278">
        <f t="shared" ca="1" si="61"/>
        <v>0.99680918299999333</v>
      </c>
      <c r="C278">
        <f t="shared" ca="1" si="70"/>
        <v>-0.59227308925563715</v>
      </c>
      <c r="D278">
        <f t="shared" ca="1" si="70"/>
        <v>-1.8462709751358553E-2</v>
      </c>
      <c r="E278">
        <f t="shared" ca="1" si="62"/>
        <v>0.31830988618379069</v>
      </c>
      <c r="F278">
        <f t="shared" si="69"/>
        <v>0.25</v>
      </c>
      <c r="G278">
        <f t="shared" ca="1" si="63"/>
        <v>1</v>
      </c>
      <c r="H278">
        <f ca="1">IF(G278=1,SUM($G$10:G278),"-")</f>
        <v>205</v>
      </c>
      <c r="I278">
        <f t="shared" ca="1" si="64"/>
        <v>-0.59227308925563715</v>
      </c>
      <c r="J278">
        <f t="shared" ca="1" si="65"/>
        <v>-1.8462709751358553E-2</v>
      </c>
      <c r="L278">
        <f t="shared" si="57"/>
        <v>269</v>
      </c>
      <c r="M278">
        <f t="shared" ca="1" si="66"/>
        <v>-0.63649323068025554</v>
      </c>
      <c r="N278">
        <f t="shared" ca="1" si="67"/>
        <v>4.8980587178116375E-2</v>
      </c>
      <c r="O278">
        <f t="shared" ca="1" si="68"/>
        <v>0.63837507048920861</v>
      </c>
    </row>
    <row r="279" spans="1:15" x14ac:dyDescent="0.2">
      <c r="A279">
        <f t="shared" si="59"/>
        <v>270</v>
      </c>
      <c r="B279">
        <f t="shared" ca="1" si="61"/>
        <v>0.16374308916766156</v>
      </c>
      <c r="C279">
        <f t="shared" ca="1" si="70"/>
        <v>-0.91171198589552849</v>
      </c>
      <c r="D279">
        <f t="shared" ca="1" si="70"/>
        <v>0.735930033606504</v>
      </c>
      <c r="E279">
        <f t="shared" ca="1" si="62"/>
        <v>0</v>
      </c>
      <c r="F279">
        <f t="shared" si="69"/>
        <v>0.25</v>
      </c>
      <c r="G279">
        <f t="shared" ca="1" si="63"/>
        <v>0</v>
      </c>
      <c r="H279" t="str">
        <f ca="1">IF(G279=1,SUM($G$10:G279),"-")</f>
        <v>-</v>
      </c>
      <c r="I279" t="str">
        <f t="shared" ca="1" si="64"/>
        <v>-</v>
      </c>
      <c r="J279" t="str">
        <f t="shared" ca="1" si="65"/>
        <v>-</v>
      </c>
      <c r="L279">
        <f t="shared" si="57"/>
        <v>270</v>
      </c>
      <c r="M279">
        <f t="shared" ca="1" si="66"/>
        <v>-8.356697934618329E-2</v>
      </c>
      <c r="N279">
        <f t="shared" ca="1" si="67"/>
        <v>0.3625854138817326</v>
      </c>
      <c r="O279">
        <f t="shared" ca="1" si="68"/>
        <v>0.37209087921747391</v>
      </c>
    </row>
    <row r="280" spans="1:15" x14ac:dyDescent="0.2">
      <c r="A280">
        <f t="shared" si="59"/>
        <v>271</v>
      </c>
      <c r="B280">
        <f t="shared" ca="1" si="61"/>
        <v>5.2541651220538221E-2</v>
      </c>
      <c r="C280">
        <f t="shared" ca="1" si="70"/>
        <v>-5.5018146923834443E-2</v>
      </c>
      <c r="D280">
        <f t="shared" ca="1" si="70"/>
        <v>0.78345281138433576</v>
      </c>
      <c r="E280">
        <f t="shared" ca="1" si="62"/>
        <v>0.31830988618379069</v>
      </c>
      <c r="F280">
        <f t="shared" si="69"/>
        <v>0.25</v>
      </c>
      <c r="G280">
        <f t="shared" ca="1" si="63"/>
        <v>1</v>
      </c>
      <c r="H280">
        <f ca="1">IF(G280=1,SUM($G$10:G280),"-")</f>
        <v>206</v>
      </c>
      <c r="I280">
        <f t="shared" ca="1" si="64"/>
        <v>-5.5018146923834443E-2</v>
      </c>
      <c r="J280">
        <f t="shared" ca="1" si="65"/>
        <v>0.78345281138433576</v>
      </c>
      <c r="L280">
        <f t="shared" si="57"/>
        <v>271</v>
      </c>
      <c r="M280">
        <f t="shared" ca="1" si="66"/>
        <v>-0.44646500867427785</v>
      </c>
      <c r="N280">
        <f t="shared" ca="1" si="67"/>
        <v>0.38970998270074353</v>
      </c>
      <c r="O280">
        <f t="shared" ca="1" si="68"/>
        <v>0.59262540832058219</v>
      </c>
    </row>
    <row r="281" spans="1:15" x14ac:dyDescent="0.2">
      <c r="A281">
        <f t="shared" si="59"/>
        <v>272</v>
      </c>
      <c r="B281">
        <f t="shared" ca="1" si="61"/>
        <v>0.82687179030239755</v>
      </c>
      <c r="C281">
        <f t="shared" ca="1" si="70"/>
        <v>-0.8935169112273369</v>
      </c>
      <c r="D281">
        <f t="shared" ca="1" si="70"/>
        <v>0.38397655651283502</v>
      </c>
      <c r="E281">
        <f t="shared" ca="1" si="62"/>
        <v>0.31830988618379069</v>
      </c>
      <c r="F281">
        <f t="shared" si="69"/>
        <v>0.25</v>
      </c>
      <c r="G281">
        <f t="shared" ca="1" si="63"/>
        <v>1</v>
      </c>
      <c r="H281">
        <f ca="1">IF(G281=1,SUM($G$10:G281),"-")</f>
        <v>207</v>
      </c>
      <c r="I281">
        <f t="shared" ca="1" si="64"/>
        <v>-0.8935169112273369</v>
      </c>
      <c r="J281">
        <f t="shared" ca="1" si="65"/>
        <v>0.38397655651283502</v>
      </c>
      <c r="L281">
        <f t="shared" si="57"/>
        <v>272</v>
      </c>
      <c r="M281">
        <f t="shared" ca="1" si="66"/>
        <v>3.2772814029315755E-2</v>
      </c>
      <c r="N281">
        <f t="shared" ca="1" si="67"/>
        <v>-0.41489898002795189</v>
      </c>
      <c r="O281">
        <f t="shared" ca="1" si="68"/>
        <v>0.41619132735754466</v>
      </c>
    </row>
    <row r="282" spans="1:15" x14ac:dyDescent="0.2">
      <c r="A282">
        <f t="shared" si="59"/>
        <v>273</v>
      </c>
      <c r="B282">
        <f t="shared" ca="1" si="61"/>
        <v>0.85353290472903531</v>
      </c>
      <c r="C282">
        <f t="shared" ca="1" si="70"/>
        <v>0.9972430267971002</v>
      </c>
      <c r="D282">
        <f t="shared" ca="1" si="70"/>
        <v>0.4748595101520936</v>
      </c>
      <c r="E282">
        <f t="shared" ca="1" si="62"/>
        <v>0</v>
      </c>
      <c r="F282">
        <f t="shared" si="69"/>
        <v>0.25</v>
      </c>
      <c r="G282">
        <f t="shared" ca="1" si="63"/>
        <v>0</v>
      </c>
      <c r="H282" t="str">
        <f ca="1">IF(G282=1,SUM($G$10:G282),"-")</f>
        <v>-</v>
      </c>
      <c r="I282" t="str">
        <f t="shared" ca="1" si="64"/>
        <v>-</v>
      </c>
      <c r="J282" t="str">
        <f t="shared" ca="1" si="65"/>
        <v>-</v>
      </c>
      <c r="L282">
        <f t="shared" si="57"/>
        <v>273</v>
      </c>
      <c r="M282">
        <f t="shared" ca="1" si="66"/>
        <v>-0.69942318589266139</v>
      </c>
      <c r="N282">
        <f t="shared" ca="1" si="67"/>
        <v>-0.4119795457034896</v>
      </c>
      <c r="O282">
        <f t="shared" ca="1" si="68"/>
        <v>0.81173883672169711</v>
      </c>
    </row>
    <row r="283" spans="1:15" x14ac:dyDescent="0.2">
      <c r="A283">
        <f t="shared" si="59"/>
        <v>274</v>
      </c>
      <c r="B283">
        <f t="shared" ca="1" si="61"/>
        <v>8.0483167045674042E-3</v>
      </c>
      <c r="C283">
        <f t="shared" ca="1" si="70"/>
        <v>0.53220199495428244</v>
      </c>
      <c r="D283">
        <f t="shared" ca="1" si="70"/>
        <v>-0.39755333844022966</v>
      </c>
      <c r="E283">
        <f t="shared" ca="1" si="62"/>
        <v>0.31830988618379069</v>
      </c>
      <c r="F283">
        <f t="shared" si="69"/>
        <v>0.25</v>
      </c>
      <c r="G283">
        <f t="shared" ca="1" si="63"/>
        <v>1</v>
      </c>
      <c r="H283">
        <f ca="1">IF(G283=1,SUM($G$10:G283),"-")</f>
        <v>208</v>
      </c>
      <c r="I283">
        <f t="shared" ca="1" si="64"/>
        <v>0.53220199495428244</v>
      </c>
      <c r="J283">
        <f t="shared" ca="1" si="65"/>
        <v>-0.39755333844022966</v>
      </c>
      <c r="L283">
        <f t="shared" si="57"/>
        <v>274</v>
      </c>
      <c r="M283">
        <f t="shared" ca="1" si="66"/>
        <v>-0.64401591962906846</v>
      </c>
      <c r="N283">
        <f t="shared" ca="1" si="67"/>
        <v>-0.12526044178057139</v>
      </c>
      <c r="O283">
        <f t="shared" ca="1" si="68"/>
        <v>0.65608435662705655</v>
      </c>
    </row>
    <row r="284" spans="1:15" x14ac:dyDescent="0.2">
      <c r="A284">
        <f t="shared" si="59"/>
        <v>275</v>
      </c>
      <c r="B284">
        <f t="shared" ca="1" si="61"/>
        <v>0.26925549043855102</v>
      </c>
      <c r="C284">
        <f t="shared" ca="1" si="70"/>
        <v>0.91005751386959544</v>
      </c>
      <c r="D284">
        <f t="shared" ca="1" si="70"/>
        <v>0.79364558921597528</v>
      </c>
      <c r="E284">
        <f t="shared" ca="1" si="62"/>
        <v>0</v>
      </c>
      <c r="F284">
        <f t="shared" si="69"/>
        <v>0.25</v>
      </c>
      <c r="G284">
        <f t="shared" ca="1" si="63"/>
        <v>0</v>
      </c>
      <c r="H284" t="str">
        <f ca="1">IF(G284=1,SUM($G$10:G284),"-")</f>
        <v>-</v>
      </c>
      <c r="I284" t="str">
        <f t="shared" ca="1" si="64"/>
        <v>-</v>
      </c>
      <c r="J284" t="str">
        <f t="shared" ca="1" si="65"/>
        <v>-</v>
      </c>
      <c r="L284">
        <f t="shared" si="57"/>
        <v>275</v>
      </c>
      <c r="M284">
        <f t="shared" ca="1" si="66"/>
        <v>-0.63170362438977512</v>
      </c>
      <c r="N284">
        <f t="shared" ca="1" si="67"/>
        <v>0.14219445019421584</v>
      </c>
      <c r="O284">
        <f t="shared" ca="1" si="68"/>
        <v>0.64750963756010105</v>
      </c>
    </row>
    <row r="285" spans="1:15" x14ac:dyDescent="0.2">
      <c r="A285">
        <f t="shared" si="59"/>
        <v>276</v>
      </c>
      <c r="B285">
        <f t="shared" ca="1" si="61"/>
        <v>0.75281836586788231</v>
      </c>
      <c r="C285">
        <f t="shared" ca="1" si="70"/>
        <v>-0.93093134767783403</v>
      </c>
      <c r="D285">
        <f t="shared" ca="1" si="70"/>
        <v>0.29944881251964262</v>
      </c>
      <c r="E285">
        <f t="shared" ca="1" si="62"/>
        <v>0.31830988618379069</v>
      </c>
      <c r="F285">
        <f t="shared" si="69"/>
        <v>0.25</v>
      </c>
      <c r="G285">
        <f t="shared" ca="1" si="63"/>
        <v>1</v>
      </c>
      <c r="H285">
        <f ca="1">IF(G285=1,SUM($G$10:G285),"-")</f>
        <v>209</v>
      </c>
      <c r="I285">
        <f t="shared" ca="1" si="64"/>
        <v>-0.93093134767783403</v>
      </c>
      <c r="J285">
        <f t="shared" ca="1" si="65"/>
        <v>0.29944881251964262</v>
      </c>
      <c r="L285">
        <f t="shared" si="57"/>
        <v>276</v>
      </c>
      <c r="M285">
        <f t="shared" ca="1" si="66"/>
        <v>-7.407604905552434E-2</v>
      </c>
      <c r="N285">
        <f t="shared" ca="1" si="67"/>
        <v>0.41791250812058678</v>
      </c>
      <c r="O285">
        <f t="shared" ca="1" si="68"/>
        <v>0.42442681994345732</v>
      </c>
    </row>
    <row r="286" spans="1:15" x14ac:dyDescent="0.2">
      <c r="A286">
        <f t="shared" si="59"/>
        <v>277</v>
      </c>
      <c r="B286">
        <f t="shared" ca="1" si="61"/>
        <v>0.72808500065144477</v>
      </c>
      <c r="C286">
        <f t="shared" ca="1" si="70"/>
        <v>-0.60833624582970169</v>
      </c>
      <c r="D286">
        <f t="shared" ca="1" si="70"/>
        <v>-0.18712420434621535</v>
      </c>
      <c r="E286">
        <f t="shared" ca="1" si="62"/>
        <v>0.31830988618379069</v>
      </c>
      <c r="F286">
        <f t="shared" si="69"/>
        <v>0.25</v>
      </c>
      <c r="G286">
        <f t="shared" ca="1" si="63"/>
        <v>1</v>
      </c>
      <c r="H286">
        <f ca="1">IF(G286=1,SUM($G$10:G286),"-")</f>
        <v>210</v>
      </c>
      <c r="I286">
        <f t="shared" ca="1" si="64"/>
        <v>-0.60833624582970169</v>
      </c>
      <c r="J286">
        <f t="shared" ca="1" si="65"/>
        <v>-0.18712420434621535</v>
      </c>
      <c r="L286">
        <f t="shared" si="57"/>
        <v>277</v>
      </c>
      <c r="M286">
        <f t="shared" ca="1" si="66"/>
        <v>-0.15461079792582511</v>
      </c>
      <c r="N286">
        <f t="shared" ca="1" si="67"/>
        <v>-0.53395609403316024</v>
      </c>
      <c r="O286">
        <f t="shared" ca="1" si="68"/>
        <v>0.55588992542625681</v>
      </c>
    </row>
    <row r="287" spans="1:15" x14ac:dyDescent="0.2">
      <c r="A287">
        <f t="shared" si="59"/>
        <v>278</v>
      </c>
      <c r="B287">
        <f t="shared" ca="1" si="61"/>
        <v>0.67573114733963557</v>
      </c>
      <c r="C287">
        <f t="shared" ca="1" si="70"/>
        <v>0.85796058683516918</v>
      </c>
      <c r="D287">
        <f t="shared" ca="1" si="70"/>
        <v>-0.78874128609424132</v>
      </c>
      <c r="E287">
        <f t="shared" ca="1" si="62"/>
        <v>0</v>
      </c>
      <c r="F287">
        <f t="shared" si="69"/>
        <v>0.25</v>
      </c>
      <c r="G287">
        <f t="shared" ca="1" si="63"/>
        <v>0</v>
      </c>
      <c r="H287" t="str">
        <f ca="1">IF(G287=1,SUM($G$10:G287),"-")</f>
        <v>-</v>
      </c>
      <c r="I287" t="str">
        <f t="shared" ca="1" si="64"/>
        <v>-</v>
      </c>
      <c r="J287" t="str">
        <f t="shared" ca="1" si="65"/>
        <v>-</v>
      </c>
      <c r="L287">
        <f t="shared" si="57"/>
        <v>278</v>
      </c>
      <c r="M287">
        <f t="shared" ca="1" si="66"/>
        <v>0.17668412989556681</v>
      </c>
      <c r="N287">
        <f t="shared" ca="1" si="67"/>
        <v>-0.746998171218483</v>
      </c>
      <c r="O287">
        <f t="shared" ca="1" si="68"/>
        <v>0.76760898220429363</v>
      </c>
    </row>
    <row r="288" spans="1:15" x14ac:dyDescent="0.2">
      <c r="A288">
        <f t="shared" si="59"/>
        <v>279</v>
      </c>
      <c r="B288">
        <f t="shared" ca="1" si="61"/>
        <v>0.3260947620224719</v>
      </c>
      <c r="C288">
        <f t="shared" ca="1" si="70"/>
        <v>0.31707585496136681</v>
      </c>
      <c r="D288">
        <f t="shared" ca="1" si="70"/>
        <v>0.44302828748336465</v>
      </c>
      <c r="E288">
        <f t="shared" ca="1" si="62"/>
        <v>0.31830988618379069</v>
      </c>
      <c r="F288">
        <f t="shared" si="69"/>
        <v>0.25</v>
      </c>
      <c r="G288">
        <f t="shared" ca="1" si="63"/>
        <v>1</v>
      </c>
      <c r="H288">
        <f ca="1">IF(G288=1,SUM($G$10:G288),"-")</f>
        <v>211</v>
      </c>
      <c r="I288">
        <f t="shared" ca="1" si="64"/>
        <v>0.31707585496136681</v>
      </c>
      <c r="J288">
        <f t="shared" ca="1" si="65"/>
        <v>0.44302828748336465</v>
      </c>
      <c r="L288">
        <f t="shared" si="57"/>
        <v>279</v>
      </c>
      <c r="M288">
        <f t="shared" ca="1" si="66"/>
        <v>0.51738869131244636</v>
      </c>
      <c r="N288">
        <f t="shared" ca="1" si="67"/>
        <v>0.8139121962569813</v>
      </c>
      <c r="O288">
        <f t="shared" ca="1" si="68"/>
        <v>0.96443979652120781</v>
      </c>
    </row>
    <row r="289" spans="1:15" x14ac:dyDescent="0.2">
      <c r="A289">
        <f t="shared" si="59"/>
        <v>280</v>
      </c>
      <c r="B289">
        <f t="shared" ca="1" si="61"/>
        <v>6.1486708040522364E-2</v>
      </c>
      <c r="C289">
        <f t="shared" ca="1" si="70"/>
        <v>-0.70161012271722134</v>
      </c>
      <c r="D289">
        <f t="shared" ca="1" si="70"/>
        <v>-0.72513565032834304</v>
      </c>
      <c r="E289">
        <f t="shared" ca="1" si="62"/>
        <v>0</v>
      </c>
      <c r="F289">
        <f t="shared" si="69"/>
        <v>0.25</v>
      </c>
      <c r="G289">
        <f t="shared" ca="1" si="63"/>
        <v>0</v>
      </c>
      <c r="H289" t="str">
        <f ca="1">IF(G289=1,SUM($G$10:G289),"-")</f>
        <v>-</v>
      </c>
      <c r="I289" t="str">
        <f t="shared" ca="1" si="64"/>
        <v>-</v>
      </c>
      <c r="J289" t="str">
        <f t="shared" ca="1" si="65"/>
        <v>-</v>
      </c>
      <c r="L289">
        <f t="shared" si="57"/>
        <v>280</v>
      </c>
      <c r="M289">
        <f t="shared" ca="1" si="66"/>
        <v>-0.91204249512434266</v>
      </c>
      <c r="N289">
        <f t="shared" ca="1" si="67"/>
        <v>0.25566608091085907</v>
      </c>
      <c r="O289">
        <f t="shared" ca="1" si="68"/>
        <v>0.9471993759715821</v>
      </c>
    </row>
    <row r="290" spans="1:15" x14ac:dyDescent="0.2">
      <c r="A290">
        <f t="shared" si="59"/>
        <v>281</v>
      </c>
      <c r="B290">
        <f t="shared" ca="1" si="61"/>
        <v>0.83046947746328403</v>
      </c>
      <c r="C290">
        <f t="shared" ref="C290:D309" ca="1" si="71">2*RAND()-1</f>
        <v>0.55877808657030537</v>
      </c>
      <c r="D290">
        <f t="shared" ca="1" si="71"/>
        <v>0.87225402012442732</v>
      </c>
      <c r="E290">
        <f t="shared" ca="1" si="62"/>
        <v>0</v>
      </c>
      <c r="F290">
        <f t="shared" si="69"/>
        <v>0.25</v>
      </c>
      <c r="G290">
        <f t="shared" ca="1" si="63"/>
        <v>0</v>
      </c>
      <c r="H290" t="str">
        <f ca="1">IF(G290=1,SUM($G$10:G290),"-")</f>
        <v>-</v>
      </c>
      <c r="I290" t="str">
        <f t="shared" ca="1" si="64"/>
        <v>-</v>
      </c>
      <c r="J290" t="str">
        <f t="shared" ca="1" si="65"/>
        <v>-</v>
      </c>
      <c r="L290">
        <f t="shared" si="57"/>
        <v>281</v>
      </c>
      <c r="M290">
        <f t="shared" ca="1" si="66"/>
        <v>-0.56238150143848675</v>
      </c>
      <c r="N290">
        <f t="shared" ca="1" si="67"/>
        <v>0.25524658294350866</v>
      </c>
      <c r="O290">
        <f t="shared" ca="1" si="68"/>
        <v>0.61759515158762712</v>
      </c>
    </row>
    <row r="291" spans="1:15" x14ac:dyDescent="0.2">
      <c r="A291">
        <f t="shared" si="59"/>
        <v>282</v>
      </c>
      <c r="B291">
        <f t="shared" ca="1" si="61"/>
        <v>0.54445554598941825</v>
      </c>
      <c r="C291">
        <f t="shared" ca="1" si="71"/>
        <v>-7.7423927345139365E-3</v>
      </c>
      <c r="D291">
        <f t="shared" ca="1" si="71"/>
        <v>-0.72247771654027271</v>
      </c>
      <c r="E291">
        <f t="shared" ca="1" si="62"/>
        <v>0.31830988618379069</v>
      </c>
      <c r="F291">
        <f t="shared" si="69"/>
        <v>0.25</v>
      </c>
      <c r="G291">
        <f t="shared" ca="1" si="63"/>
        <v>1</v>
      </c>
      <c r="H291">
        <f ca="1">IF(G291=1,SUM($G$10:G291),"-")</f>
        <v>212</v>
      </c>
      <c r="I291">
        <f t="shared" ca="1" si="64"/>
        <v>-7.7423927345139365E-3</v>
      </c>
      <c r="J291">
        <f t="shared" ca="1" si="65"/>
        <v>-0.72247771654027271</v>
      </c>
      <c r="L291">
        <f t="shared" si="57"/>
        <v>282</v>
      </c>
      <c r="M291">
        <f t="shared" ca="1" si="66"/>
        <v>0.87418489648818309</v>
      </c>
      <c r="N291">
        <f t="shared" ca="1" si="67"/>
        <v>0.37114286182852041</v>
      </c>
      <c r="O291">
        <f t="shared" ca="1" si="68"/>
        <v>0.94970851166782722</v>
      </c>
    </row>
    <row r="292" spans="1:15" x14ac:dyDescent="0.2">
      <c r="A292">
        <f t="shared" si="59"/>
        <v>283</v>
      </c>
      <c r="B292">
        <f t="shared" ca="1" si="61"/>
        <v>0.97235910524169344</v>
      </c>
      <c r="C292">
        <f t="shared" ca="1" si="71"/>
        <v>0.8412414460892863</v>
      </c>
      <c r="D292">
        <f t="shared" ca="1" si="71"/>
        <v>0.18325842092696742</v>
      </c>
      <c r="E292">
        <f t="shared" ca="1" si="62"/>
        <v>0.31830988618379069</v>
      </c>
      <c r="F292">
        <f t="shared" si="69"/>
        <v>0.25</v>
      </c>
      <c r="G292">
        <f t="shared" ca="1" si="63"/>
        <v>1</v>
      </c>
      <c r="H292">
        <f ca="1">IF(G292=1,SUM($G$10:G292),"-")</f>
        <v>213</v>
      </c>
      <c r="I292">
        <f t="shared" ca="1" si="64"/>
        <v>0.8412414460892863</v>
      </c>
      <c r="J292">
        <f t="shared" ca="1" si="65"/>
        <v>0.18325842092696742</v>
      </c>
      <c r="L292">
        <f t="shared" ref="L292:L355" si="72">1+L291</f>
        <v>283</v>
      </c>
      <c r="M292">
        <f t="shared" ca="1" si="66"/>
        <v>-0.19645122724180974</v>
      </c>
      <c r="N292">
        <f t="shared" ca="1" si="67"/>
        <v>0.4555022094147021</v>
      </c>
      <c r="O292">
        <f t="shared" ca="1" si="68"/>
        <v>0.49605982246750069</v>
      </c>
    </row>
    <row r="293" spans="1:15" x14ac:dyDescent="0.2">
      <c r="A293">
        <f t="shared" si="59"/>
        <v>284</v>
      </c>
      <c r="B293">
        <f t="shared" ca="1" si="61"/>
        <v>0.61615250160912027</v>
      </c>
      <c r="C293">
        <f t="shared" ca="1" si="71"/>
        <v>-0.98021908901083177</v>
      </c>
      <c r="D293">
        <f t="shared" ca="1" si="71"/>
        <v>0.83417542964593516</v>
      </c>
      <c r="E293">
        <f t="shared" ca="1" si="62"/>
        <v>0</v>
      </c>
      <c r="F293">
        <f t="shared" si="69"/>
        <v>0.25</v>
      </c>
      <c r="G293">
        <f t="shared" ca="1" si="63"/>
        <v>0</v>
      </c>
      <c r="H293" t="str">
        <f ca="1">IF(G293=1,SUM($G$10:G293),"-")</f>
        <v>-</v>
      </c>
      <c r="I293" t="str">
        <f t="shared" ca="1" si="64"/>
        <v>-</v>
      </c>
      <c r="J293" t="str">
        <f t="shared" ca="1" si="65"/>
        <v>-</v>
      </c>
      <c r="L293">
        <f t="shared" si="72"/>
        <v>284</v>
      </c>
      <c r="M293">
        <f t="shared" ca="1" si="66"/>
        <v>0.68783963810095039</v>
      </c>
      <c r="N293">
        <f t="shared" ca="1" si="67"/>
        <v>0.69389478316046849</v>
      </c>
      <c r="O293">
        <f t="shared" ca="1" si="68"/>
        <v>0.97704316068439878</v>
      </c>
    </row>
    <row r="294" spans="1:15" x14ac:dyDescent="0.2">
      <c r="A294">
        <f t="shared" si="59"/>
        <v>285</v>
      </c>
      <c r="B294">
        <f t="shared" ca="1" si="61"/>
        <v>0.49204683803720095</v>
      </c>
      <c r="C294">
        <f t="shared" ca="1" si="71"/>
        <v>-0.49017904771442766</v>
      </c>
      <c r="D294">
        <f t="shared" ca="1" si="71"/>
        <v>0.68638216141977049</v>
      </c>
      <c r="E294">
        <f t="shared" ca="1" si="62"/>
        <v>0.31830988618379069</v>
      </c>
      <c r="F294">
        <f t="shared" si="69"/>
        <v>0.25</v>
      </c>
      <c r="G294">
        <f t="shared" ca="1" si="63"/>
        <v>1</v>
      </c>
      <c r="H294">
        <f ca="1">IF(G294=1,SUM($G$10:G294),"-")</f>
        <v>214</v>
      </c>
      <c r="I294">
        <f t="shared" ca="1" si="64"/>
        <v>-0.49017904771442766</v>
      </c>
      <c r="J294">
        <f t="shared" ca="1" si="65"/>
        <v>0.68638216141977049</v>
      </c>
      <c r="L294">
        <f t="shared" si="72"/>
        <v>285</v>
      </c>
      <c r="M294">
        <f t="shared" ca="1" si="66"/>
        <v>0.7659452081642022</v>
      </c>
      <c r="N294">
        <f t="shared" ca="1" si="67"/>
        <v>0.22907572489809525</v>
      </c>
      <c r="O294">
        <f t="shared" ca="1" si="68"/>
        <v>0.79946716608456836</v>
      </c>
    </row>
    <row r="295" spans="1:15" x14ac:dyDescent="0.2">
      <c r="A295">
        <f t="shared" si="59"/>
        <v>286</v>
      </c>
      <c r="B295">
        <f t="shared" ca="1" si="61"/>
        <v>0.70363258657852723</v>
      </c>
      <c r="C295">
        <f t="shared" ca="1" si="71"/>
        <v>0.3216297227910665</v>
      </c>
      <c r="D295">
        <f t="shared" ca="1" si="71"/>
        <v>-0.75487596515981048</v>
      </c>
      <c r="E295">
        <f t="shared" ca="1" si="62"/>
        <v>0.31830988618379069</v>
      </c>
      <c r="F295">
        <f t="shared" si="69"/>
        <v>0.25</v>
      </c>
      <c r="G295">
        <f t="shared" ca="1" si="63"/>
        <v>1</v>
      </c>
      <c r="H295">
        <f ca="1">IF(G295=1,SUM($G$10:G295),"-")</f>
        <v>215</v>
      </c>
      <c r="I295">
        <f t="shared" ca="1" si="64"/>
        <v>0.3216297227910665</v>
      </c>
      <c r="J295">
        <f t="shared" ca="1" si="65"/>
        <v>-0.75487596515981048</v>
      </c>
      <c r="L295">
        <f t="shared" si="72"/>
        <v>286</v>
      </c>
      <c r="M295">
        <f t="shared" ca="1" si="66"/>
        <v>0.63309871099713955</v>
      </c>
      <c r="N295">
        <f t="shared" ca="1" si="67"/>
        <v>-2.3084560732880455E-2</v>
      </c>
      <c r="O295">
        <f t="shared" ca="1" si="68"/>
        <v>0.63351943522710463</v>
      </c>
    </row>
    <row r="296" spans="1:15" x14ac:dyDescent="0.2">
      <c r="A296">
        <f t="shared" si="59"/>
        <v>287</v>
      </c>
      <c r="B296">
        <f t="shared" ca="1" si="61"/>
        <v>0.41926274107470751</v>
      </c>
      <c r="C296">
        <f t="shared" ca="1" si="71"/>
        <v>0.79162276842605261</v>
      </c>
      <c r="D296">
        <f t="shared" ca="1" si="71"/>
        <v>-0.33790722354201175</v>
      </c>
      <c r="E296">
        <f t="shared" ca="1" si="62"/>
        <v>0.31830988618379069</v>
      </c>
      <c r="F296">
        <f t="shared" si="69"/>
        <v>0.25</v>
      </c>
      <c r="G296">
        <f t="shared" ca="1" si="63"/>
        <v>1</v>
      </c>
      <c r="H296">
        <f ca="1">IF(G296=1,SUM($G$10:G296),"-")</f>
        <v>216</v>
      </c>
      <c r="I296">
        <f t="shared" ca="1" si="64"/>
        <v>0.79162276842605261</v>
      </c>
      <c r="J296">
        <f t="shared" ca="1" si="65"/>
        <v>-0.33790722354201175</v>
      </c>
      <c r="L296">
        <f t="shared" si="72"/>
        <v>287</v>
      </c>
      <c r="M296">
        <f t="shared" ca="1" si="66"/>
        <v>-7.2029058730591622E-3</v>
      </c>
      <c r="N296">
        <f t="shared" ca="1" si="67"/>
        <v>-0.43650513262619017</v>
      </c>
      <c r="O296">
        <f t="shared" ca="1" si="68"/>
        <v>0.43656455726733479</v>
      </c>
    </row>
    <row r="297" spans="1:15" x14ac:dyDescent="0.2">
      <c r="A297">
        <f t="shared" si="59"/>
        <v>288</v>
      </c>
      <c r="B297">
        <f t="shared" ca="1" si="61"/>
        <v>0.42480705345291403</v>
      </c>
      <c r="C297">
        <f t="shared" ca="1" si="71"/>
        <v>-0.45663968524265131</v>
      </c>
      <c r="D297">
        <f t="shared" ca="1" si="71"/>
        <v>0.76425913531358436</v>
      </c>
      <c r="E297">
        <f t="shared" ca="1" si="62"/>
        <v>0.31830988618379069</v>
      </c>
      <c r="F297">
        <f t="shared" si="69"/>
        <v>0.25</v>
      </c>
      <c r="G297">
        <f t="shared" ca="1" si="63"/>
        <v>1</v>
      </c>
      <c r="H297">
        <f ca="1">IF(G297=1,SUM($G$10:G297),"-")</f>
        <v>217</v>
      </c>
      <c r="I297">
        <f t="shared" ca="1" si="64"/>
        <v>-0.45663968524265131</v>
      </c>
      <c r="J297">
        <f t="shared" ca="1" si="65"/>
        <v>0.76425913531358436</v>
      </c>
      <c r="L297">
        <f t="shared" si="72"/>
        <v>288</v>
      </c>
      <c r="M297">
        <f t="shared" ca="1" si="66"/>
        <v>0.58116441051652457</v>
      </c>
      <c r="N297">
        <f t="shared" ca="1" si="67"/>
        <v>-0.48512118427864448</v>
      </c>
      <c r="O297">
        <f t="shared" ca="1" si="68"/>
        <v>0.75703014172946503</v>
      </c>
    </row>
    <row r="298" spans="1:15" x14ac:dyDescent="0.2">
      <c r="A298">
        <f t="shared" si="59"/>
        <v>289</v>
      </c>
      <c r="B298">
        <f t="shared" ca="1" si="61"/>
        <v>0.633215591662597</v>
      </c>
      <c r="C298">
        <f t="shared" ca="1" si="71"/>
        <v>0.71454569525652167</v>
      </c>
      <c r="D298">
        <f t="shared" ca="1" si="71"/>
        <v>0.50346837696808877</v>
      </c>
      <c r="E298">
        <f t="shared" ca="1" si="62"/>
        <v>0.31830988618379069</v>
      </c>
      <c r="F298">
        <f t="shared" si="69"/>
        <v>0.25</v>
      </c>
      <c r="G298">
        <f t="shared" ca="1" si="63"/>
        <v>1</v>
      </c>
      <c r="H298">
        <f ca="1">IF(G298=1,SUM($G$10:G298),"-")</f>
        <v>218</v>
      </c>
      <c r="I298">
        <f t="shared" ca="1" si="64"/>
        <v>0.71454569525652167</v>
      </c>
      <c r="J298">
        <f t="shared" ca="1" si="65"/>
        <v>0.50346837696808877</v>
      </c>
      <c r="L298">
        <f t="shared" si="72"/>
        <v>289</v>
      </c>
      <c r="M298">
        <f t="shared" ca="1" si="66"/>
        <v>5.3448918625491837E-2</v>
      </c>
      <c r="N298">
        <f t="shared" ca="1" si="67"/>
        <v>0.33864166528600048</v>
      </c>
      <c r="O298">
        <f t="shared" ca="1" si="68"/>
        <v>0.34283372700174941</v>
      </c>
    </row>
    <row r="299" spans="1:15" x14ac:dyDescent="0.2">
      <c r="A299">
        <f t="shared" si="59"/>
        <v>290</v>
      </c>
      <c r="B299">
        <f t="shared" ca="1" si="61"/>
        <v>0.19284140900996938</v>
      </c>
      <c r="C299">
        <f t="shared" ca="1" si="71"/>
        <v>-0.22655596396344801</v>
      </c>
      <c r="D299">
        <f t="shared" ca="1" si="71"/>
        <v>-0.39556619193734566</v>
      </c>
      <c r="E299">
        <f t="shared" ca="1" si="62"/>
        <v>0.31830988618379069</v>
      </c>
      <c r="F299">
        <f t="shared" si="69"/>
        <v>0.25</v>
      </c>
      <c r="G299">
        <f t="shared" ca="1" si="63"/>
        <v>1</v>
      </c>
      <c r="H299">
        <f ca="1">IF(G299=1,SUM($G$10:G299),"-")</f>
        <v>219</v>
      </c>
      <c r="I299">
        <f t="shared" ca="1" si="64"/>
        <v>-0.22655596396344801</v>
      </c>
      <c r="J299">
        <f t="shared" ca="1" si="65"/>
        <v>-0.39556619193734566</v>
      </c>
      <c r="L299">
        <f t="shared" si="72"/>
        <v>290</v>
      </c>
      <c r="M299">
        <f t="shared" ca="1" si="66"/>
        <v>-0.18014434992252548</v>
      </c>
      <c r="N299">
        <f t="shared" ca="1" si="67"/>
        <v>6.8199557851573056E-2</v>
      </c>
      <c r="O299">
        <f t="shared" ca="1" si="68"/>
        <v>0.19262182249205143</v>
      </c>
    </row>
    <row r="300" spans="1:15" x14ac:dyDescent="0.2">
      <c r="A300">
        <f t="shared" si="59"/>
        <v>291</v>
      </c>
      <c r="B300">
        <f t="shared" ca="1" si="61"/>
        <v>0.37825311777430204</v>
      </c>
      <c r="C300">
        <f t="shared" ca="1" si="71"/>
        <v>0.15450549908861344</v>
      </c>
      <c r="D300">
        <f t="shared" ca="1" si="71"/>
        <v>0.83058792081629629</v>
      </c>
      <c r="E300">
        <f t="shared" ca="1" si="62"/>
        <v>0.31830988618379069</v>
      </c>
      <c r="F300">
        <f t="shared" si="69"/>
        <v>0.25</v>
      </c>
      <c r="G300">
        <f t="shared" ca="1" si="63"/>
        <v>1</v>
      </c>
      <c r="H300">
        <f ca="1">IF(G300=1,SUM($G$10:G300),"-")</f>
        <v>220</v>
      </c>
      <c r="I300">
        <f t="shared" ca="1" si="64"/>
        <v>0.15450549908861344</v>
      </c>
      <c r="J300">
        <f t="shared" ca="1" si="65"/>
        <v>0.83058792081629629</v>
      </c>
      <c r="L300">
        <f t="shared" si="72"/>
        <v>291</v>
      </c>
      <c r="M300">
        <f t="shared" ca="1" si="66"/>
        <v>-0.20593639803059172</v>
      </c>
      <c r="N300">
        <f t="shared" ca="1" si="67"/>
        <v>0.65131401638123898</v>
      </c>
      <c r="O300">
        <f t="shared" ca="1" si="68"/>
        <v>0.68309570923002816</v>
      </c>
    </row>
    <row r="301" spans="1:15" x14ac:dyDescent="0.2">
      <c r="A301">
        <f t="shared" si="59"/>
        <v>292</v>
      </c>
      <c r="B301">
        <f t="shared" ca="1" si="61"/>
        <v>4.2303739704500742E-2</v>
      </c>
      <c r="C301">
        <f t="shared" ca="1" si="71"/>
        <v>-0.19150635827607232</v>
      </c>
      <c r="D301">
        <f t="shared" ca="1" si="71"/>
        <v>4.5024910339950042E-2</v>
      </c>
      <c r="E301">
        <f t="shared" ca="1" si="62"/>
        <v>0.31830988618379069</v>
      </c>
      <c r="F301">
        <f t="shared" si="69"/>
        <v>0.25</v>
      </c>
      <c r="G301">
        <f t="shared" ca="1" si="63"/>
        <v>1</v>
      </c>
      <c r="H301">
        <f ca="1">IF(G301=1,SUM($G$10:G301),"-")</f>
        <v>221</v>
      </c>
      <c r="I301">
        <f t="shared" ca="1" si="64"/>
        <v>-0.19150635827607232</v>
      </c>
      <c r="J301">
        <f t="shared" ca="1" si="65"/>
        <v>4.5024910339950042E-2</v>
      </c>
      <c r="L301">
        <f t="shared" si="72"/>
        <v>292</v>
      </c>
      <c r="M301">
        <f t="shared" ca="1" si="66"/>
        <v>0.79602426870321619</v>
      </c>
      <c r="N301">
        <f t="shared" ca="1" si="67"/>
        <v>-0.39809937091214143</v>
      </c>
      <c r="O301">
        <f t="shared" ca="1" si="68"/>
        <v>0.89002120507611104</v>
      </c>
    </row>
    <row r="302" spans="1:15" x14ac:dyDescent="0.2">
      <c r="A302">
        <f t="shared" si="59"/>
        <v>293</v>
      </c>
      <c r="B302">
        <f t="shared" ca="1" si="61"/>
        <v>4.7471957054686653E-3</v>
      </c>
      <c r="C302">
        <f t="shared" ca="1" si="71"/>
        <v>0.27873893867987598</v>
      </c>
      <c r="D302">
        <f t="shared" ca="1" si="71"/>
        <v>-0.66111568343686034</v>
      </c>
      <c r="E302">
        <f t="shared" ca="1" si="62"/>
        <v>0.31830988618379069</v>
      </c>
      <c r="F302">
        <f t="shared" si="69"/>
        <v>0.25</v>
      </c>
      <c r="G302">
        <f t="shared" ca="1" si="63"/>
        <v>1</v>
      </c>
      <c r="H302">
        <f ca="1">IF(G302=1,SUM($G$10:G302),"-")</f>
        <v>222</v>
      </c>
      <c r="I302">
        <f t="shared" ca="1" si="64"/>
        <v>0.27873893867987598</v>
      </c>
      <c r="J302">
        <f t="shared" ca="1" si="65"/>
        <v>-0.66111568343686034</v>
      </c>
      <c r="L302">
        <f t="shared" si="72"/>
        <v>293</v>
      </c>
      <c r="M302">
        <f t="shared" ca="1" si="66"/>
        <v>-0.67979448377915852</v>
      </c>
      <c r="N302">
        <f t="shared" ca="1" si="67"/>
        <v>0.69473690239176977</v>
      </c>
      <c r="O302">
        <f t="shared" ca="1" si="68"/>
        <v>0.97199789285856175</v>
      </c>
    </row>
    <row r="303" spans="1:15" x14ac:dyDescent="0.2">
      <c r="A303">
        <f t="shared" ref="A303:A366" si="73">1+A302</f>
        <v>294</v>
      </c>
      <c r="B303">
        <f t="shared" ca="1" si="61"/>
        <v>0.97124079272588892</v>
      </c>
      <c r="C303">
        <f t="shared" ca="1" si="71"/>
        <v>-0.13803672475362672</v>
      </c>
      <c r="D303">
        <f t="shared" ca="1" si="71"/>
        <v>0.48533785643546978</v>
      </c>
      <c r="E303">
        <f t="shared" ca="1" si="62"/>
        <v>0.31830988618379069</v>
      </c>
      <c r="F303">
        <f t="shared" si="69"/>
        <v>0.25</v>
      </c>
      <c r="G303">
        <f t="shared" ca="1" si="63"/>
        <v>1</v>
      </c>
      <c r="H303">
        <f ca="1">IF(G303=1,SUM($G$10:G303),"-")</f>
        <v>223</v>
      </c>
      <c r="I303">
        <f t="shared" ca="1" si="64"/>
        <v>-0.13803672475362672</v>
      </c>
      <c r="J303">
        <f t="shared" ca="1" si="65"/>
        <v>0.48533785643546978</v>
      </c>
      <c r="L303">
        <f t="shared" si="72"/>
        <v>294</v>
      </c>
      <c r="M303">
        <f t="shared" ca="1" si="66"/>
        <v>-1.1513899839611597E-2</v>
      </c>
      <c r="N303">
        <f t="shared" ca="1" si="67"/>
        <v>-0.5262277183700339</v>
      </c>
      <c r="O303">
        <f t="shared" ca="1" si="68"/>
        <v>0.52635366577088483</v>
      </c>
    </row>
    <row r="304" spans="1:15" x14ac:dyDescent="0.2">
      <c r="A304">
        <f t="shared" si="73"/>
        <v>295</v>
      </c>
      <c r="B304">
        <f t="shared" ca="1" si="61"/>
        <v>0.5713539843254174</v>
      </c>
      <c r="C304">
        <f t="shared" ca="1" si="71"/>
        <v>-0.42706499602327086</v>
      </c>
      <c r="D304">
        <f t="shared" ca="1" si="71"/>
        <v>-0.52648715104139909</v>
      </c>
      <c r="E304">
        <f t="shared" ca="1" si="62"/>
        <v>0.31830988618379069</v>
      </c>
      <c r="F304">
        <f t="shared" si="69"/>
        <v>0.25</v>
      </c>
      <c r="G304">
        <f t="shared" ca="1" si="63"/>
        <v>1</v>
      </c>
      <c r="H304">
        <f ca="1">IF(G304=1,SUM($G$10:G304),"-")</f>
        <v>224</v>
      </c>
      <c r="I304">
        <f t="shared" ca="1" si="64"/>
        <v>-0.42706499602327086</v>
      </c>
      <c r="J304">
        <f t="shared" ca="1" si="65"/>
        <v>-0.52648715104139909</v>
      </c>
      <c r="L304">
        <f t="shared" si="72"/>
        <v>295</v>
      </c>
      <c r="M304">
        <f t="shared" ca="1" si="66"/>
        <v>-0.51327484012177504</v>
      </c>
      <c r="N304">
        <f t="shared" ca="1" si="67"/>
        <v>0.684540779512399</v>
      </c>
      <c r="O304">
        <f t="shared" ca="1" si="68"/>
        <v>0.85559753407631833</v>
      </c>
    </row>
    <row r="305" spans="1:15" x14ac:dyDescent="0.2">
      <c r="A305">
        <f t="shared" si="73"/>
        <v>296</v>
      </c>
      <c r="B305">
        <f t="shared" ca="1" si="61"/>
        <v>0.77705845763448955</v>
      </c>
      <c r="C305">
        <f t="shared" ca="1" si="71"/>
        <v>8.5455109731671586E-2</v>
      </c>
      <c r="D305">
        <f t="shared" ca="1" si="71"/>
        <v>0.17790973473614002</v>
      </c>
      <c r="E305">
        <f t="shared" ca="1" si="62"/>
        <v>0.31830988618379069</v>
      </c>
      <c r="F305">
        <f t="shared" si="69"/>
        <v>0.25</v>
      </c>
      <c r="G305">
        <f t="shared" ca="1" si="63"/>
        <v>1</v>
      </c>
      <c r="H305">
        <f ca="1">IF(G305=1,SUM($G$10:G305),"-")</f>
        <v>225</v>
      </c>
      <c r="I305">
        <f t="shared" ca="1" si="64"/>
        <v>8.5455109731671586E-2</v>
      </c>
      <c r="J305">
        <f t="shared" ca="1" si="65"/>
        <v>0.17790973473614002</v>
      </c>
      <c r="L305">
        <f t="shared" si="72"/>
        <v>296</v>
      </c>
      <c r="M305">
        <f t="shared" ca="1" si="66"/>
        <v>0.88104049474303014</v>
      </c>
      <c r="N305">
        <f t="shared" ca="1" si="67"/>
        <v>0.41478606655705841</v>
      </c>
      <c r="O305">
        <f t="shared" ca="1" si="68"/>
        <v>0.97379660832584536</v>
      </c>
    </row>
    <row r="306" spans="1:15" x14ac:dyDescent="0.2">
      <c r="A306">
        <f t="shared" si="73"/>
        <v>297</v>
      </c>
      <c r="B306">
        <f t="shared" ca="1" si="61"/>
        <v>0.51512484756911259</v>
      </c>
      <c r="C306">
        <f t="shared" ca="1" si="71"/>
        <v>0.55058201797569439</v>
      </c>
      <c r="D306">
        <f t="shared" ca="1" si="71"/>
        <v>-0.38458086158973415</v>
      </c>
      <c r="E306">
        <f t="shared" ca="1" si="62"/>
        <v>0.31830988618379069</v>
      </c>
      <c r="F306">
        <f t="shared" si="69"/>
        <v>0.25</v>
      </c>
      <c r="G306">
        <f t="shared" ca="1" si="63"/>
        <v>1</v>
      </c>
      <c r="H306">
        <f ca="1">IF(G306=1,SUM($G$10:G306),"-")</f>
        <v>226</v>
      </c>
      <c r="I306">
        <f t="shared" ca="1" si="64"/>
        <v>0.55058201797569439</v>
      </c>
      <c r="J306">
        <f t="shared" ca="1" si="65"/>
        <v>-0.38458086158973415</v>
      </c>
      <c r="L306">
        <f t="shared" si="72"/>
        <v>297</v>
      </c>
      <c r="M306">
        <f t="shared" ca="1" si="66"/>
        <v>3.2036717609439602E-2</v>
      </c>
      <c r="N306">
        <f t="shared" ca="1" si="67"/>
        <v>0.89515530248883479</v>
      </c>
      <c r="O306">
        <f t="shared" ca="1" si="68"/>
        <v>0.89572840015769528</v>
      </c>
    </row>
    <row r="307" spans="1:15" x14ac:dyDescent="0.2">
      <c r="A307">
        <f t="shared" si="73"/>
        <v>298</v>
      </c>
      <c r="B307">
        <f t="shared" ca="1" si="61"/>
        <v>0.19018675522717921</v>
      </c>
      <c r="C307">
        <f t="shared" ca="1" si="71"/>
        <v>0.69730329748088815</v>
      </c>
      <c r="D307">
        <f t="shared" ca="1" si="71"/>
        <v>0.72794568281124161</v>
      </c>
      <c r="E307">
        <f t="shared" ca="1" si="62"/>
        <v>0</v>
      </c>
      <c r="F307">
        <f t="shared" si="69"/>
        <v>0.25</v>
      </c>
      <c r="G307">
        <f t="shared" ca="1" si="63"/>
        <v>0</v>
      </c>
      <c r="H307" t="str">
        <f ca="1">IF(G307=1,SUM($G$10:G307),"-")</f>
        <v>-</v>
      </c>
      <c r="I307" t="str">
        <f t="shared" ca="1" si="64"/>
        <v>-</v>
      </c>
      <c r="J307" t="str">
        <f t="shared" ca="1" si="65"/>
        <v>-</v>
      </c>
      <c r="L307">
        <f t="shared" si="72"/>
        <v>298</v>
      </c>
      <c r="M307">
        <f t="shared" ca="1" si="66"/>
        <v>0.73963391567596992</v>
      </c>
      <c r="N307">
        <f t="shared" ca="1" si="67"/>
        <v>9.3595920812291178E-2</v>
      </c>
      <c r="O307">
        <f t="shared" ca="1" si="68"/>
        <v>0.74553237730555233</v>
      </c>
    </row>
    <row r="308" spans="1:15" x14ac:dyDescent="0.2">
      <c r="A308">
        <f t="shared" si="73"/>
        <v>299</v>
      </c>
      <c r="B308">
        <f t="shared" ca="1" si="61"/>
        <v>0.44157587809311816</v>
      </c>
      <c r="C308">
        <f t="shared" ca="1" si="71"/>
        <v>-0.38636600515455832</v>
      </c>
      <c r="D308">
        <f t="shared" ca="1" si="71"/>
        <v>-0.27487186456189727</v>
      </c>
      <c r="E308">
        <f t="shared" ca="1" si="62"/>
        <v>0.31830988618379069</v>
      </c>
      <c r="F308">
        <f t="shared" si="69"/>
        <v>0.25</v>
      </c>
      <c r="G308">
        <f t="shared" ca="1" si="63"/>
        <v>1</v>
      </c>
      <c r="H308">
        <f ca="1">IF(G308=1,SUM($G$10:G308),"-")</f>
        <v>227</v>
      </c>
      <c r="I308">
        <f t="shared" ca="1" si="64"/>
        <v>-0.38636600515455832</v>
      </c>
      <c r="J308">
        <f t="shared" ca="1" si="65"/>
        <v>-0.27487186456189727</v>
      </c>
      <c r="L308">
        <f t="shared" si="72"/>
        <v>299</v>
      </c>
      <c r="M308">
        <f t="shared" ca="1" si="66"/>
        <v>0.63699812500816422</v>
      </c>
      <c r="N308">
        <f t="shared" ca="1" si="67"/>
        <v>-0.13716650457370427</v>
      </c>
      <c r="O308">
        <f t="shared" ca="1" si="68"/>
        <v>0.65159900340691501</v>
      </c>
    </row>
    <row r="309" spans="1:15" x14ac:dyDescent="0.2">
      <c r="A309">
        <f t="shared" si="73"/>
        <v>300</v>
      </c>
      <c r="B309">
        <f t="shared" ca="1" si="61"/>
        <v>0.11653220025602185</v>
      </c>
      <c r="C309">
        <f t="shared" ca="1" si="71"/>
        <v>-0.24559283089309503</v>
      </c>
      <c r="D309">
        <f t="shared" ca="1" si="71"/>
        <v>-0.43138863917387416</v>
      </c>
      <c r="E309">
        <f t="shared" ca="1" si="62"/>
        <v>0.31830988618379069</v>
      </c>
      <c r="F309">
        <f t="shared" si="69"/>
        <v>0.25</v>
      </c>
      <c r="G309">
        <f t="shared" ca="1" si="63"/>
        <v>1</v>
      </c>
      <c r="H309">
        <f ca="1">IF(G309=1,SUM($G$10:G309),"-")</f>
        <v>228</v>
      </c>
      <c r="I309">
        <f t="shared" ca="1" si="64"/>
        <v>-0.24559283089309503</v>
      </c>
      <c r="J309">
        <f t="shared" ca="1" si="65"/>
        <v>-0.43138863917387416</v>
      </c>
      <c r="L309">
        <f t="shared" si="72"/>
        <v>300</v>
      </c>
      <c r="M309">
        <f t="shared" ca="1" si="66"/>
        <v>0.50542054580274898</v>
      </c>
      <c r="N309">
        <f t="shared" ca="1" si="67"/>
        <v>-0.3824017525762291</v>
      </c>
      <c r="O309">
        <f t="shared" ca="1" si="68"/>
        <v>0.63378310839980601</v>
      </c>
    </row>
    <row r="310" spans="1:15" x14ac:dyDescent="0.2">
      <c r="A310">
        <f t="shared" si="73"/>
        <v>301</v>
      </c>
      <c r="B310">
        <f t="shared" ca="1" si="61"/>
        <v>0.52080214025427929</v>
      </c>
      <c r="C310">
        <f t="shared" ref="C310:D329" ca="1" si="74">2*RAND()-1</f>
        <v>-0.4717173394905203</v>
      </c>
      <c r="D310">
        <f t="shared" ca="1" si="74"/>
        <v>0.14603111565432214</v>
      </c>
      <c r="E310">
        <f t="shared" ca="1" si="62"/>
        <v>0.31830988618379069</v>
      </c>
      <c r="F310">
        <f t="shared" si="69"/>
        <v>0.25</v>
      </c>
      <c r="G310">
        <f t="shared" ca="1" si="63"/>
        <v>1</v>
      </c>
      <c r="H310">
        <f ca="1">IF(G310=1,SUM($G$10:G310),"-")</f>
        <v>229</v>
      </c>
      <c r="I310">
        <f t="shared" ca="1" si="64"/>
        <v>-0.4717173394905203</v>
      </c>
      <c r="J310">
        <f t="shared" ca="1" si="65"/>
        <v>0.14603111565432214</v>
      </c>
      <c r="L310">
        <f t="shared" si="72"/>
        <v>301</v>
      </c>
      <c r="M310">
        <f t="shared" ca="1" si="66"/>
        <v>0.34781872134281611</v>
      </c>
      <c r="N310">
        <f t="shared" ca="1" si="67"/>
        <v>4.3708908731121321E-2</v>
      </c>
      <c r="O310">
        <f t="shared" ca="1" si="68"/>
        <v>0.35055432049686258</v>
      </c>
    </row>
    <row r="311" spans="1:15" x14ac:dyDescent="0.2">
      <c r="A311">
        <f t="shared" si="73"/>
        <v>302</v>
      </c>
      <c r="B311">
        <f t="shared" ca="1" si="61"/>
        <v>0.94466195000379372</v>
      </c>
      <c r="C311">
        <f t="shared" ca="1" si="74"/>
        <v>0.54329662656001543</v>
      </c>
      <c r="D311">
        <f t="shared" ca="1" si="74"/>
        <v>-0.91568486874711907</v>
      </c>
      <c r="E311">
        <f t="shared" ca="1" si="62"/>
        <v>0</v>
      </c>
      <c r="F311">
        <f t="shared" si="69"/>
        <v>0.25</v>
      </c>
      <c r="G311">
        <f t="shared" ca="1" si="63"/>
        <v>0</v>
      </c>
      <c r="H311" t="str">
        <f ca="1">IF(G311=1,SUM($G$10:G311),"-")</f>
        <v>-</v>
      </c>
      <c r="I311" t="str">
        <f t="shared" ca="1" si="64"/>
        <v>-</v>
      </c>
      <c r="J311" t="str">
        <f t="shared" ca="1" si="65"/>
        <v>-</v>
      </c>
      <c r="L311">
        <f t="shared" si="72"/>
        <v>302</v>
      </c>
      <c r="M311">
        <f t="shared" ca="1" si="66"/>
        <v>0.65302874655683341</v>
      </c>
      <c r="N311">
        <f t="shared" ca="1" si="67"/>
        <v>-0.56864549470738668</v>
      </c>
      <c r="O311">
        <f t="shared" ca="1" si="68"/>
        <v>0.86591237575207203</v>
      </c>
    </row>
    <row r="312" spans="1:15" x14ac:dyDescent="0.2">
      <c r="A312">
        <f t="shared" si="73"/>
        <v>303</v>
      </c>
      <c r="B312">
        <f t="shared" ca="1" si="61"/>
        <v>0.46676109812912647</v>
      </c>
      <c r="C312">
        <f t="shared" ca="1" si="74"/>
        <v>-0.1824507461715712</v>
      </c>
      <c r="D312">
        <f t="shared" ca="1" si="74"/>
        <v>-0.68805911857468005</v>
      </c>
      <c r="E312">
        <f t="shared" ca="1" si="62"/>
        <v>0.31830988618379069</v>
      </c>
      <c r="F312">
        <f t="shared" si="69"/>
        <v>0.25</v>
      </c>
      <c r="G312">
        <f t="shared" ca="1" si="63"/>
        <v>1</v>
      </c>
      <c r="H312">
        <f ca="1">IF(G312=1,SUM($G$10:G312),"-")</f>
        <v>230</v>
      </c>
      <c r="I312">
        <f t="shared" ca="1" si="64"/>
        <v>-0.1824507461715712</v>
      </c>
      <c r="J312">
        <f t="shared" ca="1" si="65"/>
        <v>-0.68805911857468005</v>
      </c>
      <c r="L312">
        <f t="shared" si="72"/>
        <v>303</v>
      </c>
      <c r="M312">
        <f t="shared" ca="1" si="66"/>
        <v>-0.93768731307975917</v>
      </c>
      <c r="N312">
        <f t="shared" ca="1" si="67"/>
        <v>-8.9535293148014228E-2</v>
      </c>
      <c r="O312">
        <f t="shared" ca="1" si="68"/>
        <v>0.94195226303132751</v>
      </c>
    </row>
    <row r="313" spans="1:15" x14ac:dyDescent="0.2">
      <c r="A313">
        <f t="shared" si="73"/>
        <v>304</v>
      </c>
      <c r="B313">
        <f t="shared" ca="1" si="61"/>
        <v>0.26867842309661438</v>
      </c>
      <c r="C313">
        <f t="shared" ca="1" si="74"/>
        <v>0.16792201324440481</v>
      </c>
      <c r="D313">
        <f t="shared" ca="1" si="74"/>
        <v>-0.37827903285089892</v>
      </c>
      <c r="E313">
        <f t="shared" ca="1" si="62"/>
        <v>0.31830988618379069</v>
      </c>
      <c r="F313">
        <f t="shared" si="69"/>
        <v>0.25</v>
      </c>
      <c r="G313">
        <f t="shared" ca="1" si="63"/>
        <v>1</v>
      </c>
      <c r="H313">
        <f ca="1">IF(G313=1,SUM($G$10:G313),"-")</f>
        <v>231</v>
      </c>
      <c r="I313">
        <f t="shared" ca="1" si="64"/>
        <v>0.16792201324440481</v>
      </c>
      <c r="J313">
        <f t="shared" ca="1" si="65"/>
        <v>-0.37827903285089892</v>
      </c>
      <c r="L313">
        <f t="shared" si="72"/>
        <v>304</v>
      </c>
      <c r="M313">
        <f t="shared" ca="1" si="66"/>
        <v>-0.15812879845334016</v>
      </c>
      <c r="N313">
        <f t="shared" ca="1" si="67"/>
        <v>0.12701817532237736</v>
      </c>
      <c r="O313">
        <f t="shared" ca="1" si="68"/>
        <v>0.20282587054545895</v>
      </c>
    </row>
    <row r="314" spans="1:15" x14ac:dyDescent="0.2">
      <c r="A314">
        <f t="shared" si="73"/>
        <v>305</v>
      </c>
      <c r="B314">
        <f t="shared" ca="1" si="61"/>
        <v>0.64952887979397078</v>
      </c>
      <c r="C314">
        <f t="shared" ca="1" si="74"/>
        <v>0.64786069817050107</v>
      </c>
      <c r="D314">
        <f t="shared" ca="1" si="74"/>
        <v>-0.71236775006385233</v>
      </c>
      <c r="E314">
        <f t="shared" ca="1" si="62"/>
        <v>0.31830988618379069</v>
      </c>
      <c r="F314">
        <f t="shared" si="69"/>
        <v>0.25</v>
      </c>
      <c r="G314">
        <f t="shared" ca="1" si="63"/>
        <v>1</v>
      </c>
      <c r="H314">
        <f ca="1">IF(G314=1,SUM($G$10:G314),"-")</f>
        <v>232</v>
      </c>
      <c r="I314">
        <f t="shared" ca="1" si="64"/>
        <v>0.64786069817050107</v>
      </c>
      <c r="J314">
        <f t="shared" ca="1" si="65"/>
        <v>-0.71236775006385233</v>
      </c>
      <c r="L314">
        <f t="shared" si="72"/>
        <v>305</v>
      </c>
      <c r="M314">
        <f t="shared" ca="1" si="66"/>
        <v>1.0135116287532275E-2</v>
      </c>
      <c r="N314">
        <f t="shared" ca="1" si="67"/>
        <v>-0.454697360773618</v>
      </c>
      <c r="O314">
        <f t="shared" ca="1" si="68"/>
        <v>0.45481030163866726</v>
      </c>
    </row>
    <row r="315" spans="1:15" x14ac:dyDescent="0.2">
      <c r="A315">
        <f t="shared" si="73"/>
        <v>306</v>
      </c>
      <c r="B315">
        <f t="shared" ca="1" si="61"/>
        <v>0.23770757575072998</v>
      </c>
      <c r="C315">
        <f t="shared" ca="1" si="74"/>
        <v>-6.6377985463702105E-2</v>
      </c>
      <c r="D315">
        <f t="shared" ca="1" si="74"/>
        <v>-0.2457187956279403</v>
      </c>
      <c r="E315">
        <f t="shared" ca="1" si="62"/>
        <v>0.31830988618379069</v>
      </c>
      <c r="F315">
        <f t="shared" si="69"/>
        <v>0.25</v>
      </c>
      <c r="G315">
        <f t="shared" ca="1" si="63"/>
        <v>1</v>
      </c>
      <c r="H315">
        <f ca="1">IF(G315=1,SUM($G$10:G315),"-")</f>
        <v>233</v>
      </c>
      <c r="I315">
        <f t="shared" ca="1" si="64"/>
        <v>-6.6377985463702105E-2</v>
      </c>
      <c r="J315">
        <f t="shared" ca="1" si="65"/>
        <v>-0.2457187956279403</v>
      </c>
      <c r="L315">
        <f t="shared" si="72"/>
        <v>306</v>
      </c>
      <c r="M315">
        <f t="shared" ca="1" si="66"/>
        <v>0.55873023938597099</v>
      </c>
      <c r="N315">
        <f t="shared" ca="1" si="67"/>
        <v>-0.24883900901938238</v>
      </c>
      <c r="O315">
        <f t="shared" ca="1" si="68"/>
        <v>0.6116374194030747</v>
      </c>
    </row>
    <row r="316" spans="1:15" x14ac:dyDescent="0.2">
      <c r="A316">
        <f t="shared" si="73"/>
        <v>307</v>
      </c>
      <c r="B316">
        <f t="shared" ca="1" si="61"/>
        <v>0.78692652052902634</v>
      </c>
      <c r="C316">
        <f t="shared" ca="1" si="74"/>
        <v>0.79811305130147092</v>
      </c>
      <c r="D316">
        <f t="shared" ca="1" si="74"/>
        <v>-0.41300355702679958</v>
      </c>
      <c r="E316">
        <f t="shared" ca="1" si="62"/>
        <v>0.31830988618379069</v>
      </c>
      <c r="F316">
        <f t="shared" si="69"/>
        <v>0.25</v>
      </c>
      <c r="G316">
        <f t="shared" ca="1" si="63"/>
        <v>1</v>
      </c>
      <c r="H316">
        <f ca="1">IF(G316=1,SUM($G$10:G316),"-")</f>
        <v>234</v>
      </c>
      <c r="I316">
        <f t="shared" ca="1" si="64"/>
        <v>0.79811305130147092</v>
      </c>
      <c r="J316">
        <f t="shared" ca="1" si="65"/>
        <v>-0.41300355702679958</v>
      </c>
      <c r="L316">
        <f t="shared" si="72"/>
        <v>307</v>
      </c>
      <c r="M316">
        <f t="shared" ca="1" si="66"/>
        <v>0.83148386949848629</v>
      </c>
      <c r="N316">
        <f t="shared" ca="1" si="67"/>
        <v>-0.19268176786955782</v>
      </c>
      <c r="O316">
        <f t="shared" ca="1" si="68"/>
        <v>0.85351724581610766</v>
      </c>
    </row>
    <row r="317" spans="1:15" x14ac:dyDescent="0.2">
      <c r="A317">
        <f t="shared" si="73"/>
        <v>308</v>
      </c>
      <c r="B317">
        <f t="shared" ca="1" si="61"/>
        <v>0.53622408441120628</v>
      </c>
      <c r="C317">
        <f t="shared" ca="1" si="74"/>
        <v>-0.21024126143005351</v>
      </c>
      <c r="D317">
        <f t="shared" ca="1" si="74"/>
        <v>-0.82975559310936298</v>
      </c>
      <c r="E317">
        <f t="shared" ca="1" si="62"/>
        <v>0.31830988618379069</v>
      </c>
      <c r="F317">
        <f t="shared" si="69"/>
        <v>0.25</v>
      </c>
      <c r="G317">
        <f t="shared" ca="1" si="63"/>
        <v>1</v>
      </c>
      <c r="H317">
        <f ca="1">IF(G317=1,SUM($G$10:G317),"-")</f>
        <v>235</v>
      </c>
      <c r="I317">
        <f t="shared" ca="1" si="64"/>
        <v>-0.21024126143005351</v>
      </c>
      <c r="J317">
        <f t="shared" ca="1" si="65"/>
        <v>-0.82975559310936298</v>
      </c>
      <c r="L317">
        <f t="shared" si="72"/>
        <v>308</v>
      </c>
      <c r="M317">
        <f t="shared" ca="1" si="66"/>
        <v>-0.36719122942978522</v>
      </c>
      <c r="N317">
        <f t="shared" ca="1" si="67"/>
        <v>0.70203569963013779</v>
      </c>
      <c r="O317">
        <f t="shared" ca="1" si="68"/>
        <v>0.79226480581011183</v>
      </c>
    </row>
    <row r="318" spans="1:15" x14ac:dyDescent="0.2">
      <c r="A318">
        <f t="shared" si="73"/>
        <v>309</v>
      </c>
      <c r="B318">
        <f t="shared" ca="1" si="61"/>
        <v>0.23727366750308365</v>
      </c>
      <c r="C318">
        <f t="shared" ca="1" si="74"/>
        <v>0.69562809285212701</v>
      </c>
      <c r="D318">
        <f t="shared" ca="1" si="74"/>
        <v>0.75684866891904123</v>
      </c>
      <c r="E318">
        <f t="shared" ca="1" si="62"/>
        <v>0</v>
      </c>
      <c r="F318">
        <f t="shared" si="69"/>
        <v>0.25</v>
      </c>
      <c r="G318">
        <f t="shared" ca="1" si="63"/>
        <v>0</v>
      </c>
      <c r="H318" t="str">
        <f ca="1">IF(G318=1,SUM($G$10:G318),"-")</f>
        <v>-</v>
      </c>
      <c r="I318" t="str">
        <f t="shared" ca="1" si="64"/>
        <v>-</v>
      </c>
      <c r="J318" t="str">
        <f t="shared" ca="1" si="65"/>
        <v>-</v>
      </c>
      <c r="L318">
        <f t="shared" si="72"/>
        <v>309</v>
      </c>
      <c r="M318">
        <f t="shared" ca="1" si="66"/>
        <v>0.3364567220577348</v>
      </c>
      <c r="N318">
        <f t="shared" ca="1" si="67"/>
        <v>0.41364096997175559</v>
      </c>
      <c r="O318">
        <f t="shared" ca="1" si="68"/>
        <v>0.53319975417943566</v>
      </c>
    </row>
    <row r="319" spans="1:15" x14ac:dyDescent="0.2">
      <c r="A319">
        <f t="shared" si="73"/>
        <v>310</v>
      </c>
      <c r="B319">
        <f t="shared" ca="1" si="61"/>
        <v>0.45241776799354927</v>
      </c>
      <c r="C319">
        <f t="shared" ca="1" si="74"/>
        <v>0.78059967654771478</v>
      </c>
      <c r="D319">
        <f t="shared" ca="1" si="74"/>
        <v>-0.46524403790958813</v>
      </c>
      <c r="E319">
        <f t="shared" ca="1" si="62"/>
        <v>0.31830988618379069</v>
      </c>
      <c r="F319">
        <f t="shared" si="69"/>
        <v>0.25</v>
      </c>
      <c r="G319">
        <f t="shared" ca="1" si="63"/>
        <v>1</v>
      </c>
      <c r="H319">
        <f ca="1">IF(G319=1,SUM($G$10:G319),"-")</f>
        <v>236</v>
      </c>
      <c r="I319">
        <f t="shared" ca="1" si="64"/>
        <v>0.78059967654771478</v>
      </c>
      <c r="J319">
        <f t="shared" ca="1" si="65"/>
        <v>-0.46524403790958813</v>
      </c>
      <c r="L319">
        <f t="shared" si="72"/>
        <v>310</v>
      </c>
      <c r="M319">
        <f t="shared" ca="1" si="66"/>
        <v>0.33215620532159362</v>
      </c>
      <c r="N319">
        <f t="shared" ca="1" si="67"/>
        <v>0.45108492551705304</v>
      </c>
      <c r="O319">
        <f t="shared" ca="1" si="68"/>
        <v>0.5601833224600371</v>
      </c>
    </row>
    <row r="320" spans="1:15" x14ac:dyDescent="0.2">
      <c r="A320">
        <f t="shared" si="73"/>
        <v>311</v>
      </c>
      <c r="B320">
        <f t="shared" ca="1" si="61"/>
        <v>0.46993643302790811</v>
      </c>
      <c r="C320">
        <f t="shared" ca="1" si="74"/>
        <v>-0.53261164325099353</v>
      </c>
      <c r="D320">
        <f t="shared" ca="1" si="74"/>
        <v>0.29160618244841663</v>
      </c>
      <c r="E320">
        <f t="shared" ca="1" si="62"/>
        <v>0.31830988618379069</v>
      </c>
      <c r="F320">
        <f t="shared" si="69"/>
        <v>0.25</v>
      </c>
      <c r="G320">
        <f t="shared" ca="1" si="63"/>
        <v>1</v>
      </c>
      <c r="H320">
        <f ca="1">IF(G320=1,SUM($G$10:G320),"-")</f>
        <v>237</v>
      </c>
      <c r="I320">
        <f t="shared" ca="1" si="64"/>
        <v>-0.53261164325099353</v>
      </c>
      <c r="J320">
        <f t="shared" ca="1" si="65"/>
        <v>0.29160618244841663</v>
      </c>
      <c r="L320">
        <f t="shared" si="72"/>
        <v>311</v>
      </c>
      <c r="M320">
        <f t="shared" ca="1" si="66"/>
        <v>-0.10491358028308073</v>
      </c>
      <c r="N320">
        <f t="shared" ca="1" si="67"/>
        <v>0.19219055595043866</v>
      </c>
      <c r="O320">
        <f t="shared" ca="1" si="68"/>
        <v>0.21896134162073705</v>
      </c>
    </row>
    <row r="321" spans="1:15" x14ac:dyDescent="0.2">
      <c r="A321">
        <f t="shared" si="73"/>
        <v>312</v>
      </c>
      <c r="B321">
        <f t="shared" ca="1" si="61"/>
        <v>0.97822188922128317</v>
      </c>
      <c r="C321">
        <f t="shared" ca="1" si="74"/>
        <v>-0.38856703549400673</v>
      </c>
      <c r="D321">
        <f t="shared" ca="1" si="74"/>
        <v>0.31690565349567312</v>
      </c>
      <c r="E321">
        <f t="shared" ca="1" si="62"/>
        <v>0.31830988618379069</v>
      </c>
      <c r="F321">
        <f t="shared" si="69"/>
        <v>0.25</v>
      </c>
      <c r="G321">
        <f t="shared" ca="1" si="63"/>
        <v>1</v>
      </c>
      <c r="H321">
        <f ca="1">IF(G321=1,SUM($G$10:G321),"-")</f>
        <v>238</v>
      </c>
      <c r="I321">
        <f t="shared" ca="1" si="64"/>
        <v>-0.38856703549400673</v>
      </c>
      <c r="J321">
        <f t="shared" ca="1" si="65"/>
        <v>0.31690565349567312</v>
      </c>
      <c r="L321">
        <f t="shared" si="72"/>
        <v>312</v>
      </c>
      <c r="M321">
        <f t="shared" ca="1" si="66"/>
        <v>0.36893372133154889</v>
      </c>
      <c r="N321">
        <f t="shared" ca="1" si="67"/>
        <v>0.33724704198423372</v>
      </c>
      <c r="O321">
        <f t="shared" ca="1" si="68"/>
        <v>0.49984763484752076</v>
      </c>
    </row>
    <row r="322" spans="1:15" x14ac:dyDescent="0.2">
      <c r="A322">
        <f t="shared" si="73"/>
        <v>313</v>
      </c>
      <c r="B322">
        <f t="shared" ca="1" si="61"/>
        <v>0.1441877429131958</v>
      </c>
      <c r="C322">
        <f t="shared" ca="1" si="74"/>
        <v>-3.0890721495921536E-2</v>
      </c>
      <c r="D322">
        <f t="shared" ca="1" si="74"/>
        <v>0.58221209111843497</v>
      </c>
      <c r="E322">
        <f t="shared" ca="1" si="62"/>
        <v>0.31830988618379069</v>
      </c>
      <c r="F322">
        <f t="shared" si="69"/>
        <v>0.25</v>
      </c>
      <c r="G322">
        <f t="shared" ca="1" si="63"/>
        <v>1</v>
      </c>
      <c r="H322">
        <f ca="1">IF(G322=1,SUM($G$10:G322),"-")</f>
        <v>239</v>
      </c>
      <c r="I322">
        <f t="shared" ca="1" si="64"/>
        <v>-3.0890721495921536E-2</v>
      </c>
      <c r="J322">
        <f t="shared" ca="1" si="65"/>
        <v>0.58221209111843497</v>
      </c>
      <c r="L322">
        <f t="shared" si="72"/>
        <v>313</v>
      </c>
      <c r="M322">
        <f t="shared" ca="1" si="66"/>
        <v>-2.4842538612166676E-2</v>
      </c>
      <c r="N322">
        <f t="shared" ca="1" si="67"/>
        <v>-0.42210400360713218</v>
      </c>
      <c r="O322">
        <f t="shared" ca="1" si="68"/>
        <v>0.42283441390911741</v>
      </c>
    </row>
    <row r="323" spans="1:15" x14ac:dyDescent="0.2">
      <c r="A323">
        <f t="shared" si="73"/>
        <v>314</v>
      </c>
      <c r="B323">
        <f t="shared" ca="1" si="61"/>
        <v>0.23281179681792197</v>
      </c>
      <c r="C323">
        <f t="shared" ca="1" si="74"/>
        <v>-0.46826499217963824</v>
      </c>
      <c r="D323">
        <f t="shared" ca="1" si="74"/>
        <v>-0.35296035162692463</v>
      </c>
      <c r="E323">
        <f t="shared" ca="1" si="62"/>
        <v>0.31830988618379069</v>
      </c>
      <c r="F323">
        <f t="shared" si="69"/>
        <v>0.25</v>
      </c>
      <c r="G323">
        <f t="shared" ca="1" si="63"/>
        <v>1</v>
      </c>
      <c r="H323">
        <f ca="1">IF(G323=1,SUM($G$10:G323),"-")</f>
        <v>240</v>
      </c>
      <c r="I323">
        <f t="shared" ca="1" si="64"/>
        <v>-0.46826499217963824</v>
      </c>
      <c r="J323">
        <f t="shared" ca="1" si="65"/>
        <v>-0.35296035162692463</v>
      </c>
      <c r="L323">
        <f t="shared" si="72"/>
        <v>314</v>
      </c>
      <c r="M323">
        <f t="shared" ca="1" si="66"/>
        <v>0.88361365341332543</v>
      </c>
      <c r="N323">
        <f t="shared" ca="1" si="67"/>
        <v>-8.8648259810276686E-2</v>
      </c>
      <c r="O323">
        <f t="shared" ca="1" si="68"/>
        <v>0.88804932434287387</v>
      </c>
    </row>
    <row r="324" spans="1:15" x14ac:dyDescent="0.2">
      <c r="A324">
        <f t="shared" si="73"/>
        <v>315</v>
      </c>
      <c r="B324">
        <f t="shared" ca="1" si="61"/>
        <v>0.40541228436044818</v>
      </c>
      <c r="C324">
        <f t="shared" ca="1" si="74"/>
        <v>0.91407751914082791</v>
      </c>
      <c r="D324">
        <f t="shared" ca="1" si="74"/>
        <v>0.76644270230046629</v>
      </c>
      <c r="E324">
        <f t="shared" ca="1" si="62"/>
        <v>0</v>
      </c>
      <c r="F324">
        <f t="shared" si="69"/>
        <v>0.25</v>
      </c>
      <c r="G324">
        <f t="shared" ca="1" si="63"/>
        <v>0</v>
      </c>
      <c r="H324" t="str">
        <f ca="1">IF(G324=1,SUM($G$10:G324),"-")</f>
        <v>-</v>
      </c>
      <c r="I324" t="str">
        <f t="shared" ca="1" si="64"/>
        <v>-</v>
      </c>
      <c r="J324" t="str">
        <f t="shared" ca="1" si="65"/>
        <v>-</v>
      </c>
      <c r="L324">
        <f t="shared" si="72"/>
        <v>315</v>
      </c>
      <c r="M324">
        <f t="shared" ca="1" si="66"/>
        <v>-0.35799067222946568</v>
      </c>
      <c r="N324">
        <f t="shared" ca="1" si="67"/>
        <v>2.8356836987351031E-3</v>
      </c>
      <c r="O324">
        <f t="shared" ca="1" si="68"/>
        <v>0.3580019029353671</v>
      </c>
    </row>
    <row r="325" spans="1:15" x14ac:dyDescent="0.2">
      <c r="A325">
        <f t="shared" si="73"/>
        <v>316</v>
      </c>
      <c r="B325">
        <f t="shared" ca="1" si="61"/>
        <v>0.40222180383996864</v>
      </c>
      <c r="C325">
        <f t="shared" ca="1" si="74"/>
        <v>0.71015438443858248</v>
      </c>
      <c r="D325">
        <f t="shared" ca="1" si="74"/>
        <v>0.97338323551209327</v>
      </c>
      <c r="E325">
        <f t="shared" ca="1" si="62"/>
        <v>0</v>
      </c>
      <c r="F325">
        <f t="shared" si="69"/>
        <v>0.25</v>
      </c>
      <c r="G325">
        <f t="shared" ca="1" si="63"/>
        <v>0</v>
      </c>
      <c r="H325" t="str">
        <f ca="1">IF(G325=1,SUM($G$10:G325),"-")</f>
        <v>-</v>
      </c>
      <c r="I325" t="str">
        <f t="shared" ca="1" si="64"/>
        <v>-</v>
      </c>
      <c r="J325" t="str">
        <f t="shared" ca="1" si="65"/>
        <v>-</v>
      </c>
      <c r="L325">
        <f t="shared" si="72"/>
        <v>316</v>
      </c>
      <c r="M325">
        <f t="shared" ca="1" si="66"/>
        <v>0.52391616819719422</v>
      </c>
      <c r="N325">
        <f t="shared" ca="1" si="67"/>
        <v>-0.16265079848506003</v>
      </c>
      <c r="O325">
        <f t="shared" ca="1" si="68"/>
        <v>0.54858311452892738</v>
      </c>
    </row>
    <row r="326" spans="1:15" x14ac:dyDescent="0.2">
      <c r="A326">
        <f t="shared" si="73"/>
        <v>317</v>
      </c>
      <c r="B326">
        <f t="shared" ca="1" si="61"/>
        <v>0.97790303048883076</v>
      </c>
      <c r="C326">
        <f t="shared" ca="1" si="74"/>
        <v>2.236175422472142E-2</v>
      </c>
      <c r="D326">
        <f t="shared" ca="1" si="74"/>
        <v>-0.33570148090837915</v>
      </c>
      <c r="E326">
        <f t="shared" ca="1" si="62"/>
        <v>0.31830988618379069</v>
      </c>
      <c r="F326">
        <f t="shared" si="69"/>
        <v>0.25</v>
      </c>
      <c r="G326">
        <f t="shared" ca="1" si="63"/>
        <v>1</v>
      </c>
      <c r="H326">
        <f ca="1">IF(G326=1,SUM($G$10:G326),"-")</f>
        <v>241</v>
      </c>
      <c r="I326">
        <f t="shared" ca="1" si="64"/>
        <v>2.236175422472142E-2</v>
      </c>
      <c r="J326">
        <f t="shared" ca="1" si="65"/>
        <v>-0.33570148090837915</v>
      </c>
      <c r="L326">
        <f t="shared" si="72"/>
        <v>317</v>
      </c>
      <c r="M326">
        <f t="shared" ca="1" si="66"/>
        <v>-0.48255629773721465</v>
      </c>
      <c r="N326">
        <f t="shared" ca="1" si="67"/>
        <v>0.57637376096972814</v>
      </c>
      <c r="O326">
        <f t="shared" ca="1" si="68"/>
        <v>0.75170958010406963</v>
      </c>
    </row>
    <row r="327" spans="1:15" x14ac:dyDescent="0.2">
      <c r="A327">
        <f t="shared" si="73"/>
        <v>318</v>
      </c>
      <c r="B327">
        <f t="shared" ca="1" si="61"/>
        <v>0.70768633081816301</v>
      </c>
      <c r="C327">
        <f t="shared" ca="1" si="74"/>
        <v>-0.915712211088334</v>
      </c>
      <c r="D327">
        <f t="shared" ca="1" si="74"/>
        <v>-0.51777804369933245</v>
      </c>
      <c r="E327">
        <f t="shared" ca="1" si="62"/>
        <v>0</v>
      </c>
      <c r="F327">
        <f t="shared" si="69"/>
        <v>0.25</v>
      </c>
      <c r="G327">
        <f t="shared" ca="1" si="63"/>
        <v>0</v>
      </c>
      <c r="H327" t="str">
        <f ca="1">IF(G327=1,SUM($G$10:G327),"-")</f>
        <v>-</v>
      </c>
      <c r="I327" t="str">
        <f t="shared" ca="1" si="64"/>
        <v>-</v>
      </c>
      <c r="J327" t="str">
        <f t="shared" ca="1" si="65"/>
        <v>-</v>
      </c>
      <c r="L327">
        <f t="shared" si="72"/>
        <v>318</v>
      </c>
      <c r="M327">
        <f t="shared" ca="1" si="66"/>
        <v>0.85242494645187761</v>
      </c>
      <c r="N327">
        <f t="shared" ca="1" si="67"/>
        <v>0.43783517608082057</v>
      </c>
      <c r="O327">
        <f t="shared" ca="1" si="68"/>
        <v>0.9582942819130299</v>
      </c>
    </row>
    <row r="328" spans="1:15" x14ac:dyDescent="0.2">
      <c r="A328">
        <f t="shared" si="73"/>
        <v>319</v>
      </c>
      <c r="B328">
        <f t="shared" ca="1" si="61"/>
        <v>0.35055165756694262</v>
      </c>
      <c r="C328">
        <f t="shared" ca="1" si="74"/>
        <v>-0.88204406420754933</v>
      </c>
      <c r="D328">
        <f t="shared" ca="1" si="74"/>
        <v>0.72757887281508893</v>
      </c>
      <c r="E328">
        <f t="shared" ca="1" si="62"/>
        <v>0</v>
      </c>
      <c r="F328">
        <f t="shared" si="69"/>
        <v>0.25</v>
      </c>
      <c r="G328">
        <f t="shared" ca="1" si="63"/>
        <v>0</v>
      </c>
      <c r="H328" t="str">
        <f ca="1">IF(G328=1,SUM($G$10:G328),"-")</f>
        <v>-</v>
      </c>
      <c r="I328" t="str">
        <f t="shared" ca="1" si="64"/>
        <v>-</v>
      </c>
      <c r="J328" t="str">
        <f t="shared" ca="1" si="65"/>
        <v>-</v>
      </c>
      <c r="L328">
        <f t="shared" si="72"/>
        <v>319</v>
      </c>
      <c r="M328">
        <f t="shared" ca="1" si="66"/>
        <v>-0.84727636651104965</v>
      </c>
      <c r="N328">
        <f t="shared" ca="1" si="67"/>
        <v>0.27225295620614554</v>
      </c>
      <c r="O328">
        <f t="shared" ca="1" si="68"/>
        <v>0.88994320796956017</v>
      </c>
    </row>
    <row r="329" spans="1:15" x14ac:dyDescent="0.2">
      <c r="A329">
        <f t="shared" si="73"/>
        <v>320</v>
      </c>
      <c r="B329">
        <f t="shared" ca="1" si="61"/>
        <v>0.89161434246868132</v>
      </c>
      <c r="C329">
        <f t="shared" ca="1" si="74"/>
        <v>-0.97451114255925408</v>
      </c>
      <c r="D329">
        <f t="shared" ca="1" si="74"/>
        <v>0.90031582591491244</v>
      </c>
      <c r="E329">
        <f t="shared" ca="1" si="62"/>
        <v>0</v>
      </c>
      <c r="F329">
        <f t="shared" si="69"/>
        <v>0.25</v>
      </c>
      <c r="G329">
        <f t="shared" ca="1" si="63"/>
        <v>0</v>
      </c>
      <c r="H329" t="str">
        <f ca="1">IF(G329=1,SUM($G$10:G329),"-")</f>
        <v>-</v>
      </c>
      <c r="I329" t="str">
        <f t="shared" ca="1" si="64"/>
        <v>-</v>
      </c>
      <c r="J329" t="str">
        <f t="shared" ca="1" si="65"/>
        <v>-</v>
      </c>
      <c r="L329">
        <f t="shared" si="72"/>
        <v>320</v>
      </c>
      <c r="M329">
        <f t="shared" ca="1" si="66"/>
        <v>-1.7047138298651454E-3</v>
      </c>
      <c r="N329">
        <f t="shared" ca="1" si="67"/>
        <v>-0.45727449432209721</v>
      </c>
      <c r="O329">
        <f t="shared" ca="1" si="68"/>
        <v>0.45727767188741181</v>
      </c>
    </row>
    <row r="330" spans="1:15" x14ac:dyDescent="0.2">
      <c r="A330">
        <f t="shared" si="73"/>
        <v>321</v>
      </c>
      <c r="B330">
        <f t="shared" ref="B330:B393" ca="1" si="75">RAND()</f>
        <v>0.18609343288062985</v>
      </c>
      <c r="C330">
        <f t="shared" ref="C330:D349" ca="1" si="76">2*RAND()-1</f>
        <v>-0.60906964774133932</v>
      </c>
      <c r="D330">
        <f t="shared" ca="1" si="76"/>
        <v>0.27378473020086425</v>
      </c>
      <c r="E330">
        <f t="shared" ref="E330:E393" ca="1" si="77">(1/PI())*IF(C330^2+D330^2&lt;=1,1,0)</f>
        <v>0.31830988618379069</v>
      </c>
      <c r="F330">
        <f t="shared" si="69"/>
        <v>0.25</v>
      </c>
      <c r="G330">
        <f t="shared" ref="G330:G393" ca="1" si="78">IF($B$6*B330&lt;=E330/F330,1,0)</f>
        <v>1</v>
      </c>
      <c r="H330">
        <f ca="1">IF(G330=1,SUM($G$10:G330),"-")</f>
        <v>242</v>
      </c>
      <c r="I330">
        <f t="shared" ref="I330:I393" ca="1" si="79">IF($G330,C330,"-")</f>
        <v>-0.60906964774133932</v>
      </c>
      <c r="J330">
        <f t="shared" ref="J330:J393" ca="1" si="80">IF($G330,D330,"-")</f>
        <v>0.27378473020086425</v>
      </c>
      <c r="L330">
        <f t="shared" si="72"/>
        <v>321</v>
      </c>
      <c r="M330">
        <f t="shared" ref="M330:M393" ca="1" si="81">VLOOKUP(L330,$H$10:$J$687,2,FALSE)</f>
        <v>-0.1877716954179387</v>
      </c>
      <c r="N330">
        <f t="shared" ref="N330:N393" ca="1" si="82">VLOOKUP(L330,$H$10:$J$687,3,FALSE)</f>
        <v>-0.77597088300400863</v>
      </c>
      <c r="O330">
        <f t="shared" ref="O330:O393" ca="1" si="83">SQRT(M330^2+N330^2)</f>
        <v>0.79836647028175478</v>
      </c>
    </row>
    <row r="331" spans="1:15" x14ac:dyDescent="0.2">
      <c r="A331">
        <f t="shared" si="73"/>
        <v>322</v>
      </c>
      <c r="B331">
        <f t="shared" ca="1" si="75"/>
        <v>0.21165375666860176</v>
      </c>
      <c r="C331">
        <f t="shared" ca="1" si="76"/>
        <v>-0.49165666893455962</v>
      </c>
      <c r="D331">
        <f t="shared" ca="1" si="76"/>
        <v>0.58629651666330718</v>
      </c>
      <c r="E331">
        <f t="shared" ca="1" si="77"/>
        <v>0.31830988618379069</v>
      </c>
      <c r="F331">
        <f t="shared" ref="F331:F394" si="84">1/4</f>
        <v>0.25</v>
      </c>
      <c r="G331">
        <f t="shared" ca="1" si="78"/>
        <v>1</v>
      </c>
      <c r="H331">
        <f ca="1">IF(G331=1,SUM($G$10:G331),"-")</f>
        <v>243</v>
      </c>
      <c r="I331">
        <f t="shared" ca="1" si="79"/>
        <v>-0.49165666893455962</v>
      </c>
      <c r="J331">
        <f t="shared" ca="1" si="80"/>
        <v>0.58629651666330718</v>
      </c>
      <c r="L331">
        <f t="shared" si="72"/>
        <v>322</v>
      </c>
      <c r="M331">
        <f t="shared" ca="1" si="81"/>
        <v>-2.1103907830199997E-3</v>
      </c>
      <c r="N331">
        <f t="shared" ca="1" si="82"/>
        <v>0.21699165261276998</v>
      </c>
      <c r="O331">
        <f t="shared" ca="1" si="83"/>
        <v>0.21700191485993411</v>
      </c>
    </row>
    <row r="332" spans="1:15" x14ac:dyDescent="0.2">
      <c r="A332">
        <f t="shared" si="73"/>
        <v>323</v>
      </c>
      <c r="B332">
        <f t="shared" ca="1" si="75"/>
        <v>0.89923478760393649</v>
      </c>
      <c r="C332">
        <f t="shared" ca="1" si="76"/>
        <v>-0.87105376787406308</v>
      </c>
      <c r="D332">
        <f t="shared" ca="1" si="76"/>
        <v>-0.3444587939065511</v>
      </c>
      <c r="E332">
        <f t="shared" ca="1" si="77"/>
        <v>0.31830988618379069</v>
      </c>
      <c r="F332">
        <f t="shared" si="84"/>
        <v>0.25</v>
      </c>
      <c r="G332">
        <f t="shared" ca="1" si="78"/>
        <v>1</v>
      </c>
      <c r="H332">
        <f ca="1">IF(G332=1,SUM($G$10:G332),"-")</f>
        <v>244</v>
      </c>
      <c r="I332">
        <f t="shared" ca="1" si="79"/>
        <v>-0.87105376787406308</v>
      </c>
      <c r="J332">
        <f t="shared" ca="1" si="80"/>
        <v>-0.3444587939065511</v>
      </c>
      <c r="L332">
        <f t="shared" si="72"/>
        <v>323</v>
      </c>
      <c r="M332">
        <f t="shared" ca="1" si="81"/>
        <v>-0.4826348487027845</v>
      </c>
      <c r="N332">
        <f t="shared" ca="1" si="82"/>
        <v>-0.14796847557897297</v>
      </c>
      <c r="O332">
        <f t="shared" ca="1" si="83"/>
        <v>0.50480795055894756</v>
      </c>
    </row>
    <row r="333" spans="1:15" x14ac:dyDescent="0.2">
      <c r="A333">
        <f t="shared" si="73"/>
        <v>324</v>
      </c>
      <c r="B333">
        <f t="shared" ca="1" si="75"/>
        <v>0.81475389847683966</v>
      </c>
      <c r="C333">
        <f t="shared" ca="1" si="76"/>
        <v>-0.16911596373500082</v>
      </c>
      <c r="D333">
        <f t="shared" ca="1" si="76"/>
        <v>0.53542849193638076</v>
      </c>
      <c r="E333">
        <f t="shared" ca="1" si="77"/>
        <v>0.31830988618379069</v>
      </c>
      <c r="F333">
        <f t="shared" si="84"/>
        <v>0.25</v>
      </c>
      <c r="G333">
        <f t="shared" ca="1" si="78"/>
        <v>1</v>
      </c>
      <c r="H333">
        <f ca="1">IF(G333=1,SUM($G$10:G333),"-")</f>
        <v>245</v>
      </c>
      <c r="I333">
        <f t="shared" ca="1" si="79"/>
        <v>-0.16911596373500082</v>
      </c>
      <c r="J333">
        <f t="shared" ca="1" si="80"/>
        <v>0.53542849193638076</v>
      </c>
      <c r="L333">
        <f t="shared" si="72"/>
        <v>324</v>
      </c>
      <c r="M333">
        <f t="shared" ca="1" si="81"/>
        <v>-0.47390565654821293</v>
      </c>
      <c r="N333">
        <f t="shared" ca="1" si="82"/>
        <v>0.17198504738870746</v>
      </c>
      <c r="O333">
        <f t="shared" ca="1" si="83"/>
        <v>0.50414822010366023</v>
      </c>
    </row>
    <row r="334" spans="1:15" x14ac:dyDescent="0.2">
      <c r="A334">
        <f t="shared" si="73"/>
        <v>325</v>
      </c>
      <c r="B334">
        <f t="shared" ca="1" si="75"/>
        <v>4.0838587634182133E-3</v>
      </c>
      <c r="C334">
        <f t="shared" ca="1" si="76"/>
        <v>-0.13017569524902783</v>
      </c>
      <c r="D334">
        <f t="shared" ca="1" si="76"/>
        <v>-0.94887301630672383</v>
      </c>
      <c r="E334">
        <f t="shared" ca="1" si="77"/>
        <v>0.31830988618379069</v>
      </c>
      <c r="F334">
        <f t="shared" si="84"/>
        <v>0.25</v>
      </c>
      <c r="G334">
        <f t="shared" ca="1" si="78"/>
        <v>1</v>
      </c>
      <c r="H334">
        <f ca="1">IF(G334=1,SUM($G$10:G334),"-")</f>
        <v>246</v>
      </c>
      <c r="I334">
        <f t="shared" ca="1" si="79"/>
        <v>-0.13017569524902783</v>
      </c>
      <c r="J334">
        <f t="shared" ca="1" si="80"/>
        <v>-0.94887301630672383</v>
      </c>
      <c r="L334">
        <f t="shared" si="72"/>
        <v>325</v>
      </c>
      <c r="M334">
        <f t="shared" ca="1" si="81"/>
        <v>0.64236103643060272</v>
      </c>
      <c r="N334">
        <f t="shared" ca="1" si="82"/>
        <v>-0.73642974150836382</v>
      </c>
      <c r="O334">
        <f t="shared" ca="1" si="83"/>
        <v>0.97721873974165763</v>
      </c>
    </row>
    <row r="335" spans="1:15" x14ac:dyDescent="0.2">
      <c r="A335">
        <f t="shared" si="73"/>
        <v>326</v>
      </c>
      <c r="B335">
        <f t="shared" ca="1" si="75"/>
        <v>0.3754399206217216</v>
      </c>
      <c r="C335">
        <f t="shared" ca="1" si="76"/>
        <v>-0.31544042386176874</v>
      </c>
      <c r="D335">
        <f t="shared" ca="1" si="76"/>
        <v>0.68182119679808606</v>
      </c>
      <c r="E335">
        <f t="shared" ca="1" si="77"/>
        <v>0.31830988618379069</v>
      </c>
      <c r="F335">
        <f t="shared" si="84"/>
        <v>0.25</v>
      </c>
      <c r="G335">
        <f t="shared" ca="1" si="78"/>
        <v>1</v>
      </c>
      <c r="H335">
        <f ca="1">IF(G335=1,SUM($G$10:G335),"-")</f>
        <v>247</v>
      </c>
      <c r="I335">
        <f t="shared" ca="1" si="79"/>
        <v>-0.31544042386176874</v>
      </c>
      <c r="J335">
        <f t="shared" ca="1" si="80"/>
        <v>0.68182119679808606</v>
      </c>
      <c r="L335">
        <f t="shared" si="72"/>
        <v>326</v>
      </c>
      <c r="M335">
        <f t="shared" ca="1" si="81"/>
        <v>0.91867495067925065</v>
      </c>
      <c r="N335">
        <f t="shared" ca="1" si="82"/>
        <v>8.6887862393091098E-2</v>
      </c>
      <c r="O335">
        <f t="shared" ca="1" si="83"/>
        <v>0.92277471011984513</v>
      </c>
    </row>
    <row r="336" spans="1:15" x14ac:dyDescent="0.2">
      <c r="A336">
        <f t="shared" si="73"/>
        <v>327</v>
      </c>
      <c r="B336">
        <f t="shared" ca="1" si="75"/>
        <v>0.26238657280475208</v>
      </c>
      <c r="C336">
        <f t="shared" ca="1" si="76"/>
        <v>0.20744178398669089</v>
      </c>
      <c r="D336">
        <f t="shared" ca="1" si="76"/>
        <v>-0.43091355063759584</v>
      </c>
      <c r="E336">
        <f t="shared" ca="1" si="77"/>
        <v>0.31830988618379069</v>
      </c>
      <c r="F336">
        <f t="shared" si="84"/>
        <v>0.25</v>
      </c>
      <c r="G336">
        <f t="shared" ca="1" si="78"/>
        <v>1</v>
      </c>
      <c r="H336">
        <f ca="1">IF(G336=1,SUM($G$10:G336),"-")</f>
        <v>248</v>
      </c>
      <c r="I336">
        <f t="shared" ca="1" si="79"/>
        <v>0.20744178398669089</v>
      </c>
      <c r="J336">
        <f t="shared" ca="1" si="80"/>
        <v>-0.43091355063759584</v>
      </c>
      <c r="L336">
        <f t="shared" si="72"/>
        <v>327</v>
      </c>
      <c r="M336">
        <f t="shared" ca="1" si="81"/>
        <v>0.6431493986402359</v>
      </c>
      <c r="N336">
        <f t="shared" ca="1" si="82"/>
        <v>-0.63900549757467129</v>
      </c>
      <c r="O336">
        <f t="shared" ca="1" si="83"/>
        <v>0.90662515677756828</v>
      </c>
    </row>
    <row r="337" spans="1:15" x14ac:dyDescent="0.2">
      <c r="A337">
        <f t="shared" si="73"/>
        <v>328</v>
      </c>
      <c r="B337">
        <f t="shared" ca="1" si="75"/>
        <v>0.85876100506749942</v>
      </c>
      <c r="C337">
        <f t="shared" ca="1" si="76"/>
        <v>-0.45395263223710303</v>
      </c>
      <c r="D337">
        <f t="shared" ca="1" si="76"/>
        <v>-0.90226585334134368</v>
      </c>
      <c r="E337">
        <f t="shared" ca="1" si="77"/>
        <v>0</v>
      </c>
      <c r="F337">
        <f t="shared" si="84"/>
        <v>0.25</v>
      </c>
      <c r="G337">
        <f t="shared" ca="1" si="78"/>
        <v>0</v>
      </c>
      <c r="H337" t="str">
        <f ca="1">IF(G337=1,SUM($G$10:G337),"-")</f>
        <v>-</v>
      </c>
      <c r="I337" t="str">
        <f t="shared" ca="1" si="79"/>
        <v>-</v>
      </c>
      <c r="J337" t="str">
        <f t="shared" ca="1" si="80"/>
        <v>-</v>
      </c>
      <c r="L337">
        <f t="shared" si="72"/>
        <v>328</v>
      </c>
      <c r="M337">
        <f t="shared" ca="1" si="81"/>
        <v>-0.57370209409566497</v>
      </c>
      <c r="N337">
        <f t="shared" ca="1" si="82"/>
        <v>0.69062838231836587</v>
      </c>
      <c r="O337">
        <f t="shared" ca="1" si="83"/>
        <v>0.89783164080657918</v>
      </c>
    </row>
    <row r="338" spans="1:15" x14ac:dyDescent="0.2">
      <c r="A338">
        <f t="shared" si="73"/>
        <v>329</v>
      </c>
      <c r="B338">
        <f t="shared" ca="1" si="75"/>
        <v>0.68763088474750256</v>
      </c>
      <c r="C338">
        <f t="shared" ca="1" si="76"/>
        <v>0.78947090007764409</v>
      </c>
      <c r="D338">
        <f t="shared" ca="1" si="76"/>
        <v>-0.44183033605688871</v>
      </c>
      <c r="E338">
        <f t="shared" ca="1" si="77"/>
        <v>0.31830988618379069</v>
      </c>
      <c r="F338">
        <f t="shared" si="84"/>
        <v>0.25</v>
      </c>
      <c r="G338">
        <f t="shared" ca="1" si="78"/>
        <v>1</v>
      </c>
      <c r="H338">
        <f ca="1">IF(G338=1,SUM($G$10:G338),"-")</f>
        <v>249</v>
      </c>
      <c r="I338">
        <f t="shared" ca="1" si="79"/>
        <v>0.78947090007764409</v>
      </c>
      <c r="J338">
        <f t="shared" ca="1" si="80"/>
        <v>-0.44183033605688871</v>
      </c>
      <c r="L338">
        <f t="shared" si="72"/>
        <v>329</v>
      </c>
      <c r="M338">
        <f t="shared" ca="1" si="81"/>
        <v>-0.5613033809504997</v>
      </c>
      <c r="N338">
        <f t="shared" ca="1" si="82"/>
        <v>0.58026750187858345</v>
      </c>
      <c r="O338">
        <f t="shared" ca="1" si="83"/>
        <v>0.80732388742243566</v>
      </c>
    </row>
    <row r="339" spans="1:15" x14ac:dyDescent="0.2">
      <c r="A339">
        <f t="shared" si="73"/>
        <v>330</v>
      </c>
      <c r="B339">
        <f t="shared" ca="1" si="75"/>
        <v>0.65398470039968259</v>
      </c>
      <c r="C339">
        <f t="shared" ca="1" si="76"/>
        <v>-0.91382075709878796</v>
      </c>
      <c r="D339">
        <f t="shared" ca="1" si="76"/>
        <v>-0.30889189501518488</v>
      </c>
      <c r="E339">
        <f t="shared" ca="1" si="77"/>
        <v>0.31830988618379069</v>
      </c>
      <c r="F339">
        <f t="shared" si="84"/>
        <v>0.25</v>
      </c>
      <c r="G339">
        <f t="shared" ca="1" si="78"/>
        <v>1</v>
      </c>
      <c r="H339">
        <f ca="1">IF(G339=1,SUM($G$10:G339),"-")</f>
        <v>250</v>
      </c>
      <c r="I339">
        <f t="shared" ca="1" si="79"/>
        <v>-0.91382075709878796</v>
      </c>
      <c r="J339">
        <f t="shared" ca="1" si="80"/>
        <v>-0.30889189501518488</v>
      </c>
      <c r="L339">
        <f t="shared" si="72"/>
        <v>330</v>
      </c>
      <c r="M339">
        <f t="shared" ca="1" si="81"/>
        <v>0.9392521658489188</v>
      </c>
      <c r="N339">
        <f t="shared" ca="1" si="82"/>
        <v>-8.1093314246259762E-2</v>
      </c>
      <c r="O339">
        <f t="shared" ca="1" si="83"/>
        <v>0.94274639042922226</v>
      </c>
    </row>
    <row r="340" spans="1:15" x14ac:dyDescent="0.2">
      <c r="A340">
        <f t="shared" si="73"/>
        <v>331</v>
      </c>
      <c r="B340">
        <f t="shared" ca="1" si="75"/>
        <v>0.41173640361045438</v>
      </c>
      <c r="C340">
        <f t="shared" ca="1" si="76"/>
        <v>-0.91961396633485792</v>
      </c>
      <c r="D340">
        <f t="shared" ca="1" si="76"/>
        <v>0.80287751350261161</v>
      </c>
      <c r="E340">
        <f t="shared" ca="1" si="77"/>
        <v>0</v>
      </c>
      <c r="F340">
        <f t="shared" si="84"/>
        <v>0.25</v>
      </c>
      <c r="G340">
        <f t="shared" ca="1" si="78"/>
        <v>0</v>
      </c>
      <c r="H340" t="str">
        <f ca="1">IF(G340=1,SUM($G$10:G340),"-")</f>
        <v>-</v>
      </c>
      <c r="I340" t="str">
        <f t="shared" ca="1" si="79"/>
        <v>-</v>
      </c>
      <c r="J340" t="str">
        <f t="shared" ca="1" si="80"/>
        <v>-</v>
      </c>
      <c r="L340">
        <f t="shared" si="72"/>
        <v>331</v>
      </c>
      <c r="M340">
        <f t="shared" ca="1" si="81"/>
        <v>-0.77857523464636813</v>
      </c>
      <c r="N340">
        <f t="shared" ca="1" si="82"/>
        <v>-0.12442237043937321</v>
      </c>
      <c r="O340">
        <f t="shared" ca="1" si="83"/>
        <v>0.78845438819908908</v>
      </c>
    </row>
    <row r="341" spans="1:15" x14ac:dyDescent="0.2">
      <c r="A341">
        <f t="shared" si="73"/>
        <v>332</v>
      </c>
      <c r="B341">
        <f t="shared" ca="1" si="75"/>
        <v>0.2314616307634233</v>
      </c>
      <c r="C341">
        <f t="shared" ca="1" si="76"/>
        <v>-0.81034919280714401</v>
      </c>
      <c r="D341">
        <f t="shared" ca="1" si="76"/>
        <v>-7.032537086178503E-2</v>
      </c>
      <c r="E341">
        <f t="shared" ca="1" si="77"/>
        <v>0.31830988618379069</v>
      </c>
      <c r="F341">
        <f t="shared" si="84"/>
        <v>0.25</v>
      </c>
      <c r="G341">
        <f t="shared" ca="1" si="78"/>
        <v>1</v>
      </c>
      <c r="H341">
        <f ca="1">IF(G341=1,SUM($G$10:G341),"-")</f>
        <v>251</v>
      </c>
      <c r="I341">
        <f t="shared" ca="1" si="79"/>
        <v>-0.81034919280714401</v>
      </c>
      <c r="J341">
        <f t="shared" ca="1" si="80"/>
        <v>-7.032537086178503E-2</v>
      </c>
      <c r="L341">
        <f t="shared" si="72"/>
        <v>332</v>
      </c>
      <c r="M341">
        <f t="shared" ca="1" si="81"/>
        <v>-1.129216678485867E-2</v>
      </c>
      <c r="N341">
        <f t="shared" ca="1" si="82"/>
        <v>-0.71537323476580905</v>
      </c>
      <c r="O341">
        <f t="shared" ca="1" si="83"/>
        <v>0.71546235264337588</v>
      </c>
    </row>
    <row r="342" spans="1:15" x14ac:dyDescent="0.2">
      <c r="A342">
        <f t="shared" si="73"/>
        <v>333</v>
      </c>
      <c r="B342">
        <f t="shared" ca="1" si="75"/>
        <v>0.14580948002088134</v>
      </c>
      <c r="C342">
        <f t="shared" ca="1" si="76"/>
        <v>0.50220010809376436</v>
      </c>
      <c r="D342">
        <f t="shared" ca="1" si="76"/>
        <v>-0.36138505453567027</v>
      </c>
      <c r="E342">
        <f t="shared" ca="1" si="77"/>
        <v>0.31830988618379069</v>
      </c>
      <c r="F342">
        <f t="shared" si="84"/>
        <v>0.25</v>
      </c>
      <c r="G342">
        <f t="shared" ca="1" si="78"/>
        <v>1</v>
      </c>
      <c r="H342">
        <f ca="1">IF(G342=1,SUM($G$10:G342),"-")</f>
        <v>252</v>
      </c>
      <c r="I342">
        <f t="shared" ca="1" si="79"/>
        <v>0.50220010809376436</v>
      </c>
      <c r="J342">
        <f t="shared" ca="1" si="80"/>
        <v>-0.36138505453567027</v>
      </c>
      <c r="L342">
        <f t="shared" si="72"/>
        <v>333</v>
      </c>
      <c r="M342">
        <f t="shared" ca="1" si="81"/>
        <v>-0.13033454282968804</v>
      </c>
      <c r="N342">
        <f t="shared" ca="1" si="82"/>
        <v>1.0245196091803521E-2</v>
      </c>
      <c r="O342">
        <f t="shared" ca="1" si="83"/>
        <v>0.13073659433220408</v>
      </c>
    </row>
    <row r="343" spans="1:15" x14ac:dyDescent="0.2">
      <c r="A343">
        <f t="shared" si="73"/>
        <v>334</v>
      </c>
      <c r="B343">
        <f t="shared" ca="1" si="75"/>
        <v>0.34758724748664394</v>
      </c>
      <c r="C343">
        <f t="shared" ca="1" si="76"/>
        <v>-0.63639289101117869</v>
      </c>
      <c r="D343">
        <f t="shared" ca="1" si="76"/>
        <v>0.98196897304287756</v>
      </c>
      <c r="E343">
        <f t="shared" ca="1" si="77"/>
        <v>0</v>
      </c>
      <c r="F343">
        <f t="shared" si="84"/>
        <v>0.25</v>
      </c>
      <c r="G343">
        <f t="shared" ca="1" si="78"/>
        <v>0</v>
      </c>
      <c r="H343" t="str">
        <f ca="1">IF(G343=1,SUM($G$10:G343),"-")</f>
        <v>-</v>
      </c>
      <c r="I343" t="str">
        <f t="shared" ca="1" si="79"/>
        <v>-</v>
      </c>
      <c r="J343" t="str">
        <f t="shared" ca="1" si="80"/>
        <v>-</v>
      </c>
      <c r="L343">
        <f t="shared" si="72"/>
        <v>334</v>
      </c>
      <c r="M343">
        <f t="shared" ca="1" si="81"/>
        <v>-0.3598118398351049</v>
      </c>
      <c r="N343">
        <f t="shared" ca="1" si="82"/>
        <v>-0.77265100942570952</v>
      </c>
      <c r="O343">
        <f t="shared" ca="1" si="83"/>
        <v>0.85232279240443354</v>
      </c>
    </row>
    <row r="344" spans="1:15" x14ac:dyDescent="0.2">
      <c r="A344">
        <f t="shared" si="73"/>
        <v>335</v>
      </c>
      <c r="B344">
        <f t="shared" ca="1" si="75"/>
        <v>5.7299266499321488E-2</v>
      </c>
      <c r="C344">
        <f t="shared" ca="1" si="76"/>
        <v>0.42284489542996129</v>
      </c>
      <c r="D344">
        <f t="shared" ca="1" si="76"/>
        <v>0.65168079104548049</v>
      </c>
      <c r="E344">
        <f t="shared" ca="1" si="77"/>
        <v>0.31830988618379069</v>
      </c>
      <c r="F344">
        <f t="shared" si="84"/>
        <v>0.25</v>
      </c>
      <c r="G344">
        <f t="shared" ca="1" si="78"/>
        <v>1</v>
      </c>
      <c r="H344">
        <f ca="1">IF(G344=1,SUM($G$10:G344),"-")</f>
        <v>253</v>
      </c>
      <c r="I344">
        <f t="shared" ca="1" si="79"/>
        <v>0.42284489542996129</v>
      </c>
      <c r="J344">
        <f t="shared" ca="1" si="80"/>
        <v>0.65168079104548049</v>
      </c>
      <c r="L344">
        <f t="shared" si="72"/>
        <v>335</v>
      </c>
      <c r="M344">
        <f t="shared" ca="1" si="81"/>
        <v>0.64869406134641072</v>
      </c>
      <c r="N344">
        <f t="shared" ca="1" si="82"/>
        <v>2.697023418728195E-2</v>
      </c>
      <c r="O344">
        <f t="shared" ca="1" si="83"/>
        <v>0.64925447919765455</v>
      </c>
    </row>
    <row r="345" spans="1:15" x14ac:dyDescent="0.2">
      <c r="A345">
        <f t="shared" si="73"/>
        <v>336</v>
      </c>
      <c r="B345">
        <f t="shared" ca="1" si="75"/>
        <v>0.83577365863973163</v>
      </c>
      <c r="C345">
        <f t="shared" ca="1" si="76"/>
        <v>0.30467521754913696</v>
      </c>
      <c r="D345">
        <f t="shared" ca="1" si="76"/>
        <v>0.38645615628379559</v>
      </c>
      <c r="E345">
        <f t="shared" ca="1" si="77"/>
        <v>0.31830988618379069</v>
      </c>
      <c r="F345">
        <f t="shared" si="84"/>
        <v>0.25</v>
      </c>
      <c r="G345">
        <f t="shared" ca="1" si="78"/>
        <v>1</v>
      </c>
      <c r="H345">
        <f ca="1">IF(G345=1,SUM($G$10:G345),"-")</f>
        <v>254</v>
      </c>
      <c r="I345">
        <f t="shared" ca="1" si="79"/>
        <v>0.30467521754913696</v>
      </c>
      <c r="J345">
        <f t="shared" ca="1" si="80"/>
        <v>0.38645615628379559</v>
      </c>
      <c r="L345">
        <f t="shared" si="72"/>
        <v>336</v>
      </c>
      <c r="M345">
        <f t="shared" ca="1" si="81"/>
        <v>0.8303615861989575</v>
      </c>
      <c r="N345">
        <f t="shared" ca="1" si="82"/>
        <v>0.37216927988717896</v>
      </c>
      <c r="O345">
        <f t="shared" ca="1" si="83"/>
        <v>0.90995073313151964</v>
      </c>
    </row>
    <row r="346" spans="1:15" x14ac:dyDescent="0.2">
      <c r="A346">
        <f t="shared" si="73"/>
        <v>337</v>
      </c>
      <c r="B346">
        <f t="shared" ca="1" si="75"/>
        <v>0.43276363717031974</v>
      </c>
      <c r="C346">
        <f t="shared" ca="1" si="76"/>
        <v>0.27033828547836602</v>
      </c>
      <c r="D346">
        <f t="shared" ca="1" si="76"/>
        <v>-0.70380752596547147</v>
      </c>
      <c r="E346">
        <f t="shared" ca="1" si="77"/>
        <v>0.31830988618379069</v>
      </c>
      <c r="F346">
        <f t="shared" si="84"/>
        <v>0.25</v>
      </c>
      <c r="G346">
        <f t="shared" ca="1" si="78"/>
        <v>1</v>
      </c>
      <c r="H346">
        <f ca="1">IF(G346=1,SUM($G$10:G346),"-")</f>
        <v>255</v>
      </c>
      <c r="I346">
        <f t="shared" ca="1" si="79"/>
        <v>0.27033828547836602</v>
      </c>
      <c r="J346">
        <f t="shared" ca="1" si="80"/>
        <v>-0.70380752596547147</v>
      </c>
      <c r="L346">
        <f t="shared" si="72"/>
        <v>337</v>
      </c>
      <c r="M346">
        <f t="shared" ca="1" si="81"/>
        <v>-7.0541656315936674E-3</v>
      </c>
      <c r="N346">
        <f t="shared" ca="1" si="82"/>
        <v>-0.33113812760790973</v>
      </c>
      <c r="O346">
        <f t="shared" ca="1" si="83"/>
        <v>0.33121325578610267</v>
      </c>
    </row>
    <row r="347" spans="1:15" x14ac:dyDescent="0.2">
      <c r="A347">
        <f t="shared" si="73"/>
        <v>338</v>
      </c>
      <c r="B347">
        <f t="shared" ca="1" si="75"/>
        <v>0.72141334245950961</v>
      </c>
      <c r="C347">
        <f t="shared" ca="1" si="76"/>
        <v>-0.85980267271052502</v>
      </c>
      <c r="D347">
        <f t="shared" ca="1" si="76"/>
        <v>-0.76964544862690354</v>
      </c>
      <c r="E347">
        <f t="shared" ca="1" si="77"/>
        <v>0</v>
      </c>
      <c r="F347">
        <f t="shared" si="84"/>
        <v>0.25</v>
      </c>
      <c r="G347">
        <f t="shared" ca="1" si="78"/>
        <v>0</v>
      </c>
      <c r="H347" t="str">
        <f ca="1">IF(G347=1,SUM($G$10:G347),"-")</f>
        <v>-</v>
      </c>
      <c r="I347" t="str">
        <f t="shared" ca="1" si="79"/>
        <v>-</v>
      </c>
      <c r="J347" t="str">
        <f t="shared" ca="1" si="80"/>
        <v>-</v>
      </c>
      <c r="L347">
        <f t="shared" si="72"/>
        <v>338</v>
      </c>
      <c r="M347">
        <f t="shared" ca="1" si="81"/>
        <v>0.44211722142893439</v>
      </c>
      <c r="N347">
        <f t="shared" ca="1" si="82"/>
        <v>-0.11028513480767876</v>
      </c>
      <c r="O347">
        <f t="shared" ca="1" si="83"/>
        <v>0.45566484222901077</v>
      </c>
    </row>
    <row r="348" spans="1:15" x14ac:dyDescent="0.2">
      <c r="A348">
        <f t="shared" si="73"/>
        <v>339</v>
      </c>
      <c r="B348">
        <f t="shared" ca="1" si="75"/>
        <v>0.442469261158287</v>
      </c>
      <c r="C348">
        <f t="shared" ca="1" si="76"/>
        <v>0.76368360026238502</v>
      </c>
      <c r="D348">
        <f t="shared" ca="1" si="76"/>
        <v>0.76258483393284382</v>
      </c>
      <c r="E348">
        <f t="shared" ca="1" si="77"/>
        <v>0</v>
      </c>
      <c r="F348">
        <f t="shared" si="84"/>
        <v>0.25</v>
      </c>
      <c r="G348">
        <f t="shared" ca="1" si="78"/>
        <v>0</v>
      </c>
      <c r="H348" t="str">
        <f ca="1">IF(G348=1,SUM($G$10:G348),"-")</f>
        <v>-</v>
      </c>
      <c r="I348" t="str">
        <f t="shared" ca="1" si="79"/>
        <v>-</v>
      </c>
      <c r="J348" t="str">
        <f t="shared" ca="1" si="80"/>
        <v>-</v>
      </c>
      <c r="L348">
        <f t="shared" si="72"/>
        <v>339</v>
      </c>
      <c r="M348">
        <f t="shared" ca="1" si="81"/>
        <v>-0.69574706719980406</v>
      </c>
      <c r="N348">
        <f t="shared" ca="1" si="82"/>
        <v>0.19193630632597736</v>
      </c>
      <c r="O348">
        <f t="shared" ca="1" si="83"/>
        <v>0.72173646658817792</v>
      </c>
    </row>
    <row r="349" spans="1:15" x14ac:dyDescent="0.2">
      <c r="A349">
        <f t="shared" si="73"/>
        <v>340</v>
      </c>
      <c r="B349">
        <f t="shared" ca="1" si="75"/>
        <v>9.8892767617349886E-2</v>
      </c>
      <c r="C349">
        <f t="shared" ca="1" si="76"/>
        <v>0.71378882963168211</v>
      </c>
      <c r="D349">
        <f t="shared" ca="1" si="76"/>
        <v>4.2720720944879886E-3</v>
      </c>
      <c r="E349">
        <f t="shared" ca="1" si="77"/>
        <v>0.31830988618379069</v>
      </c>
      <c r="F349">
        <f t="shared" si="84"/>
        <v>0.25</v>
      </c>
      <c r="G349">
        <f t="shared" ca="1" si="78"/>
        <v>1</v>
      </c>
      <c r="H349">
        <f ca="1">IF(G349=1,SUM($G$10:G349),"-")</f>
        <v>256</v>
      </c>
      <c r="I349">
        <f t="shared" ca="1" si="79"/>
        <v>0.71378882963168211</v>
      </c>
      <c r="J349">
        <f t="shared" ca="1" si="80"/>
        <v>4.2720720944879886E-3</v>
      </c>
      <c r="L349">
        <f t="shared" si="72"/>
        <v>340</v>
      </c>
      <c r="M349">
        <f t="shared" ca="1" si="81"/>
        <v>-0.341786094298004</v>
      </c>
      <c r="N349">
        <f t="shared" ca="1" si="82"/>
        <v>0.34654655697999326</v>
      </c>
      <c r="O349">
        <f t="shared" ca="1" si="83"/>
        <v>0.48673632534481315</v>
      </c>
    </row>
    <row r="350" spans="1:15" x14ac:dyDescent="0.2">
      <c r="A350">
        <f t="shared" si="73"/>
        <v>341</v>
      </c>
      <c r="B350">
        <f t="shared" ca="1" si="75"/>
        <v>5.8472745289125383E-3</v>
      </c>
      <c r="C350">
        <f t="shared" ref="C350:D369" ca="1" si="85">2*RAND()-1</f>
        <v>0.51891968858752913</v>
      </c>
      <c r="D350">
        <f t="shared" ca="1" si="85"/>
        <v>-0.32876404161086348</v>
      </c>
      <c r="E350">
        <f t="shared" ca="1" si="77"/>
        <v>0.31830988618379069</v>
      </c>
      <c r="F350">
        <f t="shared" si="84"/>
        <v>0.25</v>
      </c>
      <c r="G350">
        <f t="shared" ca="1" si="78"/>
        <v>1</v>
      </c>
      <c r="H350">
        <f ca="1">IF(G350=1,SUM($G$10:G350),"-")</f>
        <v>257</v>
      </c>
      <c r="I350">
        <f t="shared" ca="1" si="79"/>
        <v>0.51891968858752913</v>
      </c>
      <c r="J350">
        <f t="shared" ca="1" si="80"/>
        <v>-0.32876404161086348</v>
      </c>
      <c r="L350">
        <f t="shared" si="72"/>
        <v>341</v>
      </c>
      <c r="M350">
        <f t="shared" ca="1" si="81"/>
        <v>0.3088270027687614</v>
      </c>
      <c r="N350">
        <f t="shared" ca="1" si="82"/>
        <v>0.39792826582909568</v>
      </c>
      <c r="O350">
        <f t="shared" ca="1" si="83"/>
        <v>0.50370727847122487</v>
      </c>
    </row>
    <row r="351" spans="1:15" x14ac:dyDescent="0.2">
      <c r="A351">
        <f t="shared" si="73"/>
        <v>342</v>
      </c>
      <c r="B351">
        <f t="shared" ca="1" si="75"/>
        <v>0.52173566121309789</v>
      </c>
      <c r="C351">
        <f t="shared" ca="1" si="85"/>
        <v>-0.30173540505473939</v>
      </c>
      <c r="D351">
        <f t="shared" ca="1" si="85"/>
        <v>0.72317710191591411</v>
      </c>
      <c r="E351">
        <f t="shared" ca="1" si="77"/>
        <v>0.31830988618379069</v>
      </c>
      <c r="F351">
        <f t="shared" si="84"/>
        <v>0.25</v>
      </c>
      <c r="G351">
        <f t="shared" ca="1" si="78"/>
        <v>1</v>
      </c>
      <c r="H351">
        <f ca="1">IF(G351=1,SUM($G$10:G351),"-")</f>
        <v>258</v>
      </c>
      <c r="I351">
        <f t="shared" ca="1" si="79"/>
        <v>-0.30173540505473939</v>
      </c>
      <c r="J351">
        <f t="shared" ca="1" si="80"/>
        <v>0.72317710191591411</v>
      </c>
      <c r="L351">
        <f t="shared" si="72"/>
        <v>342</v>
      </c>
      <c r="M351">
        <f t="shared" ca="1" si="81"/>
        <v>-0.69842192980465501</v>
      </c>
      <c r="N351">
        <f t="shared" ca="1" si="82"/>
        <v>-0.4983712028180407</v>
      </c>
      <c r="O351">
        <f t="shared" ca="1" si="83"/>
        <v>0.8580017761230796</v>
      </c>
    </row>
    <row r="352" spans="1:15" x14ac:dyDescent="0.2">
      <c r="A352">
        <f t="shared" si="73"/>
        <v>343</v>
      </c>
      <c r="B352">
        <f t="shared" ca="1" si="75"/>
        <v>0.18322751831803941</v>
      </c>
      <c r="C352">
        <f t="shared" ca="1" si="85"/>
        <v>6.6293946739651277E-2</v>
      </c>
      <c r="D352">
        <f t="shared" ca="1" si="85"/>
        <v>4.5999685507583266E-2</v>
      </c>
      <c r="E352">
        <f t="shared" ca="1" si="77"/>
        <v>0.31830988618379069</v>
      </c>
      <c r="F352">
        <f t="shared" si="84"/>
        <v>0.25</v>
      </c>
      <c r="G352">
        <f t="shared" ca="1" si="78"/>
        <v>1</v>
      </c>
      <c r="H352">
        <f ca="1">IF(G352=1,SUM($G$10:G352),"-")</f>
        <v>259</v>
      </c>
      <c r="I352">
        <f t="shared" ca="1" si="79"/>
        <v>6.6293946739651277E-2</v>
      </c>
      <c r="J352">
        <f t="shared" ca="1" si="80"/>
        <v>4.5999685507583266E-2</v>
      </c>
      <c r="L352">
        <f t="shared" si="72"/>
        <v>343</v>
      </c>
      <c r="M352">
        <f t="shared" ca="1" si="81"/>
        <v>-0.14335763328970064</v>
      </c>
      <c r="N352">
        <f t="shared" ca="1" si="82"/>
        <v>0.16871985262021605</v>
      </c>
      <c r="O352">
        <f t="shared" ca="1" si="83"/>
        <v>0.22139963796404841</v>
      </c>
    </row>
    <row r="353" spans="1:15" x14ac:dyDescent="0.2">
      <c r="A353">
        <f t="shared" si="73"/>
        <v>344</v>
      </c>
      <c r="B353">
        <f t="shared" ca="1" si="75"/>
        <v>0.42264022968422155</v>
      </c>
      <c r="C353">
        <f t="shared" ca="1" si="85"/>
        <v>-0.35204826827594693</v>
      </c>
      <c r="D353">
        <f t="shared" ca="1" si="85"/>
        <v>-0.16502223983008557</v>
      </c>
      <c r="E353">
        <f t="shared" ca="1" si="77"/>
        <v>0.31830988618379069</v>
      </c>
      <c r="F353">
        <f t="shared" si="84"/>
        <v>0.25</v>
      </c>
      <c r="G353">
        <f t="shared" ca="1" si="78"/>
        <v>1</v>
      </c>
      <c r="H353">
        <f ca="1">IF(G353=1,SUM($G$10:G353),"-")</f>
        <v>260</v>
      </c>
      <c r="I353">
        <f t="shared" ca="1" si="79"/>
        <v>-0.35204826827594693</v>
      </c>
      <c r="J353">
        <f t="shared" ca="1" si="80"/>
        <v>-0.16502223983008557</v>
      </c>
      <c r="L353">
        <f t="shared" si="72"/>
        <v>344</v>
      </c>
      <c r="M353">
        <f t="shared" ca="1" si="81"/>
        <v>0.52897595294501643</v>
      </c>
      <c r="N353">
        <f t="shared" ca="1" si="82"/>
        <v>-0.62297331177395909</v>
      </c>
      <c r="O353">
        <f t="shared" ca="1" si="83"/>
        <v>0.81725840832425978</v>
      </c>
    </row>
    <row r="354" spans="1:15" x14ac:dyDescent="0.2">
      <c r="A354">
        <f t="shared" si="73"/>
        <v>345</v>
      </c>
      <c r="B354">
        <f t="shared" ca="1" si="75"/>
        <v>0.10147032476799955</v>
      </c>
      <c r="C354">
        <f t="shared" ca="1" si="85"/>
        <v>0.63734370719098354</v>
      </c>
      <c r="D354">
        <f t="shared" ca="1" si="85"/>
        <v>-0.56397443138096137</v>
      </c>
      <c r="E354">
        <f t="shared" ca="1" si="77"/>
        <v>0.31830988618379069</v>
      </c>
      <c r="F354">
        <f t="shared" si="84"/>
        <v>0.25</v>
      </c>
      <c r="G354">
        <f t="shared" ca="1" si="78"/>
        <v>1</v>
      </c>
      <c r="H354">
        <f ca="1">IF(G354=1,SUM($G$10:G354),"-")</f>
        <v>261</v>
      </c>
      <c r="I354">
        <f t="shared" ca="1" si="79"/>
        <v>0.63734370719098354</v>
      </c>
      <c r="J354">
        <f t="shared" ca="1" si="80"/>
        <v>-0.56397443138096137</v>
      </c>
      <c r="L354">
        <f t="shared" si="72"/>
        <v>345</v>
      </c>
      <c r="M354">
        <f t="shared" ca="1" si="81"/>
        <v>-0.61272932173222605</v>
      </c>
      <c r="N354">
        <f t="shared" ca="1" si="82"/>
        <v>-0.38078159904405995</v>
      </c>
      <c r="O354">
        <f t="shared" ca="1" si="83"/>
        <v>0.72140962558104604</v>
      </c>
    </row>
    <row r="355" spans="1:15" x14ac:dyDescent="0.2">
      <c r="A355">
        <f t="shared" si="73"/>
        <v>346</v>
      </c>
      <c r="B355">
        <f t="shared" ca="1" si="75"/>
        <v>0.76369886596111924</v>
      </c>
      <c r="C355">
        <f t="shared" ca="1" si="85"/>
        <v>0.15883300634351327</v>
      </c>
      <c r="D355">
        <f t="shared" ca="1" si="85"/>
        <v>-0.62205185129727125</v>
      </c>
      <c r="E355">
        <f t="shared" ca="1" si="77"/>
        <v>0.31830988618379069</v>
      </c>
      <c r="F355">
        <f t="shared" si="84"/>
        <v>0.25</v>
      </c>
      <c r="G355">
        <f t="shared" ca="1" si="78"/>
        <v>1</v>
      </c>
      <c r="H355">
        <f ca="1">IF(G355=1,SUM($G$10:G355),"-")</f>
        <v>262</v>
      </c>
      <c r="I355">
        <f t="shared" ca="1" si="79"/>
        <v>0.15883300634351327</v>
      </c>
      <c r="J355">
        <f t="shared" ca="1" si="80"/>
        <v>-0.62205185129727125</v>
      </c>
      <c r="L355">
        <f t="shared" si="72"/>
        <v>346</v>
      </c>
      <c r="M355">
        <f t="shared" ca="1" si="81"/>
        <v>-0.71188827090940987</v>
      </c>
      <c r="N355">
        <f t="shared" ca="1" si="82"/>
        <v>-0.24548791420418414</v>
      </c>
      <c r="O355">
        <f t="shared" ca="1" si="83"/>
        <v>0.75302671020270606</v>
      </c>
    </row>
    <row r="356" spans="1:15" x14ac:dyDescent="0.2">
      <c r="A356">
        <f t="shared" si="73"/>
        <v>347</v>
      </c>
      <c r="B356">
        <f t="shared" ca="1" si="75"/>
        <v>0.50000579434254511</v>
      </c>
      <c r="C356">
        <f t="shared" ca="1" si="85"/>
        <v>0.34785923715921618</v>
      </c>
      <c r="D356">
        <f t="shared" ca="1" si="85"/>
        <v>0.52128431891560689</v>
      </c>
      <c r="E356">
        <f t="shared" ca="1" si="77"/>
        <v>0.31830988618379069</v>
      </c>
      <c r="F356">
        <f t="shared" si="84"/>
        <v>0.25</v>
      </c>
      <c r="G356">
        <f t="shared" ca="1" si="78"/>
        <v>1</v>
      </c>
      <c r="H356">
        <f ca="1">IF(G356=1,SUM($G$10:G356),"-")</f>
        <v>263</v>
      </c>
      <c r="I356">
        <f t="shared" ca="1" si="79"/>
        <v>0.34785923715921618</v>
      </c>
      <c r="J356">
        <f t="shared" ca="1" si="80"/>
        <v>0.52128431891560689</v>
      </c>
      <c r="L356">
        <f t="shared" ref="L356:L419" si="86">1+L355</f>
        <v>347</v>
      </c>
      <c r="M356">
        <f t="shared" ca="1" si="81"/>
        <v>0.91148066629162905</v>
      </c>
      <c r="N356">
        <f t="shared" ca="1" si="82"/>
        <v>0.20304079809219133</v>
      </c>
      <c r="O356">
        <f t="shared" ca="1" si="83"/>
        <v>0.93382148760528427</v>
      </c>
    </row>
    <row r="357" spans="1:15" x14ac:dyDescent="0.2">
      <c r="A357">
        <f t="shared" si="73"/>
        <v>348</v>
      </c>
      <c r="B357">
        <f t="shared" ca="1" si="75"/>
        <v>0.93041761644396992</v>
      </c>
      <c r="C357">
        <f t="shared" ca="1" si="85"/>
        <v>-0.41353024281190542</v>
      </c>
      <c r="D357">
        <f t="shared" ca="1" si="85"/>
        <v>-0.8343942617575244</v>
      </c>
      <c r="E357">
        <f t="shared" ca="1" si="77"/>
        <v>0.31830988618379069</v>
      </c>
      <c r="F357">
        <f t="shared" si="84"/>
        <v>0.25</v>
      </c>
      <c r="G357">
        <f t="shared" ca="1" si="78"/>
        <v>1</v>
      </c>
      <c r="H357">
        <f ca="1">IF(G357=1,SUM($G$10:G357),"-")</f>
        <v>264</v>
      </c>
      <c r="I357">
        <f t="shared" ca="1" si="79"/>
        <v>-0.41353024281190542</v>
      </c>
      <c r="J357">
        <f t="shared" ca="1" si="80"/>
        <v>-0.8343942617575244</v>
      </c>
      <c r="L357">
        <f t="shared" si="86"/>
        <v>348</v>
      </c>
      <c r="M357">
        <f t="shared" ca="1" si="81"/>
        <v>-0.14109481080938213</v>
      </c>
      <c r="N357">
        <f t="shared" ca="1" si="82"/>
        <v>0.51753554600696017</v>
      </c>
      <c r="O357">
        <f t="shared" ca="1" si="83"/>
        <v>0.53642407386139723</v>
      </c>
    </row>
    <row r="358" spans="1:15" x14ac:dyDescent="0.2">
      <c r="A358">
        <f t="shared" si="73"/>
        <v>349</v>
      </c>
      <c r="B358">
        <f t="shared" ca="1" si="75"/>
        <v>0.58452369866111709</v>
      </c>
      <c r="C358">
        <f t="shared" ca="1" si="85"/>
        <v>-0.47632185792090653</v>
      </c>
      <c r="D358">
        <f t="shared" ca="1" si="85"/>
        <v>-0.3983998298040119</v>
      </c>
      <c r="E358">
        <f t="shared" ca="1" si="77"/>
        <v>0.31830988618379069</v>
      </c>
      <c r="F358">
        <f t="shared" si="84"/>
        <v>0.25</v>
      </c>
      <c r="G358">
        <f t="shared" ca="1" si="78"/>
        <v>1</v>
      </c>
      <c r="H358">
        <f ca="1">IF(G358=1,SUM($G$10:G358),"-")</f>
        <v>265</v>
      </c>
      <c r="I358">
        <f t="shared" ca="1" si="79"/>
        <v>-0.47632185792090653</v>
      </c>
      <c r="J358">
        <f t="shared" ca="1" si="80"/>
        <v>-0.3983998298040119</v>
      </c>
      <c r="L358">
        <f t="shared" si="86"/>
        <v>349</v>
      </c>
      <c r="M358">
        <f t="shared" ca="1" si="81"/>
        <v>-0.45884923997263494</v>
      </c>
      <c r="N358">
        <f t="shared" ca="1" si="82"/>
        <v>0.54326982708455751</v>
      </c>
      <c r="O358">
        <f t="shared" ca="1" si="83"/>
        <v>0.71111513135634352</v>
      </c>
    </row>
    <row r="359" spans="1:15" x14ac:dyDescent="0.2">
      <c r="A359">
        <f t="shared" si="73"/>
        <v>350</v>
      </c>
      <c r="B359">
        <f t="shared" ca="1" si="75"/>
        <v>0.33032590267018114</v>
      </c>
      <c r="C359">
        <f t="shared" ca="1" si="85"/>
        <v>-0.50576044907298812</v>
      </c>
      <c r="D359">
        <f t="shared" ca="1" si="85"/>
        <v>-0.15933123648124203</v>
      </c>
      <c r="E359">
        <f t="shared" ca="1" si="77"/>
        <v>0.31830988618379069</v>
      </c>
      <c r="F359">
        <f t="shared" si="84"/>
        <v>0.25</v>
      </c>
      <c r="G359">
        <f t="shared" ca="1" si="78"/>
        <v>1</v>
      </c>
      <c r="H359">
        <f ca="1">IF(G359=1,SUM($G$10:G359),"-")</f>
        <v>266</v>
      </c>
      <c r="I359">
        <f t="shared" ca="1" si="79"/>
        <v>-0.50576044907298812</v>
      </c>
      <c r="J359">
        <f t="shared" ca="1" si="80"/>
        <v>-0.15933123648124203</v>
      </c>
      <c r="L359">
        <f t="shared" si="86"/>
        <v>350</v>
      </c>
      <c r="M359">
        <f t="shared" ca="1" si="81"/>
        <v>-0.27326698449170639</v>
      </c>
      <c r="N359">
        <f t="shared" ca="1" si="82"/>
        <v>0.43908115668739356</v>
      </c>
      <c r="O359">
        <f t="shared" ca="1" si="83"/>
        <v>0.51717222177059163</v>
      </c>
    </row>
    <row r="360" spans="1:15" x14ac:dyDescent="0.2">
      <c r="A360">
        <f t="shared" si="73"/>
        <v>351</v>
      </c>
      <c r="B360">
        <f t="shared" ca="1" si="75"/>
        <v>0.86858526227110822</v>
      </c>
      <c r="C360">
        <f t="shared" ca="1" si="85"/>
        <v>-0.82220043690930833</v>
      </c>
      <c r="D360">
        <f t="shared" ca="1" si="85"/>
        <v>0.81401107465964095</v>
      </c>
      <c r="E360">
        <f t="shared" ca="1" si="77"/>
        <v>0</v>
      </c>
      <c r="F360">
        <f t="shared" si="84"/>
        <v>0.25</v>
      </c>
      <c r="G360">
        <f t="shared" ca="1" si="78"/>
        <v>0</v>
      </c>
      <c r="H360" t="str">
        <f ca="1">IF(G360=1,SUM($G$10:G360),"-")</f>
        <v>-</v>
      </c>
      <c r="I360" t="str">
        <f t="shared" ca="1" si="79"/>
        <v>-</v>
      </c>
      <c r="J360" t="str">
        <f t="shared" ca="1" si="80"/>
        <v>-</v>
      </c>
      <c r="L360">
        <f t="shared" si="86"/>
        <v>351</v>
      </c>
      <c r="M360">
        <f t="shared" ca="1" si="81"/>
        <v>-0.64495472082250926</v>
      </c>
      <c r="N360">
        <f t="shared" ca="1" si="82"/>
        <v>0.56044559796465143</v>
      </c>
      <c r="O360">
        <f t="shared" ca="1" si="83"/>
        <v>0.8544389154229789</v>
      </c>
    </row>
    <row r="361" spans="1:15" x14ac:dyDescent="0.2">
      <c r="A361">
        <f t="shared" si="73"/>
        <v>352</v>
      </c>
      <c r="B361">
        <f t="shared" ca="1" si="75"/>
        <v>0.71222971117870393</v>
      </c>
      <c r="C361">
        <f t="shared" ca="1" si="85"/>
        <v>0.24321921590570472</v>
      </c>
      <c r="D361">
        <f t="shared" ca="1" si="85"/>
        <v>0.18377987157847997</v>
      </c>
      <c r="E361">
        <f t="shared" ca="1" si="77"/>
        <v>0.31830988618379069</v>
      </c>
      <c r="F361">
        <f t="shared" si="84"/>
        <v>0.25</v>
      </c>
      <c r="G361">
        <f t="shared" ca="1" si="78"/>
        <v>1</v>
      </c>
      <c r="H361">
        <f ca="1">IF(G361=1,SUM($G$10:G361),"-")</f>
        <v>267</v>
      </c>
      <c r="I361">
        <f t="shared" ca="1" si="79"/>
        <v>0.24321921590570472</v>
      </c>
      <c r="J361">
        <f t="shared" ca="1" si="80"/>
        <v>0.18377987157847997</v>
      </c>
      <c r="L361">
        <f t="shared" si="86"/>
        <v>352</v>
      </c>
      <c r="M361">
        <f t="shared" ca="1" si="81"/>
        <v>-0.58997939741475602</v>
      </c>
      <c r="N361">
        <f t="shared" ca="1" si="82"/>
        <v>0.26869229147030493</v>
      </c>
      <c r="O361">
        <f t="shared" ca="1" si="83"/>
        <v>0.64828329985388478</v>
      </c>
    </row>
    <row r="362" spans="1:15" x14ac:dyDescent="0.2">
      <c r="A362">
        <f t="shared" si="73"/>
        <v>353</v>
      </c>
      <c r="B362">
        <f t="shared" ca="1" si="75"/>
        <v>0.72815127224374487</v>
      </c>
      <c r="C362">
        <f t="shared" ca="1" si="85"/>
        <v>-0.33200641506340323</v>
      </c>
      <c r="D362">
        <f t="shared" ca="1" si="85"/>
        <v>0.66167072420751816</v>
      </c>
      <c r="E362">
        <f t="shared" ca="1" si="77"/>
        <v>0.31830988618379069</v>
      </c>
      <c r="F362">
        <f t="shared" si="84"/>
        <v>0.25</v>
      </c>
      <c r="G362">
        <f t="shared" ca="1" si="78"/>
        <v>1</v>
      </c>
      <c r="H362">
        <f ca="1">IF(G362=1,SUM($G$10:G362),"-")</f>
        <v>268</v>
      </c>
      <c r="I362">
        <f t="shared" ca="1" si="79"/>
        <v>-0.33200641506340323</v>
      </c>
      <c r="J362">
        <f t="shared" ca="1" si="80"/>
        <v>0.66167072420751816</v>
      </c>
      <c r="L362">
        <f t="shared" si="86"/>
        <v>353</v>
      </c>
      <c r="M362">
        <f t="shared" ca="1" si="81"/>
        <v>-0.3736629447301123</v>
      </c>
      <c r="N362">
        <f t="shared" ca="1" si="82"/>
        <v>-0.67518820582953354</v>
      </c>
      <c r="O362">
        <f t="shared" ca="1" si="83"/>
        <v>0.77168847960539333</v>
      </c>
    </row>
    <row r="363" spans="1:15" x14ac:dyDescent="0.2">
      <c r="A363">
        <f t="shared" si="73"/>
        <v>354</v>
      </c>
      <c r="B363">
        <f t="shared" ca="1" si="75"/>
        <v>0.35354337776486655</v>
      </c>
      <c r="C363">
        <f t="shared" ca="1" si="85"/>
        <v>-0.63649323068025554</v>
      </c>
      <c r="D363">
        <f t="shared" ca="1" si="85"/>
        <v>4.8980587178116375E-2</v>
      </c>
      <c r="E363">
        <f t="shared" ca="1" si="77"/>
        <v>0.31830988618379069</v>
      </c>
      <c r="F363">
        <f t="shared" si="84"/>
        <v>0.25</v>
      </c>
      <c r="G363">
        <f t="shared" ca="1" si="78"/>
        <v>1</v>
      </c>
      <c r="H363">
        <f ca="1">IF(G363=1,SUM($G$10:G363),"-")</f>
        <v>269</v>
      </c>
      <c r="I363">
        <f t="shared" ca="1" si="79"/>
        <v>-0.63649323068025554</v>
      </c>
      <c r="J363">
        <f t="shared" ca="1" si="80"/>
        <v>4.8980587178116375E-2</v>
      </c>
      <c r="L363">
        <f t="shared" si="86"/>
        <v>354</v>
      </c>
      <c r="M363">
        <f t="shared" ca="1" si="81"/>
        <v>-0.53004468733491672</v>
      </c>
      <c r="N363">
        <f t="shared" ca="1" si="82"/>
        <v>0.72804839676611177</v>
      </c>
      <c r="O363">
        <f t="shared" ca="1" si="83"/>
        <v>0.90055640501063305</v>
      </c>
    </row>
    <row r="364" spans="1:15" x14ac:dyDescent="0.2">
      <c r="A364">
        <f t="shared" si="73"/>
        <v>355</v>
      </c>
      <c r="B364">
        <f t="shared" ca="1" si="75"/>
        <v>0.37907139565066172</v>
      </c>
      <c r="C364">
        <f t="shared" ca="1" si="85"/>
        <v>-8.356697934618329E-2</v>
      </c>
      <c r="D364">
        <f t="shared" ca="1" si="85"/>
        <v>0.3625854138817326</v>
      </c>
      <c r="E364">
        <f t="shared" ca="1" si="77"/>
        <v>0.31830988618379069</v>
      </c>
      <c r="F364">
        <f t="shared" si="84"/>
        <v>0.25</v>
      </c>
      <c r="G364">
        <f t="shared" ca="1" si="78"/>
        <v>1</v>
      </c>
      <c r="H364">
        <f ca="1">IF(G364=1,SUM($G$10:G364),"-")</f>
        <v>270</v>
      </c>
      <c r="I364">
        <f t="shared" ca="1" si="79"/>
        <v>-8.356697934618329E-2</v>
      </c>
      <c r="J364">
        <f t="shared" ca="1" si="80"/>
        <v>0.3625854138817326</v>
      </c>
      <c r="L364">
        <f t="shared" si="86"/>
        <v>355</v>
      </c>
      <c r="M364">
        <f t="shared" ca="1" si="81"/>
        <v>-0.38547253991007513</v>
      </c>
      <c r="N364">
        <f t="shared" ca="1" si="82"/>
        <v>-0.73808181096726844</v>
      </c>
      <c r="O364">
        <f t="shared" ca="1" si="83"/>
        <v>0.83267871277308814</v>
      </c>
    </row>
    <row r="365" spans="1:15" x14ac:dyDescent="0.2">
      <c r="A365">
        <f t="shared" si="73"/>
        <v>356</v>
      </c>
      <c r="B365">
        <f t="shared" ca="1" si="75"/>
        <v>0.89942950950924561</v>
      </c>
      <c r="C365">
        <f t="shared" ca="1" si="85"/>
        <v>-0.44646500867427785</v>
      </c>
      <c r="D365">
        <f t="shared" ca="1" si="85"/>
        <v>0.38970998270074353</v>
      </c>
      <c r="E365">
        <f t="shared" ca="1" si="77"/>
        <v>0.31830988618379069</v>
      </c>
      <c r="F365">
        <f t="shared" si="84"/>
        <v>0.25</v>
      </c>
      <c r="G365">
        <f t="shared" ca="1" si="78"/>
        <v>1</v>
      </c>
      <c r="H365">
        <f ca="1">IF(G365=1,SUM($G$10:G365),"-")</f>
        <v>271</v>
      </c>
      <c r="I365">
        <f t="shared" ca="1" si="79"/>
        <v>-0.44646500867427785</v>
      </c>
      <c r="J365">
        <f t="shared" ca="1" si="80"/>
        <v>0.38970998270074353</v>
      </c>
      <c r="L365">
        <f t="shared" si="86"/>
        <v>356</v>
      </c>
      <c r="M365">
        <f t="shared" ca="1" si="81"/>
        <v>-0.28583877161788429</v>
      </c>
      <c r="N365">
        <f t="shared" ca="1" si="82"/>
        <v>0.64703242281658602</v>
      </c>
      <c r="O365">
        <f t="shared" ca="1" si="83"/>
        <v>0.70735758957964279</v>
      </c>
    </row>
    <row r="366" spans="1:15" x14ac:dyDescent="0.2">
      <c r="A366">
        <f t="shared" si="73"/>
        <v>357</v>
      </c>
      <c r="B366">
        <f t="shared" ca="1" si="75"/>
        <v>0.44120950128827929</v>
      </c>
      <c r="C366">
        <f t="shared" ca="1" si="85"/>
        <v>3.2772814029315755E-2</v>
      </c>
      <c r="D366">
        <f t="shared" ca="1" si="85"/>
        <v>-0.41489898002795189</v>
      </c>
      <c r="E366">
        <f t="shared" ca="1" si="77"/>
        <v>0.31830988618379069</v>
      </c>
      <c r="F366">
        <f t="shared" si="84"/>
        <v>0.25</v>
      </c>
      <c r="G366">
        <f t="shared" ca="1" si="78"/>
        <v>1</v>
      </c>
      <c r="H366">
        <f ca="1">IF(G366=1,SUM($G$10:G366),"-")</f>
        <v>272</v>
      </c>
      <c r="I366">
        <f t="shared" ca="1" si="79"/>
        <v>3.2772814029315755E-2</v>
      </c>
      <c r="J366">
        <f t="shared" ca="1" si="80"/>
        <v>-0.41489898002795189</v>
      </c>
      <c r="L366">
        <f t="shared" si="86"/>
        <v>357</v>
      </c>
      <c r="M366">
        <f t="shared" ca="1" si="81"/>
        <v>0.24810174914909422</v>
      </c>
      <c r="N366">
        <f t="shared" ca="1" si="82"/>
        <v>0.22659137737601998</v>
      </c>
      <c r="O366">
        <f t="shared" ca="1" si="83"/>
        <v>0.33600316997314472</v>
      </c>
    </row>
    <row r="367" spans="1:15" x14ac:dyDescent="0.2">
      <c r="A367">
        <f t="shared" ref="A367:A430" si="87">1+A366</f>
        <v>358</v>
      </c>
      <c r="B367">
        <f t="shared" ca="1" si="75"/>
        <v>0.26787275224384344</v>
      </c>
      <c r="C367">
        <f t="shared" ca="1" si="85"/>
        <v>-0.69942318589266139</v>
      </c>
      <c r="D367">
        <f t="shared" ca="1" si="85"/>
        <v>-0.4119795457034896</v>
      </c>
      <c r="E367">
        <f t="shared" ca="1" si="77"/>
        <v>0.31830988618379069</v>
      </c>
      <c r="F367">
        <f t="shared" si="84"/>
        <v>0.25</v>
      </c>
      <c r="G367">
        <f t="shared" ca="1" si="78"/>
        <v>1</v>
      </c>
      <c r="H367">
        <f ca="1">IF(G367=1,SUM($G$10:G367),"-")</f>
        <v>273</v>
      </c>
      <c r="I367">
        <f t="shared" ca="1" si="79"/>
        <v>-0.69942318589266139</v>
      </c>
      <c r="J367">
        <f t="shared" ca="1" si="80"/>
        <v>-0.4119795457034896</v>
      </c>
      <c r="L367">
        <f t="shared" si="86"/>
        <v>358</v>
      </c>
      <c r="M367">
        <f t="shared" ca="1" si="81"/>
        <v>0.87182188474192235</v>
      </c>
      <c r="N367">
        <f t="shared" ca="1" si="82"/>
        <v>-2.5852341060794259E-2</v>
      </c>
      <c r="O367">
        <f t="shared" ca="1" si="83"/>
        <v>0.87220510331760925</v>
      </c>
    </row>
    <row r="368" spans="1:15" x14ac:dyDescent="0.2">
      <c r="A368">
        <f t="shared" si="87"/>
        <v>359</v>
      </c>
      <c r="B368">
        <f t="shared" ca="1" si="75"/>
        <v>0.20907298410579467</v>
      </c>
      <c r="C368">
        <f t="shared" ca="1" si="85"/>
        <v>-0.33155622278052821</v>
      </c>
      <c r="D368">
        <f t="shared" ca="1" si="85"/>
        <v>-0.98408805845283265</v>
      </c>
      <c r="E368">
        <f t="shared" ca="1" si="77"/>
        <v>0</v>
      </c>
      <c r="F368">
        <f t="shared" si="84"/>
        <v>0.25</v>
      </c>
      <c r="G368">
        <f t="shared" ca="1" si="78"/>
        <v>0</v>
      </c>
      <c r="H368" t="str">
        <f ca="1">IF(G368=1,SUM($G$10:G368),"-")</f>
        <v>-</v>
      </c>
      <c r="I368" t="str">
        <f t="shared" ca="1" si="79"/>
        <v>-</v>
      </c>
      <c r="J368" t="str">
        <f t="shared" ca="1" si="80"/>
        <v>-</v>
      </c>
      <c r="L368">
        <f t="shared" si="86"/>
        <v>359</v>
      </c>
      <c r="M368">
        <f t="shared" ca="1" si="81"/>
        <v>-0.63565160572211532</v>
      </c>
      <c r="N368">
        <f t="shared" ca="1" si="82"/>
        <v>0.6893791098635158</v>
      </c>
      <c r="O368">
        <f t="shared" ca="1" si="83"/>
        <v>0.93770812141802262</v>
      </c>
    </row>
    <row r="369" spans="1:15" x14ac:dyDescent="0.2">
      <c r="A369">
        <f t="shared" si="87"/>
        <v>360</v>
      </c>
      <c r="B369">
        <f t="shared" ca="1" si="75"/>
        <v>0.1915424670392688</v>
      </c>
      <c r="C369">
        <f t="shared" ca="1" si="85"/>
        <v>-0.64401591962906846</v>
      </c>
      <c r="D369">
        <f t="shared" ca="1" si="85"/>
        <v>-0.12526044178057139</v>
      </c>
      <c r="E369">
        <f t="shared" ca="1" si="77"/>
        <v>0.31830988618379069</v>
      </c>
      <c r="F369">
        <f t="shared" si="84"/>
        <v>0.25</v>
      </c>
      <c r="G369">
        <f t="shared" ca="1" si="78"/>
        <v>1</v>
      </c>
      <c r="H369">
        <f ca="1">IF(G369=1,SUM($G$10:G369),"-")</f>
        <v>274</v>
      </c>
      <c r="I369">
        <f t="shared" ca="1" si="79"/>
        <v>-0.64401591962906846</v>
      </c>
      <c r="J369">
        <f t="shared" ca="1" si="80"/>
        <v>-0.12526044178057139</v>
      </c>
      <c r="L369">
        <f t="shared" si="86"/>
        <v>360</v>
      </c>
      <c r="M369">
        <f t="shared" ca="1" si="81"/>
        <v>0.49535266629989483</v>
      </c>
      <c r="N369">
        <f t="shared" ca="1" si="82"/>
        <v>0.11098185614359224</v>
      </c>
      <c r="O369">
        <f t="shared" ca="1" si="83"/>
        <v>0.50763297410973207</v>
      </c>
    </row>
    <row r="370" spans="1:15" x14ac:dyDescent="0.2">
      <c r="A370">
        <f t="shared" si="87"/>
        <v>361</v>
      </c>
      <c r="B370">
        <f t="shared" ca="1" si="75"/>
        <v>0.43313762851985149</v>
      </c>
      <c r="C370">
        <f t="shared" ref="C370:D389" ca="1" si="88">2*RAND()-1</f>
        <v>-0.63170362438977512</v>
      </c>
      <c r="D370">
        <f t="shared" ca="1" si="88"/>
        <v>0.14219445019421584</v>
      </c>
      <c r="E370">
        <f t="shared" ca="1" si="77"/>
        <v>0.31830988618379069</v>
      </c>
      <c r="F370">
        <f t="shared" si="84"/>
        <v>0.25</v>
      </c>
      <c r="G370">
        <f t="shared" ca="1" si="78"/>
        <v>1</v>
      </c>
      <c r="H370">
        <f ca="1">IF(G370=1,SUM($G$10:G370),"-")</f>
        <v>275</v>
      </c>
      <c r="I370">
        <f t="shared" ca="1" si="79"/>
        <v>-0.63170362438977512</v>
      </c>
      <c r="J370">
        <f t="shared" ca="1" si="80"/>
        <v>0.14219445019421584</v>
      </c>
      <c r="L370">
        <f t="shared" si="86"/>
        <v>361</v>
      </c>
      <c r="M370">
        <f t="shared" ca="1" si="81"/>
        <v>0.35303321098312224</v>
      </c>
      <c r="N370">
        <f t="shared" ca="1" si="82"/>
        <v>-0.20891590143016381</v>
      </c>
      <c r="O370">
        <f t="shared" ca="1" si="83"/>
        <v>0.41021738374602268</v>
      </c>
    </row>
    <row r="371" spans="1:15" x14ac:dyDescent="0.2">
      <c r="A371">
        <f t="shared" si="87"/>
        <v>362</v>
      </c>
      <c r="B371">
        <f t="shared" ca="1" si="75"/>
        <v>0.95357980501500894</v>
      </c>
      <c r="C371">
        <f t="shared" ca="1" si="88"/>
        <v>-7.407604905552434E-2</v>
      </c>
      <c r="D371">
        <f t="shared" ca="1" si="88"/>
        <v>0.41791250812058678</v>
      </c>
      <c r="E371">
        <f t="shared" ca="1" si="77"/>
        <v>0.31830988618379069</v>
      </c>
      <c r="F371">
        <f t="shared" si="84"/>
        <v>0.25</v>
      </c>
      <c r="G371">
        <f t="shared" ca="1" si="78"/>
        <v>1</v>
      </c>
      <c r="H371">
        <f ca="1">IF(G371=1,SUM($G$10:G371),"-")</f>
        <v>276</v>
      </c>
      <c r="I371">
        <f t="shared" ca="1" si="79"/>
        <v>-7.407604905552434E-2</v>
      </c>
      <c r="J371">
        <f t="shared" ca="1" si="80"/>
        <v>0.41791250812058678</v>
      </c>
      <c r="L371">
        <f t="shared" si="86"/>
        <v>362</v>
      </c>
      <c r="M371">
        <f t="shared" ca="1" si="81"/>
        <v>0.41254217374578461</v>
      </c>
      <c r="N371">
        <f t="shared" ca="1" si="82"/>
        <v>-0.15749601696019244</v>
      </c>
      <c r="O371">
        <f t="shared" ca="1" si="83"/>
        <v>0.44158356001692628</v>
      </c>
    </row>
    <row r="372" spans="1:15" x14ac:dyDescent="0.2">
      <c r="A372">
        <f t="shared" si="87"/>
        <v>363</v>
      </c>
      <c r="B372">
        <f t="shared" ca="1" si="75"/>
        <v>3.5076260261341918E-3</v>
      </c>
      <c r="C372">
        <f t="shared" ca="1" si="88"/>
        <v>-0.15461079792582511</v>
      </c>
      <c r="D372">
        <f t="shared" ca="1" si="88"/>
        <v>-0.53395609403316024</v>
      </c>
      <c r="E372">
        <f t="shared" ca="1" si="77"/>
        <v>0.31830988618379069</v>
      </c>
      <c r="F372">
        <f t="shared" si="84"/>
        <v>0.25</v>
      </c>
      <c r="G372">
        <f t="shared" ca="1" si="78"/>
        <v>1</v>
      </c>
      <c r="H372">
        <f ca="1">IF(G372=1,SUM($G$10:G372),"-")</f>
        <v>277</v>
      </c>
      <c r="I372">
        <f t="shared" ca="1" si="79"/>
        <v>-0.15461079792582511</v>
      </c>
      <c r="J372">
        <f t="shared" ca="1" si="80"/>
        <v>-0.53395609403316024</v>
      </c>
      <c r="L372">
        <f t="shared" si="86"/>
        <v>363</v>
      </c>
      <c r="M372">
        <f t="shared" ca="1" si="81"/>
        <v>-0.19383619598183643</v>
      </c>
      <c r="N372">
        <f t="shared" ca="1" si="82"/>
        <v>-0.82411820010128412</v>
      </c>
      <c r="O372">
        <f t="shared" ca="1" si="83"/>
        <v>0.8466069209561714</v>
      </c>
    </row>
    <row r="373" spans="1:15" x14ac:dyDescent="0.2">
      <c r="A373">
        <f t="shared" si="87"/>
        <v>364</v>
      </c>
      <c r="B373">
        <f t="shared" ca="1" si="75"/>
        <v>0.96027962732581551</v>
      </c>
      <c r="C373">
        <f t="shared" ca="1" si="88"/>
        <v>0.17668412989556681</v>
      </c>
      <c r="D373">
        <f t="shared" ca="1" si="88"/>
        <v>-0.746998171218483</v>
      </c>
      <c r="E373">
        <f t="shared" ca="1" si="77"/>
        <v>0.31830988618379069</v>
      </c>
      <c r="F373">
        <f t="shared" si="84"/>
        <v>0.25</v>
      </c>
      <c r="G373">
        <f t="shared" ca="1" si="78"/>
        <v>1</v>
      </c>
      <c r="H373">
        <f ca="1">IF(G373=1,SUM($G$10:G373),"-")</f>
        <v>278</v>
      </c>
      <c r="I373">
        <f t="shared" ca="1" si="79"/>
        <v>0.17668412989556681</v>
      </c>
      <c r="J373">
        <f t="shared" ca="1" si="80"/>
        <v>-0.746998171218483</v>
      </c>
      <c r="L373">
        <f t="shared" si="86"/>
        <v>364</v>
      </c>
      <c r="M373">
        <f t="shared" ca="1" si="81"/>
        <v>-0.34004922552001826</v>
      </c>
      <c r="N373">
        <f t="shared" ca="1" si="82"/>
        <v>-0.25370282630031049</v>
      </c>
      <c r="O373">
        <f t="shared" ca="1" si="83"/>
        <v>0.42426241861556602</v>
      </c>
    </row>
    <row r="374" spans="1:15" x14ac:dyDescent="0.2">
      <c r="A374">
        <f t="shared" si="87"/>
        <v>365</v>
      </c>
      <c r="B374">
        <f t="shared" ca="1" si="75"/>
        <v>0.33756465541014846</v>
      </c>
      <c r="C374">
        <f t="shared" ca="1" si="88"/>
        <v>0.51738869131244636</v>
      </c>
      <c r="D374">
        <f t="shared" ca="1" si="88"/>
        <v>0.8139121962569813</v>
      </c>
      <c r="E374">
        <f t="shared" ca="1" si="77"/>
        <v>0.31830988618379069</v>
      </c>
      <c r="F374">
        <f t="shared" si="84"/>
        <v>0.25</v>
      </c>
      <c r="G374">
        <f t="shared" ca="1" si="78"/>
        <v>1</v>
      </c>
      <c r="H374">
        <f ca="1">IF(G374=1,SUM($G$10:G374),"-")</f>
        <v>279</v>
      </c>
      <c r="I374">
        <f t="shared" ca="1" si="79"/>
        <v>0.51738869131244636</v>
      </c>
      <c r="J374">
        <f t="shared" ca="1" si="80"/>
        <v>0.8139121962569813</v>
      </c>
      <c r="L374">
        <f t="shared" si="86"/>
        <v>365</v>
      </c>
      <c r="M374">
        <f t="shared" ca="1" si="81"/>
        <v>0.82673128815039165</v>
      </c>
      <c r="N374">
        <f t="shared" ca="1" si="82"/>
        <v>9.136076894289058E-2</v>
      </c>
      <c r="O374">
        <f t="shared" ca="1" si="83"/>
        <v>0.83176403679688038</v>
      </c>
    </row>
    <row r="375" spans="1:15" x14ac:dyDescent="0.2">
      <c r="A375">
        <f t="shared" si="87"/>
        <v>366</v>
      </c>
      <c r="B375">
        <f t="shared" ca="1" si="75"/>
        <v>0.67277252448803482</v>
      </c>
      <c r="C375">
        <f t="shared" ca="1" si="88"/>
        <v>0.89189298754175828</v>
      </c>
      <c r="D375">
        <f t="shared" ca="1" si="88"/>
        <v>0.75477237633932481</v>
      </c>
      <c r="E375">
        <f t="shared" ca="1" si="77"/>
        <v>0</v>
      </c>
      <c r="F375">
        <f t="shared" si="84"/>
        <v>0.25</v>
      </c>
      <c r="G375">
        <f t="shared" ca="1" si="78"/>
        <v>0</v>
      </c>
      <c r="H375" t="str">
        <f ca="1">IF(G375=1,SUM($G$10:G375),"-")</f>
        <v>-</v>
      </c>
      <c r="I375" t="str">
        <f t="shared" ca="1" si="79"/>
        <v>-</v>
      </c>
      <c r="J375" t="str">
        <f t="shared" ca="1" si="80"/>
        <v>-</v>
      </c>
      <c r="L375">
        <f t="shared" si="86"/>
        <v>366</v>
      </c>
      <c r="M375">
        <f t="shared" ca="1" si="81"/>
        <v>0.33807450300688213</v>
      </c>
      <c r="N375">
        <f t="shared" ca="1" si="82"/>
        <v>0.91242542013466421</v>
      </c>
      <c r="O375">
        <f t="shared" ca="1" si="83"/>
        <v>0.97304394396721305</v>
      </c>
    </row>
    <row r="376" spans="1:15" x14ac:dyDescent="0.2">
      <c r="A376">
        <f t="shared" si="87"/>
        <v>367</v>
      </c>
      <c r="B376">
        <f t="shared" ca="1" si="75"/>
        <v>0.53613501071021064</v>
      </c>
      <c r="C376">
        <f t="shared" ca="1" si="88"/>
        <v>-0.91204249512434266</v>
      </c>
      <c r="D376">
        <f t="shared" ca="1" si="88"/>
        <v>0.25566608091085907</v>
      </c>
      <c r="E376">
        <f t="shared" ca="1" si="77"/>
        <v>0.31830988618379069</v>
      </c>
      <c r="F376">
        <f t="shared" si="84"/>
        <v>0.25</v>
      </c>
      <c r="G376">
        <f t="shared" ca="1" si="78"/>
        <v>1</v>
      </c>
      <c r="H376">
        <f ca="1">IF(G376=1,SUM($G$10:G376),"-")</f>
        <v>280</v>
      </c>
      <c r="I376">
        <f t="shared" ca="1" si="79"/>
        <v>-0.91204249512434266</v>
      </c>
      <c r="J376">
        <f t="shared" ca="1" si="80"/>
        <v>0.25566608091085907</v>
      </c>
      <c r="L376">
        <f t="shared" si="86"/>
        <v>367</v>
      </c>
      <c r="M376">
        <f t="shared" ca="1" si="81"/>
        <v>-0.32156489709414648</v>
      </c>
      <c r="N376">
        <f t="shared" ca="1" si="82"/>
        <v>-0.78571349141693547</v>
      </c>
      <c r="O376">
        <f t="shared" ca="1" si="83"/>
        <v>0.84896977192227507</v>
      </c>
    </row>
    <row r="377" spans="1:15" x14ac:dyDescent="0.2">
      <c r="A377">
        <f t="shared" si="87"/>
        <v>368</v>
      </c>
      <c r="B377">
        <f t="shared" ca="1" si="75"/>
        <v>0.85387641489621902</v>
      </c>
      <c r="C377">
        <f t="shared" ca="1" si="88"/>
        <v>-0.56238150143848675</v>
      </c>
      <c r="D377">
        <f t="shared" ca="1" si="88"/>
        <v>0.25524658294350866</v>
      </c>
      <c r="E377">
        <f t="shared" ca="1" si="77"/>
        <v>0.31830988618379069</v>
      </c>
      <c r="F377">
        <f t="shared" si="84"/>
        <v>0.25</v>
      </c>
      <c r="G377">
        <f t="shared" ca="1" si="78"/>
        <v>1</v>
      </c>
      <c r="H377">
        <f ca="1">IF(G377=1,SUM($G$10:G377),"-")</f>
        <v>281</v>
      </c>
      <c r="I377">
        <f t="shared" ca="1" si="79"/>
        <v>-0.56238150143848675</v>
      </c>
      <c r="J377">
        <f t="shared" ca="1" si="80"/>
        <v>0.25524658294350866</v>
      </c>
      <c r="L377">
        <f t="shared" si="86"/>
        <v>368</v>
      </c>
      <c r="M377">
        <f t="shared" ca="1" si="81"/>
        <v>-0.5335821069641713</v>
      </c>
      <c r="N377">
        <f t="shared" ca="1" si="82"/>
        <v>2.0993544925932861E-2</v>
      </c>
      <c r="O377">
        <f t="shared" ca="1" si="83"/>
        <v>0.53399493799181419</v>
      </c>
    </row>
    <row r="378" spans="1:15" x14ac:dyDescent="0.2">
      <c r="A378">
        <f t="shared" si="87"/>
        <v>369</v>
      </c>
      <c r="B378">
        <f t="shared" ca="1" si="75"/>
        <v>0.15849129906685089</v>
      </c>
      <c r="C378">
        <f t="shared" ca="1" si="88"/>
        <v>-0.70179079285935431</v>
      </c>
      <c r="D378">
        <f t="shared" ca="1" si="88"/>
        <v>0.81889907785708016</v>
      </c>
      <c r="E378">
        <f t="shared" ca="1" si="77"/>
        <v>0</v>
      </c>
      <c r="F378">
        <f t="shared" si="84"/>
        <v>0.25</v>
      </c>
      <c r="G378">
        <f t="shared" ca="1" si="78"/>
        <v>0</v>
      </c>
      <c r="H378" t="str">
        <f ca="1">IF(G378=1,SUM($G$10:G378),"-")</f>
        <v>-</v>
      </c>
      <c r="I378" t="str">
        <f t="shared" ca="1" si="79"/>
        <v>-</v>
      </c>
      <c r="J378" t="str">
        <f t="shared" ca="1" si="80"/>
        <v>-</v>
      </c>
      <c r="L378">
        <f t="shared" si="86"/>
        <v>369</v>
      </c>
      <c r="M378">
        <f t="shared" ca="1" si="81"/>
        <v>0.9858375146661349</v>
      </c>
      <c r="N378">
        <f t="shared" ca="1" si="82"/>
        <v>3.1688525284157887E-2</v>
      </c>
      <c r="O378">
        <f t="shared" ca="1" si="83"/>
        <v>0.98634667736946646</v>
      </c>
    </row>
    <row r="379" spans="1:15" x14ac:dyDescent="0.2">
      <c r="A379">
        <f t="shared" si="87"/>
        <v>370</v>
      </c>
      <c r="B379">
        <f t="shared" ca="1" si="75"/>
        <v>0.76241945808411249</v>
      </c>
      <c r="C379">
        <f t="shared" ca="1" si="88"/>
        <v>0.87418489648818309</v>
      </c>
      <c r="D379">
        <f t="shared" ca="1" si="88"/>
        <v>0.37114286182852041</v>
      </c>
      <c r="E379">
        <f t="shared" ca="1" si="77"/>
        <v>0.31830988618379069</v>
      </c>
      <c r="F379">
        <f t="shared" si="84"/>
        <v>0.25</v>
      </c>
      <c r="G379">
        <f t="shared" ca="1" si="78"/>
        <v>1</v>
      </c>
      <c r="H379">
        <f ca="1">IF(G379=1,SUM($G$10:G379),"-")</f>
        <v>282</v>
      </c>
      <c r="I379">
        <f t="shared" ca="1" si="79"/>
        <v>0.87418489648818309</v>
      </c>
      <c r="J379">
        <f t="shared" ca="1" si="80"/>
        <v>0.37114286182852041</v>
      </c>
      <c r="L379">
        <f t="shared" si="86"/>
        <v>370</v>
      </c>
      <c r="M379">
        <f t="shared" ca="1" si="81"/>
        <v>0.51186628032295456</v>
      </c>
      <c r="N379">
        <f t="shared" ca="1" si="82"/>
        <v>0.81734098495233853</v>
      </c>
      <c r="O379">
        <f t="shared" ca="1" si="83"/>
        <v>0.96439274915073703</v>
      </c>
    </row>
    <row r="380" spans="1:15" x14ac:dyDescent="0.2">
      <c r="A380">
        <f t="shared" si="87"/>
        <v>371</v>
      </c>
      <c r="B380">
        <f t="shared" ca="1" si="75"/>
        <v>0.28555786199233146</v>
      </c>
      <c r="C380">
        <f t="shared" ca="1" si="88"/>
        <v>-0.19645122724180974</v>
      </c>
      <c r="D380">
        <f t="shared" ca="1" si="88"/>
        <v>0.4555022094147021</v>
      </c>
      <c r="E380">
        <f t="shared" ca="1" si="77"/>
        <v>0.31830988618379069</v>
      </c>
      <c r="F380">
        <f t="shared" si="84"/>
        <v>0.25</v>
      </c>
      <c r="G380">
        <f t="shared" ca="1" si="78"/>
        <v>1</v>
      </c>
      <c r="H380">
        <f ca="1">IF(G380=1,SUM($G$10:G380),"-")</f>
        <v>283</v>
      </c>
      <c r="I380">
        <f t="shared" ca="1" si="79"/>
        <v>-0.19645122724180974</v>
      </c>
      <c r="J380">
        <f t="shared" ca="1" si="80"/>
        <v>0.4555022094147021</v>
      </c>
      <c r="L380">
        <f t="shared" si="86"/>
        <v>371</v>
      </c>
      <c r="M380">
        <f t="shared" ca="1" si="81"/>
        <v>4.2350772089258859E-2</v>
      </c>
      <c r="N380">
        <f t="shared" ca="1" si="82"/>
        <v>0.83437687872379129</v>
      </c>
      <c r="O380">
        <f t="shared" ca="1" si="83"/>
        <v>0.83545099416148438</v>
      </c>
    </row>
    <row r="381" spans="1:15" x14ac:dyDescent="0.2">
      <c r="A381">
        <f t="shared" si="87"/>
        <v>372</v>
      </c>
      <c r="B381">
        <f t="shared" ca="1" si="75"/>
        <v>4.7997605997301851E-2</v>
      </c>
      <c r="C381">
        <f t="shared" ca="1" si="88"/>
        <v>0.68783963810095039</v>
      </c>
      <c r="D381">
        <f t="shared" ca="1" si="88"/>
        <v>0.69389478316046849</v>
      </c>
      <c r="E381">
        <f t="shared" ca="1" si="77"/>
        <v>0.31830988618379069</v>
      </c>
      <c r="F381">
        <f t="shared" si="84"/>
        <v>0.25</v>
      </c>
      <c r="G381">
        <f t="shared" ca="1" si="78"/>
        <v>1</v>
      </c>
      <c r="H381">
        <f ca="1">IF(G381=1,SUM($G$10:G381),"-")</f>
        <v>284</v>
      </c>
      <c r="I381">
        <f t="shared" ca="1" si="79"/>
        <v>0.68783963810095039</v>
      </c>
      <c r="J381">
        <f t="shared" ca="1" si="80"/>
        <v>0.69389478316046849</v>
      </c>
      <c r="L381">
        <f t="shared" si="86"/>
        <v>372</v>
      </c>
      <c r="M381">
        <f t="shared" ca="1" si="81"/>
        <v>-0.36690917371439213</v>
      </c>
      <c r="N381">
        <f t="shared" ca="1" si="82"/>
        <v>-0.37625758078390392</v>
      </c>
      <c r="O381">
        <f t="shared" ca="1" si="83"/>
        <v>0.52553982613417027</v>
      </c>
    </row>
    <row r="382" spans="1:15" x14ac:dyDescent="0.2">
      <c r="A382">
        <f t="shared" si="87"/>
        <v>373</v>
      </c>
      <c r="B382">
        <f t="shared" ca="1" si="75"/>
        <v>0.71423455848891959</v>
      </c>
      <c r="C382">
        <f t="shared" ca="1" si="88"/>
        <v>0.7659452081642022</v>
      </c>
      <c r="D382">
        <f t="shared" ca="1" si="88"/>
        <v>0.22907572489809525</v>
      </c>
      <c r="E382">
        <f t="shared" ca="1" si="77"/>
        <v>0.31830988618379069</v>
      </c>
      <c r="F382">
        <f t="shared" si="84"/>
        <v>0.25</v>
      </c>
      <c r="G382">
        <f t="shared" ca="1" si="78"/>
        <v>1</v>
      </c>
      <c r="H382">
        <f ca="1">IF(G382=1,SUM($G$10:G382),"-")</f>
        <v>285</v>
      </c>
      <c r="I382">
        <f t="shared" ca="1" si="79"/>
        <v>0.7659452081642022</v>
      </c>
      <c r="J382">
        <f t="shared" ca="1" si="80"/>
        <v>0.22907572489809525</v>
      </c>
      <c r="L382">
        <f t="shared" si="86"/>
        <v>373</v>
      </c>
      <c r="M382">
        <f t="shared" ca="1" si="81"/>
        <v>-0.24155393820665982</v>
      </c>
      <c r="N382">
        <f t="shared" ca="1" si="82"/>
        <v>-0.90771628194190113</v>
      </c>
      <c r="O382">
        <f t="shared" ca="1" si="83"/>
        <v>0.93930674093481081</v>
      </c>
    </row>
    <row r="383" spans="1:15" x14ac:dyDescent="0.2">
      <c r="A383">
        <f t="shared" si="87"/>
        <v>374</v>
      </c>
      <c r="B383">
        <f t="shared" ca="1" si="75"/>
        <v>5.4033026257442329E-2</v>
      </c>
      <c r="C383">
        <f t="shared" ca="1" si="88"/>
        <v>0.63309871099713955</v>
      </c>
      <c r="D383">
        <f t="shared" ca="1" si="88"/>
        <v>-2.3084560732880455E-2</v>
      </c>
      <c r="E383">
        <f t="shared" ca="1" si="77"/>
        <v>0.31830988618379069</v>
      </c>
      <c r="F383">
        <f t="shared" si="84"/>
        <v>0.25</v>
      </c>
      <c r="G383">
        <f t="shared" ca="1" si="78"/>
        <v>1</v>
      </c>
      <c r="H383">
        <f ca="1">IF(G383=1,SUM($G$10:G383),"-")</f>
        <v>286</v>
      </c>
      <c r="I383">
        <f t="shared" ca="1" si="79"/>
        <v>0.63309871099713955</v>
      </c>
      <c r="J383">
        <f t="shared" ca="1" si="80"/>
        <v>-2.3084560732880455E-2</v>
      </c>
      <c r="L383">
        <f t="shared" si="86"/>
        <v>374</v>
      </c>
      <c r="M383">
        <f t="shared" ca="1" si="81"/>
        <v>0.94159990340786703</v>
      </c>
      <c r="N383">
        <f t="shared" ca="1" si="82"/>
        <v>-0.17892200918448764</v>
      </c>
      <c r="O383">
        <f t="shared" ca="1" si="83"/>
        <v>0.95844846677759277</v>
      </c>
    </row>
    <row r="384" spans="1:15" x14ac:dyDescent="0.2">
      <c r="A384">
        <f t="shared" si="87"/>
        <v>375</v>
      </c>
      <c r="B384">
        <f t="shared" ca="1" si="75"/>
        <v>0.33826248297423533</v>
      </c>
      <c r="C384">
        <f t="shared" ca="1" si="88"/>
        <v>-7.2029058730591622E-3</v>
      </c>
      <c r="D384">
        <f t="shared" ca="1" si="88"/>
        <v>-0.43650513262619017</v>
      </c>
      <c r="E384">
        <f t="shared" ca="1" si="77"/>
        <v>0.31830988618379069</v>
      </c>
      <c r="F384">
        <f t="shared" si="84"/>
        <v>0.25</v>
      </c>
      <c r="G384">
        <f t="shared" ca="1" si="78"/>
        <v>1</v>
      </c>
      <c r="H384">
        <f ca="1">IF(G384=1,SUM($G$10:G384),"-")</f>
        <v>287</v>
      </c>
      <c r="I384">
        <f t="shared" ca="1" si="79"/>
        <v>-7.2029058730591622E-3</v>
      </c>
      <c r="J384">
        <f t="shared" ca="1" si="80"/>
        <v>-0.43650513262619017</v>
      </c>
      <c r="L384">
        <f t="shared" si="86"/>
        <v>375</v>
      </c>
      <c r="M384">
        <f t="shared" ca="1" si="81"/>
        <v>-4.8809663218516874E-2</v>
      </c>
      <c r="N384">
        <f t="shared" ca="1" si="82"/>
        <v>0.40043427686506039</v>
      </c>
      <c r="O384">
        <f t="shared" ca="1" si="83"/>
        <v>0.40339805814102386</v>
      </c>
    </row>
    <row r="385" spans="1:15" x14ac:dyDescent="0.2">
      <c r="A385">
        <f t="shared" si="87"/>
        <v>376</v>
      </c>
      <c r="B385">
        <f t="shared" ca="1" si="75"/>
        <v>0.4138725667391201</v>
      </c>
      <c r="C385">
        <f t="shared" ca="1" si="88"/>
        <v>0.58116441051652457</v>
      </c>
      <c r="D385">
        <f t="shared" ca="1" si="88"/>
        <v>-0.48512118427864448</v>
      </c>
      <c r="E385">
        <f t="shared" ca="1" si="77"/>
        <v>0.31830988618379069</v>
      </c>
      <c r="F385">
        <f t="shared" si="84"/>
        <v>0.25</v>
      </c>
      <c r="G385">
        <f t="shared" ca="1" si="78"/>
        <v>1</v>
      </c>
      <c r="H385">
        <f ca="1">IF(G385=1,SUM($G$10:G385),"-")</f>
        <v>288</v>
      </c>
      <c r="I385">
        <f t="shared" ca="1" si="79"/>
        <v>0.58116441051652457</v>
      </c>
      <c r="J385">
        <f t="shared" ca="1" si="80"/>
        <v>-0.48512118427864448</v>
      </c>
      <c r="L385">
        <f t="shared" si="86"/>
        <v>376</v>
      </c>
      <c r="M385">
        <f t="shared" ca="1" si="81"/>
        <v>0.498309033103145</v>
      </c>
      <c r="N385">
        <f t="shared" ca="1" si="82"/>
        <v>-0.78832091059496601</v>
      </c>
      <c r="O385">
        <f t="shared" ca="1" si="83"/>
        <v>0.93261018145496766</v>
      </c>
    </row>
    <row r="386" spans="1:15" x14ac:dyDescent="0.2">
      <c r="A386">
        <f t="shared" si="87"/>
        <v>377</v>
      </c>
      <c r="B386">
        <f t="shared" ca="1" si="75"/>
        <v>2.84686881209405E-2</v>
      </c>
      <c r="C386">
        <f t="shared" ca="1" si="88"/>
        <v>5.3448918625491837E-2</v>
      </c>
      <c r="D386">
        <f t="shared" ca="1" si="88"/>
        <v>0.33864166528600048</v>
      </c>
      <c r="E386">
        <f t="shared" ca="1" si="77"/>
        <v>0.31830988618379069</v>
      </c>
      <c r="F386">
        <f t="shared" si="84"/>
        <v>0.25</v>
      </c>
      <c r="G386">
        <f t="shared" ca="1" si="78"/>
        <v>1</v>
      </c>
      <c r="H386">
        <f ca="1">IF(G386=1,SUM($G$10:G386),"-")</f>
        <v>289</v>
      </c>
      <c r="I386">
        <f t="shared" ca="1" si="79"/>
        <v>5.3448918625491837E-2</v>
      </c>
      <c r="J386">
        <f t="shared" ca="1" si="80"/>
        <v>0.33864166528600048</v>
      </c>
      <c r="L386">
        <f t="shared" si="86"/>
        <v>377</v>
      </c>
      <c r="M386">
        <f t="shared" ca="1" si="81"/>
        <v>-0.63176702958038167</v>
      </c>
      <c r="N386">
        <f t="shared" ca="1" si="82"/>
        <v>-0.51539156686621945</v>
      </c>
      <c r="O386">
        <f t="shared" ca="1" si="83"/>
        <v>0.81532695703112601</v>
      </c>
    </row>
    <row r="387" spans="1:15" x14ac:dyDescent="0.2">
      <c r="A387">
        <f t="shared" si="87"/>
        <v>378</v>
      </c>
      <c r="B387">
        <f t="shared" ca="1" si="75"/>
        <v>0.57911308169007603</v>
      </c>
      <c r="C387">
        <f t="shared" ca="1" si="88"/>
        <v>-0.18014434992252548</v>
      </c>
      <c r="D387">
        <f t="shared" ca="1" si="88"/>
        <v>6.8199557851573056E-2</v>
      </c>
      <c r="E387">
        <f t="shared" ca="1" si="77"/>
        <v>0.31830988618379069</v>
      </c>
      <c r="F387">
        <f t="shared" si="84"/>
        <v>0.25</v>
      </c>
      <c r="G387">
        <f t="shared" ca="1" si="78"/>
        <v>1</v>
      </c>
      <c r="H387">
        <f ca="1">IF(G387=1,SUM($G$10:G387),"-")</f>
        <v>290</v>
      </c>
      <c r="I387">
        <f t="shared" ca="1" si="79"/>
        <v>-0.18014434992252548</v>
      </c>
      <c r="J387">
        <f t="shared" ca="1" si="80"/>
        <v>6.8199557851573056E-2</v>
      </c>
      <c r="L387">
        <f t="shared" si="86"/>
        <v>378</v>
      </c>
      <c r="M387">
        <f t="shared" ca="1" si="81"/>
        <v>-1.9758325259434217E-2</v>
      </c>
      <c r="N387">
        <f t="shared" ca="1" si="82"/>
        <v>-0.96185285337842719</v>
      </c>
      <c r="O387">
        <f t="shared" ca="1" si="83"/>
        <v>0.96205576915752633</v>
      </c>
    </row>
    <row r="388" spans="1:15" x14ac:dyDescent="0.2">
      <c r="A388">
        <f t="shared" si="87"/>
        <v>379</v>
      </c>
      <c r="B388">
        <f t="shared" ca="1" si="75"/>
        <v>0.75582828795559609</v>
      </c>
      <c r="C388">
        <f t="shared" ca="1" si="88"/>
        <v>-0.20593639803059172</v>
      </c>
      <c r="D388">
        <f t="shared" ca="1" si="88"/>
        <v>0.65131401638123898</v>
      </c>
      <c r="E388">
        <f t="shared" ca="1" si="77"/>
        <v>0.31830988618379069</v>
      </c>
      <c r="F388">
        <f t="shared" si="84"/>
        <v>0.25</v>
      </c>
      <c r="G388">
        <f t="shared" ca="1" si="78"/>
        <v>1</v>
      </c>
      <c r="H388">
        <f ca="1">IF(G388=1,SUM($G$10:G388),"-")</f>
        <v>291</v>
      </c>
      <c r="I388">
        <f t="shared" ca="1" si="79"/>
        <v>-0.20593639803059172</v>
      </c>
      <c r="J388">
        <f t="shared" ca="1" si="80"/>
        <v>0.65131401638123898</v>
      </c>
      <c r="L388">
        <f t="shared" si="86"/>
        <v>379</v>
      </c>
      <c r="M388">
        <f t="shared" ca="1" si="81"/>
        <v>0.84657415109539458</v>
      </c>
      <c r="N388">
        <f t="shared" ca="1" si="82"/>
        <v>-0.4846377486968938</v>
      </c>
      <c r="O388">
        <f t="shared" ca="1" si="83"/>
        <v>0.97548015908314689</v>
      </c>
    </row>
    <row r="389" spans="1:15" x14ac:dyDescent="0.2">
      <c r="A389">
        <f t="shared" si="87"/>
        <v>380</v>
      </c>
      <c r="B389">
        <f t="shared" ca="1" si="75"/>
        <v>0.51022168351175901</v>
      </c>
      <c r="C389">
        <f t="shared" ca="1" si="88"/>
        <v>0.79602426870321619</v>
      </c>
      <c r="D389">
        <f t="shared" ca="1" si="88"/>
        <v>-0.39809937091214143</v>
      </c>
      <c r="E389">
        <f t="shared" ca="1" si="77"/>
        <v>0.31830988618379069</v>
      </c>
      <c r="F389">
        <f t="shared" si="84"/>
        <v>0.25</v>
      </c>
      <c r="G389">
        <f t="shared" ca="1" si="78"/>
        <v>1</v>
      </c>
      <c r="H389">
        <f ca="1">IF(G389=1,SUM($G$10:G389),"-")</f>
        <v>292</v>
      </c>
      <c r="I389">
        <f t="shared" ca="1" si="79"/>
        <v>0.79602426870321619</v>
      </c>
      <c r="J389">
        <f t="shared" ca="1" si="80"/>
        <v>-0.39809937091214143</v>
      </c>
      <c r="L389">
        <f t="shared" si="86"/>
        <v>380</v>
      </c>
      <c r="M389">
        <f t="shared" ca="1" si="81"/>
        <v>-0.33566807857502301</v>
      </c>
      <c r="N389">
        <f t="shared" ca="1" si="82"/>
        <v>0.4750915130311566</v>
      </c>
      <c r="O389">
        <f t="shared" ca="1" si="83"/>
        <v>0.58170869404580972</v>
      </c>
    </row>
    <row r="390" spans="1:15" x14ac:dyDescent="0.2">
      <c r="A390">
        <f t="shared" si="87"/>
        <v>381</v>
      </c>
      <c r="B390">
        <f t="shared" ca="1" si="75"/>
        <v>0.17512846103297497</v>
      </c>
      <c r="C390">
        <f t="shared" ref="C390:D409" ca="1" si="89">2*RAND()-1</f>
        <v>-0.67979448377915852</v>
      </c>
      <c r="D390">
        <f t="shared" ca="1" si="89"/>
        <v>0.69473690239176977</v>
      </c>
      <c r="E390">
        <f t="shared" ca="1" si="77"/>
        <v>0.31830988618379069</v>
      </c>
      <c r="F390">
        <f t="shared" si="84"/>
        <v>0.25</v>
      </c>
      <c r="G390">
        <f t="shared" ca="1" si="78"/>
        <v>1</v>
      </c>
      <c r="H390">
        <f ca="1">IF(G390=1,SUM($G$10:G390),"-")</f>
        <v>293</v>
      </c>
      <c r="I390">
        <f t="shared" ca="1" si="79"/>
        <v>-0.67979448377915852</v>
      </c>
      <c r="J390">
        <f t="shared" ca="1" si="80"/>
        <v>0.69473690239176977</v>
      </c>
      <c r="L390">
        <f t="shared" si="86"/>
        <v>381</v>
      </c>
      <c r="M390">
        <f t="shared" ca="1" si="81"/>
        <v>0.6897473195394388</v>
      </c>
      <c r="N390">
        <f t="shared" ca="1" si="82"/>
        <v>-0.47637523616176236</v>
      </c>
      <c r="O390">
        <f t="shared" ca="1" si="83"/>
        <v>0.83826292440976746</v>
      </c>
    </row>
    <row r="391" spans="1:15" x14ac:dyDescent="0.2">
      <c r="A391">
        <f t="shared" si="87"/>
        <v>382</v>
      </c>
      <c r="B391">
        <f t="shared" ca="1" si="75"/>
        <v>0.16473433548228367</v>
      </c>
      <c r="C391">
        <f t="shared" ca="1" si="89"/>
        <v>-1.1513899839611597E-2</v>
      </c>
      <c r="D391">
        <f t="shared" ca="1" si="89"/>
        <v>-0.5262277183700339</v>
      </c>
      <c r="E391">
        <f t="shared" ca="1" si="77"/>
        <v>0.31830988618379069</v>
      </c>
      <c r="F391">
        <f t="shared" si="84"/>
        <v>0.25</v>
      </c>
      <c r="G391">
        <f t="shared" ca="1" si="78"/>
        <v>1</v>
      </c>
      <c r="H391">
        <f ca="1">IF(G391=1,SUM($G$10:G391),"-")</f>
        <v>294</v>
      </c>
      <c r="I391">
        <f t="shared" ca="1" si="79"/>
        <v>-1.1513899839611597E-2</v>
      </c>
      <c r="J391">
        <f t="shared" ca="1" si="80"/>
        <v>-0.5262277183700339</v>
      </c>
      <c r="L391">
        <f t="shared" si="86"/>
        <v>382</v>
      </c>
      <c r="M391">
        <f t="shared" ca="1" si="81"/>
        <v>-0.15271401290556574</v>
      </c>
      <c r="N391">
        <f t="shared" ca="1" si="82"/>
        <v>0.82881802632782708</v>
      </c>
      <c r="O391">
        <f t="shared" ca="1" si="83"/>
        <v>0.84276977313123658</v>
      </c>
    </row>
    <row r="392" spans="1:15" x14ac:dyDescent="0.2">
      <c r="A392">
        <f t="shared" si="87"/>
        <v>383</v>
      </c>
      <c r="B392">
        <f t="shared" ca="1" si="75"/>
        <v>0.73976759882564802</v>
      </c>
      <c r="C392">
        <f t="shared" ca="1" si="89"/>
        <v>-0.51327484012177504</v>
      </c>
      <c r="D392">
        <f t="shared" ca="1" si="89"/>
        <v>0.684540779512399</v>
      </c>
      <c r="E392">
        <f t="shared" ca="1" si="77"/>
        <v>0.31830988618379069</v>
      </c>
      <c r="F392">
        <f t="shared" si="84"/>
        <v>0.25</v>
      </c>
      <c r="G392">
        <f t="shared" ca="1" si="78"/>
        <v>1</v>
      </c>
      <c r="H392">
        <f ca="1">IF(G392=1,SUM($G$10:G392),"-")</f>
        <v>295</v>
      </c>
      <c r="I392">
        <f t="shared" ca="1" si="79"/>
        <v>-0.51327484012177504</v>
      </c>
      <c r="J392">
        <f t="shared" ca="1" si="80"/>
        <v>0.684540779512399</v>
      </c>
      <c r="L392">
        <f t="shared" si="86"/>
        <v>383</v>
      </c>
      <c r="M392">
        <f t="shared" ca="1" si="81"/>
        <v>0.81080016514563069</v>
      </c>
      <c r="N392">
        <f t="shared" ca="1" si="82"/>
        <v>2.1180902125316869E-2</v>
      </c>
      <c r="O392">
        <f t="shared" ca="1" si="83"/>
        <v>0.81107677713951609</v>
      </c>
    </row>
    <row r="393" spans="1:15" x14ac:dyDescent="0.2">
      <c r="A393">
        <f t="shared" si="87"/>
        <v>384</v>
      </c>
      <c r="B393">
        <f t="shared" ca="1" si="75"/>
        <v>0.52224894555894752</v>
      </c>
      <c r="C393">
        <f t="shared" ca="1" si="89"/>
        <v>0.88104049474303014</v>
      </c>
      <c r="D393">
        <f t="shared" ca="1" si="89"/>
        <v>0.41478606655705841</v>
      </c>
      <c r="E393">
        <f t="shared" ca="1" si="77"/>
        <v>0.31830988618379069</v>
      </c>
      <c r="F393">
        <f t="shared" si="84"/>
        <v>0.25</v>
      </c>
      <c r="G393">
        <f t="shared" ca="1" si="78"/>
        <v>1</v>
      </c>
      <c r="H393">
        <f ca="1">IF(G393=1,SUM($G$10:G393),"-")</f>
        <v>296</v>
      </c>
      <c r="I393">
        <f t="shared" ca="1" si="79"/>
        <v>0.88104049474303014</v>
      </c>
      <c r="J393">
        <f t="shared" ca="1" si="80"/>
        <v>0.41478606655705841</v>
      </c>
      <c r="L393">
        <f t="shared" si="86"/>
        <v>384</v>
      </c>
      <c r="M393">
        <f t="shared" ca="1" si="81"/>
        <v>-0.11088170804702768</v>
      </c>
      <c r="N393">
        <f t="shared" ca="1" si="82"/>
        <v>-0.61653086801405799</v>
      </c>
      <c r="O393">
        <f t="shared" ca="1" si="83"/>
        <v>0.62642243286267618</v>
      </c>
    </row>
    <row r="394" spans="1:15" x14ac:dyDescent="0.2">
      <c r="A394">
        <f t="shared" si="87"/>
        <v>385</v>
      </c>
      <c r="B394">
        <f t="shared" ref="B394:B457" ca="1" si="90">RAND()</f>
        <v>0.94545536678337549</v>
      </c>
      <c r="C394">
        <f t="shared" ca="1" si="89"/>
        <v>3.2036717609439602E-2</v>
      </c>
      <c r="D394">
        <f t="shared" ca="1" si="89"/>
        <v>0.89515530248883479</v>
      </c>
      <c r="E394">
        <f t="shared" ref="E394:E457" ca="1" si="91">(1/PI())*IF(C394^2+D394^2&lt;=1,1,0)</f>
        <v>0.31830988618379069</v>
      </c>
      <c r="F394">
        <f t="shared" si="84"/>
        <v>0.25</v>
      </c>
      <c r="G394">
        <f t="shared" ref="G394:G457" ca="1" si="92">IF($B$6*B394&lt;=E394/F394,1,0)</f>
        <v>1</v>
      </c>
      <c r="H394">
        <f ca="1">IF(G394=1,SUM($G$10:G394),"-")</f>
        <v>297</v>
      </c>
      <c r="I394">
        <f t="shared" ref="I394:I457" ca="1" si="93">IF($G394,C394,"-")</f>
        <v>3.2036717609439602E-2</v>
      </c>
      <c r="J394">
        <f t="shared" ref="J394:J457" ca="1" si="94">IF($G394,D394,"-")</f>
        <v>0.89515530248883479</v>
      </c>
      <c r="L394">
        <f t="shared" si="86"/>
        <v>385</v>
      </c>
      <c r="M394">
        <f t="shared" ref="M394:M457" ca="1" si="95">VLOOKUP(L394,$H$10:$J$687,2,FALSE)</f>
        <v>-0.2096116889020001</v>
      </c>
      <c r="N394">
        <f t="shared" ref="N394:N457" ca="1" si="96">VLOOKUP(L394,$H$10:$J$687,3,FALSE)</f>
        <v>0.29290354143142738</v>
      </c>
      <c r="O394">
        <f t="shared" ref="O394:O457" ca="1" si="97">SQRT(M394^2+N394^2)</f>
        <v>0.36017987826559766</v>
      </c>
    </row>
    <row r="395" spans="1:15" x14ac:dyDescent="0.2">
      <c r="A395">
        <f t="shared" si="87"/>
        <v>386</v>
      </c>
      <c r="B395">
        <f t="shared" ca="1" si="90"/>
        <v>0.34693890874489375</v>
      </c>
      <c r="C395">
        <f t="shared" ca="1" si="89"/>
        <v>0.73963391567596992</v>
      </c>
      <c r="D395">
        <f t="shared" ca="1" si="89"/>
        <v>9.3595920812291178E-2</v>
      </c>
      <c r="E395">
        <f t="shared" ca="1" si="91"/>
        <v>0.31830988618379069</v>
      </c>
      <c r="F395">
        <f t="shared" ref="F395:F458" si="98">1/4</f>
        <v>0.25</v>
      </c>
      <c r="G395">
        <f t="shared" ca="1" si="92"/>
        <v>1</v>
      </c>
      <c r="H395">
        <f ca="1">IF(G395=1,SUM($G$10:G395),"-")</f>
        <v>298</v>
      </c>
      <c r="I395">
        <f t="shared" ca="1" si="93"/>
        <v>0.73963391567596992</v>
      </c>
      <c r="J395">
        <f t="shared" ca="1" si="94"/>
        <v>9.3595920812291178E-2</v>
      </c>
      <c r="L395">
        <f t="shared" si="86"/>
        <v>386</v>
      </c>
      <c r="M395">
        <f t="shared" ca="1" si="95"/>
        <v>0.28706149236815737</v>
      </c>
      <c r="N395">
        <f t="shared" ca="1" si="96"/>
        <v>0.43135604777725356</v>
      </c>
      <c r="O395">
        <f t="shared" ca="1" si="97"/>
        <v>0.51814316588626919</v>
      </c>
    </row>
    <row r="396" spans="1:15" x14ac:dyDescent="0.2">
      <c r="A396">
        <f t="shared" si="87"/>
        <v>387</v>
      </c>
      <c r="B396">
        <f t="shared" ca="1" si="90"/>
        <v>0.90327252287130033</v>
      </c>
      <c r="C396">
        <f t="shared" ca="1" si="89"/>
        <v>0.63699812500816422</v>
      </c>
      <c r="D396">
        <f t="shared" ca="1" si="89"/>
        <v>-0.13716650457370427</v>
      </c>
      <c r="E396">
        <f t="shared" ca="1" si="91"/>
        <v>0.31830988618379069</v>
      </c>
      <c r="F396">
        <f t="shared" si="98"/>
        <v>0.25</v>
      </c>
      <c r="G396">
        <f t="shared" ca="1" si="92"/>
        <v>1</v>
      </c>
      <c r="H396">
        <f ca="1">IF(G396=1,SUM($G$10:G396),"-")</f>
        <v>299</v>
      </c>
      <c r="I396">
        <f t="shared" ca="1" si="93"/>
        <v>0.63699812500816422</v>
      </c>
      <c r="J396">
        <f t="shared" ca="1" si="94"/>
        <v>-0.13716650457370427</v>
      </c>
      <c r="L396">
        <f t="shared" si="86"/>
        <v>387</v>
      </c>
      <c r="M396">
        <f t="shared" ca="1" si="95"/>
        <v>-0.39112810800626163</v>
      </c>
      <c r="N396">
        <f t="shared" ca="1" si="96"/>
        <v>-4.3249814501438832E-2</v>
      </c>
      <c r="O396">
        <f t="shared" ca="1" si="97"/>
        <v>0.39351206249232912</v>
      </c>
    </row>
    <row r="397" spans="1:15" x14ac:dyDescent="0.2">
      <c r="A397">
        <f t="shared" si="87"/>
        <v>388</v>
      </c>
      <c r="B397">
        <f t="shared" ca="1" si="90"/>
        <v>0.9414482715134358</v>
      </c>
      <c r="C397">
        <f t="shared" ca="1" si="89"/>
        <v>0.50542054580274898</v>
      </c>
      <c r="D397">
        <f t="shared" ca="1" si="89"/>
        <v>-0.3824017525762291</v>
      </c>
      <c r="E397">
        <f t="shared" ca="1" si="91"/>
        <v>0.31830988618379069</v>
      </c>
      <c r="F397">
        <f t="shared" si="98"/>
        <v>0.25</v>
      </c>
      <c r="G397">
        <f t="shared" ca="1" si="92"/>
        <v>1</v>
      </c>
      <c r="H397">
        <f ca="1">IF(G397=1,SUM($G$10:G397),"-")</f>
        <v>300</v>
      </c>
      <c r="I397">
        <f t="shared" ca="1" si="93"/>
        <v>0.50542054580274898</v>
      </c>
      <c r="J397">
        <f t="shared" ca="1" si="94"/>
        <v>-0.3824017525762291</v>
      </c>
      <c r="L397">
        <f t="shared" si="86"/>
        <v>388</v>
      </c>
      <c r="M397">
        <f t="shared" ca="1" si="95"/>
        <v>-0.39246675223075878</v>
      </c>
      <c r="N397">
        <f t="shared" ca="1" si="96"/>
        <v>-0.53778467924977535</v>
      </c>
      <c r="O397">
        <f t="shared" ca="1" si="97"/>
        <v>0.66576460768228252</v>
      </c>
    </row>
    <row r="398" spans="1:15" x14ac:dyDescent="0.2">
      <c r="A398">
        <f t="shared" si="87"/>
        <v>389</v>
      </c>
      <c r="B398">
        <f t="shared" ca="1" si="90"/>
        <v>0.40482777474462617</v>
      </c>
      <c r="C398">
        <f t="shared" ca="1" si="89"/>
        <v>0.34781872134281611</v>
      </c>
      <c r="D398">
        <f t="shared" ca="1" si="89"/>
        <v>4.3708908731121321E-2</v>
      </c>
      <c r="E398">
        <f t="shared" ca="1" si="91"/>
        <v>0.31830988618379069</v>
      </c>
      <c r="F398">
        <f t="shared" si="98"/>
        <v>0.25</v>
      </c>
      <c r="G398">
        <f t="shared" ca="1" si="92"/>
        <v>1</v>
      </c>
      <c r="H398">
        <f ca="1">IF(G398=1,SUM($G$10:G398),"-")</f>
        <v>301</v>
      </c>
      <c r="I398">
        <f t="shared" ca="1" si="93"/>
        <v>0.34781872134281611</v>
      </c>
      <c r="J398">
        <f t="shared" ca="1" si="94"/>
        <v>4.3708908731121321E-2</v>
      </c>
      <c r="L398">
        <f t="shared" si="86"/>
        <v>389</v>
      </c>
      <c r="M398">
        <f t="shared" ca="1" si="95"/>
        <v>-0.99614624582503009</v>
      </c>
      <c r="N398">
        <f t="shared" ca="1" si="96"/>
        <v>6.4081224503843348E-2</v>
      </c>
      <c r="O398">
        <f t="shared" ca="1" si="97"/>
        <v>0.99820526266154963</v>
      </c>
    </row>
    <row r="399" spans="1:15" x14ac:dyDescent="0.2">
      <c r="A399">
        <f t="shared" si="87"/>
        <v>390</v>
      </c>
      <c r="B399">
        <f t="shared" ca="1" si="90"/>
        <v>2.8558878186238035E-2</v>
      </c>
      <c r="C399">
        <f t="shared" ca="1" si="89"/>
        <v>0.65302874655683341</v>
      </c>
      <c r="D399">
        <f t="shared" ca="1" si="89"/>
        <v>-0.56864549470738668</v>
      </c>
      <c r="E399">
        <f t="shared" ca="1" si="91"/>
        <v>0.31830988618379069</v>
      </c>
      <c r="F399">
        <f t="shared" si="98"/>
        <v>0.25</v>
      </c>
      <c r="G399">
        <f t="shared" ca="1" si="92"/>
        <v>1</v>
      </c>
      <c r="H399">
        <f ca="1">IF(G399=1,SUM($G$10:G399),"-")</f>
        <v>302</v>
      </c>
      <c r="I399">
        <f t="shared" ca="1" si="93"/>
        <v>0.65302874655683341</v>
      </c>
      <c r="J399">
        <f t="shared" ca="1" si="94"/>
        <v>-0.56864549470738668</v>
      </c>
      <c r="L399">
        <f t="shared" si="86"/>
        <v>390</v>
      </c>
      <c r="M399">
        <f t="shared" ca="1" si="95"/>
        <v>-5.2274594048515866E-3</v>
      </c>
      <c r="N399">
        <f t="shared" ca="1" si="96"/>
        <v>0.53454344203954629</v>
      </c>
      <c r="O399">
        <f t="shared" ca="1" si="97"/>
        <v>0.53456900186909007</v>
      </c>
    </row>
    <row r="400" spans="1:15" x14ac:dyDescent="0.2">
      <c r="A400">
        <f t="shared" si="87"/>
        <v>391</v>
      </c>
      <c r="B400">
        <f t="shared" ca="1" si="90"/>
        <v>0.22106989486738782</v>
      </c>
      <c r="C400">
        <f t="shared" ca="1" si="89"/>
        <v>-0.93768731307975917</v>
      </c>
      <c r="D400">
        <f t="shared" ca="1" si="89"/>
        <v>-8.9535293148014228E-2</v>
      </c>
      <c r="E400">
        <f t="shared" ca="1" si="91"/>
        <v>0.31830988618379069</v>
      </c>
      <c r="F400">
        <f t="shared" si="98"/>
        <v>0.25</v>
      </c>
      <c r="G400">
        <f t="shared" ca="1" si="92"/>
        <v>1</v>
      </c>
      <c r="H400">
        <f ca="1">IF(G400=1,SUM($G$10:G400),"-")</f>
        <v>303</v>
      </c>
      <c r="I400">
        <f t="shared" ca="1" si="93"/>
        <v>-0.93768731307975917</v>
      </c>
      <c r="J400">
        <f t="shared" ca="1" si="94"/>
        <v>-8.9535293148014228E-2</v>
      </c>
      <c r="L400">
        <f t="shared" si="86"/>
        <v>391</v>
      </c>
      <c r="M400">
        <f t="shared" ca="1" si="95"/>
        <v>-0.86310444039634793</v>
      </c>
      <c r="N400">
        <f t="shared" ca="1" si="96"/>
        <v>0.5003815483138061</v>
      </c>
      <c r="O400">
        <f t="shared" ca="1" si="97"/>
        <v>0.9976627531008736</v>
      </c>
    </row>
    <row r="401" spans="1:15" x14ac:dyDescent="0.2">
      <c r="A401">
        <f t="shared" si="87"/>
        <v>392</v>
      </c>
      <c r="B401">
        <f t="shared" ca="1" si="90"/>
        <v>0.46260633591920208</v>
      </c>
      <c r="C401">
        <f t="shared" ca="1" si="89"/>
        <v>-0.15812879845334016</v>
      </c>
      <c r="D401">
        <f t="shared" ca="1" si="89"/>
        <v>0.12701817532237736</v>
      </c>
      <c r="E401">
        <f t="shared" ca="1" si="91"/>
        <v>0.31830988618379069</v>
      </c>
      <c r="F401">
        <f t="shared" si="98"/>
        <v>0.25</v>
      </c>
      <c r="G401">
        <f t="shared" ca="1" si="92"/>
        <v>1</v>
      </c>
      <c r="H401">
        <f ca="1">IF(G401=1,SUM($G$10:G401),"-")</f>
        <v>304</v>
      </c>
      <c r="I401">
        <f t="shared" ca="1" si="93"/>
        <v>-0.15812879845334016</v>
      </c>
      <c r="J401">
        <f t="shared" ca="1" si="94"/>
        <v>0.12701817532237736</v>
      </c>
      <c r="L401">
        <f t="shared" si="86"/>
        <v>392</v>
      </c>
      <c r="M401">
        <f t="shared" ca="1" si="95"/>
        <v>-0.10917980954107143</v>
      </c>
      <c r="N401">
        <f t="shared" ca="1" si="96"/>
        <v>-0.17812217888705351</v>
      </c>
      <c r="O401">
        <f t="shared" ca="1" si="97"/>
        <v>0.20892041887497767</v>
      </c>
    </row>
    <row r="402" spans="1:15" x14ac:dyDescent="0.2">
      <c r="A402">
        <f t="shared" si="87"/>
        <v>393</v>
      </c>
      <c r="B402">
        <f t="shared" ca="1" si="90"/>
        <v>0.94617778233990968</v>
      </c>
      <c r="C402">
        <f t="shared" ca="1" si="89"/>
        <v>1.0135116287532275E-2</v>
      </c>
      <c r="D402">
        <f t="shared" ca="1" si="89"/>
        <v>-0.454697360773618</v>
      </c>
      <c r="E402">
        <f t="shared" ca="1" si="91"/>
        <v>0.31830988618379069</v>
      </c>
      <c r="F402">
        <f t="shared" si="98"/>
        <v>0.25</v>
      </c>
      <c r="G402">
        <f t="shared" ca="1" si="92"/>
        <v>1</v>
      </c>
      <c r="H402">
        <f ca="1">IF(G402=1,SUM($G$10:G402),"-")</f>
        <v>305</v>
      </c>
      <c r="I402">
        <f t="shared" ca="1" si="93"/>
        <v>1.0135116287532275E-2</v>
      </c>
      <c r="J402">
        <f t="shared" ca="1" si="94"/>
        <v>-0.454697360773618</v>
      </c>
      <c r="L402">
        <f t="shared" si="86"/>
        <v>393</v>
      </c>
      <c r="M402">
        <f t="shared" ca="1" si="95"/>
        <v>0.64169908497620942</v>
      </c>
      <c r="N402">
        <f t="shared" ca="1" si="96"/>
        <v>-0.75851400900080623</v>
      </c>
      <c r="O402">
        <f t="shared" ca="1" si="97"/>
        <v>0.99353974128354805</v>
      </c>
    </row>
    <row r="403" spans="1:15" x14ac:dyDescent="0.2">
      <c r="A403">
        <f t="shared" si="87"/>
        <v>394</v>
      </c>
      <c r="B403">
        <f t="shared" ca="1" si="90"/>
        <v>0.94362974829608948</v>
      </c>
      <c r="C403">
        <f t="shared" ca="1" si="89"/>
        <v>0.55873023938597099</v>
      </c>
      <c r="D403">
        <f t="shared" ca="1" si="89"/>
        <v>-0.24883900901938238</v>
      </c>
      <c r="E403">
        <f t="shared" ca="1" si="91"/>
        <v>0.31830988618379069</v>
      </c>
      <c r="F403">
        <f t="shared" si="98"/>
        <v>0.25</v>
      </c>
      <c r="G403">
        <f t="shared" ca="1" si="92"/>
        <v>1</v>
      </c>
      <c r="H403">
        <f ca="1">IF(G403=1,SUM($G$10:G403),"-")</f>
        <v>306</v>
      </c>
      <c r="I403">
        <f t="shared" ca="1" si="93"/>
        <v>0.55873023938597099</v>
      </c>
      <c r="J403">
        <f t="shared" ca="1" si="94"/>
        <v>-0.24883900901938238</v>
      </c>
      <c r="L403">
        <f t="shared" si="86"/>
        <v>394</v>
      </c>
      <c r="M403">
        <f t="shared" ca="1" si="95"/>
        <v>-0.90171815553123502</v>
      </c>
      <c r="N403">
        <f t="shared" ca="1" si="96"/>
        <v>-0.32770354441874705</v>
      </c>
      <c r="O403">
        <f t="shared" ca="1" si="97"/>
        <v>0.95941922277973057</v>
      </c>
    </row>
    <row r="404" spans="1:15" x14ac:dyDescent="0.2">
      <c r="A404">
        <f t="shared" si="87"/>
        <v>395</v>
      </c>
      <c r="B404">
        <f t="shared" ca="1" si="90"/>
        <v>0.73441568061505136</v>
      </c>
      <c r="C404">
        <f t="shared" ca="1" si="89"/>
        <v>0.83148386949848629</v>
      </c>
      <c r="D404">
        <f t="shared" ca="1" si="89"/>
        <v>-0.19268176786955782</v>
      </c>
      <c r="E404">
        <f t="shared" ca="1" si="91"/>
        <v>0.31830988618379069</v>
      </c>
      <c r="F404">
        <f t="shared" si="98"/>
        <v>0.25</v>
      </c>
      <c r="G404">
        <f t="shared" ca="1" si="92"/>
        <v>1</v>
      </c>
      <c r="H404">
        <f ca="1">IF(G404=1,SUM($G$10:G404),"-")</f>
        <v>307</v>
      </c>
      <c r="I404">
        <f t="shared" ca="1" si="93"/>
        <v>0.83148386949848629</v>
      </c>
      <c r="J404">
        <f t="shared" ca="1" si="94"/>
        <v>-0.19268176786955782</v>
      </c>
      <c r="L404">
        <f t="shared" si="86"/>
        <v>395</v>
      </c>
      <c r="M404">
        <f t="shared" ca="1" si="95"/>
        <v>-0.1403741625154018</v>
      </c>
      <c r="N404">
        <f t="shared" ca="1" si="96"/>
        <v>0.82425706035969526</v>
      </c>
      <c r="O404">
        <f t="shared" ca="1" si="97"/>
        <v>0.83612475567627265</v>
      </c>
    </row>
    <row r="405" spans="1:15" x14ac:dyDescent="0.2">
      <c r="A405">
        <f t="shared" si="87"/>
        <v>396</v>
      </c>
      <c r="B405">
        <f t="shared" ca="1" si="90"/>
        <v>0.43516579572806102</v>
      </c>
      <c r="C405">
        <f t="shared" ca="1" si="89"/>
        <v>-0.36719122942978522</v>
      </c>
      <c r="D405">
        <f t="shared" ca="1" si="89"/>
        <v>0.70203569963013779</v>
      </c>
      <c r="E405">
        <f t="shared" ca="1" si="91"/>
        <v>0.31830988618379069</v>
      </c>
      <c r="F405">
        <f t="shared" si="98"/>
        <v>0.25</v>
      </c>
      <c r="G405">
        <f t="shared" ca="1" si="92"/>
        <v>1</v>
      </c>
      <c r="H405">
        <f ca="1">IF(G405=1,SUM($G$10:G405),"-")</f>
        <v>308</v>
      </c>
      <c r="I405">
        <f t="shared" ca="1" si="93"/>
        <v>-0.36719122942978522</v>
      </c>
      <c r="J405">
        <f t="shared" ca="1" si="94"/>
        <v>0.70203569963013779</v>
      </c>
      <c r="L405">
        <f t="shared" si="86"/>
        <v>396</v>
      </c>
      <c r="M405">
        <f t="shared" ca="1" si="95"/>
        <v>-0.19873450961478922</v>
      </c>
      <c r="N405">
        <f t="shared" ca="1" si="96"/>
        <v>0.1071898220056775</v>
      </c>
      <c r="O405">
        <f t="shared" ca="1" si="97"/>
        <v>0.22579872287822972</v>
      </c>
    </row>
    <row r="406" spans="1:15" x14ac:dyDescent="0.2">
      <c r="A406">
        <f t="shared" si="87"/>
        <v>397</v>
      </c>
      <c r="B406">
        <f t="shared" ca="1" si="90"/>
        <v>0.55881793050861972</v>
      </c>
      <c r="C406">
        <f t="shared" ca="1" si="89"/>
        <v>0.3364567220577348</v>
      </c>
      <c r="D406">
        <f t="shared" ca="1" si="89"/>
        <v>0.41364096997175559</v>
      </c>
      <c r="E406">
        <f t="shared" ca="1" si="91"/>
        <v>0.31830988618379069</v>
      </c>
      <c r="F406">
        <f t="shared" si="98"/>
        <v>0.25</v>
      </c>
      <c r="G406">
        <f t="shared" ca="1" si="92"/>
        <v>1</v>
      </c>
      <c r="H406">
        <f ca="1">IF(G406=1,SUM($G$10:G406),"-")</f>
        <v>309</v>
      </c>
      <c r="I406">
        <f t="shared" ca="1" si="93"/>
        <v>0.3364567220577348</v>
      </c>
      <c r="J406">
        <f t="shared" ca="1" si="94"/>
        <v>0.41364096997175559</v>
      </c>
      <c r="L406">
        <f t="shared" si="86"/>
        <v>397</v>
      </c>
      <c r="M406">
        <f t="shared" ca="1" si="95"/>
        <v>-0.27737480917689217</v>
      </c>
      <c r="N406">
        <f t="shared" ca="1" si="96"/>
        <v>-0.70463438732794459</v>
      </c>
      <c r="O406">
        <f t="shared" ca="1" si="97"/>
        <v>0.75726244101430595</v>
      </c>
    </row>
    <row r="407" spans="1:15" x14ac:dyDescent="0.2">
      <c r="A407">
        <f t="shared" si="87"/>
        <v>398</v>
      </c>
      <c r="B407">
        <f t="shared" ca="1" si="90"/>
        <v>0.72120833400242124</v>
      </c>
      <c r="C407">
        <f t="shared" ca="1" si="89"/>
        <v>0.33215620532159362</v>
      </c>
      <c r="D407">
        <f t="shared" ca="1" si="89"/>
        <v>0.45108492551705304</v>
      </c>
      <c r="E407">
        <f t="shared" ca="1" si="91"/>
        <v>0.31830988618379069</v>
      </c>
      <c r="F407">
        <f t="shared" si="98"/>
        <v>0.25</v>
      </c>
      <c r="G407">
        <f t="shared" ca="1" si="92"/>
        <v>1</v>
      </c>
      <c r="H407">
        <f ca="1">IF(G407=1,SUM($G$10:G407),"-")</f>
        <v>310</v>
      </c>
      <c r="I407">
        <f t="shared" ca="1" si="93"/>
        <v>0.33215620532159362</v>
      </c>
      <c r="J407">
        <f t="shared" ca="1" si="94"/>
        <v>0.45108492551705304</v>
      </c>
      <c r="L407">
        <f t="shared" si="86"/>
        <v>398</v>
      </c>
      <c r="M407">
        <f t="shared" ca="1" si="95"/>
        <v>0.73939637813398806</v>
      </c>
      <c r="N407">
        <f t="shared" ca="1" si="96"/>
        <v>-7.3884564878367476E-2</v>
      </c>
      <c r="O407">
        <f t="shared" ca="1" si="97"/>
        <v>0.74307868555417822</v>
      </c>
    </row>
    <row r="408" spans="1:15" x14ac:dyDescent="0.2">
      <c r="A408">
        <f t="shared" si="87"/>
        <v>399</v>
      </c>
      <c r="B408">
        <f t="shared" ca="1" si="90"/>
        <v>0.34251246036437244</v>
      </c>
      <c r="C408">
        <f t="shared" ca="1" si="89"/>
        <v>-0.10491358028308073</v>
      </c>
      <c r="D408">
        <f t="shared" ca="1" si="89"/>
        <v>0.19219055595043866</v>
      </c>
      <c r="E408">
        <f t="shared" ca="1" si="91"/>
        <v>0.31830988618379069</v>
      </c>
      <c r="F408">
        <f t="shared" si="98"/>
        <v>0.25</v>
      </c>
      <c r="G408">
        <f t="shared" ca="1" si="92"/>
        <v>1</v>
      </c>
      <c r="H408">
        <f ca="1">IF(G408=1,SUM($G$10:G408),"-")</f>
        <v>311</v>
      </c>
      <c r="I408">
        <f t="shared" ca="1" si="93"/>
        <v>-0.10491358028308073</v>
      </c>
      <c r="J408">
        <f t="shared" ca="1" si="94"/>
        <v>0.19219055595043866</v>
      </c>
      <c r="L408">
        <f t="shared" si="86"/>
        <v>399</v>
      </c>
      <c r="M408">
        <f t="shared" ca="1" si="95"/>
        <v>0.49300531201249798</v>
      </c>
      <c r="N408">
        <f t="shared" ca="1" si="96"/>
        <v>0.44260514723231226</v>
      </c>
      <c r="O408">
        <f t="shared" ca="1" si="97"/>
        <v>0.66253570019213104</v>
      </c>
    </row>
    <row r="409" spans="1:15" x14ac:dyDescent="0.2">
      <c r="A409">
        <f t="shared" si="87"/>
        <v>400</v>
      </c>
      <c r="B409">
        <f t="shared" ca="1" si="90"/>
        <v>0.24095072924943839</v>
      </c>
      <c r="C409">
        <f t="shared" ca="1" si="89"/>
        <v>0.36893372133154889</v>
      </c>
      <c r="D409">
        <f t="shared" ca="1" si="89"/>
        <v>0.33724704198423372</v>
      </c>
      <c r="E409">
        <f t="shared" ca="1" si="91"/>
        <v>0.31830988618379069</v>
      </c>
      <c r="F409">
        <f t="shared" si="98"/>
        <v>0.25</v>
      </c>
      <c r="G409">
        <f t="shared" ca="1" si="92"/>
        <v>1</v>
      </c>
      <c r="H409">
        <f ca="1">IF(G409=1,SUM($G$10:G409),"-")</f>
        <v>312</v>
      </c>
      <c r="I409">
        <f t="shared" ca="1" si="93"/>
        <v>0.36893372133154889</v>
      </c>
      <c r="J409">
        <f t="shared" ca="1" si="94"/>
        <v>0.33724704198423372</v>
      </c>
      <c r="L409">
        <f t="shared" si="86"/>
        <v>400</v>
      </c>
      <c r="M409">
        <f t="shared" ca="1" si="95"/>
        <v>0.33729308123101576</v>
      </c>
      <c r="N409">
        <f t="shared" ca="1" si="96"/>
        <v>0.77149506002897072</v>
      </c>
      <c r="O409">
        <f t="shared" ca="1" si="97"/>
        <v>0.84200430539007209</v>
      </c>
    </row>
    <row r="410" spans="1:15" x14ac:dyDescent="0.2">
      <c r="A410">
        <f t="shared" si="87"/>
        <v>401</v>
      </c>
      <c r="B410">
        <f t="shared" ca="1" si="90"/>
        <v>0.8613342524916362</v>
      </c>
      <c r="C410">
        <f t="shared" ref="C410:D429" ca="1" si="99">2*RAND()-1</f>
        <v>0.95406445670618401</v>
      </c>
      <c r="D410">
        <f t="shared" ca="1" si="99"/>
        <v>-0.40040612542470089</v>
      </c>
      <c r="E410">
        <f t="shared" ca="1" si="91"/>
        <v>0</v>
      </c>
      <c r="F410">
        <f t="shared" si="98"/>
        <v>0.25</v>
      </c>
      <c r="G410">
        <f t="shared" ca="1" si="92"/>
        <v>0</v>
      </c>
      <c r="H410" t="str">
        <f ca="1">IF(G410=1,SUM($G$10:G410),"-")</f>
        <v>-</v>
      </c>
      <c r="I410" t="str">
        <f t="shared" ca="1" si="93"/>
        <v>-</v>
      </c>
      <c r="J410" t="str">
        <f t="shared" ca="1" si="94"/>
        <v>-</v>
      </c>
      <c r="L410">
        <f t="shared" si="86"/>
        <v>401</v>
      </c>
      <c r="M410">
        <f t="shared" ca="1" si="95"/>
        <v>0.42809797590402177</v>
      </c>
      <c r="N410">
        <f t="shared" ca="1" si="96"/>
        <v>-0.38981083733652522</v>
      </c>
      <c r="O410">
        <f t="shared" ca="1" si="97"/>
        <v>0.57898218096770759</v>
      </c>
    </row>
    <row r="411" spans="1:15" x14ac:dyDescent="0.2">
      <c r="A411">
        <f t="shared" si="87"/>
        <v>402</v>
      </c>
      <c r="B411">
        <f t="shared" ca="1" si="90"/>
        <v>0.90497037420175519</v>
      </c>
      <c r="C411">
        <f t="shared" ca="1" si="99"/>
        <v>-2.4842538612166676E-2</v>
      </c>
      <c r="D411">
        <f t="shared" ca="1" si="99"/>
        <v>-0.42210400360713218</v>
      </c>
      <c r="E411">
        <f t="shared" ca="1" si="91"/>
        <v>0.31830988618379069</v>
      </c>
      <c r="F411">
        <f t="shared" si="98"/>
        <v>0.25</v>
      </c>
      <c r="G411">
        <f t="shared" ca="1" si="92"/>
        <v>1</v>
      </c>
      <c r="H411">
        <f ca="1">IF(G411=1,SUM($G$10:G411),"-")</f>
        <v>313</v>
      </c>
      <c r="I411">
        <f t="shared" ca="1" si="93"/>
        <v>-2.4842538612166676E-2</v>
      </c>
      <c r="J411">
        <f t="shared" ca="1" si="94"/>
        <v>-0.42210400360713218</v>
      </c>
      <c r="L411">
        <f t="shared" si="86"/>
        <v>402</v>
      </c>
      <c r="M411">
        <f t="shared" ca="1" si="95"/>
        <v>-0.86928323837131716</v>
      </c>
      <c r="N411">
        <f t="shared" ca="1" si="96"/>
        <v>0.46740526191206744</v>
      </c>
      <c r="O411">
        <f t="shared" ca="1" si="97"/>
        <v>0.98697569745987801</v>
      </c>
    </row>
    <row r="412" spans="1:15" x14ac:dyDescent="0.2">
      <c r="A412">
        <f t="shared" si="87"/>
        <v>403</v>
      </c>
      <c r="B412">
        <f t="shared" ca="1" si="90"/>
        <v>0.12814783407324259</v>
      </c>
      <c r="C412">
        <f t="shared" ca="1" si="99"/>
        <v>0.88361365341332543</v>
      </c>
      <c r="D412">
        <f t="shared" ca="1" si="99"/>
        <v>-8.8648259810276686E-2</v>
      </c>
      <c r="E412">
        <f t="shared" ca="1" si="91"/>
        <v>0.31830988618379069</v>
      </c>
      <c r="F412">
        <f t="shared" si="98"/>
        <v>0.25</v>
      </c>
      <c r="G412">
        <f t="shared" ca="1" si="92"/>
        <v>1</v>
      </c>
      <c r="H412">
        <f ca="1">IF(G412=1,SUM($G$10:G412),"-")</f>
        <v>314</v>
      </c>
      <c r="I412">
        <f t="shared" ca="1" si="93"/>
        <v>0.88361365341332543</v>
      </c>
      <c r="J412">
        <f t="shared" ca="1" si="94"/>
        <v>-8.8648259810276686E-2</v>
      </c>
      <c r="L412">
        <f t="shared" si="86"/>
        <v>403</v>
      </c>
      <c r="M412">
        <f t="shared" ca="1" si="95"/>
        <v>0.25396193542839751</v>
      </c>
      <c r="N412">
        <f t="shared" ca="1" si="96"/>
        <v>-0.62890214282838786</v>
      </c>
      <c r="O412">
        <f t="shared" ca="1" si="97"/>
        <v>0.67824373930075865</v>
      </c>
    </row>
    <row r="413" spans="1:15" x14ac:dyDescent="0.2">
      <c r="A413">
        <f t="shared" si="87"/>
        <v>404</v>
      </c>
      <c r="B413">
        <f t="shared" ca="1" si="90"/>
        <v>0.76715512066507785</v>
      </c>
      <c r="C413">
        <f t="shared" ca="1" si="99"/>
        <v>-0.35799067222946568</v>
      </c>
      <c r="D413">
        <f t="shared" ca="1" si="99"/>
        <v>2.8356836987351031E-3</v>
      </c>
      <c r="E413">
        <f t="shared" ca="1" si="91"/>
        <v>0.31830988618379069</v>
      </c>
      <c r="F413">
        <f t="shared" si="98"/>
        <v>0.25</v>
      </c>
      <c r="G413">
        <f t="shared" ca="1" si="92"/>
        <v>1</v>
      </c>
      <c r="H413">
        <f ca="1">IF(G413=1,SUM($G$10:G413),"-")</f>
        <v>315</v>
      </c>
      <c r="I413">
        <f t="shared" ca="1" si="93"/>
        <v>-0.35799067222946568</v>
      </c>
      <c r="J413">
        <f t="shared" ca="1" si="94"/>
        <v>2.8356836987351031E-3</v>
      </c>
      <c r="L413">
        <f t="shared" si="86"/>
        <v>404</v>
      </c>
      <c r="M413">
        <f t="shared" ca="1" si="95"/>
        <v>0.46426987116192397</v>
      </c>
      <c r="N413">
        <f t="shared" ca="1" si="96"/>
        <v>0.84219565808710461</v>
      </c>
      <c r="O413">
        <f t="shared" ca="1" si="97"/>
        <v>0.96168604012405245</v>
      </c>
    </row>
    <row r="414" spans="1:15" x14ac:dyDescent="0.2">
      <c r="A414">
        <f t="shared" si="87"/>
        <v>405</v>
      </c>
      <c r="B414">
        <f t="shared" ca="1" si="90"/>
        <v>0.70326397964479503</v>
      </c>
      <c r="C414">
        <f t="shared" ca="1" si="99"/>
        <v>0.52391616819719422</v>
      </c>
      <c r="D414">
        <f t="shared" ca="1" si="99"/>
        <v>-0.16265079848506003</v>
      </c>
      <c r="E414">
        <f t="shared" ca="1" si="91"/>
        <v>0.31830988618379069</v>
      </c>
      <c r="F414">
        <f t="shared" si="98"/>
        <v>0.25</v>
      </c>
      <c r="G414">
        <f t="shared" ca="1" si="92"/>
        <v>1</v>
      </c>
      <c r="H414">
        <f ca="1">IF(G414=1,SUM($G$10:G414),"-")</f>
        <v>316</v>
      </c>
      <c r="I414">
        <f t="shared" ca="1" si="93"/>
        <v>0.52391616819719422</v>
      </c>
      <c r="J414">
        <f t="shared" ca="1" si="94"/>
        <v>-0.16265079848506003</v>
      </c>
      <c r="L414">
        <f t="shared" si="86"/>
        <v>405</v>
      </c>
      <c r="M414">
        <f t="shared" ca="1" si="95"/>
        <v>7.8187392889270013E-2</v>
      </c>
      <c r="N414">
        <f t="shared" ca="1" si="96"/>
        <v>-0.72754199274151654</v>
      </c>
      <c r="O414">
        <f t="shared" ca="1" si="97"/>
        <v>0.7317312482114714</v>
      </c>
    </row>
    <row r="415" spans="1:15" x14ac:dyDescent="0.2">
      <c r="A415">
        <f t="shared" si="87"/>
        <v>406</v>
      </c>
      <c r="B415">
        <f t="shared" ca="1" si="90"/>
        <v>0.70112264140073355</v>
      </c>
      <c r="C415">
        <f t="shared" ca="1" si="99"/>
        <v>-0.92826000426989075</v>
      </c>
      <c r="D415">
        <f t="shared" ca="1" si="99"/>
        <v>0.91005750626696447</v>
      </c>
      <c r="E415">
        <f t="shared" ca="1" si="91"/>
        <v>0</v>
      </c>
      <c r="F415">
        <f t="shared" si="98"/>
        <v>0.25</v>
      </c>
      <c r="G415">
        <f t="shared" ca="1" si="92"/>
        <v>0</v>
      </c>
      <c r="H415" t="str">
        <f ca="1">IF(G415=1,SUM($G$10:G415),"-")</f>
        <v>-</v>
      </c>
      <c r="I415" t="str">
        <f t="shared" ca="1" si="93"/>
        <v>-</v>
      </c>
      <c r="J415" t="str">
        <f t="shared" ca="1" si="94"/>
        <v>-</v>
      </c>
      <c r="L415">
        <f t="shared" si="86"/>
        <v>406</v>
      </c>
      <c r="M415">
        <f t="shared" ca="1" si="95"/>
        <v>0.15832608626636757</v>
      </c>
      <c r="N415">
        <f t="shared" ca="1" si="96"/>
        <v>0.49111795325757068</v>
      </c>
      <c r="O415">
        <f t="shared" ca="1" si="97"/>
        <v>0.51600774568249519</v>
      </c>
    </row>
    <row r="416" spans="1:15" x14ac:dyDescent="0.2">
      <c r="A416">
        <f t="shared" si="87"/>
        <v>407</v>
      </c>
      <c r="B416">
        <f t="shared" ca="1" si="90"/>
        <v>0.42388066656071877</v>
      </c>
      <c r="C416">
        <f t="shared" ca="1" si="99"/>
        <v>-0.48255629773721465</v>
      </c>
      <c r="D416">
        <f t="shared" ca="1" si="99"/>
        <v>0.57637376096972814</v>
      </c>
      <c r="E416">
        <f t="shared" ca="1" si="91"/>
        <v>0.31830988618379069</v>
      </c>
      <c r="F416">
        <f t="shared" si="98"/>
        <v>0.25</v>
      </c>
      <c r="G416">
        <f t="shared" ca="1" si="92"/>
        <v>1</v>
      </c>
      <c r="H416">
        <f ca="1">IF(G416=1,SUM($G$10:G416),"-")</f>
        <v>317</v>
      </c>
      <c r="I416">
        <f t="shared" ca="1" si="93"/>
        <v>-0.48255629773721465</v>
      </c>
      <c r="J416">
        <f t="shared" ca="1" si="94"/>
        <v>0.57637376096972814</v>
      </c>
      <c r="L416">
        <f t="shared" si="86"/>
        <v>407</v>
      </c>
      <c r="M416">
        <f t="shared" ca="1" si="95"/>
        <v>-0.82691722135689893</v>
      </c>
      <c r="N416">
        <f t="shared" ca="1" si="96"/>
        <v>0.2896286356205835</v>
      </c>
      <c r="O416">
        <f t="shared" ca="1" si="97"/>
        <v>0.87617169410341911</v>
      </c>
    </row>
    <row r="417" spans="1:15" x14ac:dyDescent="0.2">
      <c r="A417">
        <f t="shared" si="87"/>
        <v>408</v>
      </c>
      <c r="B417">
        <f t="shared" ca="1" si="90"/>
        <v>0.58744532030733798</v>
      </c>
      <c r="C417">
        <f t="shared" ca="1" si="99"/>
        <v>0.85242494645187761</v>
      </c>
      <c r="D417">
        <f t="shared" ca="1" si="99"/>
        <v>0.43783517608082057</v>
      </c>
      <c r="E417">
        <f t="shared" ca="1" si="91"/>
        <v>0.31830988618379069</v>
      </c>
      <c r="F417">
        <f t="shared" si="98"/>
        <v>0.25</v>
      </c>
      <c r="G417">
        <f t="shared" ca="1" si="92"/>
        <v>1</v>
      </c>
      <c r="H417">
        <f ca="1">IF(G417=1,SUM($G$10:G417),"-")</f>
        <v>318</v>
      </c>
      <c r="I417">
        <f t="shared" ca="1" si="93"/>
        <v>0.85242494645187761</v>
      </c>
      <c r="J417">
        <f t="shared" ca="1" si="94"/>
        <v>0.43783517608082057</v>
      </c>
      <c r="L417">
        <f t="shared" si="86"/>
        <v>408</v>
      </c>
      <c r="M417">
        <f t="shared" ca="1" si="95"/>
        <v>6.0178408719119503E-2</v>
      </c>
      <c r="N417">
        <f t="shared" ca="1" si="96"/>
        <v>-0.52721784372314318</v>
      </c>
      <c r="O417">
        <f t="shared" ca="1" si="97"/>
        <v>0.53064121175804468</v>
      </c>
    </row>
    <row r="418" spans="1:15" x14ac:dyDescent="0.2">
      <c r="A418">
        <f t="shared" si="87"/>
        <v>409</v>
      </c>
      <c r="B418">
        <f t="shared" ca="1" si="90"/>
        <v>0.4714854015693698</v>
      </c>
      <c r="C418">
        <f t="shared" ca="1" si="99"/>
        <v>-0.84727636651104965</v>
      </c>
      <c r="D418">
        <f t="shared" ca="1" si="99"/>
        <v>0.27225295620614554</v>
      </c>
      <c r="E418">
        <f t="shared" ca="1" si="91"/>
        <v>0.31830988618379069</v>
      </c>
      <c r="F418">
        <f t="shared" si="98"/>
        <v>0.25</v>
      </c>
      <c r="G418">
        <f t="shared" ca="1" si="92"/>
        <v>1</v>
      </c>
      <c r="H418">
        <f ca="1">IF(G418=1,SUM($G$10:G418),"-")</f>
        <v>319</v>
      </c>
      <c r="I418">
        <f t="shared" ca="1" si="93"/>
        <v>-0.84727636651104965</v>
      </c>
      <c r="J418">
        <f t="shared" ca="1" si="94"/>
        <v>0.27225295620614554</v>
      </c>
      <c r="L418">
        <f t="shared" si="86"/>
        <v>409</v>
      </c>
      <c r="M418">
        <f t="shared" ca="1" si="95"/>
        <v>-7.9115780705246275E-2</v>
      </c>
      <c r="N418">
        <f t="shared" ca="1" si="96"/>
        <v>-0.75991338392458552</v>
      </c>
      <c r="O418">
        <f t="shared" ca="1" si="97"/>
        <v>0.764020718190492</v>
      </c>
    </row>
    <row r="419" spans="1:15" x14ac:dyDescent="0.2">
      <c r="A419">
        <f t="shared" si="87"/>
        <v>410</v>
      </c>
      <c r="B419">
        <f t="shared" ca="1" si="90"/>
        <v>0.52888641426854266</v>
      </c>
      <c r="C419">
        <f t="shared" ca="1" si="99"/>
        <v>-1.7047138298651454E-3</v>
      </c>
      <c r="D419">
        <f t="shared" ca="1" si="99"/>
        <v>-0.45727449432209721</v>
      </c>
      <c r="E419">
        <f t="shared" ca="1" si="91"/>
        <v>0.31830988618379069</v>
      </c>
      <c r="F419">
        <f t="shared" si="98"/>
        <v>0.25</v>
      </c>
      <c r="G419">
        <f t="shared" ca="1" si="92"/>
        <v>1</v>
      </c>
      <c r="H419">
        <f ca="1">IF(G419=1,SUM($G$10:G419),"-")</f>
        <v>320</v>
      </c>
      <c r="I419">
        <f t="shared" ca="1" si="93"/>
        <v>-1.7047138298651454E-3</v>
      </c>
      <c r="J419">
        <f t="shared" ca="1" si="94"/>
        <v>-0.45727449432209721</v>
      </c>
      <c r="L419">
        <f t="shared" si="86"/>
        <v>410</v>
      </c>
      <c r="M419">
        <f t="shared" ca="1" si="95"/>
        <v>-0.43093319036320654</v>
      </c>
      <c r="N419">
        <f t="shared" ca="1" si="96"/>
        <v>-0.12717146292066506</v>
      </c>
      <c r="O419">
        <f t="shared" ca="1" si="97"/>
        <v>0.44930612675323456</v>
      </c>
    </row>
    <row r="420" spans="1:15" x14ac:dyDescent="0.2">
      <c r="A420">
        <f t="shared" si="87"/>
        <v>411</v>
      </c>
      <c r="B420">
        <f t="shared" ca="1" si="90"/>
        <v>0.37576453122826547</v>
      </c>
      <c r="C420">
        <f t="shared" ca="1" si="99"/>
        <v>-0.1877716954179387</v>
      </c>
      <c r="D420">
        <f t="shared" ca="1" si="99"/>
        <v>-0.77597088300400863</v>
      </c>
      <c r="E420">
        <f t="shared" ca="1" si="91"/>
        <v>0.31830988618379069</v>
      </c>
      <c r="F420">
        <f t="shared" si="98"/>
        <v>0.25</v>
      </c>
      <c r="G420">
        <f t="shared" ca="1" si="92"/>
        <v>1</v>
      </c>
      <c r="H420">
        <f ca="1">IF(G420=1,SUM($G$10:G420),"-")</f>
        <v>321</v>
      </c>
      <c r="I420">
        <f t="shared" ca="1" si="93"/>
        <v>-0.1877716954179387</v>
      </c>
      <c r="J420">
        <f t="shared" ca="1" si="94"/>
        <v>-0.77597088300400863</v>
      </c>
      <c r="L420">
        <f t="shared" ref="L420:L483" si="100">1+L419</f>
        <v>411</v>
      </c>
      <c r="M420">
        <f t="shared" ca="1" si="95"/>
        <v>-0.46290118243477818</v>
      </c>
      <c r="N420">
        <f t="shared" ca="1" si="96"/>
        <v>0.87860875050753973</v>
      </c>
      <c r="O420">
        <f t="shared" ca="1" si="97"/>
        <v>0.99309155729365461</v>
      </c>
    </row>
    <row r="421" spans="1:15" x14ac:dyDescent="0.2">
      <c r="A421">
        <f t="shared" si="87"/>
        <v>412</v>
      </c>
      <c r="B421">
        <f t="shared" ca="1" si="90"/>
        <v>0.58219316282637235</v>
      </c>
      <c r="C421">
        <f t="shared" ca="1" si="99"/>
        <v>-2.1103907830199997E-3</v>
      </c>
      <c r="D421">
        <f t="shared" ca="1" si="99"/>
        <v>0.21699165261276998</v>
      </c>
      <c r="E421">
        <f t="shared" ca="1" si="91"/>
        <v>0.31830988618379069</v>
      </c>
      <c r="F421">
        <f t="shared" si="98"/>
        <v>0.25</v>
      </c>
      <c r="G421">
        <f t="shared" ca="1" si="92"/>
        <v>1</v>
      </c>
      <c r="H421">
        <f ca="1">IF(G421=1,SUM($G$10:G421),"-")</f>
        <v>322</v>
      </c>
      <c r="I421">
        <f t="shared" ca="1" si="93"/>
        <v>-2.1103907830199997E-3</v>
      </c>
      <c r="J421">
        <f t="shared" ca="1" si="94"/>
        <v>0.21699165261276998</v>
      </c>
      <c r="L421">
        <f t="shared" si="100"/>
        <v>412</v>
      </c>
      <c r="M421">
        <f t="shared" ca="1" si="95"/>
        <v>-0.35997613881951529</v>
      </c>
      <c r="N421">
        <f t="shared" ca="1" si="96"/>
        <v>-0.80142859644322018</v>
      </c>
      <c r="O421">
        <f t="shared" ca="1" si="97"/>
        <v>0.8785616743953476</v>
      </c>
    </row>
    <row r="422" spans="1:15" x14ac:dyDescent="0.2">
      <c r="A422">
        <f t="shared" si="87"/>
        <v>413</v>
      </c>
      <c r="B422">
        <f t="shared" ca="1" si="90"/>
        <v>0.85400296044215807</v>
      </c>
      <c r="C422">
        <f t="shared" ca="1" si="99"/>
        <v>-0.4826348487027845</v>
      </c>
      <c r="D422">
        <f t="shared" ca="1" si="99"/>
        <v>-0.14796847557897297</v>
      </c>
      <c r="E422">
        <f t="shared" ca="1" si="91"/>
        <v>0.31830988618379069</v>
      </c>
      <c r="F422">
        <f t="shared" si="98"/>
        <v>0.25</v>
      </c>
      <c r="G422">
        <f t="shared" ca="1" si="92"/>
        <v>1</v>
      </c>
      <c r="H422">
        <f ca="1">IF(G422=1,SUM($G$10:G422),"-")</f>
        <v>323</v>
      </c>
      <c r="I422">
        <f t="shared" ca="1" si="93"/>
        <v>-0.4826348487027845</v>
      </c>
      <c r="J422">
        <f t="shared" ca="1" si="94"/>
        <v>-0.14796847557897297</v>
      </c>
      <c r="L422">
        <f t="shared" si="100"/>
        <v>413</v>
      </c>
      <c r="M422">
        <f t="shared" ca="1" si="95"/>
        <v>-0.2210738721030201</v>
      </c>
      <c r="N422">
        <f t="shared" ca="1" si="96"/>
        <v>0.67950177404560197</v>
      </c>
      <c r="O422">
        <f t="shared" ca="1" si="97"/>
        <v>0.71456022689325693</v>
      </c>
    </row>
    <row r="423" spans="1:15" x14ac:dyDescent="0.2">
      <c r="A423">
        <f t="shared" si="87"/>
        <v>414</v>
      </c>
      <c r="B423">
        <f t="shared" ca="1" si="90"/>
        <v>0.26029006566584112</v>
      </c>
      <c r="C423">
        <f t="shared" ca="1" si="99"/>
        <v>-0.47390565654821293</v>
      </c>
      <c r="D423">
        <f t="shared" ca="1" si="99"/>
        <v>0.17198504738870746</v>
      </c>
      <c r="E423">
        <f t="shared" ca="1" si="91"/>
        <v>0.31830988618379069</v>
      </c>
      <c r="F423">
        <f t="shared" si="98"/>
        <v>0.25</v>
      </c>
      <c r="G423">
        <f t="shared" ca="1" si="92"/>
        <v>1</v>
      </c>
      <c r="H423">
        <f ca="1">IF(G423=1,SUM($G$10:G423),"-")</f>
        <v>324</v>
      </c>
      <c r="I423">
        <f t="shared" ca="1" si="93"/>
        <v>-0.47390565654821293</v>
      </c>
      <c r="J423">
        <f t="shared" ca="1" si="94"/>
        <v>0.17198504738870746</v>
      </c>
      <c r="L423">
        <f t="shared" si="100"/>
        <v>414</v>
      </c>
      <c r="M423">
        <f t="shared" ca="1" si="95"/>
        <v>-0.85892577629186762</v>
      </c>
      <c r="N423">
        <f t="shared" ca="1" si="96"/>
        <v>0.12441371022584491</v>
      </c>
      <c r="O423">
        <f t="shared" ca="1" si="97"/>
        <v>0.86788954393445017</v>
      </c>
    </row>
    <row r="424" spans="1:15" x14ac:dyDescent="0.2">
      <c r="A424">
        <f t="shared" si="87"/>
        <v>415</v>
      </c>
      <c r="B424">
        <f t="shared" ca="1" si="90"/>
        <v>0.14888879529011168</v>
      </c>
      <c r="C424">
        <f t="shared" ca="1" si="99"/>
        <v>0.64236103643060272</v>
      </c>
      <c r="D424">
        <f t="shared" ca="1" si="99"/>
        <v>-0.73642974150836382</v>
      </c>
      <c r="E424">
        <f t="shared" ca="1" si="91"/>
        <v>0.31830988618379069</v>
      </c>
      <c r="F424">
        <f t="shared" si="98"/>
        <v>0.25</v>
      </c>
      <c r="G424">
        <f t="shared" ca="1" si="92"/>
        <v>1</v>
      </c>
      <c r="H424">
        <f ca="1">IF(G424=1,SUM($G$10:G424),"-")</f>
        <v>325</v>
      </c>
      <c r="I424">
        <f t="shared" ca="1" si="93"/>
        <v>0.64236103643060272</v>
      </c>
      <c r="J424">
        <f t="shared" ca="1" si="94"/>
        <v>-0.73642974150836382</v>
      </c>
      <c r="L424">
        <f t="shared" si="100"/>
        <v>415</v>
      </c>
      <c r="M424">
        <f t="shared" ca="1" si="95"/>
        <v>0.34474057573502548</v>
      </c>
      <c r="N424">
        <f t="shared" ca="1" si="96"/>
        <v>0.53559566759071831</v>
      </c>
      <c r="O424">
        <f t="shared" ca="1" si="97"/>
        <v>0.63695273270476205</v>
      </c>
    </row>
    <row r="425" spans="1:15" x14ac:dyDescent="0.2">
      <c r="A425">
        <f t="shared" si="87"/>
        <v>416</v>
      </c>
      <c r="B425">
        <f t="shared" ca="1" si="90"/>
        <v>4.1414545473143494E-2</v>
      </c>
      <c r="C425">
        <f t="shared" ca="1" si="99"/>
        <v>0.91867495067925065</v>
      </c>
      <c r="D425">
        <f t="shared" ca="1" si="99"/>
        <v>8.6887862393091098E-2</v>
      </c>
      <c r="E425">
        <f t="shared" ca="1" si="91"/>
        <v>0.31830988618379069</v>
      </c>
      <c r="F425">
        <f t="shared" si="98"/>
        <v>0.25</v>
      </c>
      <c r="G425">
        <f t="shared" ca="1" si="92"/>
        <v>1</v>
      </c>
      <c r="H425">
        <f ca="1">IF(G425=1,SUM($G$10:G425),"-")</f>
        <v>326</v>
      </c>
      <c r="I425">
        <f t="shared" ca="1" si="93"/>
        <v>0.91867495067925065</v>
      </c>
      <c r="J425">
        <f t="shared" ca="1" si="94"/>
        <v>8.6887862393091098E-2</v>
      </c>
      <c r="L425">
        <f t="shared" si="100"/>
        <v>416</v>
      </c>
      <c r="M425">
        <f t="shared" ca="1" si="95"/>
        <v>0.30960038353995478</v>
      </c>
      <c r="N425">
        <f t="shared" ca="1" si="96"/>
        <v>3.2098445439365131E-2</v>
      </c>
      <c r="O425">
        <f t="shared" ca="1" si="97"/>
        <v>0.31125987163094282</v>
      </c>
    </row>
    <row r="426" spans="1:15" x14ac:dyDescent="0.2">
      <c r="A426">
        <f t="shared" si="87"/>
        <v>417</v>
      </c>
      <c r="B426">
        <f t="shared" ca="1" si="90"/>
        <v>5.2477172279208339E-4</v>
      </c>
      <c r="C426">
        <f t="shared" ca="1" si="99"/>
        <v>0.6431493986402359</v>
      </c>
      <c r="D426">
        <f t="shared" ca="1" si="99"/>
        <v>-0.63900549757467129</v>
      </c>
      <c r="E426">
        <f t="shared" ca="1" si="91"/>
        <v>0.31830988618379069</v>
      </c>
      <c r="F426">
        <f t="shared" si="98"/>
        <v>0.25</v>
      </c>
      <c r="G426">
        <f t="shared" ca="1" si="92"/>
        <v>1</v>
      </c>
      <c r="H426">
        <f ca="1">IF(G426=1,SUM($G$10:G426),"-")</f>
        <v>327</v>
      </c>
      <c r="I426">
        <f t="shared" ca="1" si="93"/>
        <v>0.6431493986402359</v>
      </c>
      <c r="J426">
        <f t="shared" ca="1" si="94"/>
        <v>-0.63900549757467129</v>
      </c>
      <c r="L426">
        <f t="shared" si="100"/>
        <v>417</v>
      </c>
      <c r="M426">
        <f t="shared" ca="1" si="95"/>
        <v>-0.76930323666961797</v>
      </c>
      <c r="N426">
        <f t="shared" ca="1" si="96"/>
        <v>0.34953109328350518</v>
      </c>
      <c r="O426">
        <f t="shared" ca="1" si="97"/>
        <v>0.8449848845525656</v>
      </c>
    </row>
    <row r="427" spans="1:15" x14ac:dyDescent="0.2">
      <c r="A427">
        <f t="shared" si="87"/>
        <v>418</v>
      </c>
      <c r="B427">
        <f t="shared" ca="1" si="90"/>
        <v>0.15488288437171416</v>
      </c>
      <c r="C427">
        <f t="shared" ca="1" si="99"/>
        <v>0.87436282717753055</v>
      </c>
      <c r="D427">
        <f t="shared" ca="1" si="99"/>
        <v>-0.65997739514745146</v>
      </c>
      <c r="E427">
        <f t="shared" ca="1" si="91"/>
        <v>0</v>
      </c>
      <c r="F427">
        <f t="shared" si="98"/>
        <v>0.25</v>
      </c>
      <c r="G427">
        <f t="shared" ca="1" si="92"/>
        <v>0</v>
      </c>
      <c r="H427" t="str">
        <f ca="1">IF(G427=1,SUM($G$10:G427),"-")</f>
        <v>-</v>
      </c>
      <c r="I427" t="str">
        <f t="shared" ca="1" si="93"/>
        <v>-</v>
      </c>
      <c r="J427" t="str">
        <f t="shared" ca="1" si="94"/>
        <v>-</v>
      </c>
      <c r="L427">
        <f t="shared" si="100"/>
        <v>418</v>
      </c>
      <c r="M427">
        <f t="shared" ca="1" si="95"/>
        <v>0.14540870833654762</v>
      </c>
      <c r="N427">
        <f t="shared" ca="1" si="96"/>
        <v>-0.82913313902667118</v>
      </c>
      <c r="O427">
        <f t="shared" ca="1" si="97"/>
        <v>0.84178706018346727</v>
      </c>
    </row>
    <row r="428" spans="1:15" x14ac:dyDescent="0.2">
      <c r="A428">
        <f t="shared" si="87"/>
        <v>419</v>
      </c>
      <c r="B428">
        <f t="shared" ca="1" si="90"/>
        <v>0.15896583727514768</v>
      </c>
      <c r="C428">
        <f t="shared" ca="1" si="99"/>
        <v>-0.57370209409566497</v>
      </c>
      <c r="D428">
        <f t="shared" ca="1" si="99"/>
        <v>0.69062838231836587</v>
      </c>
      <c r="E428">
        <f t="shared" ca="1" si="91"/>
        <v>0.31830988618379069</v>
      </c>
      <c r="F428">
        <f t="shared" si="98"/>
        <v>0.25</v>
      </c>
      <c r="G428">
        <f t="shared" ca="1" si="92"/>
        <v>1</v>
      </c>
      <c r="H428">
        <f ca="1">IF(G428=1,SUM($G$10:G428),"-")</f>
        <v>328</v>
      </c>
      <c r="I428">
        <f t="shared" ca="1" si="93"/>
        <v>-0.57370209409566497</v>
      </c>
      <c r="J428">
        <f t="shared" ca="1" si="94"/>
        <v>0.69062838231836587</v>
      </c>
      <c r="L428">
        <f t="shared" si="100"/>
        <v>419</v>
      </c>
      <c r="M428">
        <f t="shared" ca="1" si="95"/>
        <v>-0.51120551160506622</v>
      </c>
      <c r="N428">
        <f t="shared" ca="1" si="96"/>
        <v>-0.40501501937802442</v>
      </c>
      <c r="O428">
        <f t="shared" ca="1" si="97"/>
        <v>0.65220260733699842</v>
      </c>
    </row>
    <row r="429" spans="1:15" x14ac:dyDescent="0.2">
      <c r="A429">
        <f t="shared" si="87"/>
        <v>420</v>
      </c>
      <c r="B429">
        <f t="shared" ca="1" si="90"/>
        <v>0.14607492527333021</v>
      </c>
      <c r="C429">
        <f t="shared" ca="1" si="99"/>
        <v>-0.91726871478641869</v>
      </c>
      <c r="D429">
        <f t="shared" ca="1" si="99"/>
        <v>-0.57233166793419943</v>
      </c>
      <c r="E429">
        <f t="shared" ca="1" si="91"/>
        <v>0</v>
      </c>
      <c r="F429">
        <f t="shared" si="98"/>
        <v>0.25</v>
      </c>
      <c r="G429">
        <f t="shared" ca="1" si="92"/>
        <v>0</v>
      </c>
      <c r="H429" t="str">
        <f ca="1">IF(G429=1,SUM($G$10:G429),"-")</f>
        <v>-</v>
      </c>
      <c r="I429" t="str">
        <f t="shared" ca="1" si="93"/>
        <v>-</v>
      </c>
      <c r="J429" t="str">
        <f t="shared" ca="1" si="94"/>
        <v>-</v>
      </c>
      <c r="L429">
        <f t="shared" si="100"/>
        <v>420</v>
      </c>
      <c r="M429">
        <f t="shared" ca="1" si="95"/>
        <v>-4.5363174774619708E-2</v>
      </c>
      <c r="N429">
        <f t="shared" ca="1" si="96"/>
        <v>0.61877984396479291</v>
      </c>
      <c r="O429">
        <f t="shared" ca="1" si="97"/>
        <v>0.62044041851150067</v>
      </c>
    </row>
    <row r="430" spans="1:15" x14ac:dyDescent="0.2">
      <c r="A430">
        <f t="shared" si="87"/>
        <v>421</v>
      </c>
      <c r="B430">
        <f t="shared" ca="1" si="90"/>
        <v>9.0126439429996097E-3</v>
      </c>
      <c r="C430">
        <f t="shared" ref="C430:D449" ca="1" si="101">2*RAND()-1</f>
        <v>-0.5613033809504997</v>
      </c>
      <c r="D430">
        <f t="shared" ca="1" si="101"/>
        <v>0.58026750187858345</v>
      </c>
      <c r="E430">
        <f t="shared" ca="1" si="91"/>
        <v>0.31830988618379069</v>
      </c>
      <c r="F430">
        <f t="shared" si="98"/>
        <v>0.25</v>
      </c>
      <c r="G430">
        <f t="shared" ca="1" si="92"/>
        <v>1</v>
      </c>
      <c r="H430">
        <f ca="1">IF(G430=1,SUM($G$10:G430),"-")</f>
        <v>329</v>
      </c>
      <c r="I430">
        <f t="shared" ca="1" si="93"/>
        <v>-0.5613033809504997</v>
      </c>
      <c r="J430">
        <f t="shared" ca="1" si="94"/>
        <v>0.58026750187858345</v>
      </c>
      <c r="L430">
        <f t="shared" si="100"/>
        <v>421</v>
      </c>
      <c r="M430">
        <f t="shared" ca="1" si="95"/>
        <v>0.59759654016288133</v>
      </c>
      <c r="N430">
        <f t="shared" ca="1" si="96"/>
        <v>9.8226863738798187E-2</v>
      </c>
      <c r="O430">
        <f t="shared" ca="1" si="97"/>
        <v>0.60561550638553385</v>
      </c>
    </row>
    <row r="431" spans="1:15" x14ac:dyDescent="0.2">
      <c r="A431">
        <f t="shared" ref="A431:A494" si="102">1+A430</f>
        <v>422</v>
      </c>
      <c r="B431">
        <f t="shared" ca="1" si="90"/>
        <v>0.78580483951659708</v>
      </c>
      <c r="C431">
        <f t="shared" ca="1" si="101"/>
        <v>0.9392521658489188</v>
      </c>
      <c r="D431">
        <f t="shared" ca="1" si="101"/>
        <v>-8.1093314246259762E-2</v>
      </c>
      <c r="E431">
        <f t="shared" ca="1" si="91"/>
        <v>0.31830988618379069</v>
      </c>
      <c r="F431">
        <f t="shared" si="98"/>
        <v>0.25</v>
      </c>
      <c r="G431">
        <f t="shared" ca="1" si="92"/>
        <v>1</v>
      </c>
      <c r="H431">
        <f ca="1">IF(G431=1,SUM($G$10:G431),"-")</f>
        <v>330</v>
      </c>
      <c r="I431">
        <f t="shared" ca="1" si="93"/>
        <v>0.9392521658489188</v>
      </c>
      <c r="J431">
        <f t="shared" ca="1" si="94"/>
        <v>-8.1093314246259762E-2</v>
      </c>
      <c r="L431">
        <f t="shared" si="100"/>
        <v>422</v>
      </c>
      <c r="M431">
        <f t="shared" ca="1" si="95"/>
        <v>0.74725878882797447</v>
      </c>
      <c r="N431">
        <f t="shared" ca="1" si="96"/>
        <v>-0.47686996499006362</v>
      </c>
      <c r="O431">
        <f t="shared" ca="1" si="97"/>
        <v>0.88645398131559872</v>
      </c>
    </row>
    <row r="432" spans="1:15" x14ac:dyDescent="0.2">
      <c r="A432">
        <f t="shared" si="102"/>
        <v>423</v>
      </c>
      <c r="B432">
        <f t="shared" ca="1" si="90"/>
        <v>0.29812781457248505</v>
      </c>
      <c r="C432">
        <f t="shared" ca="1" si="101"/>
        <v>-0.77857523464636813</v>
      </c>
      <c r="D432">
        <f t="shared" ca="1" si="101"/>
        <v>-0.12442237043937321</v>
      </c>
      <c r="E432">
        <f t="shared" ca="1" si="91"/>
        <v>0.31830988618379069</v>
      </c>
      <c r="F432">
        <f t="shared" si="98"/>
        <v>0.25</v>
      </c>
      <c r="G432">
        <f t="shared" ca="1" si="92"/>
        <v>1</v>
      </c>
      <c r="H432">
        <f ca="1">IF(G432=1,SUM($G$10:G432),"-")</f>
        <v>331</v>
      </c>
      <c r="I432">
        <f t="shared" ca="1" si="93"/>
        <v>-0.77857523464636813</v>
      </c>
      <c r="J432">
        <f t="shared" ca="1" si="94"/>
        <v>-0.12442237043937321</v>
      </c>
      <c r="L432">
        <f t="shared" si="100"/>
        <v>423</v>
      </c>
      <c r="M432">
        <f t="shared" ca="1" si="95"/>
        <v>0.12410055477630166</v>
      </c>
      <c r="N432">
        <f t="shared" ca="1" si="96"/>
        <v>-0.4963724613343663</v>
      </c>
      <c r="O432">
        <f t="shared" ca="1" si="97"/>
        <v>0.51165082631314374</v>
      </c>
    </row>
    <row r="433" spans="1:15" x14ac:dyDescent="0.2">
      <c r="A433">
        <f t="shared" si="102"/>
        <v>424</v>
      </c>
      <c r="B433">
        <f t="shared" ca="1" si="90"/>
        <v>0.78306029705102254</v>
      </c>
      <c r="C433">
        <f t="shared" ca="1" si="101"/>
        <v>0.55910261359964619</v>
      </c>
      <c r="D433">
        <f t="shared" ca="1" si="101"/>
        <v>0.86962311305449513</v>
      </c>
      <c r="E433">
        <f t="shared" ca="1" si="91"/>
        <v>0</v>
      </c>
      <c r="F433">
        <f t="shared" si="98"/>
        <v>0.25</v>
      </c>
      <c r="G433">
        <f t="shared" ca="1" si="92"/>
        <v>0</v>
      </c>
      <c r="H433" t="str">
        <f ca="1">IF(G433=1,SUM($G$10:G433),"-")</f>
        <v>-</v>
      </c>
      <c r="I433" t="str">
        <f t="shared" ca="1" si="93"/>
        <v>-</v>
      </c>
      <c r="J433" t="str">
        <f t="shared" ca="1" si="94"/>
        <v>-</v>
      </c>
      <c r="L433">
        <f t="shared" si="100"/>
        <v>424</v>
      </c>
      <c r="M433">
        <f t="shared" ca="1" si="95"/>
        <v>-0.18740457584424863</v>
      </c>
      <c r="N433">
        <f t="shared" ca="1" si="96"/>
        <v>-0.17925558068133807</v>
      </c>
      <c r="O433">
        <f t="shared" ca="1" si="97"/>
        <v>0.25933190750998308</v>
      </c>
    </row>
    <row r="434" spans="1:15" x14ac:dyDescent="0.2">
      <c r="A434">
        <f t="shared" si="102"/>
        <v>425</v>
      </c>
      <c r="B434">
        <f t="shared" ca="1" si="90"/>
        <v>0.87148275777810702</v>
      </c>
      <c r="C434">
        <f t="shared" ca="1" si="101"/>
        <v>-1.129216678485867E-2</v>
      </c>
      <c r="D434">
        <f t="shared" ca="1" si="101"/>
        <v>-0.71537323476580905</v>
      </c>
      <c r="E434">
        <f t="shared" ca="1" si="91"/>
        <v>0.31830988618379069</v>
      </c>
      <c r="F434">
        <f t="shared" si="98"/>
        <v>0.25</v>
      </c>
      <c r="G434">
        <f t="shared" ca="1" si="92"/>
        <v>1</v>
      </c>
      <c r="H434">
        <f ca="1">IF(G434=1,SUM($G$10:G434),"-")</f>
        <v>332</v>
      </c>
      <c r="I434">
        <f t="shared" ca="1" si="93"/>
        <v>-1.129216678485867E-2</v>
      </c>
      <c r="J434">
        <f t="shared" ca="1" si="94"/>
        <v>-0.71537323476580905</v>
      </c>
      <c r="L434">
        <f t="shared" si="100"/>
        <v>425</v>
      </c>
      <c r="M434">
        <f t="shared" ca="1" si="95"/>
        <v>0.23868783475945032</v>
      </c>
      <c r="N434">
        <f t="shared" ca="1" si="96"/>
        <v>0.19786778366161295</v>
      </c>
      <c r="O434">
        <f t="shared" ca="1" si="97"/>
        <v>0.3100379690833262</v>
      </c>
    </row>
    <row r="435" spans="1:15" x14ac:dyDescent="0.2">
      <c r="A435">
        <f t="shared" si="102"/>
        <v>426</v>
      </c>
      <c r="B435">
        <f t="shared" ca="1" si="90"/>
        <v>0.81566224498412743</v>
      </c>
      <c r="C435">
        <f t="shared" ca="1" si="101"/>
        <v>-0.13033454282968804</v>
      </c>
      <c r="D435">
        <f t="shared" ca="1" si="101"/>
        <v>1.0245196091803521E-2</v>
      </c>
      <c r="E435">
        <f t="shared" ca="1" si="91"/>
        <v>0.31830988618379069</v>
      </c>
      <c r="F435">
        <f t="shared" si="98"/>
        <v>0.25</v>
      </c>
      <c r="G435">
        <f t="shared" ca="1" si="92"/>
        <v>1</v>
      </c>
      <c r="H435">
        <f ca="1">IF(G435=1,SUM($G$10:G435),"-")</f>
        <v>333</v>
      </c>
      <c r="I435">
        <f t="shared" ca="1" si="93"/>
        <v>-0.13033454282968804</v>
      </c>
      <c r="J435">
        <f t="shared" ca="1" si="94"/>
        <v>1.0245196091803521E-2</v>
      </c>
      <c r="L435">
        <f t="shared" si="100"/>
        <v>426</v>
      </c>
      <c r="M435">
        <f t="shared" ca="1" si="95"/>
        <v>0.67910589610894201</v>
      </c>
      <c r="N435">
        <f t="shared" ca="1" si="96"/>
        <v>0.14386791652919428</v>
      </c>
      <c r="O435">
        <f t="shared" ca="1" si="97"/>
        <v>0.6941777838107327</v>
      </c>
    </row>
    <row r="436" spans="1:15" x14ac:dyDescent="0.2">
      <c r="A436">
        <f t="shared" si="102"/>
        <v>427</v>
      </c>
      <c r="B436">
        <f t="shared" ca="1" si="90"/>
        <v>0.70418271679651256</v>
      </c>
      <c r="C436">
        <f t="shared" ca="1" si="101"/>
        <v>-0.3598118398351049</v>
      </c>
      <c r="D436">
        <f t="shared" ca="1" si="101"/>
        <v>-0.77265100942570952</v>
      </c>
      <c r="E436">
        <f t="shared" ca="1" si="91"/>
        <v>0.31830988618379069</v>
      </c>
      <c r="F436">
        <f t="shared" si="98"/>
        <v>0.25</v>
      </c>
      <c r="G436">
        <f t="shared" ca="1" si="92"/>
        <v>1</v>
      </c>
      <c r="H436">
        <f ca="1">IF(G436=1,SUM($G$10:G436),"-")</f>
        <v>334</v>
      </c>
      <c r="I436">
        <f t="shared" ca="1" si="93"/>
        <v>-0.3598118398351049</v>
      </c>
      <c r="J436">
        <f t="shared" ca="1" si="94"/>
        <v>-0.77265100942570952</v>
      </c>
      <c r="L436">
        <f t="shared" si="100"/>
        <v>427</v>
      </c>
      <c r="M436">
        <f t="shared" ca="1" si="95"/>
        <v>-8.4925421104645293E-2</v>
      </c>
      <c r="N436">
        <f t="shared" ca="1" si="96"/>
        <v>0.56421798548150415</v>
      </c>
      <c r="O436">
        <f t="shared" ca="1" si="97"/>
        <v>0.57057362565282332</v>
      </c>
    </row>
    <row r="437" spans="1:15" x14ac:dyDescent="0.2">
      <c r="A437">
        <f t="shared" si="102"/>
        <v>428</v>
      </c>
      <c r="B437">
        <f t="shared" ca="1" si="90"/>
        <v>0.87249650627437425</v>
      </c>
      <c r="C437">
        <f t="shared" ca="1" si="101"/>
        <v>0.64869406134641072</v>
      </c>
      <c r="D437">
        <f t="shared" ca="1" si="101"/>
        <v>2.697023418728195E-2</v>
      </c>
      <c r="E437">
        <f t="shared" ca="1" si="91"/>
        <v>0.31830988618379069</v>
      </c>
      <c r="F437">
        <f t="shared" si="98"/>
        <v>0.25</v>
      </c>
      <c r="G437">
        <f t="shared" ca="1" si="92"/>
        <v>1</v>
      </c>
      <c r="H437">
        <f ca="1">IF(G437=1,SUM($G$10:G437),"-")</f>
        <v>335</v>
      </c>
      <c r="I437">
        <f t="shared" ca="1" si="93"/>
        <v>0.64869406134641072</v>
      </c>
      <c r="J437">
        <f t="shared" ca="1" si="94"/>
        <v>2.697023418728195E-2</v>
      </c>
      <c r="L437">
        <f t="shared" si="100"/>
        <v>428</v>
      </c>
      <c r="M437">
        <f t="shared" ca="1" si="95"/>
        <v>0.38749262263859352</v>
      </c>
      <c r="N437">
        <f t="shared" ca="1" si="96"/>
        <v>0.60542703740972548</v>
      </c>
      <c r="O437">
        <f t="shared" ca="1" si="97"/>
        <v>0.71881320955172534</v>
      </c>
    </row>
    <row r="438" spans="1:15" x14ac:dyDescent="0.2">
      <c r="A438">
        <f t="shared" si="102"/>
        <v>429</v>
      </c>
      <c r="B438">
        <f t="shared" ca="1" si="90"/>
        <v>0.59933918747785075</v>
      </c>
      <c r="C438">
        <f t="shared" ca="1" si="101"/>
        <v>0.8303615861989575</v>
      </c>
      <c r="D438">
        <f t="shared" ca="1" si="101"/>
        <v>0.37216927988717896</v>
      </c>
      <c r="E438">
        <f t="shared" ca="1" si="91"/>
        <v>0.31830988618379069</v>
      </c>
      <c r="F438">
        <f t="shared" si="98"/>
        <v>0.25</v>
      </c>
      <c r="G438">
        <f t="shared" ca="1" si="92"/>
        <v>1</v>
      </c>
      <c r="H438">
        <f ca="1">IF(G438=1,SUM($G$10:G438),"-")</f>
        <v>336</v>
      </c>
      <c r="I438">
        <f t="shared" ca="1" si="93"/>
        <v>0.8303615861989575</v>
      </c>
      <c r="J438">
        <f t="shared" ca="1" si="94"/>
        <v>0.37216927988717896</v>
      </c>
      <c r="L438">
        <f t="shared" si="100"/>
        <v>429</v>
      </c>
      <c r="M438">
        <f t="shared" ca="1" si="95"/>
        <v>-0.3160308999980872</v>
      </c>
      <c r="N438">
        <f t="shared" ca="1" si="96"/>
        <v>0.2444370864378147</v>
      </c>
      <c r="O438">
        <f t="shared" ca="1" si="97"/>
        <v>0.3995309987720711</v>
      </c>
    </row>
    <row r="439" spans="1:15" x14ac:dyDescent="0.2">
      <c r="A439">
        <f t="shared" si="102"/>
        <v>430</v>
      </c>
      <c r="B439">
        <f t="shared" ca="1" si="90"/>
        <v>1.8795312882565418E-2</v>
      </c>
      <c r="C439">
        <f t="shared" ca="1" si="101"/>
        <v>-7.0541656315936674E-3</v>
      </c>
      <c r="D439">
        <f t="shared" ca="1" si="101"/>
        <v>-0.33113812760790973</v>
      </c>
      <c r="E439">
        <f t="shared" ca="1" si="91"/>
        <v>0.31830988618379069</v>
      </c>
      <c r="F439">
        <f t="shared" si="98"/>
        <v>0.25</v>
      </c>
      <c r="G439">
        <f t="shared" ca="1" si="92"/>
        <v>1</v>
      </c>
      <c r="H439">
        <f ca="1">IF(G439=1,SUM($G$10:G439),"-")</f>
        <v>337</v>
      </c>
      <c r="I439">
        <f t="shared" ca="1" si="93"/>
        <v>-7.0541656315936674E-3</v>
      </c>
      <c r="J439">
        <f t="shared" ca="1" si="94"/>
        <v>-0.33113812760790973</v>
      </c>
      <c r="L439">
        <f t="shared" si="100"/>
        <v>430</v>
      </c>
      <c r="M439">
        <f t="shared" ca="1" si="95"/>
        <v>0.77981786729094571</v>
      </c>
      <c r="N439">
        <f t="shared" ca="1" si="96"/>
        <v>-5.4172153453415195E-2</v>
      </c>
      <c r="O439">
        <f t="shared" ca="1" si="97"/>
        <v>0.7816972101497992</v>
      </c>
    </row>
    <row r="440" spans="1:15" x14ac:dyDescent="0.2">
      <c r="A440">
        <f t="shared" si="102"/>
        <v>431</v>
      </c>
      <c r="B440">
        <f t="shared" ca="1" si="90"/>
        <v>0.94580514350321476</v>
      </c>
      <c r="C440">
        <f t="shared" ca="1" si="101"/>
        <v>0.44211722142893439</v>
      </c>
      <c r="D440">
        <f t="shared" ca="1" si="101"/>
        <v>-0.11028513480767876</v>
      </c>
      <c r="E440">
        <f t="shared" ca="1" si="91"/>
        <v>0.31830988618379069</v>
      </c>
      <c r="F440">
        <f t="shared" si="98"/>
        <v>0.25</v>
      </c>
      <c r="G440">
        <f t="shared" ca="1" si="92"/>
        <v>1</v>
      </c>
      <c r="H440">
        <f ca="1">IF(G440=1,SUM($G$10:G440),"-")</f>
        <v>338</v>
      </c>
      <c r="I440">
        <f t="shared" ca="1" si="93"/>
        <v>0.44211722142893439</v>
      </c>
      <c r="J440">
        <f t="shared" ca="1" si="94"/>
        <v>-0.11028513480767876</v>
      </c>
      <c r="L440">
        <f t="shared" si="100"/>
        <v>431</v>
      </c>
      <c r="M440">
        <f t="shared" ca="1" si="95"/>
        <v>-0.36342791553084597</v>
      </c>
      <c r="N440">
        <f t="shared" ca="1" si="96"/>
        <v>-0.665784633362277</v>
      </c>
      <c r="O440">
        <f t="shared" ca="1" si="97"/>
        <v>0.75851765161295837</v>
      </c>
    </row>
    <row r="441" spans="1:15" x14ac:dyDescent="0.2">
      <c r="A441">
        <f t="shared" si="102"/>
        <v>432</v>
      </c>
      <c r="B441">
        <f t="shared" ca="1" si="90"/>
        <v>0.42067512900956838</v>
      </c>
      <c r="C441">
        <f t="shared" ca="1" si="101"/>
        <v>-0.69574706719980406</v>
      </c>
      <c r="D441">
        <f t="shared" ca="1" si="101"/>
        <v>0.19193630632597736</v>
      </c>
      <c r="E441">
        <f t="shared" ca="1" si="91"/>
        <v>0.31830988618379069</v>
      </c>
      <c r="F441">
        <f t="shared" si="98"/>
        <v>0.25</v>
      </c>
      <c r="G441">
        <f t="shared" ca="1" si="92"/>
        <v>1</v>
      </c>
      <c r="H441">
        <f ca="1">IF(G441=1,SUM($G$10:G441),"-")</f>
        <v>339</v>
      </c>
      <c r="I441">
        <f t="shared" ca="1" si="93"/>
        <v>-0.69574706719980406</v>
      </c>
      <c r="J441">
        <f t="shared" ca="1" si="94"/>
        <v>0.19193630632597736</v>
      </c>
      <c r="L441">
        <f t="shared" si="100"/>
        <v>432</v>
      </c>
      <c r="M441">
        <f t="shared" ca="1" si="95"/>
        <v>0.19482217725032225</v>
      </c>
      <c r="N441">
        <f t="shared" ca="1" si="96"/>
        <v>0.58696902221301195</v>
      </c>
      <c r="O441">
        <f t="shared" ca="1" si="97"/>
        <v>0.61845639602663605</v>
      </c>
    </row>
    <row r="442" spans="1:15" x14ac:dyDescent="0.2">
      <c r="A442">
        <f t="shared" si="102"/>
        <v>433</v>
      </c>
      <c r="B442">
        <f t="shared" ca="1" si="90"/>
        <v>0.82283014172359026</v>
      </c>
      <c r="C442">
        <f t="shared" ca="1" si="101"/>
        <v>-0.341786094298004</v>
      </c>
      <c r="D442">
        <f t="shared" ca="1" si="101"/>
        <v>0.34654655697999326</v>
      </c>
      <c r="E442">
        <f t="shared" ca="1" si="91"/>
        <v>0.31830988618379069</v>
      </c>
      <c r="F442">
        <f t="shared" si="98"/>
        <v>0.25</v>
      </c>
      <c r="G442">
        <f t="shared" ca="1" si="92"/>
        <v>1</v>
      </c>
      <c r="H442">
        <f ca="1">IF(G442=1,SUM($G$10:G442),"-")</f>
        <v>340</v>
      </c>
      <c r="I442">
        <f t="shared" ca="1" si="93"/>
        <v>-0.341786094298004</v>
      </c>
      <c r="J442">
        <f t="shared" ca="1" si="94"/>
        <v>0.34654655697999326</v>
      </c>
      <c r="L442">
        <f t="shared" si="100"/>
        <v>433</v>
      </c>
      <c r="M442">
        <f t="shared" ca="1" si="95"/>
        <v>-0.62065142376149951</v>
      </c>
      <c r="N442">
        <f t="shared" ca="1" si="96"/>
        <v>0.33441761474099096</v>
      </c>
      <c r="O442">
        <f t="shared" ca="1" si="97"/>
        <v>0.70501300049448046</v>
      </c>
    </row>
    <row r="443" spans="1:15" x14ac:dyDescent="0.2">
      <c r="A443">
        <f t="shared" si="102"/>
        <v>434</v>
      </c>
      <c r="B443">
        <f t="shared" ca="1" si="90"/>
        <v>4.0221737729318474E-2</v>
      </c>
      <c r="C443">
        <f t="shared" ca="1" si="101"/>
        <v>0.3088270027687614</v>
      </c>
      <c r="D443">
        <f t="shared" ca="1" si="101"/>
        <v>0.39792826582909568</v>
      </c>
      <c r="E443">
        <f t="shared" ca="1" si="91"/>
        <v>0.31830988618379069</v>
      </c>
      <c r="F443">
        <f t="shared" si="98"/>
        <v>0.25</v>
      </c>
      <c r="G443">
        <f t="shared" ca="1" si="92"/>
        <v>1</v>
      </c>
      <c r="H443">
        <f ca="1">IF(G443=1,SUM($G$10:G443),"-")</f>
        <v>341</v>
      </c>
      <c r="I443">
        <f t="shared" ca="1" si="93"/>
        <v>0.3088270027687614</v>
      </c>
      <c r="J443">
        <f t="shared" ca="1" si="94"/>
        <v>0.39792826582909568</v>
      </c>
      <c r="L443">
        <f t="shared" si="100"/>
        <v>434</v>
      </c>
      <c r="M443">
        <f t="shared" ca="1" si="95"/>
        <v>-0.27875624655047249</v>
      </c>
      <c r="N443">
        <f t="shared" ca="1" si="96"/>
        <v>-0.55094359083907496</v>
      </c>
      <c r="O443">
        <f t="shared" ca="1" si="97"/>
        <v>0.6174495001840733</v>
      </c>
    </row>
    <row r="444" spans="1:15" x14ac:dyDescent="0.2">
      <c r="A444">
        <f t="shared" si="102"/>
        <v>435</v>
      </c>
      <c r="B444">
        <f t="shared" ca="1" si="90"/>
        <v>0.80870947563062712</v>
      </c>
      <c r="C444">
        <f t="shared" ca="1" si="101"/>
        <v>-0.84031434668473493</v>
      </c>
      <c r="D444">
        <f t="shared" ca="1" si="101"/>
        <v>0.69989120406332095</v>
      </c>
      <c r="E444">
        <f t="shared" ca="1" si="91"/>
        <v>0</v>
      </c>
      <c r="F444">
        <f t="shared" si="98"/>
        <v>0.25</v>
      </c>
      <c r="G444">
        <f t="shared" ca="1" si="92"/>
        <v>0</v>
      </c>
      <c r="H444" t="str">
        <f ca="1">IF(G444=1,SUM($G$10:G444),"-")</f>
        <v>-</v>
      </c>
      <c r="I444" t="str">
        <f t="shared" ca="1" si="93"/>
        <v>-</v>
      </c>
      <c r="J444" t="str">
        <f t="shared" ca="1" si="94"/>
        <v>-</v>
      </c>
      <c r="L444">
        <f t="shared" si="100"/>
        <v>435</v>
      </c>
      <c r="M444">
        <f t="shared" ca="1" si="95"/>
        <v>0.8452476430626561</v>
      </c>
      <c r="N444">
        <f t="shared" ca="1" si="96"/>
        <v>-0.20811806861971283</v>
      </c>
      <c r="O444">
        <f t="shared" ca="1" si="97"/>
        <v>0.87049222201520837</v>
      </c>
    </row>
    <row r="445" spans="1:15" x14ac:dyDescent="0.2">
      <c r="A445">
        <f t="shared" si="102"/>
        <v>436</v>
      </c>
      <c r="B445">
        <f t="shared" ca="1" si="90"/>
        <v>0.81897280805109551</v>
      </c>
      <c r="C445">
        <f t="shared" ca="1" si="101"/>
        <v>-0.69842192980465501</v>
      </c>
      <c r="D445">
        <f t="shared" ca="1" si="101"/>
        <v>-0.4983712028180407</v>
      </c>
      <c r="E445">
        <f t="shared" ca="1" si="91"/>
        <v>0.31830988618379069</v>
      </c>
      <c r="F445">
        <f t="shared" si="98"/>
        <v>0.25</v>
      </c>
      <c r="G445">
        <f t="shared" ca="1" si="92"/>
        <v>1</v>
      </c>
      <c r="H445">
        <f ca="1">IF(G445=1,SUM($G$10:G445),"-")</f>
        <v>342</v>
      </c>
      <c r="I445">
        <f t="shared" ca="1" si="93"/>
        <v>-0.69842192980465501</v>
      </c>
      <c r="J445">
        <f t="shared" ca="1" si="94"/>
        <v>-0.4983712028180407</v>
      </c>
      <c r="L445">
        <f t="shared" si="100"/>
        <v>436</v>
      </c>
      <c r="M445">
        <f t="shared" ca="1" si="95"/>
        <v>0.605249681314179</v>
      </c>
      <c r="N445">
        <f t="shared" ca="1" si="96"/>
        <v>-0.36121289705591098</v>
      </c>
      <c r="O445">
        <f t="shared" ca="1" si="97"/>
        <v>0.70484177921746338</v>
      </c>
    </row>
    <row r="446" spans="1:15" x14ac:dyDescent="0.2">
      <c r="A446">
        <f t="shared" si="102"/>
        <v>437</v>
      </c>
      <c r="B446">
        <f t="shared" ca="1" si="90"/>
        <v>0.46710137188993961</v>
      </c>
      <c r="C446">
        <f t="shared" ca="1" si="101"/>
        <v>-0.14335763328970064</v>
      </c>
      <c r="D446">
        <f t="shared" ca="1" si="101"/>
        <v>0.16871985262021605</v>
      </c>
      <c r="E446">
        <f t="shared" ca="1" si="91"/>
        <v>0.31830988618379069</v>
      </c>
      <c r="F446">
        <f t="shared" si="98"/>
        <v>0.25</v>
      </c>
      <c r="G446">
        <f t="shared" ca="1" si="92"/>
        <v>1</v>
      </c>
      <c r="H446">
        <f ca="1">IF(G446=1,SUM($G$10:G446),"-")</f>
        <v>343</v>
      </c>
      <c r="I446">
        <f t="shared" ca="1" si="93"/>
        <v>-0.14335763328970064</v>
      </c>
      <c r="J446">
        <f t="shared" ca="1" si="94"/>
        <v>0.16871985262021605</v>
      </c>
      <c r="L446">
        <f t="shared" si="100"/>
        <v>437</v>
      </c>
      <c r="M446">
        <f t="shared" ca="1" si="95"/>
        <v>-0.31402980535055858</v>
      </c>
      <c r="N446">
        <f t="shared" ca="1" si="96"/>
        <v>0.25436362686732572</v>
      </c>
      <c r="O446">
        <f t="shared" ca="1" si="97"/>
        <v>0.40412321551923963</v>
      </c>
    </row>
    <row r="447" spans="1:15" x14ac:dyDescent="0.2">
      <c r="A447">
        <f t="shared" si="102"/>
        <v>438</v>
      </c>
      <c r="B447">
        <f t="shared" ca="1" si="90"/>
        <v>0.57017747902697491</v>
      </c>
      <c r="C447">
        <f t="shared" ca="1" si="101"/>
        <v>0.52897595294501643</v>
      </c>
      <c r="D447">
        <f t="shared" ca="1" si="101"/>
        <v>-0.62297331177395909</v>
      </c>
      <c r="E447">
        <f t="shared" ca="1" si="91"/>
        <v>0.31830988618379069</v>
      </c>
      <c r="F447">
        <f t="shared" si="98"/>
        <v>0.25</v>
      </c>
      <c r="G447">
        <f t="shared" ca="1" si="92"/>
        <v>1</v>
      </c>
      <c r="H447">
        <f ca="1">IF(G447=1,SUM($G$10:G447),"-")</f>
        <v>344</v>
      </c>
      <c r="I447">
        <f t="shared" ca="1" si="93"/>
        <v>0.52897595294501643</v>
      </c>
      <c r="J447">
        <f t="shared" ca="1" si="94"/>
        <v>-0.62297331177395909</v>
      </c>
      <c r="L447">
        <f t="shared" si="100"/>
        <v>438</v>
      </c>
      <c r="M447">
        <f t="shared" ca="1" si="95"/>
        <v>0.30081672018614469</v>
      </c>
      <c r="N447">
        <f t="shared" ca="1" si="96"/>
        <v>-0.10313634839007313</v>
      </c>
      <c r="O447">
        <f t="shared" ca="1" si="97"/>
        <v>0.31800598343865766</v>
      </c>
    </row>
    <row r="448" spans="1:15" x14ac:dyDescent="0.2">
      <c r="A448">
        <f t="shared" si="102"/>
        <v>439</v>
      </c>
      <c r="B448">
        <f t="shared" ca="1" si="90"/>
        <v>5.48554425796417E-2</v>
      </c>
      <c r="C448">
        <f t="shared" ca="1" si="101"/>
        <v>-0.61272932173222605</v>
      </c>
      <c r="D448">
        <f t="shared" ca="1" si="101"/>
        <v>-0.38078159904405995</v>
      </c>
      <c r="E448">
        <f t="shared" ca="1" si="91"/>
        <v>0.31830988618379069</v>
      </c>
      <c r="F448">
        <f t="shared" si="98"/>
        <v>0.25</v>
      </c>
      <c r="G448">
        <f t="shared" ca="1" si="92"/>
        <v>1</v>
      </c>
      <c r="H448">
        <f ca="1">IF(G448=1,SUM($G$10:G448),"-")</f>
        <v>345</v>
      </c>
      <c r="I448">
        <f t="shared" ca="1" si="93"/>
        <v>-0.61272932173222605</v>
      </c>
      <c r="J448">
        <f t="shared" ca="1" si="94"/>
        <v>-0.38078159904405995</v>
      </c>
      <c r="L448">
        <f t="shared" si="100"/>
        <v>439</v>
      </c>
      <c r="M448">
        <f t="shared" ca="1" si="95"/>
        <v>0.55916933803937807</v>
      </c>
      <c r="N448">
        <f t="shared" ca="1" si="96"/>
        <v>-0.79120913595734765</v>
      </c>
      <c r="O448">
        <f t="shared" ca="1" si="97"/>
        <v>0.96885615311343765</v>
      </c>
    </row>
    <row r="449" spans="1:15" x14ac:dyDescent="0.2">
      <c r="A449">
        <f t="shared" si="102"/>
        <v>440</v>
      </c>
      <c r="B449">
        <f t="shared" ca="1" si="90"/>
        <v>0.71993125469314512</v>
      </c>
      <c r="C449">
        <f t="shared" ca="1" si="101"/>
        <v>-0.71188827090940987</v>
      </c>
      <c r="D449">
        <f t="shared" ca="1" si="101"/>
        <v>-0.24548791420418414</v>
      </c>
      <c r="E449">
        <f t="shared" ca="1" si="91"/>
        <v>0.31830988618379069</v>
      </c>
      <c r="F449">
        <f t="shared" si="98"/>
        <v>0.25</v>
      </c>
      <c r="G449">
        <f t="shared" ca="1" si="92"/>
        <v>1</v>
      </c>
      <c r="H449">
        <f ca="1">IF(G449=1,SUM($G$10:G449),"-")</f>
        <v>346</v>
      </c>
      <c r="I449">
        <f t="shared" ca="1" si="93"/>
        <v>-0.71188827090940987</v>
      </c>
      <c r="J449">
        <f t="shared" ca="1" si="94"/>
        <v>-0.24548791420418414</v>
      </c>
      <c r="L449">
        <f t="shared" si="100"/>
        <v>440</v>
      </c>
      <c r="M449">
        <f t="shared" ca="1" si="95"/>
        <v>-0.51229717594596047</v>
      </c>
      <c r="N449">
        <f t="shared" ca="1" si="96"/>
        <v>-0.10021141391328126</v>
      </c>
      <c r="O449">
        <f t="shared" ca="1" si="97"/>
        <v>0.52200644053565592</v>
      </c>
    </row>
    <row r="450" spans="1:15" x14ac:dyDescent="0.2">
      <c r="A450">
        <f t="shared" si="102"/>
        <v>441</v>
      </c>
      <c r="B450">
        <f t="shared" ca="1" si="90"/>
        <v>1.9155123454829726E-2</v>
      </c>
      <c r="C450">
        <f t="shared" ref="C450:D469" ca="1" si="103">2*RAND()-1</f>
        <v>0.91148066629162905</v>
      </c>
      <c r="D450">
        <f t="shared" ca="1" si="103"/>
        <v>0.20304079809219133</v>
      </c>
      <c r="E450">
        <f t="shared" ca="1" si="91"/>
        <v>0.31830988618379069</v>
      </c>
      <c r="F450">
        <f t="shared" si="98"/>
        <v>0.25</v>
      </c>
      <c r="G450">
        <f t="shared" ca="1" si="92"/>
        <v>1</v>
      </c>
      <c r="H450">
        <f ca="1">IF(G450=1,SUM($G$10:G450),"-")</f>
        <v>347</v>
      </c>
      <c r="I450">
        <f t="shared" ca="1" si="93"/>
        <v>0.91148066629162905</v>
      </c>
      <c r="J450">
        <f t="shared" ca="1" si="94"/>
        <v>0.20304079809219133</v>
      </c>
      <c r="L450">
        <f t="shared" si="100"/>
        <v>441</v>
      </c>
      <c r="M450">
        <f t="shared" ca="1" si="95"/>
        <v>-8.1406742888056938E-2</v>
      </c>
      <c r="N450">
        <f t="shared" ca="1" si="96"/>
        <v>7.023963420417445E-3</v>
      </c>
      <c r="O450">
        <f t="shared" ca="1" si="97"/>
        <v>8.1709202968659356E-2</v>
      </c>
    </row>
    <row r="451" spans="1:15" x14ac:dyDescent="0.2">
      <c r="A451">
        <f t="shared" si="102"/>
        <v>442</v>
      </c>
      <c r="B451">
        <f t="shared" ca="1" si="90"/>
        <v>0.32305987622883348</v>
      </c>
      <c r="C451">
        <f t="shared" ca="1" si="103"/>
        <v>-0.14109481080938213</v>
      </c>
      <c r="D451">
        <f t="shared" ca="1" si="103"/>
        <v>0.51753554600696017</v>
      </c>
      <c r="E451">
        <f t="shared" ca="1" si="91"/>
        <v>0.31830988618379069</v>
      </c>
      <c r="F451">
        <f t="shared" si="98"/>
        <v>0.25</v>
      </c>
      <c r="G451">
        <f t="shared" ca="1" si="92"/>
        <v>1</v>
      </c>
      <c r="H451">
        <f ca="1">IF(G451=1,SUM($G$10:G451),"-")</f>
        <v>348</v>
      </c>
      <c r="I451">
        <f t="shared" ca="1" si="93"/>
        <v>-0.14109481080938213</v>
      </c>
      <c r="J451">
        <f t="shared" ca="1" si="94"/>
        <v>0.51753554600696017</v>
      </c>
      <c r="L451">
        <f t="shared" si="100"/>
        <v>442</v>
      </c>
      <c r="M451">
        <f t="shared" ca="1" si="95"/>
        <v>-0.42055719199583685</v>
      </c>
      <c r="N451">
        <f t="shared" ca="1" si="96"/>
        <v>-0.36496933577457513</v>
      </c>
      <c r="O451">
        <f t="shared" ca="1" si="97"/>
        <v>0.55684016359738076</v>
      </c>
    </row>
    <row r="452" spans="1:15" x14ac:dyDescent="0.2">
      <c r="A452">
        <f t="shared" si="102"/>
        <v>443</v>
      </c>
      <c r="B452">
        <f t="shared" ca="1" si="90"/>
        <v>0.84342069173201883</v>
      </c>
      <c r="C452">
        <f t="shared" ca="1" si="103"/>
        <v>0.76732580876862322</v>
      </c>
      <c r="D452">
        <f t="shared" ca="1" si="103"/>
        <v>-0.9311592109108684</v>
      </c>
      <c r="E452">
        <f t="shared" ca="1" si="91"/>
        <v>0</v>
      </c>
      <c r="F452">
        <f t="shared" si="98"/>
        <v>0.25</v>
      </c>
      <c r="G452">
        <f t="shared" ca="1" si="92"/>
        <v>0</v>
      </c>
      <c r="H452" t="str">
        <f ca="1">IF(G452=1,SUM($G$10:G452),"-")</f>
        <v>-</v>
      </c>
      <c r="I452" t="str">
        <f t="shared" ca="1" si="93"/>
        <v>-</v>
      </c>
      <c r="J452" t="str">
        <f t="shared" ca="1" si="94"/>
        <v>-</v>
      </c>
      <c r="L452">
        <f t="shared" si="100"/>
        <v>443</v>
      </c>
      <c r="M452">
        <f t="shared" ca="1" si="95"/>
        <v>0.10789742649685885</v>
      </c>
      <c r="N452">
        <f t="shared" ca="1" si="96"/>
        <v>-0.19955437233573048</v>
      </c>
      <c r="O452">
        <f t="shared" ca="1" si="97"/>
        <v>0.22685634697524426</v>
      </c>
    </row>
    <row r="453" spans="1:15" x14ac:dyDescent="0.2">
      <c r="A453">
        <f t="shared" si="102"/>
        <v>444</v>
      </c>
      <c r="B453">
        <f t="shared" ca="1" si="90"/>
        <v>0.42485812821010294</v>
      </c>
      <c r="C453">
        <f t="shared" ca="1" si="103"/>
        <v>-0.45884923997263494</v>
      </c>
      <c r="D453">
        <f t="shared" ca="1" si="103"/>
        <v>0.54326982708455751</v>
      </c>
      <c r="E453">
        <f t="shared" ca="1" si="91"/>
        <v>0.31830988618379069</v>
      </c>
      <c r="F453">
        <f t="shared" si="98"/>
        <v>0.25</v>
      </c>
      <c r="G453">
        <f t="shared" ca="1" si="92"/>
        <v>1</v>
      </c>
      <c r="H453">
        <f ca="1">IF(G453=1,SUM($G$10:G453),"-")</f>
        <v>349</v>
      </c>
      <c r="I453">
        <f t="shared" ca="1" si="93"/>
        <v>-0.45884923997263494</v>
      </c>
      <c r="J453">
        <f t="shared" ca="1" si="94"/>
        <v>0.54326982708455751</v>
      </c>
      <c r="L453">
        <f t="shared" si="100"/>
        <v>444</v>
      </c>
      <c r="M453">
        <f t="shared" ca="1" si="95"/>
        <v>-0.10801391520993375</v>
      </c>
      <c r="N453">
        <f t="shared" ca="1" si="96"/>
        <v>0.22482772130959106</v>
      </c>
      <c r="O453">
        <f t="shared" ca="1" si="97"/>
        <v>0.24942836676737853</v>
      </c>
    </row>
    <row r="454" spans="1:15" x14ac:dyDescent="0.2">
      <c r="A454">
        <f t="shared" si="102"/>
        <v>445</v>
      </c>
      <c r="B454">
        <f t="shared" ca="1" si="90"/>
        <v>0.94478508449632459</v>
      </c>
      <c r="C454">
        <f t="shared" ca="1" si="103"/>
        <v>-0.27326698449170639</v>
      </c>
      <c r="D454">
        <f t="shared" ca="1" si="103"/>
        <v>0.43908115668739356</v>
      </c>
      <c r="E454">
        <f t="shared" ca="1" si="91"/>
        <v>0.31830988618379069</v>
      </c>
      <c r="F454">
        <f t="shared" si="98"/>
        <v>0.25</v>
      </c>
      <c r="G454">
        <f t="shared" ca="1" si="92"/>
        <v>1</v>
      </c>
      <c r="H454">
        <f ca="1">IF(G454=1,SUM($G$10:G454),"-")</f>
        <v>350</v>
      </c>
      <c r="I454">
        <f t="shared" ca="1" si="93"/>
        <v>-0.27326698449170639</v>
      </c>
      <c r="J454">
        <f t="shared" ca="1" si="94"/>
        <v>0.43908115668739356</v>
      </c>
      <c r="L454">
        <f t="shared" si="100"/>
        <v>445</v>
      </c>
      <c r="M454">
        <f t="shared" ca="1" si="95"/>
        <v>0.20070604275813309</v>
      </c>
      <c r="N454">
        <f t="shared" ca="1" si="96"/>
        <v>-0.41821286076113617</v>
      </c>
      <c r="O454">
        <f t="shared" ca="1" si="97"/>
        <v>0.46388027820294647</v>
      </c>
    </row>
    <row r="455" spans="1:15" x14ac:dyDescent="0.2">
      <c r="A455">
        <f t="shared" si="102"/>
        <v>446</v>
      </c>
      <c r="B455">
        <f t="shared" ca="1" si="90"/>
        <v>0.79229220410460621</v>
      </c>
      <c r="C455">
        <f t="shared" ca="1" si="103"/>
        <v>0.93460846971268396</v>
      </c>
      <c r="D455">
        <f t="shared" ca="1" si="103"/>
        <v>-0.72368494255046567</v>
      </c>
      <c r="E455">
        <f t="shared" ca="1" si="91"/>
        <v>0</v>
      </c>
      <c r="F455">
        <f t="shared" si="98"/>
        <v>0.25</v>
      </c>
      <c r="G455">
        <f t="shared" ca="1" si="92"/>
        <v>0</v>
      </c>
      <c r="H455" t="str">
        <f ca="1">IF(G455=1,SUM($G$10:G455),"-")</f>
        <v>-</v>
      </c>
      <c r="I455" t="str">
        <f t="shared" ca="1" si="93"/>
        <v>-</v>
      </c>
      <c r="J455" t="str">
        <f t="shared" ca="1" si="94"/>
        <v>-</v>
      </c>
      <c r="L455">
        <f t="shared" si="100"/>
        <v>446</v>
      </c>
      <c r="M455">
        <f t="shared" ca="1" si="95"/>
        <v>3.9771698615278517E-3</v>
      </c>
      <c r="N455">
        <f t="shared" ca="1" si="96"/>
        <v>-9.0484544302712466E-2</v>
      </c>
      <c r="O455">
        <f t="shared" ca="1" si="97"/>
        <v>9.0571908657027758E-2</v>
      </c>
    </row>
    <row r="456" spans="1:15" x14ac:dyDescent="0.2">
      <c r="A456">
        <f t="shared" si="102"/>
        <v>447</v>
      </c>
      <c r="B456">
        <f t="shared" ca="1" si="90"/>
        <v>0.49399830497391495</v>
      </c>
      <c r="C456">
        <f t="shared" ca="1" si="103"/>
        <v>-0.64495472082250926</v>
      </c>
      <c r="D456">
        <f t="shared" ca="1" si="103"/>
        <v>0.56044559796465143</v>
      </c>
      <c r="E456">
        <f t="shared" ca="1" si="91"/>
        <v>0.31830988618379069</v>
      </c>
      <c r="F456">
        <f t="shared" si="98"/>
        <v>0.25</v>
      </c>
      <c r="G456">
        <f t="shared" ca="1" si="92"/>
        <v>1</v>
      </c>
      <c r="H456">
        <f ca="1">IF(G456=1,SUM($G$10:G456),"-")</f>
        <v>351</v>
      </c>
      <c r="I456">
        <f t="shared" ca="1" si="93"/>
        <v>-0.64495472082250926</v>
      </c>
      <c r="J456">
        <f t="shared" ca="1" si="94"/>
        <v>0.56044559796465143</v>
      </c>
      <c r="L456">
        <f t="shared" si="100"/>
        <v>447</v>
      </c>
      <c r="M456">
        <f t="shared" ca="1" si="95"/>
        <v>-0.72174677959534828</v>
      </c>
      <c r="N456">
        <f t="shared" ca="1" si="96"/>
        <v>0.54780552953560235</v>
      </c>
      <c r="O456">
        <f t="shared" ca="1" si="97"/>
        <v>0.90609564177631818</v>
      </c>
    </row>
    <row r="457" spans="1:15" x14ac:dyDescent="0.2">
      <c r="A457">
        <f t="shared" si="102"/>
        <v>448</v>
      </c>
      <c r="B457">
        <f t="shared" ca="1" si="90"/>
        <v>0.20994434800796324</v>
      </c>
      <c r="C457">
        <f t="shared" ca="1" si="103"/>
        <v>-0.58997939741475602</v>
      </c>
      <c r="D457">
        <f t="shared" ca="1" si="103"/>
        <v>0.26869229147030493</v>
      </c>
      <c r="E457">
        <f t="shared" ca="1" si="91"/>
        <v>0.31830988618379069</v>
      </c>
      <c r="F457">
        <f t="shared" si="98"/>
        <v>0.25</v>
      </c>
      <c r="G457">
        <f t="shared" ca="1" si="92"/>
        <v>1</v>
      </c>
      <c r="H457">
        <f ca="1">IF(G457=1,SUM($G$10:G457),"-")</f>
        <v>352</v>
      </c>
      <c r="I457">
        <f t="shared" ca="1" si="93"/>
        <v>-0.58997939741475602</v>
      </c>
      <c r="J457">
        <f t="shared" ca="1" si="94"/>
        <v>0.26869229147030493</v>
      </c>
      <c r="L457">
        <f t="shared" si="100"/>
        <v>448</v>
      </c>
      <c r="M457">
        <f t="shared" ca="1" si="95"/>
        <v>-3.2482150373637886E-2</v>
      </c>
      <c r="N457">
        <f t="shared" ca="1" si="96"/>
        <v>0.9195295989797625</v>
      </c>
      <c r="O457">
        <f t="shared" ca="1" si="97"/>
        <v>0.92010313198726723</v>
      </c>
    </row>
    <row r="458" spans="1:15" x14ac:dyDescent="0.2">
      <c r="A458">
        <f t="shared" si="102"/>
        <v>449</v>
      </c>
      <c r="B458">
        <f t="shared" ref="B458:B521" ca="1" si="104">RAND()</f>
        <v>0.39306598166979656</v>
      </c>
      <c r="C458">
        <f t="shared" ca="1" si="103"/>
        <v>0.95701386765678409</v>
      </c>
      <c r="D458">
        <f t="shared" ca="1" si="103"/>
        <v>-0.92492826239306525</v>
      </c>
      <c r="E458">
        <f t="shared" ref="E458:E521" ca="1" si="105">(1/PI())*IF(C458^2+D458^2&lt;=1,1,0)</f>
        <v>0</v>
      </c>
      <c r="F458">
        <f t="shared" si="98"/>
        <v>0.25</v>
      </c>
      <c r="G458">
        <f t="shared" ref="G458:G521" ca="1" si="106">IF($B$6*B458&lt;=E458/F458,1,0)</f>
        <v>0</v>
      </c>
      <c r="H458" t="str">
        <f ca="1">IF(G458=1,SUM($G$10:G458),"-")</f>
        <v>-</v>
      </c>
      <c r="I458" t="str">
        <f t="shared" ref="I458:I521" ca="1" si="107">IF($G458,C458,"-")</f>
        <v>-</v>
      </c>
      <c r="J458" t="str">
        <f t="shared" ref="J458:J521" ca="1" si="108">IF($G458,D458,"-")</f>
        <v>-</v>
      </c>
      <c r="L458">
        <f t="shared" si="100"/>
        <v>449</v>
      </c>
      <c r="M458">
        <f t="shared" ref="M458:M509" ca="1" si="109">VLOOKUP(L458,$H$10:$J$687,2,FALSE)</f>
        <v>0.7517365348073668</v>
      </c>
      <c r="N458">
        <f t="shared" ref="N458:N509" ca="1" si="110">VLOOKUP(L458,$H$10:$J$687,3,FALSE)</f>
        <v>0.33871757428968019</v>
      </c>
      <c r="O458">
        <f t="shared" ref="O458:O509" ca="1" si="111">SQRT(M458^2+N458^2)</f>
        <v>0.82452253631836669</v>
      </c>
    </row>
    <row r="459" spans="1:15" x14ac:dyDescent="0.2">
      <c r="A459">
        <f t="shared" si="102"/>
        <v>450</v>
      </c>
      <c r="B459">
        <f t="shared" ca="1" si="104"/>
        <v>0.86615551457801354</v>
      </c>
      <c r="C459">
        <f t="shared" ca="1" si="103"/>
        <v>-0.3736629447301123</v>
      </c>
      <c r="D459">
        <f t="shared" ca="1" si="103"/>
        <v>-0.67518820582953354</v>
      </c>
      <c r="E459">
        <f t="shared" ca="1" si="105"/>
        <v>0.31830988618379069</v>
      </c>
      <c r="F459">
        <f t="shared" ref="F459:F522" si="112">1/4</f>
        <v>0.25</v>
      </c>
      <c r="G459">
        <f t="shared" ca="1" si="106"/>
        <v>1</v>
      </c>
      <c r="H459">
        <f ca="1">IF(G459=1,SUM($G$10:G459),"-")</f>
        <v>353</v>
      </c>
      <c r="I459">
        <f t="shared" ca="1" si="107"/>
        <v>-0.3736629447301123</v>
      </c>
      <c r="J459">
        <f t="shared" ca="1" si="108"/>
        <v>-0.67518820582953354</v>
      </c>
      <c r="L459">
        <f t="shared" si="100"/>
        <v>450</v>
      </c>
      <c r="M459">
        <f t="shared" ca="1" si="109"/>
        <v>0.1114750039776593</v>
      </c>
      <c r="N459">
        <f t="shared" ca="1" si="110"/>
        <v>0.47980384398065268</v>
      </c>
      <c r="O459">
        <f t="shared" ca="1" si="111"/>
        <v>0.49258339924365058</v>
      </c>
    </row>
    <row r="460" spans="1:15" x14ac:dyDescent="0.2">
      <c r="A460">
        <f t="shared" si="102"/>
        <v>451</v>
      </c>
      <c r="B460">
        <f t="shared" ca="1" si="104"/>
        <v>0.29073581290034189</v>
      </c>
      <c r="C460">
        <f t="shared" ca="1" si="103"/>
        <v>-0.53004468733491672</v>
      </c>
      <c r="D460">
        <f t="shared" ca="1" si="103"/>
        <v>0.72804839676611177</v>
      </c>
      <c r="E460">
        <f t="shared" ca="1" si="105"/>
        <v>0.31830988618379069</v>
      </c>
      <c r="F460">
        <f t="shared" si="112"/>
        <v>0.25</v>
      </c>
      <c r="G460">
        <f t="shared" ca="1" si="106"/>
        <v>1</v>
      </c>
      <c r="H460">
        <f ca="1">IF(G460=1,SUM($G$10:G460),"-")</f>
        <v>354</v>
      </c>
      <c r="I460">
        <f t="shared" ca="1" si="107"/>
        <v>-0.53004468733491672</v>
      </c>
      <c r="J460">
        <f t="shared" ca="1" si="108"/>
        <v>0.72804839676611177</v>
      </c>
      <c r="L460">
        <f t="shared" si="100"/>
        <v>451</v>
      </c>
      <c r="M460">
        <f t="shared" ca="1" si="109"/>
        <v>0.50823227472078014</v>
      </c>
      <c r="N460">
        <f t="shared" ca="1" si="110"/>
        <v>-0.72151597220046781</v>
      </c>
      <c r="O460">
        <f t="shared" ca="1" si="111"/>
        <v>0.88254481087831727</v>
      </c>
    </row>
    <row r="461" spans="1:15" x14ac:dyDescent="0.2">
      <c r="A461">
        <f t="shared" si="102"/>
        <v>452</v>
      </c>
      <c r="B461">
        <f t="shared" ca="1" si="104"/>
        <v>0.5891592345939014</v>
      </c>
      <c r="C461">
        <f t="shared" ca="1" si="103"/>
        <v>-0.38547253991007513</v>
      </c>
      <c r="D461">
        <f t="shared" ca="1" si="103"/>
        <v>-0.73808181096726844</v>
      </c>
      <c r="E461">
        <f t="shared" ca="1" si="105"/>
        <v>0.31830988618379069</v>
      </c>
      <c r="F461">
        <f t="shared" si="112"/>
        <v>0.25</v>
      </c>
      <c r="G461">
        <f t="shared" ca="1" si="106"/>
        <v>1</v>
      </c>
      <c r="H461">
        <f ca="1">IF(G461=1,SUM($G$10:G461),"-")</f>
        <v>355</v>
      </c>
      <c r="I461">
        <f t="shared" ca="1" si="107"/>
        <v>-0.38547253991007513</v>
      </c>
      <c r="J461">
        <f t="shared" ca="1" si="108"/>
        <v>-0.73808181096726844</v>
      </c>
      <c r="L461">
        <f t="shared" si="100"/>
        <v>452</v>
      </c>
      <c r="M461">
        <f t="shared" ca="1" si="109"/>
        <v>-0.69532966519940764</v>
      </c>
      <c r="N461">
        <f t="shared" ca="1" si="110"/>
        <v>0.1573316256426005</v>
      </c>
      <c r="O461">
        <f t="shared" ca="1" si="111"/>
        <v>0.71290713542064066</v>
      </c>
    </row>
    <row r="462" spans="1:15" x14ac:dyDescent="0.2">
      <c r="A462">
        <f t="shared" si="102"/>
        <v>453</v>
      </c>
      <c r="B462">
        <f t="shared" ca="1" si="104"/>
        <v>0.25967013789862281</v>
      </c>
      <c r="C462">
        <f t="shared" ca="1" si="103"/>
        <v>-0.28583877161788429</v>
      </c>
      <c r="D462">
        <f t="shared" ca="1" si="103"/>
        <v>0.64703242281658602</v>
      </c>
      <c r="E462">
        <f t="shared" ca="1" si="105"/>
        <v>0.31830988618379069</v>
      </c>
      <c r="F462">
        <f t="shared" si="112"/>
        <v>0.25</v>
      </c>
      <c r="G462">
        <f t="shared" ca="1" si="106"/>
        <v>1</v>
      </c>
      <c r="H462">
        <f ca="1">IF(G462=1,SUM($G$10:G462),"-")</f>
        <v>356</v>
      </c>
      <c r="I462">
        <f t="shared" ca="1" si="107"/>
        <v>-0.28583877161788429</v>
      </c>
      <c r="J462">
        <f t="shared" ca="1" si="108"/>
        <v>0.64703242281658602</v>
      </c>
      <c r="L462">
        <f t="shared" si="100"/>
        <v>453</v>
      </c>
      <c r="M462">
        <f t="shared" ca="1" si="109"/>
        <v>0.10889716846112329</v>
      </c>
      <c r="N462">
        <f t="shared" ca="1" si="110"/>
        <v>-0.93368087391198928</v>
      </c>
      <c r="O462">
        <f t="shared" ca="1" si="111"/>
        <v>0.9400098763353002</v>
      </c>
    </row>
    <row r="463" spans="1:15" x14ac:dyDescent="0.2">
      <c r="A463">
        <f t="shared" si="102"/>
        <v>454</v>
      </c>
      <c r="B463">
        <f t="shared" ca="1" si="104"/>
        <v>0.88852635259813717</v>
      </c>
      <c r="C463">
        <f t="shared" ca="1" si="103"/>
        <v>0.24810174914909422</v>
      </c>
      <c r="D463">
        <f t="shared" ca="1" si="103"/>
        <v>0.22659137737601998</v>
      </c>
      <c r="E463">
        <f t="shared" ca="1" si="105"/>
        <v>0.31830988618379069</v>
      </c>
      <c r="F463">
        <f t="shared" si="112"/>
        <v>0.25</v>
      </c>
      <c r="G463">
        <f t="shared" ca="1" si="106"/>
        <v>1</v>
      </c>
      <c r="H463">
        <f ca="1">IF(G463=1,SUM($G$10:G463),"-")</f>
        <v>357</v>
      </c>
      <c r="I463">
        <f t="shared" ca="1" si="107"/>
        <v>0.24810174914909422</v>
      </c>
      <c r="J463">
        <f t="shared" ca="1" si="108"/>
        <v>0.22659137737601998</v>
      </c>
      <c r="L463">
        <f t="shared" si="100"/>
        <v>454</v>
      </c>
      <c r="M463">
        <f t="shared" ca="1" si="109"/>
        <v>-0.39832312242628443</v>
      </c>
      <c r="N463">
        <f t="shared" ca="1" si="110"/>
        <v>-0.68034799742835461</v>
      </c>
      <c r="O463">
        <f t="shared" ca="1" si="111"/>
        <v>0.78837472528246189</v>
      </c>
    </row>
    <row r="464" spans="1:15" x14ac:dyDescent="0.2">
      <c r="A464">
        <f t="shared" si="102"/>
        <v>455</v>
      </c>
      <c r="B464">
        <f t="shared" ca="1" si="104"/>
        <v>0.93866189110258602</v>
      </c>
      <c r="C464">
        <f t="shared" ca="1" si="103"/>
        <v>0.87182188474192235</v>
      </c>
      <c r="D464">
        <f t="shared" ca="1" si="103"/>
        <v>-2.5852341060794259E-2</v>
      </c>
      <c r="E464">
        <f t="shared" ca="1" si="105"/>
        <v>0.31830988618379069</v>
      </c>
      <c r="F464">
        <f t="shared" si="112"/>
        <v>0.25</v>
      </c>
      <c r="G464">
        <f t="shared" ca="1" si="106"/>
        <v>1</v>
      </c>
      <c r="H464">
        <f ca="1">IF(G464=1,SUM($G$10:G464),"-")</f>
        <v>358</v>
      </c>
      <c r="I464">
        <f t="shared" ca="1" si="107"/>
        <v>0.87182188474192235</v>
      </c>
      <c r="J464">
        <f t="shared" ca="1" si="108"/>
        <v>-2.5852341060794259E-2</v>
      </c>
      <c r="L464">
        <f t="shared" si="100"/>
        <v>455</v>
      </c>
      <c r="M464">
        <f t="shared" ca="1" si="109"/>
        <v>0.23058316988674243</v>
      </c>
      <c r="N464">
        <f t="shared" ca="1" si="110"/>
        <v>-0.27294153383172559</v>
      </c>
      <c r="O464">
        <f t="shared" ca="1" si="111"/>
        <v>0.35730334328891089</v>
      </c>
    </row>
    <row r="465" spans="1:15" x14ac:dyDescent="0.2">
      <c r="A465">
        <f t="shared" si="102"/>
        <v>456</v>
      </c>
      <c r="B465">
        <f t="shared" ca="1" si="104"/>
        <v>0.77379599794445664</v>
      </c>
      <c r="C465">
        <f t="shared" ca="1" si="103"/>
        <v>-0.63565160572211532</v>
      </c>
      <c r="D465">
        <f t="shared" ca="1" si="103"/>
        <v>0.6893791098635158</v>
      </c>
      <c r="E465">
        <f t="shared" ca="1" si="105"/>
        <v>0.31830988618379069</v>
      </c>
      <c r="F465">
        <f t="shared" si="112"/>
        <v>0.25</v>
      </c>
      <c r="G465">
        <f t="shared" ca="1" si="106"/>
        <v>1</v>
      </c>
      <c r="H465">
        <f ca="1">IF(G465=1,SUM($G$10:G465),"-")</f>
        <v>359</v>
      </c>
      <c r="I465">
        <f t="shared" ca="1" si="107"/>
        <v>-0.63565160572211532</v>
      </c>
      <c r="J465">
        <f t="shared" ca="1" si="108"/>
        <v>0.6893791098635158</v>
      </c>
      <c r="L465">
        <f t="shared" si="100"/>
        <v>456</v>
      </c>
      <c r="M465">
        <f t="shared" ca="1" si="109"/>
        <v>-0.65326658575418195</v>
      </c>
      <c r="N465">
        <f t="shared" ca="1" si="110"/>
        <v>0.59459084803658691</v>
      </c>
      <c r="O465">
        <f t="shared" ca="1" si="111"/>
        <v>0.8833433696087799</v>
      </c>
    </row>
    <row r="466" spans="1:15" x14ac:dyDescent="0.2">
      <c r="A466">
        <f t="shared" si="102"/>
        <v>457</v>
      </c>
      <c r="B466">
        <f t="shared" ca="1" si="104"/>
        <v>0.24009096594239232</v>
      </c>
      <c r="C466">
        <f t="shared" ca="1" si="103"/>
        <v>0.49535266629989483</v>
      </c>
      <c r="D466">
        <f t="shared" ca="1" si="103"/>
        <v>0.11098185614359224</v>
      </c>
      <c r="E466">
        <f t="shared" ca="1" si="105"/>
        <v>0.31830988618379069</v>
      </c>
      <c r="F466">
        <f t="shared" si="112"/>
        <v>0.25</v>
      </c>
      <c r="G466">
        <f t="shared" ca="1" si="106"/>
        <v>1</v>
      </c>
      <c r="H466">
        <f ca="1">IF(G466=1,SUM($G$10:G466),"-")</f>
        <v>360</v>
      </c>
      <c r="I466">
        <f t="shared" ca="1" si="107"/>
        <v>0.49535266629989483</v>
      </c>
      <c r="J466">
        <f t="shared" ca="1" si="108"/>
        <v>0.11098185614359224</v>
      </c>
      <c r="L466">
        <f t="shared" si="100"/>
        <v>457</v>
      </c>
      <c r="M466">
        <f t="shared" ca="1" si="109"/>
        <v>0.40364571310801534</v>
      </c>
      <c r="N466">
        <f t="shared" ca="1" si="110"/>
        <v>0.78023502288600777</v>
      </c>
      <c r="O466">
        <f t="shared" ca="1" si="111"/>
        <v>0.87846260742754856</v>
      </c>
    </row>
    <row r="467" spans="1:15" x14ac:dyDescent="0.2">
      <c r="A467">
        <f t="shared" si="102"/>
        <v>458</v>
      </c>
      <c r="B467">
        <f t="shared" ca="1" si="104"/>
        <v>0.33893512215592536</v>
      </c>
      <c r="C467">
        <f t="shared" ca="1" si="103"/>
        <v>0.35303321098312224</v>
      </c>
      <c r="D467">
        <f t="shared" ca="1" si="103"/>
        <v>-0.20891590143016381</v>
      </c>
      <c r="E467">
        <f t="shared" ca="1" si="105"/>
        <v>0.31830988618379069</v>
      </c>
      <c r="F467">
        <f t="shared" si="112"/>
        <v>0.25</v>
      </c>
      <c r="G467">
        <f t="shared" ca="1" si="106"/>
        <v>1</v>
      </c>
      <c r="H467">
        <f ca="1">IF(G467=1,SUM($G$10:G467),"-")</f>
        <v>361</v>
      </c>
      <c r="I467">
        <f t="shared" ca="1" si="107"/>
        <v>0.35303321098312224</v>
      </c>
      <c r="J467">
        <f t="shared" ca="1" si="108"/>
        <v>-0.20891590143016381</v>
      </c>
      <c r="L467">
        <f t="shared" si="100"/>
        <v>458</v>
      </c>
      <c r="M467">
        <f t="shared" ca="1" si="109"/>
        <v>0.57564081919725663</v>
      </c>
      <c r="N467">
        <f t="shared" ca="1" si="110"/>
        <v>-0.58981652987064304</v>
      </c>
      <c r="O467">
        <f t="shared" ca="1" si="111"/>
        <v>0.82416375292458477</v>
      </c>
    </row>
    <row r="468" spans="1:15" x14ac:dyDescent="0.2">
      <c r="A468">
        <f t="shared" si="102"/>
        <v>459</v>
      </c>
      <c r="B468">
        <f t="shared" ca="1" si="104"/>
        <v>0.6207943338580616</v>
      </c>
      <c r="C468">
        <f t="shared" ca="1" si="103"/>
        <v>0.41254217374578461</v>
      </c>
      <c r="D468">
        <f t="shared" ca="1" si="103"/>
        <v>-0.15749601696019244</v>
      </c>
      <c r="E468">
        <f t="shared" ca="1" si="105"/>
        <v>0.31830988618379069</v>
      </c>
      <c r="F468">
        <f t="shared" si="112"/>
        <v>0.25</v>
      </c>
      <c r="G468">
        <f t="shared" ca="1" si="106"/>
        <v>1</v>
      </c>
      <c r="H468">
        <f ca="1">IF(G468=1,SUM($G$10:G468),"-")</f>
        <v>362</v>
      </c>
      <c r="I468">
        <f t="shared" ca="1" si="107"/>
        <v>0.41254217374578461</v>
      </c>
      <c r="J468">
        <f t="shared" ca="1" si="108"/>
        <v>-0.15749601696019244</v>
      </c>
      <c r="L468">
        <f t="shared" si="100"/>
        <v>459</v>
      </c>
      <c r="M468">
        <f t="shared" ca="1" si="109"/>
        <v>0.38872295167476012</v>
      </c>
      <c r="N468">
        <f t="shared" ca="1" si="110"/>
        <v>-0.92123772375563817</v>
      </c>
      <c r="O468">
        <f t="shared" ca="1" si="111"/>
        <v>0.99989223260769822</v>
      </c>
    </row>
    <row r="469" spans="1:15" x14ac:dyDescent="0.2">
      <c r="A469">
        <f t="shared" si="102"/>
        <v>460</v>
      </c>
      <c r="B469">
        <f t="shared" ca="1" si="104"/>
        <v>0.82147276009024461</v>
      </c>
      <c r="C469">
        <f t="shared" ca="1" si="103"/>
        <v>-0.19383619598183643</v>
      </c>
      <c r="D469">
        <f t="shared" ca="1" si="103"/>
        <v>-0.82411820010128412</v>
      </c>
      <c r="E469">
        <f t="shared" ca="1" si="105"/>
        <v>0.31830988618379069</v>
      </c>
      <c r="F469">
        <f t="shared" si="112"/>
        <v>0.25</v>
      </c>
      <c r="G469">
        <f t="shared" ca="1" si="106"/>
        <v>1</v>
      </c>
      <c r="H469">
        <f ca="1">IF(G469=1,SUM($G$10:G469),"-")</f>
        <v>363</v>
      </c>
      <c r="I469">
        <f t="shared" ca="1" si="107"/>
        <v>-0.19383619598183643</v>
      </c>
      <c r="J469">
        <f t="shared" ca="1" si="108"/>
        <v>-0.82411820010128412</v>
      </c>
      <c r="L469">
        <f t="shared" si="100"/>
        <v>460</v>
      </c>
      <c r="M469">
        <f t="shared" ca="1" si="109"/>
        <v>-0.21889476888141934</v>
      </c>
      <c r="N469">
        <f t="shared" ca="1" si="110"/>
        <v>-0.47443318317556904</v>
      </c>
      <c r="O469">
        <f t="shared" ca="1" si="111"/>
        <v>0.52249570825199421</v>
      </c>
    </row>
    <row r="470" spans="1:15" x14ac:dyDescent="0.2">
      <c r="A470">
        <f t="shared" si="102"/>
        <v>461</v>
      </c>
      <c r="B470">
        <f t="shared" ca="1" si="104"/>
        <v>0.41748699115782539</v>
      </c>
      <c r="C470">
        <f t="shared" ref="C470:D489" ca="1" si="113">2*RAND()-1</f>
        <v>-0.34004922552001826</v>
      </c>
      <c r="D470">
        <f t="shared" ca="1" si="113"/>
        <v>-0.25370282630031049</v>
      </c>
      <c r="E470">
        <f t="shared" ca="1" si="105"/>
        <v>0.31830988618379069</v>
      </c>
      <c r="F470">
        <f t="shared" si="112"/>
        <v>0.25</v>
      </c>
      <c r="G470">
        <f t="shared" ca="1" si="106"/>
        <v>1</v>
      </c>
      <c r="H470">
        <f ca="1">IF(G470=1,SUM($G$10:G470),"-")</f>
        <v>364</v>
      </c>
      <c r="I470">
        <f t="shared" ca="1" si="107"/>
        <v>-0.34004922552001826</v>
      </c>
      <c r="J470">
        <f t="shared" ca="1" si="108"/>
        <v>-0.25370282630031049</v>
      </c>
      <c r="L470">
        <f t="shared" si="100"/>
        <v>461</v>
      </c>
      <c r="M470">
        <f t="shared" ca="1" si="109"/>
        <v>0.37444719921379388</v>
      </c>
      <c r="N470">
        <f t="shared" ca="1" si="110"/>
        <v>0.49498780578844648</v>
      </c>
      <c r="O470">
        <f t="shared" ca="1" si="111"/>
        <v>0.62066386464681134</v>
      </c>
    </row>
    <row r="471" spans="1:15" x14ac:dyDescent="0.2">
      <c r="A471">
        <f t="shared" si="102"/>
        <v>462</v>
      </c>
      <c r="B471">
        <f t="shared" ca="1" si="104"/>
        <v>0.46425747215269142</v>
      </c>
      <c r="C471">
        <f t="shared" ca="1" si="113"/>
        <v>0.89599981145777208</v>
      </c>
      <c r="D471">
        <f t="shared" ca="1" si="113"/>
        <v>0.63135279868632721</v>
      </c>
      <c r="E471">
        <f t="shared" ca="1" si="105"/>
        <v>0</v>
      </c>
      <c r="F471">
        <f t="shared" si="112"/>
        <v>0.25</v>
      </c>
      <c r="G471">
        <f t="shared" ca="1" si="106"/>
        <v>0</v>
      </c>
      <c r="H471" t="str">
        <f ca="1">IF(G471=1,SUM($G$10:G471),"-")</f>
        <v>-</v>
      </c>
      <c r="I471" t="str">
        <f t="shared" ca="1" si="107"/>
        <v>-</v>
      </c>
      <c r="J471" t="str">
        <f t="shared" ca="1" si="108"/>
        <v>-</v>
      </c>
      <c r="L471">
        <f t="shared" si="100"/>
        <v>462</v>
      </c>
      <c r="M471">
        <f t="shared" ca="1" si="109"/>
        <v>-0.17451746896231679</v>
      </c>
      <c r="N471">
        <f t="shared" ca="1" si="110"/>
        <v>-0.48913948189655754</v>
      </c>
      <c r="O471">
        <f t="shared" ca="1" si="111"/>
        <v>0.51933975365173612</v>
      </c>
    </row>
    <row r="472" spans="1:15" x14ac:dyDescent="0.2">
      <c r="A472">
        <f t="shared" si="102"/>
        <v>463</v>
      </c>
      <c r="B472">
        <f t="shared" ca="1" si="104"/>
        <v>0.66383036674681495</v>
      </c>
      <c r="C472">
        <f t="shared" ca="1" si="113"/>
        <v>-0.96831247039094492</v>
      </c>
      <c r="D472">
        <f t="shared" ca="1" si="113"/>
        <v>0.47417831146429124</v>
      </c>
      <c r="E472">
        <f t="shared" ca="1" si="105"/>
        <v>0</v>
      </c>
      <c r="F472">
        <f t="shared" si="112"/>
        <v>0.25</v>
      </c>
      <c r="G472">
        <f t="shared" ca="1" si="106"/>
        <v>0</v>
      </c>
      <c r="H472" t="str">
        <f ca="1">IF(G472=1,SUM($G$10:G472),"-")</f>
        <v>-</v>
      </c>
      <c r="I472" t="str">
        <f t="shared" ca="1" si="107"/>
        <v>-</v>
      </c>
      <c r="J472" t="str">
        <f t="shared" ca="1" si="108"/>
        <v>-</v>
      </c>
      <c r="L472">
        <f t="shared" si="100"/>
        <v>463</v>
      </c>
      <c r="M472">
        <f t="shared" ca="1" si="109"/>
        <v>0.37644360217326622</v>
      </c>
      <c r="N472">
        <f t="shared" ca="1" si="110"/>
        <v>0.63153968051037235</v>
      </c>
      <c r="O472">
        <f t="shared" ca="1" si="111"/>
        <v>0.73522251983758469</v>
      </c>
    </row>
    <row r="473" spans="1:15" x14ac:dyDescent="0.2">
      <c r="A473">
        <f t="shared" si="102"/>
        <v>464</v>
      </c>
      <c r="B473">
        <f t="shared" ca="1" si="104"/>
        <v>0.73973151340492072</v>
      </c>
      <c r="C473">
        <f t="shared" ca="1" si="113"/>
        <v>0.82673128815039165</v>
      </c>
      <c r="D473">
        <f t="shared" ca="1" si="113"/>
        <v>9.136076894289058E-2</v>
      </c>
      <c r="E473">
        <f t="shared" ca="1" si="105"/>
        <v>0.31830988618379069</v>
      </c>
      <c r="F473">
        <f t="shared" si="112"/>
        <v>0.25</v>
      </c>
      <c r="G473">
        <f t="shared" ca="1" si="106"/>
        <v>1</v>
      </c>
      <c r="H473">
        <f ca="1">IF(G473=1,SUM($G$10:G473),"-")</f>
        <v>365</v>
      </c>
      <c r="I473">
        <f t="shared" ca="1" si="107"/>
        <v>0.82673128815039165</v>
      </c>
      <c r="J473">
        <f t="shared" ca="1" si="108"/>
        <v>9.136076894289058E-2</v>
      </c>
      <c r="L473">
        <f t="shared" si="100"/>
        <v>464</v>
      </c>
      <c r="M473">
        <f t="shared" ca="1" si="109"/>
        <v>-0.53684416095449139</v>
      </c>
      <c r="N473">
        <f t="shared" ca="1" si="110"/>
        <v>0.34111692119549741</v>
      </c>
      <c r="O473">
        <f t="shared" ca="1" si="111"/>
        <v>0.63605220467885104</v>
      </c>
    </row>
    <row r="474" spans="1:15" x14ac:dyDescent="0.2">
      <c r="A474">
        <f t="shared" si="102"/>
        <v>465</v>
      </c>
      <c r="B474">
        <f t="shared" ca="1" si="104"/>
        <v>0.7273701427860757</v>
      </c>
      <c r="C474">
        <f t="shared" ca="1" si="113"/>
        <v>0.33807450300688213</v>
      </c>
      <c r="D474">
        <f t="shared" ca="1" si="113"/>
        <v>0.91242542013466421</v>
      </c>
      <c r="E474">
        <f t="shared" ca="1" si="105"/>
        <v>0.31830988618379069</v>
      </c>
      <c r="F474">
        <f t="shared" si="112"/>
        <v>0.25</v>
      </c>
      <c r="G474">
        <f t="shared" ca="1" si="106"/>
        <v>1</v>
      </c>
      <c r="H474">
        <f ca="1">IF(G474=1,SUM($G$10:G474),"-")</f>
        <v>366</v>
      </c>
      <c r="I474">
        <f t="shared" ca="1" si="107"/>
        <v>0.33807450300688213</v>
      </c>
      <c r="J474">
        <f t="shared" ca="1" si="108"/>
        <v>0.91242542013466421</v>
      </c>
      <c r="L474">
        <f t="shared" si="100"/>
        <v>465</v>
      </c>
      <c r="M474">
        <f t="shared" ca="1" si="109"/>
        <v>0.95892968018223335</v>
      </c>
      <c r="N474">
        <f t="shared" ca="1" si="110"/>
        <v>-0.15376119006828737</v>
      </c>
      <c r="O474">
        <f t="shared" ca="1" si="111"/>
        <v>0.97117899231069471</v>
      </c>
    </row>
    <row r="475" spans="1:15" x14ac:dyDescent="0.2">
      <c r="A475">
        <f t="shared" si="102"/>
        <v>466</v>
      </c>
      <c r="B475">
        <f t="shared" ca="1" si="104"/>
        <v>0.84011776345282962</v>
      </c>
      <c r="C475">
        <f t="shared" ca="1" si="113"/>
        <v>0.93654749309073182</v>
      </c>
      <c r="D475">
        <f t="shared" ca="1" si="113"/>
        <v>-0.7612784612521466</v>
      </c>
      <c r="E475">
        <f t="shared" ca="1" si="105"/>
        <v>0</v>
      </c>
      <c r="F475">
        <f t="shared" si="112"/>
        <v>0.25</v>
      </c>
      <c r="G475">
        <f t="shared" ca="1" si="106"/>
        <v>0</v>
      </c>
      <c r="H475" t="str">
        <f ca="1">IF(G475=1,SUM($G$10:G475),"-")</f>
        <v>-</v>
      </c>
      <c r="I475" t="str">
        <f t="shared" ca="1" si="107"/>
        <v>-</v>
      </c>
      <c r="J475" t="str">
        <f t="shared" ca="1" si="108"/>
        <v>-</v>
      </c>
      <c r="L475">
        <f t="shared" si="100"/>
        <v>466</v>
      </c>
      <c r="M475">
        <f t="shared" ca="1" si="109"/>
        <v>-0.37678228278131565</v>
      </c>
      <c r="N475">
        <f t="shared" ca="1" si="110"/>
        <v>-0.85935306489531449</v>
      </c>
      <c r="O475">
        <f t="shared" ca="1" si="111"/>
        <v>0.93832434624860384</v>
      </c>
    </row>
    <row r="476" spans="1:15" x14ac:dyDescent="0.2">
      <c r="A476">
        <f t="shared" si="102"/>
        <v>467</v>
      </c>
      <c r="B476">
        <f t="shared" ca="1" si="104"/>
        <v>0.74155250358378322</v>
      </c>
      <c r="C476">
        <f t="shared" ca="1" si="113"/>
        <v>-0.32156489709414648</v>
      </c>
      <c r="D476">
        <f t="shared" ca="1" si="113"/>
        <v>-0.78571349141693547</v>
      </c>
      <c r="E476">
        <f t="shared" ca="1" si="105"/>
        <v>0.31830988618379069</v>
      </c>
      <c r="F476">
        <f t="shared" si="112"/>
        <v>0.25</v>
      </c>
      <c r="G476">
        <f t="shared" ca="1" si="106"/>
        <v>1</v>
      </c>
      <c r="H476">
        <f ca="1">IF(G476=1,SUM($G$10:G476),"-")</f>
        <v>367</v>
      </c>
      <c r="I476">
        <f t="shared" ca="1" si="107"/>
        <v>-0.32156489709414648</v>
      </c>
      <c r="J476">
        <f t="shared" ca="1" si="108"/>
        <v>-0.78571349141693547</v>
      </c>
      <c r="L476">
        <f t="shared" si="100"/>
        <v>467</v>
      </c>
      <c r="M476">
        <f t="shared" ca="1" si="109"/>
        <v>0.1138801479714453</v>
      </c>
      <c r="N476">
        <f t="shared" ca="1" si="110"/>
        <v>-0.31758440179667202</v>
      </c>
      <c r="O476">
        <f t="shared" ca="1" si="111"/>
        <v>0.33738485497506893</v>
      </c>
    </row>
    <row r="477" spans="1:15" x14ac:dyDescent="0.2">
      <c r="A477">
        <f t="shared" si="102"/>
        <v>468</v>
      </c>
      <c r="B477">
        <f t="shared" ca="1" si="104"/>
        <v>0.48178016887330533</v>
      </c>
      <c r="C477">
        <f t="shared" ca="1" si="113"/>
        <v>-0.71856379866513653</v>
      </c>
      <c r="D477">
        <f t="shared" ca="1" si="113"/>
        <v>-0.80142542579839038</v>
      </c>
      <c r="E477">
        <f t="shared" ca="1" si="105"/>
        <v>0</v>
      </c>
      <c r="F477">
        <f t="shared" si="112"/>
        <v>0.25</v>
      </c>
      <c r="G477">
        <f t="shared" ca="1" si="106"/>
        <v>0</v>
      </c>
      <c r="H477" t="str">
        <f ca="1">IF(G477=1,SUM($G$10:G477),"-")</f>
        <v>-</v>
      </c>
      <c r="I477" t="str">
        <f t="shared" ca="1" si="107"/>
        <v>-</v>
      </c>
      <c r="J477" t="str">
        <f t="shared" ca="1" si="108"/>
        <v>-</v>
      </c>
      <c r="L477">
        <f t="shared" si="100"/>
        <v>468</v>
      </c>
      <c r="M477">
        <f t="shared" ca="1" si="109"/>
        <v>-0.96798515844816158</v>
      </c>
      <c r="N477">
        <f t="shared" ca="1" si="110"/>
        <v>-0.22675905002490704</v>
      </c>
      <c r="O477">
        <f t="shared" ca="1" si="111"/>
        <v>0.99419059226292761</v>
      </c>
    </row>
    <row r="478" spans="1:15" x14ac:dyDescent="0.2">
      <c r="A478">
        <f t="shared" si="102"/>
        <v>469</v>
      </c>
      <c r="B478">
        <f t="shared" ca="1" si="104"/>
        <v>0.43949960790384279</v>
      </c>
      <c r="C478">
        <f t="shared" ca="1" si="113"/>
        <v>-0.5335821069641713</v>
      </c>
      <c r="D478">
        <f t="shared" ca="1" si="113"/>
        <v>2.0993544925932861E-2</v>
      </c>
      <c r="E478">
        <f t="shared" ca="1" si="105"/>
        <v>0.31830988618379069</v>
      </c>
      <c r="F478">
        <f t="shared" si="112"/>
        <v>0.25</v>
      </c>
      <c r="G478">
        <f t="shared" ca="1" si="106"/>
        <v>1</v>
      </c>
      <c r="H478">
        <f ca="1">IF(G478=1,SUM($G$10:G478),"-")</f>
        <v>368</v>
      </c>
      <c r="I478">
        <f t="shared" ca="1" si="107"/>
        <v>-0.5335821069641713</v>
      </c>
      <c r="J478">
        <f t="shared" ca="1" si="108"/>
        <v>2.0993544925932861E-2</v>
      </c>
      <c r="L478">
        <f t="shared" si="100"/>
        <v>469</v>
      </c>
      <c r="M478">
        <f t="shared" ca="1" si="109"/>
        <v>-0.40603422666091649</v>
      </c>
      <c r="N478">
        <f t="shared" ca="1" si="110"/>
        <v>0.48499983857014817</v>
      </c>
      <c r="O478">
        <f t="shared" ca="1" si="111"/>
        <v>0.63252560156344528</v>
      </c>
    </row>
    <row r="479" spans="1:15" x14ac:dyDescent="0.2">
      <c r="A479">
        <f t="shared" si="102"/>
        <v>470</v>
      </c>
      <c r="B479">
        <f t="shared" ca="1" si="104"/>
        <v>0.55336752860368355</v>
      </c>
      <c r="C479">
        <f t="shared" ca="1" si="113"/>
        <v>0.9858375146661349</v>
      </c>
      <c r="D479">
        <f t="shared" ca="1" si="113"/>
        <v>3.1688525284157887E-2</v>
      </c>
      <c r="E479">
        <f t="shared" ca="1" si="105"/>
        <v>0.31830988618379069</v>
      </c>
      <c r="F479">
        <f t="shared" si="112"/>
        <v>0.25</v>
      </c>
      <c r="G479">
        <f t="shared" ca="1" si="106"/>
        <v>1</v>
      </c>
      <c r="H479">
        <f ca="1">IF(G479=1,SUM($G$10:G479),"-")</f>
        <v>369</v>
      </c>
      <c r="I479">
        <f t="shared" ca="1" si="107"/>
        <v>0.9858375146661349</v>
      </c>
      <c r="J479">
        <f t="shared" ca="1" si="108"/>
        <v>3.1688525284157887E-2</v>
      </c>
      <c r="L479">
        <f t="shared" si="100"/>
        <v>470</v>
      </c>
      <c r="M479">
        <f t="shared" ca="1" si="109"/>
        <v>0.74582667584800455</v>
      </c>
      <c r="N479">
        <f t="shared" ca="1" si="110"/>
        <v>0.12389709345166522</v>
      </c>
      <c r="O479">
        <f t="shared" ca="1" si="111"/>
        <v>0.7560475647551913</v>
      </c>
    </row>
    <row r="480" spans="1:15" x14ac:dyDescent="0.2">
      <c r="A480">
        <f t="shared" si="102"/>
        <v>471</v>
      </c>
      <c r="B480">
        <f t="shared" ca="1" si="104"/>
        <v>0.40284713797855665</v>
      </c>
      <c r="C480">
        <f t="shared" ca="1" si="113"/>
        <v>0.51186628032295456</v>
      </c>
      <c r="D480">
        <f t="shared" ca="1" si="113"/>
        <v>0.81734098495233853</v>
      </c>
      <c r="E480">
        <f t="shared" ca="1" si="105"/>
        <v>0.31830988618379069</v>
      </c>
      <c r="F480">
        <f t="shared" si="112"/>
        <v>0.25</v>
      </c>
      <c r="G480">
        <f t="shared" ca="1" si="106"/>
        <v>1</v>
      </c>
      <c r="H480">
        <f ca="1">IF(G480=1,SUM($G$10:G480),"-")</f>
        <v>370</v>
      </c>
      <c r="I480">
        <f t="shared" ca="1" si="107"/>
        <v>0.51186628032295456</v>
      </c>
      <c r="J480">
        <f t="shared" ca="1" si="108"/>
        <v>0.81734098495233853</v>
      </c>
      <c r="L480">
        <f t="shared" si="100"/>
        <v>471</v>
      </c>
      <c r="M480">
        <f t="shared" ca="1" si="109"/>
        <v>-0.17216489524945833</v>
      </c>
      <c r="N480">
        <f t="shared" ca="1" si="110"/>
        <v>0.16173205727069639</v>
      </c>
      <c r="O480">
        <f t="shared" ca="1" si="111"/>
        <v>0.23621602296471927</v>
      </c>
    </row>
    <row r="481" spans="1:15" x14ac:dyDescent="0.2">
      <c r="A481">
        <f t="shared" si="102"/>
        <v>472</v>
      </c>
      <c r="B481">
        <f t="shared" ca="1" si="104"/>
        <v>0.63181114783425496</v>
      </c>
      <c r="C481">
        <f t="shared" ca="1" si="113"/>
        <v>0.81350041028302078</v>
      </c>
      <c r="D481">
        <f t="shared" ca="1" si="113"/>
        <v>0.5941172182165142</v>
      </c>
      <c r="E481">
        <f t="shared" ca="1" si="105"/>
        <v>0</v>
      </c>
      <c r="F481">
        <f t="shared" si="112"/>
        <v>0.25</v>
      </c>
      <c r="G481">
        <f t="shared" ca="1" si="106"/>
        <v>0</v>
      </c>
      <c r="H481" t="str">
        <f ca="1">IF(G481=1,SUM($G$10:G481),"-")</f>
        <v>-</v>
      </c>
      <c r="I481" t="str">
        <f t="shared" ca="1" si="107"/>
        <v>-</v>
      </c>
      <c r="J481" t="str">
        <f t="shared" ca="1" si="108"/>
        <v>-</v>
      </c>
      <c r="L481">
        <f t="shared" si="100"/>
        <v>472</v>
      </c>
      <c r="M481">
        <f t="shared" ca="1" si="109"/>
        <v>0.41965831137348575</v>
      </c>
      <c r="N481">
        <f t="shared" ca="1" si="110"/>
        <v>0.67108892073545534</v>
      </c>
      <c r="O481">
        <f t="shared" ca="1" si="111"/>
        <v>0.7915007503715481</v>
      </c>
    </row>
    <row r="482" spans="1:15" x14ac:dyDescent="0.2">
      <c r="A482">
        <f t="shared" si="102"/>
        <v>473</v>
      </c>
      <c r="B482">
        <f t="shared" ca="1" si="104"/>
        <v>0.35277544573454089</v>
      </c>
      <c r="C482">
        <f t="shared" ca="1" si="113"/>
        <v>-0.89286792622480582</v>
      </c>
      <c r="D482">
        <f t="shared" ca="1" si="113"/>
        <v>-0.72640252141879236</v>
      </c>
      <c r="E482">
        <f t="shared" ca="1" si="105"/>
        <v>0</v>
      </c>
      <c r="F482">
        <f t="shared" si="112"/>
        <v>0.25</v>
      </c>
      <c r="G482">
        <f t="shared" ca="1" si="106"/>
        <v>0</v>
      </c>
      <c r="H482" t="str">
        <f ca="1">IF(G482=1,SUM($G$10:G482),"-")</f>
        <v>-</v>
      </c>
      <c r="I482" t="str">
        <f t="shared" ca="1" si="107"/>
        <v>-</v>
      </c>
      <c r="J482" t="str">
        <f t="shared" ca="1" si="108"/>
        <v>-</v>
      </c>
      <c r="L482">
        <f t="shared" si="100"/>
        <v>473</v>
      </c>
      <c r="M482">
        <f t="shared" ca="1" si="109"/>
        <v>0.11112333654494888</v>
      </c>
      <c r="N482">
        <f t="shared" ca="1" si="110"/>
        <v>0.41587943977152531</v>
      </c>
      <c r="O482">
        <f t="shared" ca="1" si="111"/>
        <v>0.4304696323198185</v>
      </c>
    </row>
    <row r="483" spans="1:15" x14ac:dyDescent="0.2">
      <c r="A483">
        <f t="shared" si="102"/>
        <v>474</v>
      </c>
      <c r="B483">
        <f t="shared" ca="1" si="104"/>
        <v>0.72480545009328101</v>
      </c>
      <c r="C483">
        <f t="shared" ca="1" si="113"/>
        <v>4.2350772089258859E-2</v>
      </c>
      <c r="D483">
        <f t="shared" ca="1" si="113"/>
        <v>0.83437687872379129</v>
      </c>
      <c r="E483">
        <f t="shared" ca="1" si="105"/>
        <v>0.31830988618379069</v>
      </c>
      <c r="F483">
        <f t="shared" si="112"/>
        <v>0.25</v>
      </c>
      <c r="G483">
        <f t="shared" ca="1" si="106"/>
        <v>1</v>
      </c>
      <c r="H483">
        <f ca="1">IF(G483=1,SUM($G$10:G483),"-")</f>
        <v>371</v>
      </c>
      <c r="I483">
        <f t="shared" ca="1" si="107"/>
        <v>4.2350772089258859E-2</v>
      </c>
      <c r="J483">
        <f t="shared" ca="1" si="108"/>
        <v>0.83437687872379129</v>
      </c>
      <c r="L483">
        <f t="shared" si="100"/>
        <v>474</v>
      </c>
      <c r="M483">
        <f t="shared" ca="1" si="109"/>
        <v>-0.49007433915280707</v>
      </c>
      <c r="N483">
        <f t="shared" ca="1" si="110"/>
        <v>-0.72799010269879005</v>
      </c>
      <c r="O483">
        <f t="shared" ca="1" si="111"/>
        <v>0.87757760199509172</v>
      </c>
    </row>
    <row r="484" spans="1:15" x14ac:dyDescent="0.2">
      <c r="A484">
        <f t="shared" si="102"/>
        <v>475</v>
      </c>
      <c r="B484">
        <f t="shared" ca="1" si="104"/>
        <v>0.15068505283858524</v>
      </c>
      <c r="C484">
        <f t="shared" ca="1" si="113"/>
        <v>-0.36690917371439213</v>
      </c>
      <c r="D484">
        <f t="shared" ca="1" si="113"/>
        <v>-0.37625758078390392</v>
      </c>
      <c r="E484">
        <f t="shared" ca="1" si="105"/>
        <v>0.31830988618379069</v>
      </c>
      <c r="F484">
        <f t="shared" si="112"/>
        <v>0.25</v>
      </c>
      <c r="G484">
        <f t="shared" ca="1" si="106"/>
        <v>1</v>
      </c>
      <c r="H484">
        <f ca="1">IF(G484=1,SUM($G$10:G484),"-")</f>
        <v>372</v>
      </c>
      <c r="I484">
        <f t="shared" ca="1" si="107"/>
        <v>-0.36690917371439213</v>
      </c>
      <c r="J484">
        <f t="shared" ca="1" si="108"/>
        <v>-0.37625758078390392</v>
      </c>
      <c r="L484">
        <f t="shared" ref="L484:L509" si="114">1+L483</f>
        <v>475</v>
      </c>
      <c r="M484">
        <f t="shared" ca="1" si="109"/>
        <v>0.76751634415689929</v>
      </c>
      <c r="N484">
        <f t="shared" ca="1" si="110"/>
        <v>0.42151968208569368</v>
      </c>
      <c r="O484">
        <f t="shared" ca="1" si="111"/>
        <v>0.87564843455213015</v>
      </c>
    </row>
    <row r="485" spans="1:15" x14ac:dyDescent="0.2">
      <c r="A485">
        <f t="shared" si="102"/>
        <v>476</v>
      </c>
      <c r="B485">
        <f t="shared" ca="1" si="104"/>
        <v>0.94545401513982019</v>
      </c>
      <c r="C485">
        <f t="shared" ca="1" si="113"/>
        <v>-0.24155393820665982</v>
      </c>
      <c r="D485">
        <f t="shared" ca="1" si="113"/>
        <v>-0.90771628194190113</v>
      </c>
      <c r="E485">
        <f t="shared" ca="1" si="105"/>
        <v>0.31830988618379069</v>
      </c>
      <c r="F485">
        <f t="shared" si="112"/>
        <v>0.25</v>
      </c>
      <c r="G485">
        <f t="shared" ca="1" si="106"/>
        <v>1</v>
      </c>
      <c r="H485">
        <f ca="1">IF(G485=1,SUM($G$10:G485),"-")</f>
        <v>373</v>
      </c>
      <c r="I485">
        <f t="shared" ca="1" si="107"/>
        <v>-0.24155393820665982</v>
      </c>
      <c r="J485">
        <f t="shared" ca="1" si="108"/>
        <v>-0.90771628194190113</v>
      </c>
      <c r="L485">
        <f t="shared" si="114"/>
        <v>476</v>
      </c>
      <c r="M485">
        <f t="shared" ca="1" si="109"/>
        <v>-0.12736904884580658</v>
      </c>
      <c r="N485">
        <f t="shared" ca="1" si="110"/>
        <v>-0.15370928454944432</v>
      </c>
      <c r="O485">
        <f t="shared" ca="1" si="111"/>
        <v>0.19962319194068487</v>
      </c>
    </row>
    <row r="486" spans="1:15" x14ac:dyDescent="0.2">
      <c r="A486">
        <f t="shared" si="102"/>
        <v>477</v>
      </c>
      <c r="B486">
        <f t="shared" ca="1" si="104"/>
        <v>0.76397642738163707</v>
      </c>
      <c r="C486">
        <f t="shared" ca="1" si="113"/>
        <v>0.94159990340786703</v>
      </c>
      <c r="D486">
        <f t="shared" ca="1" si="113"/>
        <v>-0.17892200918448764</v>
      </c>
      <c r="E486">
        <f t="shared" ca="1" si="105"/>
        <v>0.31830988618379069</v>
      </c>
      <c r="F486">
        <f t="shared" si="112"/>
        <v>0.25</v>
      </c>
      <c r="G486">
        <f t="shared" ca="1" si="106"/>
        <v>1</v>
      </c>
      <c r="H486">
        <f ca="1">IF(G486=1,SUM($G$10:G486),"-")</f>
        <v>374</v>
      </c>
      <c r="I486">
        <f t="shared" ca="1" si="107"/>
        <v>0.94159990340786703</v>
      </c>
      <c r="J486">
        <f t="shared" ca="1" si="108"/>
        <v>-0.17892200918448764</v>
      </c>
      <c r="L486">
        <f t="shared" si="114"/>
        <v>477</v>
      </c>
      <c r="M486">
        <f t="shared" ca="1" si="109"/>
        <v>0.71749593656407429</v>
      </c>
      <c r="N486">
        <f t="shared" ca="1" si="110"/>
        <v>-0.16675981681693908</v>
      </c>
      <c r="O486">
        <f t="shared" ca="1" si="111"/>
        <v>0.73662015685886384</v>
      </c>
    </row>
    <row r="487" spans="1:15" x14ac:dyDescent="0.2">
      <c r="A487">
        <f t="shared" si="102"/>
        <v>478</v>
      </c>
      <c r="B487">
        <f t="shared" ca="1" si="104"/>
        <v>0.5706651291899707</v>
      </c>
      <c r="C487">
        <f t="shared" ca="1" si="113"/>
        <v>-4.8809663218516874E-2</v>
      </c>
      <c r="D487">
        <f t="shared" ca="1" si="113"/>
        <v>0.40043427686506039</v>
      </c>
      <c r="E487">
        <f t="shared" ca="1" si="105"/>
        <v>0.31830988618379069</v>
      </c>
      <c r="F487">
        <f t="shared" si="112"/>
        <v>0.25</v>
      </c>
      <c r="G487">
        <f t="shared" ca="1" si="106"/>
        <v>1</v>
      </c>
      <c r="H487">
        <f ca="1">IF(G487=1,SUM($G$10:G487),"-")</f>
        <v>375</v>
      </c>
      <c r="I487">
        <f t="shared" ca="1" si="107"/>
        <v>-4.8809663218516874E-2</v>
      </c>
      <c r="J487">
        <f t="shared" ca="1" si="108"/>
        <v>0.40043427686506039</v>
      </c>
      <c r="L487">
        <f t="shared" si="114"/>
        <v>478</v>
      </c>
      <c r="M487">
        <f t="shared" ca="1" si="109"/>
        <v>-0.34127868292088026</v>
      </c>
      <c r="N487">
        <f t="shared" ca="1" si="110"/>
        <v>0.59854572604558665</v>
      </c>
      <c r="O487">
        <f t="shared" ca="1" si="111"/>
        <v>0.68900517094115421</v>
      </c>
    </row>
    <row r="488" spans="1:15" x14ac:dyDescent="0.2">
      <c r="A488">
        <f t="shared" si="102"/>
        <v>479</v>
      </c>
      <c r="B488">
        <f t="shared" ca="1" si="104"/>
        <v>0.59948966753965915</v>
      </c>
      <c r="C488">
        <f t="shared" ca="1" si="113"/>
        <v>0.498309033103145</v>
      </c>
      <c r="D488">
        <f t="shared" ca="1" si="113"/>
        <v>-0.78832091059496601</v>
      </c>
      <c r="E488">
        <f t="shared" ca="1" si="105"/>
        <v>0.31830988618379069</v>
      </c>
      <c r="F488">
        <f t="shared" si="112"/>
        <v>0.25</v>
      </c>
      <c r="G488">
        <f t="shared" ca="1" si="106"/>
        <v>1</v>
      </c>
      <c r="H488">
        <f ca="1">IF(G488=1,SUM($G$10:G488),"-")</f>
        <v>376</v>
      </c>
      <c r="I488">
        <f t="shared" ca="1" si="107"/>
        <v>0.498309033103145</v>
      </c>
      <c r="J488">
        <f t="shared" ca="1" si="108"/>
        <v>-0.78832091059496601</v>
      </c>
      <c r="L488">
        <f t="shared" si="114"/>
        <v>479</v>
      </c>
      <c r="M488">
        <f t="shared" ca="1" si="109"/>
        <v>0.4540265054736432</v>
      </c>
      <c r="N488">
        <f t="shared" ca="1" si="110"/>
        <v>0.34431026302557788</v>
      </c>
      <c r="O488">
        <f t="shared" ca="1" si="111"/>
        <v>0.56981543055392136</v>
      </c>
    </row>
    <row r="489" spans="1:15" x14ac:dyDescent="0.2">
      <c r="A489">
        <f t="shared" si="102"/>
        <v>480</v>
      </c>
      <c r="B489">
        <f t="shared" ca="1" si="104"/>
        <v>0.78887563124620363</v>
      </c>
      <c r="C489">
        <f t="shared" ca="1" si="113"/>
        <v>-0.45943509351746648</v>
      </c>
      <c r="D489">
        <f t="shared" ca="1" si="113"/>
        <v>-0.99939267472976345</v>
      </c>
      <c r="E489">
        <f t="shared" ca="1" si="105"/>
        <v>0</v>
      </c>
      <c r="F489">
        <f t="shared" si="112"/>
        <v>0.25</v>
      </c>
      <c r="G489">
        <f t="shared" ca="1" si="106"/>
        <v>0</v>
      </c>
      <c r="H489" t="str">
        <f ca="1">IF(G489=1,SUM($G$10:G489),"-")</f>
        <v>-</v>
      </c>
      <c r="I489" t="str">
        <f t="shared" ca="1" si="107"/>
        <v>-</v>
      </c>
      <c r="J489" t="str">
        <f t="shared" ca="1" si="108"/>
        <v>-</v>
      </c>
      <c r="L489">
        <f t="shared" si="114"/>
        <v>480</v>
      </c>
      <c r="M489">
        <f t="shared" ca="1" si="109"/>
        <v>-0.17755033673695575</v>
      </c>
      <c r="N489">
        <f t="shared" ca="1" si="110"/>
        <v>0.77422721949396967</v>
      </c>
      <c r="O489">
        <f t="shared" ca="1" si="111"/>
        <v>0.79432481358747054</v>
      </c>
    </row>
    <row r="490" spans="1:15" x14ac:dyDescent="0.2">
      <c r="A490">
        <f t="shared" si="102"/>
        <v>481</v>
      </c>
      <c r="B490">
        <f t="shared" ca="1" si="104"/>
        <v>0.22353452850376487</v>
      </c>
      <c r="C490">
        <f t="shared" ref="C490:D509" ca="1" si="115">2*RAND()-1</f>
        <v>-0.63176702958038167</v>
      </c>
      <c r="D490">
        <f t="shared" ca="1" si="115"/>
        <v>-0.51539156686621945</v>
      </c>
      <c r="E490">
        <f t="shared" ca="1" si="105"/>
        <v>0.31830988618379069</v>
      </c>
      <c r="F490">
        <f t="shared" si="112"/>
        <v>0.25</v>
      </c>
      <c r="G490">
        <f t="shared" ca="1" si="106"/>
        <v>1</v>
      </c>
      <c r="H490">
        <f ca="1">IF(G490=1,SUM($G$10:G490),"-")</f>
        <v>377</v>
      </c>
      <c r="I490">
        <f t="shared" ca="1" si="107"/>
        <v>-0.63176702958038167</v>
      </c>
      <c r="J490">
        <f t="shared" ca="1" si="108"/>
        <v>-0.51539156686621945</v>
      </c>
      <c r="L490">
        <f t="shared" si="114"/>
        <v>481</v>
      </c>
      <c r="M490">
        <f t="shared" ca="1" si="109"/>
        <v>-0.16230264278329543</v>
      </c>
      <c r="N490">
        <f t="shared" ca="1" si="110"/>
        <v>-0.22668300171670674</v>
      </c>
      <c r="O490">
        <f t="shared" ca="1" si="111"/>
        <v>0.27879621791146747</v>
      </c>
    </row>
    <row r="491" spans="1:15" x14ac:dyDescent="0.2">
      <c r="A491">
        <f t="shared" si="102"/>
        <v>482</v>
      </c>
      <c r="B491">
        <f t="shared" ca="1" si="104"/>
        <v>0.59851744869043966</v>
      </c>
      <c r="C491">
        <f t="shared" ca="1" si="115"/>
        <v>-1.9758325259434217E-2</v>
      </c>
      <c r="D491">
        <f t="shared" ca="1" si="115"/>
        <v>-0.96185285337842719</v>
      </c>
      <c r="E491">
        <f t="shared" ca="1" si="105"/>
        <v>0.31830988618379069</v>
      </c>
      <c r="F491">
        <f t="shared" si="112"/>
        <v>0.25</v>
      </c>
      <c r="G491">
        <f t="shared" ca="1" si="106"/>
        <v>1</v>
      </c>
      <c r="H491">
        <f ca="1">IF(G491=1,SUM($G$10:G491),"-")</f>
        <v>378</v>
      </c>
      <c r="I491">
        <f t="shared" ca="1" si="107"/>
        <v>-1.9758325259434217E-2</v>
      </c>
      <c r="J491">
        <f t="shared" ca="1" si="108"/>
        <v>-0.96185285337842719</v>
      </c>
      <c r="L491">
        <f t="shared" si="114"/>
        <v>482</v>
      </c>
      <c r="M491">
        <f t="shared" ca="1" si="109"/>
        <v>0.46116116178480548</v>
      </c>
      <c r="N491">
        <f t="shared" ca="1" si="110"/>
        <v>0.52298347951011559</v>
      </c>
      <c r="O491">
        <f t="shared" ca="1" si="111"/>
        <v>0.69726704853966748</v>
      </c>
    </row>
    <row r="492" spans="1:15" x14ac:dyDescent="0.2">
      <c r="A492">
        <f t="shared" si="102"/>
        <v>483</v>
      </c>
      <c r="B492">
        <f t="shared" ca="1" si="104"/>
        <v>2.6452207042883646E-2</v>
      </c>
      <c r="C492">
        <f t="shared" ca="1" si="115"/>
        <v>-0.97616039526992915</v>
      </c>
      <c r="D492">
        <f t="shared" ca="1" si="115"/>
        <v>-0.77285441911804909</v>
      </c>
      <c r="E492">
        <f t="shared" ca="1" si="105"/>
        <v>0</v>
      </c>
      <c r="F492">
        <f t="shared" si="112"/>
        <v>0.25</v>
      </c>
      <c r="G492">
        <f t="shared" ca="1" si="106"/>
        <v>0</v>
      </c>
      <c r="H492" t="str">
        <f ca="1">IF(G492=1,SUM($G$10:G492),"-")</f>
        <v>-</v>
      </c>
      <c r="I492" t="str">
        <f t="shared" ca="1" si="107"/>
        <v>-</v>
      </c>
      <c r="J492" t="str">
        <f t="shared" ca="1" si="108"/>
        <v>-</v>
      </c>
      <c r="L492">
        <f t="shared" si="114"/>
        <v>483</v>
      </c>
      <c r="M492">
        <f t="shared" ca="1" si="109"/>
        <v>-8.9811442308215028E-2</v>
      </c>
      <c r="N492">
        <f t="shared" ca="1" si="110"/>
        <v>0.14871650772663747</v>
      </c>
      <c r="O492">
        <f t="shared" ca="1" si="111"/>
        <v>0.17373167483187646</v>
      </c>
    </row>
    <row r="493" spans="1:15" x14ac:dyDescent="0.2">
      <c r="A493">
        <f t="shared" si="102"/>
        <v>484</v>
      </c>
      <c r="B493">
        <f t="shared" ca="1" si="104"/>
        <v>0.97660862246249636</v>
      </c>
      <c r="C493">
        <f t="shared" ca="1" si="115"/>
        <v>0.49788317082538236</v>
      </c>
      <c r="D493">
        <f t="shared" ca="1" si="115"/>
        <v>0.92776104213358046</v>
      </c>
      <c r="E493">
        <f t="shared" ca="1" si="105"/>
        <v>0</v>
      </c>
      <c r="F493">
        <f t="shared" si="112"/>
        <v>0.25</v>
      </c>
      <c r="G493">
        <f t="shared" ca="1" si="106"/>
        <v>0</v>
      </c>
      <c r="H493" t="str">
        <f ca="1">IF(G493=1,SUM($G$10:G493),"-")</f>
        <v>-</v>
      </c>
      <c r="I493" t="str">
        <f t="shared" ca="1" si="107"/>
        <v>-</v>
      </c>
      <c r="J493" t="str">
        <f t="shared" ca="1" si="108"/>
        <v>-</v>
      </c>
      <c r="L493">
        <f t="shared" si="114"/>
        <v>484</v>
      </c>
      <c r="M493">
        <f t="shared" ca="1" si="109"/>
        <v>-0.33291715260129506</v>
      </c>
      <c r="N493">
        <f t="shared" ca="1" si="110"/>
        <v>-0.9251601601782784</v>
      </c>
      <c r="O493">
        <f t="shared" ca="1" si="111"/>
        <v>0.98323707846950714</v>
      </c>
    </row>
    <row r="494" spans="1:15" x14ac:dyDescent="0.2">
      <c r="A494">
        <f t="shared" si="102"/>
        <v>485</v>
      </c>
      <c r="B494">
        <f t="shared" ca="1" si="104"/>
        <v>0.95438060330983121</v>
      </c>
      <c r="C494">
        <f t="shared" ca="1" si="115"/>
        <v>-0.70895737071811937</v>
      </c>
      <c r="D494">
        <f t="shared" ca="1" si="115"/>
        <v>-0.94419128349797932</v>
      </c>
      <c r="E494">
        <f t="shared" ca="1" si="105"/>
        <v>0</v>
      </c>
      <c r="F494">
        <f t="shared" si="112"/>
        <v>0.25</v>
      </c>
      <c r="G494">
        <f t="shared" ca="1" si="106"/>
        <v>0</v>
      </c>
      <c r="H494" t="str">
        <f ca="1">IF(G494=1,SUM($G$10:G494),"-")</f>
        <v>-</v>
      </c>
      <c r="I494" t="str">
        <f t="shared" ca="1" si="107"/>
        <v>-</v>
      </c>
      <c r="J494" t="str">
        <f t="shared" ca="1" si="108"/>
        <v>-</v>
      </c>
      <c r="L494">
        <f t="shared" si="114"/>
        <v>485</v>
      </c>
      <c r="M494">
        <f t="shared" ca="1" si="109"/>
        <v>-4.4646603539548746E-3</v>
      </c>
      <c r="N494">
        <f t="shared" ca="1" si="110"/>
        <v>-3.8670598375567078E-2</v>
      </c>
      <c r="O494">
        <f t="shared" ca="1" si="111"/>
        <v>3.8927475782544491E-2</v>
      </c>
    </row>
    <row r="495" spans="1:15" x14ac:dyDescent="0.2">
      <c r="A495">
        <f t="shared" ref="A495:A558" si="116">1+A494</f>
        <v>486</v>
      </c>
      <c r="B495">
        <f t="shared" ca="1" si="104"/>
        <v>4.8739677984547036E-2</v>
      </c>
      <c r="C495">
        <f t="shared" ca="1" si="115"/>
        <v>0.84657415109539458</v>
      </c>
      <c r="D495">
        <f t="shared" ca="1" si="115"/>
        <v>-0.4846377486968938</v>
      </c>
      <c r="E495">
        <f t="shared" ca="1" si="105"/>
        <v>0.31830988618379069</v>
      </c>
      <c r="F495">
        <f t="shared" si="112"/>
        <v>0.25</v>
      </c>
      <c r="G495">
        <f t="shared" ca="1" si="106"/>
        <v>1</v>
      </c>
      <c r="H495">
        <f ca="1">IF(G495=1,SUM($G$10:G495),"-")</f>
        <v>379</v>
      </c>
      <c r="I495">
        <f t="shared" ca="1" si="107"/>
        <v>0.84657415109539458</v>
      </c>
      <c r="J495">
        <f t="shared" ca="1" si="108"/>
        <v>-0.4846377486968938</v>
      </c>
      <c r="L495">
        <f t="shared" si="114"/>
        <v>486</v>
      </c>
      <c r="M495">
        <f t="shared" ca="1" si="109"/>
        <v>0.16010648895044</v>
      </c>
      <c r="N495">
        <f t="shared" ca="1" si="110"/>
        <v>0.18953845051550222</v>
      </c>
      <c r="O495">
        <f t="shared" ca="1" si="111"/>
        <v>0.24811068503362538</v>
      </c>
    </row>
    <row r="496" spans="1:15" x14ac:dyDescent="0.2">
      <c r="A496">
        <f t="shared" si="116"/>
        <v>487</v>
      </c>
      <c r="B496">
        <f t="shared" ca="1" si="104"/>
        <v>0.20012534415560423</v>
      </c>
      <c r="C496">
        <f t="shared" ca="1" si="115"/>
        <v>-0.33566807857502301</v>
      </c>
      <c r="D496">
        <f t="shared" ca="1" si="115"/>
        <v>0.4750915130311566</v>
      </c>
      <c r="E496">
        <f t="shared" ca="1" si="105"/>
        <v>0.31830988618379069</v>
      </c>
      <c r="F496">
        <f t="shared" si="112"/>
        <v>0.25</v>
      </c>
      <c r="G496">
        <f t="shared" ca="1" si="106"/>
        <v>1</v>
      </c>
      <c r="H496">
        <f ca="1">IF(G496=1,SUM($G$10:G496),"-")</f>
        <v>380</v>
      </c>
      <c r="I496">
        <f t="shared" ca="1" si="107"/>
        <v>-0.33566807857502301</v>
      </c>
      <c r="J496">
        <f t="shared" ca="1" si="108"/>
        <v>0.4750915130311566</v>
      </c>
      <c r="L496">
        <f t="shared" si="114"/>
        <v>487</v>
      </c>
      <c r="M496">
        <f t="shared" ca="1" si="109"/>
        <v>0.50962499645402937</v>
      </c>
      <c r="N496">
        <f t="shared" ca="1" si="110"/>
        <v>0.59964540867154437</v>
      </c>
      <c r="O496">
        <f t="shared" ca="1" si="111"/>
        <v>0.78695123937359224</v>
      </c>
    </row>
    <row r="497" spans="1:15" x14ac:dyDescent="0.2">
      <c r="A497">
        <f t="shared" si="116"/>
        <v>488</v>
      </c>
      <c r="B497">
        <f t="shared" ca="1" si="104"/>
        <v>0.4153192329156572</v>
      </c>
      <c r="C497">
        <f t="shared" ca="1" si="115"/>
        <v>0.6897473195394388</v>
      </c>
      <c r="D497">
        <f t="shared" ca="1" si="115"/>
        <v>-0.47637523616176236</v>
      </c>
      <c r="E497">
        <f t="shared" ca="1" si="105"/>
        <v>0.31830988618379069</v>
      </c>
      <c r="F497">
        <f t="shared" si="112"/>
        <v>0.25</v>
      </c>
      <c r="G497">
        <f t="shared" ca="1" si="106"/>
        <v>1</v>
      </c>
      <c r="H497">
        <f ca="1">IF(G497=1,SUM($G$10:G497),"-")</f>
        <v>381</v>
      </c>
      <c r="I497">
        <f t="shared" ca="1" si="107"/>
        <v>0.6897473195394388</v>
      </c>
      <c r="J497">
        <f t="shared" ca="1" si="108"/>
        <v>-0.47637523616176236</v>
      </c>
      <c r="L497">
        <f t="shared" si="114"/>
        <v>488</v>
      </c>
      <c r="M497">
        <f t="shared" ca="1" si="109"/>
        <v>0.71343359814027796</v>
      </c>
      <c r="N497">
        <f t="shared" ca="1" si="110"/>
        <v>-0.33590650395888355</v>
      </c>
      <c r="O497">
        <f t="shared" ca="1" si="111"/>
        <v>0.78855607179024567</v>
      </c>
    </row>
    <row r="498" spans="1:15" x14ac:dyDescent="0.2">
      <c r="A498">
        <f t="shared" si="116"/>
        <v>489</v>
      </c>
      <c r="B498">
        <f t="shared" ca="1" si="104"/>
        <v>0.77310045366937874</v>
      </c>
      <c r="C498">
        <f t="shared" ca="1" si="115"/>
        <v>0.88232768420577035</v>
      </c>
      <c r="D498">
        <f t="shared" ca="1" si="115"/>
        <v>0.81374101502750751</v>
      </c>
      <c r="E498">
        <f t="shared" ca="1" si="105"/>
        <v>0</v>
      </c>
      <c r="F498">
        <f t="shared" si="112"/>
        <v>0.25</v>
      </c>
      <c r="G498">
        <f t="shared" ca="1" si="106"/>
        <v>0</v>
      </c>
      <c r="H498" t="str">
        <f ca="1">IF(G498=1,SUM($G$10:G498),"-")</f>
        <v>-</v>
      </c>
      <c r="I498" t="str">
        <f t="shared" ca="1" si="107"/>
        <v>-</v>
      </c>
      <c r="J498" t="str">
        <f t="shared" ca="1" si="108"/>
        <v>-</v>
      </c>
      <c r="L498">
        <f t="shared" si="114"/>
        <v>489</v>
      </c>
      <c r="M498">
        <f t="shared" ca="1" si="109"/>
        <v>-0.24033675638038066</v>
      </c>
      <c r="N498">
        <f t="shared" ca="1" si="110"/>
        <v>0.60328206188906508</v>
      </c>
      <c r="O498">
        <f t="shared" ca="1" si="111"/>
        <v>0.64939279535929884</v>
      </c>
    </row>
    <row r="499" spans="1:15" x14ac:dyDescent="0.2">
      <c r="A499">
        <f t="shared" si="116"/>
        <v>490</v>
      </c>
      <c r="B499">
        <f t="shared" ca="1" si="104"/>
        <v>0.76321804220421441</v>
      </c>
      <c r="C499">
        <f t="shared" ca="1" si="115"/>
        <v>-0.82082118101638679</v>
      </c>
      <c r="D499">
        <f t="shared" ca="1" si="115"/>
        <v>0.73008029267572505</v>
      </c>
      <c r="E499">
        <f t="shared" ca="1" si="105"/>
        <v>0</v>
      </c>
      <c r="F499">
        <f t="shared" si="112"/>
        <v>0.25</v>
      </c>
      <c r="G499">
        <f t="shared" ca="1" si="106"/>
        <v>0</v>
      </c>
      <c r="H499" t="str">
        <f ca="1">IF(G499=1,SUM($G$10:G499),"-")</f>
        <v>-</v>
      </c>
      <c r="I499" t="str">
        <f t="shared" ca="1" si="107"/>
        <v>-</v>
      </c>
      <c r="J499" t="str">
        <f t="shared" ca="1" si="108"/>
        <v>-</v>
      </c>
      <c r="L499">
        <f t="shared" si="114"/>
        <v>490</v>
      </c>
      <c r="M499">
        <f t="shared" ca="1" si="109"/>
        <v>0.38666702072628789</v>
      </c>
      <c r="N499">
        <f t="shared" ca="1" si="110"/>
        <v>0.25224552164500014</v>
      </c>
      <c r="O499">
        <f t="shared" ca="1" si="111"/>
        <v>0.46166999914148826</v>
      </c>
    </row>
    <row r="500" spans="1:15" x14ac:dyDescent="0.2">
      <c r="A500">
        <f t="shared" si="116"/>
        <v>491</v>
      </c>
      <c r="B500">
        <f t="shared" ca="1" si="104"/>
        <v>0.80503164145308315</v>
      </c>
      <c r="C500">
        <f t="shared" ca="1" si="115"/>
        <v>-0.15271401290556574</v>
      </c>
      <c r="D500">
        <f t="shared" ca="1" si="115"/>
        <v>0.82881802632782708</v>
      </c>
      <c r="E500">
        <f t="shared" ca="1" si="105"/>
        <v>0.31830988618379069</v>
      </c>
      <c r="F500">
        <f t="shared" si="112"/>
        <v>0.25</v>
      </c>
      <c r="G500">
        <f t="shared" ca="1" si="106"/>
        <v>1</v>
      </c>
      <c r="H500">
        <f ca="1">IF(G500=1,SUM($G$10:G500),"-")</f>
        <v>382</v>
      </c>
      <c r="I500">
        <f t="shared" ca="1" si="107"/>
        <v>-0.15271401290556574</v>
      </c>
      <c r="J500">
        <f t="shared" ca="1" si="108"/>
        <v>0.82881802632782708</v>
      </c>
      <c r="L500">
        <f t="shared" si="114"/>
        <v>491</v>
      </c>
      <c r="M500">
        <f t="shared" ca="1" si="109"/>
        <v>-0.33717092938315041</v>
      </c>
      <c r="N500">
        <f t="shared" ca="1" si="110"/>
        <v>-0.43534499132226556</v>
      </c>
      <c r="O500">
        <f t="shared" ca="1" si="111"/>
        <v>0.55064461959641531</v>
      </c>
    </row>
    <row r="501" spans="1:15" x14ac:dyDescent="0.2">
      <c r="A501">
        <f t="shared" si="116"/>
        <v>492</v>
      </c>
      <c r="B501">
        <f t="shared" ca="1" si="104"/>
        <v>0.58770562425324613</v>
      </c>
      <c r="C501">
        <f t="shared" ca="1" si="115"/>
        <v>0.81080016514563069</v>
      </c>
      <c r="D501">
        <f t="shared" ca="1" si="115"/>
        <v>2.1180902125316869E-2</v>
      </c>
      <c r="E501">
        <f t="shared" ca="1" si="105"/>
        <v>0.31830988618379069</v>
      </c>
      <c r="F501">
        <f t="shared" si="112"/>
        <v>0.25</v>
      </c>
      <c r="G501">
        <f t="shared" ca="1" si="106"/>
        <v>1</v>
      </c>
      <c r="H501">
        <f ca="1">IF(G501=1,SUM($G$10:G501),"-")</f>
        <v>383</v>
      </c>
      <c r="I501">
        <f t="shared" ca="1" si="107"/>
        <v>0.81080016514563069</v>
      </c>
      <c r="J501">
        <f t="shared" ca="1" si="108"/>
        <v>2.1180902125316869E-2</v>
      </c>
      <c r="L501">
        <f t="shared" si="114"/>
        <v>492</v>
      </c>
      <c r="M501">
        <f t="shared" ca="1" si="109"/>
        <v>0.59371096160338621</v>
      </c>
      <c r="N501">
        <f t="shared" ca="1" si="110"/>
        <v>6.3688799856957523E-2</v>
      </c>
      <c r="O501">
        <f t="shared" ca="1" si="111"/>
        <v>0.597117215591074</v>
      </c>
    </row>
    <row r="502" spans="1:15" x14ac:dyDescent="0.2">
      <c r="A502">
        <f t="shared" si="116"/>
        <v>493</v>
      </c>
      <c r="B502">
        <f t="shared" ca="1" si="104"/>
        <v>0.26254822919222542</v>
      </c>
      <c r="C502">
        <f t="shared" ca="1" si="115"/>
        <v>-0.11088170804702768</v>
      </c>
      <c r="D502">
        <f t="shared" ca="1" si="115"/>
        <v>-0.61653086801405799</v>
      </c>
      <c r="E502">
        <f t="shared" ca="1" si="105"/>
        <v>0.31830988618379069</v>
      </c>
      <c r="F502">
        <f t="shared" si="112"/>
        <v>0.25</v>
      </c>
      <c r="G502">
        <f t="shared" ca="1" si="106"/>
        <v>1</v>
      </c>
      <c r="H502">
        <f ca="1">IF(G502=1,SUM($G$10:G502),"-")</f>
        <v>384</v>
      </c>
      <c r="I502">
        <f t="shared" ca="1" si="107"/>
        <v>-0.11088170804702768</v>
      </c>
      <c r="J502">
        <f t="shared" ca="1" si="108"/>
        <v>-0.61653086801405799</v>
      </c>
      <c r="L502">
        <f t="shared" si="114"/>
        <v>493</v>
      </c>
      <c r="M502">
        <f t="shared" ca="1" si="109"/>
        <v>-0.73849165356191349</v>
      </c>
      <c r="N502">
        <f t="shared" ca="1" si="110"/>
        <v>0.27622407349225253</v>
      </c>
      <c r="O502">
        <f t="shared" ca="1" si="111"/>
        <v>0.78846031045149156</v>
      </c>
    </row>
    <row r="503" spans="1:15" x14ac:dyDescent="0.2">
      <c r="A503">
        <f t="shared" si="116"/>
        <v>494</v>
      </c>
      <c r="B503">
        <f t="shared" ca="1" si="104"/>
        <v>0.34822534642427438</v>
      </c>
      <c r="C503">
        <f t="shared" ca="1" si="115"/>
        <v>-0.2096116889020001</v>
      </c>
      <c r="D503">
        <f t="shared" ca="1" si="115"/>
        <v>0.29290354143142738</v>
      </c>
      <c r="E503">
        <f t="shared" ca="1" si="105"/>
        <v>0.31830988618379069</v>
      </c>
      <c r="F503">
        <f t="shared" si="112"/>
        <v>0.25</v>
      </c>
      <c r="G503">
        <f t="shared" ca="1" si="106"/>
        <v>1</v>
      </c>
      <c r="H503">
        <f ca="1">IF(G503=1,SUM($G$10:G503),"-")</f>
        <v>385</v>
      </c>
      <c r="I503">
        <f t="shared" ca="1" si="107"/>
        <v>-0.2096116889020001</v>
      </c>
      <c r="J503">
        <f t="shared" ca="1" si="108"/>
        <v>0.29290354143142738</v>
      </c>
      <c r="L503">
        <f t="shared" si="114"/>
        <v>494</v>
      </c>
      <c r="M503">
        <f t="shared" ca="1" si="109"/>
        <v>-0.58325324511702936</v>
      </c>
      <c r="N503">
        <f t="shared" ca="1" si="110"/>
        <v>-8.1096273396693119E-2</v>
      </c>
      <c r="O503">
        <f t="shared" ca="1" si="111"/>
        <v>0.58886412142223166</v>
      </c>
    </row>
    <row r="504" spans="1:15" x14ac:dyDescent="0.2">
      <c r="A504">
        <f t="shared" si="116"/>
        <v>495</v>
      </c>
      <c r="B504">
        <f t="shared" ca="1" si="104"/>
        <v>0.26046946004842564</v>
      </c>
      <c r="C504">
        <f t="shared" ca="1" si="115"/>
        <v>0.28706149236815737</v>
      </c>
      <c r="D504">
        <f t="shared" ca="1" si="115"/>
        <v>0.43135604777725356</v>
      </c>
      <c r="E504">
        <f t="shared" ca="1" si="105"/>
        <v>0.31830988618379069</v>
      </c>
      <c r="F504">
        <f t="shared" si="112"/>
        <v>0.25</v>
      </c>
      <c r="G504">
        <f t="shared" ca="1" si="106"/>
        <v>1</v>
      </c>
      <c r="H504">
        <f ca="1">IF(G504=1,SUM($G$10:G504),"-")</f>
        <v>386</v>
      </c>
      <c r="I504">
        <f t="shared" ca="1" si="107"/>
        <v>0.28706149236815737</v>
      </c>
      <c r="J504">
        <f t="shared" ca="1" si="108"/>
        <v>0.43135604777725356</v>
      </c>
      <c r="L504">
        <f t="shared" si="114"/>
        <v>495</v>
      </c>
      <c r="M504">
        <f t="shared" ca="1" si="109"/>
        <v>-9.7687800355038767E-2</v>
      </c>
      <c r="N504">
        <f t="shared" ca="1" si="110"/>
        <v>-0.27406334581275971</v>
      </c>
      <c r="O504">
        <f t="shared" ca="1" si="111"/>
        <v>0.29095295815009381</v>
      </c>
    </row>
    <row r="505" spans="1:15" x14ac:dyDescent="0.2">
      <c r="A505">
        <f t="shared" si="116"/>
        <v>496</v>
      </c>
      <c r="B505">
        <f t="shared" ca="1" si="104"/>
        <v>0.89288099481116956</v>
      </c>
      <c r="C505">
        <f t="shared" ca="1" si="115"/>
        <v>-0.39112810800626163</v>
      </c>
      <c r="D505">
        <f t="shared" ca="1" si="115"/>
        <v>-4.3249814501438832E-2</v>
      </c>
      <c r="E505">
        <f t="shared" ca="1" si="105"/>
        <v>0.31830988618379069</v>
      </c>
      <c r="F505">
        <f t="shared" si="112"/>
        <v>0.25</v>
      </c>
      <c r="G505">
        <f t="shared" ca="1" si="106"/>
        <v>1</v>
      </c>
      <c r="H505">
        <f ca="1">IF(G505=1,SUM($G$10:G505),"-")</f>
        <v>387</v>
      </c>
      <c r="I505">
        <f t="shared" ca="1" si="107"/>
        <v>-0.39112810800626163</v>
      </c>
      <c r="J505">
        <f t="shared" ca="1" si="108"/>
        <v>-4.3249814501438832E-2</v>
      </c>
      <c r="L505">
        <f t="shared" si="114"/>
        <v>496</v>
      </c>
      <c r="M505">
        <f t="shared" ca="1" si="109"/>
        <v>0.84911342432143244</v>
      </c>
      <c r="N505">
        <f t="shared" ca="1" si="110"/>
        <v>-0.16247820044692984</v>
      </c>
      <c r="O505">
        <f t="shared" ca="1" si="111"/>
        <v>0.86451881008069553</v>
      </c>
    </row>
    <row r="506" spans="1:15" x14ac:dyDescent="0.2">
      <c r="A506">
        <f t="shared" si="116"/>
        <v>497</v>
      </c>
      <c r="B506">
        <f t="shared" ca="1" si="104"/>
        <v>0.8117222092324845</v>
      </c>
      <c r="C506">
        <f t="shared" ca="1" si="115"/>
        <v>-0.39246675223075878</v>
      </c>
      <c r="D506">
        <f t="shared" ca="1" si="115"/>
        <v>-0.53778467924977535</v>
      </c>
      <c r="E506">
        <f t="shared" ca="1" si="105"/>
        <v>0.31830988618379069</v>
      </c>
      <c r="F506">
        <f t="shared" si="112"/>
        <v>0.25</v>
      </c>
      <c r="G506">
        <f t="shared" ca="1" si="106"/>
        <v>1</v>
      </c>
      <c r="H506">
        <f ca="1">IF(G506=1,SUM($G$10:G506),"-")</f>
        <v>388</v>
      </c>
      <c r="I506">
        <f t="shared" ca="1" si="107"/>
        <v>-0.39246675223075878</v>
      </c>
      <c r="J506">
        <f t="shared" ca="1" si="108"/>
        <v>-0.53778467924977535</v>
      </c>
      <c r="L506">
        <f t="shared" si="114"/>
        <v>497</v>
      </c>
      <c r="M506">
        <f t="shared" ca="1" si="109"/>
        <v>3.3081564471577618E-2</v>
      </c>
      <c r="N506">
        <f t="shared" ca="1" si="110"/>
        <v>-0.12489343492531035</v>
      </c>
      <c r="O506">
        <f t="shared" ca="1" si="111"/>
        <v>0.12920046437737706</v>
      </c>
    </row>
    <row r="507" spans="1:15" x14ac:dyDescent="0.2">
      <c r="A507">
        <f t="shared" si="116"/>
        <v>498</v>
      </c>
      <c r="B507">
        <f t="shared" ca="1" si="104"/>
        <v>0.55692391242858019</v>
      </c>
      <c r="C507">
        <f t="shared" ca="1" si="115"/>
        <v>-0.99614624582503009</v>
      </c>
      <c r="D507">
        <f t="shared" ca="1" si="115"/>
        <v>6.4081224503843348E-2</v>
      </c>
      <c r="E507">
        <f t="shared" ca="1" si="105"/>
        <v>0.31830988618379069</v>
      </c>
      <c r="F507">
        <f t="shared" si="112"/>
        <v>0.25</v>
      </c>
      <c r="G507">
        <f t="shared" ca="1" si="106"/>
        <v>1</v>
      </c>
      <c r="H507">
        <f ca="1">IF(G507=1,SUM($G$10:G507),"-")</f>
        <v>389</v>
      </c>
      <c r="I507">
        <f t="shared" ca="1" si="107"/>
        <v>-0.99614624582503009</v>
      </c>
      <c r="J507">
        <f t="shared" ca="1" si="108"/>
        <v>6.4081224503843348E-2</v>
      </c>
      <c r="L507">
        <f t="shared" si="114"/>
        <v>498</v>
      </c>
      <c r="M507">
        <f t="shared" ca="1" si="109"/>
        <v>-0.36610815443379741</v>
      </c>
      <c r="N507">
        <f t="shared" ca="1" si="110"/>
        <v>-0.63711615883431838</v>
      </c>
      <c r="O507">
        <f t="shared" ca="1" si="111"/>
        <v>0.73481438512778019</v>
      </c>
    </row>
    <row r="508" spans="1:15" x14ac:dyDescent="0.2">
      <c r="A508">
        <f t="shared" si="116"/>
        <v>499</v>
      </c>
      <c r="B508">
        <f t="shared" ca="1" si="104"/>
        <v>0.44181691840348702</v>
      </c>
      <c r="C508">
        <f t="shared" ca="1" si="115"/>
        <v>-5.2274594048515866E-3</v>
      </c>
      <c r="D508">
        <f t="shared" ca="1" si="115"/>
        <v>0.53454344203954629</v>
      </c>
      <c r="E508">
        <f t="shared" ca="1" si="105"/>
        <v>0.31830988618379069</v>
      </c>
      <c r="F508">
        <f t="shared" si="112"/>
        <v>0.25</v>
      </c>
      <c r="G508">
        <f t="shared" ca="1" si="106"/>
        <v>1</v>
      </c>
      <c r="H508">
        <f ca="1">IF(G508=1,SUM($G$10:G508),"-")</f>
        <v>390</v>
      </c>
      <c r="I508">
        <f t="shared" ca="1" si="107"/>
        <v>-5.2274594048515866E-3</v>
      </c>
      <c r="J508">
        <f t="shared" ca="1" si="108"/>
        <v>0.53454344203954629</v>
      </c>
      <c r="L508">
        <f t="shared" si="114"/>
        <v>499</v>
      </c>
      <c r="M508">
        <f t="shared" ca="1" si="109"/>
        <v>-0.99618228669047793</v>
      </c>
      <c r="N508">
        <f t="shared" ca="1" si="110"/>
        <v>7.6112243017218972E-2</v>
      </c>
      <c r="O508">
        <f t="shared" ca="1" si="111"/>
        <v>0.99908569294779803</v>
      </c>
    </row>
    <row r="509" spans="1:15" x14ac:dyDescent="0.2">
      <c r="A509">
        <f t="shared" si="116"/>
        <v>500</v>
      </c>
      <c r="B509">
        <f t="shared" ca="1" si="104"/>
        <v>0.28257052701079222</v>
      </c>
      <c r="C509">
        <f t="shared" ca="1" si="115"/>
        <v>-0.86310444039634793</v>
      </c>
      <c r="D509">
        <f t="shared" ca="1" si="115"/>
        <v>0.5003815483138061</v>
      </c>
      <c r="E509">
        <f t="shared" ca="1" si="105"/>
        <v>0.31830988618379069</v>
      </c>
      <c r="F509">
        <f t="shared" si="112"/>
        <v>0.25</v>
      </c>
      <c r="G509">
        <f t="shared" ca="1" si="106"/>
        <v>1</v>
      </c>
      <c r="H509">
        <f ca="1">IF(G509=1,SUM($G$10:G509),"-")</f>
        <v>391</v>
      </c>
      <c r="I509">
        <f t="shared" ca="1" si="107"/>
        <v>-0.86310444039634793</v>
      </c>
      <c r="J509">
        <f t="shared" ca="1" si="108"/>
        <v>0.5003815483138061</v>
      </c>
      <c r="L509">
        <f t="shared" si="114"/>
        <v>500</v>
      </c>
      <c r="M509">
        <f t="shared" ca="1" si="109"/>
        <v>-0.60522425644184752</v>
      </c>
      <c r="N509">
        <f t="shared" ca="1" si="110"/>
        <v>0.21031972070129323</v>
      </c>
      <c r="O509">
        <f t="shared" ca="1" si="111"/>
        <v>0.6407267635283056</v>
      </c>
    </row>
    <row r="510" spans="1:15" x14ac:dyDescent="0.2">
      <c r="A510">
        <f t="shared" si="116"/>
        <v>501</v>
      </c>
      <c r="B510">
        <f t="shared" ca="1" si="104"/>
        <v>0.81237861734473804</v>
      </c>
      <c r="C510">
        <f t="shared" ref="C510:D529" ca="1" si="117">2*RAND()-1</f>
        <v>-0.10917980954107143</v>
      </c>
      <c r="D510">
        <f t="shared" ca="1" si="117"/>
        <v>-0.17812217888705351</v>
      </c>
      <c r="E510">
        <f t="shared" ca="1" si="105"/>
        <v>0.31830988618379069</v>
      </c>
      <c r="F510">
        <f t="shared" si="112"/>
        <v>0.25</v>
      </c>
      <c r="G510">
        <f t="shared" ca="1" si="106"/>
        <v>1</v>
      </c>
      <c r="H510">
        <f ca="1">IF(G510=1,SUM($G$10:G510),"-")</f>
        <v>392</v>
      </c>
      <c r="I510">
        <f t="shared" ca="1" si="107"/>
        <v>-0.10917980954107143</v>
      </c>
      <c r="J510">
        <f t="shared" ca="1" si="108"/>
        <v>-0.17812217888705351</v>
      </c>
    </row>
    <row r="511" spans="1:15" x14ac:dyDescent="0.2">
      <c r="A511">
        <f t="shared" si="116"/>
        <v>502</v>
      </c>
      <c r="B511">
        <f t="shared" ca="1" si="104"/>
        <v>0.73491447450443348</v>
      </c>
      <c r="C511">
        <f t="shared" ca="1" si="117"/>
        <v>0.64169908497620942</v>
      </c>
      <c r="D511">
        <f t="shared" ca="1" si="117"/>
        <v>-0.75851400900080623</v>
      </c>
      <c r="E511">
        <f t="shared" ca="1" si="105"/>
        <v>0.31830988618379069</v>
      </c>
      <c r="F511">
        <f t="shared" si="112"/>
        <v>0.25</v>
      </c>
      <c r="G511">
        <f t="shared" ca="1" si="106"/>
        <v>1</v>
      </c>
      <c r="H511">
        <f ca="1">IF(G511=1,SUM($G$10:G511),"-")</f>
        <v>393</v>
      </c>
      <c r="I511">
        <f t="shared" ca="1" si="107"/>
        <v>0.64169908497620942</v>
      </c>
      <c r="J511">
        <f t="shared" ca="1" si="108"/>
        <v>-0.75851400900080623</v>
      </c>
    </row>
    <row r="512" spans="1:15" x14ac:dyDescent="0.2">
      <c r="A512">
        <f t="shared" si="116"/>
        <v>503</v>
      </c>
      <c r="B512">
        <f t="shared" ca="1" si="104"/>
        <v>0.54766089295244813</v>
      </c>
      <c r="C512">
        <f t="shared" ca="1" si="117"/>
        <v>-0.90171815553123502</v>
      </c>
      <c r="D512">
        <f t="shared" ca="1" si="117"/>
        <v>-0.32770354441874705</v>
      </c>
      <c r="E512">
        <f t="shared" ca="1" si="105"/>
        <v>0.31830988618379069</v>
      </c>
      <c r="F512">
        <f t="shared" si="112"/>
        <v>0.25</v>
      </c>
      <c r="G512">
        <f t="shared" ca="1" si="106"/>
        <v>1</v>
      </c>
      <c r="H512">
        <f ca="1">IF(G512=1,SUM($G$10:G512),"-")</f>
        <v>394</v>
      </c>
      <c r="I512">
        <f t="shared" ca="1" si="107"/>
        <v>-0.90171815553123502</v>
      </c>
      <c r="J512">
        <f t="shared" ca="1" si="108"/>
        <v>-0.32770354441874705</v>
      </c>
    </row>
    <row r="513" spans="1:10" x14ac:dyDescent="0.2">
      <c r="A513">
        <f t="shared" si="116"/>
        <v>504</v>
      </c>
      <c r="B513">
        <f t="shared" ca="1" si="104"/>
        <v>0.18362981668379763</v>
      </c>
      <c r="C513">
        <f t="shared" ca="1" si="117"/>
        <v>-0.1403741625154018</v>
      </c>
      <c r="D513">
        <f t="shared" ca="1" si="117"/>
        <v>0.82425706035969526</v>
      </c>
      <c r="E513">
        <f t="shared" ca="1" si="105"/>
        <v>0.31830988618379069</v>
      </c>
      <c r="F513">
        <f t="shared" si="112"/>
        <v>0.25</v>
      </c>
      <c r="G513">
        <f t="shared" ca="1" si="106"/>
        <v>1</v>
      </c>
      <c r="H513">
        <f ca="1">IF(G513=1,SUM($G$10:G513),"-")</f>
        <v>395</v>
      </c>
      <c r="I513">
        <f t="shared" ca="1" si="107"/>
        <v>-0.1403741625154018</v>
      </c>
      <c r="J513">
        <f t="shared" ca="1" si="108"/>
        <v>0.82425706035969526</v>
      </c>
    </row>
    <row r="514" spans="1:10" x14ac:dyDescent="0.2">
      <c r="A514">
        <f t="shared" si="116"/>
        <v>505</v>
      </c>
      <c r="B514">
        <f t="shared" ca="1" si="104"/>
        <v>0.5622160605811648</v>
      </c>
      <c r="C514">
        <f t="shared" ca="1" si="117"/>
        <v>-0.19873450961478922</v>
      </c>
      <c r="D514">
        <f t="shared" ca="1" si="117"/>
        <v>0.1071898220056775</v>
      </c>
      <c r="E514">
        <f t="shared" ca="1" si="105"/>
        <v>0.31830988618379069</v>
      </c>
      <c r="F514">
        <f t="shared" si="112"/>
        <v>0.25</v>
      </c>
      <c r="G514">
        <f t="shared" ca="1" si="106"/>
        <v>1</v>
      </c>
      <c r="H514">
        <f ca="1">IF(G514=1,SUM($G$10:G514),"-")</f>
        <v>396</v>
      </c>
      <c r="I514">
        <f t="shared" ca="1" si="107"/>
        <v>-0.19873450961478922</v>
      </c>
      <c r="J514">
        <f t="shared" ca="1" si="108"/>
        <v>0.1071898220056775</v>
      </c>
    </row>
    <row r="515" spans="1:10" x14ac:dyDescent="0.2">
      <c r="A515">
        <f t="shared" si="116"/>
        <v>506</v>
      </c>
      <c r="B515">
        <f t="shared" ca="1" si="104"/>
        <v>0.81808633965770705</v>
      </c>
      <c r="C515">
        <f t="shared" ca="1" si="117"/>
        <v>-0.27737480917689217</v>
      </c>
      <c r="D515">
        <f t="shared" ca="1" si="117"/>
        <v>-0.70463438732794459</v>
      </c>
      <c r="E515">
        <f t="shared" ca="1" si="105"/>
        <v>0.31830988618379069</v>
      </c>
      <c r="F515">
        <f t="shared" si="112"/>
        <v>0.25</v>
      </c>
      <c r="G515">
        <f t="shared" ca="1" si="106"/>
        <v>1</v>
      </c>
      <c r="H515">
        <f ca="1">IF(G515=1,SUM($G$10:G515),"-")</f>
        <v>397</v>
      </c>
      <c r="I515">
        <f t="shared" ca="1" si="107"/>
        <v>-0.27737480917689217</v>
      </c>
      <c r="J515">
        <f t="shared" ca="1" si="108"/>
        <v>-0.70463438732794459</v>
      </c>
    </row>
    <row r="516" spans="1:10" x14ac:dyDescent="0.2">
      <c r="A516">
        <f t="shared" si="116"/>
        <v>507</v>
      </c>
      <c r="B516">
        <f t="shared" ca="1" si="104"/>
        <v>0.68368722325574116</v>
      </c>
      <c r="C516">
        <f t="shared" ca="1" si="117"/>
        <v>0.73939637813398806</v>
      </c>
      <c r="D516">
        <f t="shared" ca="1" si="117"/>
        <v>-7.3884564878367476E-2</v>
      </c>
      <c r="E516">
        <f t="shared" ca="1" si="105"/>
        <v>0.31830988618379069</v>
      </c>
      <c r="F516">
        <f t="shared" si="112"/>
        <v>0.25</v>
      </c>
      <c r="G516">
        <f t="shared" ca="1" si="106"/>
        <v>1</v>
      </c>
      <c r="H516">
        <f ca="1">IF(G516=1,SUM($G$10:G516),"-")</f>
        <v>398</v>
      </c>
      <c r="I516">
        <f t="shared" ca="1" si="107"/>
        <v>0.73939637813398806</v>
      </c>
      <c r="J516">
        <f t="shared" ca="1" si="108"/>
        <v>-7.3884564878367476E-2</v>
      </c>
    </row>
    <row r="517" spans="1:10" x14ac:dyDescent="0.2">
      <c r="A517">
        <f t="shared" si="116"/>
        <v>508</v>
      </c>
      <c r="B517">
        <f t="shared" ca="1" si="104"/>
        <v>0.84130180656366216</v>
      </c>
      <c r="C517">
        <f t="shared" ca="1" si="117"/>
        <v>0.49300531201249798</v>
      </c>
      <c r="D517">
        <f t="shared" ca="1" si="117"/>
        <v>0.44260514723231226</v>
      </c>
      <c r="E517">
        <f t="shared" ca="1" si="105"/>
        <v>0.31830988618379069</v>
      </c>
      <c r="F517">
        <f t="shared" si="112"/>
        <v>0.25</v>
      </c>
      <c r="G517">
        <f t="shared" ca="1" si="106"/>
        <v>1</v>
      </c>
      <c r="H517">
        <f ca="1">IF(G517=1,SUM($G$10:G517),"-")</f>
        <v>399</v>
      </c>
      <c r="I517">
        <f t="shared" ca="1" si="107"/>
        <v>0.49300531201249798</v>
      </c>
      <c r="J517">
        <f t="shared" ca="1" si="108"/>
        <v>0.44260514723231226</v>
      </c>
    </row>
    <row r="518" spans="1:10" x14ac:dyDescent="0.2">
      <c r="A518">
        <f t="shared" si="116"/>
        <v>509</v>
      </c>
      <c r="B518">
        <f t="shared" ca="1" si="104"/>
        <v>0.93517875668769668</v>
      </c>
      <c r="C518">
        <f t="shared" ca="1" si="117"/>
        <v>0.33729308123101576</v>
      </c>
      <c r="D518">
        <f t="shared" ca="1" si="117"/>
        <v>0.77149506002897072</v>
      </c>
      <c r="E518">
        <f t="shared" ca="1" si="105"/>
        <v>0.31830988618379069</v>
      </c>
      <c r="F518">
        <f t="shared" si="112"/>
        <v>0.25</v>
      </c>
      <c r="G518">
        <f t="shared" ca="1" si="106"/>
        <v>1</v>
      </c>
      <c r="H518">
        <f ca="1">IF(G518=1,SUM($G$10:G518),"-")</f>
        <v>400</v>
      </c>
      <c r="I518">
        <f t="shared" ca="1" si="107"/>
        <v>0.33729308123101576</v>
      </c>
      <c r="J518">
        <f t="shared" ca="1" si="108"/>
        <v>0.77149506002897072</v>
      </c>
    </row>
    <row r="519" spans="1:10" x14ac:dyDescent="0.2">
      <c r="A519">
        <f t="shared" si="116"/>
        <v>510</v>
      </c>
      <c r="B519">
        <f t="shared" ca="1" si="104"/>
        <v>0.1437296128193345</v>
      </c>
      <c r="C519">
        <f t="shared" ca="1" si="117"/>
        <v>0.42809797590402177</v>
      </c>
      <c r="D519">
        <f t="shared" ca="1" si="117"/>
        <v>-0.38981083733652522</v>
      </c>
      <c r="E519">
        <f t="shared" ca="1" si="105"/>
        <v>0.31830988618379069</v>
      </c>
      <c r="F519">
        <f t="shared" si="112"/>
        <v>0.25</v>
      </c>
      <c r="G519">
        <f t="shared" ca="1" si="106"/>
        <v>1</v>
      </c>
      <c r="H519">
        <f ca="1">IF(G519=1,SUM($G$10:G519),"-")</f>
        <v>401</v>
      </c>
      <c r="I519">
        <f t="shared" ca="1" si="107"/>
        <v>0.42809797590402177</v>
      </c>
      <c r="J519">
        <f t="shared" ca="1" si="108"/>
        <v>-0.38981083733652522</v>
      </c>
    </row>
    <row r="520" spans="1:10" x14ac:dyDescent="0.2">
      <c r="A520">
        <f t="shared" si="116"/>
        <v>511</v>
      </c>
      <c r="B520">
        <f t="shared" ca="1" si="104"/>
        <v>0.43855609594806755</v>
      </c>
      <c r="C520">
        <f t="shared" ca="1" si="117"/>
        <v>-0.63588839436116551</v>
      </c>
      <c r="D520">
        <f t="shared" ca="1" si="117"/>
        <v>-0.9188162291946127</v>
      </c>
      <c r="E520">
        <f t="shared" ca="1" si="105"/>
        <v>0</v>
      </c>
      <c r="F520">
        <f t="shared" si="112"/>
        <v>0.25</v>
      </c>
      <c r="G520">
        <f t="shared" ca="1" si="106"/>
        <v>0</v>
      </c>
      <c r="H520" t="str">
        <f ca="1">IF(G520=1,SUM($G$10:G520),"-")</f>
        <v>-</v>
      </c>
      <c r="I520" t="str">
        <f t="shared" ca="1" si="107"/>
        <v>-</v>
      </c>
      <c r="J520" t="str">
        <f t="shared" ca="1" si="108"/>
        <v>-</v>
      </c>
    </row>
    <row r="521" spans="1:10" x14ac:dyDescent="0.2">
      <c r="A521">
        <f t="shared" si="116"/>
        <v>512</v>
      </c>
      <c r="B521">
        <f t="shared" ca="1" si="104"/>
        <v>0.22090467145254533</v>
      </c>
      <c r="C521">
        <f t="shared" ca="1" si="117"/>
        <v>-0.86928323837131716</v>
      </c>
      <c r="D521">
        <f t="shared" ca="1" si="117"/>
        <v>0.46740526191206744</v>
      </c>
      <c r="E521">
        <f t="shared" ca="1" si="105"/>
        <v>0.31830988618379069</v>
      </c>
      <c r="F521">
        <f t="shared" si="112"/>
        <v>0.25</v>
      </c>
      <c r="G521">
        <f t="shared" ca="1" si="106"/>
        <v>1</v>
      </c>
      <c r="H521">
        <f ca="1">IF(G521=1,SUM($G$10:G521),"-")</f>
        <v>402</v>
      </c>
      <c r="I521">
        <f t="shared" ca="1" si="107"/>
        <v>-0.86928323837131716</v>
      </c>
      <c r="J521">
        <f t="shared" ca="1" si="108"/>
        <v>0.46740526191206744</v>
      </c>
    </row>
    <row r="522" spans="1:10" x14ac:dyDescent="0.2">
      <c r="A522">
        <f t="shared" si="116"/>
        <v>513</v>
      </c>
      <c r="B522">
        <f t="shared" ref="B522:B585" ca="1" si="118">RAND()</f>
        <v>0.36074176139420178</v>
      </c>
      <c r="C522">
        <f t="shared" ca="1" si="117"/>
        <v>0.25396193542839751</v>
      </c>
      <c r="D522">
        <f t="shared" ca="1" si="117"/>
        <v>-0.62890214282838786</v>
      </c>
      <c r="E522">
        <f t="shared" ref="E522:E585" ca="1" si="119">(1/PI())*IF(C522^2+D522^2&lt;=1,1,0)</f>
        <v>0.31830988618379069</v>
      </c>
      <c r="F522">
        <f t="shared" si="112"/>
        <v>0.25</v>
      </c>
      <c r="G522">
        <f t="shared" ref="G522:G585" ca="1" si="120">IF($B$6*B522&lt;=E522/F522,1,0)</f>
        <v>1</v>
      </c>
      <c r="H522">
        <f ca="1">IF(G522=1,SUM($G$10:G522),"-")</f>
        <v>403</v>
      </c>
      <c r="I522">
        <f t="shared" ref="I522:I585" ca="1" si="121">IF($G522,C522,"-")</f>
        <v>0.25396193542839751</v>
      </c>
      <c r="J522">
        <f t="shared" ref="J522:J585" ca="1" si="122">IF($G522,D522,"-")</f>
        <v>-0.62890214282838786</v>
      </c>
    </row>
    <row r="523" spans="1:10" x14ac:dyDescent="0.2">
      <c r="A523">
        <f t="shared" si="116"/>
        <v>514</v>
      </c>
      <c r="B523">
        <f t="shared" ca="1" si="118"/>
        <v>0.3127691983684685</v>
      </c>
      <c r="C523">
        <f t="shared" ca="1" si="117"/>
        <v>0.46426987116192397</v>
      </c>
      <c r="D523">
        <f t="shared" ca="1" si="117"/>
        <v>0.84219565808710461</v>
      </c>
      <c r="E523">
        <f t="shared" ca="1" si="119"/>
        <v>0.31830988618379069</v>
      </c>
      <c r="F523">
        <f t="shared" ref="F523:F586" si="123">1/4</f>
        <v>0.25</v>
      </c>
      <c r="G523">
        <f t="shared" ca="1" si="120"/>
        <v>1</v>
      </c>
      <c r="H523">
        <f ca="1">IF(G523=1,SUM($G$10:G523),"-")</f>
        <v>404</v>
      </c>
      <c r="I523">
        <f t="shared" ca="1" si="121"/>
        <v>0.46426987116192397</v>
      </c>
      <c r="J523">
        <f t="shared" ca="1" si="122"/>
        <v>0.84219565808710461</v>
      </c>
    </row>
    <row r="524" spans="1:10" x14ac:dyDescent="0.2">
      <c r="A524">
        <f t="shared" si="116"/>
        <v>515</v>
      </c>
      <c r="B524">
        <f t="shared" ca="1" si="118"/>
        <v>0.69106984836401675</v>
      </c>
      <c r="C524">
        <f t="shared" ca="1" si="117"/>
        <v>7.8187392889270013E-2</v>
      </c>
      <c r="D524">
        <f t="shared" ca="1" si="117"/>
        <v>-0.72754199274151654</v>
      </c>
      <c r="E524">
        <f t="shared" ca="1" si="119"/>
        <v>0.31830988618379069</v>
      </c>
      <c r="F524">
        <f t="shared" si="123"/>
        <v>0.25</v>
      </c>
      <c r="G524">
        <f t="shared" ca="1" si="120"/>
        <v>1</v>
      </c>
      <c r="H524">
        <f ca="1">IF(G524=1,SUM($G$10:G524),"-")</f>
        <v>405</v>
      </c>
      <c r="I524">
        <f t="shared" ca="1" si="121"/>
        <v>7.8187392889270013E-2</v>
      </c>
      <c r="J524">
        <f t="shared" ca="1" si="122"/>
        <v>-0.72754199274151654</v>
      </c>
    </row>
    <row r="525" spans="1:10" x14ac:dyDescent="0.2">
      <c r="A525">
        <f t="shared" si="116"/>
        <v>516</v>
      </c>
      <c r="B525">
        <f t="shared" ca="1" si="118"/>
        <v>0.86165757834162449</v>
      </c>
      <c r="C525">
        <f t="shared" ca="1" si="117"/>
        <v>0.15832608626636757</v>
      </c>
      <c r="D525">
        <f t="shared" ca="1" si="117"/>
        <v>0.49111795325757068</v>
      </c>
      <c r="E525">
        <f t="shared" ca="1" si="119"/>
        <v>0.31830988618379069</v>
      </c>
      <c r="F525">
        <f t="shared" si="123"/>
        <v>0.25</v>
      </c>
      <c r="G525">
        <f t="shared" ca="1" si="120"/>
        <v>1</v>
      </c>
      <c r="H525">
        <f ca="1">IF(G525=1,SUM($G$10:G525),"-")</f>
        <v>406</v>
      </c>
      <c r="I525">
        <f t="shared" ca="1" si="121"/>
        <v>0.15832608626636757</v>
      </c>
      <c r="J525">
        <f t="shared" ca="1" si="122"/>
        <v>0.49111795325757068</v>
      </c>
    </row>
    <row r="526" spans="1:10" x14ac:dyDescent="0.2">
      <c r="A526">
        <f t="shared" si="116"/>
        <v>517</v>
      </c>
      <c r="B526">
        <f t="shared" ca="1" si="118"/>
        <v>0.78760939056633472</v>
      </c>
      <c r="C526">
        <f t="shared" ca="1" si="117"/>
        <v>0.6826022787526409</v>
      </c>
      <c r="D526">
        <f t="shared" ca="1" si="117"/>
        <v>0.92179319083002897</v>
      </c>
      <c r="E526">
        <f t="shared" ca="1" si="119"/>
        <v>0</v>
      </c>
      <c r="F526">
        <f t="shared" si="123"/>
        <v>0.25</v>
      </c>
      <c r="G526">
        <f t="shared" ca="1" si="120"/>
        <v>0</v>
      </c>
      <c r="H526" t="str">
        <f ca="1">IF(G526=1,SUM($G$10:G526),"-")</f>
        <v>-</v>
      </c>
      <c r="I526" t="str">
        <f t="shared" ca="1" si="121"/>
        <v>-</v>
      </c>
      <c r="J526" t="str">
        <f t="shared" ca="1" si="122"/>
        <v>-</v>
      </c>
    </row>
    <row r="527" spans="1:10" x14ac:dyDescent="0.2">
      <c r="A527">
        <f t="shared" si="116"/>
        <v>518</v>
      </c>
      <c r="B527">
        <f t="shared" ca="1" si="118"/>
        <v>0.64109937284393959</v>
      </c>
      <c r="C527">
        <f t="shared" ca="1" si="117"/>
        <v>-0.82691722135689893</v>
      </c>
      <c r="D527">
        <f t="shared" ca="1" si="117"/>
        <v>0.2896286356205835</v>
      </c>
      <c r="E527">
        <f t="shared" ca="1" si="119"/>
        <v>0.31830988618379069</v>
      </c>
      <c r="F527">
        <f t="shared" si="123"/>
        <v>0.25</v>
      </c>
      <c r="G527">
        <f t="shared" ca="1" si="120"/>
        <v>1</v>
      </c>
      <c r="H527">
        <f ca="1">IF(G527=1,SUM($G$10:G527),"-")</f>
        <v>407</v>
      </c>
      <c r="I527">
        <f t="shared" ca="1" si="121"/>
        <v>-0.82691722135689893</v>
      </c>
      <c r="J527">
        <f t="shared" ca="1" si="122"/>
        <v>0.2896286356205835</v>
      </c>
    </row>
    <row r="528" spans="1:10" x14ac:dyDescent="0.2">
      <c r="A528">
        <f t="shared" si="116"/>
        <v>519</v>
      </c>
      <c r="B528">
        <f t="shared" ca="1" si="118"/>
        <v>0.98978650138440027</v>
      </c>
      <c r="C528">
        <f t="shared" ca="1" si="117"/>
        <v>6.0178408719119503E-2</v>
      </c>
      <c r="D528">
        <f t="shared" ca="1" si="117"/>
        <v>-0.52721784372314318</v>
      </c>
      <c r="E528">
        <f t="shared" ca="1" si="119"/>
        <v>0.31830988618379069</v>
      </c>
      <c r="F528">
        <f t="shared" si="123"/>
        <v>0.25</v>
      </c>
      <c r="G528">
        <f t="shared" ca="1" si="120"/>
        <v>1</v>
      </c>
      <c r="H528">
        <f ca="1">IF(G528=1,SUM($G$10:G528),"-")</f>
        <v>408</v>
      </c>
      <c r="I528">
        <f t="shared" ca="1" si="121"/>
        <v>6.0178408719119503E-2</v>
      </c>
      <c r="J528">
        <f t="shared" ca="1" si="122"/>
        <v>-0.52721784372314318</v>
      </c>
    </row>
    <row r="529" spans="1:10" x14ac:dyDescent="0.2">
      <c r="A529">
        <f t="shared" si="116"/>
        <v>520</v>
      </c>
      <c r="B529">
        <f t="shared" ca="1" si="118"/>
        <v>0.93013260776161577</v>
      </c>
      <c r="C529">
        <f t="shared" ca="1" si="117"/>
        <v>-7.9115780705246275E-2</v>
      </c>
      <c r="D529">
        <f t="shared" ca="1" si="117"/>
        <v>-0.75991338392458552</v>
      </c>
      <c r="E529">
        <f t="shared" ca="1" si="119"/>
        <v>0.31830988618379069</v>
      </c>
      <c r="F529">
        <f t="shared" si="123"/>
        <v>0.25</v>
      </c>
      <c r="G529">
        <f t="shared" ca="1" si="120"/>
        <v>1</v>
      </c>
      <c r="H529">
        <f ca="1">IF(G529=1,SUM($G$10:G529),"-")</f>
        <v>409</v>
      </c>
      <c r="I529">
        <f t="shared" ca="1" si="121"/>
        <v>-7.9115780705246275E-2</v>
      </c>
      <c r="J529">
        <f t="shared" ca="1" si="122"/>
        <v>-0.75991338392458552</v>
      </c>
    </row>
    <row r="530" spans="1:10" x14ac:dyDescent="0.2">
      <c r="A530">
        <f t="shared" si="116"/>
        <v>521</v>
      </c>
      <c r="B530">
        <f t="shared" ca="1" si="118"/>
        <v>0.37210404426676214</v>
      </c>
      <c r="C530">
        <f t="shared" ref="C530:D549" ca="1" si="124">2*RAND()-1</f>
        <v>-0.43093319036320654</v>
      </c>
      <c r="D530">
        <f t="shared" ca="1" si="124"/>
        <v>-0.12717146292066506</v>
      </c>
      <c r="E530">
        <f t="shared" ca="1" si="119"/>
        <v>0.31830988618379069</v>
      </c>
      <c r="F530">
        <f t="shared" si="123"/>
        <v>0.25</v>
      </c>
      <c r="G530">
        <f t="shared" ca="1" si="120"/>
        <v>1</v>
      </c>
      <c r="H530">
        <f ca="1">IF(G530=1,SUM($G$10:G530),"-")</f>
        <v>410</v>
      </c>
      <c r="I530">
        <f t="shared" ca="1" si="121"/>
        <v>-0.43093319036320654</v>
      </c>
      <c r="J530">
        <f t="shared" ca="1" si="122"/>
        <v>-0.12717146292066506</v>
      </c>
    </row>
    <row r="531" spans="1:10" x14ac:dyDescent="0.2">
      <c r="A531">
        <f t="shared" si="116"/>
        <v>522</v>
      </c>
      <c r="B531">
        <f t="shared" ca="1" si="118"/>
        <v>0.24694679611199288</v>
      </c>
      <c r="C531">
        <f t="shared" ca="1" si="124"/>
        <v>-0.46290118243477818</v>
      </c>
      <c r="D531">
        <f t="shared" ca="1" si="124"/>
        <v>0.87860875050753973</v>
      </c>
      <c r="E531">
        <f t="shared" ca="1" si="119"/>
        <v>0.31830988618379069</v>
      </c>
      <c r="F531">
        <f t="shared" si="123"/>
        <v>0.25</v>
      </c>
      <c r="G531">
        <f t="shared" ca="1" si="120"/>
        <v>1</v>
      </c>
      <c r="H531">
        <f ca="1">IF(G531=1,SUM($G$10:G531),"-")</f>
        <v>411</v>
      </c>
      <c r="I531">
        <f t="shared" ca="1" si="121"/>
        <v>-0.46290118243477818</v>
      </c>
      <c r="J531">
        <f t="shared" ca="1" si="122"/>
        <v>0.87860875050753973</v>
      </c>
    </row>
    <row r="532" spans="1:10" x14ac:dyDescent="0.2">
      <c r="A532">
        <f t="shared" si="116"/>
        <v>523</v>
      </c>
      <c r="B532">
        <f t="shared" ca="1" si="118"/>
        <v>0.91331616435343099</v>
      </c>
      <c r="C532">
        <f t="shared" ca="1" si="124"/>
        <v>-0.74319773830696079</v>
      </c>
      <c r="D532">
        <f t="shared" ca="1" si="124"/>
        <v>0.79658054175492299</v>
      </c>
      <c r="E532">
        <f t="shared" ca="1" si="119"/>
        <v>0</v>
      </c>
      <c r="F532">
        <f t="shared" si="123"/>
        <v>0.25</v>
      </c>
      <c r="G532">
        <f t="shared" ca="1" si="120"/>
        <v>0</v>
      </c>
      <c r="H532" t="str">
        <f ca="1">IF(G532=1,SUM($G$10:G532),"-")</f>
        <v>-</v>
      </c>
      <c r="I532" t="str">
        <f t="shared" ca="1" si="121"/>
        <v>-</v>
      </c>
      <c r="J532" t="str">
        <f t="shared" ca="1" si="122"/>
        <v>-</v>
      </c>
    </row>
    <row r="533" spans="1:10" x14ac:dyDescent="0.2">
      <c r="A533">
        <f t="shared" si="116"/>
        <v>524</v>
      </c>
      <c r="B533">
        <f t="shared" ca="1" si="118"/>
        <v>0.60972489097101124</v>
      </c>
      <c r="C533">
        <f t="shared" ca="1" si="124"/>
        <v>-0.35997613881951529</v>
      </c>
      <c r="D533">
        <f t="shared" ca="1" si="124"/>
        <v>-0.80142859644322018</v>
      </c>
      <c r="E533">
        <f t="shared" ca="1" si="119"/>
        <v>0.31830988618379069</v>
      </c>
      <c r="F533">
        <f t="shared" si="123"/>
        <v>0.25</v>
      </c>
      <c r="G533">
        <f t="shared" ca="1" si="120"/>
        <v>1</v>
      </c>
      <c r="H533">
        <f ca="1">IF(G533=1,SUM($G$10:G533),"-")</f>
        <v>412</v>
      </c>
      <c r="I533">
        <f t="shared" ca="1" si="121"/>
        <v>-0.35997613881951529</v>
      </c>
      <c r="J533">
        <f t="shared" ca="1" si="122"/>
        <v>-0.80142859644322018</v>
      </c>
    </row>
    <row r="534" spans="1:10" x14ac:dyDescent="0.2">
      <c r="A534">
        <f t="shared" si="116"/>
        <v>525</v>
      </c>
      <c r="B534">
        <f t="shared" ca="1" si="118"/>
        <v>1.9951202648624045E-2</v>
      </c>
      <c r="C534">
        <f t="shared" ca="1" si="124"/>
        <v>-0.2210738721030201</v>
      </c>
      <c r="D534">
        <f t="shared" ca="1" si="124"/>
        <v>0.67950177404560197</v>
      </c>
      <c r="E534">
        <f t="shared" ca="1" si="119"/>
        <v>0.31830988618379069</v>
      </c>
      <c r="F534">
        <f t="shared" si="123"/>
        <v>0.25</v>
      </c>
      <c r="G534">
        <f t="shared" ca="1" si="120"/>
        <v>1</v>
      </c>
      <c r="H534">
        <f ca="1">IF(G534=1,SUM($G$10:G534),"-")</f>
        <v>413</v>
      </c>
      <c r="I534">
        <f t="shared" ca="1" si="121"/>
        <v>-0.2210738721030201</v>
      </c>
      <c r="J534">
        <f t="shared" ca="1" si="122"/>
        <v>0.67950177404560197</v>
      </c>
    </row>
    <row r="535" spans="1:10" x14ac:dyDescent="0.2">
      <c r="A535">
        <f t="shared" si="116"/>
        <v>526</v>
      </c>
      <c r="B535">
        <f t="shared" ca="1" si="118"/>
        <v>0.79337141988118753</v>
      </c>
      <c r="C535">
        <f t="shared" ca="1" si="124"/>
        <v>-0.85892577629186762</v>
      </c>
      <c r="D535">
        <f t="shared" ca="1" si="124"/>
        <v>0.12441371022584491</v>
      </c>
      <c r="E535">
        <f t="shared" ca="1" si="119"/>
        <v>0.31830988618379069</v>
      </c>
      <c r="F535">
        <f t="shared" si="123"/>
        <v>0.25</v>
      </c>
      <c r="G535">
        <f t="shared" ca="1" si="120"/>
        <v>1</v>
      </c>
      <c r="H535">
        <f ca="1">IF(G535=1,SUM($G$10:G535),"-")</f>
        <v>414</v>
      </c>
      <c r="I535">
        <f t="shared" ca="1" si="121"/>
        <v>-0.85892577629186762</v>
      </c>
      <c r="J535">
        <f t="shared" ca="1" si="122"/>
        <v>0.12441371022584491</v>
      </c>
    </row>
    <row r="536" spans="1:10" x14ac:dyDescent="0.2">
      <c r="A536">
        <f t="shared" si="116"/>
        <v>527</v>
      </c>
      <c r="B536">
        <f t="shared" ca="1" si="118"/>
        <v>0.15746127349575978</v>
      </c>
      <c r="C536">
        <f t="shared" ca="1" si="124"/>
        <v>0.34474057573502548</v>
      </c>
      <c r="D536">
        <f t="shared" ca="1" si="124"/>
        <v>0.53559566759071831</v>
      </c>
      <c r="E536">
        <f t="shared" ca="1" si="119"/>
        <v>0.31830988618379069</v>
      </c>
      <c r="F536">
        <f t="shared" si="123"/>
        <v>0.25</v>
      </c>
      <c r="G536">
        <f t="shared" ca="1" si="120"/>
        <v>1</v>
      </c>
      <c r="H536">
        <f ca="1">IF(G536=1,SUM($G$10:G536),"-")</f>
        <v>415</v>
      </c>
      <c r="I536">
        <f t="shared" ca="1" si="121"/>
        <v>0.34474057573502548</v>
      </c>
      <c r="J536">
        <f t="shared" ca="1" si="122"/>
        <v>0.53559566759071831</v>
      </c>
    </row>
    <row r="537" spans="1:10" x14ac:dyDescent="0.2">
      <c r="A537">
        <f t="shared" si="116"/>
        <v>528</v>
      </c>
      <c r="B537">
        <f t="shared" ca="1" si="118"/>
        <v>0.61177564729478595</v>
      </c>
      <c r="C537">
        <f t="shared" ca="1" si="124"/>
        <v>-0.70879680666332234</v>
      </c>
      <c r="D537">
        <f t="shared" ca="1" si="124"/>
        <v>0.86255365939145445</v>
      </c>
      <c r="E537">
        <f t="shared" ca="1" si="119"/>
        <v>0</v>
      </c>
      <c r="F537">
        <f t="shared" si="123"/>
        <v>0.25</v>
      </c>
      <c r="G537">
        <f t="shared" ca="1" si="120"/>
        <v>0</v>
      </c>
      <c r="H537" t="str">
        <f ca="1">IF(G537=1,SUM($G$10:G537),"-")</f>
        <v>-</v>
      </c>
      <c r="I537" t="str">
        <f t="shared" ca="1" si="121"/>
        <v>-</v>
      </c>
      <c r="J537" t="str">
        <f t="shared" ca="1" si="122"/>
        <v>-</v>
      </c>
    </row>
    <row r="538" spans="1:10" x14ac:dyDescent="0.2">
      <c r="A538">
        <f t="shared" si="116"/>
        <v>529</v>
      </c>
      <c r="B538">
        <f t="shared" ca="1" si="118"/>
        <v>0.80104124002459398</v>
      </c>
      <c r="C538">
        <f t="shared" ca="1" si="124"/>
        <v>0.30960038353995478</v>
      </c>
      <c r="D538">
        <f t="shared" ca="1" si="124"/>
        <v>3.2098445439365131E-2</v>
      </c>
      <c r="E538">
        <f t="shared" ca="1" si="119"/>
        <v>0.31830988618379069</v>
      </c>
      <c r="F538">
        <f t="shared" si="123"/>
        <v>0.25</v>
      </c>
      <c r="G538">
        <f t="shared" ca="1" si="120"/>
        <v>1</v>
      </c>
      <c r="H538">
        <f ca="1">IF(G538=1,SUM($G$10:G538),"-")</f>
        <v>416</v>
      </c>
      <c r="I538">
        <f t="shared" ca="1" si="121"/>
        <v>0.30960038353995478</v>
      </c>
      <c r="J538">
        <f t="shared" ca="1" si="122"/>
        <v>3.2098445439365131E-2</v>
      </c>
    </row>
    <row r="539" spans="1:10" x14ac:dyDescent="0.2">
      <c r="A539">
        <f t="shared" si="116"/>
        <v>530</v>
      </c>
      <c r="B539">
        <f t="shared" ca="1" si="118"/>
        <v>0.30220234030973447</v>
      </c>
      <c r="C539">
        <f t="shared" ca="1" si="124"/>
        <v>-0.76930323666961797</v>
      </c>
      <c r="D539">
        <f t="shared" ca="1" si="124"/>
        <v>0.34953109328350518</v>
      </c>
      <c r="E539">
        <f t="shared" ca="1" si="119"/>
        <v>0.31830988618379069</v>
      </c>
      <c r="F539">
        <f t="shared" si="123"/>
        <v>0.25</v>
      </c>
      <c r="G539">
        <f t="shared" ca="1" si="120"/>
        <v>1</v>
      </c>
      <c r="H539">
        <f ca="1">IF(G539=1,SUM($G$10:G539),"-")</f>
        <v>417</v>
      </c>
      <c r="I539">
        <f t="shared" ca="1" si="121"/>
        <v>-0.76930323666961797</v>
      </c>
      <c r="J539">
        <f t="shared" ca="1" si="122"/>
        <v>0.34953109328350518</v>
      </c>
    </row>
    <row r="540" spans="1:10" x14ac:dyDescent="0.2">
      <c r="A540">
        <f t="shared" si="116"/>
        <v>531</v>
      </c>
      <c r="B540">
        <f t="shared" ca="1" si="118"/>
        <v>0.53709628482860361</v>
      </c>
      <c r="C540">
        <f t="shared" ca="1" si="124"/>
        <v>0.14540870833654762</v>
      </c>
      <c r="D540">
        <f t="shared" ca="1" si="124"/>
        <v>-0.82913313902667118</v>
      </c>
      <c r="E540">
        <f t="shared" ca="1" si="119"/>
        <v>0.31830988618379069</v>
      </c>
      <c r="F540">
        <f t="shared" si="123"/>
        <v>0.25</v>
      </c>
      <c r="G540">
        <f t="shared" ca="1" si="120"/>
        <v>1</v>
      </c>
      <c r="H540">
        <f ca="1">IF(G540=1,SUM($G$10:G540),"-")</f>
        <v>418</v>
      </c>
      <c r="I540">
        <f t="shared" ca="1" si="121"/>
        <v>0.14540870833654762</v>
      </c>
      <c r="J540">
        <f t="shared" ca="1" si="122"/>
        <v>-0.82913313902667118</v>
      </c>
    </row>
    <row r="541" spans="1:10" x14ac:dyDescent="0.2">
      <c r="A541">
        <f t="shared" si="116"/>
        <v>532</v>
      </c>
      <c r="B541">
        <f t="shared" ca="1" si="118"/>
        <v>0.56362247255541797</v>
      </c>
      <c r="C541">
        <f t="shared" ca="1" si="124"/>
        <v>-0.51120551160506622</v>
      </c>
      <c r="D541">
        <f t="shared" ca="1" si="124"/>
        <v>-0.40501501937802442</v>
      </c>
      <c r="E541">
        <f t="shared" ca="1" si="119"/>
        <v>0.31830988618379069</v>
      </c>
      <c r="F541">
        <f t="shared" si="123"/>
        <v>0.25</v>
      </c>
      <c r="G541">
        <f t="shared" ca="1" si="120"/>
        <v>1</v>
      </c>
      <c r="H541">
        <f ca="1">IF(G541=1,SUM($G$10:G541),"-")</f>
        <v>419</v>
      </c>
      <c r="I541">
        <f t="shared" ca="1" si="121"/>
        <v>-0.51120551160506622</v>
      </c>
      <c r="J541">
        <f t="shared" ca="1" si="122"/>
        <v>-0.40501501937802442</v>
      </c>
    </row>
    <row r="542" spans="1:10" x14ac:dyDescent="0.2">
      <c r="A542">
        <f t="shared" si="116"/>
        <v>533</v>
      </c>
      <c r="B542">
        <f t="shared" ca="1" si="118"/>
        <v>0.80810981741528221</v>
      </c>
      <c r="C542">
        <f t="shared" ca="1" si="124"/>
        <v>-4.5363174774619708E-2</v>
      </c>
      <c r="D542">
        <f t="shared" ca="1" si="124"/>
        <v>0.61877984396479291</v>
      </c>
      <c r="E542">
        <f t="shared" ca="1" si="119"/>
        <v>0.31830988618379069</v>
      </c>
      <c r="F542">
        <f t="shared" si="123"/>
        <v>0.25</v>
      </c>
      <c r="G542">
        <f t="shared" ca="1" si="120"/>
        <v>1</v>
      </c>
      <c r="H542">
        <f ca="1">IF(G542=1,SUM($G$10:G542),"-")</f>
        <v>420</v>
      </c>
      <c r="I542">
        <f t="shared" ca="1" si="121"/>
        <v>-4.5363174774619708E-2</v>
      </c>
      <c r="J542">
        <f t="shared" ca="1" si="122"/>
        <v>0.61877984396479291</v>
      </c>
    </row>
    <row r="543" spans="1:10" x14ac:dyDescent="0.2">
      <c r="A543">
        <f t="shared" si="116"/>
        <v>534</v>
      </c>
      <c r="B543">
        <f t="shared" ca="1" si="118"/>
        <v>0.95205756783685302</v>
      </c>
      <c r="C543">
        <f t="shared" ca="1" si="124"/>
        <v>0.59759654016288133</v>
      </c>
      <c r="D543">
        <f t="shared" ca="1" si="124"/>
        <v>9.8226863738798187E-2</v>
      </c>
      <c r="E543">
        <f t="shared" ca="1" si="119"/>
        <v>0.31830988618379069</v>
      </c>
      <c r="F543">
        <f t="shared" si="123"/>
        <v>0.25</v>
      </c>
      <c r="G543">
        <f t="shared" ca="1" si="120"/>
        <v>1</v>
      </c>
      <c r="H543">
        <f ca="1">IF(G543=1,SUM($G$10:G543),"-")</f>
        <v>421</v>
      </c>
      <c r="I543">
        <f t="shared" ca="1" si="121"/>
        <v>0.59759654016288133</v>
      </c>
      <c r="J543">
        <f t="shared" ca="1" si="122"/>
        <v>9.8226863738798187E-2</v>
      </c>
    </row>
    <row r="544" spans="1:10" x14ac:dyDescent="0.2">
      <c r="A544">
        <f t="shared" si="116"/>
        <v>535</v>
      </c>
      <c r="B544">
        <f t="shared" ca="1" si="118"/>
        <v>0.10506190809023541</v>
      </c>
      <c r="C544">
        <f t="shared" ca="1" si="124"/>
        <v>-0.73246170280932055</v>
      </c>
      <c r="D544">
        <f t="shared" ca="1" si="124"/>
        <v>0.77253411080831746</v>
      </c>
      <c r="E544">
        <f t="shared" ca="1" si="119"/>
        <v>0</v>
      </c>
      <c r="F544">
        <f t="shared" si="123"/>
        <v>0.25</v>
      </c>
      <c r="G544">
        <f t="shared" ca="1" si="120"/>
        <v>0</v>
      </c>
      <c r="H544" t="str">
        <f ca="1">IF(G544=1,SUM($G$10:G544),"-")</f>
        <v>-</v>
      </c>
      <c r="I544" t="str">
        <f t="shared" ca="1" si="121"/>
        <v>-</v>
      </c>
      <c r="J544" t="str">
        <f t="shared" ca="1" si="122"/>
        <v>-</v>
      </c>
    </row>
    <row r="545" spans="1:10" x14ac:dyDescent="0.2">
      <c r="A545">
        <f t="shared" si="116"/>
        <v>536</v>
      </c>
      <c r="B545">
        <f t="shared" ca="1" si="118"/>
        <v>0.75523063096557119</v>
      </c>
      <c r="C545">
        <f t="shared" ca="1" si="124"/>
        <v>0.74725878882797447</v>
      </c>
      <c r="D545">
        <f t="shared" ca="1" si="124"/>
        <v>-0.47686996499006362</v>
      </c>
      <c r="E545">
        <f t="shared" ca="1" si="119"/>
        <v>0.31830988618379069</v>
      </c>
      <c r="F545">
        <f t="shared" si="123"/>
        <v>0.25</v>
      </c>
      <c r="G545">
        <f t="shared" ca="1" si="120"/>
        <v>1</v>
      </c>
      <c r="H545">
        <f ca="1">IF(G545=1,SUM($G$10:G545),"-")</f>
        <v>422</v>
      </c>
      <c r="I545">
        <f t="shared" ca="1" si="121"/>
        <v>0.74725878882797447</v>
      </c>
      <c r="J545">
        <f t="shared" ca="1" si="122"/>
        <v>-0.47686996499006362</v>
      </c>
    </row>
    <row r="546" spans="1:10" x14ac:dyDescent="0.2">
      <c r="A546">
        <f t="shared" si="116"/>
        <v>537</v>
      </c>
      <c r="B546">
        <f t="shared" ca="1" si="118"/>
        <v>0.56740493575503481</v>
      </c>
      <c r="C546">
        <f t="shared" ca="1" si="124"/>
        <v>0.12410055477630166</v>
      </c>
      <c r="D546">
        <f t="shared" ca="1" si="124"/>
        <v>-0.4963724613343663</v>
      </c>
      <c r="E546">
        <f t="shared" ca="1" si="119"/>
        <v>0.31830988618379069</v>
      </c>
      <c r="F546">
        <f t="shared" si="123"/>
        <v>0.25</v>
      </c>
      <c r="G546">
        <f t="shared" ca="1" si="120"/>
        <v>1</v>
      </c>
      <c r="H546">
        <f ca="1">IF(G546=1,SUM($G$10:G546),"-")</f>
        <v>423</v>
      </c>
      <c r="I546">
        <f t="shared" ca="1" si="121"/>
        <v>0.12410055477630166</v>
      </c>
      <c r="J546">
        <f t="shared" ca="1" si="122"/>
        <v>-0.4963724613343663</v>
      </c>
    </row>
    <row r="547" spans="1:10" x14ac:dyDescent="0.2">
      <c r="A547">
        <f t="shared" si="116"/>
        <v>538</v>
      </c>
      <c r="B547">
        <f t="shared" ca="1" si="118"/>
        <v>0.70883237735597893</v>
      </c>
      <c r="C547">
        <f t="shared" ca="1" si="124"/>
        <v>-0.18740457584424863</v>
      </c>
      <c r="D547">
        <f t="shared" ca="1" si="124"/>
        <v>-0.17925558068133807</v>
      </c>
      <c r="E547">
        <f t="shared" ca="1" si="119"/>
        <v>0.31830988618379069</v>
      </c>
      <c r="F547">
        <f t="shared" si="123"/>
        <v>0.25</v>
      </c>
      <c r="G547">
        <f t="shared" ca="1" si="120"/>
        <v>1</v>
      </c>
      <c r="H547">
        <f ca="1">IF(G547=1,SUM($G$10:G547),"-")</f>
        <v>424</v>
      </c>
      <c r="I547">
        <f t="shared" ca="1" si="121"/>
        <v>-0.18740457584424863</v>
      </c>
      <c r="J547">
        <f t="shared" ca="1" si="122"/>
        <v>-0.17925558068133807</v>
      </c>
    </row>
    <row r="548" spans="1:10" x14ac:dyDescent="0.2">
      <c r="A548">
        <f t="shared" si="116"/>
        <v>539</v>
      </c>
      <c r="B548">
        <f t="shared" ca="1" si="118"/>
        <v>0.33179614692849979</v>
      </c>
      <c r="C548">
        <f t="shared" ca="1" si="124"/>
        <v>0.84902773578742097</v>
      </c>
      <c r="D548">
        <f t="shared" ca="1" si="124"/>
        <v>-0.61352722154639894</v>
      </c>
      <c r="E548">
        <f t="shared" ca="1" si="119"/>
        <v>0</v>
      </c>
      <c r="F548">
        <f t="shared" si="123"/>
        <v>0.25</v>
      </c>
      <c r="G548">
        <f t="shared" ca="1" si="120"/>
        <v>0</v>
      </c>
      <c r="H548" t="str">
        <f ca="1">IF(G548=1,SUM($G$10:G548),"-")</f>
        <v>-</v>
      </c>
      <c r="I548" t="str">
        <f t="shared" ca="1" si="121"/>
        <v>-</v>
      </c>
      <c r="J548" t="str">
        <f t="shared" ca="1" si="122"/>
        <v>-</v>
      </c>
    </row>
    <row r="549" spans="1:10" x14ac:dyDescent="0.2">
      <c r="A549">
        <f t="shared" si="116"/>
        <v>540</v>
      </c>
      <c r="B549">
        <f t="shared" ca="1" si="118"/>
        <v>0.30452453794374823</v>
      </c>
      <c r="C549">
        <f t="shared" ca="1" si="124"/>
        <v>-0.93246673960009829</v>
      </c>
      <c r="D549">
        <f t="shared" ca="1" si="124"/>
        <v>0.38767335473363684</v>
      </c>
      <c r="E549">
        <f t="shared" ca="1" si="119"/>
        <v>0</v>
      </c>
      <c r="F549">
        <f t="shared" si="123"/>
        <v>0.25</v>
      </c>
      <c r="G549">
        <f t="shared" ca="1" si="120"/>
        <v>0</v>
      </c>
      <c r="H549" t="str">
        <f ca="1">IF(G549=1,SUM($G$10:G549),"-")</f>
        <v>-</v>
      </c>
      <c r="I549" t="str">
        <f t="shared" ca="1" si="121"/>
        <v>-</v>
      </c>
      <c r="J549" t="str">
        <f t="shared" ca="1" si="122"/>
        <v>-</v>
      </c>
    </row>
    <row r="550" spans="1:10" x14ac:dyDescent="0.2">
      <c r="A550">
        <f t="shared" si="116"/>
        <v>541</v>
      </c>
      <c r="B550">
        <f t="shared" ca="1" si="118"/>
        <v>9.4787890603023839E-2</v>
      </c>
      <c r="C550">
        <f t="shared" ref="C550:D569" ca="1" si="125">2*RAND()-1</f>
        <v>0.23868783475945032</v>
      </c>
      <c r="D550">
        <f t="shared" ca="1" si="125"/>
        <v>0.19786778366161295</v>
      </c>
      <c r="E550">
        <f t="shared" ca="1" si="119"/>
        <v>0.31830988618379069</v>
      </c>
      <c r="F550">
        <f t="shared" si="123"/>
        <v>0.25</v>
      </c>
      <c r="G550">
        <f t="shared" ca="1" si="120"/>
        <v>1</v>
      </c>
      <c r="H550">
        <f ca="1">IF(G550=1,SUM($G$10:G550),"-")</f>
        <v>425</v>
      </c>
      <c r="I550">
        <f t="shared" ca="1" si="121"/>
        <v>0.23868783475945032</v>
      </c>
      <c r="J550">
        <f t="shared" ca="1" si="122"/>
        <v>0.19786778366161295</v>
      </c>
    </row>
    <row r="551" spans="1:10" x14ac:dyDescent="0.2">
      <c r="A551">
        <f t="shared" si="116"/>
        <v>542</v>
      </c>
      <c r="B551">
        <f t="shared" ca="1" si="118"/>
        <v>0.97286811096809223</v>
      </c>
      <c r="C551">
        <f t="shared" ca="1" si="125"/>
        <v>0.67910589610894201</v>
      </c>
      <c r="D551">
        <f t="shared" ca="1" si="125"/>
        <v>0.14386791652919428</v>
      </c>
      <c r="E551">
        <f t="shared" ca="1" si="119"/>
        <v>0.31830988618379069</v>
      </c>
      <c r="F551">
        <f t="shared" si="123"/>
        <v>0.25</v>
      </c>
      <c r="G551">
        <f t="shared" ca="1" si="120"/>
        <v>1</v>
      </c>
      <c r="H551">
        <f ca="1">IF(G551=1,SUM($G$10:G551),"-")</f>
        <v>426</v>
      </c>
      <c r="I551">
        <f t="shared" ca="1" si="121"/>
        <v>0.67910589610894201</v>
      </c>
      <c r="J551">
        <f t="shared" ca="1" si="122"/>
        <v>0.14386791652919428</v>
      </c>
    </row>
    <row r="552" spans="1:10" x14ac:dyDescent="0.2">
      <c r="A552">
        <f t="shared" si="116"/>
        <v>543</v>
      </c>
      <c r="B552">
        <f t="shared" ca="1" si="118"/>
        <v>0.38156293553671627</v>
      </c>
      <c r="C552">
        <f t="shared" ca="1" si="125"/>
        <v>-8.4925421104645293E-2</v>
      </c>
      <c r="D552">
        <f t="shared" ca="1" si="125"/>
        <v>0.56421798548150415</v>
      </c>
      <c r="E552">
        <f t="shared" ca="1" si="119"/>
        <v>0.31830988618379069</v>
      </c>
      <c r="F552">
        <f t="shared" si="123"/>
        <v>0.25</v>
      </c>
      <c r="G552">
        <f t="shared" ca="1" si="120"/>
        <v>1</v>
      </c>
      <c r="H552">
        <f ca="1">IF(G552=1,SUM($G$10:G552),"-")</f>
        <v>427</v>
      </c>
      <c r="I552">
        <f t="shared" ca="1" si="121"/>
        <v>-8.4925421104645293E-2</v>
      </c>
      <c r="J552">
        <f t="shared" ca="1" si="122"/>
        <v>0.56421798548150415</v>
      </c>
    </row>
    <row r="553" spans="1:10" x14ac:dyDescent="0.2">
      <c r="A553">
        <f t="shared" si="116"/>
        <v>544</v>
      </c>
      <c r="B553">
        <f t="shared" ca="1" si="118"/>
        <v>0.61497136759861348</v>
      </c>
      <c r="C553">
        <f t="shared" ca="1" si="125"/>
        <v>0.38749262263859352</v>
      </c>
      <c r="D553">
        <f t="shared" ca="1" si="125"/>
        <v>0.60542703740972548</v>
      </c>
      <c r="E553">
        <f t="shared" ca="1" si="119"/>
        <v>0.31830988618379069</v>
      </c>
      <c r="F553">
        <f t="shared" si="123"/>
        <v>0.25</v>
      </c>
      <c r="G553">
        <f t="shared" ca="1" si="120"/>
        <v>1</v>
      </c>
      <c r="H553">
        <f ca="1">IF(G553=1,SUM($G$10:G553),"-")</f>
        <v>428</v>
      </c>
      <c r="I553">
        <f t="shared" ca="1" si="121"/>
        <v>0.38749262263859352</v>
      </c>
      <c r="J553">
        <f t="shared" ca="1" si="122"/>
        <v>0.60542703740972548</v>
      </c>
    </row>
    <row r="554" spans="1:10" x14ac:dyDescent="0.2">
      <c r="A554">
        <f t="shared" si="116"/>
        <v>545</v>
      </c>
      <c r="B554">
        <f t="shared" ca="1" si="118"/>
        <v>0.81650298519070896</v>
      </c>
      <c r="C554">
        <f t="shared" ca="1" si="125"/>
        <v>-0.3160308999980872</v>
      </c>
      <c r="D554">
        <f t="shared" ca="1" si="125"/>
        <v>0.2444370864378147</v>
      </c>
      <c r="E554">
        <f t="shared" ca="1" si="119"/>
        <v>0.31830988618379069</v>
      </c>
      <c r="F554">
        <f t="shared" si="123"/>
        <v>0.25</v>
      </c>
      <c r="G554">
        <f t="shared" ca="1" si="120"/>
        <v>1</v>
      </c>
      <c r="H554">
        <f ca="1">IF(G554=1,SUM($G$10:G554),"-")</f>
        <v>429</v>
      </c>
      <c r="I554">
        <f t="shared" ca="1" si="121"/>
        <v>-0.3160308999980872</v>
      </c>
      <c r="J554">
        <f t="shared" ca="1" si="122"/>
        <v>0.2444370864378147</v>
      </c>
    </row>
    <row r="555" spans="1:10" x14ac:dyDescent="0.2">
      <c r="A555">
        <f t="shared" si="116"/>
        <v>546</v>
      </c>
      <c r="B555">
        <f t="shared" ca="1" si="118"/>
        <v>0.38143647521034652</v>
      </c>
      <c r="C555">
        <f t="shared" ca="1" si="125"/>
        <v>0.77981786729094571</v>
      </c>
      <c r="D555">
        <f t="shared" ca="1" si="125"/>
        <v>-5.4172153453415195E-2</v>
      </c>
      <c r="E555">
        <f t="shared" ca="1" si="119"/>
        <v>0.31830988618379069</v>
      </c>
      <c r="F555">
        <f t="shared" si="123"/>
        <v>0.25</v>
      </c>
      <c r="G555">
        <f t="shared" ca="1" si="120"/>
        <v>1</v>
      </c>
      <c r="H555">
        <f ca="1">IF(G555=1,SUM($G$10:G555),"-")</f>
        <v>430</v>
      </c>
      <c r="I555">
        <f t="shared" ca="1" si="121"/>
        <v>0.77981786729094571</v>
      </c>
      <c r="J555">
        <f t="shared" ca="1" si="122"/>
        <v>-5.4172153453415195E-2</v>
      </c>
    </row>
    <row r="556" spans="1:10" x14ac:dyDescent="0.2">
      <c r="A556">
        <f t="shared" si="116"/>
        <v>547</v>
      </c>
      <c r="B556">
        <f t="shared" ca="1" si="118"/>
        <v>0.13196460658510989</v>
      </c>
      <c r="C556">
        <f t="shared" ca="1" si="125"/>
        <v>-0.36342791553084597</v>
      </c>
      <c r="D556">
        <f t="shared" ca="1" si="125"/>
        <v>-0.665784633362277</v>
      </c>
      <c r="E556">
        <f t="shared" ca="1" si="119"/>
        <v>0.31830988618379069</v>
      </c>
      <c r="F556">
        <f t="shared" si="123"/>
        <v>0.25</v>
      </c>
      <c r="G556">
        <f t="shared" ca="1" si="120"/>
        <v>1</v>
      </c>
      <c r="H556">
        <f ca="1">IF(G556=1,SUM($G$10:G556),"-")</f>
        <v>431</v>
      </c>
      <c r="I556">
        <f t="shared" ca="1" si="121"/>
        <v>-0.36342791553084597</v>
      </c>
      <c r="J556">
        <f t="shared" ca="1" si="122"/>
        <v>-0.665784633362277</v>
      </c>
    </row>
    <row r="557" spans="1:10" x14ac:dyDescent="0.2">
      <c r="A557">
        <f t="shared" si="116"/>
        <v>548</v>
      </c>
      <c r="B557">
        <f t="shared" ca="1" si="118"/>
        <v>0.32060674501564723</v>
      </c>
      <c r="C557">
        <f t="shared" ca="1" si="125"/>
        <v>0.19482217725032225</v>
      </c>
      <c r="D557">
        <f t="shared" ca="1" si="125"/>
        <v>0.58696902221301195</v>
      </c>
      <c r="E557">
        <f t="shared" ca="1" si="119"/>
        <v>0.31830988618379069</v>
      </c>
      <c r="F557">
        <f t="shared" si="123"/>
        <v>0.25</v>
      </c>
      <c r="G557">
        <f t="shared" ca="1" si="120"/>
        <v>1</v>
      </c>
      <c r="H557">
        <f ca="1">IF(G557=1,SUM($G$10:G557),"-")</f>
        <v>432</v>
      </c>
      <c r="I557">
        <f t="shared" ca="1" si="121"/>
        <v>0.19482217725032225</v>
      </c>
      <c r="J557">
        <f t="shared" ca="1" si="122"/>
        <v>0.58696902221301195</v>
      </c>
    </row>
    <row r="558" spans="1:10" x14ac:dyDescent="0.2">
      <c r="A558">
        <f t="shared" si="116"/>
        <v>549</v>
      </c>
      <c r="B558">
        <f t="shared" ca="1" si="118"/>
        <v>0.36918353313691643</v>
      </c>
      <c r="C558">
        <f t="shared" ca="1" si="125"/>
        <v>0.6491632136840646</v>
      </c>
      <c r="D558">
        <f t="shared" ca="1" si="125"/>
        <v>-0.90429555457027311</v>
      </c>
      <c r="E558">
        <f t="shared" ca="1" si="119"/>
        <v>0</v>
      </c>
      <c r="F558">
        <f t="shared" si="123"/>
        <v>0.25</v>
      </c>
      <c r="G558">
        <f t="shared" ca="1" si="120"/>
        <v>0</v>
      </c>
      <c r="H558" t="str">
        <f ca="1">IF(G558=1,SUM($G$10:G558),"-")</f>
        <v>-</v>
      </c>
      <c r="I558" t="str">
        <f t="shared" ca="1" si="121"/>
        <v>-</v>
      </c>
      <c r="J558" t="str">
        <f t="shared" ca="1" si="122"/>
        <v>-</v>
      </c>
    </row>
    <row r="559" spans="1:10" x14ac:dyDescent="0.2">
      <c r="A559">
        <f t="shared" ref="A559:A622" si="126">1+A558</f>
        <v>550</v>
      </c>
      <c r="B559">
        <f t="shared" ca="1" si="118"/>
        <v>0.84107765724126771</v>
      </c>
      <c r="C559">
        <f t="shared" ca="1" si="125"/>
        <v>-0.23201508427529705</v>
      </c>
      <c r="D559">
        <f t="shared" ca="1" si="125"/>
        <v>0.97903727678938379</v>
      </c>
      <c r="E559">
        <f t="shared" ca="1" si="119"/>
        <v>0</v>
      </c>
      <c r="F559">
        <f t="shared" si="123"/>
        <v>0.25</v>
      </c>
      <c r="G559">
        <f t="shared" ca="1" si="120"/>
        <v>0</v>
      </c>
      <c r="H559" t="str">
        <f ca="1">IF(G559=1,SUM($G$10:G559),"-")</f>
        <v>-</v>
      </c>
      <c r="I559" t="str">
        <f t="shared" ca="1" si="121"/>
        <v>-</v>
      </c>
      <c r="J559" t="str">
        <f t="shared" ca="1" si="122"/>
        <v>-</v>
      </c>
    </row>
    <row r="560" spans="1:10" x14ac:dyDescent="0.2">
      <c r="A560">
        <f t="shared" si="126"/>
        <v>551</v>
      </c>
      <c r="B560">
        <f t="shared" ca="1" si="118"/>
        <v>0.69222610837748089</v>
      </c>
      <c r="C560">
        <f t="shared" ca="1" si="125"/>
        <v>-0.62065142376149951</v>
      </c>
      <c r="D560">
        <f t="shared" ca="1" si="125"/>
        <v>0.33441761474099096</v>
      </c>
      <c r="E560">
        <f t="shared" ca="1" si="119"/>
        <v>0.31830988618379069</v>
      </c>
      <c r="F560">
        <f t="shared" si="123"/>
        <v>0.25</v>
      </c>
      <c r="G560">
        <f t="shared" ca="1" si="120"/>
        <v>1</v>
      </c>
      <c r="H560">
        <f ca="1">IF(G560=1,SUM($G$10:G560),"-")</f>
        <v>433</v>
      </c>
      <c r="I560">
        <f t="shared" ca="1" si="121"/>
        <v>-0.62065142376149951</v>
      </c>
      <c r="J560">
        <f t="shared" ca="1" si="122"/>
        <v>0.33441761474099096</v>
      </c>
    </row>
    <row r="561" spans="1:10" x14ac:dyDescent="0.2">
      <c r="A561">
        <f t="shared" si="126"/>
        <v>552</v>
      </c>
      <c r="B561">
        <f t="shared" ca="1" si="118"/>
        <v>0.43038072413737649</v>
      </c>
      <c r="C561">
        <f t="shared" ca="1" si="125"/>
        <v>-0.27875624655047249</v>
      </c>
      <c r="D561">
        <f t="shared" ca="1" si="125"/>
        <v>-0.55094359083907496</v>
      </c>
      <c r="E561">
        <f t="shared" ca="1" si="119"/>
        <v>0.31830988618379069</v>
      </c>
      <c r="F561">
        <f t="shared" si="123"/>
        <v>0.25</v>
      </c>
      <c r="G561">
        <f t="shared" ca="1" si="120"/>
        <v>1</v>
      </c>
      <c r="H561">
        <f ca="1">IF(G561=1,SUM($G$10:G561),"-")</f>
        <v>434</v>
      </c>
      <c r="I561">
        <f t="shared" ca="1" si="121"/>
        <v>-0.27875624655047249</v>
      </c>
      <c r="J561">
        <f t="shared" ca="1" si="122"/>
        <v>-0.55094359083907496</v>
      </c>
    </row>
    <row r="562" spans="1:10" x14ac:dyDescent="0.2">
      <c r="A562">
        <f t="shared" si="126"/>
        <v>553</v>
      </c>
      <c r="B562">
        <f t="shared" ca="1" si="118"/>
        <v>0.26644754676463756</v>
      </c>
      <c r="C562">
        <f t="shared" ca="1" si="125"/>
        <v>0.8452476430626561</v>
      </c>
      <c r="D562">
        <f t="shared" ca="1" si="125"/>
        <v>-0.20811806861971283</v>
      </c>
      <c r="E562">
        <f t="shared" ca="1" si="119"/>
        <v>0.31830988618379069</v>
      </c>
      <c r="F562">
        <f t="shared" si="123"/>
        <v>0.25</v>
      </c>
      <c r="G562">
        <f t="shared" ca="1" si="120"/>
        <v>1</v>
      </c>
      <c r="H562">
        <f ca="1">IF(G562=1,SUM($G$10:G562),"-")</f>
        <v>435</v>
      </c>
      <c r="I562">
        <f t="shared" ca="1" si="121"/>
        <v>0.8452476430626561</v>
      </c>
      <c r="J562">
        <f t="shared" ca="1" si="122"/>
        <v>-0.20811806861971283</v>
      </c>
    </row>
    <row r="563" spans="1:10" x14ac:dyDescent="0.2">
      <c r="A563">
        <f t="shared" si="126"/>
        <v>554</v>
      </c>
      <c r="B563">
        <f t="shared" ca="1" si="118"/>
        <v>0.61247107288203473</v>
      </c>
      <c r="C563">
        <f t="shared" ca="1" si="125"/>
        <v>0.605249681314179</v>
      </c>
      <c r="D563">
        <f t="shared" ca="1" si="125"/>
        <v>-0.36121289705591098</v>
      </c>
      <c r="E563">
        <f t="shared" ca="1" si="119"/>
        <v>0.31830988618379069</v>
      </c>
      <c r="F563">
        <f t="shared" si="123"/>
        <v>0.25</v>
      </c>
      <c r="G563">
        <f t="shared" ca="1" si="120"/>
        <v>1</v>
      </c>
      <c r="H563">
        <f ca="1">IF(G563=1,SUM($G$10:G563),"-")</f>
        <v>436</v>
      </c>
      <c r="I563">
        <f t="shared" ca="1" si="121"/>
        <v>0.605249681314179</v>
      </c>
      <c r="J563">
        <f t="shared" ca="1" si="122"/>
        <v>-0.36121289705591098</v>
      </c>
    </row>
    <row r="564" spans="1:10" x14ac:dyDescent="0.2">
      <c r="A564">
        <f t="shared" si="126"/>
        <v>555</v>
      </c>
      <c r="B564">
        <f t="shared" ca="1" si="118"/>
        <v>0.12130924335197346</v>
      </c>
      <c r="C564">
        <f t="shared" ca="1" si="125"/>
        <v>-0.31402980535055858</v>
      </c>
      <c r="D564">
        <f t="shared" ca="1" si="125"/>
        <v>0.25436362686732572</v>
      </c>
      <c r="E564">
        <f t="shared" ca="1" si="119"/>
        <v>0.31830988618379069</v>
      </c>
      <c r="F564">
        <f t="shared" si="123"/>
        <v>0.25</v>
      </c>
      <c r="G564">
        <f t="shared" ca="1" si="120"/>
        <v>1</v>
      </c>
      <c r="H564">
        <f ca="1">IF(G564=1,SUM($G$10:G564),"-")</f>
        <v>437</v>
      </c>
      <c r="I564">
        <f t="shared" ca="1" si="121"/>
        <v>-0.31402980535055858</v>
      </c>
      <c r="J564">
        <f t="shared" ca="1" si="122"/>
        <v>0.25436362686732572</v>
      </c>
    </row>
    <row r="565" spans="1:10" x14ac:dyDescent="0.2">
      <c r="A565">
        <f t="shared" si="126"/>
        <v>556</v>
      </c>
      <c r="B565">
        <f t="shared" ca="1" si="118"/>
        <v>0.13974195220679708</v>
      </c>
      <c r="C565">
        <f t="shared" ca="1" si="125"/>
        <v>-0.9933872524802374</v>
      </c>
      <c r="D565">
        <f t="shared" ca="1" si="125"/>
        <v>-0.84986719507264152</v>
      </c>
      <c r="E565">
        <f t="shared" ca="1" si="119"/>
        <v>0</v>
      </c>
      <c r="F565">
        <f t="shared" si="123"/>
        <v>0.25</v>
      </c>
      <c r="G565">
        <f t="shared" ca="1" si="120"/>
        <v>0</v>
      </c>
      <c r="H565" t="str">
        <f ca="1">IF(G565=1,SUM($G$10:G565),"-")</f>
        <v>-</v>
      </c>
      <c r="I565" t="str">
        <f t="shared" ca="1" si="121"/>
        <v>-</v>
      </c>
      <c r="J565" t="str">
        <f t="shared" ca="1" si="122"/>
        <v>-</v>
      </c>
    </row>
    <row r="566" spans="1:10" x14ac:dyDescent="0.2">
      <c r="A566">
        <f t="shared" si="126"/>
        <v>557</v>
      </c>
      <c r="B566">
        <f t="shared" ca="1" si="118"/>
        <v>0.62396508636832704</v>
      </c>
      <c r="C566">
        <f t="shared" ca="1" si="125"/>
        <v>0.30081672018614469</v>
      </c>
      <c r="D566">
        <f t="shared" ca="1" si="125"/>
        <v>-0.10313634839007313</v>
      </c>
      <c r="E566">
        <f t="shared" ca="1" si="119"/>
        <v>0.31830988618379069</v>
      </c>
      <c r="F566">
        <f t="shared" si="123"/>
        <v>0.25</v>
      </c>
      <c r="G566">
        <f t="shared" ca="1" si="120"/>
        <v>1</v>
      </c>
      <c r="H566">
        <f ca="1">IF(G566=1,SUM($G$10:G566),"-")</f>
        <v>438</v>
      </c>
      <c r="I566">
        <f t="shared" ca="1" si="121"/>
        <v>0.30081672018614469</v>
      </c>
      <c r="J566">
        <f t="shared" ca="1" si="122"/>
        <v>-0.10313634839007313</v>
      </c>
    </row>
    <row r="567" spans="1:10" x14ac:dyDescent="0.2">
      <c r="A567">
        <f t="shared" si="126"/>
        <v>558</v>
      </c>
      <c r="B567">
        <f t="shared" ca="1" si="118"/>
        <v>0.87504924353159896</v>
      </c>
      <c r="C567">
        <f t="shared" ca="1" si="125"/>
        <v>-0.8767237112997861</v>
      </c>
      <c r="D567">
        <f t="shared" ca="1" si="125"/>
        <v>0.58764775408425796</v>
      </c>
      <c r="E567">
        <f t="shared" ca="1" si="119"/>
        <v>0</v>
      </c>
      <c r="F567">
        <f t="shared" si="123"/>
        <v>0.25</v>
      </c>
      <c r="G567">
        <f t="shared" ca="1" si="120"/>
        <v>0</v>
      </c>
      <c r="H567" t="str">
        <f ca="1">IF(G567=1,SUM($G$10:G567),"-")</f>
        <v>-</v>
      </c>
      <c r="I567" t="str">
        <f t="shared" ca="1" si="121"/>
        <v>-</v>
      </c>
      <c r="J567" t="str">
        <f t="shared" ca="1" si="122"/>
        <v>-</v>
      </c>
    </row>
    <row r="568" spans="1:10" x14ac:dyDescent="0.2">
      <c r="A568">
        <f t="shared" si="126"/>
        <v>559</v>
      </c>
      <c r="B568">
        <f t="shared" ca="1" si="118"/>
        <v>0.56198279753751013</v>
      </c>
      <c r="C568">
        <f t="shared" ca="1" si="125"/>
        <v>0.87320030026370876</v>
      </c>
      <c r="D568">
        <f t="shared" ca="1" si="125"/>
        <v>-0.92947741927514738</v>
      </c>
      <c r="E568">
        <f t="shared" ca="1" si="119"/>
        <v>0</v>
      </c>
      <c r="F568">
        <f t="shared" si="123"/>
        <v>0.25</v>
      </c>
      <c r="G568">
        <f t="shared" ca="1" si="120"/>
        <v>0</v>
      </c>
      <c r="H568" t="str">
        <f ca="1">IF(G568=1,SUM($G$10:G568),"-")</f>
        <v>-</v>
      </c>
      <c r="I568" t="str">
        <f t="shared" ca="1" si="121"/>
        <v>-</v>
      </c>
      <c r="J568" t="str">
        <f t="shared" ca="1" si="122"/>
        <v>-</v>
      </c>
    </row>
    <row r="569" spans="1:10" x14ac:dyDescent="0.2">
      <c r="A569">
        <f t="shared" si="126"/>
        <v>560</v>
      </c>
      <c r="B569">
        <f t="shared" ca="1" si="118"/>
        <v>0.38665682325819206</v>
      </c>
      <c r="C569">
        <f t="shared" ca="1" si="125"/>
        <v>0.55916933803937807</v>
      </c>
      <c r="D569">
        <f t="shared" ca="1" si="125"/>
        <v>-0.79120913595734765</v>
      </c>
      <c r="E569">
        <f t="shared" ca="1" si="119"/>
        <v>0.31830988618379069</v>
      </c>
      <c r="F569">
        <f t="shared" si="123"/>
        <v>0.25</v>
      </c>
      <c r="G569">
        <f t="shared" ca="1" si="120"/>
        <v>1</v>
      </c>
      <c r="H569">
        <f ca="1">IF(G569=1,SUM($G$10:G569),"-")</f>
        <v>439</v>
      </c>
      <c r="I569">
        <f t="shared" ca="1" si="121"/>
        <v>0.55916933803937807</v>
      </c>
      <c r="J569">
        <f t="shared" ca="1" si="122"/>
        <v>-0.79120913595734765</v>
      </c>
    </row>
    <row r="570" spans="1:10" x14ac:dyDescent="0.2">
      <c r="A570">
        <f t="shared" si="126"/>
        <v>561</v>
      </c>
      <c r="B570">
        <f t="shared" ca="1" si="118"/>
        <v>0.30397716946150721</v>
      </c>
      <c r="C570">
        <f t="shared" ref="C570:D589" ca="1" si="127">2*RAND()-1</f>
        <v>0.64851195119423743</v>
      </c>
      <c r="D570">
        <f t="shared" ca="1" si="127"/>
        <v>0.77708333701492149</v>
      </c>
      <c r="E570">
        <f t="shared" ca="1" si="119"/>
        <v>0</v>
      </c>
      <c r="F570">
        <f t="shared" si="123"/>
        <v>0.25</v>
      </c>
      <c r="G570">
        <f t="shared" ca="1" si="120"/>
        <v>0</v>
      </c>
      <c r="H570" t="str">
        <f ca="1">IF(G570=1,SUM($G$10:G570),"-")</f>
        <v>-</v>
      </c>
      <c r="I570" t="str">
        <f t="shared" ca="1" si="121"/>
        <v>-</v>
      </c>
      <c r="J570" t="str">
        <f t="shared" ca="1" si="122"/>
        <v>-</v>
      </c>
    </row>
    <row r="571" spans="1:10" x14ac:dyDescent="0.2">
      <c r="A571">
        <f t="shared" si="126"/>
        <v>562</v>
      </c>
      <c r="B571">
        <f t="shared" ca="1" si="118"/>
        <v>0.15706869698255632</v>
      </c>
      <c r="C571">
        <f t="shared" ca="1" si="127"/>
        <v>-0.51229717594596047</v>
      </c>
      <c r="D571">
        <f t="shared" ca="1" si="127"/>
        <v>-0.10021141391328126</v>
      </c>
      <c r="E571">
        <f t="shared" ca="1" si="119"/>
        <v>0.31830988618379069</v>
      </c>
      <c r="F571">
        <f t="shared" si="123"/>
        <v>0.25</v>
      </c>
      <c r="G571">
        <f t="shared" ca="1" si="120"/>
        <v>1</v>
      </c>
      <c r="H571">
        <f ca="1">IF(G571=1,SUM($G$10:G571),"-")</f>
        <v>440</v>
      </c>
      <c r="I571">
        <f t="shared" ca="1" si="121"/>
        <v>-0.51229717594596047</v>
      </c>
      <c r="J571">
        <f t="shared" ca="1" si="122"/>
        <v>-0.10021141391328126</v>
      </c>
    </row>
    <row r="572" spans="1:10" x14ac:dyDescent="0.2">
      <c r="A572">
        <f t="shared" si="126"/>
        <v>563</v>
      </c>
      <c r="B572">
        <f t="shared" ca="1" si="118"/>
        <v>0.71058297033066364</v>
      </c>
      <c r="C572">
        <f t="shared" ca="1" si="127"/>
        <v>-8.1406742888056938E-2</v>
      </c>
      <c r="D572">
        <f t="shared" ca="1" si="127"/>
        <v>7.023963420417445E-3</v>
      </c>
      <c r="E572">
        <f t="shared" ca="1" si="119"/>
        <v>0.31830988618379069</v>
      </c>
      <c r="F572">
        <f t="shared" si="123"/>
        <v>0.25</v>
      </c>
      <c r="G572">
        <f t="shared" ca="1" si="120"/>
        <v>1</v>
      </c>
      <c r="H572">
        <f ca="1">IF(G572=1,SUM($G$10:G572),"-")</f>
        <v>441</v>
      </c>
      <c r="I572">
        <f t="shared" ca="1" si="121"/>
        <v>-8.1406742888056938E-2</v>
      </c>
      <c r="J572">
        <f t="shared" ca="1" si="122"/>
        <v>7.023963420417445E-3</v>
      </c>
    </row>
    <row r="573" spans="1:10" x14ac:dyDescent="0.2">
      <c r="A573">
        <f t="shared" si="126"/>
        <v>564</v>
      </c>
      <c r="B573">
        <f t="shared" ca="1" si="118"/>
        <v>0.14476309837110124</v>
      </c>
      <c r="C573">
        <f t="shared" ca="1" si="127"/>
        <v>-0.42055719199583685</v>
      </c>
      <c r="D573">
        <f t="shared" ca="1" si="127"/>
        <v>-0.36496933577457513</v>
      </c>
      <c r="E573">
        <f t="shared" ca="1" si="119"/>
        <v>0.31830988618379069</v>
      </c>
      <c r="F573">
        <f t="shared" si="123"/>
        <v>0.25</v>
      </c>
      <c r="G573">
        <f t="shared" ca="1" si="120"/>
        <v>1</v>
      </c>
      <c r="H573">
        <f ca="1">IF(G573=1,SUM($G$10:G573),"-")</f>
        <v>442</v>
      </c>
      <c r="I573">
        <f t="shared" ca="1" si="121"/>
        <v>-0.42055719199583685</v>
      </c>
      <c r="J573">
        <f t="shared" ca="1" si="122"/>
        <v>-0.36496933577457513</v>
      </c>
    </row>
    <row r="574" spans="1:10" x14ac:dyDescent="0.2">
      <c r="A574">
        <f t="shared" si="126"/>
        <v>565</v>
      </c>
      <c r="B574">
        <f t="shared" ca="1" si="118"/>
        <v>0.45914097764525985</v>
      </c>
      <c r="C574">
        <f t="shared" ca="1" si="127"/>
        <v>0.10789742649685885</v>
      </c>
      <c r="D574">
        <f t="shared" ca="1" si="127"/>
        <v>-0.19955437233573048</v>
      </c>
      <c r="E574">
        <f t="shared" ca="1" si="119"/>
        <v>0.31830988618379069</v>
      </c>
      <c r="F574">
        <f t="shared" si="123"/>
        <v>0.25</v>
      </c>
      <c r="G574">
        <f t="shared" ca="1" si="120"/>
        <v>1</v>
      </c>
      <c r="H574">
        <f ca="1">IF(G574=1,SUM($G$10:G574),"-")</f>
        <v>443</v>
      </c>
      <c r="I574">
        <f t="shared" ca="1" si="121"/>
        <v>0.10789742649685885</v>
      </c>
      <c r="J574">
        <f t="shared" ca="1" si="122"/>
        <v>-0.19955437233573048</v>
      </c>
    </row>
    <row r="575" spans="1:10" x14ac:dyDescent="0.2">
      <c r="A575">
        <f t="shared" si="126"/>
        <v>566</v>
      </c>
      <c r="B575">
        <f t="shared" ca="1" si="118"/>
        <v>9.4729008142434235E-2</v>
      </c>
      <c r="C575">
        <f t="shared" ca="1" si="127"/>
        <v>-0.10801391520993375</v>
      </c>
      <c r="D575">
        <f t="shared" ca="1" si="127"/>
        <v>0.22482772130959106</v>
      </c>
      <c r="E575">
        <f t="shared" ca="1" si="119"/>
        <v>0.31830988618379069</v>
      </c>
      <c r="F575">
        <f t="shared" si="123"/>
        <v>0.25</v>
      </c>
      <c r="G575">
        <f t="shared" ca="1" si="120"/>
        <v>1</v>
      </c>
      <c r="H575">
        <f ca="1">IF(G575=1,SUM($G$10:G575),"-")</f>
        <v>444</v>
      </c>
      <c r="I575">
        <f t="shared" ca="1" si="121"/>
        <v>-0.10801391520993375</v>
      </c>
      <c r="J575">
        <f t="shared" ca="1" si="122"/>
        <v>0.22482772130959106</v>
      </c>
    </row>
    <row r="576" spans="1:10" x14ac:dyDescent="0.2">
      <c r="A576">
        <f t="shared" si="126"/>
        <v>567</v>
      </c>
      <c r="B576">
        <f t="shared" ca="1" si="118"/>
        <v>0.69863244966020144</v>
      </c>
      <c r="C576">
        <f t="shared" ca="1" si="127"/>
        <v>0.20070604275813309</v>
      </c>
      <c r="D576">
        <f t="shared" ca="1" si="127"/>
        <v>-0.41821286076113617</v>
      </c>
      <c r="E576">
        <f t="shared" ca="1" si="119"/>
        <v>0.31830988618379069</v>
      </c>
      <c r="F576">
        <f t="shared" si="123"/>
        <v>0.25</v>
      </c>
      <c r="G576">
        <f t="shared" ca="1" si="120"/>
        <v>1</v>
      </c>
      <c r="H576">
        <f ca="1">IF(G576=1,SUM($G$10:G576),"-")</f>
        <v>445</v>
      </c>
      <c r="I576">
        <f t="shared" ca="1" si="121"/>
        <v>0.20070604275813309</v>
      </c>
      <c r="J576">
        <f t="shared" ca="1" si="122"/>
        <v>-0.41821286076113617</v>
      </c>
    </row>
    <row r="577" spans="1:10" x14ac:dyDescent="0.2">
      <c r="A577">
        <f t="shared" si="126"/>
        <v>568</v>
      </c>
      <c r="B577">
        <f t="shared" ca="1" si="118"/>
        <v>0.21821692735366449</v>
      </c>
      <c r="C577">
        <f t="shared" ca="1" si="127"/>
        <v>-0.6463922185028057</v>
      </c>
      <c r="D577">
        <f t="shared" ca="1" si="127"/>
        <v>-0.91365598704175022</v>
      </c>
      <c r="E577">
        <f t="shared" ca="1" si="119"/>
        <v>0</v>
      </c>
      <c r="F577">
        <f t="shared" si="123"/>
        <v>0.25</v>
      </c>
      <c r="G577">
        <f t="shared" ca="1" si="120"/>
        <v>0</v>
      </c>
      <c r="H577" t="str">
        <f ca="1">IF(G577=1,SUM($G$10:G577),"-")</f>
        <v>-</v>
      </c>
      <c r="I577" t="str">
        <f t="shared" ca="1" si="121"/>
        <v>-</v>
      </c>
      <c r="J577" t="str">
        <f t="shared" ca="1" si="122"/>
        <v>-</v>
      </c>
    </row>
    <row r="578" spans="1:10" x14ac:dyDescent="0.2">
      <c r="A578">
        <f t="shared" si="126"/>
        <v>569</v>
      </c>
      <c r="B578">
        <f t="shared" ca="1" si="118"/>
        <v>0.35301291506270316</v>
      </c>
      <c r="C578">
        <f t="shared" ca="1" si="127"/>
        <v>-0.7031811215698982</v>
      </c>
      <c r="D578">
        <f t="shared" ca="1" si="127"/>
        <v>0.90974784218845617</v>
      </c>
      <c r="E578">
        <f t="shared" ca="1" si="119"/>
        <v>0</v>
      </c>
      <c r="F578">
        <f t="shared" si="123"/>
        <v>0.25</v>
      </c>
      <c r="G578">
        <f t="shared" ca="1" si="120"/>
        <v>0</v>
      </c>
      <c r="H578" t="str">
        <f ca="1">IF(G578=1,SUM($G$10:G578),"-")</f>
        <v>-</v>
      </c>
      <c r="I578" t="str">
        <f t="shared" ca="1" si="121"/>
        <v>-</v>
      </c>
      <c r="J578" t="str">
        <f t="shared" ca="1" si="122"/>
        <v>-</v>
      </c>
    </row>
    <row r="579" spans="1:10" x14ac:dyDescent="0.2">
      <c r="A579">
        <f t="shared" si="126"/>
        <v>570</v>
      </c>
      <c r="B579">
        <f t="shared" ca="1" si="118"/>
        <v>0.58918055610445264</v>
      </c>
      <c r="C579">
        <f t="shared" ca="1" si="127"/>
        <v>3.9771698615278517E-3</v>
      </c>
      <c r="D579">
        <f t="shared" ca="1" si="127"/>
        <v>-9.0484544302712466E-2</v>
      </c>
      <c r="E579">
        <f t="shared" ca="1" si="119"/>
        <v>0.31830988618379069</v>
      </c>
      <c r="F579">
        <f t="shared" si="123"/>
        <v>0.25</v>
      </c>
      <c r="G579">
        <f t="shared" ca="1" si="120"/>
        <v>1</v>
      </c>
      <c r="H579">
        <f ca="1">IF(G579=1,SUM($G$10:G579),"-")</f>
        <v>446</v>
      </c>
      <c r="I579">
        <f t="shared" ca="1" si="121"/>
        <v>3.9771698615278517E-3</v>
      </c>
      <c r="J579">
        <f t="shared" ca="1" si="122"/>
        <v>-9.0484544302712466E-2</v>
      </c>
    </row>
    <row r="580" spans="1:10" x14ac:dyDescent="0.2">
      <c r="A580">
        <f t="shared" si="126"/>
        <v>571</v>
      </c>
      <c r="B580">
        <f t="shared" ca="1" si="118"/>
        <v>0.41147165716976486</v>
      </c>
      <c r="C580">
        <f t="shared" ca="1" si="127"/>
        <v>-0.72174677959534828</v>
      </c>
      <c r="D580">
        <f t="shared" ca="1" si="127"/>
        <v>0.54780552953560235</v>
      </c>
      <c r="E580">
        <f t="shared" ca="1" si="119"/>
        <v>0.31830988618379069</v>
      </c>
      <c r="F580">
        <f t="shared" si="123"/>
        <v>0.25</v>
      </c>
      <c r="G580">
        <f t="shared" ca="1" si="120"/>
        <v>1</v>
      </c>
      <c r="H580">
        <f ca="1">IF(G580=1,SUM($G$10:G580),"-")</f>
        <v>447</v>
      </c>
      <c r="I580">
        <f t="shared" ca="1" si="121"/>
        <v>-0.72174677959534828</v>
      </c>
      <c r="J580">
        <f t="shared" ca="1" si="122"/>
        <v>0.54780552953560235</v>
      </c>
    </row>
    <row r="581" spans="1:10" x14ac:dyDescent="0.2">
      <c r="A581">
        <f t="shared" si="126"/>
        <v>572</v>
      </c>
      <c r="B581">
        <f t="shared" ca="1" si="118"/>
        <v>0.29023276871896753</v>
      </c>
      <c r="C581">
        <f t="shared" ca="1" si="127"/>
        <v>-3.2482150373637886E-2</v>
      </c>
      <c r="D581">
        <f t="shared" ca="1" si="127"/>
        <v>0.9195295989797625</v>
      </c>
      <c r="E581">
        <f t="shared" ca="1" si="119"/>
        <v>0.31830988618379069</v>
      </c>
      <c r="F581">
        <f t="shared" si="123"/>
        <v>0.25</v>
      </c>
      <c r="G581">
        <f t="shared" ca="1" si="120"/>
        <v>1</v>
      </c>
      <c r="H581">
        <f ca="1">IF(G581=1,SUM($G$10:G581),"-")</f>
        <v>448</v>
      </c>
      <c r="I581">
        <f t="shared" ca="1" si="121"/>
        <v>-3.2482150373637886E-2</v>
      </c>
      <c r="J581">
        <f t="shared" ca="1" si="122"/>
        <v>0.9195295989797625</v>
      </c>
    </row>
    <row r="582" spans="1:10" x14ac:dyDescent="0.2">
      <c r="A582">
        <f t="shared" si="126"/>
        <v>573</v>
      </c>
      <c r="B582">
        <f t="shared" ca="1" si="118"/>
        <v>0.24498578119163916</v>
      </c>
      <c r="C582">
        <f t="shared" ca="1" si="127"/>
        <v>0.7517365348073668</v>
      </c>
      <c r="D582">
        <f t="shared" ca="1" si="127"/>
        <v>0.33871757428968019</v>
      </c>
      <c r="E582">
        <f t="shared" ca="1" si="119"/>
        <v>0.31830988618379069</v>
      </c>
      <c r="F582">
        <f t="shared" si="123"/>
        <v>0.25</v>
      </c>
      <c r="G582">
        <f t="shared" ca="1" si="120"/>
        <v>1</v>
      </c>
      <c r="H582">
        <f ca="1">IF(G582=1,SUM($G$10:G582),"-")</f>
        <v>449</v>
      </c>
      <c r="I582">
        <f t="shared" ca="1" si="121"/>
        <v>0.7517365348073668</v>
      </c>
      <c r="J582">
        <f t="shared" ca="1" si="122"/>
        <v>0.33871757428968019</v>
      </c>
    </row>
    <row r="583" spans="1:10" x14ac:dyDescent="0.2">
      <c r="A583">
        <f t="shared" si="126"/>
        <v>574</v>
      </c>
      <c r="B583">
        <f t="shared" ca="1" si="118"/>
        <v>0.90572497784910155</v>
      </c>
      <c r="C583">
        <f t="shared" ca="1" si="127"/>
        <v>0.1114750039776593</v>
      </c>
      <c r="D583">
        <f t="shared" ca="1" si="127"/>
        <v>0.47980384398065268</v>
      </c>
      <c r="E583">
        <f t="shared" ca="1" si="119"/>
        <v>0.31830988618379069</v>
      </c>
      <c r="F583">
        <f t="shared" si="123"/>
        <v>0.25</v>
      </c>
      <c r="G583">
        <f t="shared" ca="1" si="120"/>
        <v>1</v>
      </c>
      <c r="H583">
        <f ca="1">IF(G583=1,SUM($G$10:G583),"-")</f>
        <v>450</v>
      </c>
      <c r="I583">
        <f t="shared" ca="1" si="121"/>
        <v>0.1114750039776593</v>
      </c>
      <c r="J583">
        <f t="shared" ca="1" si="122"/>
        <v>0.47980384398065268</v>
      </c>
    </row>
    <row r="584" spans="1:10" x14ac:dyDescent="0.2">
      <c r="A584">
        <f t="shared" si="126"/>
        <v>575</v>
      </c>
      <c r="B584">
        <f t="shared" ca="1" si="118"/>
        <v>0.59092557412304758</v>
      </c>
      <c r="C584">
        <f t="shared" ca="1" si="127"/>
        <v>0.83684005797205141</v>
      </c>
      <c r="D584">
        <f t="shared" ca="1" si="127"/>
        <v>0.79014623654456018</v>
      </c>
      <c r="E584">
        <f t="shared" ca="1" si="119"/>
        <v>0</v>
      </c>
      <c r="F584">
        <f t="shared" si="123"/>
        <v>0.25</v>
      </c>
      <c r="G584">
        <f t="shared" ca="1" si="120"/>
        <v>0</v>
      </c>
      <c r="H584" t="str">
        <f ca="1">IF(G584=1,SUM($G$10:G584),"-")</f>
        <v>-</v>
      </c>
      <c r="I584" t="str">
        <f t="shared" ca="1" si="121"/>
        <v>-</v>
      </c>
      <c r="J584" t="str">
        <f t="shared" ca="1" si="122"/>
        <v>-</v>
      </c>
    </row>
    <row r="585" spans="1:10" x14ac:dyDescent="0.2">
      <c r="A585">
        <f t="shared" si="126"/>
        <v>576</v>
      </c>
      <c r="B585">
        <f t="shared" ca="1" si="118"/>
        <v>0.88422263909296794</v>
      </c>
      <c r="C585">
        <f t="shared" ca="1" si="127"/>
        <v>0.50823227472078014</v>
      </c>
      <c r="D585">
        <f t="shared" ca="1" si="127"/>
        <v>-0.72151597220046781</v>
      </c>
      <c r="E585">
        <f t="shared" ca="1" si="119"/>
        <v>0.31830988618379069</v>
      </c>
      <c r="F585">
        <f t="shared" si="123"/>
        <v>0.25</v>
      </c>
      <c r="G585">
        <f t="shared" ca="1" si="120"/>
        <v>1</v>
      </c>
      <c r="H585">
        <f ca="1">IF(G585=1,SUM($G$10:G585),"-")</f>
        <v>451</v>
      </c>
      <c r="I585">
        <f t="shared" ca="1" si="121"/>
        <v>0.50823227472078014</v>
      </c>
      <c r="J585">
        <f t="shared" ca="1" si="122"/>
        <v>-0.72151597220046781</v>
      </c>
    </row>
    <row r="586" spans="1:10" x14ac:dyDescent="0.2">
      <c r="A586">
        <f t="shared" si="126"/>
        <v>577</v>
      </c>
      <c r="B586">
        <f t="shared" ref="B586:B649" ca="1" si="128">RAND()</f>
        <v>0.57359095939474825</v>
      </c>
      <c r="C586">
        <f t="shared" ca="1" si="127"/>
        <v>-0.69532966519940764</v>
      </c>
      <c r="D586">
        <f t="shared" ca="1" si="127"/>
        <v>0.1573316256426005</v>
      </c>
      <c r="E586">
        <f t="shared" ref="E586:E649" ca="1" si="129">(1/PI())*IF(C586^2+D586^2&lt;=1,1,0)</f>
        <v>0.31830988618379069</v>
      </c>
      <c r="F586">
        <f t="shared" si="123"/>
        <v>0.25</v>
      </c>
      <c r="G586">
        <f t="shared" ref="G586:G649" ca="1" si="130">IF($B$6*B586&lt;=E586/F586,1,0)</f>
        <v>1</v>
      </c>
      <c r="H586">
        <f ca="1">IF(G586=1,SUM($G$10:G586),"-")</f>
        <v>452</v>
      </c>
      <c r="I586">
        <f t="shared" ref="I586:I649" ca="1" si="131">IF($G586,C586,"-")</f>
        <v>-0.69532966519940764</v>
      </c>
      <c r="J586">
        <f t="shared" ref="J586:J649" ca="1" si="132">IF($G586,D586,"-")</f>
        <v>0.1573316256426005</v>
      </c>
    </row>
    <row r="587" spans="1:10" x14ac:dyDescent="0.2">
      <c r="A587">
        <f t="shared" si="126"/>
        <v>578</v>
      </c>
      <c r="B587">
        <f t="shared" ca="1" si="128"/>
        <v>0.38024413527154455</v>
      </c>
      <c r="C587">
        <f t="shared" ca="1" si="127"/>
        <v>0.10889716846112329</v>
      </c>
      <c r="D587">
        <f t="shared" ca="1" si="127"/>
        <v>-0.93368087391198928</v>
      </c>
      <c r="E587">
        <f t="shared" ca="1" si="129"/>
        <v>0.31830988618379069</v>
      </c>
      <c r="F587">
        <f t="shared" ref="F587:F650" si="133">1/4</f>
        <v>0.25</v>
      </c>
      <c r="G587">
        <f t="shared" ca="1" si="130"/>
        <v>1</v>
      </c>
      <c r="H587">
        <f ca="1">IF(G587=1,SUM($G$10:G587),"-")</f>
        <v>453</v>
      </c>
      <c r="I587">
        <f t="shared" ca="1" si="131"/>
        <v>0.10889716846112329</v>
      </c>
      <c r="J587">
        <f t="shared" ca="1" si="132"/>
        <v>-0.93368087391198928</v>
      </c>
    </row>
    <row r="588" spans="1:10" x14ac:dyDescent="0.2">
      <c r="A588">
        <f t="shared" si="126"/>
        <v>579</v>
      </c>
      <c r="B588">
        <f t="shared" ca="1" si="128"/>
        <v>0.94522831763141968</v>
      </c>
      <c r="C588">
        <f t="shared" ca="1" si="127"/>
        <v>-0.39832312242628443</v>
      </c>
      <c r="D588">
        <f t="shared" ca="1" si="127"/>
        <v>-0.68034799742835461</v>
      </c>
      <c r="E588">
        <f t="shared" ca="1" si="129"/>
        <v>0.31830988618379069</v>
      </c>
      <c r="F588">
        <f t="shared" si="133"/>
        <v>0.25</v>
      </c>
      <c r="G588">
        <f t="shared" ca="1" si="130"/>
        <v>1</v>
      </c>
      <c r="H588">
        <f ca="1">IF(G588=1,SUM($G$10:G588),"-")</f>
        <v>454</v>
      </c>
      <c r="I588">
        <f t="shared" ca="1" si="131"/>
        <v>-0.39832312242628443</v>
      </c>
      <c r="J588">
        <f t="shared" ca="1" si="132"/>
        <v>-0.68034799742835461</v>
      </c>
    </row>
    <row r="589" spans="1:10" x14ac:dyDescent="0.2">
      <c r="A589">
        <f t="shared" si="126"/>
        <v>580</v>
      </c>
      <c r="B589">
        <f t="shared" ca="1" si="128"/>
        <v>0.9875361108846491</v>
      </c>
      <c r="C589">
        <f t="shared" ca="1" si="127"/>
        <v>0.23058316988674243</v>
      </c>
      <c r="D589">
        <f t="shared" ca="1" si="127"/>
        <v>-0.27294153383172559</v>
      </c>
      <c r="E589">
        <f t="shared" ca="1" si="129"/>
        <v>0.31830988618379069</v>
      </c>
      <c r="F589">
        <f t="shared" si="133"/>
        <v>0.25</v>
      </c>
      <c r="G589">
        <f t="shared" ca="1" si="130"/>
        <v>1</v>
      </c>
      <c r="H589">
        <f ca="1">IF(G589=1,SUM($G$10:G589),"-")</f>
        <v>455</v>
      </c>
      <c r="I589">
        <f t="shared" ca="1" si="131"/>
        <v>0.23058316988674243</v>
      </c>
      <c r="J589">
        <f t="shared" ca="1" si="132"/>
        <v>-0.27294153383172559</v>
      </c>
    </row>
    <row r="590" spans="1:10" x14ac:dyDescent="0.2">
      <c r="A590">
        <f t="shared" si="126"/>
        <v>581</v>
      </c>
      <c r="B590">
        <f t="shared" ca="1" si="128"/>
        <v>0.88608796956589564</v>
      </c>
      <c r="C590">
        <f t="shared" ref="C590:D609" ca="1" si="134">2*RAND()-1</f>
        <v>-0.65326658575418195</v>
      </c>
      <c r="D590">
        <f t="shared" ca="1" si="134"/>
        <v>0.59459084803658691</v>
      </c>
      <c r="E590">
        <f t="shared" ca="1" si="129"/>
        <v>0.31830988618379069</v>
      </c>
      <c r="F590">
        <f t="shared" si="133"/>
        <v>0.25</v>
      </c>
      <c r="G590">
        <f t="shared" ca="1" si="130"/>
        <v>1</v>
      </c>
      <c r="H590">
        <f ca="1">IF(G590=1,SUM($G$10:G590),"-")</f>
        <v>456</v>
      </c>
      <c r="I590">
        <f t="shared" ca="1" si="131"/>
        <v>-0.65326658575418195</v>
      </c>
      <c r="J590">
        <f t="shared" ca="1" si="132"/>
        <v>0.59459084803658691</v>
      </c>
    </row>
    <row r="591" spans="1:10" x14ac:dyDescent="0.2">
      <c r="A591">
        <f t="shared" si="126"/>
        <v>582</v>
      </c>
      <c r="B591">
        <f t="shared" ca="1" si="128"/>
        <v>0.85263334159047799</v>
      </c>
      <c r="C591">
        <f t="shared" ca="1" si="134"/>
        <v>0.40364571310801534</v>
      </c>
      <c r="D591">
        <f t="shared" ca="1" si="134"/>
        <v>0.78023502288600777</v>
      </c>
      <c r="E591">
        <f t="shared" ca="1" si="129"/>
        <v>0.31830988618379069</v>
      </c>
      <c r="F591">
        <f t="shared" si="133"/>
        <v>0.25</v>
      </c>
      <c r="G591">
        <f t="shared" ca="1" si="130"/>
        <v>1</v>
      </c>
      <c r="H591">
        <f ca="1">IF(G591=1,SUM($G$10:G591),"-")</f>
        <v>457</v>
      </c>
      <c r="I591">
        <f t="shared" ca="1" si="131"/>
        <v>0.40364571310801534</v>
      </c>
      <c r="J591">
        <f t="shared" ca="1" si="132"/>
        <v>0.78023502288600777</v>
      </c>
    </row>
    <row r="592" spans="1:10" x14ac:dyDescent="0.2">
      <c r="A592">
        <f t="shared" si="126"/>
        <v>583</v>
      </c>
      <c r="B592">
        <f t="shared" ca="1" si="128"/>
        <v>0.20636447700776472</v>
      </c>
      <c r="C592">
        <f t="shared" ca="1" si="134"/>
        <v>0.57564081919725663</v>
      </c>
      <c r="D592">
        <f t="shared" ca="1" si="134"/>
        <v>-0.58981652987064304</v>
      </c>
      <c r="E592">
        <f t="shared" ca="1" si="129"/>
        <v>0.31830988618379069</v>
      </c>
      <c r="F592">
        <f t="shared" si="133"/>
        <v>0.25</v>
      </c>
      <c r="G592">
        <f t="shared" ca="1" si="130"/>
        <v>1</v>
      </c>
      <c r="H592">
        <f ca="1">IF(G592=1,SUM($G$10:G592),"-")</f>
        <v>458</v>
      </c>
      <c r="I592">
        <f t="shared" ca="1" si="131"/>
        <v>0.57564081919725663</v>
      </c>
      <c r="J592">
        <f t="shared" ca="1" si="132"/>
        <v>-0.58981652987064304</v>
      </c>
    </row>
    <row r="593" spans="1:10" x14ac:dyDescent="0.2">
      <c r="A593">
        <f t="shared" si="126"/>
        <v>584</v>
      </c>
      <c r="B593">
        <f t="shared" ca="1" si="128"/>
        <v>0.37443722972588933</v>
      </c>
      <c r="C593">
        <f t="shared" ca="1" si="134"/>
        <v>0.38872295167476012</v>
      </c>
      <c r="D593">
        <f t="shared" ca="1" si="134"/>
        <v>-0.92123772375563817</v>
      </c>
      <c r="E593">
        <f t="shared" ca="1" si="129"/>
        <v>0.31830988618379069</v>
      </c>
      <c r="F593">
        <f t="shared" si="133"/>
        <v>0.25</v>
      </c>
      <c r="G593">
        <f t="shared" ca="1" si="130"/>
        <v>1</v>
      </c>
      <c r="H593">
        <f ca="1">IF(G593=1,SUM($G$10:G593),"-")</f>
        <v>459</v>
      </c>
      <c r="I593">
        <f t="shared" ca="1" si="131"/>
        <v>0.38872295167476012</v>
      </c>
      <c r="J593">
        <f t="shared" ca="1" si="132"/>
        <v>-0.92123772375563817</v>
      </c>
    </row>
    <row r="594" spans="1:10" x14ac:dyDescent="0.2">
      <c r="A594">
        <f t="shared" si="126"/>
        <v>585</v>
      </c>
      <c r="B594">
        <f t="shared" ca="1" si="128"/>
        <v>0.80238543097411652</v>
      </c>
      <c r="C594">
        <f t="shared" ca="1" si="134"/>
        <v>-0.97256356035362668</v>
      </c>
      <c r="D594">
        <f t="shared" ca="1" si="134"/>
        <v>0.48856131401387048</v>
      </c>
      <c r="E594">
        <f t="shared" ca="1" si="129"/>
        <v>0</v>
      </c>
      <c r="F594">
        <f t="shared" si="133"/>
        <v>0.25</v>
      </c>
      <c r="G594">
        <f t="shared" ca="1" si="130"/>
        <v>0</v>
      </c>
      <c r="H594" t="str">
        <f ca="1">IF(G594=1,SUM($G$10:G594),"-")</f>
        <v>-</v>
      </c>
      <c r="I594" t="str">
        <f t="shared" ca="1" si="131"/>
        <v>-</v>
      </c>
      <c r="J594" t="str">
        <f t="shared" ca="1" si="132"/>
        <v>-</v>
      </c>
    </row>
    <row r="595" spans="1:10" x14ac:dyDescent="0.2">
      <c r="A595">
        <f t="shared" si="126"/>
        <v>586</v>
      </c>
      <c r="B595">
        <f t="shared" ca="1" si="128"/>
        <v>0.69650919084103002</v>
      </c>
      <c r="C595">
        <f t="shared" ca="1" si="134"/>
        <v>-0.21889476888141934</v>
      </c>
      <c r="D595">
        <f t="shared" ca="1" si="134"/>
        <v>-0.47443318317556904</v>
      </c>
      <c r="E595">
        <f t="shared" ca="1" si="129"/>
        <v>0.31830988618379069</v>
      </c>
      <c r="F595">
        <f t="shared" si="133"/>
        <v>0.25</v>
      </c>
      <c r="G595">
        <f t="shared" ca="1" si="130"/>
        <v>1</v>
      </c>
      <c r="H595">
        <f ca="1">IF(G595=1,SUM($G$10:G595),"-")</f>
        <v>460</v>
      </c>
      <c r="I595">
        <f t="shared" ca="1" si="131"/>
        <v>-0.21889476888141934</v>
      </c>
      <c r="J595">
        <f t="shared" ca="1" si="132"/>
        <v>-0.47443318317556904</v>
      </c>
    </row>
    <row r="596" spans="1:10" x14ac:dyDescent="0.2">
      <c r="A596">
        <f t="shared" si="126"/>
        <v>587</v>
      </c>
      <c r="B596">
        <f t="shared" ca="1" si="128"/>
        <v>0.18508245859835881</v>
      </c>
      <c r="C596">
        <f t="shared" ca="1" si="134"/>
        <v>0.37444719921379388</v>
      </c>
      <c r="D596">
        <f t="shared" ca="1" si="134"/>
        <v>0.49498780578844648</v>
      </c>
      <c r="E596">
        <f t="shared" ca="1" si="129"/>
        <v>0.31830988618379069</v>
      </c>
      <c r="F596">
        <f t="shared" si="133"/>
        <v>0.25</v>
      </c>
      <c r="G596">
        <f t="shared" ca="1" si="130"/>
        <v>1</v>
      </c>
      <c r="H596">
        <f ca="1">IF(G596=1,SUM($G$10:G596),"-")</f>
        <v>461</v>
      </c>
      <c r="I596">
        <f t="shared" ca="1" si="131"/>
        <v>0.37444719921379388</v>
      </c>
      <c r="J596">
        <f t="shared" ca="1" si="132"/>
        <v>0.49498780578844648</v>
      </c>
    </row>
    <row r="597" spans="1:10" x14ac:dyDescent="0.2">
      <c r="A597">
        <f t="shared" si="126"/>
        <v>588</v>
      </c>
      <c r="B597">
        <f t="shared" ca="1" si="128"/>
        <v>0.55851339106383457</v>
      </c>
      <c r="C597">
        <f t="shared" ca="1" si="134"/>
        <v>-0.17451746896231679</v>
      </c>
      <c r="D597">
        <f t="shared" ca="1" si="134"/>
        <v>-0.48913948189655754</v>
      </c>
      <c r="E597">
        <f t="shared" ca="1" si="129"/>
        <v>0.31830988618379069</v>
      </c>
      <c r="F597">
        <f t="shared" si="133"/>
        <v>0.25</v>
      </c>
      <c r="G597">
        <f t="shared" ca="1" si="130"/>
        <v>1</v>
      </c>
      <c r="H597">
        <f ca="1">IF(G597=1,SUM($G$10:G597),"-")</f>
        <v>462</v>
      </c>
      <c r="I597">
        <f t="shared" ca="1" si="131"/>
        <v>-0.17451746896231679</v>
      </c>
      <c r="J597">
        <f t="shared" ca="1" si="132"/>
        <v>-0.48913948189655754</v>
      </c>
    </row>
    <row r="598" spans="1:10" x14ac:dyDescent="0.2">
      <c r="A598">
        <f t="shared" si="126"/>
        <v>589</v>
      </c>
      <c r="B598">
        <f t="shared" ca="1" si="128"/>
        <v>0.87980279345579226</v>
      </c>
      <c r="C598">
        <f t="shared" ca="1" si="134"/>
        <v>0.37644360217326622</v>
      </c>
      <c r="D598">
        <f t="shared" ca="1" si="134"/>
        <v>0.63153968051037235</v>
      </c>
      <c r="E598">
        <f t="shared" ca="1" si="129"/>
        <v>0.31830988618379069</v>
      </c>
      <c r="F598">
        <f t="shared" si="133"/>
        <v>0.25</v>
      </c>
      <c r="G598">
        <f t="shared" ca="1" si="130"/>
        <v>1</v>
      </c>
      <c r="H598">
        <f ca="1">IF(G598=1,SUM($G$10:G598),"-")</f>
        <v>463</v>
      </c>
      <c r="I598">
        <f t="shared" ca="1" si="131"/>
        <v>0.37644360217326622</v>
      </c>
      <c r="J598">
        <f t="shared" ca="1" si="132"/>
        <v>0.63153968051037235</v>
      </c>
    </row>
    <row r="599" spans="1:10" x14ac:dyDescent="0.2">
      <c r="A599">
        <f t="shared" si="126"/>
        <v>590</v>
      </c>
      <c r="B599">
        <f t="shared" ca="1" si="128"/>
        <v>0.39869199171435477</v>
      </c>
      <c r="C599">
        <f t="shared" ca="1" si="134"/>
        <v>-0.53684416095449139</v>
      </c>
      <c r="D599">
        <f t="shared" ca="1" si="134"/>
        <v>0.34111692119549741</v>
      </c>
      <c r="E599">
        <f t="shared" ca="1" si="129"/>
        <v>0.31830988618379069</v>
      </c>
      <c r="F599">
        <f t="shared" si="133"/>
        <v>0.25</v>
      </c>
      <c r="G599">
        <f t="shared" ca="1" si="130"/>
        <v>1</v>
      </c>
      <c r="H599">
        <f ca="1">IF(G599=1,SUM($G$10:G599),"-")</f>
        <v>464</v>
      </c>
      <c r="I599">
        <f t="shared" ca="1" si="131"/>
        <v>-0.53684416095449139</v>
      </c>
      <c r="J599">
        <f t="shared" ca="1" si="132"/>
        <v>0.34111692119549741</v>
      </c>
    </row>
    <row r="600" spans="1:10" x14ac:dyDescent="0.2">
      <c r="A600">
        <f t="shared" si="126"/>
        <v>591</v>
      </c>
      <c r="B600">
        <f t="shared" ca="1" si="128"/>
        <v>0.53545454152109284</v>
      </c>
      <c r="C600">
        <f t="shared" ca="1" si="134"/>
        <v>0.95892968018223335</v>
      </c>
      <c r="D600">
        <f t="shared" ca="1" si="134"/>
        <v>-0.15376119006828737</v>
      </c>
      <c r="E600">
        <f t="shared" ca="1" si="129"/>
        <v>0.31830988618379069</v>
      </c>
      <c r="F600">
        <f t="shared" si="133"/>
        <v>0.25</v>
      </c>
      <c r="G600">
        <f t="shared" ca="1" si="130"/>
        <v>1</v>
      </c>
      <c r="H600">
        <f ca="1">IF(G600=1,SUM($G$10:G600),"-")</f>
        <v>465</v>
      </c>
      <c r="I600">
        <f t="shared" ca="1" si="131"/>
        <v>0.95892968018223335</v>
      </c>
      <c r="J600">
        <f t="shared" ca="1" si="132"/>
        <v>-0.15376119006828737</v>
      </c>
    </row>
    <row r="601" spans="1:10" x14ac:dyDescent="0.2">
      <c r="A601">
        <f t="shared" si="126"/>
        <v>592</v>
      </c>
      <c r="B601">
        <f t="shared" ca="1" si="128"/>
        <v>0.98978088837873357</v>
      </c>
      <c r="C601">
        <f t="shared" ca="1" si="134"/>
        <v>-0.37678228278131565</v>
      </c>
      <c r="D601">
        <f t="shared" ca="1" si="134"/>
        <v>-0.85935306489531449</v>
      </c>
      <c r="E601">
        <f t="shared" ca="1" si="129"/>
        <v>0.31830988618379069</v>
      </c>
      <c r="F601">
        <f t="shared" si="133"/>
        <v>0.25</v>
      </c>
      <c r="G601">
        <f t="shared" ca="1" si="130"/>
        <v>1</v>
      </c>
      <c r="H601">
        <f ca="1">IF(G601=1,SUM($G$10:G601),"-")</f>
        <v>466</v>
      </c>
      <c r="I601">
        <f t="shared" ca="1" si="131"/>
        <v>-0.37678228278131565</v>
      </c>
      <c r="J601">
        <f t="shared" ca="1" si="132"/>
        <v>-0.85935306489531449</v>
      </c>
    </row>
    <row r="602" spans="1:10" x14ac:dyDescent="0.2">
      <c r="A602">
        <f t="shared" si="126"/>
        <v>593</v>
      </c>
      <c r="B602">
        <f t="shared" ca="1" si="128"/>
        <v>0.22238607617392148</v>
      </c>
      <c r="C602">
        <f t="shared" ca="1" si="134"/>
        <v>0.1138801479714453</v>
      </c>
      <c r="D602">
        <f t="shared" ca="1" si="134"/>
        <v>-0.31758440179667202</v>
      </c>
      <c r="E602">
        <f t="shared" ca="1" si="129"/>
        <v>0.31830988618379069</v>
      </c>
      <c r="F602">
        <f t="shared" si="133"/>
        <v>0.25</v>
      </c>
      <c r="G602">
        <f t="shared" ca="1" si="130"/>
        <v>1</v>
      </c>
      <c r="H602">
        <f ca="1">IF(G602=1,SUM($G$10:G602),"-")</f>
        <v>467</v>
      </c>
      <c r="I602">
        <f t="shared" ca="1" si="131"/>
        <v>0.1138801479714453</v>
      </c>
      <c r="J602">
        <f t="shared" ca="1" si="132"/>
        <v>-0.31758440179667202</v>
      </c>
    </row>
    <row r="603" spans="1:10" x14ac:dyDescent="0.2">
      <c r="A603">
        <f t="shared" si="126"/>
        <v>594</v>
      </c>
      <c r="B603">
        <f t="shared" ca="1" si="128"/>
        <v>0.39613853616499006</v>
      </c>
      <c r="C603">
        <f t="shared" ca="1" si="134"/>
        <v>-0.46926799507051253</v>
      </c>
      <c r="D603">
        <f t="shared" ca="1" si="134"/>
        <v>-0.93080973540234191</v>
      </c>
      <c r="E603">
        <f t="shared" ca="1" si="129"/>
        <v>0</v>
      </c>
      <c r="F603">
        <f t="shared" si="133"/>
        <v>0.25</v>
      </c>
      <c r="G603">
        <f t="shared" ca="1" si="130"/>
        <v>0</v>
      </c>
      <c r="H603" t="str">
        <f ca="1">IF(G603=1,SUM($G$10:G603),"-")</f>
        <v>-</v>
      </c>
      <c r="I603" t="str">
        <f t="shared" ca="1" si="131"/>
        <v>-</v>
      </c>
      <c r="J603" t="str">
        <f t="shared" ca="1" si="132"/>
        <v>-</v>
      </c>
    </row>
    <row r="604" spans="1:10" x14ac:dyDescent="0.2">
      <c r="A604">
        <f t="shared" si="126"/>
        <v>595</v>
      </c>
      <c r="B604">
        <f t="shared" ca="1" si="128"/>
        <v>0.94220399935891941</v>
      </c>
      <c r="C604">
        <f t="shared" ca="1" si="134"/>
        <v>-0.96798515844816158</v>
      </c>
      <c r="D604">
        <f t="shared" ca="1" si="134"/>
        <v>-0.22675905002490704</v>
      </c>
      <c r="E604">
        <f t="shared" ca="1" si="129"/>
        <v>0.31830988618379069</v>
      </c>
      <c r="F604">
        <f t="shared" si="133"/>
        <v>0.25</v>
      </c>
      <c r="G604">
        <f t="shared" ca="1" si="130"/>
        <v>1</v>
      </c>
      <c r="H604">
        <f ca="1">IF(G604=1,SUM($G$10:G604),"-")</f>
        <v>468</v>
      </c>
      <c r="I604">
        <f t="shared" ca="1" si="131"/>
        <v>-0.96798515844816158</v>
      </c>
      <c r="J604">
        <f t="shared" ca="1" si="132"/>
        <v>-0.22675905002490704</v>
      </c>
    </row>
    <row r="605" spans="1:10" x14ac:dyDescent="0.2">
      <c r="A605">
        <f t="shared" si="126"/>
        <v>596</v>
      </c>
      <c r="B605">
        <f t="shared" ca="1" si="128"/>
        <v>0.63137346295134367</v>
      </c>
      <c r="C605">
        <f t="shared" ca="1" si="134"/>
        <v>-0.40603422666091649</v>
      </c>
      <c r="D605">
        <f t="shared" ca="1" si="134"/>
        <v>0.48499983857014817</v>
      </c>
      <c r="E605">
        <f t="shared" ca="1" si="129"/>
        <v>0.31830988618379069</v>
      </c>
      <c r="F605">
        <f t="shared" si="133"/>
        <v>0.25</v>
      </c>
      <c r="G605">
        <f t="shared" ca="1" si="130"/>
        <v>1</v>
      </c>
      <c r="H605">
        <f ca="1">IF(G605=1,SUM($G$10:G605),"-")</f>
        <v>469</v>
      </c>
      <c r="I605">
        <f t="shared" ca="1" si="131"/>
        <v>-0.40603422666091649</v>
      </c>
      <c r="J605">
        <f t="shared" ca="1" si="132"/>
        <v>0.48499983857014817</v>
      </c>
    </row>
    <row r="606" spans="1:10" x14ac:dyDescent="0.2">
      <c r="A606">
        <f t="shared" si="126"/>
        <v>597</v>
      </c>
      <c r="B606">
        <f t="shared" ca="1" si="128"/>
        <v>0.61301786721889329</v>
      </c>
      <c r="C606">
        <f t="shared" ca="1" si="134"/>
        <v>0.74582667584800455</v>
      </c>
      <c r="D606">
        <f t="shared" ca="1" si="134"/>
        <v>0.12389709345166522</v>
      </c>
      <c r="E606">
        <f t="shared" ca="1" si="129"/>
        <v>0.31830988618379069</v>
      </c>
      <c r="F606">
        <f t="shared" si="133"/>
        <v>0.25</v>
      </c>
      <c r="G606">
        <f t="shared" ca="1" si="130"/>
        <v>1</v>
      </c>
      <c r="H606">
        <f ca="1">IF(G606=1,SUM($G$10:G606),"-")</f>
        <v>470</v>
      </c>
      <c r="I606">
        <f t="shared" ca="1" si="131"/>
        <v>0.74582667584800455</v>
      </c>
      <c r="J606">
        <f t="shared" ca="1" si="132"/>
        <v>0.12389709345166522</v>
      </c>
    </row>
    <row r="607" spans="1:10" x14ac:dyDescent="0.2">
      <c r="A607">
        <f t="shared" si="126"/>
        <v>598</v>
      </c>
      <c r="B607">
        <f t="shared" ca="1" si="128"/>
        <v>0.73764461128312475</v>
      </c>
      <c r="C607">
        <f t="shared" ca="1" si="134"/>
        <v>-0.17216489524945833</v>
      </c>
      <c r="D607">
        <f t="shared" ca="1" si="134"/>
        <v>0.16173205727069639</v>
      </c>
      <c r="E607">
        <f t="shared" ca="1" si="129"/>
        <v>0.31830988618379069</v>
      </c>
      <c r="F607">
        <f t="shared" si="133"/>
        <v>0.25</v>
      </c>
      <c r="G607">
        <f t="shared" ca="1" si="130"/>
        <v>1</v>
      </c>
      <c r="H607">
        <f ca="1">IF(G607=1,SUM($G$10:G607),"-")</f>
        <v>471</v>
      </c>
      <c r="I607">
        <f t="shared" ca="1" si="131"/>
        <v>-0.17216489524945833</v>
      </c>
      <c r="J607">
        <f t="shared" ca="1" si="132"/>
        <v>0.16173205727069639</v>
      </c>
    </row>
    <row r="608" spans="1:10" x14ac:dyDescent="0.2">
      <c r="A608">
        <f t="shared" si="126"/>
        <v>599</v>
      </c>
      <c r="B608">
        <f t="shared" ca="1" si="128"/>
        <v>0.98553497894106334</v>
      </c>
      <c r="C608">
        <f t="shared" ca="1" si="134"/>
        <v>0.91913303507500643</v>
      </c>
      <c r="D608">
        <f t="shared" ca="1" si="134"/>
        <v>0.6183148318727778</v>
      </c>
      <c r="E608">
        <f t="shared" ca="1" si="129"/>
        <v>0</v>
      </c>
      <c r="F608">
        <f t="shared" si="133"/>
        <v>0.25</v>
      </c>
      <c r="G608">
        <f t="shared" ca="1" si="130"/>
        <v>0</v>
      </c>
      <c r="H608" t="str">
        <f ca="1">IF(G608=1,SUM($G$10:G608),"-")</f>
        <v>-</v>
      </c>
      <c r="I608" t="str">
        <f t="shared" ca="1" si="131"/>
        <v>-</v>
      </c>
      <c r="J608" t="str">
        <f t="shared" ca="1" si="132"/>
        <v>-</v>
      </c>
    </row>
    <row r="609" spans="1:10" x14ac:dyDescent="0.2">
      <c r="A609">
        <f t="shared" si="126"/>
        <v>600</v>
      </c>
      <c r="B609">
        <f t="shared" ca="1" si="128"/>
        <v>0.40401380419193023</v>
      </c>
      <c r="C609">
        <f t="shared" ca="1" si="134"/>
        <v>0.41965831137348575</v>
      </c>
      <c r="D609">
        <f t="shared" ca="1" si="134"/>
        <v>0.67108892073545534</v>
      </c>
      <c r="E609">
        <f t="shared" ca="1" si="129"/>
        <v>0.31830988618379069</v>
      </c>
      <c r="F609">
        <f t="shared" si="133"/>
        <v>0.25</v>
      </c>
      <c r="G609">
        <f t="shared" ca="1" si="130"/>
        <v>1</v>
      </c>
      <c r="H609">
        <f ca="1">IF(G609=1,SUM($G$10:G609),"-")</f>
        <v>472</v>
      </c>
      <c r="I609">
        <f t="shared" ca="1" si="131"/>
        <v>0.41965831137348575</v>
      </c>
      <c r="J609">
        <f t="shared" ca="1" si="132"/>
        <v>0.67108892073545534</v>
      </c>
    </row>
    <row r="610" spans="1:10" x14ac:dyDescent="0.2">
      <c r="A610">
        <f t="shared" si="126"/>
        <v>601</v>
      </c>
      <c r="B610">
        <f t="shared" ca="1" si="128"/>
        <v>0.94954061739266937</v>
      </c>
      <c r="C610">
        <f t="shared" ref="C610:D629" ca="1" si="135">2*RAND()-1</f>
        <v>0.11112333654494888</v>
      </c>
      <c r="D610">
        <f t="shared" ca="1" si="135"/>
        <v>0.41587943977152531</v>
      </c>
      <c r="E610">
        <f t="shared" ca="1" si="129"/>
        <v>0.31830988618379069</v>
      </c>
      <c r="F610">
        <f t="shared" si="133"/>
        <v>0.25</v>
      </c>
      <c r="G610">
        <f t="shared" ca="1" si="130"/>
        <v>1</v>
      </c>
      <c r="H610">
        <f ca="1">IF(G610=1,SUM($G$10:G610),"-")</f>
        <v>473</v>
      </c>
      <c r="I610">
        <f t="shared" ca="1" si="131"/>
        <v>0.11112333654494888</v>
      </c>
      <c r="J610">
        <f t="shared" ca="1" si="132"/>
        <v>0.41587943977152531</v>
      </c>
    </row>
    <row r="611" spans="1:10" x14ac:dyDescent="0.2">
      <c r="A611">
        <f t="shared" si="126"/>
        <v>602</v>
      </c>
      <c r="B611">
        <f t="shared" ca="1" si="128"/>
        <v>0.33841288133996772</v>
      </c>
      <c r="C611">
        <f t="shared" ca="1" si="135"/>
        <v>-0.49007433915280707</v>
      </c>
      <c r="D611">
        <f t="shared" ca="1" si="135"/>
        <v>-0.72799010269879005</v>
      </c>
      <c r="E611">
        <f t="shared" ca="1" si="129"/>
        <v>0.31830988618379069</v>
      </c>
      <c r="F611">
        <f t="shared" si="133"/>
        <v>0.25</v>
      </c>
      <c r="G611">
        <f t="shared" ca="1" si="130"/>
        <v>1</v>
      </c>
      <c r="H611">
        <f ca="1">IF(G611=1,SUM($G$10:G611),"-")</f>
        <v>474</v>
      </c>
      <c r="I611">
        <f t="shared" ca="1" si="131"/>
        <v>-0.49007433915280707</v>
      </c>
      <c r="J611">
        <f t="shared" ca="1" si="132"/>
        <v>-0.72799010269879005</v>
      </c>
    </row>
    <row r="612" spans="1:10" x14ac:dyDescent="0.2">
      <c r="A612">
        <f t="shared" si="126"/>
        <v>603</v>
      </c>
      <c r="B612">
        <f t="shared" ca="1" si="128"/>
        <v>0.38891390315500363</v>
      </c>
      <c r="C612">
        <f t="shared" ca="1" si="135"/>
        <v>0.76751634415689929</v>
      </c>
      <c r="D612">
        <f t="shared" ca="1" si="135"/>
        <v>0.42151968208569368</v>
      </c>
      <c r="E612">
        <f t="shared" ca="1" si="129"/>
        <v>0.31830988618379069</v>
      </c>
      <c r="F612">
        <f t="shared" si="133"/>
        <v>0.25</v>
      </c>
      <c r="G612">
        <f t="shared" ca="1" si="130"/>
        <v>1</v>
      </c>
      <c r="H612">
        <f ca="1">IF(G612=1,SUM($G$10:G612),"-")</f>
        <v>475</v>
      </c>
      <c r="I612">
        <f t="shared" ca="1" si="131"/>
        <v>0.76751634415689929</v>
      </c>
      <c r="J612">
        <f t="shared" ca="1" si="132"/>
        <v>0.42151968208569368</v>
      </c>
    </row>
    <row r="613" spans="1:10" x14ac:dyDescent="0.2">
      <c r="A613">
        <f t="shared" si="126"/>
        <v>604</v>
      </c>
      <c r="B613">
        <f t="shared" ca="1" si="128"/>
        <v>0.58512176572602059</v>
      </c>
      <c r="C613">
        <f t="shared" ca="1" si="135"/>
        <v>-0.12736904884580658</v>
      </c>
      <c r="D613">
        <f t="shared" ca="1" si="135"/>
        <v>-0.15370928454944432</v>
      </c>
      <c r="E613">
        <f t="shared" ca="1" si="129"/>
        <v>0.31830988618379069</v>
      </c>
      <c r="F613">
        <f t="shared" si="133"/>
        <v>0.25</v>
      </c>
      <c r="G613">
        <f t="shared" ca="1" si="130"/>
        <v>1</v>
      </c>
      <c r="H613">
        <f ca="1">IF(G613=1,SUM($G$10:G613),"-")</f>
        <v>476</v>
      </c>
      <c r="I613">
        <f t="shared" ca="1" si="131"/>
        <v>-0.12736904884580658</v>
      </c>
      <c r="J613">
        <f t="shared" ca="1" si="132"/>
        <v>-0.15370928454944432</v>
      </c>
    </row>
    <row r="614" spans="1:10" x14ac:dyDescent="0.2">
      <c r="A614">
        <f t="shared" si="126"/>
        <v>605</v>
      </c>
      <c r="B614">
        <f t="shared" ca="1" si="128"/>
        <v>2.8861274741321941E-3</v>
      </c>
      <c r="C614">
        <f t="shared" ca="1" si="135"/>
        <v>0.71749593656407429</v>
      </c>
      <c r="D614">
        <f t="shared" ca="1" si="135"/>
        <v>-0.16675981681693908</v>
      </c>
      <c r="E614">
        <f t="shared" ca="1" si="129"/>
        <v>0.31830988618379069</v>
      </c>
      <c r="F614">
        <f t="shared" si="133"/>
        <v>0.25</v>
      </c>
      <c r="G614">
        <f t="shared" ca="1" si="130"/>
        <v>1</v>
      </c>
      <c r="H614">
        <f ca="1">IF(G614=1,SUM($G$10:G614),"-")</f>
        <v>477</v>
      </c>
      <c r="I614">
        <f t="shared" ca="1" si="131"/>
        <v>0.71749593656407429</v>
      </c>
      <c r="J614">
        <f t="shared" ca="1" si="132"/>
        <v>-0.16675981681693908</v>
      </c>
    </row>
    <row r="615" spans="1:10" x14ac:dyDescent="0.2">
      <c r="A615">
        <f t="shared" si="126"/>
        <v>606</v>
      </c>
      <c r="B615">
        <f t="shared" ca="1" si="128"/>
        <v>0.82985462377536823</v>
      </c>
      <c r="C615">
        <f t="shared" ca="1" si="135"/>
        <v>-0.34127868292088026</v>
      </c>
      <c r="D615">
        <f t="shared" ca="1" si="135"/>
        <v>0.59854572604558665</v>
      </c>
      <c r="E615">
        <f t="shared" ca="1" si="129"/>
        <v>0.31830988618379069</v>
      </c>
      <c r="F615">
        <f t="shared" si="133"/>
        <v>0.25</v>
      </c>
      <c r="G615">
        <f t="shared" ca="1" si="130"/>
        <v>1</v>
      </c>
      <c r="H615">
        <f ca="1">IF(G615=1,SUM($G$10:G615),"-")</f>
        <v>478</v>
      </c>
      <c r="I615">
        <f t="shared" ca="1" si="131"/>
        <v>-0.34127868292088026</v>
      </c>
      <c r="J615">
        <f t="shared" ca="1" si="132"/>
        <v>0.59854572604558665</v>
      </c>
    </row>
    <row r="616" spans="1:10" x14ac:dyDescent="0.2">
      <c r="A616">
        <f t="shared" si="126"/>
        <v>607</v>
      </c>
      <c r="B616">
        <f t="shared" ca="1" si="128"/>
        <v>0.29361556671722133</v>
      </c>
      <c r="C616">
        <f t="shared" ca="1" si="135"/>
        <v>0.92067232653543618</v>
      </c>
      <c r="D616">
        <f t="shared" ca="1" si="135"/>
        <v>-0.422610924111952</v>
      </c>
      <c r="E616">
        <f t="shared" ca="1" si="129"/>
        <v>0</v>
      </c>
      <c r="F616">
        <f t="shared" si="133"/>
        <v>0.25</v>
      </c>
      <c r="G616">
        <f t="shared" ca="1" si="130"/>
        <v>0</v>
      </c>
      <c r="H616" t="str">
        <f ca="1">IF(G616=1,SUM($G$10:G616),"-")</f>
        <v>-</v>
      </c>
      <c r="I616" t="str">
        <f t="shared" ca="1" si="131"/>
        <v>-</v>
      </c>
      <c r="J616" t="str">
        <f t="shared" ca="1" si="132"/>
        <v>-</v>
      </c>
    </row>
    <row r="617" spans="1:10" x14ac:dyDescent="0.2">
      <c r="A617">
        <f t="shared" si="126"/>
        <v>608</v>
      </c>
      <c r="B617">
        <f t="shared" ca="1" si="128"/>
        <v>0.89880780030515461</v>
      </c>
      <c r="C617">
        <f t="shared" ca="1" si="135"/>
        <v>0.99122730542506887</v>
      </c>
      <c r="D617">
        <f t="shared" ca="1" si="135"/>
        <v>0.56475211092896238</v>
      </c>
      <c r="E617">
        <f t="shared" ca="1" si="129"/>
        <v>0</v>
      </c>
      <c r="F617">
        <f t="shared" si="133"/>
        <v>0.25</v>
      </c>
      <c r="G617">
        <f t="shared" ca="1" si="130"/>
        <v>0</v>
      </c>
      <c r="H617" t="str">
        <f ca="1">IF(G617=1,SUM($G$10:G617),"-")</f>
        <v>-</v>
      </c>
      <c r="I617" t="str">
        <f t="shared" ca="1" si="131"/>
        <v>-</v>
      </c>
      <c r="J617" t="str">
        <f t="shared" ca="1" si="132"/>
        <v>-</v>
      </c>
    </row>
    <row r="618" spans="1:10" x14ac:dyDescent="0.2">
      <c r="A618">
        <f t="shared" si="126"/>
        <v>609</v>
      </c>
      <c r="B618">
        <f t="shared" ca="1" si="128"/>
        <v>0.20397799540481742</v>
      </c>
      <c r="C618">
        <f t="shared" ca="1" si="135"/>
        <v>0.83540547944488308</v>
      </c>
      <c r="D618">
        <f t="shared" ca="1" si="135"/>
        <v>-0.82046717376613398</v>
      </c>
      <c r="E618">
        <f t="shared" ca="1" si="129"/>
        <v>0</v>
      </c>
      <c r="F618">
        <f t="shared" si="133"/>
        <v>0.25</v>
      </c>
      <c r="G618">
        <f t="shared" ca="1" si="130"/>
        <v>0</v>
      </c>
      <c r="H618" t="str">
        <f ca="1">IF(G618=1,SUM($G$10:G618),"-")</f>
        <v>-</v>
      </c>
      <c r="I618" t="str">
        <f t="shared" ca="1" si="131"/>
        <v>-</v>
      </c>
      <c r="J618" t="str">
        <f t="shared" ca="1" si="132"/>
        <v>-</v>
      </c>
    </row>
    <row r="619" spans="1:10" x14ac:dyDescent="0.2">
      <c r="A619">
        <f t="shared" si="126"/>
        <v>610</v>
      </c>
      <c r="B619">
        <f t="shared" ca="1" si="128"/>
        <v>0.95064002524453484</v>
      </c>
      <c r="C619">
        <f t="shared" ca="1" si="135"/>
        <v>0.4540265054736432</v>
      </c>
      <c r="D619">
        <f t="shared" ca="1" si="135"/>
        <v>0.34431026302557788</v>
      </c>
      <c r="E619">
        <f t="shared" ca="1" si="129"/>
        <v>0.31830988618379069</v>
      </c>
      <c r="F619">
        <f t="shared" si="133"/>
        <v>0.25</v>
      </c>
      <c r="G619">
        <f t="shared" ca="1" si="130"/>
        <v>1</v>
      </c>
      <c r="H619">
        <f ca="1">IF(G619=1,SUM($G$10:G619),"-")</f>
        <v>479</v>
      </c>
      <c r="I619">
        <f t="shared" ca="1" si="131"/>
        <v>0.4540265054736432</v>
      </c>
      <c r="J619">
        <f t="shared" ca="1" si="132"/>
        <v>0.34431026302557788</v>
      </c>
    </row>
    <row r="620" spans="1:10" x14ac:dyDescent="0.2">
      <c r="A620">
        <f t="shared" si="126"/>
        <v>611</v>
      </c>
      <c r="B620">
        <f t="shared" ca="1" si="128"/>
        <v>7.8642277884081069E-2</v>
      </c>
      <c r="C620">
        <f t="shared" ca="1" si="135"/>
        <v>-0.17755033673695575</v>
      </c>
      <c r="D620">
        <f t="shared" ca="1" si="135"/>
        <v>0.77422721949396967</v>
      </c>
      <c r="E620">
        <f t="shared" ca="1" si="129"/>
        <v>0.31830988618379069</v>
      </c>
      <c r="F620">
        <f t="shared" si="133"/>
        <v>0.25</v>
      </c>
      <c r="G620">
        <f t="shared" ca="1" si="130"/>
        <v>1</v>
      </c>
      <c r="H620">
        <f ca="1">IF(G620=1,SUM($G$10:G620),"-")</f>
        <v>480</v>
      </c>
      <c r="I620">
        <f t="shared" ca="1" si="131"/>
        <v>-0.17755033673695575</v>
      </c>
      <c r="J620">
        <f t="shared" ca="1" si="132"/>
        <v>0.77422721949396967</v>
      </c>
    </row>
    <row r="621" spans="1:10" x14ac:dyDescent="0.2">
      <c r="A621">
        <f t="shared" si="126"/>
        <v>612</v>
      </c>
      <c r="B621">
        <f t="shared" ca="1" si="128"/>
        <v>0.71724210163711011</v>
      </c>
      <c r="C621">
        <f t="shared" ca="1" si="135"/>
        <v>-0.67172793102079997</v>
      </c>
      <c r="D621">
        <f t="shared" ca="1" si="135"/>
        <v>0.75354183685575538</v>
      </c>
      <c r="E621">
        <f t="shared" ca="1" si="129"/>
        <v>0</v>
      </c>
      <c r="F621">
        <f t="shared" si="133"/>
        <v>0.25</v>
      </c>
      <c r="G621">
        <f t="shared" ca="1" si="130"/>
        <v>0</v>
      </c>
      <c r="H621" t="str">
        <f ca="1">IF(G621=1,SUM($G$10:G621),"-")</f>
        <v>-</v>
      </c>
      <c r="I621" t="str">
        <f t="shared" ca="1" si="131"/>
        <v>-</v>
      </c>
      <c r="J621" t="str">
        <f t="shared" ca="1" si="132"/>
        <v>-</v>
      </c>
    </row>
    <row r="622" spans="1:10" x14ac:dyDescent="0.2">
      <c r="A622">
        <f t="shared" si="126"/>
        <v>613</v>
      </c>
      <c r="B622">
        <f t="shared" ca="1" si="128"/>
        <v>0.73588329092459237</v>
      </c>
      <c r="C622">
        <f t="shared" ca="1" si="135"/>
        <v>0.75565106794941128</v>
      </c>
      <c r="D622">
        <f t="shared" ca="1" si="135"/>
        <v>-0.97671583427700326</v>
      </c>
      <c r="E622">
        <f t="shared" ca="1" si="129"/>
        <v>0</v>
      </c>
      <c r="F622">
        <f t="shared" si="133"/>
        <v>0.25</v>
      </c>
      <c r="G622">
        <f t="shared" ca="1" si="130"/>
        <v>0</v>
      </c>
      <c r="H622" t="str">
        <f ca="1">IF(G622=1,SUM($G$10:G622),"-")</f>
        <v>-</v>
      </c>
      <c r="I622" t="str">
        <f t="shared" ca="1" si="131"/>
        <v>-</v>
      </c>
      <c r="J622" t="str">
        <f t="shared" ca="1" si="132"/>
        <v>-</v>
      </c>
    </row>
    <row r="623" spans="1:10" x14ac:dyDescent="0.2">
      <c r="A623">
        <f t="shared" ref="A623:A686" si="136">1+A622</f>
        <v>614</v>
      </c>
      <c r="B623">
        <f t="shared" ca="1" si="128"/>
        <v>0.46393259412025578</v>
      </c>
      <c r="C623">
        <f t="shared" ca="1" si="135"/>
        <v>-0.16230264278329543</v>
      </c>
      <c r="D623">
        <f t="shared" ca="1" si="135"/>
        <v>-0.22668300171670674</v>
      </c>
      <c r="E623">
        <f t="shared" ca="1" si="129"/>
        <v>0.31830988618379069</v>
      </c>
      <c r="F623">
        <f t="shared" si="133"/>
        <v>0.25</v>
      </c>
      <c r="G623">
        <f t="shared" ca="1" si="130"/>
        <v>1</v>
      </c>
      <c r="H623">
        <f ca="1">IF(G623=1,SUM($G$10:G623),"-")</f>
        <v>481</v>
      </c>
      <c r="I623">
        <f t="shared" ca="1" si="131"/>
        <v>-0.16230264278329543</v>
      </c>
      <c r="J623">
        <f t="shared" ca="1" si="132"/>
        <v>-0.22668300171670674</v>
      </c>
    </row>
    <row r="624" spans="1:10" x14ac:dyDescent="0.2">
      <c r="A624">
        <f t="shared" si="136"/>
        <v>615</v>
      </c>
      <c r="B624">
        <f t="shared" ca="1" si="128"/>
        <v>0.57695254720045719</v>
      </c>
      <c r="C624">
        <f t="shared" ca="1" si="135"/>
        <v>0.46116116178480548</v>
      </c>
      <c r="D624">
        <f t="shared" ca="1" si="135"/>
        <v>0.52298347951011559</v>
      </c>
      <c r="E624">
        <f t="shared" ca="1" si="129"/>
        <v>0.31830988618379069</v>
      </c>
      <c r="F624">
        <f t="shared" si="133"/>
        <v>0.25</v>
      </c>
      <c r="G624">
        <f t="shared" ca="1" si="130"/>
        <v>1</v>
      </c>
      <c r="H624">
        <f ca="1">IF(G624=1,SUM($G$10:G624),"-")</f>
        <v>482</v>
      </c>
      <c r="I624">
        <f t="shared" ca="1" si="131"/>
        <v>0.46116116178480548</v>
      </c>
      <c r="J624">
        <f t="shared" ca="1" si="132"/>
        <v>0.52298347951011559</v>
      </c>
    </row>
    <row r="625" spans="1:10" x14ac:dyDescent="0.2">
      <c r="A625">
        <f t="shared" si="136"/>
        <v>616</v>
      </c>
      <c r="B625">
        <f t="shared" ca="1" si="128"/>
        <v>0.480310825944811</v>
      </c>
      <c r="C625">
        <f t="shared" ca="1" si="135"/>
        <v>-8.9811442308215028E-2</v>
      </c>
      <c r="D625">
        <f t="shared" ca="1" si="135"/>
        <v>0.14871650772663747</v>
      </c>
      <c r="E625">
        <f t="shared" ca="1" si="129"/>
        <v>0.31830988618379069</v>
      </c>
      <c r="F625">
        <f t="shared" si="133"/>
        <v>0.25</v>
      </c>
      <c r="G625">
        <f t="shared" ca="1" si="130"/>
        <v>1</v>
      </c>
      <c r="H625">
        <f ca="1">IF(G625=1,SUM($G$10:G625),"-")</f>
        <v>483</v>
      </c>
      <c r="I625">
        <f t="shared" ca="1" si="131"/>
        <v>-8.9811442308215028E-2</v>
      </c>
      <c r="J625">
        <f t="shared" ca="1" si="132"/>
        <v>0.14871650772663747</v>
      </c>
    </row>
    <row r="626" spans="1:10" x14ac:dyDescent="0.2">
      <c r="A626">
        <f t="shared" si="136"/>
        <v>617</v>
      </c>
      <c r="B626">
        <f t="shared" ca="1" si="128"/>
        <v>0.1142616636172743</v>
      </c>
      <c r="C626">
        <f t="shared" ca="1" si="135"/>
        <v>-0.33291715260129506</v>
      </c>
      <c r="D626">
        <f t="shared" ca="1" si="135"/>
        <v>-0.9251601601782784</v>
      </c>
      <c r="E626">
        <f t="shared" ca="1" si="129"/>
        <v>0.31830988618379069</v>
      </c>
      <c r="F626">
        <f t="shared" si="133"/>
        <v>0.25</v>
      </c>
      <c r="G626">
        <f t="shared" ca="1" si="130"/>
        <v>1</v>
      </c>
      <c r="H626">
        <f ca="1">IF(G626=1,SUM($G$10:G626),"-")</f>
        <v>484</v>
      </c>
      <c r="I626">
        <f t="shared" ca="1" si="131"/>
        <v>-0.33291715260129506</v>
      </c>
      <c r="J626">
        <f t="shared" ca="1" si="132"/>
        <v>-0.9251601601782784</v>
      </c>
    </row>
    <row r="627" spans="1:10" x14ac:dyDescent="0.2">
      <c r="A627">
        <f t="shared" si="136"/>
        <v>618</v>
      </c>
      <c r="B627">
        <f t="shared" ca="1" si="128"/>
        <v>0.35628082583239395</v>
      </c>
      <c r="C627">
        <f t="shared" ca="1" si="135"/>
        <v>-4.4646603539548746E-3</v>
      </c>
      <c r="D627">
        <f t="shared" ca="1" si="135"/>
        <v>-3.8670598375567078E-2</v>
      </c>
      <c r="E627">
        <f t="shared" ca="1" si="129"/>
        <v>0.31830988618379069</v>
      </c>
      <c r="F627">
        <f t="shared" si="133"/>
        <v>0.25</v>
      </c>
      <c r="G627">
        <f t="shared" ca="1" si="130"/>
        <v>1</v>
      </c>
      <c r="H627">
        <f ca="1">IF(G627=1,SUM($G$10:G627),"-")</f>
        <v>485</v>
      </c>
      <c r="I627">
        <f t="shared" ca="1" si="131"/>
        <v>-4.4646603539548746E-3</v>
      </c>
      <c r="J627">
        <f t="shared" ca="1" si="132"/>
        <v>-3.8670598375567078E-2</v>
      </c>
    </row>
    <row r="628" spans="1:10" x14ac:dyDescent="0.2">
      <c r="A628">
        <f t="shared" si="136"/>
        <v>619</v>
      </c>
      <c r="B628">
        <f t="shared" ca="1" si="128"/>
        <v>0.83632665678066598</v>
      </c>
      <c r="C628">
        <f t="shared" ca="1" si="135"/>
        <v>0.16010648895044</v>
      </c>
      <c r="D628">
        <f t="shared" ca="1" si="135"/>
        <v>0.18953845051550222</v>
      </c>
      <c r="E628">
        <f t="shared" ca="1" si="129"/>
        <v>0.31830988618379069</v>
      </c>
      <c r="F628">
        <f t="shared" si="133"/>
        <v>0.25</v>
      </c>
      <c r="G628">
        <f t="shared" ca="1" si="130"/>
        <v>1</v>
      </c>
      <c r="H628">
        <f ca="1">IF(G628=1,SUM($G$10:G628),"-")</f>
        <v>486</v>
      </c>
      <c r="I628">
        <f t="shared" ca="1" si="131"/>
        <v>0.16010648895044</v>
      </c>
      <c r="J628">
        <f t="shared" ca="1" si="132"/>
        <v>0.18953845051550222</v>
      </c>
    </row>
    <row r="629" spans="1:10" x14ac:dyDescent="0.2">
      <c r="A629">
        <f t="shared" si="136"/>
        <v>620</v>
      </c>
      <c r="B629">
        <f t="shared" ca="1" si="128"/>
        <v>0.49486984769730535</v>
      </c>
      <c r="C629">
        <f t="shared" ca="1" si="135"/>
        <v>0.50962499645402937</v>
      </c>
      <c r="D629">
        <f t="shared" ca="1" si="135"/>
        <v>0.59964540867154437</v>
      </c>
      <c r="E629">
        <f t="shared" ca="1" si="129"/>
        <v>0.31830988618379069</v>
      </c>
      <c r="F629">
        <f t="shared" si="133"/>
        <v>0.25</v>
      </c>
      <c r="G629">
        <f t="shared" ca="1" si="130"/>
        <v>1</v>
      </c>
      <c r="H629">
        <f ca="1">IF(G629=1,SUM($G$10:G629),"-")</f>
        <v>487</v>
      </c>
      <c r="I629">
        <f t="shared" ca="1" si="131"/>
        <v>0.50962499645402937</v>
      </c>
      <c r="J629">
        <f t="shared" ca="1" si="132"/>
        <v>0.59964540867154437</v>
      </c>
    </row>
    <row r="630" spans="1:10" x14ac:dyDescent="0.2">
      <c r="A630">
        <f t="shared" si="136"/>
        <v>621</v>
      </c>
      <c r="B630">
        <f t="shared" ca="1" si="128"/>
        <v>0.19502135163874412</v>
      </c>
      <c r="C630">
        <f t="shared" ref="C630:D649" ca="1" si="137">2*RAND()-1</f>
        <v>0.71343359814027796</v>
      </c>
      <c r="D630">
        <f t="shared" ca="1" si="137"/>
        <v>-0.33590650395888355</v>
      </c>
      <c r="E630">
        <f t="shared" ca="1" si="129"/>
        <v>0.31830988618379069</v>
      </c>
      <c r="F630">
        <f t="shared" si="133"/>
        <v>0.25</v>
      </c>
      <c r="G630">
        <f t="shared" ca="1" si="130"/>
        <v>1</v>
      </c>
      <c r="H630">
        <f ca="1">IF(G630=1,SUM($G$10:G630),"-")</f>
        <v>488</v>
      </c>
      <c r="I630">
        <f t="shared" ca="1" si="131"/>
        <v>0.71343359814027796</v>
      </c>
      <c r="J630">
        <f t="shared" ca="1" si="132"/>
        <v>-0.33590650395888355</v>
      </c>
    </row>
    <row r="631" spans="1:10" x14ac:dyDescent="0.2">
      <c r="A631">
        <f t="shared" si="136"/>
        <v>622</v>
      </c>
      <c r="B631">
        <f t="shared" ca="1" si="128"/>
        <v>0.72738348727335833</v>
      </c>
      <c r="C631">
        <f t="shared" ca="1" si="137"/>
        <v>-0.24033675638038066</v>
      </c>
      <c r="D631">
        <f t="shared" ca="1" si="137"/>
        <v>0.60328206188906508</v>
      </c>
      <c r="E631">
        <f t="shared" ca="1" si="129"/>
        <v>0.31830988618379069</v>
      </c>
      <c r="F631">
        <f t="shared" si="133"/>
        <v>0.25</v>
      </c>
      <c r="G631">
        <f t="shared" ca="1" si="130"/>
        <v>1</v>
      </c>
      <c r="H631">
        <f ca="1">IF(G631=1,SUM($G$10:G631),"-")</f>
        <v>489</v>
      </c>
      <c r="I631">
        <f t="shared" ca="1" si="131"/>
        <v>-0.24033675638038066</v>
      </c>
      <c r="J631">
        <f t="shared" ca="1" si="132"/>
        <v>0.60328206188906508</v>
      </c>
    </row>
    <row r="632" spans="1:10" x14ac:dyDescent="0.2">
      <c r="A632">
        <f t="shared" si="136"/>
        <v>623</v>
      </c>
      <c r="B632">
        <f t="shared" ca="1" si="128"/>
        <v>0.91812564945537756</v>
      </c>
      <c r="C632">
        <f t="shared" ca="1" si="137"/>
        <v>0.38666702072628789</v>
      </c>
      <c r="D632">
        <f t="shared" ca="1" si="137"/>
        <v>0.25224552164500014</v>
      </c>
      <c r="E632">
        <f t="shared" ca="1" si="129"/>
        <v>0.31830988618379069</v>
      </c>
      <c r="F632">
        <f t="shared" si="133"/>
        <v>0.25</v>
      </c>
      <c r="G632">
        <f t="shared" ca="1" si="130"/>
        <v>1</v>
      </c>
      <c r="H632">
        <f ca="1">IF(G632=1,SUM($G$10:G632),"-")</f>
        <v>490</v>
      </c>
      <c r="I632">
        <f t="shared" ca="1" si="131"/>
        <v>0.38666702072628789</v>
      </c>
      <c r="J632">
        <f t="shared" ca="1" si="132"/>
        <v>0.25224552164500014</v>
      </c>
    </row>
    <row r="633" spans="1:10" x14ac:dyDescent="0.2">
      <c r="A633">
        <f t="shared" si="136"/>
        <v>624</v>
      </c>
      <c r="B633">
        <f t="shared" ca="1" si="128"/>
        <v>0.20911861386153763</v>
      </c>
      <c r="C633">
        <f t="shared" ca="1" si="137"/>
        <v>-0.64866110898585205</v>
      </c>
      <c r="D633">
        <f t="shared" ca="1" si="137"/>
        <v>-0.85547750758309093</v>
      </c>
      <c r="E633">
        <f t="shared" ca="1" si="129"/>
        <v>0</v>
      </c>
      <c r="F633">
        <f t="shared" si="133"/>
        <v>0.25</v>
      </c>
      <c r="G633">
        <f t="shared" ca="1" si="130"/>
        <v>0</v>
      </c>
      <c r="H633" t="str">
        <f ca="1">IF(G633=1,SUM($G$10:G633),"-")</f>
        <v>-</v>
      </c>
      <c r="I633" t="str">
        <f t="shared" ca="1" si="131"/>
        <v>-</v>
      </c>
      <c r="J633" t="str">
        <f t="shared" ca="1" si="132"/>
        <v>-</v>
      </c>
    </row>
    <row r="634" spans="1:10" x14ac:dyDescent="0.2">
      <c r="A634">
        <f t="shared" si="136"/>
        <v>625</v>
      </c>
      <c r="B634">
        <f t="shared" ca="1" si="128"/>
        <v>0.53952228158918691</v>
      </c>
      <c r="C634">
        <f t="shared" ca="1" si="137"/>
        <v>-0.33717092938315041</v>
      </c>
      <c r="D634">
        <f t="shared" ca="1" si="137"/>
        <v>-0.43534499132226556</v>
      </c>
      <c r="E634">
        <f t="shared" ca="1" si="129"/>
        <v>0.31830988618379069</v>
      </c>
      <c r="F634">
        <f t="shared" si="133"/>
        <v>0.25</v>
      </c>
      <c r="G634">
        <f t="shared" ca="1" si="130"/>
        <v>1</v>
      </c>
      <c r="H634">
        <f ca="1">IF(G634=1,SUM($G$10:G634),"-")</f>
        <v>491</v>
      </c>
      <c r="I634">
        <f t="shared" ca="1" si="131"/>
        <v>-0.33717092938315041</v>
      </c>
      <c r="J634">
        <f t="shared" ca="1" si="132"/>
        <v>-0.43534499132226556</v>
      </c>
    </row>
    <row r="635" spans="1:10" x14ac:dyDescent="0.2">
      <c r="A635">
        <f t="shared" si="136"/>
        <v>626</v>
      </c>
      <c r="B635">
        <f t="shared" ca="1" si="128"/>
        <v>3.3587596457051672E-2</v>
      </c>
      <c r="C635">
        <f t="shared" ca="1" si="137"/>
        <v>0.59371096160338621</v>
      </c>
      <c r="D635">
        <f t="shared" ca="1" si="137"/>
        <v>6.3688799856957523E-2</v>
      </c>
      <c r="E635">
        <f t="shared" ca="1" si="129"/>
        <v>0.31830988618379069</v>
      </c>
      <c r="F635">
        <f t="shared" si="133"/>
        <v>0.25</v>
      </c>
      <c r="G635">
        <f t="shared" ca="1" si="130"/>
        <v>1</v>
      </c>
      <c r="H635">
        <f ca="1">IF(G635=1,SUM($G$10:G635),"-")</f>
        <v>492</v>
      </c>
      <c r="I635">
        <f t="shared" ca="1" si="131"/>
        <v>0.59371096160338621</v>
      </c>
      <c r="J635">
        <f t="shared" ca="1" si="132"/>
        <v>6.3688799856957523E-2</v>
      </c>
    </row>
    <row r="636" spans="1:10" x14ac:dyDescent="0.2">
      <c r="A636">
        <f t="shared" si="136"/>
        <v>627</v>
      </c>
      <c r="B636">
        <f t="shared" ca="1" si="128"/>
        <v>0.10769683406766029</v>
      </c>
      <c r="C636">
        <f t="shared" ca="1" si="137"/>
        <v>-0.73849165356191349</v>
      </c>
      <c r="D636">
        <f t="shared" ca="1" si="137"/>
        <v>0.27622407349225253</v>
      </c>
      <c r="E636">
        <f t="shared" ca="1" si="129"/>
        <v>0.31830988618379069</v>
      </c>
      <c r="F636">
        <f t="shared" si="133"/>
        <v>0.25</v>
      </c>
      <c r="G636">
        <f t="shared" ca="1" si="130"/>
        <v>1</v>
      </c>
      <c r="H636">
        <f ca="1">IF(G636=1,SUM($G$10:G636),"-")</f>
        <v>493</v>
      </c>
      <c r="I636">
        <f t="shared" ca="1" si="131"/>
        <v>-0.73849165356191349</v>
      </c>
      <c r="J636">
        <f t="shared" ca="1" si="132"/>
        <v>0.27622407349225253</v>
      </c>
    </row>
    <row r="637" spans="1:10" x14ac:dyDescent="0.2">
      <c r="A637">
        <f t="shared" si="136"/>
        <v>628</v>
      </c>
      <c r="B637">
        <f t="shared" ca="1" si="128"/>
        <v>0.32462016016624695</v>
      </c>
      <c r="C637">
        <f t="shared" ca="1" si="137"/>
        <v>-0.58325324511702936</v>
      </c>
      <c r="D637">
        <f t="shared" ca="1" si="137"/>
        <v>-8.1096273396693119E-2</v>
      </c>
      <c r="E637">
        <f t="shared" ca="1" si="129"/>
        <v>0.31830988618379069</v>
      </c>
      <c r="F637">
        <f t="shared" si="133"/>
        <v>0.25</v>
      </c>
      <c r="G637">
        <f t="shared" ca="1" si="130"/>
        <v>1</v>
      </c>
      <c r="H637">
        <f ca="1">IF(G637=1,SUM($G$10:G637),"-")</f>
        <v>494</v>
      </c>
      <c r="I637">
        <f t="shared" ca="1" si="131"/>
        <v>-0.58325324511702936</v>
      </c>
      <c r="J637">
        <f t="shared" ca="1" si="132"/>
        <v>-8.1096273396693119E-2</v>
      </c>
    </row>
    <row r="638" spans="1:10" x14ac:dyDescent="0.2">
      <c r="A638">
        <f t="shared" si="136"/>
        <v>629</v>
      </c>
      <c r="B638">
        <f t="shared" ca="1" si="128"/>
        <v>0.81249217279427832</v>
      </c>
      <c r="C638">
        <f t="shared" ca="1" si="137"/>
        <v>-9.7687800355038767E-2</v>
      </c>
      <c r="D638">
        <f t="shared" ca="1" si="137"/>
        <v>-0.27406334581275971</v>
      </c>
      <c r="E638">
        <f t="shared" ca="1" si="129"/>
        <v>0.31830988618379069</v>
      </c>
      <c r="F638">
        <f t="shared" si="133"/>
        <v>0.25</v>
      </c>
      <c r="G638">
        <f t="shared" ca="1" si="130"/>
        <v>1</v>
      </c>
      <c r="H638">
        <f ca="1">IF(G638=1,SUM($G$10:G638),"-")</f>
        <v>495</v>
      </c>
      <c r="I638">
        <f t="shared" ca="1" si="131"/>
        <v>-9.7687800355038767E-2</v>
      </c>
      <c r="J638">
        <f t="shared" ca="1" si="132"/>
        <v>-0.27406334581275971</v>
      </c>
    </row>
    <row r="639" spans="1:10" x14ac:dyDescent="0.2">
      <c r="A639">
        <f t="shared" si="136"/>
        <v>630</v>
      </c>
      <c r="B639">
        <f t="shared" ca="1" si="128"/>
        <v>0.46727494782744072</v>
      </c>
      <c r="C639">
        <f t="shared" ca="1" si="137"/>
        <v>0.84911342432143244</v>
      </c>
      <c r="D639">
        <f t="shared" ca="1" si="137"/>
        <v>-0.16247820044692984</v>
      </c>
      <c r="E639">
        <f t="shared" ca="1" si="129"/>
        <v>0.31830988618379069</v>
      </c>
      <c r="F639">
        <f t="shared" si="133"/>
        <v>0.25</v>
      </c>
      <c r="G639">
        <f t="shared" ca="1" si="130"/>
        <v>1</v>
      </c>
      <c r="H639">
        <f ca="1">IF(G639=1,SUM($G$10:G639),"-")</f>
        <v>496</v>
      </c>
      <c r="I639">
        <f t="shared" ca="1" si="131"/>
        <v>0.84911342432143244</v>
      </c>
      <c r="J639">
        <f t="shared" ca="1" si="132"/>
        <v>-0.16247820044692984</v>
      </c>
    </row>
    <row r="640" spans="1:10" x14ac:dyDescent="0.2">
      <c r="A640">
        <f t="shared" si="136"/>
        <v>631</v>
      </c>
      <c r="B640">
        <f t="shared" ca="1" si="128"/>
        <v>0.89483590094202747</v>
      </c>
      <c r="C640">
        <f t="shared" ca="1" si="137"/>
        <v>3.3081564471577618E-2</v>
      </c>
      <c r="D640">
        <f t="shared" ca="1" si="137"/>
        <v>-0.12489343492531035</v>
      </c>
      <c r="E640">
        <f t="shared" ca="1" si="129"/>
        <v>0.31830988618379069</v>
      </c>
      <c r="F640">
        <f t="shared" si="133"/>
        <v>0.25</v>
      </c>
      <c r="G640">
        <f t="shared" ca="1" si="130"/>
        <v>1</v>
      </c>
      <c r="H640">
        <f ca="1">IF(G640=1,SUM($G$10:G640),"-")</f>
        <v>497</v>
      </c>
      <c r="I640">
        <f t="shared" ca="1" si="131"/>
        <v>3.3081564471577618E-2</v>
      </c>
      <c r="J640">
        <f t="shared" ca="1" si="132"/>
        <v>-0.12489343492531035</v>
      </c>
    </row>
    <row r="641" spans="1:10" x14ac:dyDescent="0.2">
      <c r="A641">
        <f t="shared" si="136"/>
        <v>632</v>
      </c>
      <c r="B641">
        <f t="shared" ca="1" si="128"/>
        <v>0.16054628756824363</v>
      </c>
      <c r="C641">
        <f t="shared" ca="1" si="137"/>
        <v>-0.36610815443379741</v>
      </c>
      <c r="D641">
        <f t="shared" ca="1" si="137"/>
        <v>-0.63711615883431838</v>
      </c>
      <c r="E641">
        <f t="shared" ca="1" si="129"/>
        <v>0.31830988618379069</v>
      </c>
      <c r="F641">
        <f t="shared" si="133"/>
        <v>0.25</v>
      </c>
      <c r="G641">
        <f t="shared" ca="1" si="130"/>
        <v>1</v>
      </c>
      <c r="H641">
        <f ca="1">IF(G641=1,SUM($G$10:G641),"-")</f>
        <v>498</v>
      </c>
      <c r="I641">
        <f t="shared" ca="1" si="131"/>
        <v>-0.36610815443379741</v>
      </c>
      <c r="J641">
        <f t="shared" ca="1" si="132"/>
        <v>-0.63711615883431838</v>
      </c>
    </row>
    <row r="642" spans="1:10" x14ac:dyDescent="0.2">
      <c r="A642">
        <f t="shared" si="136"/>
        <v>633</v>
      </c>
      <c r="B642">
        <f t="shared" ca="1" si="128"/>
        <v>0.58702454673930948</v>
      </c>
      <c r="C642">
        <f t="shared" ca="1" si="137"/>
        <v>-0.99618228669047793</v>
      </c>
      <c r="D642">
        <f t="shared" ca="1" si="137"/>
        <v>7.6112243017218972E-2</v>
      </c>
      <c r="E642">
        <f t="shared" ca="1" si="129"/>
        <v>0.31830988618379069</v>
      </c>
      <c r="F642">
        <f t="shared" si="133"/>
        <v>0.25</v>
      </c>
      <c r="G642">
        <f t="shared" ca="1" si="130"/>
        <v>1</v>
      </c>
      <c r="H642">
        <f ca="1">IF(G642=1,SUM($G$10:G642),"-")</f>
        <v>499</v>
      </c>
      <c r="I642">
        <f t="shared" ca="1" si="131"/>
        <v>-0.99618228669047793</v>
      </c>
      <c r="J642">
        <f t="shared" ca="1" si="132"/>
        <v>7.6112243017218972E-2</v>
      </c>
    </row>
    <row r="643" spans="1:10" x14ac:dyDescent="0.2">
      <c r="A643">
        <f t="shared" si="136"/>
        <v>634</v>
      </c>
      <c r="B643">
        <f t="shared" ca="1" si="128"/>
        <v>0.29278259844146648</v>
      </c>
      <c r="C643">
        <f t="shared" ca="1" si="137"/>
        <v>-0.60522425644184752</v>
      </c>
      <c r="D643">
        <f t="shared" ca="1" si="137"/>
        <v>0.21031972070129323</v>
      </c>
      <c r="E643">
        <f t="shared" ca="1" si="129"/>
        <v>0.31830988618379069</v>
      </c>
      <c r="F643">
        <f t="shared" si="133"/>
        <v>0.25</v>
      </c>
      <c r="G643">
        <f t="shared" ca="1" si="130"/>
        <v>1</v>
      </c>
      <c r="H643">
        <f ca="1">IF(G643=1,SUM($G$10:G643),"-")</f>
        <v>500</v>
      </c>
      <c r="I643">
        <f t="shared" ca="1" si="131"/>
        <v>-0.60522425644184752</v>
      </c>
      <c r="J643">
        <f t="shared" ca="1" si="132"/>
        <v>0.21031972070129323</v>
      </c>
    </row>
    <row r="644" spans="1:10" x14ac:dyDescent="0.2">
      <c r="A644">
        <f t="shared" si="136"/>
        <v>635</v>
      </c>
      <c r="B644">
        <f t="shared" ca="1" si="128"/>
        <v>0.31229683303401023</v>
      </c>
      <c r="C644">
        <f t="shared" ca="1" si="137"/>
        <v>-0.11965004297333204</v>
      </c>
      <c r="D644">
        <f t="shared" ca="1" si="137"/>
        <v>0.33565007353530829</v>
      </c>
      <c r="E644">
        <f t="shared" ca="1" si="129"/>
        <v>0.31830988618379069</v>
      </c>
      <c r="F644">
        <f t="shared" si="133"/>
        <v>0.25</v>
      </c>
      <c r="G644">
        <f t="shared" ca="1" si="130"/>
        <v>1</v>
      </c>
      <c r="H644">
        <f ca="1">IF(G644=1,SUM($G$10:G644),"-")</f>
        <v>501</v>
      </c>
      <c r="I644">
        <f t="shared" ca="1" si="131"/>
        <v>-0.11965004297333204</v>
      </c>
      <c r="J644">
        <f t="shared" ca="1" si="132"/>
        <v>0.33565007353530829</v>
      </c>
    </row>
    <row r="645" spans="1:10" x14ac:dyDescent="0.2">
      <c r="A645">
        <f t="shared" si="136"/>
        <v>636</v>
      </c>
      <c r="B645">
        <f t="shared" ca="1" si="128"/>
        <v>0.78652055322876935</v>
      </c>
      <c r="C645">
        <f t="shared" ca="1" si="137"/>
        <v>-0.43190991977383497</v>
      </c>
      <c r="D645">
        <f t="shared" ca="1" si="137"/>
        <v>-0.66922449662475714</v>
      </c>
      <c r="E645">
        <f t="shared" ca="1" si="129"/>
        <v>0.31830988618379069</v>
      </c>
      <c r="F645">
        <f t="shared" si="133"/>
        <v>0.25</v>
      </c>
      <c r="G645">
        <f t="shared" ca="1" si="130"/>
        <v>1</v>
      </c>
      <c r="H645">
        <f ca="1">IF(G645=1,SUM($G$10:G645),"-")</f>
        <v>502</v>
      </c>
      <c r="I645">
        <f t="shared" ca="1" si="131"/>
        <v>-0.43190991977383497</v>
      </c>
      <c r="J645">
        <f t="shared" ca="1" si="132"/>
        <v>-0.66922449662475714</v>
      </c>
    </row>
    <row r="646" spans="1:10" x14ac:dyDescent="0.2">
      <c r="A646">
        <f t="shared" si="136"/>
        <v>637</v>
      </c>
      <c r="B646">
        <f t="shared" ca="1" si="128"/>
        <v>0.21755066883285223</v>
      </c>
      <c r="C646">
        <f t="shared" ca="1" si="137"/>
        <v>0.6225921438996358</v>
      </c>
      <c r="D646">
        <f t="shared" ca="1" si="137"/>
        <v>0.22519976235958095</v>
      </c>
      <c r="E646">
        <f t="shared" ca="1" si="129"/>
        <v>0.31830988618379069</v>
      </c>
      <c r="F646">
        <f t="shared" si="133"/>
        <v>0.25</v>
      </c>
      <c r="G646">
        <f t="shared" ca="1" si="130"/>
        <v>1</v>
      </c>
      <c r="H646">
        <f ca="1">IF(G646=1,SUM($G$10:G646),"-")</f>
        <v>503</v>
      </c>
      <c r="I646">
        <f t="shared" ca="1" si="131"/>
        <v>0.6225921438996358</v>
      </c>
      <c r="J646">
        <f t="shared" ca="1" si="132"/>
        <v>0.22519976235958095</v>
      </c>
    </row>
    <row r="647" spans="1:10" x14ac:dyDescent="0.2">
      <c r="A647">
        <f t="shared" si="136"/>
        <v>638</v>
      </c>
      <c r="B647">
        <f t="shared" ca="1" si="128"/>
        <v>0.70743396287411064</v>
      </c>
      <c r="C647">
        <f t="shared" ca="1" si="137"/>
        <v>0.93816723749657727</v>
      </c>
      <c r="D647">
        <f t="shared" ca="1" si="137"/>
        <v>-0.10523786216997877</v>
      </c>
      <c r="E647">
        <f t="shared" ca="1" si="129"/>
        <v>0.31830988618379069</v>
      </c>
      <c r="F647">
        <f t="shared" si="133"/>
        <v>0.25</v>
      </c>
      <c r="G647">
        <f t="shared" ca="1" si="130"/>
        <v>1</v>
      </c>
      <c r="H647">
        <f ca="1">IF(G647=1,SUM($G$10:G647),"-")</f>
        <v>504</v>
      </c>
      <c r="I647">
        <f t="shared" ca="1" si="131"/>
        <v>0.93816723749657727</v>
      </c>
      <c r="J647">
        <f t="shared" ca="1" si="132"/>
        <v>-0.10523786216997877</v>
      </c>
    </row>
    <row r="648" spans="1:10" x14ac:dyDescent="0.2">
      <c r="A648">
        <f t="shared" si="136"/>
        <v>639</v>
      </c>
      <c r="B648">
        <f t="shared" ca="1" si="128"/>
        <v>0.89627288192019561</v>
      </c>
      <c r="C648">
        <f t="shared" ca="1" si="137"/>
        <v>-0.33486163079426645</v>
      </c>
      <c r="D648">
        <f t="shared" ca="1" si="137"/>
        <v>0.31007859582081987</v>
      </c>
      <c r="E648">
        <f t="shared" ca="1" si="129"/>
        <v>0.31830988618379069</v>
      </c>
      <c r="F648">
        <f t="shared" si="133"/>
        <v>0.25</v>
      </c>
      <c r="G648">
        <f t="shared" ca="1" si="130"/>
        <v>1</v>
      </c>
      <c r="H648">
        <f ca="1">IF(G648=1,SUM($G$10:G648),"-")</f>
        <v>505</v>
      </c>
      <c r="I648">
        <f t="shared" ca="1" si="131"/>
        <v>-0.33486163079426645</v>
      </c>
      <c r="J648">
        <f t="shared" ca="1" si="132"/>
        <v>0.31007859582081987</v>
      </c>
    </row>
    <row r="649" spans="1:10" x14ac:dyDescent="0.2">
      <c r="A649">
        <f t="shared" si="136"/>
        <v>640</v>
      </c>
      <c r="B649">
        <f t="shared" ca="1" si="128"/>
        <v>0.47330808843616212</v>
      </c>
      <c r="C649">
        <f t="shared" ca="1" si="137"/>
        <v>0.35355807897885438</v>
      </c>
      <c r="D649">
        <f t="shared" ca="1" si="137"/>
        <v>0.69403511721725941</v>
      </c>
      <c r="E649">
        <f t="shared" ca="1" si="129"/>
        <v>0.31830988618379069</v>
      </c>
      <c r="F649">
        <f t="shared" si="133"/>
        <v>0.25</v>
      </c>
      <c r="G649">
        <f t="shared" ca="1" si="130"/>
        <v>1</v>
      </c>
      <c r="H649">
        <f ca="1">IF(G649=1,SUM($G$10:G649),"-")</f>
        <v>506</v>
      </c>
      <c r="I649">
        <f t="shared" ca="1" si="131"/>
        <v>0.35355807897885438</v>
      </c>
      <c r="J649">
        <f t="shared" ca="1" si="132"/>
        <v>0.69403511721725941</v>
      </c>
    </row>
    <row r="650" spans="1:10" x14ac:dyDescent="0.2">
      <c r="A650">
        <f t="shared" si="136"/>
        <v>641</v>
      </c>
      <c r="B650">
        <f t="shared" ref="B650:B687" ca="1" si="138">RAND()</f>
        <v>0.78666610995269459</v>
      </c>
      <c r="C650">
        <f t="shared" ref="C650:D669" ca="1" si="139">2*RAND()-1</f>
        <v>-0.45772976580264069</v>
      </c>
      <c r="D650">
        <f t="shared" ca="1" si="139"/>
        <v>0.96751399314092379</v>
      </c>
      <c r="E650">
        <f t="shared" ref="E650:E687" ca="1" si="140">(1/PI())*IF(C650^2+D650^2&lt;=1,1,0)</f>
        <v>0</v>
      </c>
      <c r="F650">
        <f t="shared" si="133"/>
        <v>0.25</v>
      </c>
      <c r="G650">
        <f t="shared" ref="G650:G687" ca="1" si="141">IF($B$6*B650&lt;=E650/F650,1,0)</f>
        <v>0</v>
      </c>
      <c r="H650" t="str">
        <f ca="1">IF(G650=1,SUM($G$10:G650),"-")</f>
        <v>-</v>
      </c>
      <c r="I650" t="str">
        <f t="shared" ref="I650:I687" ca="1" si="142">IF($G650,C650,"-")</f>
        <v>-</v>
      </c>
      <c r="J650" t="str">
        <f t="shared" ref="J650:J687" ca="1" si="143">IF($G650,D650,"-")</f>
        <v>-</v>
      </c>
    </row>
    <row r="651" spans="1:10" x14ac:dyDescent="0.2">
      <c r="A651">
        <f t="shared" si="136"/>
        <v>642</v>
      </c>
      <c r="B651">
        <f t="shared" ca="1" si="138"/>
        <v>0.89127156899826598</v>
      </c>
      <c r="C651">
        <f t="shared" ca="1" si="139"/>
        <v>0.64566578076815584</v>
      </c>
      <c r="D651">
        <f t="shared" ca="1" si="139"/>
        <v>0.47459948381195183</v>
      </c>
      <c r="E651">
        <f t="shared" ca="1" si="140"/>
        <v>0.31830988618379069</v>
      </c>
      <c r="F651">
        <f t="shared" ref="F651:F687" si="144">1/4</f>
        <v>0.25</v>
      </c>
      <c r="G651">
        <f t="shared" ca="1" si="141"/>
        <v>1</v>
      </c>
      <c r="H651">
        <f ca="1">IF(G651=1,SUM($G$10:G651),"-")</f>
        <v>507</v>
      </c>
      <c r="I651">
        <f t="shared" ca="1" si="142"/>
        <v>0.64566578076815584</v>
      </c>
      <c r="J651">
        <f t="shared" ca="1" si="143"/>
        <v>0.47459948381195183</v>
      </c>
    </row>
    <row r="652" spans="1:10" x14ac:dyDescent="0.2">
      <c r="A652">
        <f t="shared" si="136"/>
        <v>643</v>
      </c>
      <c r="B652">
        <f t="shared" ca="1" si="138"/>
        <v>0.13391265417085052</v>
      </c>
      <c r="C652">
        <f t="shared" ca="1" si="139"/>
        <v>0.20628264363241056</v>
      </c>
      <c r="D652">
        <f t="shared" ca="1" si="139"/>
        <v>0.64885918793711772</v>
      </c>
      <c r="E652">
        <f t="shared" ca="1" si="140"/>
        <v>0.31830988618379069</v>
      </c>
      <c r="F652">
        <f t="shared" si="144"/>
        <v>0.25</v>
      </c>
      <c r="G652">
        <f t="shared" ca="1" si="141"/>
        <v>1</v>
      </c>
      <c r="H652">
        <f ca="1">IF(G652=1,SUM($G$10:G652),"-")</f>
        <v>508</v>
      </c>
      <c r="I652">
        <f t="shared" ca="1" si="142"/>
        <v>0.20628264363241056</v>
      </c>
      <c r="J652">
        <f t="shared" ca="1" si="143"/>
        <v>0.64885918793711772</v>
      </c>
    </row>
    <row r="653" spans="1:10" x14ac:dyDescent="0.2">
      <c r="A653">
        <f t="shared" si="136"/>
        <v>644</v>
      </c>
      <c r="B653">
        <f t="shared" ca="1" si="138"/>
        <v>0.30602558242694089</v>
      </c>
      <c r="C653">
        <f t="shared" ca="1" si="139"/>
        <v>0.95835182309657063</v>
      </c>
      <c r="D653">
        <f t="shared" ca="1" si="139"/>
        <v>0.60293293911566481</v>
      </c>
      <c r="E653">
        <f t="shared" ca="1" si="140"/>
        <v>0</v>
      </c>
      <c r="F653">
        <f t="shared" si="144"/>
        <v>0.25</v>
      </c>
      <c r="G653">
        <f t="shared" ca="1" si="141"/>
        <v>0</v>
      </c>
      <c r="H653" t="str">
        <f ca="1">IF(G653=1,SUM($G$10:G653),"-")</f>
        <v>-</v>
      </c>
      <c r="I653" t="str">
        <f t="shared" ca="1" si="142"/>
        <v>-</v>
      </c>
      <c r="J653" t="str">
        <f t="shared" ca="1" si="143"/>
        <v>-</v>
      </c>
    </row>
    <row r="654" spans="1:10" x14ac:dyDescent="0.2">
      <c r="A654">
        <f t="shared" si="136"/>
        <v>645</v>
      </c>
      <c r="B654">
        <f t="shared" ca="1" si="138"/>
        <v>0.50822429577833106</v>
      </c>
      <c r="C654">
        <f t="shared" ca="1" si="139"/>
        <v>0.73292828472163829</v>
      </c>
      <c r="D654">
        <f t="shared" ca="1" si="139"/>
        <v>0.67708909522088923</v>
      </c>
      <c r="E654">
        <f t="shared" ca="1" si="140"/>
        <v>0.31830988618379069</v>
      </c>
      <c r="F654">
        <f t="shared" si="144"/>
        <v>0.25</v>
      </c>
      <c r="G654">
        <f t="shared" ca="1" si="141"/>
        <v>1</v>
      </c>
      <c r="H654">
        <f ca="1">IF(G654=1,SUM($G$10:G654),"-")</f>
        <v>509</v>
      </c>
      <c r="I654">
        <f t="shared" ca="1" si="142"/>
        <v>0.73292828472163829</v>
      </c>
      <c r="J654">
        <f t="shared" ca="1" si="143"/>
        <v>0.67708909522088923</v>
      </c>
    </row>
    <row r="655" spans="1:10" x14ac:dyDescent="0.2">
      <c r="A655">
        <f t="shared" si="136"/>
        <v>646</v>
      </c>
      <c r="B655">
        <f t="shared" ca="1" si="138"/>
        <v>3.3963081332178513E-2</v>
      </c>
      <c r="C655">
        <f t="shared" ca="1" si="139"/>
        <v>0.26857092137489591</v>
      </c>
      <c r="D655">
        <f t="shared" ca="1" si="139"/>
        <v>0.40948386550251414</v>
      </c>
      <c r="E655">
        <f t="shared" ca="1" si="140"/>
        <v>0.31830988618379069</v>
      </c>
      <c r="F655">
        <f t="shared" si="144"/>
        <v>0.25</v>
      </c>
      <c r="G655">
        <f t="shared" ca="1" si="141"/>
        <v>1</v>
      </c>
      <c r="H655">
        <f ca="1">IF(G655=1,SUM($G$10:G655),"-")</f>
        <v>510</v>
      </c>
      <c r="I655">
        <f t="shared" ca="1" si="142"/>
        <v>0.26857092137489591</v>
      </c>
      <c r="J655">
        <f t="shared" ca="1" si="143"/>
        <v>0.40948386550251414</v>
      </c>
    </row>
    <row r="656" spans="1:10" x14ac:dyDescent="0.2">
      <c r="A656">
        <f t="shared" si="136"/>
        <v>647</v>
      </c>
      <c r="B656">
        <f t="shared" ca="1" si="138"/>
        <v>0.98565367336527232</v>
      </c>
      <c r="C656">
        <f t="shared" ca="1" si="139"/>
        <v>-0.21707453372266627</v>
      </c>
      <c r="D656">
        <f t="shared" ca="1" si="139"/>
        <v>0.1257455558216749</v>
      </c>
      <c r="E656">
        <f t="shared" ca="1" si="140"/>
        <v>0.31830988618379069</v>
      </c>
      <c r="F656">
        <f t="shared" si="144"/>
        <v>0.25</v>
      </c>
      <c r="G656">
        <f t="shared" ca="1" si="141"/>
        <v>1</v>
      </c>
      <c r="H656">
        <f ca="1">IF(G656=1,SUM($G$10:G656),"-")</f>
        <v>511</v>
      </c>
      <c r="I656">
        <f t="shared" ca="1" si="142"/>
        <v>-0.21707453372266627</v>
      </c>
      <c r="J656">
        <f t="shared" ca="1" si="143"/>
        <v>0.1257455558216749</v>
      </c>
    </row>
    <row r="657" spans="1:10" x14ac:dyDescent="0.2">
      <c r="A657">
        <f t="shared" si="136"/>
        <v>648</v>
      </c>
      <c r="B657">
        <f t="shared" ca="1" si="138"/>
        <v>0.32059811118494563</v>
      </c>
      <c r="C657">
        <f t="shared" ca="1" si="139"/>
        <v>0.23428859363522014</v>
      </c>
      <c r="D657">
        <f t="shared" ca="1" si="139"/>
        <v>-0.2603431322955565</v>
      </c>
      <c r="E657">
        <f t="shared" ca="1" si="140"/>
        <v>0.31830988618379069</v>
      </c>
      <c r="F657">
        <f t="shared" si="144"/>
        <v>0.25</v>
      </c>
      <c r="G657">
        <f t="shared" ca="1" si="141"/>
        <v>1</v>
      </c>
      <c r="H657">
        <f ca="1">IF(G657=1,SUM($G$10:G657),"-")</f>
        <v>512</v>
      </c>
      <c r="I657">
        <f t="shared" ca="1" si="142"/>
        <v>0.23428859363522014</v>
      </c>
      <c r="J657">
        <f t="shared" ca="1" si="143"/>
        <v>-0.2603431322955565</v>
      </c>
    </row>
    <row r="658" spans="1:10" x14ac:dyDescent="0.2">
      <c r="A658">
        <f t="shared" si="136"/>
        <v>649</v>
      </c>
      <c r="B658">
        <f t="shared" ca="1" si="138"/>
        <v>0.1648928408640602</v>
      </c>
      <c r="C658">
        <f t="shared" ca="1" si="139"/>
        <v>0.13402274968649142</v>
      </c>
      <c r="D658">
        <f t="shared" ca="1" si="139"/>
        <v>-0.51263125715659608</v>
      </c>
      <c r="E658">
        <f t="shared" ca="1" si="140"/>
        <v>0.31830988618379069</v>
      </c>
      <c r="F658">
        <f t="shared" si="144"/>
        <v>0.25</v>
      </c>
      <c r="G658">
        <f t="shared" ca="1" si="141"/>
        <v>1</v>
      </c>
      <c r="H658">
        <f ca="1">IF(G658=1,SUM($G$10:G658),"-")</f>
        <v>513</v>
      </c>
      <c r="I658">
        <f t="shared" ca="1" si="142"/>
        <v>0.13402274968649142</v>
      </c>
      <c r="J658">
        <f t="shared" ca="1" si="143"/>
        <v>-0.51263125715659608</v>
      </c>
    </row>
    <row r="659" spans="1:10" x14ac:dyDescent="0.2">
      <c r="A659">
        <f t="shared" si="136"/>
        <v>650</v>
      </c>
      <c r="B659">
        <f t="shared" ca="1" si="138"/>
        <v>0.49832204749200171</v>
      </c>
      <c r="C659">
        <f t="shared" ca="1" si="139"/>
        <v>-0.88990789884574162</v>
      </c>
      <c r="D659">
        <f t="shared" ca="1" si="139"/>
        <v>0.79755003178710471</v>
      </c>
      <c r="E659">
        <f t="shared" ca="1" si="140"/>
        <v>0</v>
      </c>
      <c r="F659">
        <f t="shared" si="144"/>
        <v>0.25</v>
      </c>
      <c r="G659">
        <f t="shared" ca="1" si="141"/>
        <v>0</v>
      </c>
      <c r="H659" t="str">
        <f ca="1">IF(G659=1,SUM($G$10:G659),"-")</f>
        <v>-</v>
      </c>
      <c r="I659" t="str">
        <f t="shared" ca="1" si="142"/>
        <v>-</v>
      </c>
      <c r="J659" t="str">
        <f t="shared" ca="1" si="143"/>
        <v>-</v>
      </c>
    </row>
    <row r="660" spans="1:10" x14ac:dyDescent="0.2">
      <c r="A660">
        <f t="shared" si="136"/>
        <v>651</v>
      </c>
      <c r="B660">
        <f t="shared" ca="1" si="138"/>
        <v>0.24801347884884639</v>
      </c>
      <c r="C660">
        <f t="shared" ca="1" si="139"/>
        <v>0.88197832211552885</v>
      </c>
      <c r="D660">
        <f t="shared" ca="1" si="139"/>
        <v>-0.17212087494453421</v>
      </c>
      <c r="E660">
        <f t="shared" ca="1" si="140"/>
        <v>0.31830988618379069</v>
      </c>
      <c r="F660">
        <f t="shared" si="144"/>
        <v>0.25</v>
      </c>
      <c r="G660">
        <f t="shared" ca="1" si="141"/>
        <v>1</v>
      </c>
      <c r="H660">
        <f ca="1">IF(G660=1,SUM($G$10:G660),"-")</f>
        <v>514</v>
      </c>
      <c r="I660">
        <f t="shared" ca="1" si="142"/>
        <v>0.88197832211552885</v>
      </c>
      <c r="J660">
        <f t="shared" ca="1" si="143"/>
        <v>-0.17212087494453421</v>
      </c>
    </row>
    <row r="661" spans="1:10" x14ac:dyDescent="0.2">
      <c r="A661">
        <f t="shared" si="136"/>
        <v>652</v>
      </c>
      <c r="B661">
        <f t="shared" ca="1" si="138"/>
        <v>0.97507842252542554</v>
      </c>
      <c r="C661">
        <f t="shared" ca="1" si="139"/>
        <v>0.17748030114192215</v>
      </c>
      <c r="D661">
        <f t="shared" ca="1" si="139"/>
        <v>0.57427974839409135</v>
      </c>
      <c r="E661">
        <f t="shared" ca="1" si="140"/>
        <v>0.31830988618379069</v>
      </c>
      <c r="F661">
        <f t="shared" si="144"/>
        <v>0.25</v>
      </c>
      <c r="G661">
        <f t="shared" ca="1" si="141"/>
        <v>1</v>
      </c>
      <c r="H661">
        <f ca="1">IF(G661=1,SUM($G$10:G661),"-")</f>
        <v>515</v>
      </c>
      <c r="I661">
        <f t="shared" ca="1" si="142"/>
        <v>0.17748030114192215</v>
      </c>
      <c r="J661">
        <f t="shared" ca="1" si="143"/>
        <v>0.57427974839409135</v>
      </c>
    </row>
    <row r="662" spans="1:10" x14ac:dyDescent="0.2">
      <c r="A662">
        <f t="shared" si="136"/>
        <v>653</v>
      </c>
      <c r="B662">
        <f t="shared" ca="1" si="138"/>
        <v>0.88880313376562359</v>
      </c>
      <c r="C662">
        <f t="shared" ca="1" si="139"/>
        <v>-0.31896228888972611</v>
      </c>
      <c r="D662">
        <f t="shared" ca="1" si="139"/>
        <v>-0.38947486889586469</v>
      </c>
      <c r="E662">
        <f t="shared" ca="1" si="140"/>
        <v>0.31830988618379069</v>
      </c>
      <c r="F662">
        <f t="shared" si="144"/>
        <v>0.25</v>
      </c>
      <c r="G662">
        <f t="shared" ca="1" si="141"/>
        <v>1</v>
      </c>
      <c r="H662">
        <f ca="1">IF(G662=1,SUM($G$10:G662),"-")</f>
        <v>516</v>
      </c>
      <c r="I662">
        <f t="shared" ca="1" si="142"/>
        <v>-0.31896228888972611</v>
      </c>
      <c r="J662">
        <f t="shared" ca="1" si="143"/>
        <v>-0.38947486889586469</v>
      </c>
    </row>
    <row r="663" spans="1:10" x14ac:dyDescent="0.2">
      <c r="A663">
        <f t="shared" si="136"/>
        <v>654</v>
      </c>
      <c r="B663">
        <f t="shared" ca="1" si="138"/>
        <v>0.9580539040987579</v>
      </c>
      <c r="C663">
        <f t="shared" ca="1" si="139"/>
        <v>0.11685787095458533</v>
      </c>
      <c r="D663">
        <f t="shared" ca="1" si="139"/>
        <v>-0.44234465239853016</v>
      </c>
      <c r="E663">
        <f t="shared" ca="1" si="140"/>
        <v>0.31830988618379069</v>
      </c>
      <c r="F663">
        <f t="shared" si="144"/>
        <v>0.25</v>
      </c>
      <c r="G663">
        <f t="shared" ca="1" si="141"/>
        <v>1</v>
      </c>
      <c r="H663">
        <f ca="1">IF(G663=1,SUM($G$10:G663),"-")</f>
        <v>517</v>
      </c>
      <c r="I663">
        <f t="shared" ca="1" si="142"/>
        <v>0.11685787095458533</v>
      </c>
      <c r="J663">
        <f t="shared" ca="1" si="143"/>
        <v>-0.44234465239853016</v>
      </c>
    </row>
    <row r="664" spans="1:10" x14ac:dyDescent="0.2">
      <c r="A664">
        <f t="shared" si="136"/>
        <v>655</v>
      </c>
      <c r="B664">
        <f t="shared" ca="1" si="138"/>
        <v>5.6527231678063838E-2</v>
      </c>
      <c r="C664">
        <f t="shared" ca="1" si="139"/>
        <v>0.4203019509617596</v>
      </c>
      <c r="D664">
        <f t="shared" ca="1" si="139"/>
        <v>-7.6995787423930873E-2</v>
      </c>
      <c r="E664">
        <f t="shared" ca="1" si="140"/>
        <v>0.31830988618379069</v>
      </c>
      <c r="F664">
        <f t="shared" si="144"/>
        <v>0.25</v>
      </c>
      <c r="G664">
        <f t="shared" ca="1" si="141"/>
        <v>1</v>
      </c>
      <c r="H664">
        <f ca="1">IF(G664=1,SUM($G$10:G664),"-")</f>
        <v>518</v>
      </c>
      <c r="I664">
        <f t="shared" ca="1" si="142"/>
        <v>0.4203019509617596</v>
      </c>
      <c r="J664">
        <f t="shared" ca="1" si="143"/>
        <v>-7.6995787423930873E-2</v>
      </c>
    </row>
    <row r="665" spans="1:10" x14ac:dyDescent="0.2">
      <c r="A665">
        <f t="shared" si="136"/>
        <v>656</v>
      </c>
      <c r="B665">
        <f t="shared" ca="1" si="138"/>
        <v>0.58782402016081325</v>
      </c>
      <c r="C665">
        <f t="shared" ca="1" si="139"/>
        <v>0.91316926513092422</v>
      </c>
      <c r="D665">
        <f t="shared" ca="1" si="139"/>
        <v>0.3277314094751731</v>
      </c>
      <c r="E665">
        <f t="shared" ca="1" si="140"/>
        <v>0.31830988618379069</v>
      </c>
      <c r="F665">
        <f t="shared" si="144"/>
        <v>0.25</v>
      </c>
      <c r="G665">
        <f t="shared" ca="1" si="141"/>
        <v>1</v>
      </c>
      <c r="H665">
        <f ca="1">IF(G665=1,SUM($G$10:G665),"-")</f>
        <v>519</v>
      </c>
      <c r="I665">
        <f t="shared" ca="1" si="142"/>
        <v>0.91316926513092422</v>
      </c>
      <c r="J665">
        <f t="shared" ca="1" si="143"/>
        <v>0.3277314094751731</v>
      </c>
    </row>
    <row r="666" spans="1:10" x14ac:dyDescent="0.2">
      <c r="A666">
        <f t="shared" si="136"/>
        <v>657</v>
      </c>
      <c r="B666">
        <f t="shared" ca="1" si="138"/>
        <v>0.69587321162596516</v>
      </c>
      <c r="C666">
        <f t="shared" ca="1" si="139"/>
        <v>-0.91560469498432662</v>
      </c>
      <c r="D666">
        <f t="shared" ca="1" si="139"/>
        <v>0.68128750793854209</v>
      </c>
      <c r="E666">
        <f t="shared" ca="1" si="140"/>
        <v>0</v>
      </c>
      <c r="F666">
        <f t="shared" si="144"/>
        <v>0.25</v>
      </c>
      <c r="G666">
        <f t="shared" ca="1" si="141"/>
        <v>0</v>
      </c>
      <c r="H666" t="str">
        <f ca="1">IF(G666=1,SUM($G$10:G666),"-")</f>
        <v>-</v>
      </c>
      <c r="I666" t="str">
        <f t="shared" ca="1" si="142"/>
        <v>-</v>
      </c>
      <c r="J666" t="str">
        <f t="shared" ca="1" si="143"/>
        <v>-</v>
      </c>
    </row>
    <row r="667" spans="1:10" x14ac:dyDescent="0.2">
      <c r="A667">
        <f t="shared" si="136"/>
        <v>658</v>
      </c>
      <c r="B667">
        <f t="shared" ca="1" si="138"/>
        <v>0.4908597947971397</v>
      </c>
      <c r="C667">
        <f t="shared" ca="1" si="139"/>
        <v>0.73457556595729545</v>
      </c>
      <c r="D667">
        <f t="shared" ca="1" si="139"/>
        <v>0.93136183488342184</v>
      </c>
      <c r="E667">
        <f t="shared" ca="1" si="140"/>
        <v>0</v>
      </c>
      <c r="F667">
        <f t="shared" si="144"/>
        <v>0.25</v>
      </c>
      <c r="G667">
        <f t="shared" ca="1" si="141"/>
        <v>0</v>
      </c>
      <c r="H667" t="str">
        <f ca="1">IF(G667=1,SUM($G$10:G667),"-")</f>
        <v>-</v>
      </c>
      <c r="I667" t="str">
        <f t="shared" ca="1" si="142"/>
        <v>-</v>
      </c>
      <c r="J667" t="str">
        <f t="shared" ca="1" si="143"/>
        <v>-</v>
      </c>
    </row>
    <row r="668" spans="1:10" x14ac:dyDescent="0.2">
      <c r="A668">
        <f t="shared" si="136"/>
        <v>659</v>
      </c>
      <c r="B668">
        <f t="shared" ca="1" si="138"/>
        <v>0.78198616429407164</v>
      </c>
      <c r="C668">
        <f t="shared" ca="1" si="139"/>
        <v>0.89021109735951365</v>
      </c>
      <c r="D668">
        <f t="shared" ca="1" si="139"/>
        <v>0.86503079108249259</v>
      </c>
      <c r="E668">
        <f t="shared" ca="1" si="140"/>
        <v>0</v>
      </c>
      <c r="F668">
        <f t="shared" si="144"/>
        <v>0.25</v>
      </c>
      <c r="G668">
        <f t="shared" ca="1" si="141"/>
        <v>0</v>
      </c>
      <c r="H668" t="str">
        <f ca="1">IF(G668=1,SUM($G$10:G668),"-")</f>
        <v>-</v>
      </c>
      <c r="I668" t="str">
        <f t="shared" ca="1" si="142"/>
        <v>-</v>
      </c>
      <c r="J668" t="str">
        <f t="shared" ca="1" si="143"/>
        <v>-</v>
      </c>
    </row>
    <row r="669" spans="1:10" x14ac:dyDescent="0.2">
      <c r="A669">
        <f t="shared" si="136"/>
        <v>660</v>
      </c>
      <c r="B669">
        <f t="shared" ca="1" si="138"/>
        <v>0.56615920553858978</v>
      </c>
      <c r="C669">
        <f t="shared" ca="1" si="139"/>
        <v>-0.53485064439889229</v>
      </c>
      <c r="D669">
        <f t="shared" ca="1" si="139"/>
        <v>-0.72535534707733884</v>
      </c>
      <c r="E669">
        <f t="shared" ca="1" si="140"/>
        <v>0.31830988618379069</v>
      </c>
      <c r="F669">
        <f t="shared" si="144"/>
        <v>0.25</v>
      </c>
      <c r="G669">
        <f t="shared" ca="1" si="141"/>
        <v>1</v>
      </c>
      <c r="H669">
        <f ca="1">IF(G669=1,SUM($G$10:G669),"-")</f>
        <v>520</v>
      </c>
      <c r="I669">
        <f t="shared" ca="1" si="142"/>
        <v>-0.53485064439889229</v>
      </c>
      <c r="J669">
        <f t="shared" ca="1" si="143"/>
        <v>-0.72535534707733884</v>
      </c>
    </row>
    <row r="670" spans="1:10" x14ac:dyDescent="0.2">
      <c r="A670">
        <f t="shared" si="136"/>
        <v>661</v>
      </c>
      <c r="B670">
        <f t="shared" ca="1" si="138"/>
        <v>0.47253398912974565</v>
      </c>
      <c r="C670">
        <f t="shared" ref="C670:D687" ca="1" si="145">2*RAND()-1</f>
        <v>0.4445831644684457</v>
      </c>
      <c r="D670">
        <f t="shared" ca="1" si="145"/>
        <v>-0.39589247058395127</v>
      </c>
      <c r="E670">
        <f t="shared" ca="1" si="140"/>
        <v>0.31830988618379069</v>
      </c>
      <c r="F670">
        <f t="shared" si="144"/>
        <v>0.25</v>
      </c>
      <c r="G670">
        <f t="shared" ca="1" si="141"/>
        <v>1</v>
      </c>
      <c r="H670">
        <f ca="1">IF(G670=1,SUM($G$10:G670),"-")</f>
        <v>521</v>
      </c>
      <c r="I670">
        <f t="shared" ca="1" si="142"/>
        <v>0.4445831644684457</v>
      </c>
      <c r="J670">
        <f t="shared" ca="1" si="143"/>
        <v>-0.39589247058395127</v>
      </c>
    </row>
    <row r="671" spans="1:10" x14ac:dyDescent="0.2">
      <c r="A671">
        <f t="shared" si="136"/>
        <v>662</v>
      </c>
      <c r="B671">
        <f t="shared" ca="1" si="138"/>
        <v>0.46670676253183252</v>
      </c>
      <c r="C671">
        <f t="shared" ca="1" si="145"/>
        <v>-0.5992436448124896</v>
      </c>
      <c r="D671">
        <f t="shared" ca="1" si="145"/>
        <v>0.72269664334134176</v>
      </c>
      <c r="E671">
        <f t="shared" ca="1" si="140"/>
        <v>0.31830988618379069</v>
      </c>
      <c r="F671">
        <f t="shared" si="144"/>
        <v>0.25</v>
      </c>
      <c r="G671">
        <f t="shared" ca="1" si="141"/>
        <v>1</v>
      </c>
      <c r="H671">
        <f ca="1">IF(G671=1,SUM($G$10:G671),"-")</f>
        <v>522</v>
      </c>
      <c r="I671">
        <f t="shared" ca="1" si="142"/>
        <v>-0.5992436448124896</v>
      </c>
      <c r="J671">
        <f t="shared" ca="1" si="143"/>
        <v>0.72269664334134176</v>
      </c>
    </row>
    <row r="672" spans="1:10" x14ac:dyDescent="0.2">
      <c r="A672">
        <f t="shared" si="136"/>
        <v>663</v>
      </c>
      <c r="B672">
        <f t="shared" ca="1" si="138"/>
        <v>0.26313505634190992</v>
      </c>
      <c r="C672">
        <f t="shared" ca="1" si="145"/>
        <v>-0.59612551687816717</v>
      </c>
      <c r="D672">
        <f t="shared" ca="1" si="145"/>
        <v>-0.7140840586240087</v>
      </c>
      <c r="E672">
        <f t="shared" ca="1" si="140"/>
        <v>0.31830988618379069</v>
      </c>
      <c r="F672">
        <f t="shared" si="144"/>
        <v>0.25</v>
      </c>
      <c r="G672">
        <f t="shared" ca="1" si="141"/>
        <v>1</v>
      </c>
      <c r="H672">
        <f ca="1">IF(G672=1,SUM($G$10:G672),"-")</f>
        <v>523</v>
      </c>
      <c r="I672">
        <f t="shared" ca="1" si="142"/>
        <v>-0.59612551687816717</v>
      </c>
      <c r="J672">
        <f t="shared" ca="1" si="143"/>
        <v>-0.7140840586240087</v>
      </c>
    </row>
    <row r="673" spans="1:10" x14ac:dyDescent="0.2">
      <c r="A673">
        <f t="shared" si="136"/>
        <v>664</v>
      </c>
      <c r="B673">
        <f t="shared" ca="1" si="138"/>
        <v>0.16797761930554023</v>
      </c>
      <c r="C673">
        <f t="shared" ca="1" si="145"/>
        <v>0.34454912248810676</v>
      </c>
      <c r="D673">
        <f t="shared" ca="1" si="145"/>
        <v>-0.14335576375588976</v>
      </c>
      <c r="E673">
        <f t="shared" ca="1" si="140"/>
        <v>0.31830988618379069</v>
      </c>
      <c r="F673">
        <f t="shared" si="144"/>
        <v>0.25</v>
      </c>
      <c r="G673">
        <f t="shared" ca="1" si="141"/>
        <v>1</v>
      </c>
      <c r="H673">
        <f ca="1">IF(G673=1,SUM($G$10:G673),"-")</f>
        <v>524</v>
      </c>
      <c r="I673">
        <f t="shared" ca="1" si="142"/>
        <v>0.34454912248810676</v>
      </c>
      <c r="J673">
        <f t="shared" ca="1" si="143"/>
        <v>-0.14335576375588976</v>
      </c>
    </row>
    <row r="674" spans="1:10" x14ac:dyDescent="0.2">
      <c r="A674">
        <f t="shared" si="136"/>
        <v>665</v>
      </c>
      <c r="B674">
        <f t="shared" ca="1" si="138"/>
        <v>0.10151743083924347</v>
      </c>
      <c r="C674">
        <f t="shared" ca="1" si="145"/>
        <v>0.66783575277737994</v>
      </c>
      <c r="D674">
        <f t="shared" ca="1" si="145"/>
        <v>-0.36798630585399628</v>
      </c>
      <c r="E674">
        <f t="shared" ca="1" si="140"/>
        <v>0.31830988618379069</v>
      </c>
      <c r="F674">
        <f t="shared" si="144"/>
        <v>0.25</v>
      </c>
      <c r="G674">
        <f t="shared" ca="1" si="141"/>
        <v>1</v>
      </c>
      <c r="H674">
        <f ca="1">IF(G674=1,SUM($G$10:G674),"-")</f>
        <v>525</v>
      </c>
      <c r="I674">
        <f t="shared" ca="1" si="142"/>
        <v>0.66783575277737994</v>
      </c>
      <c r="J674">
        <f t="shared" ca="1" si="143"/>
        <v>-0.36798630585399628</v>
      </c>
    </row>
    <row r="675" spans="1:10" x14ac:dyDescent="0.2">
      <c r="A675">
        <f t="shared" si="136"/>
        <v>666</v>
      </c>
      <c r="B675">
        <f t="shared" ca="1" si="138"/>
        <v>0.38733023465830196</v>
      </c>
      <c r="C675">
        <f t="shared" ca="1" si="145"/>
        <v>0.80693614970604433</v>
      </c>
      <c r="D675">
        <f t="shared" ca="1" si="145"/>
        <v>-0.11348631379553886</v>
      </c>
      <c r="E675">
        <f t="shared" ca="1" si="140"/>
        <v>0.31830988618379069</v>
      </c>
      <c r="F675">
        <f t="shared" si="144"/>
        <v>0.25</v>
      </c>
      <c r="G675">
        <f t="shared" ca="1" si="141"/>
        <v>1</v>
      </c>
      <c r="H675">
        <f ca="1">IF(G675=1,SUM($G$10:G675),"-")</f>
        <v>526</v>
      </c>
      <c r="I675">
        <f t="shared" ca="1" si="142"/>
        <v>0.80693614970604433</v>
      </c>
      <c r="J675">
        <f t="shared" ca="1" si="143"/>
        <v>-0.11348631379553886</v>
      </c>
    </row>
    <row r="676" spans="1:10" x14ac:dyDescent="0.2">
      <c r="A676">
        <f t="shared" si="136"/>
        <v>667</v>
      </c>
      <c r="B676">
        <f t="shared" ca="1" si="138"/>
        <v>0.36594786521543787</v>
      </c>
      <c r="C676">
        <f t="shared" ca="1" si="145"/>
        <v>-0.4190719682865387</v>
      </c>
      <c r="D676">
        <f t="shared" ca="1" si="145"/>
        <v>-0.15227726454901336</v>
      </c>
      <c r="E676">
        <f t="shared" ca="1" si="140"/>
        <v>0.31830988618379069</v>
      </c>
      <c r="F676">
        <f t="shared" si="144"/>
        <v>0.25</v>
      </c>
      <c r="G676">
        <f t="shared" ca="1" si="141"/>
        <v>1</v>
      </c>
      <c r="H676">
        <f ca="1">IF(G676=1,SUM($G$10:G676),"-")</f>
        <v>527</v>
      </c>
      <c r="I676">
        <f t="shared" ca="1" si="142"/>
        <v>-0.4190719682865387</v>
      </c>
      <c r="J676">
        <f t="shared" ca="1" si="143"/>
        <v>-0.15227726454901336</v>
      </c>
    </row>
    <row r="677" spans="1:10" x14ac:dyDescent="0.2">
      <c r="A677">
        <f t="shared" si="136"/>
        <v>668</v>
      </c>
      <c r="B677">
        <f t="shared" ca="1" si="138"/>
        <v>0.75388722910417449</v>
      </c>
      <c r="C677">
        <f t="shared" ca="1" si="145"/>
        <v>0.10648393713560478</v>
      </c>
      <c r="D677">
        <f t="shared" ca="1" si="145"/>
        <v>0.14200681028232909</v>
      </c>
      <c r="E677">
        <f t="shared" ca="1" si="140"/>
        <v>0.31830988618379069</v>
      </c>
      <c r="F677">
        <f t="shared" si="144"/>
        <v>0.25</v>
      </c>
      <c r="G677">
        <f t="shared" ca="1" si="141"/>
        <v>1</v>
      </c>
      <c r="H677">
        <f ca="1">IF(G677=1,SUM($G$10:G677),"-")</f>
        <v>528</v>
      </c>
      <c r="I677">
        <f t="shared" ca="1" si="142"/>
        <v>0.10648393713560478</v>
      </c>
      <c r="J677">
        <f t="shared" ca="1" si="143"/>
        <v>0.14200681028232909</v>
      </c>
    </row>
    <row r="678" spans="1:10" x14ac:dyDescent="0.2">
      <c r="A678">
        <f t="shared" si="136"/>
        <v>669</v>
      </c>
      <c r="B678">
        <f t="shared" ca="1" si="138"/>
        <v>0.55033291477603574</v>
      </c>
      <c r="C678">
        <f t="shared" ca="1" si="145"/>
        <v>0.20899407625820499</v>
      </c>
      <c r="D678">
        <f t="shared" ca="1" si="145"/>
        <v>-0.15220486538566624</v>
      </c>
      <c r="E678">
        <f t="shared" ca="1" si="140"/>
        <v>0.31830988618379069</v>
      </c>
      <c r="F678">
        <f t="shared" si="144"/>
        <v>0.25</v>
      </c>
      <c r="G678">
        <f t="shared" ca="1" si="141"/>
        <v>1</v>
      </c>
      <c r="H678">
        <f ca="1">IF(G678=1,SUM($G$10:G678),"-")</f>
        <v>529</v>
      </c>
      <c r="I678">
        <f t="shared" ca="1" si="142"/>
        <v>0.20899407625820499</v>
      </c>
      <c r="J678">
        <f t="shared" ca="1" si="143"/>
        <v>-0.15220486538566624</v>
      </c>
    </row>
    <row r="679" spans="1:10" x14ac:dyDescent="0.2">
      <c r="A679">
        <f t="shared" si="136"/>
        <v>670</v>
      </c>
      <c r="B679">
        <f t="shared" ca="1" si="138"/>
        <v>0.50853757540886901</v>
      </c>
      <c r="C679">
        <f t="shared" ca="1" si="145"/>
        <v>-0.91659849195025056</v>
      </c>
      <c r="D679">
        <f t="shared" ca="1" si="145"/>
        <v>9.677452307487644E-2</v>
      </c>
      <c r="E679">
        <f t="shared" ca="1" si="140"/>
        <v>0.31830988618379069</v>
      </c>
      <c r="F679">
        <f t="shared" si="144"/>
        <v>0.25</v>
      </c>
      <c r="G679">
        <f t="shared" ca="1" si="141"/>
        <v>1</v>
      </c>
      <c r="H679">
        <f ca="1">IF(G679=1,SUM($G$10:G679),"-")</f>
        <v>530</v>
      </c>
      <c r="I679">
        <f t="shared" ca="1" si="142"/>
        <v>-0.91659849195025056</v>
      </c>
      <c r="J679">
        <f t="shared" ca="1" si="143"/>
        <v>9.677452307487644E-2</v>
      </c>
    </row>
    <row r="680" spans="1:10" x14ac:dyDescent="0.2">
      <c r="A680">
        <f t="shared" si="136"/>
        <v>671</v>
      </c>
      <c r="B680">
        <f t="shared" ca="1" si="138"/>
        <v>0.47817053388651232</v>
      </c>
      <c r="C680">
        <f t="shared" ca="1" si="145"/>
        <v>0.34878685630180528</v>
      </c>
      <c r="D680">
        <f t="shared" ca="1" si="145"/>
        <v>0.40143563178725317</v>
      </c>
      <c r="E680">
        <f t="shared" ca="1" si="140"/>
        <v>0.31830988618379069</v>
      </c>
      <c r="F680">
        <f t="shared" si="144"/>
        <v>0.25</v>
      </c>
      <c r="G680">
        <f t="shared" ca="1" si="141"/>
        <v>1</v>
      </c>
      <c r="H680">
        <f ca="1">IF(G680=1,SUM($G$10:G680),"-")</f>
        <v>531</v>
      </c>
      <c r="I680">
        <f t="shared" ca="1" si="142"/>
        <v>0.34878685630180528</v>
      </c>
      <c r="J680">
        <f t="shared" ca="1" si="143"/>
        <v>0.40143563178725317</v>
      </c>
    </row>
    <row r="681" spans="1:10" x14ac:dyDescent="0.2">
      <c r="A681">
        <f t="shared" si="136"/>
        <v>672</v>
      </c>
      <c r="B681">
        <f t="shared" ca="1" si="138"/>
        <v>9.1345321368077936E-2</v>
      </c>
      <c r="C681">
        <f t="shared" ca="1" si="145"/>
        <v>-0.9895742658109854</v>
      </c>
      <c r="D681">
        <f t="shared" ca="1" si="145"/>
        <v>-0.72036227155947463</v>
      </c>
      <c r="E681">
        <f t="shared" ca="1" si="140"/>
        <v>0</v>
      </c>
      <c r="F681">
        <f t="shared" si="144"/>
        <v>0.25</v>
      </c>
      <c r="G681">
        <f t="shared" ca="1" si="141"/>
        <v>0</v>
      </c>
      <c r="H681" t="str">
        <f ca="1">IF(G681=1,SUM($G$10:G681),"-")</f>
        <v>-</v>
      </c>
      <c r="I681" t="str">
        <f t="shared" ca="1" si="142"/>
        <v>-</v>
      </c>
      <c r="J681" t="str">
        <f t="shared" ca="1" si="143"/>
        <v>-</v>
      </c>
    </row>
    <row r="682" spans="1:10" x14ac:dyDescent="0.2">
      <c r="A682">
        <f t="shared" si="136"/>
        <v>673</v>
      </c>
      <c r="B682">
        <f t="shared" ca="1" si="138"/>
        <v>0.13396804737841983</v>
      </c>
      <c r="C682">
        <f t="shared" ca="1" si="145"/>
        <v>-0.42306554203558266</v>
      </c>
      <c r="D682">
        <f t="shared" ca="1" si="145"/>
        <v>0.99318751611728207</v>
      </c>
      <c r="E682">
        <f t="shared" ca="1" si="140"/>
        <v>0</v>
      </c>
      <c r="F682">
        <f t="shared" si="144"/>
        <v>0.25</v>
      </c>
      <c r="G682">
        <f t="shared" ca="1" si="141"/>
        <v>0</v>
      </c>
      <c r="H682" t="str">
        <f ca="1">IF(G682=1,SUM($G$10:G682),"-")</f>
        <v>-</v>
      </c>
      <c r="I682" t="str">
        <f t="shared" ca="1" si="142"/>
        <v>-</v>
      </c>
      <c r="J682" t="str">
        <f t="shared" ca="1" si="143"/>
        <v>-</v>
      </c>
    </row>
    <row r="683" spans="1:10" x14ac:dyDescent="0.2">
      <c r="A683">
        <f t="shared" si="136"/>
        <v>674</v>
      </c>
      <c r="B683">
        <f t="shared" ca="1" si="138"/>
        <v>3.321100314801817E-2</v>
      </c>
      <c r="C683">
        <f t="shared" ca="1" si="145"/>
        <v>0.67103521225876839</v>
      </c>
      <c r="D683">
        <f t="shared" ca="1" si="145"/>
        <v>0.752513022953611</v>
      </c>
      <c r="E683">
        <f t="shared" ca="1" si="140"/>
        <v>0</v>
      </c>
      <c r="F683">
        <f t="shared" si="144"/>
        <v>0.25</v>
      </c>
      <c r="G683">
        <f t="shared" ca="1" si="141"/>
        <v>0</v>
      </c>
      <c r="H683" t="str">
        <f ca="1">IF(G683=1,SUM($G$10:G683),"-")</f>
        <v>-</v>
      </c>
      <c r="I683" t="str">
        <f t="shared" ca="1" si="142"/>
        <v>-</v>
      </c>
      <c r="J683" t="str">
        <f t="shared" ca="1" si="143"/>
        <v>-</v>
      </c>
    </row>
    <row r="684" spans="1:10" x14ac:dyDescent="0.2">
      <c r="A684">
        <f t="shared" si="136"/>
        <v>675</v>
      </c>
      <c r="B684">
        <f t="shared" ca="1" si="138"/>
        <v>0.59988939722843226</v>
      </c>
      <c r="C684">
        <f t="shared" ca="1" si="145"/>
        <v>0.35941748046458111</v>
      </c>
      <c r="D684">
        <f t="shared" ca="1" si="145"/>
        <v>0.59377057590911386</v>
      </c>
      <c r="E684">
        <f t="shared" ca="1" si="140"/>
        <v>0.31830988618379069</v>
      </c>
      <c r="F684">
        <f t="shared" si="144"/>
        <v>0.25</v>
      </c>
      <c r="G684">
        <f t="shared" ca="1" si="141"/>
        <v>1</v>
      </c>
      <c r="H684">
        <f ca="1">IF(G684=1,SUM($G$10:G684),"-")</f>
        <v>532</v>
      </c>
      <c r="I684">
        <f t="shared" ca="1" si="142"/>
        <v>0.35941748046458111</v>
      </c>
      <c r="J684">
        <f t="shared" ca="1" si="143"/>
        <v>0.59377057590911386</v>
      </c>
    </row>
    <row r="685" spans="1:10" x14ac:dyDescent="0.2">
      <c r="A685">
        <f t="shared" si="136"/>
        <v>676</v>
      </c>
      <c r="B685">
        <f t="shared" ca="1" si="138"/>
        <v>9.8561478345974951E-2</v>
      </c>
      <c r="C685">
        <f t="shared" ca="1" si="145"/>
        <v>-0.24964843507575307</v>
      </c>
      <c r="D685">
        <f t="shared" ca="1" si="145"/>
        <v>-0.16011308101683186</v>
      </c>
      <c r="E685">
        <f t="shared" ca="1" si="140"/>
        <v>0.31830988618379069</v>
      </c>
      <c r="F685">
        <f t="shared" si="144"/>
        <v>0.25</v>
      </c>
      <c r="G685">
        <f t="shared" ca="1" si="141"/>
        <v>1</v>
      </c>
      <c r="H685">
        <f ca="1">IF(G685=1,SUM($G$10:G685),"-")</f>
        <v>533</v>
      </c>
      <c r="I685">
        <f t="shared" ca="1" si="142"/>
        <v>-0.24964843507575307</v>
      </c>
      <c r="J685">
        <f t="shared" ca="1" si="143"/>
        <v>-0.16011308101683186</v>
      </c>
    </row>
    <row r="686" spans="1:10" x14ac:dyDescent="0.2">
      <c r="A686">
        <f t="shared" si="136"/>
        <v>677</v>
      </c>
      <c r="B686">
        <f t="shared" ca="1" si="138"/>
        <v>0.49800850785596185</v>
      </c>
      <c r="C686">
        <f t="shared" ca="1" si="145"/>
        <v>4.249682863112425E-2</v>
      </c>
      <c r="D686">
        <f t="shared" ca="1" si="145"/>
        <v>0.36429347867035089</v>
      </c>
      <c r="E686">
        <f t="shared" ca="1" si="140"/>
        <v>0.31830988618379069</v>
      </c>
      <c r="F686">
        <f t="shared" si="144"/>
        <v>0.25</v>
      </c>
      <c r="G686">
        <f t="shared" ca="1" si="141"/>
        <v>1</v>
      </c>
      <c r="H686">
        <f ca="1">IF(G686=1,SUM($G$10:G686),"-")</f>
        <v>534</v>
      </c>
      <c r="I686">
        <f t="shared" ca="1" si="142"/>
        <v>4.249682863112425E-2</v>
      </c>
      <c r="J686">
        <f t="shared" ca="1" si="143"/>
        <v>0.36429347867035089</v>
      </c>
    </row>
    <row r="687" spans="1:10" x14ac:dyDescent="0.2">
      <c r="A687">
        <f t="shared" ref="A687" si="146">1+A686</f>
        <v>678</v>
      </c>
      <c r="B687">
        <f t="shared" ca="1" si="138"/>
        <v>0.6331804015267013</v>
      </c>
      <c r="C687">
        <f t="shared" ca="1" si="145"/>
        <v>0.31372732884311727</v>
      </c>
      <c r="D687">
        <f t="shared" ca="1" si="145"/>
        <v>0.50342210334435178</v>
      </c>
      <c r="E687">
        <f t="shared" ca="1" si="140"/>
        <v>0.31830988618379069</v>
      </c>
      <c r="F687">
        <f t="shared" si="144"/>
        <v>0.25</v>
      </c>
      <c r="G687">
        <f t="shared" ca="1" si="141"/>
        <v>1</v>
      </c>
      <c r="H687">
        <f ca="1">IF(G687=1,SUM($G$10:G687),"-")</f>
        <v>535</v>
      </c>
      <c r="I687">
        <f t="shared" ca="1" si="142"/>
        <v>0.31372732884311727</v>
      </c>
      <c r="J687">
        <f t="shared" ca="1" si="143"/>
        <v>0.50342210334435178</v>
      </c>
    </row>
  </sheetData>
  <sortState xmlns:xlrd2="http://schemas.microsoft.com/office/spreadsheetml/2017/richdata2" ref="M10:M349">
    <sortCondition ref="M10"/>
  </sortState>
  <pageMargins left="0.7" right="0.7" top="0.75" bottom="0.75" header="0.3" footer="0.3"/>
  <pageSetup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503"/>
  <sheetViews>
    <sheetView topLeftCell="C4" zoomScale="90" zoomScaleNormal="90" workbookViewId="0">
      <selection activeCell="AG71" sqref="AG71"/>
    </sheetView>
  </sheetViews>
  <sheetFormatPr baseColWidth="10" defaultColWidth="11.5" defaultRowHeight="15" x14ac:dyDescent="0.2"/>
  <cols>
    <col min="1" max="3" width="12.6640625" customWidth="1"/>
    <col min="4" max="4" width="14.33203125" customWidth="1"/>
    <col min="8" max="8" width="17.1640625" customWidth="1"/>
  </cols>
  <sheetData>
    <row r="1" spans="1:11" x14ac:dyDescent="0.2">
      <c r="H1" t="s">
        <v>17</v>
      </c>
    </row>
    <row r="2" spans="1:11" x14ac:dyDescent="0.2">
      <c r="H2" t="s">
        <v>18</v>
      </c>
      <c r="I2">
        <f ca="1">MIN(echantillon)</f>
        <v>3.8927475782544491E-2</v>
      </c>
    </row>
    <row r="3" spans="1:11" ht="16" x14ac:dyDescent="0.2">
      <c r="A3" s="3" t="s">
        <v>0</v>
      </c>
      <c r="B3" s="3" t="s">
        <v>9</v>
      </c>
      <c r="C3" s="3" t="s">
        <v>10</v>
      </c>
      <c r="D3" s="3" t="s">
        <v>16</v>
      </c>
      <c r="H3" t="s">
        <v>19</v>
      </c>
      <c r="I3">
        <f ca="1">MAX(echantillon)</f>
        <v>0.99989223260769822</v>
      </c>
    </row>
    <row r="4" spans="1:11" x14ac:dyDescent="0.2">
      <c r="A4">
        <f>'uniforme cercle (rejet)'!L10</f>
        <v>1</v>
      </c>
      <c r="B4">
        <f ca="1">'uniforme cercle (rejet)'!M10</f>
        <v>-0.37065883238826403</v>
      </c>
      <c r="C4">
        <f ca="1">'uniforme cercle (rejet)'!N10</f>
        <v>-0.37285528888144159</v>
      </c>
      <c r="D4">
        <f ca="1">'uniforme cercle (rejet)'!O10</f>
        <v>0.52574617114563416</v>
      </c>
      <c r="H4" t="s">
        <v>20</v>
      </c>
      <c r="I4">
        <v>11</v>
      </c>
    </row>
    <row r="5" spans="1:11" x14ac:dyDescent="0.2">
      <c r="A5">
        <f>'uniforme cercle (rejet)'!L11</f>
        <v>2</v>
      </c>
      <c r="B5">
        <f ca="1">'uniforme cercle (rejet)'!M11</f>
        <v>-9.0019855182084552E-2</v>
      </c>
      <c r="C5">
        <f ca="1">'uniforme cercle (rejet)'!N11</f>
        <v>-0.90672690360907149</v>
      </c>
      <c r="D5">
        <f ca="1">'uniforme cercle (rejet)'!O11</f>
        <v>0.91118453238380748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">
      <c r="A6">
        <f>'uniforme cercle (rejet)'!L12</f>
        <v>3</v>
      </c>
      <c r="B6">
        <f ca="1">'uniforme cercle (rejet)'!M12</f>
        <v>-0.24899950226759415</v>
      </c>
      <c r="C6">
        <f ca="1">'uniforme cercle (rejet)'!N12</f>
        <v>0.66272336367548323</v>
      </c>
      <c r="D6">
        <f ca="1">'uniforme cercle (rejet)'!O12</f>
        <v>0.70795692587251124</v>
      </c>
      <c r="H6">
        <v>0</v>
      </c>
      <c r="I6">
        <f t="shared" ref="I6:I16" ca="1" si="0">I$2+H6/(I$4-1)*(I$3-I$2)</f>
        <v>3.8927475782544491E-2</v>
      </c>
      <c r="J6">
        <f t="shared" ref="J6:J16" ca="1" si="1">COUNTIF(echantillon,"&lt;="&amp;I6)/COUNT(echantillon)</f>
        <v>2E-3</v>
      </c>
      <c r="K6">
        <f ca="1">J6-0</f>
        <v>2E-3</v>
      </c>
    </row>
    <row r="7" spans="1:11" x14ac:dyDescent="0.2">
      <c r="A7">
        <f>'uniforme cercle (rejet)'!L13</f>
        <v>4</v>
      </c>
      <c r="B7">
        <f ca="1">'uniforme cercle (rejet)'!M13</f>
        <v>6.8244952980820894E-2</v>
      </c>
      <c r="C7">
        <f ca="1">'uniforme cercle (rejet)'!N13</f>
        <v>0.15403684950946261</v>
      </c>
      <c r="D7">
        <f ca="1">'uniforme cercle (rejet)'!O13</f>
        <v>0.16847766799832933</v>
      </c>
      <c r="H7">
        <f>H6+1</f>
        <v>1</v>
      </c>
      <c r="I7">
        <f t="shared" ca="1" si="0"/>
        <v>0.13502395146505985</v>
      </c>
      <c r="J7">
        <f t="shared" ca="1" si="1"/>
        <v>2.5999999999999999E-2</v>
      </c>
      <c r="K7">
        <f ca="1">J7-J6</f>
        <v>2.4E-2</v>
      </c>
    </row>
    <row r="8" spans="1:11" x14ac:dyDescent="0.2">
      <c r="A8">
        <f>'uniforme cercle (rejet)'!L14</f>
        <v>5</v>
      </c>
      <c r="B8">
        <f ca="1">'uniforme cercle (rejet)'!M14</f>
        <v>0.22665299296155994</v>
      </c>
      <c r="C8">
        <f ca="1">'uniforme cercle (rejet)'!N14</f>
        <v>0.44924293222446954</v>
      </c>
      <c r="D8">
        <f ca="1">'uniforme cercle (rejet)'!O14</f>
        <v>0.50318067468064809</v>
      </c>
      <c r="H8">
        <f t="shared" ref="H8:H16" si="2">H7+1</f>
        <v>2</v>
      </c>
      <c r="I8">
        <f t="shared" ca="1" si="0"/>
        <v>0.23112042714757525</v>
      </c>
      <c r="J8">
        <f t="shared" ca="1" si="1"/>
        <v>5.8000000000000003E-2</v>
      </c>
      <c r="K8">
        <f t="shared" ref="K8:K16" ca="1" si="3">J8-J7</f>
        <v>3.2000000000000001E-2</v>
      </c>
    </row>
    <row r="9" spans="1:11" x14ac:dyDescent="0.2">
      <c r="A9">
        <f>'uniforme cercle (rejet)'!L15</f>
        <v>6</v>
      </c>
      <c r="B9">
        <f ca="1">'uniforme cercle (rejet)'!M15</f>
        <v>0.28192509407307553</v>
      </c>
      <c r="C9">
        <f ca="1">'uniforme cercle (rejet)'!N15</f>
        <v>-0.74365115020988237</v>
      </c>
      <c r="D9">
        <f ca="1">'uniforme cercle (rejet)'!O15</f>
        <v>0.79529792648830255</v>
      </c>
      <c r="H9">
        <f t="shared" si="2"/>
        <v>3</v>
      </c>
      <c r="I9">
        <f t="shared" ca="1" si="0"/>
        <v>0.32721690283009064</v>
      </c>
      <c r="J9">
        <f t="shared" ca="1" si="1"/>
        <v>0.104</v>
      </c>
      <c r="K9">
        <f t="shared" ca="1" si="3"/>
        <v>4.5999999999999992E-2</v>
      </c>
    </row>
    <row r="10" spans="1:11" x14ac:dyDescent="0.2">
      <c r="A10">
        <f>'uniforme cercle (rejet)'!L16</f>
        <v>7</v>
      </c>
      <c r="B10">
        <f ca="1">'uniforme cercle (rejet)'!M16</f>
        <v>0.32873345678994959</v>
      </c>
      <c r="C10">
        <f ca="1">'uniforme cercle (rejet)'!N16</f>
        <v>0.69839744684280869</v>
      </c>
      <c r="D10">
        <f ca="1">'uniforme cercle (rejet)'!O16</f>
        <v>0.77189680616622802</v>
      </c>
      <c r="H10">
        <f t="shared" si="2"/>
        <v>4</v>
      </c>
      <c r="I10">
        <f t="shared" ca="1" si="0"/>
        <v>0.42331337851260598</v>
      </c>
      <c r="J10">
        <f t="shared" ca="1" si="1"/>
        <v>0.16600000000000001</v>
      </c>
      <c r="K10">
        <f t="shared" ca="1" si="3"/>
        <v>6.2000000000000013E-2</v>
      </c>
    </row>
    <row r="11" spans="1:11" x14ac:dyDescent="0.2">
      <c r="A11">
        <f>'uniforme cercle (rejet)'!L17</f>
        <v>8</v>
      </c>
      <c r="B11">
        <f ca="1">'uniforme cercle (rejet)'!M17</f>
        <v>-0.85827678492662596</v>
      </c>
      <c r="C11">
        <f ca="1">'uniforme cercle (rejet)'!N17</f>
        <v>8.5271867003751112E-2</v>
      </c>
      <c r="D11">
        <f ca="1">'uniforme cercle (rejet)'!O17</f>
        <v>0.86250236570475047</v>
      </c>
      <c r="H11">
        <f t="shared" si="2"/>
        <v>5</v>
      </c>
      <c r="I11">
        <f t="shared" ca="1" si="0"/>
        <v>0.51940985419512131</v>
      </c>
      <c r="J11">
        <f t="shared" ca="1" si="1"/>
        <v>0.28199999999999997</v>
      </c>
      <c r="K11">
        <f t="shared" ca="1" si="3"/>
        <v>0.11599999999999996</v>
      </c>
    </row>
    <row r="12" spans="1:11" x14ac:dyDescent="0.2">
      <c r="A12">
        <f>'uniforme cercle (rejet)'!L18</f>
        <v>9</v>
      </c>
      <c r="B12">
        <f ca="1">'uniforme cercle (rejet)'!M18</f>
        <v>0.18970217759962793</v>
      </c>
      <c r="C12">
        <f ca="1">'uniforme cercle (rejet)'!N18</f>
        <v>-0.64992696167198627</v>
      </c>
      <c r="D12">
        <f ca="1">'uniforme cercle (rejet)'!O18</f>
        <v>0.67704650630087471</v>
      </c>
      <c r="H12">
        <f t="shared" si="2"/>
        <v>6</v>
      </c>
      <c r="I12">
        <f t="shared" ca="1" si="0"/>
        <v>0.61550632987763676</v>
      </c>
      <c r="J12">
        <f t="shared" ca="1" si="1"/>
        <v>0.39</v>
      </c>
      <c r="K12">
        <f t="shared" ca="1" si="3"/>
        <v>0.10800000000000004</v>
      </c>
    </row>
    <row r="13" spans="1:11" x14ac:dyDescent="0.2">
      <c r="A13">
        <f>'uniforme cercle (rejet)'!L19</f>
        <v>10</v>
      </c>
      <c r="B13">
        <f ca="1">'uniforme cercle (rejet)'!M19</f>
        <v>0.36918322505175727</v>
      </c>
      <c r="C13">
        <f ca="1">'uniforme cercle (rejet)'!N19</f>
        <v>0.39114529116746644</v>
      </c>
      <c r="D13">
        <f ca="1">'uniforme cercle (rejet)'!O19</f>
        <v>0.53785768792692601</v>
      </c>
      <c r="H13">
        <f t="shared" si="2"/>
        <v>7</v>
      </c>
      <c r="I13">
        <f t="shared" ca="1" si="0"/>
        <v>0.7116028055601521</v>
      </c>
      <c r="J13">
        <f t="shared" ca="1" si="1"/>
        <v>0.52600000000000002</v>
      </c>
      <c r="K13">
        <f t="shared" ca="1" si="3"/>
        <v>0.13600000000000001</v>
      </c>
    </row>
    <row r="14" spans="1:11" x14ac:dyDescent="0.2">
      <c r="A14">
        <f>'uniforme cercle (rejet)'!L20</f>
        <v>11</v>
      </c>
      <c r="B14">
        <f ca="1">'uniforme cercle (rejet)'!M20</f>
        <v>-0.24941141570130454</v>
      </c>
      <c r="C14">
        <f ca="1">'uniforme cercle (rejet)'!N20</f>
        <v>9.347978722496908E-2</v>
      </c>
      <c r="D14">
        <f ca="1">'uniforme cercle (rejet)'!O20</f>
        <v>0.26635413438081723</v>
      </c>
      <c r="H14">
        <f t="shared" si="2"/>
        <v>8</v>
      </c>
      <c r="I14">
        <f t="shared" ca="1" si="0"/>
        <v>0.80769928124266754</v>
      </c>
      <c r="J14">
        <f t="shared" ca="1" si="1"/>
        <v>0.66800000000000004</v>
      </c>
      <c r="K14">
        <f t="shared" ca="1" si="3"/>
        <v>0.14200000000000002</v>
      </c>
    </row>
    <row r="15" spans="1:11" x14ac:dyDescent="0.2">
      <c r="A15">
        <f>'uniforme cercle (rejet)'!L21</f>
        <v>12</v>
      </c>
      <c r="B15">
        <f ca="1">'uniforme cercle (rejet)'!M21</f>
        <v>-0.82542411696763041</v>
      </c>
      <c r="C15">
        <f ca="1">'uniforme cercle (rejet)'!N21</f>
        <v>-0.19855570580337001</v>
      </c>
      <c r="D15">
        <f ca="1">'uniforme cercle (rejet)'!O21</f>
        <v>0.84896957612088009</v>
      </c>
      <c r="H15">
        <f t="shared" si="2"/>
        <v>9</v>
      </c>
      <c r="I15">
        <f t="shared" ca="1" si="0"/>
        <v>0.90379575692518288</v>
      </c>
      <c r="J15">
        <f t="shared" ca="1" si="1"/>
        <v>0.83799999999999997</v>
      </c>
      <c r="K15">
        <f t="shared" ca="1" si="3"/>
        <v>0.16999999999999993</v>
      </c>
    </row>
    <row r="16" spans="1:11" x14ac:dyDescent="0.2">
      <c r="A16">
        <f>'uniforme cercle (rejet)'!L22</f>
        <v>13</v>
      </c>
      <c r="B16">
        <f ca="1">'uniforme cercle (rejet)'!M22</f>
        <v>-0.43889576684524712</v>
      </c>
      <c r="C16">
        <f ca="1">'uniforme cercle (rejet)'!N22</f>
        <v>-0.78678866053038776</v>
      </c>
      <c r="D16">
        <f ca="1">'uniforme cercle (rejet)'!O22</f>
        <v>0.9009250193517101</v>
      </c>
      <c r="H16">
        <f t="shared" si="2"/>
        <v>10</v>
      </c>
      <c r="I16">
        <f t="shared" ca="1" si="0"/>
        <v>0.99989223260769822</v>
      </c>
      <c r="J16">
        <f t="shared" ca="1" si="1"/>
        <v>1</v>
      </c>
      <c r="K16">
        <f t="shared" ca="1" si="3"/>
        <v>0.16200000000000003</v>
      </c>
    </row>
    <row r="17" spans="1:7" x14ac:dyDescent="0.2">
      <c r="A17">
        <f>'uniforme cercle (rejet)'!L23</f>
        <v>14</v>
      </c>
      <c r="B17">
        <f ca="1">'uniforme cercle (rejet)'!M23</f>
        <v>-0.20649894929057133</v>
      </c>
      <c r="C17">
        <f ca="1">'uniforme cercle (rejet)'!N23</f>
        <v>-0.52500988824423289</v>
      </c>
      <c r="D17">
        <f ca="1">'uniforme cercle (rejet)'!O23</f>
        <v>0.56416061437531406</v>
      </c>
    </row>
    <row r="18" spans="1:7" x14ac:dyDescent="0.2">
      <c r="A18">
        <f>'uniforme cercle (rejet)'!L24</f>
        <v>15</v>
      </c>
      <c r="B18">
        <f ca="1">'uniforme cercle (rejet)'!M24</f>
        <v>0.60121368102237338</v>
      </c>
      <c r="C18">
        <f ca="1">'uniforme cercle (rejet)'!N24</f>
        <v>-0.22377018381812741</v>
      </c>
      <c r="D18">
        <f ca="1">'uniforme cercle (rejet)'!O24</f>
        <v>0.64150680854880304</v>
      </c>
    </row>
    <row r="19" spans="1:7" x14ac:dyDescent="0.2">
      <c r="A19">
        <f>'uniforme cercle (rejet)'!L25</f>
        <v>16</v>
      </c>
      <c r="B19">
        <f ca="1">'uniforme cercle (rejet)'!M25</f>
        <v>-0.52779177211756245</v>
      </c>
      <c r="C19">
        <f ca="1">'uniforme cercle (rejet)'!N25</f>
        <v>-0.74703793214383318</v>
      </c>
      <c r="D19">
        <f ca="1">'uniforme cercle (rejet)'!O25</f>
        <v>0.91467471090914676</v>
      </c>
    </row>
    <row r="20" spans="1:7" x14ac:dyDescent="0.2">
      <c r="A20">
        <f>'uniforme cercle (rejet)'!L26</f>
        <v>17</v>
      </c>
      <c r="B20">
        <f ca="1">'uniforme cercle (rejet)'!M26</f>
        <v>-0.5309432195415098</v>
      </c>
      <c r="C20">
        <f ca="1">'uniforme cercle (rejet)'!N26</f>
        <v>0.32107299952414237</v>
      </c>
      <c r="D20">
        <f ca="1">'uniforme cercle (rejet)'!O26</f>
        <v>0.62047447441497039</v>
      </c>
      <c r="G20" s="4"/>
    </row>
    <row r="21" spans="1:7" x14ac:dyDescent="0.2">
      <c r="A21">
        <f>'uniforme cercle (rejet)'!L27</f>
        <v>18</v>
      </c>
      <c r="B21">
        <f ca="1">'uniforme cercle (rejet)'!M27</f>
        <v>0.2630723100277963</v>
      </c>
      <c r="C21">
        <f ca="1">'uniforme cercle (rejet)'!N27</f>
        <v>-0.46918678193415331</v>
      </c>
      <c r="D21">
        <f ca="1">'uniforme cercle (rejet)'!O27</f>
        <v>0.53790638278894565</v>
      </c>
    </row>
    <row r="22" spans="1:7" x14ac:dyDescent="0.2">
      <c r="A22">
        <f>'uniforme cercle (rejet)'!L28</f>
        <v>19</v>
      </c>
      <c r="B22">
        <f ca="1">'uniforme cercle (rejet)'!M28</f>
        <v>-0.24040913886294946</v>
      </c>
      <c r="C22">
        <f ca="1">'uniforme cercle (rejet)'!N28</f>
        <v>0.5220530807235142</v>
      </c>
      <c r="D22">
        <f ca="1">'uniforme cercle (rejet)'!O28</f>
        <v>0.57474861734652039</v>
      </c>
    </row>
    <row r="23" spans="1:7" x14ac:dyDescent="0.2">
      <c r="A23">
        <f>'uniforme cercle (rejet)'!L29</f>
        <v>20</v>
      </c>
      <c r="B23">
        <f ca="1">'uniforme cercle (rejet)'!M29</f>
        <v>-0.20897830122665995</v>
      </c>
      <c r="C23">
        <f ca="1">'uniforme cercle (rejet)'!N29</f>
        <v>-0.82735009252181468</v>
      </c>
      <c r="D23">
        <f ca="1">'uniforme cercle (rejet)'!O29</f>
        <v>0.85333469751290203</v>
      </c>
    </row>
    <row r="24" spans="1:7" x14ac:dyDescent="0.2">
      <c r="A24">
        <f>'uniforme cercle (rejet)'!L30</f>
        <v>21</v>
      </c>
      <c r="B24">
        <f ca="1">'uniforme cercle (rejet)'!M30</f>
        <v>-0.67354792558674292</v>
      </c>
      <c r="C24">
        <f ca="1">'uniforme cercle (rejet)'!N30</f>
        <v>-9.10833282546335E-2</v>
      </c>
      <c r="D24">
        <f ca="1">'uniforme cercle (rejet)'!O30</f>
        <v>0.67967858635398093</v>
      </c>
    </row>
    <row r="25" spans="1:7" x14ac:dyDescent="0.2">
      <c r="A25">
        <f>'uniforme cercle (rejet)'!L31</f>
        <v>22</v>
      </c>
      <c r="B25">
        <f ca="1">'uniforme cercle (rejet)'!M31</f>
        <v>0.57326339455173692</v>
      </c>
      <c r="C25">
        <f ca="1">'uniforme cercle (rejet)'!N31</f>
        <v>-0.79977540490648136</v>
      </c>
      <c r="D25">
        <f ca="1">'uniforme cercle (rejet)'!O31</f>
        <v>0.98400793585535007</v>
      </c>
    </row>
    <row r="26" spans="1:7" x14ac:dyDescent="0.2">
      <c r="A26">
        <f>'uniforme cercle (rejet)'!L32</f>
        <v>23</v>
      </c>
      <c r="B26">
        <f ca="1">'uniforme cercle (rejet)'!M32</f>
        <v>0.69896941668651613</v>
      </c>
      <c r="C26">
        <f ca="1">'uniforme cercle (rejet)'!N32</f>
        <v>0.62631342866914363</v>
      </c>
      <c r="D26">
        <f ca="1">'uniforme cercle (rejet)'!O32</f>
        <v>0.93852371115192779</v>
      </c>
    </row>
    <row r="27" spans="1:7" x14ac:dyDescent="0.2">
      <c r="A27">
        <f>'uniforme cercle (rejet)'!L33</f>
        <v>24</v>
      </c>
      <c r="B27">
        <f ca="1">'uniforme cercle (rejet)'!M33</f>
        <v>0.28059708928632143</v>
      </c>
      <c r="C27">
        <f ca="1">'uniforme cercle (rejet)'!N33</f>
        <v>-0.91679788370538295</v>
      </c>
      <c r="D27">
        <f ca="1">'uniforme cercle (rejet)'!O33</f>
        <v>0.95877686980998067</v>
      </c>
    </row>
    <row r="28" spans="1:7" x14ac:dyDescent="0.2">
      <c r="A28">
        <f>'uniforme cercle (rejet)'!L34</f>
        <v>25</v>
      </c>
      <c r="B28">
        <f ca="1">'uniforme cercle (rejet)'!M34</f>
        <v>0.30564663528708635</v>
      </c>
      <c r="C28">
        <f ca="1">'uniforme cercle (rejet)'!N34</f>
        <v>0.44065837696568111</v>
      </c>
      <c r="D28">
        <f ca="1">'uniforme cercle (rejet)'!O34</f>
        <v>0.53628320023318421</v>
      </c>
    </row>
    <row r="29" spans="1:7" x14ac:dyDescent="0.2">
      <c r="A29">
        <f>'uniforme cercle (rejet)'!L35</f>
        <v>26</v>
      </c>
      <c r="B29">
        <f ca="1">'uniforme cercle (rejet)'!M35</f>
        <v>-0.90223063673221127</v>
      </c>
      <c r="C29">
        <f ca="1">'uniforme cercle (rejet)'!N35</f>
        <v>0.23808504167396372</v>
      </c>
      <c r="D29">
        <f ca="1">'uniforme cercle (rejet)'!O35</f>
        <v>0.93311553889489185</v>
      </c>
    </row>
    <row r="30" spans="1:7" x14ac:dyDescent="0.2">
      <c r="A30">
        <f>'uniforme cercle (rejet)'!L36</f>
        <v>27</v>
      </c>
      <c r="B30">
        <f ca="1">'uniforme cercle (rejet)'!M36</f>
        <v>0.42723313695359355</v>
      </c>
      <c r="C30">
        <f ca="1">'uniforme cercle (rejet)'!N36</f>
        <v>0.14006047149288037</v>
      </c>
      <c r="D30">
        <f ca="1">'uniforme cercle (rejet)'!O36</f>
        <v>0.44960548149017932</v>
      </c>
    </row>
    <row r="31" spans="1:7" x14ac:dyDescent="0.2">
      <c r="A31">
        <f>'uniforme cercle (rejet)'!L37</f>
        <v>28</v>
      </c>
      <c r="B31">
        <f ca="1">'uniforme cercle (rejet)'!M37</f>
        <v>0.39364284337987265</v>
      </c>
      <c r="C31">
        <f ca="1">'uniforme cercle (rejet)'!N37</f>
        <v>-0.51109556622333607</v>
      </c>
      <c r="D31">
        <f ca="1">'uniforme cercle (rejet)'!O37</f>
        <v>0.64511500211771811</v>
      </c>
    </row>
    <row r="32" spans="1:7" x14ac:dyDescent="0.2">
      <c r="A32">
        <f>'uniforme cercle (rejet)'!L38</f>
        <v>29</v>
      </c>
      <c r="B32">
        <f ca="1">'uniforme cercle (rejet)'!M38</f>
        <v>8.0128248754276266E-2</v>
      </c>
      <c r="C32">
        <f ca="1">'uniforme cercle (rejet)'!N38</f>
        <v>0.10539167105959435</v>
      </c>
      <c r="D32">
        <f ca="1">'uniforme cercle (rejet)'!O38</f>
        <v>0.13239312888953458</v>
      </c>
    </row>
    <row r="33" spans="1:5" x14ac:dyDescent="0.2">
      <c r="A33">
        <f>'uniforme cercle (rejet)'!L39</f>
        <v>30</v>
      </c>
      <c r="B33">
        <f ca="1">'uniforme cercle (rejet)'!M39</f>
        <v>0.65284725452006565</v>
      </c>
      <c r="C33">
        <f ca="1">'uniforme cercle (rejet)'!N39</f>
        <v>-0.34533364115407394</v>
      </c>
      <c r="D33">
        <f ca="1">'uniforme cercle (rejet)'!O39</f>
        <v>0.73855592980296225</v>
      </c>
    </row>
    <row r="34" spans="1:5" x14ac:dyDescent="0.2">
      <c r="A34">
        <f>'uniforme cercle (rejet)'!L40</f>
        <v>31</v>
      </c>
      <c r="B34">
        <f ca="1">'uniforme cercle (rejet)'!M40</f>
        <v>-0.19487068794361151</v>
      </c>
      <c r="C34">
        <f ca="1">'uniforme cercle (rejet)'!N40</f>
        <v>0.81052474368699934</v>
      </c>
      <c r="D34">
        <f ca="1">'uniforme cercle (rejet)'!O40</f>
        <v>0.83362158390272767</v>
      </c>
    </row>
    <row r="35" spans="1:5" x14ac:dyDescent="0.2">
      <c r="A35">
        <f>'uniforme cercle (rejet)'!L41</f>
        <v>32</v>
      </c>
      <c r="B35">
        <f ca="1">'uniforme cercle (rejet)'!M41</f>
        <v>-4.7786061163548776E-2</v>
      </c>
      <c r="C35">
        <f ca="1">'uniforme cercle (rejet)'!N41</f>
        <v>-0.29350235032106853</v>
      </c>
      <c r="D35">
        <f ca="1">'uniforme cercle (rejet)'!O41</f>
        <v>0.29736700772869484</v>
      </c>
      <c r="E35" s="4"/>
    </row>
    <row r="36" spans="1:5" x14ac:dyDescent="0.2">
      <c r="A36">
        <f>'uniforme cercle (rejet)'!L42</f>
        <v>33</v>
      </c>
      <c r="B36">
        <f ca="1">'uniforme cercle (rejet)'!M42</f>
        <v>0.19400143165006489</v>
      </c>
      <c r="C36">
        <f ca="1">'uniforme cercle (rejet)'!N42</f>
        <v>0.7837161348423296</v>
      </c>
      <c r="D36">
        <f ca="1">'uniforme cercle (rejet)'!O42</f>
        <v>0.80737075466880481</v>
      </c>
    </row>
    <row r="37" spans="1:5" x14ac:dyDescent="0.2">
      <c r="A37">
        <f>'uniforme cercle (rejet)'!L43</f>
        <v>34</v>
      </c>
      <c r="B37">
        <f ca="1">'uniforme cercle (rejet)'!M43</f>
        <v>-0.11593281701190916</v>
      </c>
      <c r="C37">
        <f ca="1">'uniforme cercle (rejet)'!N43</f>
        <v>-6.8977899122335762E-2</v>
      </c>
      <c r="D37">
        <f ca="1">'uniforme cercle (rejet)'!O43</f>
        <v>0.13490132922861783</v>
      </c>
    </row>
    <row r="38" spans="1:5" x14ac:dyDescent="0.2">
      <c r="A38">
        <f>'uniforme cercle (rejet)'!L44</f>
        <v>35</v>
      </c>
      <c r="B38">
        <f ca="1">'uniforme cercle (rejet)'!M44</f>
        <v>-0.59169147279780887</v>
      </c>
      <c r="C38">
        <f ca="1">'uniforme cercle (rejet)'!N44</f>
        <v>-0.63436108153085202</v>
      </c>
      <c r="D38">
        <f ca="1">'uniforme cercle (rejet)'!O44</f>
        <v>0.86747494531117875</v>
      </c>
    </row>
    <row r="39" spans="1:5" x14ac:dyDescent="0.2">
      <c r="A39">
        <f>'uniforme cercle (rejet)'!L45</f>
        <v>36</v>
      </c>
      <c r="B39">
        <f ca="1">'uniforme cercle (rejet)'!M45</f>
        <v>-0.3921903240548088</v>
      </c>
      <c r="C39">
        <f ca="1">'uniforme cercle (rejet)'!N45</f>
        <v>-0.86442801719236129</v>
      </c>
      <c r="D39">
        <f ca="1">'uniforme cercle (rejet)'!O45</f>
        <v>0.94923603344443952</v>
      </c>
    </row>
    <row r="40" spans="1:5" x14ac:dyDescent="0.2">
      <c r="A40">
        <f>'uniforme cercle (rejet)'!L46</f>
        <v>37</v>
      </c>
      <c r="B40">
        <f ca="1">'uniforme cercle (rejet)'!M46</f>
        <v>-0.65750006296392915</v>
      </c>
      <c r="C40">
        <f ca="1">'uniforme cercle (rejet)'!N46</f>
        <v>-0.37876406856659783</v>
      </c>
      <c r="D40">
        <f ca="1">'uniforme cercle (rejet)'!O46</f>
        <v>0.75879414364812614</v>
      </c>
    </row>
    <row r="41" spans="1:5" x14ac:dyDescent="0.2">
      <c r="A41">
        <f>'uniforme cercle (rejet)'!L47</f>
        <v>38</v>
      </c>
      <c r="B41">
        <f ca="1">'uniforme cercle (rejet)'!M47</f>
        <v>0.22446732479624987</v>
      </c>
      <c r="C41">
        <f ca="1">'uniforme cercle (rejet)'!N47</f>
        <v>0.22790886657574849</v>
      </c>
      <c r="D41">
        <f ca="1">'uniforme cercle (rejet)'!O47</f>
        <v>0.31988752924274411</v>
      </c>
    </row>
    <row r="42" spans="1:5" x14ac:dyDescent="0.2">
      <c r="A42">
        <f>'uniforme cercle (rejet)'!L48</f>
        <v>39</v>
      </c>
      <c r="B42">
        <f ca="1">'uniforme cercle (rejet)'!M48</f>
        <v>-0.5777191522380285</v>
      </c>
      <c r="C42">
        <f ca="1">'uniforme cercle (rejet)'!N48</f>
        <v>-0.53283217741543676</v>
      </c>
      <c r="D42">
        <f ca="1">'uniforme cercle (rejet)'!O48</f>
        <v>0.78591955577648132</v>
      </c>
    </row>
    <row r="43" spans="1:5" x14ac:dyDescent="0.2">
      <c r="A43">
        <f>'uniforme cercle (rejet)'!L49</f>
        <v>40</v>
      </c>
      <c r="B43">
        <f ca="1">'uniforme cercle (rejet)'!M49</f>
        <v>-0.71107816222770426</v>
      </c>
      <c r="C43">
        <f ca="1">'uniforme cercle (rejet)'!N49</f>
        <v>-0.1185714503225066</v>
      </c>
      <c r="D43">
        <f ca="1">'uniforme cercle (rejet)'!O49</f>
        <v>0.72089620725088566</v>
      </c>
    </row>
    <row r="44" spans="1:5" x14ac:dyDescent="0.2">
      <c r="A44">
        <f>'uniforme cercle (rejet)'!L50</f>
        <v>41</v>
      </c>
      <c r="B44">
        <f ca="1">'uniforme cercle (rejet)'!M50</f>
        <v>-2.5439099025597045E-3</v>
      </c>
      <c r="C44">
        <f ca="1">'uniforme cercle (rejet)'!N50</f>
        <v>-0.81083096694950507</v>
      </c>
      <c r="D44">
        <f ca="1">'uniforme cercle (rejet)'!O50</f>
        <v>0.81083495758499569</v>
      </c>
    </row>
    <row r="45" spans="1:5" x14ac:dyDescent="0.2">
      <c r="A45">
        <f>'uniforme cercle (rejet)'!L51</f>
        <v>42</v>
      </c>
      <c r="B45">
        <f ca="1">'uniforme cercle (rejet)'!M51</f>
        <v>0.24031175624030587</v>
      </c>
      <c r="C45">
        <f ca="1">'uniforme cercle (rejet)'!N51</f>
        <v>0.23664402622281377</v>
      </c>
      <c r="D45">
        <f ca="1">'uniforme cercle (rejet)'!O51</f>
        <v>0.33726863971357307</v>
      </c>
    </row>
    <row r="46" spans="1:5" x14ac:dyDescent="0.2">
      <c r="A46">
        <f>'uniforme cercle (rejet)'!L52</f>
        <v>43</v>
      </c>
      <c r="B46">
        <f ca="1">'uniforme cercle (rejet)'!M52</f>
        <v>0.20383733124264114</v>
      </c>
      <c r="C46">
        <f ca="1">'uniforme cercle (rejet)'!N52</f>
        <v>-0.57558733722436495</v>
      </c>
      <c r="D46">
        <f ca="1">'uniforme cercle (rejet)'!O52</f>
        <v>0.61061480524235323</v>
      </c>
    </row>
    <row r="47" spans="1:5" x14ac:dyDescent="0.2">
      <c r="A47">
        <f>'uniforme cercle (rejet)'!L53</f>
        <v>44</v>
      </c>
      <c r="B47">
        <f ca="1">'uniforme cercle (rejet)'!M53</f>
        <v>-0.74308851468199855</v>
      </c>
      <c r="C47">
        <f ca="1">'uniforme cercle (rejet)'!N53</f>
        <v>-6.7070504010329213E-3</v>
      </c>
      <c r="D47">
        <f ca="1">'uniforme cercle (rejet)'!O53</f>
        <v>0.74311878268375153</v>
      </c>
    </row>
    <row r="48" spans="1:5" x14ac:dyDescent="0.2">
      <c r="A48">
        <f>'uniforme cercle (rejet)'!L54</f>
        <v>45</v>
      </c>
      <c r="B48">
        <f ca="1">'uniforme cercle (rejet)'!M54</f>
        <v>0.45586797318147654</v>
      </c>
      <c r="C48">
        <f ca="1">'uniforme cercle (rejet)'!N54</f>
        <v>-0.33076163699874495</v>
      </c>
      <c r="D48">
        <f ca="1">'uniforme cercle (rejet)'!O54</f>
        <v>0.56322186523844842</v>
      </c>
    </row>
    <row r="49" spans="1:4" x14ac:dyDescent="0.2">
      <c r="A49">
        <f>'uniforme cercle (rejet)'!L55</f>
        <v>46</v>
      </c>
      <c r="B49">
        <f ca="1">'uniforme cercle (rejet)'!M55</f>
        <v>0.5092318797513844</v>
      </c>
      <c r="C49">
        <f ca="1">'uniforme cercle (rejet)'!N55</f>
        <v>0.25738296073227951</v>
      </c>
      <c r="D49">
        <f ca="1">'uniforme cercle (rejet)'!O55</f>
        <v>0.57058136652929925</v>
      </c>
    </row>
    <row r="50" spans="1:4" x14ac:dyDescent="0.2">
      <c r="A50">
        <f>'uniforme cercle (rejet)'!L56</f>
        <v>47</v>
      </c>
      <c r="B50">
        <f ca="1">'uniforme cercle (rejet)'!M56</f>
        <v>-0.89883188299015604</v>
      </c>
      <c r="C50">
        <f ca="1">'uniforme cercle (rejet)'!N56</f>
        <v>2.6714180911111329E-2</v>
      </c>
      <c r="D50">
        <f ca="1">'uniforme cercle (rejet)'!O56</f>
        <v>0.89922878142404961</v>
      </c>
    </row>
    <row r="51" spans="1:4" x14ac:dyDescent="0.2">
      <c r="A51">
        <f>'uniforme cercle (rejet)'!L57</f>
        <v>48</v>
      </c>
      <c r="B51">
        <f ca="1">'uniforme cercle (rejet)'!M57</f>
        <v>0.94473553403628241</v>
      </c>
      <c r="C51">
        <f ca="1">'uniforme cercle (rejet)'!N57</f>
        <v>-0.28930715081685876</v>
      </c>
      <c r="D51">
        <f ca="1">'uniforme cercle (rejet)'!O57</f>
        <v>0.98804041252602026</v>
      </c>
    </row>
    <row r="52" spans="1:4" x14ac:dyDescent="0.2">
      <c r="A52">
        <f>'uniforme cercle (rejet)'!L58</f>
        <v>49</v>
      </c>
      <c r="B52">
        <f ca="1">'uniforme cercle (rejet)'!M58</f>
        <v>-0.88222259792012414</v>
      </c>
      <c r="C52">
        <f ca="1">'uniforme cercle (rejet)'!N58</f>
        <v>0.2192740515919247</v>
      </c>
      <c r="D52">
        <f ca="1">'uniforme cercle (rejet)'!O58</f>
        <v>0.90906425624510778</v>
      </c>
    </row>
    <row r="53" spans="1:4" x14ac:dyDescent="0.2">
      <c r="A53">
        <f>'uniforme cercle (rejet)'!L59</f>
        <v>50</v>
      </c>
      <c r="B53">
        <f ca="1">'uniforme cercle (rejet)'!M59</f>
        <v>-0.39335767282093426</v>
      </c>
      <c r="C53">
        <f ca="1">'uniforme cercle (rejet)'!N59</f>
        <v>-0.60189708113326401</v>
      </c>
      <c r="D53">
        <f ca="1">'uniforme cercle (rejet)'!O59</f>
        <v>0.71903432118630062</v>
      </c>
    </row>
    <row r="54" spans="1:4" x14ac:dyDescent="0.2">
      <c r="A54">
        <f>'uniforme cercle (rejet)'!L60</f>
        <v>51</v>
      </c>
      <c r="B54">
        <f ca="1">'uniforme cercle (rejet)'!M60</f>
        <v>0.48319991255675121</v>
      </c>
      <c r="C54">
        <f ca="1">'uniforme cercle (rejet)'!N60</f>
        <v>-0.12566332645679723</v>
      </c>
      <c r="D54">
        <f ca="1">'uniforme cercle (rejet)'!O60</f>
        <v>0.49927289843435285</v>
      </c>
    </row>
    <row r="55" spans="1:4" x14ac:dyDescent="0.2">
      <c r="A55">
        <f>'uniforme cercle (rejet)'!L61</f>
        <v>52</v>
      </c>
      <c r="B55">
        <f ca="1">'uniforme cercle (rejet)'!M61</f>
        <v>0.84828507406543618</v>
      </c>
      <c r="C55">
        <f ca="1">'uniforme cercle (rejet)'!N61</f>
        <v>0.26212620222754923</v>
      </c>
      <c r="D55">
        <f ca="1">'uniforme cercle (rejet)'!O61</f>
        <v>0.88786131393165268</v>
      </c>
    </row>
    <row r="56" spans="1:4" x14ac:dyDescent="0.2">
      <c r="A56">
        <f>'uniforme cercle (rejet)'!L62</f>
        <v>53</v>
      </c>
      <c r="B56">
        <f ca="1">'uniforme cercle (rejet)'!M62</f>
        <v>0.11260652318292563</v>
      </c>
      <c r="C56">
        <f ca="1">'uniforme cercle (rejet)'!N62</f>
        <v>-0.43957659008024574</v>
      </c>
      <c r="D56">
        <f ca="1">'uniforme cercle (rejet)'!O62</f>
        <v>0.45377065529838218</v>
      </c>
    </row>
    <row r="57" spans="1:4" x14ac:dyDescent="0.2">
      <c r="A57">
        <f>'uniforme cercle (rejet)'!L63</f>
        <v>54</v>
      </c>
      <c r="B57">
        <f ca="1">'uniforme cercle (rejet)'!M63</f>
        <v>0.29692039330225306</v>
      </c>
      <c r="C57">
        <f ca="1">'uniforme cercle (rejet)'!N63</f>
        <v>0.27353999600846723</v>
      </c>
      <c r="D57">
        <f ca="1">'uniforme cercle (rejet)'!O63</f>
        <v>0.40371505963374332</v>
      </c>
    </row>
    <row r="58" spans="1:4" x14ac:dyDescent="0.2">
      <c r="A58">
        <f>'uniforme cercle (rejet)'!L64</f>
        <v>55</v>
      </c>
      <c r="B58">
        <f ca="1">'uniforme cercle (rejet)'!M64</f>
        <v>-0.24093429270808797</v>
      </c>
      <c r="C58">
        <f ca="1">'uniforme cercle (rejet)'!N64</f>
        <v>-0.94250012943606598</v>
      </c>
      <c r="D58">
        <f ca="1">'uniforme cercle (rejet)'!O64</f>
        <v>0.97280821716808485</v>
      </c>
    </row>
    <row r="59" spans="1:4" x14ac:dyDescent="0.2">
      <c r="A59">
        <f>'uniforme cercle (rejet)'!L65</f>
        <v>56</v>
      </c>
      <c r="B59">
        <f ca="1">'uniforme cercle (rejet)'!M65</f>
        <v>0.58073287836808118</v>
      </c>
      <c r="C59">
        <f ca="1">'uniforme cercle (rejet)'!N65</f>
        <v>-0.64995739489358595</v>
      </c>
      <c r="D59">
        <f ca="1">'uniforme cercle (rejet)'!O65</f>
        <v>0.87160500870206881</v>
      </c>
    </row>
    <row r="60" spans="1:4" x14ac:dyDescent="0.2">
      <c r="A60">
        <f>'uniforme cercle (rejet)'!L66</f>
        <v>57</v>
      </c>
      <c r="B60">
        <f ca="1">'uniforme cercle (rejet)'!M66</f>
        <v>0.4182920415856326</v>
      </c>
      <c r="C60">
        <f ca="1">'uniforme cercle (rejet)'!N66</f>
        <v>-0.10137619273004339</v>
      </c>
      <c r="D60">
        <f ca="1">'uniforme cercle (rejet)'!O66</f>
        <v>0.43040139928480192</v>
      </c>
    </row>
    <row r="61" spans="1:4" x14ac:dyDescent="0.2">
      <c r="A61">
        <f>'uniforme cercle (rejet)'!L67</f>
        <v>58</v>
      </c>
      <c r="B61">
        <f ca="1">'uniforme cercle (rejet)'!M67</f>
        <v>-0.17699623393508457</v>
      </c>
      <c r="C61">
        <f ca="1">'uniforme cercle (rejet)'!N67</f>
        <v>8.1591187672948262E-2</v>
      </c>
      <c r="D61">
        <f ca="1">'uniforme cercle (rejet)'!O67</f>
        <v>0.19489686691449262</v>
      </c>
    </row>
    <row r="62" spans="1:4" x14ac:dyDescent="0.2">
      <c r="A62">
        <f>'uniforme cercle (rejet)'!L68</f>
        <v>59</v>
      </c>
      <c r="B62">
        <f ca="1">'uniforme cercle (rejet)'!M68</f>
        <v>4.3792111408921919E-2</v>
      </c>
      <c r="C62">
        <f ca="1">'uniforme cercle (rejet)'!N68</f>
        <v>0.51566370748270307</v>
      </c>
      <c r="D62">
        <f ca="1">'uniforme cercle (rejet)'!O68</f>
        <v>0.51751986264921102</v>
      </c>
    </row>
    <row r="63" spans="1:4" x14ac:dyDescent="0.2">
      <c r="A63">
        <f>'uniforme cercle (rejet)'!L69</f>
        <v>60</v>
      </c>
      <c r="B63">
        <f ca="1">'uniforme cercle (rejet)'!M69</f>
        <v>0.52136755491571218</v>
      </c>
      <c r="C63">
        <f ca="1">'uniforme cercle (rejet)'!N69</f>
        <v>0.16334461254837795</v>
      </c>
      <c r="D63">
        <f ca="1">'uniforme cercle (rejet)'!O69</f>
        <v>0.54635665070297057</v>
      </c>
    </row>
    <row r="64" spans="1:4" x14ac:dyDescent="0.2">
      <c r="A64">
        <f>'uniforme cercle (rejet)'!L70</f>
        <v>61</v>
      </c>
      <c r="B64">
        <f ca="1">'uniforme cercle (rejet)'!M70</f>
        <v>-0.41727230873957333</v>
      </c>
      <c r="C64">
        <f ca="1">'uniforme cercle (rejet)'!N70</f>
        <v>0.33896637783420114</v>
      </c>
      <c r="D64">
        <f ca="1">'uniforme cercle (rejet)'!O70</f>
        <v>0.53760058123377452</v>
      </c>
    </row>
    <row r="65" spans="1:4" x14ac:dyDescent="0.2">
      <c r="A65">
        <f>'uniforme cercle (rejet)'!L71</f>
        <v>62</v>
      </c>
      <c r="B65">
        <f ca="1">'uniforme cercle (rejet)'!M71</f>
        <v>1.839114496254024E-2</v>
      </c>
      <c r="C65">
        <f ca="1">'uniforme cercle (rejet)'!N71</f>
        <v>0.53667737808903748</v>
      </c>
      <c r="D65">
        <f ca="1">'uniforme cercle (rejet)'!O71</f>
        <v>0.5369924043834855</v>
      </c>
    </row>
    <row r="66" spans="1:4" x14ac:dyDescent="0.2">
      <c r="A66">
        <f>'uniforme cercle (rejet)'!L72</f>
        <v>63</v>
      </c>
      <c r="B66">
        <f ca="1">'uniforme cercle (rejet)'!M72</f>
        <v>0.17666807587545774</v>
      </c>
      <c r="C66">
        <f ca="1">'uniforme cercle (rejet)'!N72</f>
        <v>-0.85014756468213126</v>
      </c>
      <c r="D66">
        <f ca="1">'uniforme cercle (rejet)'!O72</f>
        <v>0.86831013512943356</v>
      </c>
    </row>
    <row r="67" spans="1:4" x14ac:dyDescent="0.2">
      <c r="A67">
        <f>'uniforme cercle (rejet)'!L73</f>
        <v>64</v>
      </c>
      <c r="B67">
        <f ca="1">'uniforme cercle (rejet)'!M73</f>
        <v>-0.33968993895609234</v>
      </c>
      <c r="C67">
        <f ca="1">'uniforme cercle (rejet)'!N73</f>
        <v>-7.2862027962266929E-2</v>
      </c>
      <c r="D67">
        <f ca="1">'uniforme cercle (rejet)'!O73</f>
        <v>0.34741636367155748</v>
      </c>
    </row>
    <row r="68" spans="1:4" x14ac:dyDescent="0.2">
      <c r="A68">
        <f>'uniforme cercle (rejet)'!L74</f>
        <v>65</v>
      </c>
      <c r="B68">
        <f ca="1">'uniforme cercle (rejet)'!M74</f>
        <v>-6.0025866196560695E-2</v>
      </c>
      <c r="C68">
        <f ca="1">'uniforme cercle (rejet)'!N74</f>
        <v>-0.68411213472065024</v>
      </c>
      <c r="D68">
        <f ca="1">'uniforme cercle (rejet)'!O74</f>
        <v>0.68674050228939643</v>
      </c>
    </row>
    <row r="69" spans="1:4" x14ac:dyDescent="0.2">
      <c r="A69">
        <f>'uniforme cercle (rejet)'!L75</f>
        <v>66</v>
      </c>
      <c r="B69">
        <f ca="1">'uniforme cercle (rejet)'!M75</f>
        <v>-0.55550370434775354</v>
      </c>
      <c r="C69">
        <f ca="1">'uniforme cercle (rejet)'!N75</f>
        <v>-0.29457744017272147</v>
      </c>
      <c r="D69">
        <f ca="1">'uniforme cercle (rejet)'!O75</f>
        <v>0.62877677581379365</v>
      </c>
    </row>
    <row r="70" spans="1:4" x14ac:dyDescent="0.2">
      <c r="A70">
        <f>'uniforme cercle (rejet)'!L76</f>
        <v>67</v>
      </c>
      <c r="B70">
        <f ca="1">'uniforme cercle (rejet)'!M76</f>
        <v>-0.85751353122469975</v>
      </c>
      <c r="C70">
        <f ca="1">'uniforme cercle (rejet)'!N76</f>
        <v>-0.13967267165478514</v>
      </c>
      <c r="D70">
        <f ca="1">'uniforme cercle (rejet)'!O76</f>
        <v>0.86881408335767651</v>
      </c>
    </row>
    <row r="71" spans="1:4" x14ac:dyDescent="0.2">
      <c r="A71">
        <f>'uniforme cercle (rejet)'!L77</f>
        <v>68</v>
      </c>
      <c r="B71">
        <f ca="1">'uniforme cercle (rejet)'!M77</f>
        <v>-0.18889135543136581</v>
      </c>
      <c r="C71">
        <f ca="1">'uniforme cercle (rejet)'!N77</f>
        <v>0.46464080644809824</v>
      </c>
      <c r="D71">
        <f ca="1">'uniforme cercle (rejet)'!O77</f>
        <v>0.50156856278422957</v>
      </c>
    </row>
    <row r="72" spans="1:4" x14ac:dyDescent="0.2">
      <c r="A72">
        <f>'uniforme cercle (rejet)'!L78</f>
        <v>69</v>
      </c>
      <c r="B72">
        <f ca="1">'uniforme cercle (rejet)'!M78</f>
        <v>0.38230268846465232</v>
      </c>
      <c r="C72">
        <f ca="1">'uniforme cercle (rejet)'!N78</f>
        <v>0.20505319835163216</v>
      </c>
      <c r="D72">
        <f ca="1">'uniforme cercle (rejet)'!O78</f>
        <v>0.43382272849809844</v>
      </c>
    </row>
    <row r="73" spans="1:4" x14ac:dyDescent="0.2">
      <c r="A73">
        <f>'uniforme cercle (rejet)'!L79</f>
        <v>70</v>
      </c>
      <c r="B73">
        <f ca="1">'uniforme cercle (rejet)'!M79</f>
        <v>-0.38880618047702198</v>
      </c>
      <c r="C73">
        <f ca="1">'uniforme cercle (rejet)'!N79</f>
        <v>0.51713691414518093</v>
      </c>
      <c r="D73">
        <f ca="1">'uniforme cercle (rejet)'!O79</f>
        <v>0.64699368926499645</v>
      </c>
    </row>
    <row r="74" spans="1:4" x14ac:dyDescent="0.2">
      <c r="A74">
        <f>'uniforme cercle (rejet)'!L80</f>
        <v>71</v>
      </c>
      <c r="B74">
        <f ca="1">'uniforme cercle (rejet)'!M80</f>
        <v>-0.22779559227363633</v>
      </c>
      <c r="C74">
        <f ca="1">'uniforme cercle (rejet)'!N80</f>
        <v>-0.84178129088663223</v>
      </c>
      <c r="D74">
        <f ca="1">'uniforme cercle (rejet)'!O80</f>
        <v>0.87205881312332467</v>
      </c>
    </row>
    <row r="75" spans="1:4" x14ac:dyDescent="0.2">
      <c r="A75">
        <f>'uniforme cercle (rejet)'!L81</f>
        <v>72</v>
      </c>
      <c r="B75">
        <f ca="1">'uniforme cercle (rejet)'!M81</f>
        <v>-0.49555891467440771</v>
      </c>
      <c r="C75">
        <f ca="1">'uniforme cercle (rejet)'!N81</f>
        <v>0.2800695454373423</v>
      </c>
      <c r="D75">
        <f ca="1">'uniforme cercle (rejet)'!O81</f>
        <v>0.56922542827491152</v>
      </c>
    </row>
    <row r="76" spans="1:4" x14ac:dyDescent="0.2">
      <c r="A76">
        <f>'uniforme cercle (rejet)'!L82</f>
        <v>73</v>
      </c>
      <c r="B76">
        <f ca="1">'uniforme cercle (rejet)'!M82</f>
        <v>0.54275359037716608</v>
      </c>
      <c r="C76">
        <f ca="1">'uniforme cercle (rejet)'!N82</f>
        <v>-0.80526140223738119</v>
      </c>
      <c r="D76">
        <f ca="1">'uniforme cercle (rejet)'!O82</f>
        <v>0.97109597146760829</v>
      </c>
    </row>
    <row r="77" spans="1:4" x14ac:dyDescent="0.2">
      <c r="A77">
        <f>'uniforme cercle (rejet)'!L83</f>
        <v>74</v>
      </c>
      <c r="B77">
        <f ca="1">'uniforme cercle (rejet)'!M83</f>
        <v>-6.5900654409481563E-2</v>
      </c>
      <c r="C77">
        <f ca="1">'uniforme cercle (rejet)'!N83</f>
        <v>-0.96261184971912539</v>
      </c>
      <c r="D77">
        <f ca="1">'uniforme cercle (rejet)'!O83</f>
        <v>0.96486500064582814</v>
      </c>
    </row>
    <row r="78" spans="1:4" x14ac:dyDescent="0.2">
      <c r="A78">
        <f>'uniforme cercle (rejet)'!L84</f>
        <v>75</v>
      </c>
      <c r="B78">
        <f ca="1">'uniforme cercle (rejet)'!M84</f>
        <v>-0.17070464858176981</v>
      </c>
      <c r="C78">
        <f ca="1">'uniforme cercle (rejet)'!N84</f>
        <v>-0.36725804979917398</v>
      </c>
      <c r="D78">
        <f ca="1">'uniforme cercle (rejet)'!O84</f>
        <v>0.40499203966216185</v>
      </c>
    </row>
    <row r="79" spans="1:4" x14ac:dyDescent="0.2">
      <c r="A79">
        <f>'uniforme cercle (rejet)'!L85</f>
        <v>76</v>
      </c>
      <c r="B79">
        <f ca="1">'uniforme cercle (rejet)'!M85</f>
        <v>0.30028017464776302</v>
      </c>
      <c r="C79">
        <f ca="1">'uniforme cercle (rejet)'!N85</f>
        <v>0.84758060417199932</v>
      </c>
      <c r="D79">
        <f ca="1">'uniforme cercle (rejet)'!O85</f>
        <v>0.89920023568450114</v>
      </c>
    </row>
    <row r="80" spans="1:4" x14ac:dyDescent="0.2">
      <c r="A80">
        <f>'uniforme cercle (rejet)'!L86</f>
        <v>77</v>
      </c>
      <c r="B80">
        <f ca="1">'uniforme cercle (rejet)'!M86</f>
        <v>0.45018443824592547</v>
      </c>
      <c r="C80">
        <f ca="1">'uniforme cercle (rejet)'!N86</f>
        <v>-7.1580650652300681E-2</v>
      </c>
      <c r="D80">
        <f ca="1">'uniforme cercle (rejet)'!O86</f>
        <v>0.45583968452363399</v>
      </c>
    </row>
    <row r="81" spans="1:4" x14ac:dyDescent="0.2">
      <c r="A81">
        <f>'uniforme cercle (rejet)'!L87</f>
        <v>78</v>
      </c>
      <c r="B81">
        <f ca="1">'uniforme cercle (rejet)'!M87</f>
        <v>-4.7191372428773581E-2</v>
      </c>
      <c r="C81">
        <f ca="1">'uniforme cercle (rejet)'!N87</f>
        <v>3.1061334398022833E-2</v>
      </c>
      <c r="D81">
        <f ca="1">'uniforme cercle (rejet)'!O87</f>
        <v>5.6496301881601138E-2</v>
      </c>
    </row>
    <row r="82" spans="1:4" x14ac:dyDescent="0.2">
      <c r="A82">
        <f>'uniforme cercle (rejet)'!L88</f>
        <v>79</v>
      </c>
      <c r="B82">
        <f ca="1">'uniforme cercle (rejet)'!M88</f>
        <v>-0.7911338860149697</v>
      </c>
      <c r="C82">
        <f ca="1">'uniforme cercle (rejet)'!N88</f>
        <v>0.44353818230914932</v>
      </c>
      <c r="D82">
        <f ca="1">'uniforme cercle (rejet)'!O88</f>
        <v>0.90698343136313753</v>
      </c>
    </row>
    <row r="83" spans="1:4" x14ac:dyDescent="0.2">
      <c r="A83">
        <f>'uniforme cercle (rejet)'!L89</f>
        <v>80</v>
      </c>
      <c r="B83">
        <f ca="1">'uniforme cercle (rejet)'!M89</f>
        <v>-0.11150120078523584</v>
      </c>
      <c r="C83">
        <f ca="1">'uniforme cercle (rejet)'!N89</f>
        <v>-0.46599522792308945</v>
      </c>
      <c r="D83">
        <f ca="1">'uniforme cercle (rejet)'!O89</f>
        <v>0.47914931933964128</v>
      </c>
    </row>
    <row r="84" spans="1:4" x14ac:dyDescent="0.2">
      <c r="A84">
        <f>'uniforme cercle (rejet)'!L90</f>
        <v>81</v>
      </c>
      <c r="B84">
        <f ca="1">'uniforme cercle (rejet)'!M90</f>
        <v>-0.49230118482856988</v>
      </c>
      <c r="C84">
        <f ca="1">'uniforme cercle (rejet)'!N90</f>
        <v>0.14443144606973735</v>
      </c>
      <c r="D84">
        <f ca="1">'uniforme cercle (rejet)'!O90</f>
        <v>0.51305058151941429</v>
      </c>
    </row>
    <row r="85" spans="1:4" x14ac:dyDescent="0.2">
      <c r="A85">
        <f>'uniforme cercle (rejet)'!L91</f>
        <v>82</v>
      </c>
      <c r="B85">
        <f ca="1">'uniforme cercle (rejet)'!M91</f>
        <v>0.59644414309945049</v>
      </c>
      <c r="C85">
        <f ca="1">'uniforme cercle (rejet)'!N91</f>
        <v>-9.3223287011965361E-2</v>
      </c>
      <c r="D85">
        <f ca="1">'uniforme cercle (rejet)'!O91</f>
        <v>0.60368551173516916</v>
      </c>
    </row>
    <row r="86" spans="1:4" x14ac:dyDescent="0.2">
      <c r="A86">
        <f>'uniforme cercle (rejet)'!L92</f>
        <v>83</v>
      </c>
      <c r="B86">
        <f ca="1">'uniforme cercle (rejet)'!M92</f>
        <v>-0.98360338572862616</v>
      </c>
      <c r="C86">
        <f ca="1">'uniforme cercle (rejet)'!N92</f>
        <v>0.13639108060658001</v>
      </c>
      <c r="D86">
        <f ca="1">'uniforme cercle (rejet)'!O92</f>
        <v>0.99301467626911089</v>
      </c>
    </row>
    <row r="87" spans="1:4" x14ac:dyDescent="0.2">
      <c r="A87">
        <f>'uniforme cercle (rejet)'!L93</f>
        <v>84</v>
      </c>
      <c r="B87">
        <f ca="1">'uniforme cercle (rejet)'!M93</f>
        <v>-0.18354250776494196</v>
      </c>
      <c r="C87">
        <f ca="1">'uniforme cercle (rejet)'!N93</f>
        <v>-0.8578159184307057</v>
      </c>
      <c r="D87">
        <f ca="1">'uniforme cercle (rejet)'!O93</f>
        <v>0.8772320115395692</v>
      </c>
    </row>
    <row r="88" spans="1:4" x14ac:dyDescent="0.2">
      <c r="A88">
        <f>'uniforme cercle (rejet)'!L94</f>
        <v>85</v>
      </c>
      <c r="B88">
        <f ca="1">'uniforme cercle (rejet)'!M94</f>
        <v>-0.32389167781645312</v>
      </c>
      <c r="C88">
        <f ca="1">'uniforme cercle (rejet)'!N94</f>
        <v>-0.86743539619510668</v>
      </c>
      <c r="D88">
        <f ca="1">'uniforme cercle (rejet)'!O94</f>
        <v>0.92593195513002946</v>
      </c>
    </row>
    <row r="89" spans="1:4" x14ac:dyDescent="0.2">
      <c r="A89">
        <f>'uniforme cercle (rejet)'!L95</f>
        <v>86</v>
      </c>
      <c r="B89">
        <f ca="1">'uniforme cercle (rejet)'!M95</f>
        <v>0.38213314959882894</v>
      </c>
      <c r="C89">
        <f ca="1">'uniforme cercle (rejet)'!N95</f>
        <v>0.55062058143423176</v>
      </c>
      <c r="D89">
        <f ca="1">'uniforme cercle (rejet)'!O95</f>
        <v>0.67023038480905384</v>
      </c>
    </row>
    <row r="90" spans="1:4" x14ac:dyDescent="0.2">
      <c r="A90">
        <f>'uniforme cercle (rejet)'!L96</f>
        <v>87</v>
      </c>
      <c r="B90">
        <f ca="1">'uniforme cercle (rejet)'!M96</f>
        <v>0.43370766556011975</v>
      </c>
      <c r="C90">
        <f ca="1">'uniforme cercle (rejet)'!N96</f>
        <v>-0.72695497710238866</v>
      </c>
      <c r="D90">
        <f ca="1">'uniforme cercle (rejet)'!O96</f>
        <v>0.84650214287947501</v>
      </c>
    </row>
    <row r="91" spans="1:4" x14ac:dyDescent="0.2">
      <c r="A91">
        <f>'uniforme cercle (rejet)'!L97</f>
        <v>88</v>
      </c>
      <c r="B91">
        <f ca="1">'uniforme cercle (rejet)'!M97</f>
        <v>-0.15729465865069669</v>
      </c>
      <c r="C91">
        <f ca="1">'uniforme cercle (rejet)'!N97</f>
        <v>-0.84768559044460501</v>
      </c>
      <c r="D91">
        <f ca="1">'uniforme cercle (rejet)'!O97</f>
        <v>0.86215571092898169</v>
      </c>
    </row>
    <row r="92" spans="1:4" x14ac:dyDescent="0.2">
      <c r="A92">
        <f>'uniforme cercle (rejet)'!L98</f>
        <v>89</v>
      </c>
      <c r="B92">
        <f ca="1">'uniforme cercle (rejet)'!M98</f>
        <v>-0.246441946674681</v>
      </c>
      <c r="C92">
        <f ca="1">'uniforme cercle (rejet)'!N98</f>
        <v>-0.66077811302092959</v>
      </c>
      <c r="D92">
        <f ca="1">'uniforme cercle (rejet)'!O98</f>
        <v>0.70523850414473732</v>
      </c>
    </row>
    <row r="93" spans="1:4" x14ac:dyDescent="0.2">
      <c r="A93">
        <f>'uniforme cercle (rejet)'!L99</f>
        <v>90</v>
      </c>
      <c r="B93">
        <f ca="1">'uniforme cercle (rejet)'!M99</f>
        <v>0.51099737822066316</v>
      </c>
      <c r="C93">
        <f ca="1">'uniforme cercle (rejet)'!N99</f>
        <v>6.5002500479690584E-2</v>
      </c>
      <c r="D93">
        <f ca="1">'uniforme cercle (rejet)'!O99</f>
        <v>0.5151151770400515</v>
      </c>
    </row>
    <row r="94" spans="1:4" x14ac:dyDescent="0.2">
      <c r="A94">
        <f>'uniforme cercle (rejet)'!L100</f>
        <v>91</v>
      </c>
      <c r="B94">
        <f ca="1">'uniforme cercle (rejet)'!M100</f>
        <v>0.94064018452878129</v>
      </c>
      <c r="C94">
        <f ca="1">'uniforme cercle (rejet)'!N100</f>
        <v>-0.15750496708175099</v>
      </c>
      <c r="D94">
        <f ca="1">'uniforme cercle (rejet)'!O100</f>
        <v>0.9537356926348951</v>
      </c>
    </row>
    <row r="95" spans="1:4" x14ac:dyDescent="0.2">
      <c r="A95">
        <f>'uniforme cercle (rejet)'!L101</f>
        <v>92</v>
      </c>
      <c r="B95">
        <f ca="1">'uniforme cercle (rejet)'!M101</f>
        <v>4.2666835760793553E-2</v>
      </c>
      <c r="C95">
        <f ca="1">'uniforme cercle (rejet)'!N101</f>
        <v>0.93338532947966057</v>
      </c>
      <c r="D95">
        <f ca="1">'uniforme cercle (rejet)'!O101</f>
        <v>0.93436001207334052</v>
      </c>
    </row>
    <row r="96" spans="1:4" x14ac:dyDescent="0.2">
      <c r="A96">
        <f>'uniforme cercle (rejet)'!L102</f>
        <v>93</v>
      </c>
      <c r="B96">
        <f ca="1">'uniforme cercle (rejet)'!M102</f>
        <v>0.44848007091324904</v>
      </c>
      <c r="C96">
        <f ca="1">'uniforme cercle (rejet)'!N102</f>
        <v>-6.4253654605271882E-2</v>
      </c>
      <c r="D96">
        <f ca="1">'uniforme cercle (rejet)'!O102</f>
        <v>0.45305949513997218</v>
      </c>
    </row>
    <row r="97" spans="1:4" x14ac:dyDescent="0.2">
      <c r="A97">
        <f>'uniforme cercle (rejet)'!L103</f>
        <v>94</v>
      </c>
      <c r="B97">
        <f ca="1">'uniforme cercle (rejet)'!M103</f>
        <v>0.66688866705534289</v>
      </c>
      <c r="C97">
        <f ca="1">'uniforme cercle (rejet)'!N103</f>
        <v>2.2390061219303981E-3</v>
      </c>
      <c r="D97">
        <f ca="1">'uniforme cercle (rejet)'!O103</f>
        <v>0.6668924256544424</v>
      </c>
    </row>
    <row r="98" spans="1:4" x14ac:dyDescent="0.2">
      <c r="A98">
        <f>'uniforme cercle (rejet)'!L104</f>
        <v>95</v>
      </c>
      <c r="B98">
        <f ca="1">'uniforme cercle (rejet)'!M104</f>
        <v>-0.37259452389716752</v>
      </c>
      <c r="C98">
        <f ca="1">'uniforme cercle (rejet)'!N104</f>
        <v>0.10803869397304822</v>
      </c>
      <c r="D98">
        <f ca="1">'uniforme cercle (rejet)'!O104</f>
        <v>0.38794205576807334</v>
      </c>
    </row>
    <row r="99" spans="1:4" x14ac:dyDescent="0.2">
      <c r="A99">
        <f>'uniforme cercle (rejet)'!L105</f>
        <v>96</v>
      </c>
      <c r="B99">
        <f ca="1">'uniforme cercle (rejet)'!M105</f>
        <v>0.64506913337908256</v>
      </c>
      <c r="C99">
        <f ca="1">'uniforme cercle (rejet)'!N105</f>
        <v>0.38549167344371682</v>
      </c>
      <c r="D99">
        <f ca="1">'uniforme cercle (rejet)'!O105</f>
        <v>0.75147722329614075</v>
      </c>
    </row>
    <row r="100" spans="1:4" x14ac:dyDescent="0.2">
      <c r="A100">
        <f>'uniforme cercle (rejet)'!L106</f>
        <v>97</v>
      </c>
      <c r="B100">
        <f ca="1">'uniforme cercle (rejet)'!M106</f>
        <v>-0.49030617808703925</v>
      </c>
      <c r="C100">
        <f ca="1">'uniforme cercle (rejet)'!N106</f>
        <v>-5.7842383323584157E-2</v>
      </c>
      <c r="D100">
        <f ca="1">'uniforme cercle (rejet)'!O106</f>
        <v>0.49370627865044608</v>
      </c>
    </row>
    <row r="101" spans="1:4" x14ac:dyDescent="0.2">
      <c r="A101">
        <f>'uniforme cercle (rejet)'!L107</f>
        <v>98</v>
      </c>
      <c r="B101">
        <f ca="1">'uniforme cercle (rejet)'!M107</f>
        <v>-0.43242488849029148</v>
      </c>
      <c r="C101">
        <f ca="1">'uniforme cercle (rejet)'!N107</f>
        <v>-0.68426991987216956</v>
      </c>
      <c r="D101">
        <f ca="1">'uniforme cercle (rejet)'!O107</f>
        <v>0.80945451226594967</v>
      </c>
    </row>
    <row r="102" spans="1:4" x14ac:dyDescent="0.2">
      <c r="A102">
        <f>'uniforme cercle (rejet)'!L108</f>
        <v>99</v>
      </c>
      <c r="B102">
        <f ca="1">'uniforme cercle (rejet)'!M108</f>
        <v>-1.71913237750565E-2</v>
      </c>
      <c r="C102">
        <f ca="1">'uniforme cercle (rejet)'!N108</f>
        <v>-0.70206275897042336</v>
      </c>
      <c r="D102">
        <f ca="1">'uniforme cercle (rejet)'!O108</f>
        <v>0.70227320833583107</v>
      </c>
    </row>
    <row r="103" spans="1:4" x14ac:dyDescent="0.2">
      <c r="A103">
        <f>'uniforme cercle (rejet)'!L109</f>
        <v>100</v>
      </c>
      <c r="B103">
        <f ca="1">'uniforme cercle (rejet)'!M109</f>
        <v>0.31717417852140839</v>
      </c>
      <c r="C103">
        <f ca="1">'uniforme cercle (rejet)'!N109</f>
        <v>-0.27888475169209559</v>
      </c>
      <c r="D103">
        <f ca="1">'uniforme cercle (rejet)'!O109</f>
        <v>0.42234602430600915</v>
      </c>
    </row>
    <row r="104" spans="1:4" x14ac:dyDescent="0.2">
      <c r="A104">
        <f>'uniforme cercle (rejet)'!L110</f>
        <v>101</v>
      </c>
      <c r="B104">
        <f ca="1">'uniforme cercle (rejet)'!M110</f>
        <v>0.60745438790598771</v>
      </c>
      <c r="C104">
        <f ca="1">'uniforme cercle (rejet)'!N110</f>
        <v>-0.44971895110153226</v>
      </c>
      <c r="D104">
        <f ca="1">'uniforme cercle (rejet)'!O110</f>
        <v>0.75580947888082251</v>
      </c>
    </row>
    <row r="105" spans="1:4" x14ac:dyDescent="0.2">
      <c r="A105">
        <f>'uniforme cercle (rejet)'!L111</f>
        <v>102</v>
      </c>
      <c r="B105">
        <f ca="1">'uniforme cercle (rejet)'!M111</f>
        <v>-0.53640608859101646</v>
      </c>
      <c r="C105">
        <f ca="1">'uniforme cercle (rejet)'!N111</f>
        <v>0.26332863244717331</v>
      </c>
      <c r="D105">
        <f ca="1">'uniforme cercle (rejet)'!O111</f>
        <v>0.59755624048620892</v>
      </c>
    </row>
    <row r="106" spans="1:4" x14ac:dyDescent="0.2">
      <c r="A106">
        <f>'uniforme cercle (rejet)'!L112</f>
        <v>103</v>
      </c>
      <c r="B106">
        <f ca="1">'uniforme cercle (rejet)'!M112</f>
        <v>-0.82906453503987687</v>
      </c>
      <c r="C106">
        <f ca="1">'uniforme cercle (rejet)'!N112</f>
        <v>0.15871833301394478</v>
      </c>
      <c r="D106">
        <f ca="1">'uniforme cercle (rejet)'!O112</f>
        <v>0.84412055566465893</v>
      </c>
    </row>
    <row r="107" spans="1:4" x14ac:dyDescent="0.2">
      <c r="A107">
        <f>'uniforme cercle (rejet)'!L113</f>
        <v>104</v>
      </c>
      <c r="B107">
        <f ca="1">'uniforme cercle (rejet)'!M113</f>
        <v>-0.88883051357042842</v>
      </c>
      <c r="C107">
        <f ca="1">'uniforme cercle (rejet)'!N113</f>
        <v>-0.31079953811947303</v>
      </c>
      <c r="D107">
        <f ca="1">'uniforme cercle (rejet)'!O113</f>
        <v>0.94160290714777917</v>
      </c>
    </row>
    <row r="108" spans="1:4" x14ac:dyDescent="0.2">
      <c r="A108">
        <f>'uniforme cercle (rejet)'!L114</f>
        <v>105</v>
      </c>
      <c r="B108">
        <f ca="1">'uniforme cercle (rejet)'!M114</f>
        <v>-0.23020696219876458</v>
      </c>
      <c r="C108">
        <f ca="1">'uniforme cercle (rejet)'!N114</f>
        <v>-0.37657365095554329</v>
      </c>
      <c r="D108">
        <f ca="1">'uniforme cercle (rejet)'!O114</f>
        <v>0.44136488310554428</v>
      </c>
    </row>
    <row r="109" spans="1:4" x14ac:dyDescent="0.2">
      <c r="A109">
        <f>'uniforme cercle (rejet)'!L115</f>
        <v>106</v>
      </c>
      <c r="B109">
        <f ca="1">'uniforme cercle (rejet)'!M115</f>
        <v>-0.65781306306629461</v>
      </c>
      <c r="C109">
        <f ca="1">'uniforme cercle (rejet)'!N115</f>
        <v>-0.41642636789932785</v>
      </c>
      <c r="D109">
        <f ca="1">'uniforme cercle (rejet)'!O115</f>
        <v>0.77854283493105714</v>
      </c>
    </row>
    <row r="110" spans="1:4" x14ac:dyDescent="0.2">
      <c r="A110">
        <f>'uniforme cercle (rejet)'!L116</f>
        <v>107</v>
      </c>
      <c r="B110">
        <f ca="1">'uniforme cercle (rejet)'!M116</f>
        <v>-2.9460280802771077E-2</v>
      </c>
      <c r="C110">
        <f ca="1">'uniforme cercle (rejet)'!N116</f>
        <v>0.95382363584982022</v>
      </c>
      <c r="D110">
        <f ca="1">'uniforme cercle (rejet)'!O116</f>
        <v>0.95427848998641307</v>
      </c>
    </row>
    <row r="111" spans="1:4" x14ac:dyDescent="0.2">
      <c r="A111">
        <f>'uniforme cercle (rejet)'!L117</f>
        <v>108</v>
      </c>
      <c r="B111">
        <f ca="1">'uniforme cercle (rejet)'!M117</f>
        <v>-0.29038103046032893</v>
      </c>
      <c r="C111">
        <f ca="1">'uniforme cercle (rejet)'!N117</f>
        <v>-0.11509772312467481</v>
      </c>
      <c r="D111">
        <f ca="1">'uniforme cercle (rejet)'!O117</f>
        <v>0.31235977449038915</v>
      </c>
    </row>
    <row r="112" spans="1:4" x14ac:dyDescent="0.2">
      <c r="A112">
        <f>'uniforme cercle (rejet)'!L118</f>
        <v>109</v>
      </c>
      <c r="B112">
        <f ca="1">'uniforme cercle (rejet)'!M118</f>
        <v>-0.89120778823232105</v>
      </c>
      <c r="C112">
        <f ca="1">'uniforme cercle (rejet)'!N118</f>
        <v>0.35881627578090125</v>
      </c>
      <c r="D112">
        <f ca="1">'uniforme cercle (rejet)'!O118</f>
        <v>0.96072911976853359</v>
      </c>
    </row>
    <row r="113" spans="1:4" x14ac:dyDescent="0.2">
      <c r="A113">
        <f>'uniforme cercle (rejet)'!L119</f>
        <v>110</v>
      </c>
      <c r="B113">
        <f ca="1">'uniforme cercle (rejet)'!M119</f>
        <v>-0.61111064056696796</v>
      </c>
      <c r="C113">
        <f ca="1">'uniforme cercle (rejet)'!N119</f>
        <v>0.61074712055843206</v>
      </c>
      <c r="D113">
        <f ca="1">'uniforme cercle (rejet)'!O119</f>
        <v>0.86398394677481472</v>
      </c>
    </row>
    <row r="114" spans="1:4" x14ac:dyDescent="0.2">
      <c r="A114">
        <f>'uniforme cercle (rejet)'!L120</f>
        <v>111</v>
      </c>
      <c r="B114">
        <f ca="1">'uniforme cercle (rejet)'!M120</f>
        <v>0.61350101424429448</v>
      </c>
      <c r="C114">
        <f ca="1">'uniforme cercle (rejet)'!N120</f>
        <v>-0.53590978411301893</v>
      </c>
      <c r="D114">
        <f ca="1">'uniforme cercle (rejet)'!O120</f>
        <v>0.81460591158353413</v>
      </c>
    </row>
    <row r="115" spans="1:4" x14ac:dyDescent="0.2">
      <c r="A115">
        <f>'uniforme cercle (rejet)'!L121</f>
        <v>112</v>
      </c>
      <c r="B115">
        <f ca="1">'uniforme cercle (rejet)'!M121</f>
        <v>0.23158214651098663</v>
      </c>
      <c r="C115">
        <f ca="1">'uniforme cercle (rejet)'!N121</f>
        <v>0.96214814176377916</v>
      </c>
      <c r="D115">
        <f ca="1">'uniforme cercle (rejet)'!O121</f>
        <v>0.98962585722187424</v>
      </c>
    </row>
    <row r="116" spans="1:4" x14ac:dyDescent="0.2">
      <c r="A116">
        <f>'uniforme cercle (rejet)'!L122</f>
        <v>113</v>
      </c>
      <c r="B116">
        <f ca="1">'uniforme cercle (rejet)'!M122</f>
        <v>0.20140536968586953</v>
      </c>
      <c r="C116">
        <f ca="1">'uniforme cercle (rejet)'!N122</f>
        <v>0.14014360437136886</v>
      </c>
      <c r="D116">
        <f ca="1">'uniforme cercle (rejet)'!O122</f>
        <v>0.24536575307996941</v>
      </c>
    </row>
    <row r="117" spans="1:4" x14ac:dyDescent="0.2">
      <c r="A117">
        <f>'uniforme cercle (rejet)'!L123</f>
        <v>114</v>
      </c>
      <c r="B117">
        <f ca="1">'uniforme cercle (rejet)'!M123</f>
        <v>0.27407722075338525</v>
      </c>
      <c r="C117">
        <f ca="1">'uniforme cercle (rejet)'!N123</f>
        <v>-2.0396140674767027E-2</v>
      </c>
      <c r="D117">
        <f ca="1">'uniforme cercle (rejet)'!O123</f>
        <v>0.27483508780780658</v>
      </c>
    </row>
    <row r="118" spans="1:4" x14ac:dyDescent="0.2">
      <c r="A118">
        <f>'uniforme cercle (rejet)'!L124</f>
        <v>115</v>
      </c>
      <c r="B118">
        <f ca="1">'uniforme cercle (rejet)'!M124</f>
        <v>-0.72793995650205456</v>
      </c>
      <c r="C118">
        <f ca="1">'uniforme cercle (rejet)'!N124</f>
        <v>0.35195253830667039</v>
      </c>
      <c r="D118">
        <f ca="1">'uniforme cercle (rejet)'!O124</f>
        <v>0.80855869885415332</v>
      </c>
    </row>
    <row r="119" spans="1:4" x14ac:dyDescent="0.2">
      <c r="A119">
        <f>'uniforme cercle (rejet)'!L125</f>
        <v>116</v>
      </c>
      <c r="B119">
        <f ca="1">'uniforme cercle (rejet)'!M125</f>
        <v>-0.54521479465473677</v>
      </c>
      <c r="C119">
        <f ca="1">'uniforme cercle (rejet)'!N125</f>
        <v>0.48439403336276365</v>
      </c>
      <c r="D119">
        <f ca="1">'uniforme cercle (rejet)'!O125</f>
        <v>0.72931252002680791</v>
      </c>
    </row>
    <row r="120" spans="1:4" x14ac:dyDescent="0.2">
      <c r="A120">
        <f>'uniforme cercle (rejet)'!L126</f>
        <v>117</v>
      </c>
      <c r="B120">
        <f ca="1">'uniforme cercle (rejet)'!M126</f>
        <v>0.68557328551252761</v>
      </c>
      <c r="C120">
        <f ca="1">'uniforme cercle (rejet)'!N126</f>
        <v>0.13532450957471354</v>
      </c>
      <c r="D120">
        <f ca="1">'uniforme cercle (rejet)'!O126</f>
        <v>0.69880144011019207</v>
      </c>
    </row>
    <row r="121" spans="1:4" x14ac:dyDescent="0.2">
      <c r="A121">
        <f>'uniforme cercle (rejet)'!L127</f>
        <v>118</v>
      </c>
      <c r="B121">
        <f ca="1">'uniforme cercle (rejet)'!M127</f>
        <v>0.59756211716899399</v>
      </c>
      <c r="C121">
        <f ca="1">'uniforme cercle (rejet)'!N127</f>
        <v>0.62895993311040455</v>
      </c>
      <c r="D121">
        <f ca="1">'uniforme cercle (rejet)'!O127</f>
        <v>0.86756618268218311</v>
      </c>
    </row>
    <row r="122" spans="1:4" x14ac:dyDescent="0.2">
      <c r="A122">
        <f>'uniforme cercle (rejet)'!L128</f>
        <v>119</v>
      </c>
      <c r="B122">
        <f ca="1">'uniforme cercle (rejet)'!M128</f>
        <v>0.51665231540486611</v>
      </c>
      <c r="C122">
        <f ca="1">'uniforme cercle (rejet)'!N128</f>
        <v>-0.71338701187026765</v>
      </c>
      <c r="D122">
        <f ca="1">'uniforme cercle (rejet)'!O128</f>
        <v>0.88082384374992861</v>
      </c>
    </row>
    <row r="123" spans="1:4" x14ac:dyDescent="0.2">
      <c r="A123">
        <f>'uniforme cercle (rejet)'!L129</f>
        <v>120</v>
      </c>
      <c r="B123">
        <f ca="1">'uniforme cercle (rejet)'!M129</f>
        <v>0.16910018602308674</v>
      </c>
      <c r="C123">
        <f ca="1">'uniforme cercle (rejet)'!N129</f>
        <v>-0.48205373744300695</v>
      </c>
      <c r="D123">
        <f ca="1">'uniforme cercle (rejet)'!O129</f>
        <v>0.51085289340064821</v>
      </c>
    </row>
    <row r="124" spans="1:4" x14ac:dyDescent="0.2">
      <c r="A124">
        <f>'uniforme cercle (rejet)'!L130</f>
        <v>121</v>
      </c>
      <c r="B124">
        <f ca="1">'uniforme cercle (rejet)'!M130</f>
        <v>7.5894643643880544E-2</v>
      </c>
      <c r="C124">
        <f ca="1">'uniforme cercle (rejet)'!N130</f>
        <v>-0.47712238716857747</v>
      </c>
      <c r="D124">
        <f ca="1">'uniforme cercle (rejet)'!O130</f>
        <v>0.48312086404053545</v>
      </c>
    </row>
    <row r="125" spans="1:4" x14ac:dyDescent="0.2">
      <c r="A125">
        <f>'uniforme cercle (rejet)'!L131</f>
        <v>122</v>
      </c>
      <c r="B125">
        <f ca="1">'uniforme cercle (rejet)'!M131</f>
        <v>-0.40052045094348743</v>
      </c>
      <c r="C125">
        <f ca="1">'uniforme cercle (rejet)'!N131</f>
        <v>0.63113922769514796</v>
      </c>
      <c r="D125">
        <f ca="1">'uniforme cercle (rejet)'!O131</f>
        <v>0.74749806445207756</v>
      </c>
    </row>
    <row r="126" spans="1:4" x14ac:dyDescent="0.2">
      <c r="A126">
        <f>'uniforme cercle (rejet)'!L132</f>
        <v>123</v>
      </c>
      <c r="B126">
        <f ca="1">'uniforme cercle (rejet)'!M132</f>
        <v>-0.49721672456535071</v>
      </c>
      <c r="C126">
        <f ca="1">'uniforme cercle (rejet)'!N132</f>
        <v>-8.1558599339525584E-2</v>
      </c>
      <c r="D126">
        <f ca="1">'uniforme cercle (rejet)'!O132</f>
        <v>0.5038613661650605</v>
      </c>
    </row>
    <row r="127" spans="1:4" x14ac:dyDescent="0.2">
      <c r="A127">
        <f>'uniforme cercle (rejet)'!L133</f>
        <v>124</v>
      </c>
      <c r="B127">
        <f ca="1">'uniforme cercle (rejet)'!M133</f>
        <v>-0.68126329069722846</v>
      </c>
      <c r="C127">
        <f ca="1">'uniforme cercle (rejet)'!N133</f>
        <v>-0.64792373731803665</v>
      </c>
      <c r="D127">
        <f ca="1">'uniforme cercle (rejet)'!O133</f>
        <v>0.94017277169240998</v>
      </c>
    </row>
    <row r="128" spans="1:4" x14ac:dyDescent="0.2">
      <c r="A128">
        <f>'uniforme cercle (rejet)'!L134</f>
        <v>125</v>
      </c>
      <c r="B128">
        <f ca="1">'uniforme cercle (rejet)'!M134</f>
        <v>-8.7006954449523333E-2</v>
      </c>
      <c r="C128">
        <f ca="1">'uniforme cercle (rejet)'!N134</f>
        <v>0.43419560405516666</v>
      </c>
      <c r="D128">
        <f ca="1">'uniforme cercle (rejet)'!O134</f>
        <v>0.44282731702483363</v>
      </c>
    </row>
    <row r="129" spans="1:4" x14ac:dyDescent="0.2">
      <c r="A129">
        <f>'uniforme cercle (rejet)'!L135</f>
        <v>126</v>
      </c>
      <c r="B129">
        <f ca="1">'uniforme cercle (rejet)'!M135</f>
        <v>-0.55980645228139303</v>
      </c>
      <c r="C129">
        <f ca="1">'uniforme cercle (rejet)'!N135</f>
        <v>-0.31788842307128862</v>
      </c>
      <c r="D129">
        <f ca="1">'uniforme cercle (rejet)'!O135</f>
        <v>0.64376728212812284</v>
      </c>
    </row>
    <row r="130" spans="1:4" x14ac:dyDescent="0.2">
      <c r="A130">
        <f>'uniforme cercle (rejet)'!L136</f>
        <v>127</v>
      </c>
      <c r="B130">
        <f ca="1">'uniforme cercle (rejet)'!M136</f>
        <v>-0.6300228740179461</v>
      </c>
      <c r="C130">
        <f ca="1">'uniforme cercle (rejet)'!N136</f>
        <v>0.53591321549446058</v>
      </c>
      <c r="D130">
        <f ca="1">'uniforme cercle (rejet)'!O136</f>
        <v>0.82712260054205078</v>
      </c>
    </row>
    <row r="131" spans="1:4" x14ac:dyDescent="0.2">
      <c r="A131">
        <f>'uniforme cercle (rejet)'!L137</f>
        <v>128</v>
      </c>
      <c r="B131">
        <f ca="1">'uniforme cercle (rejet)'!M137</f>
        <v>-0.11564569405856884</v>
      </c>
      <c r="C131">
        <f ca="1">'uniforme cercle (rejet)'!N137</f>
        <v>0.46176770451940663</v>
      </c>
      <c r="D131">
        <f ca="1">'uniforme cercle (rejet)'!O137</f>
        <v>0.47602871708691075</v>
      </c>
    </row>
    <row r="132" spans="1:4" x14ac:dyDescent="0.2">
      <c r="A132">
        <f>'uniforme cercle (rejet)'!L138</f>
        <v>129</v>
      </c>
      <c r="B132">
        <f ca="1">'uniforme cercle (rejet)'!M138</f>
        <v>-0.50428270650601359</v>
      </c>
      <c r="C132">
        <f ca="1">'uniforme cercle (rejet)'!N138</f>
        <v>0.42854536707809321</v>
      </c>
      <c r="D132">
        <f ca="1">'uniforme cercle (rejet)'!O138</f>
        <v>0.66177955523355958</v>
      </c>
    </row>
    <row r="133" spans="1:4" x14ac:dyDescent="0.2">
      <c r="A133">
        <f>'uniforme cercle (rejet)'!L139</f>
        <v>130</v>
      </c>
      <c r="B133">
        <f ca="1">'uniforme cercle (rejet)'!M139</f>
        <v>-0.21366854995070339</v>
      </c>
      <c r="C133">
        <f ca="1">'uniforme cercle (rejet)'!N139</f>
        <v>-0.72390907460144072</v>
      </c>
      <c r="D133">
        <f ca="1">'uniforme cercle (rejet)'!O139</f>
        <v>0.75478380846991566</v>
      </c>
    </row>
    <row r="134" spans="1:4" x14ac:dyDescent="0.2">
      <c r="A134">
        <f>'uniforme cercle (rejet)'!L140</f>
        <v>131</v>
      </c>
      <c r="B134">
        <f ca="1">'uniforme cercle (rejet)'!M140</f>
        <v>-0.71766218606975851</v>
      </c>
      <c r="C134">
        <f ca="1">'uniforme cercle (rejet)'!N140</f>
        <v>-5.860279277971614E-4</v>
      </c>
      <c r="D134">
        <f ca="1">'uniforme cercle (rejet)'!O140</f>
        <v>0.71766242533879177</v>
      </c>
    </row>
    <row r="135" spans="1:4" x14ac:dyDescent="0.2">
      <c r="A135">
        <f>'uniforme cercle (rejet)'!L141</f>
        <v>132</v>
      </c>
      <c r="B135">
        <f ca="1">'uniforme cercle (rejet)'!M141</f>
        <v>-0.37298669554306119</v>
      </c>
      <c r="C135">
        <f ca="1">'uniforme cercle (rejet)'!N141</f>
        <v>0.91659890744862005</v>
      </c>
      <c r="D135">
        <f ca="1">'uniforme cercle (rejet)'!O141</f>
        <v>0.9895820492451024</v>
      </c>
    </row>
    <row r="136" spans="1:4" x14ac:dyDescent="0.2">
      <c r="A136">
        <f>'uniforme cercle (rejet)'!L142</f>
        <v>133</v>
      </c>
      <c r="B136">
        <f ca="1">'uniforme cercle (rejet)'!M142</f>
        <v>8.7525275417372761E-2</v>
      </c>
      <c r="C136">
        <f ca="1">'uniforme cercle (rejet)'!N142</f>
        <v>0.58800141290422192</v>
      </c>
      <c r="D136">
        <f ca="1">'uniforme cercle (rejet)'!O142</f>
        <v>0.59447988646736249</v>
      </c>
    </row>
    <row r="137" spans="1:4" x14ac:dyDescent="0.2">
      <c r="A137">
        <f>'uniforme cercle (rejet)'!L143</f>
        <v>134</v>
      </c>
      <c r="B137">
        <f ca="1">'uniforme cercle (rejet)'!M143</f>
        <v>0.3089066254530568</v>
      </c>
      <c r="C137">
        <f ca="1">'uniforme cercle (rejet)'!N143</f>
        <v>0.21286155414763641</v>
      </c>
      <c r="D137">
        <f ca="1">'uniforme cercle (rejet)'!O143</f>
        <v>0.37514443149664672</v>
      </c>
    </row>
    <row r="138" spans="1:4" x14ac:dyDescent="0.2">
      <c r="A138">
        <f>'uniforme cercle (rejet)'!L144</f>
        <v>135</v>
      </c>
      <c r="B138">
        <f ca="1">'uniforme cercle (rejet)'!M144</f>
        <v>-0.59437502843849077</v>
      </c>
      <c r="C138">
        <f ca="1">'uniforme cercle (rejet)'!N144</f>
        <v>-0.11145805625478977</v>
      </c>
      <c r="D138">
        <f ca="1">'uniforme cercle (rejet)'!O144</f>
        <v>0.604735126096833</v>
      </c>
    </row>
    <row r="139" spans="1:4" x14ac:dyDescent="0.2">
      <c r="A139">
        <f>'uniforme cercle (rejet)'!L145</f>
        <v>136</v>
      </c>
      <c r="B139">
        <f ca="1">'uniforme cercle (rejet)'!M145</f>
        <v>-0.49864958375447732</v>
      </c>
      <c r="C139">
        <f ca="1">'uniforme cercle (rejet)'!N145</f>
        <v>-0.42894092289138497</v>
      </c>
      <c r="D139">
        <f ca="1">'uniforme cercle (rejet)'!O145</f>
        <v>0.65775506285351126</v>
      </c>
    </row>
    <row r="140" spans="1:4" x14ac:dyDescent="0.2">
      <c r="A140">
        <f>'uniforme cercle (rejet)'!L146</f>
        <v>137</v>
      </c>
      <c r="B140">
        <f ca="1">'uniforme cercle (rejet)'!M146</f>
        <v>0.32884515286045768</v>
      </c>
      <c r="C140">
        <f ca="1">'uniforme cercle (rejet)'!N146</f>
        <v>-0.54509462043387491</v>
      </c>
      <c r="D140">
        <f ca="1">'uniforme cercle (rejet)'!O146</f>
        <v>0.63660606326500535</v>
      </c>
    </row>
    <row r="141" spans="1:4" x14ac:dyDescent="0.2">
      <c r="A141">
        <f>'uniforme cercle (rejet)'!L147</f>
        <v>138</v>
      </c>
      <c r="B141">
        <f ca="1">'uniforme cercle (rejet)'!M147</f>
        <v>-0.36971981324480652</v>
      </c>
      <c r="C141">
        <f ca="1">'uniforme cercle (rejet)'!N147</f>
        <v>-3.3476868100283941E-3</v>
      </c>
      <c r="D141">
        <f ca="1">'uniforme cercle (rejet)'!O147</f>
        <v>0.36973496901531056</v>
      </c>
    </row>
    <row r="142" spans="1:4" x14ac:dyDescent="0.2">
      <c r="A142">
        <f>'uniforme cercle (rejet)'!L148</f>
        <v>139</v>
      </c>
      <c r="B142">
        <f ca="1">'uniforme cercle (rejet)'!M148</f>
        <v>0.12539276380532827</v>
      </c>
      <c r="C142">
        <f ca="1">'uniforme cercle (rejet)'!N148</f>
        <v>-0.81708573708532217</v>
      </c>
      <c r="D142">
        <f ca="1">'uniforme cercle (rejet)'!O148</f>
        <v>0.82665134546736385</v>
      </c>
    </row>
    <row r="143" spans="1:4" x14ac:dyDescent="0.2">
      <c r="A143">
        <f>'uniforme cercle (rejet)'!L149</f>
        <v>140</v>
      </c>
      <c r="B143">
        <f ca="1">'uniforme cercle (rejet)'!M149</f>
        <v>-3.241389183488641E-2</v>
      </c>
      <c r="C143">
        <f ca="1">'uniforme cercle (rejet)'!N149</f>
        <v>-0.61191423672753742</v>
      </c>
      <c r="D143">
        <f ca="1">'uniforme cercle (rejet)'!O149</f>
        <v>0.61277213831385025</v>
      </c>
    </row>
    <row r="144" spans="1:4" x14ac:dyDescent="0.2">
      <c r="A144">
        <f>'uniforme cercle (rejet)'!L150</f>
        <v>141</v>
      </c>
      <c r="B144">
        <f ca="1">'uniforme cercle (rejet)'!M150</f>
        <v>-0.38085805573880882</v>
      </c>
      <c r="C144">
        <f ca="1">'uniforme cercle (rejet)'!N150</f>
        <v>-0.17550780715745584</v>
      </c>
      <c r="D144">
        <f ca="1">'uniforme cercle (rejet)'!O150</f>
        <v>0.41935170083637952</v>
      </c>
    </row>
    <row r="145" spans="1:4" x14ac:dyDescent="0.2">
      <c r="A145">
        <f>'uniforme cercle (rejet)'!L151</f>
        <v>142</v>
      </c>
      <c r="B145">
        <f ca="1">'uniforme cercle (rejet)'!M151</f>
        <v>-0.14922141115602106</v>
      </c>
      <c r="C145">
        <f ca="1">'uniforme cercle (rejet)'!N151</f>
        <v>0.56363441207718457</v>
      </c>
      <c r="D145">
        <f ca="1">'uniforme cercle (rejet)'!O151</f>
        <v>0.58305298217656665</v>
      </c>
    </row>
    <row r="146" spans="1:4" x14ac:dyDescent="0.2">
      <c r="A146">
        <f>'uniforme cercle (rejet)'!L152</f>
        <v>143</v>
      </c>
      <c r="B146">
        <f ca="1">'uniforme cercle (rejet)'!M152</f>
        <v>-0.75465871537984941</v>
      </c>
      <c r="C146">
        <f ca="1">'uniforme cercle (rejet)'!N152</f>
        <v>0.4963124989304244</v>
      </c>
      <c r="D146">
        <f ca="1">'uniforme cercle (rejet)'!O152</f>
        <v>0.903236333023272</v>
      </c>
    </row>
    <row r="147" spans="1:4" x14ac:dyDescent="0.2">
      <c r="A147">
        <f>'uniforme cercle (rejet)'!L153</f>
        <v>144</v>
      </c>
      <c r="B147">
        <f ca="1">'uniforme cercle (rejet)'!M153</f>
        <v>0.61727525880150891</v>
      </c>
      <c r="C147">
        <f ca="1">'uniforme cercle (rejet)'!N153</f>
        <v>0.61305902410404123</v>
      </c>
      <c r="D147">
        <f ca="1">'uniforme cercle (rejet)'!O153</f>
        <v>0.86998282291311313</v>
      </c>
    </row>
    <row r="148" spans="1:4" x14ac:dyDescent="0.2">
      <c r="A148">
        <f>'uniforme cercle (rejet)'!L154</f>
        <v>145</v>
      </c>
      <c r="B148">
        <f ca="1">'uniforme cercle (rejet)'!M154</f>
        <v>0.22192801710324672</v>
      </c>
      <c r="C148">
        <f ca="1">'uniforme cercle (rejet)'!N154</f>
        <v>-0.66082676176526056</v>
      </c>
      <c r="D148">
        <f ca="1">'uniforme cercle (rejet)'!O154</f>
        <v>0.69709687550622357</v>
      </c>
    </row>
    <row r="149" spans="1:4" x14ac:dyDescent="0.2">
      <c r="A149">
        <f>'uniforme cercle (rejet)'!L155</f>
        <v>146</v>
      </c>
      <c r="B149">
        <f ca="1">'uniforme cercle (rejet)'!M155</f>
        <v>2.4864567483524169E-2</v>
      </c>
      <c r="C149">
        <f ca="1">'uniforme cercle (rejet)'!N155</f>
        <v>0.19302185276550299</v>
      </c>
      <c r="D149">
        <f ca="1">'uniforme cercle (rejet)'!O155</f>
        <v>0.194616757657634</v>
      </c>
    </row>
    <row r="150" spans="1:4" x14ac:dyDescent="0.2">
      <c r="A150">
        <f>'uniforme cercle (rejet)'!L156</f>
        <v>147</v>
      </c>
      <c r="B150">
        <f ca="1">'uniforme cercle (rejet)'!M156</f>
        <v>0.55209653348238996</v>
      </c>
      <c r="C150">
        <f ca="1">'uniforme cercle (rejet)'!N156</f>
        <v>7.3949849191701222E-2</v>
      </c>
      <c r="D150">
        <f ca="1">'uniforme cercle (rejet)'!O156</f>
        <v>0.55702707517565708</v>
      </c>
    </row>
    <row r="151" spans="1:4" x14ac:dyDescent="0.2">
      <c r="A151">
        <f>'uniforme cercle (rejet)'!L157</f>
        <v>148</v>
      </c>
      <c r="B151">
        <f ca="1">'uniforme cercle (rejet)'!M157</f>
        <v>0.69896923001006006</v>
      </c>
      <c r="C151">
        <f ca="1">'uniforme cercle (rejet)'!N157</f>
        <v>0.26438442563156683</v>
      </c>
      <c r="D151">
        <f ca="1">'uniforme cercle (rejet)'!O157</f>
        <v>0.74729987890898908</v>
      </c>
    </row>
    <row r="152" spans="1:4" x14ac:dyDescent="0.2">
      <c r="A152">
        <f>'uniforme cercle (rejet)'!L158</f>
        <v>149</v>
      </c>
      <c r="B152">
        <f ca="1">'uniforme cercle (rejet)'!M158</f>
        <v>0.82833849757509048</v>
      </c>
      <c r="C152">
        <f ca="1">'uniforme cercle (rejet)'!N158</f>
        <v>0.35696571315822045</v>
      </c>
      <c r="D152">
        <f ca="1">'uniforme cercle (rejet)'!O158</f>
        <v>0.9019807020859788</v>
      </c>
    </row>
    <row r="153" spans="1:4" x14ac:dyDescent="0.2">
      <c r="A153">
        <f>'uniforme cercle (rejet)'!L159</f>
        <v>150</v>
      </c>
      <c r="B153">
        <f ca="1">'uniforme cercle (rejet)'!M159</f>
        <v>0.58081469436696564</v>
      </c>
      <c r="C153">
        <f ca="1">'uniforme cercle (rejet)'!N159</f>
        <v>-0.52428791329457747</v>
      </c>
      <c r="D153">
        <f ca="1">'uniforme cercle (rejet)'!O159</f>
        <v>0.78244713892976447</v>
      </c>
    </row>
    <row r="154" spans="1:4" x14ac:dyDescent="0.2">
      <c r="A154">
        <f>'uniforme cercle (rejet)'!L160</f>
        <v>151</v>
      </c>
      <c r="B154">
        <f ca="1">'uniforme cercle (rejet)'!M160</f>
        <v>-0.28652288580614926</v>
      </c>
      <c r="C154">
        <f ca="1">'uniforme cercle (rejet)'!N160</f>
        <v>-0.93599320034367728</v>
      </c>
      <c r="D154">
        <f ca="1">'uniforme cercle (rejet)'!O160</f>
        <v>0.97886599449581591</v>
      </c>
    </row>
    <row r="155" spans="1:4" x14ac:dyDescent="0.2">
      <c r="A155">
        <f>'uniforme cercle (rejet)'!L161</f>
        <v>152</v>
      </c>
      <c r="B155">
        <f ca="1">'uniforme cercle (rejet)'!M161</f>
        <v>0.17621913362156327</v>
      </c>
      <c r="C155">
        <f ca="1">'uniforme cercle (rejet)'!N161</f>
        <v>-0.24138576078721785</v>
      </c>
      <c r="D155">
        <f ca="1">'uniforme cercle (rejet)'!O161</f>
        <v>0.29886496710915839</v>
      </c>
    </row>
    <row r="156" spans="1:4" x14ac:dyDescent="0.2">
      <c r="A156">
        <f>'uniforme cercle (rejet)'!L162</f>
        <v>153</v>
      </c>
      <c r="B156">
        <f ca="1">'uniforme cercle (rejet)'!M162</f>
        <v>0.44332888634397505</v>
      </c>
      <c r="C156">
        <f ca="1">'uniforme cercle (rejet)'!N162</f>
        <v>-0.53624282595685102</v>
      </c>
      <c r="D156">
        <f ca="1">'uniforme cercle (rejet)'!O162</f>
        <v>0.69577070206870506</v>
      </c>
    </row>
    <row r="157" spans="1:4" x14ac:dyDescent="0.2">
      <c r="A157">
        <f>'uniforme cercle (rejet)'!L163</f>
        <v>154</v>
      </c>
      <c r="B157">
        <f ca="1">'uniforme cercle (rejet)'!M163</f>
        <v>0.20058823610511478</v>
      </c>
      <c r="C157">
        <f ca="1">'uniforme cercle (rejet)'!N163</f>
        <v>0.3193714693606089</v>
      </c>
      <c r="D157">
        <f ca="1">'uniforme cercle (rejet)'!O163</f>
        <v>0.37713893448610636</v>
      </c>
    </row>
    <row r="158" spans="1:4" x14ac:dyDescent="0.2">
      <c r="A158">
        <f>'uniforme cercle (rejet)'!L164</f>
        <v>155</v>
      </c>
      <c r="B158">
        <f ca="1">'uniforme cercle (rejet)'!M164</f>
        <v>-0.11531642407258302</v>
      </c>
      <c r="C158">
        <f ca="1">'uniforme cercle (rejet)'!N164</f>
        <v>0.71045804389276701</v>
      </c>
      <c r="D158">
        <f ca="1">'uniforme cercle (rejet)'!O164</f>
        <v>0.71975586818922477</v>
      </c>
    </row>
    <row r="159" spans="1:4" x14ac:dyDescent="0.2">
      <c r="A159">
        <f>'uniforme cercle (rejet)'!L165</f>
        <v>156</v>
      </c>
      <c r="B159">
        <f ca="1">'uniforme cercle (rejet)'!M165</f>
        <v>0.21062698331727536</v>
      </c>
      <c r="C159">
        <f ca="1">'uniforme cercle (rejet)'!N165</f>
        <v>-0.66744167378325248</v>
      </c>
      <c r="D159">
        <f ca="1">'uniforme cercle (rejet)'!O165</f>
        <v>0.69988721520251063</v>
      </c>
    </row>
    <row r="160" spans="1:4" x14ac:dyDescent="0.2">
      <c r="A160">
        <f>'uniforme cercle (rejet)'!L166</f>
        <v>157</v>
      </c>
      <c r="B160">
        <f ca="1">'uniforme cercle (rejet)'!M166</f>
        <v>0.65182486951935426</v>
      </c>
      <c r="C160">
        <f ca="1">'uniforme cercle (rejet)'!N166</f>
        <v>-0.44473915282220822</v>
      </c>
      <c r="D160">
        <f ca="1">'uniforme cercle (rejet)'!O166</f>
        <v>0.78909351446893716</v>
      </c>
    </row>
    <row r="161" spans="1:4" x14ac:dyDescent="0.2">
      <c r="A161">
        <f>'uniforme cercle (rejet)'!L167</f>
        <v>158</v>
      </c>
      <c r="B161">
        <f ca="1">'uniforme cercle (rejet)'!M167</f>
        <v>-0.6452460436053653</v>
      </c>
      <c r="C161">
        <f ca="1">'uniforme cercle (rejet)'!N167</f>
        <v>-0.73711727095095791</v>
      </c>
      <c r="D161">
        <f ca="1">'uniforme cercle (rejet)'!O167</f>
        <v>0.97963479313597512</v>
      </c>
    </row>
    <row r="162" spans="1:4" x14ac:dyDescent="0.2">
      <c r="A162">
        <f>'uniforme cercle (rejet)'!L168</f>
        <v>159</v>
      </c>
      <c r="B162">
        <f ca="1">'uniforme cercle (rejet)'!M168</f>
        <v>-0.83797510353540661</v>
      </c>
      <c r="C162">
        <f ca="1">'uniforme cercle (rejet)'!N168</f>
        <v>0.46087793173755509</v>
      </c>
      <c r="D162">
        <f ca="1">'uniforme cercle (rejet)'!O168</f>
        <v>0.95635283348137889</v>
      </c>
    </row>
    <row r="163" spans="1:4" x14ac:dyDescent="0.2">
      <c r="A163">
        <f>'uniforme cercle (rejet)'!L169</f>
        <v>160</v>
      </c>
      <c r="B163">
        <f ca="1">'uniforme cercle (rejet)'!M169</f>
        <v>0.47185147847338405</v>
      </c>
      <c r="C163">
        <f ca="1">'uniforme cercle (rejet)'!N169</f>
        <v>-0.48576126600838632</v>
      </c>
      <c r="D163">
        <f ca="1">'uniforme cercle (rejet)'!O169</f>
        <v>0.67720589578915269</v>
      </c>
    </row>
    <row r="164" spans="1:4" x14ac:dyDescent="0.2">
      <c r="A164">
        <f>'uniforme cercle (rejet)'!L170</f>
        <v>161</v>
      </c>
      <c r="B164">
        <f ca="1">'uniforme cercle (rejet)'!M170</f>
        <v>-0.40027816487250045</v>
      </c>
      <c r="C164">
        <f ca="1">'uniforme cercle (rejet)'!N170</f>
        <v>0.68274334596230846</v>
      </c>
      <c r="D164">
        <f ca="1">'uniforme cercle (rejet)'!O170</f>
        <v>0.79142977308760953</v>
      </c>
    </row>
    <row r="165" spans="1:4" x14ac:dyDescent="0.2">
      <c r="A165">
        <f>'uniforme cercle (rejet)'!L171</f>
        <v>162</v>
      </c>
      <c r="B165">
        <f ca="1">'uniforme cercle (rejet)'!M171</f>
        <v>-6.4078934832423773E-2</v>
      </c>
      <c r="C165">
        <f ca="1">'uniforme cercle (rejet)'!N171</f>
        <v>0.43430688685743557</v>
      </c>
      <c r="D165">
        <f ca="1">'uniforme cercle (rejet)'!O171</f>
        <v>0.43900863529212653</v>
      </c>
    </row>
    <row r="166" spans="1:4" x14ac:dyDescent="0.2">
      <c r="A166">
        <f>'uniforme cercle (rejet)'!L172</f>
        <v>163</v>
      </c>
      <c r="B166">
        <f ca="1">'uniforme cercle (rejet)'!M172</f>
        <v>0.47859397283038385</v>
      </c>
      <c r="C166">
        <f ca="1">'uniforme cercle (rejet)'!N172</f>
        <v>-0.35891055457044385</v>
      </c>
      <c r="D166">
        <f ca="1">'uniforme cercle (rejet)'!O172</f>
        <v>0.59822151165904569</v>
      </c>
    </row>
    <row r="167" spans="1:4" x14ac:dyDescent="0.2">
      <c r="A167">
        <f>'uniforme cercle (rejet)'!L173</f>
        <v>164</v>
      </c>
      <c r="B167">
        <f ca="1">'uniforme cercle (rejet)'!M173</f>
        <v>-0.696939274471293</v>
      </c>
      <c r="C167">
        <f ca="1">'uniforme cercle (rejet)'!N173</f>
        <v>0.11760768837624758</v>
      </c>
      <c r="D167">
        <f ca="1">'uniforme cercle (rejet)'!O173</f>
        <v>0.70679269992394289</v>
      </c>
    </row>
    <row r="168" spans="1:4" x14ac:dyDescent="0.2">
      <c r="A168">
        <f>'uniforme cercle (rejet)'!L174</f>
        <v>165</v>
      </c>
      <c r="B168">
        <f ca="1">'uniforme cercle (rejet)'!M174</f>
        <v>-0.22028948144143867</v>
      </c>
      <c r="C168">
        <f ca="1">'uniforme cercle (rejet)'!N174</f>
        <v>0.49165831188293141</v>
      </c>
      <c r="D168">
        <f ca="1">'uniforme cercle (rejet)'!O174</f>
        <v>0.53875351625517198</v>
      </c>
    </row>
    <row r="169" spans="1:4" x14ac:dyDescent="0.2">
      <c r="A169">
        <f>'uniforme cercle (rejet)'!L175</f>
        <v>166</v>
      </c>
      <c r="B169">
        <f ca="1">'uniforme cercle (rejet)'!M175</f>
        <v>-0.19672053577375959</v>
      </c>
      <c r="C169">
        <f ca="1">'uniforme cercle (rejet)'!N175</f>
        <v>0.3605965227164627</v>
      </c>
      <c r="D169">
        <f ca="1">'uniforme cercle (rejet)'!O175</f>
        <v>0.4107661395372304</v>
      </c>
    </row>
    <row r="170" spans="1:4" x14ac:dyDescent="0.2">
      <c r="A170">
        <f>'uniforme cercle (rejet)'!L176</f>
        <v>167</v>
      </c>
      <c r="B170">
        <f ca="1">'uniforme cercle (rejet)'!M176</f>
        <v>0.83857719624460669</v>
      </c>
      <c r="C170">
        <f ca="1">'uniforme cercle (rejet)'!N176</f>
        <v>-0.24130094803455426</v>
      </c>
      <c r="D170">
        <f ca="1">'uniforme cercle (rejet)'!O176</f>
        <v>0.87260406919968025</v>
      </c>
    </row>
    <row r="171" spans="1:4" x14ac:dyDescent="0.2">
      <c r="A171">
        <f>'uniforme cercle (rejet)'!L177</f>
        <v>168</v>
      </c>
      <c r="B171">
        <f ca="1">'uniforme cercle (rejet)'!M177</f>
        <v>-0.80088678109733813</v>
      </c>
      <c r="C171">
        <f ca="1">'uniforme cercle (rejet)'!N177</f>
        <v>0.51211636369972968</v>
      </c>
      <c r="D171">
        <f ca="1">'uniforme cercle (rejet)'!O177</f>
        <v>0.95062232569274818</v>
      </c>
    </row>
    <row r="172" spans="1:4" x14ac:dyDescent="0.2">
      <c r="A172">
        <f>'uniforme cercle (rejet)'!L178</f>
        <v>169</v>
      </c>
      <c r="B172">
        <f ca="1">'uniforme cercle (rejet)'!M178</f>
        <v>-0.31529796596964133</v>
      </c>
      <c r="C172">
        <f ca="1">'uniforme cercle (rejet)'!N178</f>
        <v>7.9891493061188257E-2</v>
      </c>
      <c r="D172">
        <f ca="1">'uniforme cercle (rejet)'!O178</f>
        <v>0.32526213737251836</v>
      </c>
    </row>
    <row r="173" spans="1:4" x14ac:dyDescent="0.2">
      <c r="A173">
        <f>'uniforme cercle (rejet)'!L179</f>
        <v>170</v>
      </c>
      <c r="B173">
        <f ca="1">'uniforme cercle (rejet)'!M179</f>
        <v>-0.63758943279684299</v>
      </c>
      <c r="C173">
        <f ca="1">'uniforme cercle (rejet)'!N179</f>
        <v>-0.62222526531973865</v>
      </c>
      <c r="D173">
        <f ca="1">'uniforme cercle (rejet)'!O179</f>
        <v>0.89088976064180869</v>
      </c>
    </row>
    <row r="174" spans="1:4" x14ac:dyDescent="0.2">
      <c r="A174">
        <f>'uniforme cercle (rejet)'!L180</f>
        <v>171</v>
      </c>
      <c r="B174">
        <f ca="1">'uniforme cercle (rejet)'!M180</f>
        <v>0.23717881921607353</v>
      </c>
      <c r="C174">
        <f ca="1">'uniforme cercle (rejet)'!N180</f>
        <v>-0.14562568621489125</v>
      </c>
      <c r="D174">
        <f ca="1">'uniforme cercle (rejet)'!O180</f>
        <v>0.27831750352841422</v>
      </c>
    </row>
    <row r="175" spans="1:4" x14ac:dyDescent="0.2">
      <c r="A175">
        <f>'uniforme cercle (rejet)'!L181</f>
        <v>172</v>
      </c>
      <c r="B175">
        <f ca="1">'uniforme cercle (rejet)'!M181</f>
        <v>0.42003553048942677</v>
      </c>
      <c r="C175">
        <f ca="1">'uniforme cercle (rejet)'!N181</f>
        <v>0.2723244052000644</v>
      </c>
      <c r="D175">
        <f ca="1">'uniforme cercle (rejet)'!O181</f>
        <v>0.50059008034628794</v>
      </c>
    </row>
    <row r="176" spans="1:4" x14ac:dyDescent="0.2">
      <c r="A176">
        <f>'uniforme cercle (rejet)'!L182</f>
        <v>173</v>
      </c>
      <c r="B176">
        <f ca="1">'uniforme cercle (rejet)'!M182</f>
        <v>0.98496953513788044</v>
      </c>
      <c r="C176">
        <f ca="1">'uniforme cercle (rejet)'!N182</f>
        <v>9.1293071616705523E-2</v>
      </c>
      <c r="D176">
        <f ca="1">'uniforme cercle (rejet)'!O182</f>
        <v>0.98919129094171931</v>
      </c>
    </row>
    <row r="177" spans="1:4" x14ac:dyDescent="0.2">
      <c r="A177">
        <f>'uniforme cercle (rejet)'!L183</f>
        <v>174</v>
      </c>
      <c r="B177">
        <f ca="1">'uniforme cercle (rejet)'!M183</f>
        <v>-0.56439678630190437</v>
      </c>
      <c r="C177">
        <f ca="1">'uniforme cercle (rejet)'!N183</f>
        <v>0.57306522078211386</v>
      </c>
      <c r="D177">
        <f ca="1">'uniforme cercle (rejet)'!O183</f>
        <v>0.8043304542648938</v>
      </c>
    </row>
    <row r="178" spans="1:4" x14ac:dyDescent="0.2">
      <c r="A178">
        <f>'uniforme cercle (rejet)'!L184</f>
        <v>175</v>
      </c>
      <c r="B178">
        <f ca="1">'uniforme cercle (rejet)'!M184</f>
        <v>0.75603287192200308</v>
      </c>
      <c r="C178">
        <f ca="1">'uniforme cercle (rejet)'!N184</f>
        <v>-0.40242353499477845</v>
      </c>
      <c r="D178">
        <f ca="1">'uniforme cercle (rejet)'!O184</f>
        <v>0.85646389587905314</v>
      </c>
    </row>
    <row r="179" spans="1:4" x14ac:dyDescent="0.2">
      <c r="A179">
        <f>'uniforme cercle (rejet)'!L185</f>
        <v>176</v>
      </c>
      <c r="B179">
        <f ca="1">'uniforme cercle (rejet)'!M185</f>
        <v>0.12656947813611663</v>
      </c>
      <c r="C179">
        <f ca="1">'uniforme cercle (rejet)'!N185</f>
        <v>-0.42523680909943984</v>
      </c>
      <c r="D179">
        <f ca="1">'uniforme cercle (rejet)'!O185</f>
        <v>0.44367350226120372</v>
      </c>
    </row>
    <row r="180" spans="1:4" x14ac:dyDescent="0.2">
      <c r="A180">
        <f>'uniforme cercle (rejet)'!L186</f>
        <v>177</v>
      </c>
      <c r="B180">
        <f ca="1">'uniforme cercle (rejet)'!M186</f>
        <v>0.66908215415021322</v>
      </c>
      <c r="C180">
        <f ca="1">'uniforme cercle (rejet)'!N186</f>
        <v>-9.6307702168258347E-2</v>
      </c>
      <c r="D180">
        <f ca="1">'uniforme cercle (rejet)'!O186</f>
        <v>0.67597788610221532</v>
      </c>
    </row>
    <row r="181" spans="1:4" x14ac:dyDescent="0.2">
      <c r="A181">
        <f>'uniforme cercle (rejet)'!L187</f>
        <v>178</v>
      </c>
      <c r="B181">
        <f ca="1">'uniforme cercle (rejet)'!M187</f>
        <v>-2.927822832200544E-2</v>
      </c>
      <c r="C181">
        <f ca="1">'uniforme cercle (rejet)'!N187</f>
        <v>0.20586576233137932</v>
      </c>
      <c r="D181">
        <f ca="1">'uniforme cercle (rejet)'!O187</f>
        <v>0.20793731448192612</v>
      </c>
    </row>
    <row r="182" spans="1:4" x14ac:dyDescent="0.2">
      <c r="A182">
        <f>'uniforme cercle (rejet)'!L188</f>
        <v>179</v>
      </c>
      <c r="B182">
        <f ca="1">'uniforme cercle (rejet)'!M188</f>
        <v>-0.63613211323640551</v>
      </c>
      <c r="C182">
        <f ca="1">'uniforme cercle (rejet)'!N188</f>
        <v>0.43847586366519531</v>
      </c>
      <c r="D182">
        <f ca="1">'uniforme cercle (rejet)'!O188</f>
        <v>0.77260931168835523</v>
      </c>
    </row>
    <row r="183" spans="1:4" x14ac:dyDescent="0.2">
      <c r="A183">
        <f>'uniforme cercle (rejet)'!L189</f>
        <v>180</v>
      </c>
      <c r="B183">
        <f ca="1">'uniforme cercle (rejet)'!M189</f>
        <v>-0.17286106049227179</v>
      </c>
      <c r="C183">
        <f ca="1">'uniforme cercle (rejet)'!N189</f>
        <v>0.2376448578251662</v>
      </c>
      <c r="D183">
        <f ca="1">'uniforme cercle (rejet)'!O189</f>
        <v>0.29386395608385912</v>
      </c>
    </row>
    <row r="184" spans="1:4" x14ac:dyDescent="0.2">
      <c r="A184">
        <f>'uniforme cercle (rejet)'!L190</f>
        <v>181</v>
      </c>
      <c r="B184">
        <f ca="1">'uniforme cercle (rejet)'!M190</f>
        <v>0.2269452753129837</v>
      </c>
      <c r="C184">
        <f ca="1">'uniforme cercle (rejet)'!N190</f>
        <v>0.21768942016107817</v>
      </c>
      <c r="D184">
        <f ca="1">'uniforme cercle (rejet)'!O190</f>
        <v>0.31447232252926871</v>
      </c>
    </row>
    <row r="185" spans="1:4" x14ac:dyDescent="0.2">
      <c r="A185">
        <f>'uniforme cercle (rejet)'!L191</f>
        <v>182</v>
      </c>
      <c r="B185">
        <f ca="1">'uniforme cercle (rejet)'!M191</f>
        <v>0.82168178271305958</v>
      </c>
      <c r="C185">
        <f ca="1">'uniforme cercle (rejet)'!N191</f>
        <v>0.54887985911201453</v>
      </c>
      <c r="D185">
        <f ca="1">'uniforme cercle (rejet)'!O191</f>
        <v>0.98814475244335365</v>
      </c>
    </row>
    <row r="186" spans="1:4" x14ac:dyDescent="0.2">
      <c r="A186">
        <f>'uniforme cercle (rejet)'!L192</f>
        <v>183</v>
      </c>
      <c r="B186">
        <f ca="1">'uniforme cercle (rejet)'!M192</f>
        <v>0.43814229922697079</v>
      </c>
      <c r="C186">
        <f ca="1">'uniforme cercle (rejet)'!N192</f>
        <v>-7.985649457295585E-2</v>
      </c>
      <c r="D186">
        <f ca="1">'uniforme cercle (rejet)'!O192</f>
        <v>0.44536022958654148</v>
      </c>
    </row>
    <row r="187" spans="1:4" x14ac:dyDescent="0.2">
      <c r="A187">
        <f>'uniforme cercle (rejet)'!L193</f>
        <v>184</v>
      </c>
      <c r="B187">
        <f ca="1">'uniforme cercle (rejet)'!M193</f>
        <v>-0.7946422952001484</v>
      </c>
      <c r="C187">
        <f ca="1">'uniforme cercle (rejet)'!N193</f>
        <v>-0.59609243872232187</v>
      </c>
      <c r="D187">
        <f ca="1">'uniforme cercle (rejet)'!O193</f>
        <v>0.99336930334235962</v>
      </c>
    </row>
    <row r="188" spans="1:4" x14ac:dyDescent="0.2">
      <c r="A188">
        <f>'uniforme cercle (rejet)'!L194</f>
        <v>185</v>
      </c>
      <c r="B188">
        <f ca="1">'uniforme cercle (rejet)'!M194</f>
        <v>0.43003336413654369</v>
      </c>
      <c r="C188">
        <f ca="1">'uniforme cercle (rejet)'!N194</f>
        <v>0.6274770627666042</v>
      </c>
      <c r="D188">
        <f ca="1">'uniforme cercle (rejet)'!O194</f>
        <v>0.76069452381938318</v>
      </c>
    </row>
    <row r="189" spans="1:4" x14ac:dyDescent="0.2">
      <c r="A189">
        <f>'uniforme cercle (rejet)'!L195</f>
        <v>186</v>
      </c>
      <c r="B189">
        <f ca="1">'uniforme cercle (rejet)'!M195</f>
        <v>-3.086301665795288E-2</v>
      </c>
      <c r="C189">
        <f ca="1">'uniforme cercle (rejet)'!N195</f>
        <v>-0.68209833609792825</v>
      </c>
      <c r="D189">
        <f ca="1">'uniforme cercle (rejet)'!O195</f>
        <v>0.68279621110898925</v>
      </c>
    </row>
    <row r="190" spans="1:4" x14ac:dyDescent="0.2">
      <c r="A190">
        <f>'uniforme cercle (rejet)'!L196</f>
        <v>187</v>
      </c>
      <c r="B190">
        <f ca="1">'uniforme cercle (rejet)'!M196</f>
        <v>-0.22366459897329438</v>
      </c>
      <c r="C190">
        <f ca="1">'uniforme cercle (rejet)'!N196</f>
        <v>0.64904561580845654</v>
      </c>
      <c r="D190">
        <f ca="1">'uniforme cercle (rejet)'!O196</f>
        <v>0.68650277802355841</v>
      </c>
    </row>
    <row r="191" spans="1:4" x14ac:dyDescent="0.2">
      <c r="A191">
        <f>'uniforme cercle (rejet)'!L197</f>
        <v>188</v>
      </c>
      <c r="B191">
        <f ca="1">'uniforme cercle (rejet)'!M197</f>
        <v>0.8362343363052942</v>
      </c>
      <c r="C191">
        <f ca="1">'uniforme cercle (rejet)'!N197</f>
        <v>-0.41530916960869901</v>
      </c>
      <c r="D191">
        <f ca="1">'uniforme cercle (rejet)'!O197</f>
        <v>0.93368601337763601</v>
      </c>
    </row>
    <row r="192" spans="1:4" x14ac:dyDescent="0.2">
      <c r="A192">
        <f>'uniforme cercle (rejet)'!L198</f>
        <v>189</v>
      </c>
      <c r="B192">
        <f ca="1">'uniforme cercle (rejet)'!M198</f>
        <v>-0.46824254982622193</v>
      </c>
      <c r="C192">
        <f ca="1">'uniforme cercle (rejet)'!N198</f>
        <v>-0.3324104165457944</v>
      </c>
      <c r="D192">
        <f ca="1">'uniforme cercle (rejet)'!O198</f>
        <v>0.57423668508369485</v>
      </c>
    </row>
    <row r="193" spans="1:4" x14ac:dyDescent="0.2">
      <c r="A193">
        <f>'uniforme cercle (rejet)'!L199</f>
        <v>190</v>
      </c>
      <c r="B193">
        <f ca="1">'uniforme cercle (rejet)'!M199</f>
        <v>0.63732296931491672</v>
      </c>
      <c r="C193">
        <f ca="1">'uniforme cercle (rejet)'!N199</f>
        <v>-0.42258418390803776</v>
      </c>
      <c r="D193">
        <f ca="1">'uniforme cercle (rejet)'!O199</f>
        <v>0.76469468397890961</v>
      </c>
    </row>
    <row r="194" spans="1:4" x14ac:dyDescent="0.2">
      <c r="A194">
        <f>'uniforme cercle (rejet)'!L200</f>
        <v>191</v>
      </c>
      <c r="B194">
        <f ca="1">'uniforme cercle (rejet)'!M200</f>
        <v>2.5095112065302461E-2</v>
      </c>
      <c r="C194">
        <f ca="1">'uniforme cercle (rejet)'!N200</f>
        <v>-8.0770829757597529E-2</v>
      </c>
      <c r="D194">
        <f ca="1">'uniforme cercle (rejet)'!O200</f>
        <v>8.4579498634721709E-2</v>
      </c>
    </row>
    <row r="195" spans="1:4" x14ac:dyDescent="0.2">
      <c r="A195">
        <f>'uniforme cercle (rejet)'!L201</f>
        <v>192</v>
      </c>
      <c r="B195">
        <f ca="1">'uniforme cercle (rejet)'!M201</f>
        <v>-0.35880181154627389</v>
      </c>
      <c r="C195">
        <f ca="1">'uniforme cercle (rejet)'!N201</f>
        <v>-0.51669635132751068</v>
      </c>
      <c r="D195">
        <f ca="1">'uniforme cercle (rejet)'!O201</f>
        <v>0.62905791422098023</v>
      </c>
    </row>
    <row r="196" spans="1:4" x14ac:dyDescent="0.2">
      <c r="A196">
        <f>'uniforme cercle (rejet)'!L202</f>
        <v>193</v>
      </c>
      <c r="B196">
        <f ca="1">'uniforme cercle (rejet)'!M202</f>
        <v>0.2686440819692435</v>
      </c>
      <c r="C196">
        <f ca="1">'uniforme cercle (rejet)'!N202</f>
        <v>-0.64386641029169422</v>
      </c>
      <c r="D196">
        <f ca="1">'uniforme cercle (rejet)'!O202</f>
        <v>0.69766295378141585</v>
      </c>
    </row>
    <row r="197" spans="1:4" x14ac:dyDescent="0.2">
      <c r="A197">
        <f>'uniforme cercle (rejet)'!L203</f>
        <v>194</v>
      </c>
      <c r="B197">
        <f ca="1">'uniforme cercle (rejet)'!M203</f>
        <v>0.63736512465283179</v>
      </c>
      <c r="C197">
        <f ca="1">'uniforme cercle (rejet)'!N203</f>
        <v>-0.57701340015323987</v>
      </c>
      <c r="D197">
        <f ca="1">'uniforme cercle (rejet)'!O203</f>
        <v>0.8597550616775238</v>
      </c>
    </row>
    <row r="198" spans="1:4" x14ac:dyDescent="0.2">
      <c r="A198">
        <f>'uniforme cercle (rejet)'!L204</f>
        <v>195</v>
      </c>
      <c r="B198">
        <f ca="1">'uniforme cercle (rejet)'!M204</f>
        <v>-0.44984261748245036</v>
      </c>
      <c r="C198">
        <f ca="1">'uniforme cercle (rejet)'!N204</f>
        <v>-0.1670418240126228</v>
      </c>
      <c r="D198">
        <f ca="1">'uniforme cercle (rejet)'!O204</f>
        <v>0.47985555271657138</v>
      </c>
    </row>
    <row r="199" spans="1:4" x14ac:dyDescent="0.2">
      <c r="A199">
        <f>'uniforme cercle (rejet)'!L205</f>
        <v>196</v>
      </c>
      <c r="B199">
        <f ca="1">'uniforme cercle (rejet)'!M205</f>
        <v>-0.25045049154528409</v>
      </c>
      <c r="C199">
        <f ca="1">'uniforme cercle (rejet)'!N205</f>
        <v>-0.17852447446200559</v>
      </c>
      <c r="D199">
        <f ca="1">'uniforme cercle (rejet)'!O205</f>
        <v>0.30756533728170621</v>
      </c>
    </row>
    <row r="200" spans="1:4" x14ac:dyDescent="0.2">
      <c r="A200">
        <f>'uniforme cercle (rejet)'!L206</f>
        <v>197</v>
      </c>
      <c r="B200">
        <f ca="1">'uniforme cercle (rejet)'!M206</f>
        <v>0.73754812459142549</v>
      </c>
      <c r="C200">
        <f ca="1">'uniforme cercle (rejet)'!N206</f>
        <v>5.7410333824505999E-2</v>
      </c>
      <c r="D200">
        <f ca="1">'uniforme cercle (rejet)'!O206</f>
        <v>0.73977914441958292</v>
      </c>
    </row>
    <row r="201" spans="1:4" x14ac:dyDescent="0.2">
      <c r="A201">
        <f>'uniforme cercle (rejet)'!L207</f>
        <v>198</v>
      </c>
      <c r="B201">
        <f ca="1">'uniforme cercle (rejet)'!M207</f>
        <v>8.3754633407560508E-2</v>
      </c>
      <c r="C201">
        <f ca="1">'uniforme cercle (rejet)'!N207</f>
        <v>6.3846844392987601E-2</v>
      </c>
      <c r="D201">
        <f ca="1">'uniforme cercle (rejet)'!O207</f>
        <v>0.10531504240220019</v>
      </c>
    </row>
    <row r="202" spans="1:4" x14ac:dyDescent="0.2">
      <c r="A202">
        <f>'uniforme cercle (rejet)'!L208</f>
        <v>199</v>
      </c>
      <c r="B202">
        <f ca="1">'uniforme cercle (rejet)'!M208</f>
        <v>0.1113223276005364</v>
      </c>
      <c r="C202">
        <f ca="1">'uniforme cercle (rejet)'!N208</f>
        <v>-4.8826024926988953E-2</v>
      </c>
      <c r="D202">
        <f ca="1">'uniforme cercle (rejet)'!O208</f>
        <v>0.1215592091639794</v>
      </c>
    </row>
    <row r="203" spans="1:4" x14ac:dyDescent="0.2">
      <c r="A203">
        <f>'uniforme cercle (rejet)'!L209</f>
        <v>200</v>
      </c>
      <c r="B203">
        <f ca="1">'uniforme cercle (rejet)'!M209</f>
        <v>-0.71291256263702785</v>
      </c>
      <c r="C203">
        <f ca="1">'uniforme cercle (rejet)'!N209</f>
        <v>0.58216213238281878</v>
      </c>
      <c r="D203">
        <f ca="1">'uniforme cercle (rejet)'!O209</f>
        <v>0.92041135930963214</v>
      </c>
    </row>
    <row r="204" spans="1:4" x14ac:dyDescent="0.2">
      <c r="A204">
        <f>'uniforme cercle (rejet)'!L210</f>
        <v>201</v>
      </c>
      <c r="B204">
        <f ca="1">'uniforme cercle (rejet)'!M210</f>
        <v>-0.11940346508821498</v>
      </c>
      <c r="C204">
        <f ca="1">'uniforme cercle (rejet)'!N210</f>
        <v>0.33430750305897372</v>
      </c>
      <c r="D204">
        <f ca="1">'uniforme cercle (rejet)'!O210</f>
        <v>0.35499111830663921</v>
      </c>
    </row>
    <row r="205" spans="1:4" x14ac:dyDescent="0.2">
      <c r="A205">
        <f>'uniforme cercle (rejet)'!L211</f>
        <v>202</v>
      </c>
      <c r="B205">
        <f ca="1">'uniforme cercle (rejet)'!M211</f>
        <v>6.5898731125562326E-2</v>
      </c>
      <c r="C205">
        <f ca="1">'uniforme cercle (rejet)'!N211</f>
        <v>0.48634408338724899</v>
      </c>
      <c r="D205">
        <f ca="1">'uniforme cercle (rejet)'!O211</f>
        <v>0.49078835582126695</v>
      </c>
    </row>
    <row r="206" spans="1:4" x14ac:dyDescent="0.2">
      <c r="A206">
        <f>'uniforme cercle (rejet)'!L212</f>
        <v>203</v>
      </c>
      <c r="B206">
        <f ca="1">'uniforme cercle (rejet)'!M212</f>
        <v>3.4345534365215924E-2</v>
      </c>
      <c r="C206">
        <f ca="1">'uniforme cercle (rejet)'!N212</f>
        <v>-7.7651441494367868E-2</v>
      </c>
      <c r="D206">
        <f ca="1">'uniforme cercle (rejet)'!O212</f>
        <v>8.490796250638373E-2</v>
      </c>
    </row>
    <row r="207" spans="1:4" x14ac:dyDescent="0.2">
      <c r="A207">
        <f>'uniforme cercle (rejet)'!L213</f>
        <v>204</v>
      </c>
      <c r="B207">
        <f ca="1">'uniforme cercle (rejet)'!M213</f>
        <v>-0.72843531206936163</v>
      </c>
      <c r="C207">
        <f ca="1">'uniforme cercle (rejet)'!N213</f>
        <v>0.29116013149838338</v>
      </c>
      <c r="D207">
        <f ca="1">'uniforme cercle (rejet)'!O213</f>
        <v>0.78446939140016425</v>
      </c>
    </row>
    <row r="208" spans="1:4" x14ac:dyDescent="0.2">
      <c r="A208">
        <f>'uniforme cercle (rejet)'!L214</f>
        <v>205</v>
      </c>
      <c r="B208">
        <f ca="1">'uniforme cercle (rejet)'!M214</f>
        <v>-0.59227308925563715</v>
      </c>
      <c r="C208">
        <f ca="1">'uniforme cercle (rejet)'!N214</f>
        <v>-1.8462709751358553E-2</v>
      </c>
      <c r="D208">
        <f ca="1">'uniforme cercle (rejet)'!O214</f>
        <v>0.59256078498984288</v>
      </c>
    </row>
    <row r="209" spans="1:4" x14ac:dyDescent="0.2">
      <c r="A209">
        <f>'uniforme cercle (rejet)'!L215</f>
        <v>206</v>
      </c>
      <c r="B209">
        <f ca="1">'uniforme cercle (rejet)'!M215</f>
        <v>-5.5018146923834443E-2</v>
      </c>
      <c r="C209">
        <f ca="1">'uniforme cercle (rejet)'!N215</f>
        <v>0.78345281138433576</v>
      </c>
      <c r="D209">
        <f ca="1">'uniforme cercle (rejet)'!O215</f>
        <v>0.78538226626080132</v>
      </c>
    </row>
    <row r="210" spans="1:4" x14ac:dyDescent="0.2">
      <c r="A210">
        <f>'uniforme cercle (rejet)'!L216</f>
        <v>207</v>
      </c>
      <c r="B210">
        <f ca="1">'uniforme cercle (rejet)'!M216</f>
        <v>-0.8935169112273369</v>
      </c>
      <c r="C210">
        <f ca="1">'uniforme cercle (rejet)'!N216</f>
        <v>0.38397655651283502</v>
      </c>
      <c r="D210">
        <f ca="1">'uniforme cercle (rejet)'!O216</f>
        <v>0.97252787445949074</v>
      </c>
    </row>
    <row r="211" spans="1:4" x14ac:dyDescent="0.2">
      <c r="A211">
        <f>'uniforme cercle (rejet)'!L217</f>
        <v>208</v>
      </c>
      <c r="B211">
        <f ca="1">'uniforme cercle (rejet)'!M217</f>
        <v>0.53220199495428244</v>
      </c>
      <c r="C211">
        <f ca="1">'uniforme cercle (rejet)'!N217</f>
        <v>-0.39755333844022966</v>
      </c>
      <c r="D211">
        <f ca="1">'uniforme cercle (rejet)'!O217</f>
        <v>0.66429482937795759</v>
      </c>
    </row>
    <row r="212" spans="1:4" x14ac:dyDescent="0.2">
      <c r="A212">
        <f>'uniforme cercle (rejet)'!L218</f>
        <v>209</v>
      </c>
      <c r="B212">
        <f ca="1">'uniforme cercle (rejet)'!M218</f>
        <v>-0.93093134767783403</v>
      </c>
      <c r="C212">
        <f ca="1">'uniforme cercle (rejet)'!N218</f>
        <v>0.29944881251964262</v>
      </c>
      <c r="D212">
        <f ca="1">'uniforme cercle (rejet)'!O218</f>
        <v>0.97790733988895517</v>
      </c>
    </row>
    <row r="213" spans="1:4" x14ac:dyDescent="0.2">
      <c r="A213">
        <f>'uniforme cercle (rejet)'!L219</f>
        <v>210</v>
      </c>
      <c r="B213">
        <f ca="1">'uniforme cercle (rejet)'!M219</f>
        <v>-0.60833624582970169</v>
      </c>
      <c r="C213">
        <f ca="1">'uniforme cercle (rejet)'!N219</f>
        <v>-0.18712420434621535</v>
      </c>
      <c r="D213">
        <f ca="1">'uniforme cercle (rejet)'!O219</f>
        <v>0.63646559674689362</v>
      </c>
    </row>
    <row r="214" spans="1:4" x14ac:dyDescent="0.2">
      <c r="A214">
        <f>'uniforme cercle (rejet)'!L220</f>
        <v>211</v>
      </c>
      <c r="B214">
        <f ca="1">'uniforme cercle (rejet)'!M220</f>
        <v>0.31707585496136681</v>
      </c>
      <c r="C214">
        <f ca="1">'uniforme cercle (rejet)'!N220</f>
        <v>0.44302828748336465</v>
      </c>
      <c r="D214">
        <f ca="1">'uniforme cercle (rejet)'!O220</f>
        <v>0.54480378239318838</v>
      </c>
    </row>
    <row r="215" spans="1:4" x14ac:dyDescent="0.2">
      <c r="A215">
        <f>'uniforme cercle (rejet)'!L221</f>
        <v>212</v>
      </c>
      <c r="B215">
        <f ca="1">'uniforme cercle (rejet)'!M221</f>
        <v>-7.7423927345139365E-3</v>
      </c>
      <c r="C215">
        <f ca="1">'uniforme cercle (rejet)'!N221</f>
        <v>-0.72247771654027271</v>
      </c>
      <c r="D215">
        <f ca="1">'uniforme cercle (rejet)'!O221</f>
        <v>0.72251920081233978</v>
      </c>
    </row>
    <row r="216" spans="1:4" x14ac:dyDescent="0.2">
      <c r="A216">
        <f>'uniforme cercle (rejet)'!L222</f>
        <v>213</v>
      </c>
      <c r="B216">
        <f ca="1">'uniforme cercle (rejet)'!M222</f>
        <v>0.8412414460892863</v>
      </c>
      <c r="C216">
        <f ca="1">'uniforme cercle (rejet)'!N222</f>
        <v>0.18325842092696742</v>
      </c>
      <c r="D216">
        <f ca="1">'uniforme cercle (rejet)'!O222</f>
        <v>0.86097085865843281</v>
      </c>
    </row>
    <row r="217" spans="1:4" x14ac:dyDescent="0.2">
      <c r="A217">
        <f>'uniforme cercle (rejet)'!L223</f>
        <v>214</v>
      </c>
      <c r="B217">
        <f ca="1">'uniforme cercle (rejet)'!M223</f>
        <v>-0.49017904771442766</v>
      </c>
      <c r="C217">
        <f ca="1">'uniforme cercle (rejet)'!N223</f>
        <v>0.68638216141977049</v>
      </c>
      <c r="D217">
        <f ca="1">'uniforme cercle (rejet)'!O223</f>
        <v>0.84344292654186093</v>
      </c>
    </row>
    <row r="218" spans="1:4" x14ac:dyDescent="0.2">
      <c r="A218">
        <f>'uniforme cercle (rejet)'!L224</f>
        <v>215</v>
      </c>
      <c r="B218">
        <f ca="1">'uniforme cercle (rejet)'!M224</f>
        <v>0.3216297227910665</v>
      </c>
      <c r="C218">
        <f ca="1">'uniforme cercle (rejet)'!N224</f>
        <v>-0.75487596515981048</v>
      </c>
      <c r="D218">
        <f ca="1">'uniforme cercle (rejet)'!O224</f>
        <v>0.82053848255801731</v>
      </c>
    </row>
    <row r="219" spans="1:4" x14ac:dyDescent="0.2">
      <c r="A219">
        <f>'uniforme cercle (rejet)'!L225</f>
        <v>216</v>
      </c>
      <c r="B219">
        <f ca="1">'uniforme cercle (rejet)'!M225</f>
        <v>0.79162276842605261</v>
      </c>
      <c r="C219">
        <f ca="1">'uniforme cercle (rejet)'!N225</f>
        <v>-0.33790722354201175</v>
      </c>
      <c r="D219">
        <f ca="1">'uniforme cercle (rejet)'!O225</f>
        <v>0.86072521701899662</v>
      </c>
    </row>
    <row r="220" spans="1:4" x14ac:dyDescent="0.2">
      <c r="A220">
        <f>'uniforme cercle (rejet)'!L226</f>
        <v>217</v>
      </c>
      <c r="B220">
        <f ca="1">'uniforme cercle (rejet)'!M226</f>
        <v>-0.45663968524265131</v>
      </c>
      <c r="C220">
        <f ca="1">'uniforme cercle (rejet)'!N226</f>
        <v>0.76425913531358436</v>
      </c>
      <c r="D220">
        <f ca="1">'uniforme cercle (rejet)'!O226</f>
        <v>0.8902874974123669</v>
      </c>
    </row>
    <row r="221" spans="1:4" x14ac:dyDescent="0.2">
      <c r="A221">
        <f>'uniforme cercle (rejet)'!L227</f>
        <v>218</v>
      </c>
      <c r="B221">
        <f ca="1">'uniforme cercle (rejet)'!M227</f>
        <v>0.71454569525652167</v>
      </c>
      <c r="C221">
        <f ca="1">'uniforme cercle (rejet)'!N227</f>
        <v>0.50346837696808877</v>
      </c>
      <c r="D221">
        <f ca="1">'uniforme cercle (rejet)'!O227</f>
        <v>0.87410294429003466</v>
      </c>
    </row>
    <row r="222" spans="1:4" x14ac:dyDescent="0.2">
      <c r="A222">
        <f>'uniforme cercle (rejet)'!L228</f>
        <v>219</v>
      </c>
      <c r="B222">
        <f ca="1">'uniforme cercle (rejet)'!M228</f>
        <v>-0.22655596396344801</v>
      </c>
      <c r="C222">
        <f ca="1">'uniforme cercle (rejet)'!N228</f>
        <v>-0.39556619193734566</v>
      </c>
      <c r="D222">
        <f ca="1">'uniforme cercle (rejet)'!O228</f>
        <v>0.45585109083035014</v>
      </c>
    </row>
    <row r="223" spans="1:4" x14ac:dyDescent="0.2">
      <c r="A223">
        <f>'uniforme cercle (rejet)'!L229</f>
        <v>220</v>
      </c>
      <c r="B223">
        <f ca="1">'uniforme cercle (rejet)'!M229</f>
        <v>0.15450549908861344</v>
      </c>
      <c r="C223">
        <f ca="1">'uniforme cercle (rejet)'!N229</f>
        <v>0.83058792081629629</v>
      </c>
      <c r="D223">
        <f ca="1">'uniforme cercle (rejet)'!O229</f>
        <v>0.84483622285893945</v>
      </c>
    </row>
    <row r="224" spans="1:4" x14ac:dyDescent="0.2">
      <c r="A224">
        <f>'uniforme cercle (rejet)'!L230</f>
        <v>221</v>
      </c>
      <c r="B224">
        <f ca="1">'uniforme cercle (rejet)'!M230</f>
        <v>-0.19150635827607232</v>
      </c>
      <c r="C224">
        <f ca="1">'uniforme cercle (rejet)'!N230</f>
        <v>4.5024910339950042E-2</v>
      </c>
      <c r="D224">
        <f ca="1">'uniforme cercle (rejet)'!O230</f>
        <v>0.19672805547578595</v>
      </c>
    </row>
    <row r="225" spans="1:4" x14ac:dyDescent="0.2">
      <c r="A225">
        <f>'uniforme cercle (rejet)'!L231</f>
        <v>222</v>
      </c>
      <c r="B225">
        <f ca="1">'uniforme cercle (rejet)'!M231</f>
        <v>0.27873893867987598</v>
      </c>
      <c r="C225">
        <f ca="1">'uniforme cercle (rejet)'!N231</f>
        <v>-0.66111568343686034</v>
      </c>
      <c r="D225">
        <f ca="1">'uniforme cercle (rejet)'!O231</f>
        <v>0.71747428025161331</v>
      </c>
    </row>
    <row r="226" spans="1:4" x14ac:dyDescent="0.2">
      <c r="A226">
        <f>'uniforme cercle (rejet)'!L232</f>
        <v>223</v>
      </c>
      <c r="B226">
        <f ca="1">'uniforme cercle (rejet)'!M232</f>
        <v>-0.13803672475362672</v>
      </c>
      <c r="C226">
        <f ca="1">'uniforme cercle (rejet)'!N232</f>
        <v>0.48533785643546978</v>
      </c>
      <c r="D226">
        <f ca="1">'uniforme cercle (rejet)'!O232</f>
        <v>0.50458594141145585</v>
      </c>
    </row>
    <row r="227" spans="1:4" x14ac:dyDescent="0.2">
      <c r="A227">
        <f>'uniforme cercle (rejet)'!L233</f>
        <v>224</v>
      </c>
      <c r="B227">
        <f ca="1">'uniforme cercle (rejet)'!M233</f>
        <v>-0.42706499602327086</v>
      </c>
      <c r="C227">
        <f ca="1">'uniforme cercle (rejet)'!N233</f>
        <v>-0.52648715104139909</v>
      </c>
      <c r="D227">
        <f ca="1">'uniforme cercle (rejet)'!O233</f>
        <v>0.67791830705479939</v>
      </c>
    </row>
    <row r="228" spans="1:4" x14ac:dyDescent="0.2">
      <c r="A228">
        <f>'uniforme cercle (rejet)'!L234</f>
        <v>225</v>
      </c>
      <c r="B228">
        <f ca="1">'uniforme cercle (rejet)'!M234</f>
        <v>8.5455109731671586E-2</v>
      </c>
      <c r="C228">
        <f ca="1">'uniforme cercle (rejet)'!N234</f>
        <v>0.17790973473614002</v>
      </c>
      <c r="D228">
        <f ca="1">'uniforme cercle (rejet)'!O234</f>
        <v>0.19736881590853134</v>
      </c>
    </row>
    <row r="229" spans="1:4" x14ac:dyDescent="0.2">
      <c r="A229">
        <f>'uniforme cercle (rejet)'!L235</f>
        <v>226</v>
      </c>
      <c r="B229">
        <f ca="1">'uniforme cercle (rejet)'!M235</f>
        <v>0.55058201797569439</v>
      </c>
      <c r="C229">
        <f ca="1">'uniforme cercle (rejet)'!N235</f>
        <v>-0.38458086158973415</v>
      </c>
      <c r="D229">
        <f ca="1">'uniforme cercle (rejet)'!O235</f>
        <v>0.67159734783521152</v>
      </c>
    </row>
    <row r="230" spans="1:4" x14ac:dyDescent="0.2">
      <c r="A230">
        <f>'uniforme cercle (rejet)'!L236</f>
        <v>227</v>
      </c>
      <c r="B230">
        <f ca="1">'uniforme cercle (rejet)'!M236</f>
        <v>-0.38636600515455832</v>
      </c>
      <c r="C230">
        <f ca="1">'uniforme cercle (rejet)'!N236</f>
        <v>-0.27487186456189727</v>
      </c>
      <c r="D230">
        <f ca="1">'uniforme cercle (rejet)'!O236</f>
        <v>0.47416582739251273</v>
      </c>
    </row>
    <row r="231" spans="1:4" x14ac:dyDescent="0.2">
      <c r="A231">
        <f>'uniforme cercle (rejet)'!L237</f>
        <v>228</v>
      </c>
      <c r="B231">
        <f ca="1">'uniforme cercle (rejet)'!M237</f>
        <v>-0.24559283089309503</v>
      </c>
      <c r="C231">
        <f ca="1">'uniforme cercle (rejet)'!N237</f>
        <v>-0.43138863917387416</v>
      </c>
      <c r="D231">
        <f ca="1">'uniforme cercle (rejet)'!O237</f>
        <v>0.49639902960659721</v>
      </c>
    </row>
    <row r="232" spans="1:4" x14ac:dyDescent="0.2">
      <c r="A232">
        <f>'uniforme cercle (rejet)'!L238</f>
        <v>229</v>
      </c>
      <c r="B232">
        <f ca="1">'uniforme cercle (rejet)'!M238</f>
        <v>-0.4717173394905203</v>
      </c>
      <c r="C232">
        <f ca="1">'uniforme cercle (rejet)'!N238</f>
        <v>0.14603111565432214</v>
      </c>
      <c r="D232">
        <f ca="1">'uniforme cercle (rejet)'!O238</f>
        <v>0.49380394400537225</v>
      </c>
    </row>
    <row r="233" spans="1:4" x14ac:dyDescent="0.2">
      <c r="A233">
        <f>'uniforme cercle (rejet)'!L239</f>
        <v>230</v>
      </c>
      <c r="B233">
        <f ca="1">'uniforme cercle (rejet)'!M239</f>
        <v>-0.1824507461715712</v>
      </c>
      <c r="C233">
        <f ca="1">'uniforme cercle (rejet)'!N239</f>
        <v>-0.68805911857468005</v>
      </c>
      <c r="D233">
        <f ca="1">'uniforme cercle (rejet)'!O239</f>
        <v>0.71183820172306622</v>
      </c>
    </row>
    <row r="234" spans="1:4" x14ac:dyDescent="0.2">
      <c r="A234">
        <f>'uniforme cercle (rejet)'!L240</f>
        <v>231</v>
      </c>
      <c r="B234">
        <f ca="1">'uniforme cercle (rejet)'!M240</f>
        <v>0.16792201324440481</v>
      </c>
      <c r="C234">
        <f ca="1">'uniforme cercle (rejet)'!N240</f>
        <v>-0.37827903285089892</v>
      </c>
      <c r="D234">
        <f ca="1">'uniforme cercle (rejet)'!O240</f>
        <v>0.41387537886018966</v>
      </c>
    </row>
    <row r="235" spans="1:4" x14ac:dyDescent="0.2">
      <c r="A235">
        <f>'uniforme cercle (rejet)'!L241</f>
        <v>232</v>
      </c>
      <c r="B235">
        <f ca="1">'uniforme cercle (rejet)'!M241</f>
        <v>0.64786069817050107</v>
      </c>
      <c r="C235">
        <f ca="1">'uniforme cercle (rejet)'!N241</f>
        <v>-0.71236775006385233</v>
      </c>
      <c r="D235">
        <f ca="1">'uniforme cercle (rejet)'!O241</f>
        <v>0.96290772951773751</v>
      </c>
    </row>
    <row r="236" spans="1:4" x14ac:dyDescent="0.2">
      <c r="A236">
        <f>'uniforme cercle (rejet)'!L242</f>
        <v>233</v>
      </c>
      <c r="B236">
        <f ca="1">'uniforme cercle (rejet)'!M242</f>
        <v>-6.6377985463702105E-2</v>
      </c>
      <c r="C236">
        <f ca="1">'uniforme cercle (rejet)'!N242</f>
        <v>-0.2457187956279403</v>
      </c>
      <c r="D236">
        <f ca="1">'uniforme cercle (rejet)'!O242</f>
        <v>0.25452654769014749</v>
      </c>
    </row>
    <row r="237" spans="1:4" x14ac:dyDescent="0.2">
      <c r="A237">
        <f>'uniforme cercle (rejet)'!L243</f>
        <v>234</v>
      </c>
      <c r="B237">
        <f ca="1">'uniforme cercle (rejet)'!M243</f>
        <v>0.79811305130147092</v>
      </c>
      <c r="C237">
        <f ca="1">'uniforme cercle (rejet)'!N243</f>
        <v>-0.41300355702679958</v>
      </c>
      <c r="D237">
        <f ca="1">'uniforme cercle (rejet)'!O243</f>
        <v>0.89864140833512296</v>
      </c>
    </row>
    <row r="238" spans="1:4" x14ac:dyDescent="0.2">
      <c r="A238">
        <f>'uniforme cercle (rejet)'!L244</f>
        <v>235</v>
      </c>
      <c r="B238">
        <f ca="1">'uniforme cercle (rejet)'!M244</f>
        <v>-0.21024126143005351</v>
      </c>
      <c r="C238">
        <f ca="1">'uniforme cercle (rejet)'!N244</f>
        <v>-0.82975559310936298</v>
      </c>
      <c r="D238">
        <f ca="1">'uniforme cercle (rejet)'!O244</f>
        <v>0.85597647882635819</v>
      </c>
    </row>
    <row r="239" spans="1:4" x14ac:dyDescent="0.2">
      <c r="A239">
        <f>'uniforme cercle (rejet)'!L245</f>
        <v>236</v>
      </c>
      <c r="B239">
        <f ca="1">'uniforme cercle (rejet)'!M245</f>
        <v>0.78059967654771478</v>
      </c>
      <c r="C239">
        <f ca="1">'uniforme cercle (rejet)'!N245</f>
        <v>-0.46524403790958813</v>
      </c>
      <c r="D239">
        <f ca="1">'uniforme cercle (rejet)'!O245</f>
        <v>0.90872871080252293</v>
      </c>
    </row>
    <row r="240" spans="1:4" x14ac:dyDescent="0.2">
      <c r="A240">
        <f>'uniforme cercle (rejet)'!L246</f>
        <v>237</v>
      </c>
      <c r="B240">
        <f ca="1">'uniforme cercle (rejet)'!M246</f>
        <v>-0.53261164325099353</v>
      </c>
      <c r="C240">
        <f ca="1">'uniforme cercle (rejet)'!N246</f>
        <v>0.29160618244841663</v>
      </c>
      <c r="D240">
        <f ca="1">'uniforme cercle (rejet)'!O246</f>
        <v>0.6072144004951322</v>
      </c>
    </row>
    <row r="241" spans="1:4" x14ac:dyDescent="0.2">
      <c r="A241">
        <f>'uniforme cercle (rejet)'!L247</f>
        <v>238</v>
      </c>
      <c r="B241">
        <f ca="1">'uniforme cercle (rejet)'!M247</f>
        <v>-0.38856703549400673</v>
      </c>
      <c r="C241">
        <f ca="1">'uniforme cercle (rejet)'!N247</f>
        <v>0.31690565349567312</v>
      </c>
      <c r="D241">
        <f ca="1">'uniforme cercle (rejet)'!O247</f>
        <v>0.501411541839755</v>
      </c>
    </row>
    <row r="242" spans="1:4" x14ac:dyDescent="0.2">
      <c r="A242">
        <f>'uniforme cercle (rejet)'!L248</f>
        <v>239</v>
      </c>
      <c r="B242">
        <f ca="1">'uniforme cercle (rejet)'!M248</f>
        <v>-3.0890721495921536E-2</v>
      </c>
      <c r="C242">
        <f ca="1">'uniforme cercle (rejet)'!N248</f>
        <v>0.58221209111843497</v>
      </c>
      <c r="D242">
        <f ca="1">'uniforme cercle (rejet)'!O248</f>
        <v>0.58303100751078363</v>
      </c>
    </row>
    <row r="243" spans="1:4" x14ac:dyDescent="0.2">
      <c r="A243">
        <f>'uniforme cercle (rejet)'!L249</f>
        <v>240</v>
      </c>
      <c r="B243">
        <f ca="1">'uniforme cercle (rejet)'!M249</f>
        <v>-0.46826499217963824</v>
      </c>
      <c r="C243">
        <f ca="1">'uniforme cercle (rejet)'!N249</f>
        <v>-0.35296035162692463</v>
      </c>
      <c r="D243">
        <f ca="1">'uniforme cercle (rejet)'!O249</f>
        <v>0.58638989820903198</v>
      </c>
    </row>
    <row r="244" spans="1:4" x14ac:dyDescent="0.2">
      <c r="A244">
        <f>'uniforme cercle (rejet)'!L250</f>
        <v>241</v>
      </c>
      <c r="B244">
        <f ca="1">'uniforme cercle (rejet)'!M250</f>
        <v>2.236175422472142E-2</v>
      </c>
      <c r="C244">
        <f ca="1">'uniforme cercle (rejet)'!N250</f>
        <v>-0.33570148090837915</v>
      </c>
      <c r="D244">
        <f ca="1">'uniforme cercle (rejet)'!O250</f>
        <v>0.33644543738336785</v>
      </c>
    </row>
    <row r="245" spans="1:4" x14ac:dyDescent="0.2">
      <c r="A245">
        <f>'uniforme cercle (rejet)'!L251</f>
        <v>242</v>
      </c>
      <c r="B245">
        <f ca="1">'uniforme cercle (rejet)'!M251</f>
        <v>-0.60906964774133932</v>
      </c>
      <c r="C245">
        <f ca="1">'uniforme cercle (rejet)'!N251</f>
        <v>0.27378473020086425</v>
      </c>
      <c r="D245">
        <f ca="1">'uniforme cercle (rejet)'!O251</f>
        <v>0.66777534717217524</v>
      </c>
    </row>
    <row r="246" spans="1:4" x14ac:dyDescent="0.2">
      <c r="A246">
        <f>'uniforme cercle (rejet)'!L252</f>
        <v>243</v>
      </c>
      <c r="B246">
        <f ca="1">'uniforme cercle (rejet)'!M252</f>
        <v>-0.49165666893455962</v>
      </c>
      <c r="C246">
        <f ca="1">'uniforme cercle (rejet)'!N252</f>
        <v>0.58629651666330718</v>
      </c>
      <c r="D246">
        <f ca="1">'uniforme cercle (rejet)'!O252</f>
        <v>0.76516003918092501</v>
      </c>
    </row>
    <row r="247" spans="1:4" x14ac:dyDescent="0.2">
      <c r="A247">
        <f>'uniforme cercle (rejet)'!L253</f>
        <v>244</v>
      </c>
      <c r="B247">
        <f ca="1">'uniforme cercle (rejet)'!M253</f>
        <v>-0.87105376787406308</v>
      </c>
      <c r="C247">
        <f ca="1">'uniforme cercle (rejet)'!N253</f>
        <v>-0.3444587939065511</v>
      </c>
      <c r="D247">
        <f ca="1">'uniforme cercle (rejet)'!O253</f>
        <v>0.9366891305161803</v>
      </c>
    </row>
    <row r="248" spans="1:4" x14ac:dyDescent="0.2">
      <c r="A248">
        <f>'uniforme cercle (rejet)'!L254</f>
        <v>245</v>
      </c>
      <c r="B248">
        <f ca="1">'uniforme cercle (rejet)'!M254</f>
        <v>-0.16911596373500082</v>
      </c>
      <c r="C248">
        <f ca="1">'uniforme cercle (rejet)'!N254</f>
        <v>0.53542849193638076</v>
      </c>
      <c r="D248">
        <f ca="1">'uniforme cercle (rejet)'!O254</f>
        <v>0.5615014507258953</v>
      </c>
    </row>
    <row r="249" spans="1:4" x14ac:dyDescent="0.2">
      <c r="A249">
        <f>'uniforme cercle (rejet)'!L255</f>
        <v>246</v>
      </c>
      <c r="B249">
        <f ca="1">'uniforme cercle (rejet)'!M255</f>
        <v>-0.13017569524902783</v>
      </c>
      <c r="C249">
        <f ca="1">'uniforme cercle (rejet)'!N255</f>
        <v>-0.94887301630672383</v>
      </c>
      <c r="D249">
        <f ca="1">'uniforme cercle (rejet)'!O255</f>
        <v>0.95776078052329328</v>
      </c>
    </row>
    <row r="250" spans="1:4" x14ac:dyDescent="0.2">
      <c r="A250">
        <f>'uniforme cercle (rejet)'!L256</f>
        <v>247</v>
      </c>
      <c r="B250">
        <f ca="1">'uniforme cercle (rejet)'!M256</f>
        <v>-0.31544042386176874</v>
      </c>
      <c r="C250">
        <f ca="1">'uniforme cercle (rejet)'!N256</f>
        <v>0.68182119679808606</v>
      </c>
      <c r="D250">
        <f ca="1">'uniforme cercle (rejet)'!O256</f>
        <v>0.75125415500299675</v>
      </c>
    </row>
    <row r="251" spans="1:4" x14ac:dyDescent="0.2">
      <c r="A251">
        <f>'uniforme cercle (rejet)'!L257</f>
        <v>248</v>
      </c>
      <c r="B251">
        <f ca="1">'uniforme cercle (rejet)'!M257</f>
        <v>0.20744178398669089</v>
      </c>
      <c r="C251">
        <f ca="1">'uniforme cercle (rejet)'!N257</f>
        <v>-0.43091355063759584</v>
      </c>
      <c r="D251">
        <f ca="1">'uniforme cercle (rejet)'!O257</f>
        <v>0.47824531557212435</v>
      </c>
    </row>
    <row r="252" spans="1:4" x14ac:dyDescent="0.2">
      <c r="A252">
        <f>'uniforme cercle (rejet)'!L258</f>
        <v>249</v>
      </c>
      <c r="B252">
        <f ca="1">'uniforme cercle (rejet)'!M258</f>
        <v>0.78947090007764409</v>
      </c>
      <c r="C252">
        <f ca="1">'uniforme cercle (rejet)'!N258</f>
        <v>-0.44183033605688871</v>
      </c>
      <c r="D252">
        <f ca="1">'uniforme cercle (rejet)'!O258</f>
        <v>0.90469793186983072</v>
      </c>
    </row>
    <row r="253" spans="1:4" x14ac:dyDescent="0.2">
      <c r="A253">
        <f>'uniforme cercle (rejet)'!L259</f>
        <v>250</v>
      </c>
      <c r="B253">
        <f ca="1">'uniforme cercle (rejet)'!M259</f>
        <v>-0.91382075709878796</v>
      </c>
      <c r="C253">
        <f ca="1">'uniforme cercle (rejet)'!N259</f>
        <v>-0.30889189501518488</v>
      </c>
      <c r="D253">
        <f ca="1">'uniforme cercle (rejet)'!O259</f>
        <v>0.96461524915930807</v>
      </c>
    </row>
    <row r="254" spans="1:4" x14ac:dyDescent="0.2">
      <c r="A254">
        <f>'uniforme cercle (rejet)'!L260</f>
        <v>251</v>
      </c>
      <c r="B254">
        <f ca="1">'uniforme cercle (rejet)'!M260</f>
        <v>-0.81034919280714401</v>
      </c>
      <c r="C254">
        <f ca="1">'uniforme cercle (rejet)'!N260</f>
        <v>-7.032537086178503E-2</v>
      </c>
      <c r="D254">
        <f ca="1">'uniforme cercle (rejet)'!O260</f>
        <v>0.81339502830422894</v>
      </c>
    </row>
    <row r="255" spans="1:4" x14ac:dyDescent="0.2">
      <c r="A255">
        <f>'uniforme cercle (rejet)'!L261</f>
        <v>252</v>
      </c>
      <c r="B255">
        <f ca="1">'uniforme cercle (rejet)'!M261</f>
        <v>0.50220010809376436</v>
      </c>
      <c r="C255">
        <f ca="1">'uniforme cercle (rejet)'!N261</f>
        <v>-0.36138505453567027</v>
      </c>
      <c r="D255">
        <f ca="1">'uniforme cercle (rejet)'!O261</f>
        <v>0.61871165029530362</v>
      </c>
    </row>
    <row r="256" spans="1:4" x14ac:dyDescent="0.2">
      <c r="A256">
        <f>'uniforme cercle (rejet)'!L262</f>
        <v>253</v>
      </c>
      <c r="B256">
        <f ca="1">'uniforme cercle (rejet)'!M262</f>
        <v>0.42284489542996129</v>
      </c>
      <c r="C256">
        <f ca="1">'uniforme cercle (rejet)'!N262</f>
        <v>0.65168079104548049</v>
      </c>
      <c r="D256">
        <f ca="1">'uniforme cercle (rejet)'!O262</f>
        <v>0.77684339413348824</v>
      </c>
    </row>
    <row r="257" spans="1:4" x14ac:dyDescent="0.2">
      <c r="A257">
        <f>'uniforme cercle (rejet)'!L263</f>
        <v>254</v>
      </c>
      <c r="B257">
        <f ca="1">'uniforme cercle (rejet)'!M263</f>
        <v>0.30467521754913696</v>
      </c>
      <c r="C257">
        <f ca="1">'uniforme cercle (rejet)'!N263</f>
        <v>0.38645615628379559</v>
      </c>
      <c r="D257">
        <f ca="1">'uniforme cercle (rejet)'!O263</f>
        <v>0.49211314645948989</v>
      </c>
    </row>
    <row r="258" spans="1:4" x14ac:dyDescent="0.2">
      <c r="A258">
        <f>'uniforme cercle (rejet)'!L264</f>
        <v>255</v>
      </c>
      <c r="B258">
        <f ca="1">'uniforme cercle (rejet)'!M264</f>
        <v>0.27033828547836602</v>
      </c>
      <c r="C258">
        <f ca="1">'uniforme cercle (rejet)'!N264</f>
        <v>-0.70380752596547147</v>
      </c>
      <c r="D258">
        <f ca="1">'uniforme cercle (rejet)'!O264</f>
        <v>0.75394152439099704</v>
      </c>
    </row>
    <row r="259" spans="1:4" x14ac:dyDescent="0.2">
      <c r="A259">
        <f>'uniforme cercle (rejet)'!L265</f>
        <v>256</v>
      </c>
      <c r="B259">
        <f ca="1">'uniforme cercle (rejet)'!M265</f>
        <v>0.71378882963168211</v>
      </c>
      <c r="C259">
        <f ca="1">'uniforme cercle (rejet)'!N265</f>
        <v>4.2720720944879886E-3</v>
      </c>
      <c r="D259">
        <f ca="1">'uniforme cercle (rejet)'!O265</f>
        <v>0.71380161383044449</v>
      </c>
    </row>
    <row r="260" spans="1:4" x14ac:dyDescent="0.2">
      <c r="A260">
        <f>'uniforme cercle (rejet)'!L266</f>
        <v>257</v>
      </c>
      <c r="B260">
        <f ca="1">'uniforme cercle (rejet)'!M266</f>
        <v>0.51891968858752913</v>
      </c>
      <c r="C260">
        <f ca="1">'uniforme cercle (rejet)'!N266</f>
        <v>-0.32876404161086348</v>
      </c>
      <c r="D260">
        <f ca="1">'uniforme cercle (rejet)'!O266</f>
        <v>0.61429914395194118</v>
      </c>
    </row>
    <row r="261" spans="1:4" x14ac:dyDescent="0.2">
      <c r="A261">
        <f>'uniforme cercle (rejet)'!L267</f>
        <v>258</v>
      </c>
      <c r="B261">
        <f ca="1">'uniforme cercle (rejet)'!M267</f>
        <v>-0.30173540505473939</v>
      </c>
      <c r="C261">
        <f ca="1">'uniforme cercle (rejet)'!N267</f>
        <v>0.72317710191591411</v>
      </c>
      <c r="D261">
        <f ca="1">'uniforme cercle (rejet)'!O267</f>
        <v>0.78360026505805114</v>
      </c>
    </row>
    <row r="262" spans="1:4" x14ac:dyDescent="0.2">
      <c r="A262">
        <f>'uniforme cercle (rejet)'!L268</f>
        <v>259</v>
      </c>
      <c r="B262">
        <f ca="1">'uniforme cercle (rejet)'!M268</f>
        <v>6.6293946739651277E-2</v>
      </c>
      <c r="C262">
        <f ca="1">'uniforme cercle (rejet)'!N268</f>
        <v>4.5999685507583266E-2</v>
      </c>
      <c r="D262">
        <f ca="1">'uniforme cercle (rejet)'!O268</f>
        <v>8.0689890575686651E-2</v>
      </c>
    </row>
    <row r="263" spans="1:4" x14ac:dyDescent="0.2">
      <c r="A263">
        <f>'uniforme cercle (rejet)'!L269</f>
        <v>260</v>
      </c>
      <c r="B263">
        <f ca="1">'uniforme cercle (rejet)'!M269</f>
        <v>-0.35204826827594693</v>
      </c>
      <c r="C263">
        <f ca="1">'uniforme cercle (rejet)'!N269</f>
        <v>-0.16502223983008557</v>
      </c>
      <c r="D263">
        <f ca="1">'uniforme cercle (rejet)'!O269</f>
        <v>0.38880627931481687</v>
      </c>
    </row>
    <row r="264" spans="1:4" x14ac:dyDescent="0.2">
      <c r="A264">
        <f>'uniforme cercle (rejet)'!L270</f>
        <v>261</v>
      </c>
      <c r="B264">
        <f ca="1">'uniforme cercle (rejet)'!M270</f>
        <v>0.63734370719098354</v>
      </c>
      <c r="C264">
        <f ca="1">'uniforme cercle (rejet)'!N270</f>
        <v>-0.56397443138096137</v>
      </c>
      <c r="D264">
        <f ca="1">'uniforme cercle (rejet)'!O270</f>
        <v>0.85104298384242905</v>
      </c>
    </row>
    <row r="265" spans="1:4" x14ac:dyDescent="0.2">
      <c r="A265">
        <f>'uniforme cercle (rejet)'!L271</f>
        <v>262</v>
      </c>
      <c r="B265">
        <f ca="1">'uniforme cercle (rejet)'!M271</f>
        <v>0.15883300634351327</v>
      </c>
      <c r="C265">
        <f ca="1">'uniforme cercle (rejet)'!N271</f>
        <v>-0.62205185129727125</v>
      </c>
      <c r="D265">
        <f ca="1">'uniforme cercle (rejet)'!O271</f>
        <v>0.64200968030589767</v>
      </c>
    </row>
    <row r="266" spans="1:4" x14ac:dyDescent="0.2">
      <c r="A266">
        <f>'uniforme cercle (rejet)'!L272</f>
        <v>263</v>
      </c>
      <c r="B266">
        <f ca="1">'uniforme cercle (rejet)'!M272</f>
        <v>0.34785923715921618</v>
      </c>
      <c r="C266">
        <f ca="1">'uniforme cercle (rejet)'!N272</f>
        <v>0.52128431891560689</v>
      </c>
      <c r="D266">
        <f ca="1">'uniforme cercle (rejet)'!O272</f>
        <v>0.6266924205894786</v>
      </c>
    </row>
    <row r="267" spans="1:4" x14ac:dyDescent="0.2">
      <c r="A267">
        <f>'uniforme cercle (rejet)'!L273</f>
        <v>264</v>
      </c>
      <c r="B267">
        <f ca="1">'uniforme cercle (rejet)'!M273</f>
        <v>-0.41353024281190542</v>
      </c>
      <c r="C267">
        <f ca="1">'uniforme cercle (rejet)'!N273</f>
        <v>-0.8343942617575244</v>
      </c>
      <c r="D267">
        <f ca="1">'uniforme cercle (rejet)'!O273</f>
        <v>0.93124703799472974</v>
      </c>
    </row>
    <row r="268" spans="1:4" x14ac:dyDescent="0.2">
      <c r="A268">
        <f>'uniforme cercle (rejet)'!L274</f>
        <v>265</v>
      </c>
      <c r="B268">
        <f ca="1">'uniforme cercle (rejet)'!M274</f>
        <v>-0.47632185792090653</v>
      </c>
      <c r="C268">
        <f ca="1">'uniforme cercle (rejet)'!N274</f>
        <v>-0.3983998298040119</v>
      </c>
      <c r="D268">
        <f ca="1">'uniforme cercle (rejet)'!O274</f>
        <v>0.62097096286468167</v>
      </c>
    </row>
    <row r="269" spans="1:4" x14ac:dyDescent="0.2">
      <c r="A269">
        <f>'uniforme cercle (rejet)'!L275</f>
        <v>266</v>
      </c>
      <c r="B269">
        <f ca="1">'uniforme cercle (rejet)'!M275</f>
        <v>-0.50576044907298812</v>
      </c>
      <c r="C269">
        <f ca="1">'uniforme cercle (rejet)'!N275</f>
        <v>-0.15933123648124203</v>
      </c>
      <c r="D269">
        <f ca="1">'uniforme cercle (rejet)'!O275</f>
        <v>0.53026415564806195</v>
      </c>
    </row>
    <row r="270" spans="1:4" x14ac:dyDescent="0.2">
      <c r="A270">
        <f>'uniforme cercle (rejet)'!L276</f>
        <v>267</v>
      </c>
      <c r="B270">
        <f ca="1">'uniforme cercle (rejet)'!M276</f>
        <v>0.24321921590570472</v>
      </c>
      <c r="C270">
        <f ca="1">'uniforme cercle (rejet)'!N276</f>
        <v>0.18377987157847997</v>
      </c>
      <c r="D270">
        <f ca="1">'uniforme cercle (rejet)'!O276</f>
        <v>0.30484525284673269</v>
      </c>
    </row>
    <row r="271" spans="1:4" x14ac:dyDescent="0.2">
      <c r="A271">
        <f>'uniforme cercle (rejet)'!L277</f>
        <v>268</v>
      </c>
      <c r="B271">
        <f ca="1">'uniforme cercle (rejet)'!M277</f>
        <v>-0.33200641506340323</v>
      </c>
      <c r="C271">
        <f ca="1">'uniforme cercle (rejet)'!N277</f>
        <v>0.66167072420751816</v>
      </c>
      <c r="D271">
        <f ca="1">'uniforme cercle (rejet)'!O277</f>
        <v>0.74029481081293169</v>
      </c>
    </row>
    <row r="272" spans="1:4" x14ac:dyDescent="0.2">
      <c r="A272">
        <f>'uniforme cercle (rejet)'!L278</f>
        <v>269</v>
      </c>
      <c r="B272">
        <f ca="1">'uniforme cercle (rejet)'!M278</f>
        <v>-0.63649323068025554</v>
      </c>
      <c r="C272">
        <f ca="1">'uniforme cercle (rejet)'!N278</f>
        <v>4.8980587178116375E-2</v>
      </c>
      <c r="D272">
        <f ca="1">'uniforme cercle (rejet)'!O278</f>
        <v>0.63837507048920861</v>
      </c>
    </row>
    <row r="273" spans="1:4" x14ac:dyDescent="0.2">
      <c r="A273">
        <f>'uniforme cercle (rejet)'!L279</f>
        <v>270</v>
      </c>
      <c r="B273">
        <f ca="1">'uniforme cercle (rejet)'!M279</f>
        <v>-8.356697934618329E-2</v>
      </c>
      <c r="C273">
        <f ca="1">'uniforme cercle (rejet)'!N279</f>
        <v>0.3625854138817326</v>
      </c>
      <c r="D273">
        <f ca="1">'uniforme cercle (rejet)'!O279</f>
        <v>0.37209087921747391</v>
      </c>
    </row>
    <row r="274" spans="1:4" x14ac:dyDescent="0.2">
      <c r="A274">
        <f>'uniforme cercle (rejet)'!L280</f>
        <v>271</v>
      </c>
      <c r="B274">
        <f ca="1">'uniforme cercle (rejet)'!M280</f>
        <v>-0.44646500867427785</v>
      </c>
      <c r="C274">
        <f ca="1">'uniforme cercle (rejet)'!N280</f>
        <v>0.38970998270074353</v>
      </c>
      <c r="D274">
        <f ca="1">'uniforme cercle (rejet)'!O280</f>
        <v>0.59262540832058219</v>
      </c>
    </row>
    <row r="275" spans="1:4" x14ac:dyDescent="0.2">
      <c r="A275">
        <f>'uniforme cercle (rejet)'!L281</f>
        <v>272</v>
      </c>
      <c r="B275">
        <f ca="1">'uniforme cercle (rejet)'!M281</f>
        <v>3.2772814029315755E-2</v>
      </c>
      <c r="C275">
        <f ca="1">'uniforme cercle (rejet)'!N281</f>
        <v>-0.41489898002795189</v>
      </c>
      <c r="D275">
        <f ca="1">'uniforme cercle (rejet)'!O281</f>
        <v>0.41619132735754466</v>
      </c>
    </row>
    <row r="276" spans="1:4" x14ac:dyDescent="0.2">
      <c r="A276">
        <f>'uniforme cercle (rejet)'!L282</f>
        <v>273</v>
      </c>
      <c r="B276">
        <f ca="1">'uniforme cercle (rejet)'!M282</f>
        <v>-0.69942318589266139</v>
      </c>
      <c r="C276">
        <f ca="1">'uniforme cercle (rejet)'!N282</f>
        <v>-0.4119795457034896</v>
      </c>
      <c r="D276">
        <f ca="1">'uniforme cercle (rejet)'!O282</f>
        <v>0.81173883672169711</v>
      </c>
    </row>
    <row r="277" spans="1:4" x14ac:dyDescent="0.2">
      <c r="A277">
        <f>'uniforme cercle (rejet)'!L283</f>
        <v>274</v>
      </c>
      <c r="B277">
        <f ca="1">'uniforme cercle (rejet)'!M283</f>
        <v>-0.64401591962906846</v>
      </c>
      <c r="C277">
        <f ca="1">'uniforme cercle (rejet)'!N283</f>
        <v>-0.12526044178057139</v>
      </c>
      <c r="D277">
        <f ca="1">'uniforme cercle (rejet)'!O283</f>
        <v>0.65608435662705655</v>
      </c>
    </row>
    <row r="278" spans="1:4" x14ac:dyDescent="0.2">
      <c r="A278">
        <f>'uniforme cercle (rejet)'!L284</f>
        <v>275</v>
      </c>
      <c r="B278">
        <f ca="1">'uniforme cercle (rejet)'!M284</f>
        <v>-0.63170362438977512</v>
      </c>
      <c r="C278">
        <f ca="1">'uniforme cercle (rejet)'!N284</f>
        <v>0.14219445019421584</v>
      </c>
      <c r="D278">
        <f ca="1">'uniforme cercle (rejet)'!O284</f>
        <v>0.64750963756010105</v>
      </c>
    </row>
    <row r="279" spans="1:4" x14ac:dyDescent="0.2">
      <c r="A279">
        <f>'uniforme cercle (rejet)'!L285</f>
        <v>276</v>
      </c>
      <c r="B279">
        <f ca="1">'uniforme cercle (rejet)'!M285</f>
        <v>-7.407604905552434E-2</v>
      </c>
      <c r="C279">
        <f ca="1">'uniforme cercle (rejet)'!N285</f>
        <v>0.41791250812058678</v>
      </c>
      <c r="D279">
        <f ca="1">'uniforme cercle (rejet)'!O285</f>
        <v>0.42442681994345732</v>
      </c>
    </row>
    <row r="280" spans="1:4" x14ac:dyDescent="0.2">
      <c r="A280">
        <f>'uniforme cercle (rejet)'!L286</f>
        <v>277</v>
      </c>
      <c r="B280">
        <f ca="1">'uniforme cercle (rejet)'!M286</f>
        <v>-0.15461079792582511</v>
      </c>
      <c r="C280">
        <f ca="1">'uniforme cercle (rejet)'!N286</f>
        <v>-0.53395609403316024</v>
      </c>
      <c r="D280">
        <f ca="1">'uniforme cercle (rejet)'!O286</f>
        <v>0.55588992542625681</v>
      </c>
    </row>
    <row r="281" spans="1:4" x14ac:dyDescent="0.2">
      <c r="A281">
        <f>'uniforme cercle (rejet)'!L287</f>
        <v>278</v>
      </c>
      <c r="B281">
        <f ca="1">'uniforme cercle (rejet)'!M287</f>
        <v>0.17668412989556681</v>
      </c>
      <c r="C281">
        <f ca="1">'uniforme cercle (rejet)'!N287</f>
        <v>-0.746998171218483</v>
      </c>
      <c r="D281">
        <f ca="1">'uniforme cercle (rejet)'!O287</f>
        <v>0.76760898220429363</v>
      </c>
    </row>
    <row r="282" spans="1:4" x14ac:dyDescent="0.2">
      <c r="A282">
        <f>'uniforme cercle (rejet)'!L288</f>
        <v>279</v>
      </c>
      <c r="B282">
        <f ca="1">'uniforme cercle (rejet)'!M288</f>
        <v>0.51738869131244636</v>
      </c>
      <c r="C282">
        <f ca="1">'uniforme cercle (rejet)'!N288</f>
        <v>0.8139121962569813</v>
      </c>
      <c r="D282">
        <f ca="1">'uniforme cercle (rejet)'!O288</f>
        <v>0.96443979652120781</v>
      </c>
    </row>
    <row r="283" spans="1:4" x14ac:dyDescent="0.2">
      <c r="A283">
        <f>'uniforme cercle (rejet)'!L289</f>
        <v>280</v>
      </c>
      <c r="B283">
        <f ca="1">'uniforme cercle (rejet)'!M289</f>
        <v>-0.91204249512434266</v>
      </c>
      <c r="C283">
        <f ca="1">'uniforme cercle (rejet)'!N289</f>
        <v>0.25566608091085907</v>
      </c>
      <c r="D283">
        <f ca="1">'uniforme cercle (rejet)'!O289</f>
        <v>0.9471993759715821</v>
      </c>
    </row>
    <row r="284" spans="1:4" x14ac:dyDescent="0.2">
      <c r="A284">
        <f>'uniforme cercle (rejet)'!L290</f>
        <v>281</v>
      </c>
      <c r="B284">
        <f ca="1">'uniforme cercle (rejet)'!M290</f>
        <v>-0.56238150143848675</v>
      </c>
      <c r="C284">
        <f ca="1">'uniforme cercle (rejet)'!N290</f>
        <v>0.25524658294350866</v>
      </c>
      <c r="D284">
        <f ca="1">'uniforme cercle (rejet)'!O290</f>
        <v>0.61759515158762712</v>
      </c>
    </row>
    <row r="285" spans="1:4" x14ac:dyDescent="0.2">
      <c r="A285">
        <f>'uniforme cercle (rejet)'!L291</f>
        <v>282</v>
      </c>
      <c r="B285">
        <f ca="1">'uniforme cercle (rejet)'!M291</f>
        <v>0.87418489648818309</v>
      </c>
      <c r="C285">
        <f ca="1">'uniforme cercle (rejet)'!N291</f>
        <v>0.37114286182852041</v>
      </c>
      <c r="D285">
        <f ca="1">'uniforme cercle (rejet)'!O291</f>
        <v>0.94970851166782722</v>
      </c>
    </row>
    <row r="286" spans="1:4" x14ac:dyDescent="0.2">
      <c r="A286">
        <f>'uniforme cercle (rejet)'!L292</f>
        <v>283</v>
      </c>
      <c r="B286">
        <f ca="1">'uniforme cercle (rejet)'!M292</f>
        <v>-0.19645122724180974</v>
      </c>
      <c r="C286">
        <f ca="1">'uniforme cercle (rejet)'!N292</f>
        <v>0.4555022094147021</v>
      </c>
      <c r="D286">
        <f ca="1">'uniforme cercle (rejet)'!O292</f>
        <v>0.49605982246750069</v>
      </c>
    </row>
    <row r="287" spans="1:4" x14ac:dyDescent="0.2">
      <c r="A287">
        <f>'uniforme cercle (rejet)'!L293</f>
        <v>284</v>
      </c>
      <c r="B287">
        <f ca="1">'uniforme cercle (rejet)'!M293</f>
        <v>0.68783963810095039</v>
      </c>
      <c r="C287">
        <f ca="1">'uniforme cercle (rejet)'!N293</f>
        <v>0.69389478316046849</v>
      </c>
      <c r="D287">
        <f ca="1">'uniforme cercle (rejet)'!O293</f>
        <v>0.97704316068439878</v>
      </c>
    </row>
    <row r="288" spans="1:4" x14ac:dyDescent="0.2">
      <c r="A288">
        <f>'uniforme cercle (rejet)'!L294</f>
        <v>285</v>
      </c>
      <c r="B288">
        <f ca="1">'uniforme cercle (rejet)'!M294</f>
        <v>0.7659452081642022</v>
      </c>
      <c r="C288">
        <f ca="1">'uniforme cercle (rejet)'!N294</f>
        <v>0.22907572489809525</v>
      </c>
      <c r="D288">
        <f ca="1">'uniforme cercle (rejet)'!O294</f>
        <v>0.79946716608456836</v>
      </c>
    </row>
    <row r="289" spans="1:4" x14ac:dyDescent="0.2">
      <c r="A289">
        <f>'uniforme cercle (rejet)'!L295</f>
        <v>286</v>
      </c>
      <c r="B289">
        <f ca="1">'uniforme cercle (rejet)'!M295</f>
        <v>0.63309871099713955</v>
      </c>
      <c r="C289">
        <f ca="1">'uniforme cercle (rejet)'!N295</f>
        <v>-2.3084560732880455E-2</v>
      </c>
      <c r="D289">
        <f ca="1">'uniforme cercle (rejet)'!O295</f>
        <v>0.63351943522710463</v>
      </c>
    </row>
    <row r="290" spans="1:4" x14ac:dyDescent="0.2">
      <c r="A290">
        <f>'uniforme cercle (rejet)'!L296</f>
        <v>287</v>
      </c>
      <c r="B290">
        <f ca="1">'uniforme cercle (rejet)'!M296</f>
        <v>-7.2029058730591622E-3</v>
      </c>
      <c r="C290">
        <f ca="1">'uniforme cercle (rejet)'!N296</f>
        <v>-0.43650513262619017</v>
      </c>
      <c r="D290">
        <f ca="1">'uniforme cercle (rejet)'!O296</f>
        <v>0.43656455726733479</v>
      </c>
    </row>
    <row r="291" spans="1:4" x14ac:dyDescent="0.2">
      <c r="A291">
        <f>'uniforme cercle (rejet)'!L297</f>
        <v>288</v>
      </c>
      <c r="B291">
        <f ca="1">'uniforme cercle (rejet)'!M297</f>
        <v>0.58116441051652457</v>
      </c>
      <c r="C291">
        <f ca="1">'uniforme cercle (rejet)'!N297</f>
        <v>-0.48512118427864448</v>
      </c>
      <c r="D291">
        <f ca="1">'uniforme cercle (rejet)'!O297</f>
        <v>0.75703014172946503</v>
      </c>
    </row>
    <row r="292" spans="1:4" x14ac:dyDescent="0.2">
      <c r="A292">
        <f>'uniforme cercle (rejet)'!L298</f>
        <v>289</v>
      </c>
      <c r="B292">
        <f ca="1">'uniforme cercle (rejet)'!M298</f>
        <v>5.3448918625491837E-2</v>
      </c>
      <c r="C292">
        <f ca="1">'uniforme cercle (rejet)'!N298</f>
        <v>0.33864166528600048</v>
      </c>
      <c r="D292">
        <f ca="1">'uniforme cercle (rejet)'!O298</f>
        <v>0.34283372700174941</v>
      </c>
    </row>
    <row r="293" spans="1:4" x14ac:dyDescent="0.2">
      <c r="A293">
        <f>'uniforme cercle (rejet)'!L299</f>
        <v>290</v>
      </c>
      <c r="B293">
        <f ca="1">'uniforme cercle (rejet)'!M299</f>
        <v>-0.18014434992252548</v>
      </c>
      <c r="C293">
        <f ca="1">'uniforme cercle (rejet)'!N299</f>
        <v>6.8199557851573056E-2</v>
      </c>
      <c r="D293">
        <f ca="1">'uniforme cercle (rejet)'!O299</f>
        <v>0.19262182249205143</v>
      </c>
    </row>
    <row r="294" spans="1:4" x14ac:dyDescent="0.2">
      <c r="A294">
        <f>'uniforme cercle (rejet)'!L300</f>
        <v>291</v>
      </c>
      <c r="B294">
        <f ca="1">'uniforme cercle (rejet)'!M300</f>
        <v>-0.20593639803059172</v>
      </c>
      <c r="C294">
        <f ca="1">'uniforme cercle (rejet)'!N300</f>
        <v>0.65131401638123898</v>
      </c>
      <c r="D294">
        <f ca="1">'uniforme cercle (rejet)'!O300</f>
        <v>0.68309570923002816</v>
      </c>
    </row>
    <row r="295" spans="1:4" x14ac:dyDescent="0.2">
      <c r="A295">
        <f>'uniforme cercle (rejet)'!L301</f>
        <v>292</v>
      </c>
      <c r="B295">
        <f ca="1">'uniforme cercle (rejet)'!M301</f>
        <v>0.79602426870321619</v>
      </c>
      <c r="C295">
        <f ca="1">'uniforme cercle (rejet)'!N301</f>
        <v>-0.39809937091214143</v>
      </c>
      <c r="D295">
        <f ca="1">'uniforme cercle (rejet)'!O301</f>
        <v>0.89002120507611104</v>
      </c>
    </row>
    <row r="296" spans="1:4" x14ac:dyDescent="0.2">
      <c r="A296">
        <f>'uniforme cercle (rejet)'!L302</f>
        <v>293</v>
      </c>
      <c r="B296">
        <f ca="1">'uniforme cercle (rejet)'!M302</f>
        <v>-0.67979448377915852</v>
      </c>
      <c r="C296">
        <f ca="1">'uniforme cercle (rejet)'!N302</f>
        <v>0.69473690239176977</v>
      </c>
      <c r="D296">
        <f ca="1">'uniforme cercle (rejet)'!O302</f>
        <v>0.97199789285856175</v>
      </c>
    </row>
    <row r="297" spans="1:4" x14ac:dyDescent="0.2">
      <c r="A297">
        <f>'uniforme cercle (rejet)'!L303</f>
        <v>294</v>
      </c>
      <c r="B297">
        <f ca="1">'uniforme cercle (rejet)'!M303</f>
        <v>-1.1513899839611597E-2</v>
      </c>
      <c r="C297">
        <f ca="1">'uniforme cercle (rejet)'!N303</f>
        <v>-0.5262277183700339</v>
      </c>
      <c r="D297">
        <f ca="1">'uniforme cercle (rejet)'!O303</f>
        <v>0.52635366577088483</v>
      </c>
    </row>
    <row r="298" spans="1:4" x14ac:dyDescent="0.2">
      <c r="A298">
        <f>'uniforme cercle (rejet)'!L304</f>
        <v>295</v>
      </c>
      <c r="B298">
        <f ca="1">'uniforme cercle (rejet)'!M304</f>
        <v>-0.51327484012177504</v>
      </c>
      <c r="C298">
        <f ca="1">'uniforme cercle (rejet)'!N304</f>
        <v>0.684540779512399</v>
      </c>
      <c r="D298">
        <f ca="1">'uniforme cercle (rejet)'!O304</f>
        <v>0.85559753407631833</v>
      </c>
    </row>
    <row r="299" spans="1:4" x14ac:dyDescent="0.2">
      <c r="A299">
        <f>'uniforme cercle (rejet)'!L305</f>
        <v>296</v>
      </c>
      <c r="B299">
        <f ca="1">'uniforme cercle (rejet)'!M305</f>
        <v>0.88104049474303014</v>
      </c>
      <c r="C299">
        <f ca="1">'uniforme cercle (rejet)'!N305</f>
        <v>0.41478606655705841</v>
      </c>
      <c r="D299">
        <f ca="1">'uniforme cercle (rejet)'!O305</f>
        <v>0.97379660832584536</v>
      </c>
    </row>
    <row r="300" spans="1:4" x14ac:dyDescent="0.2">
      <c r="A300">
        <f>'uniforme cercle (rejet)'!L306</f>
        <v>297</v>
      </c>
      <c r="B300">
        <f ca="1">'uniforme cercle (rejet)'!M306</f>
        <v>3.2036717609439602E-2</v>
      </c>
      <c r="C300">
        <f ca="1">'uniforme cercle (rejet)'!N306</f>
        <v>0.89515530248883479</v>
      </c>
      <c r="D300">
        <f ca="1">'uniforme cercle (rejet)'!O306</f>
        <v>0.89572840015769528</v>
      </c>
    </row>
    <row r="301" spans="1:4" x14ac:dyDescent="0.2">
      <c r="A301">
        <f>'uniforme cercle (rejet)'!L307</f>
        <v>298</v>
      </c>
      <c r="B301">
        <f ca="1">'uniforme cercle (rejet)'!M307</f>
        <v>0.73963391567596992</v>
      </c>
      <c r="C301">
        <f ca="1">'uniforme cercle (rejet)'!N307</f>
        <v>9.3595920812291178E-2</v>
      </c>
      <c r="D301">
        <f ca="1">'uniforme cercle (rejet)'!O307</f>
        <v>0.74553237730555233</v>
      </c>
    </row>
    <row r="302" spans="1:4" x14ac:dyDescent="0.2">
      <c r="A302">
        <f>'uniforme cercle (rejet)'!L308</f>
        <v>299</v>
      </c>
      <c r="B302">
        <f ca="1">'uniforme cercle (rejet)'!M308</f>
        <v>0.63699812500816422</v>
      </c>
      <c r="C302">
        <f ca="1">'uniforme cercle (rejet)'!N308</f>
        <v>-0.13716650457370427</v>
      </c>
      <c r="D302">
        <f ca="1">'uniforme cercle (rejet)'!O308</f>
        <v>0.65159900340691501</v>
      </c>
    </row>
    <row r="303" spans="1:4" x14ac:dyDescent="0.2">
      <c r="A303">
        <f>'uniforme cercle (rejet)'!L309</f>
        <v>300</v>
      </c>
      <c r="B303">
        <f ca="1">'uniforme cercle (rejet)'!M309</f>
        <v>0.50542054580274898</v>
      </c>
      <c r="C303">
        <f ca="1">'uniforme cercle (rejet)'!N309</f>
        <v>-0.3824017525762291</v>
      </c>
      <c r="D303">
        <f ca="1">'uniforme cercle (rejet)'!O309</f>
        <v>0.63378310839980601</v>
      </c>
    </row>
    <row r="304" spans="1:4" x14ac:dyDescent="0.2">
      <c r="A304">
        <f>'uniforme cercle (rejet)'!L310</f>
        <v>301</v>
      </c>
      <c r="B304">
        <f ca="1">'uniforme cercle (rejet)'!M310</f>
        <v>0.34781872134281611</v>
      </c>
      <c r="C304">
        <f ca="1">'uniforme cercle (rejet)'!N310</f>
        <v>4.3708908731121321E-2</v>
      </c>
      <c r="D304">
        <f ca="1">'uniforme cercle (rejet)'!O310</f>
        <v>0.35055432049686258</v>
      </c>
    </row>
    <row r="305" spans="1:4" x14ac:dyDescent="0.2">
      <c r="A305">
        <f>'uniforme cercle (rejet)'!L311</f>
        <v>302</v>
      </c>
      <c r="B305">
        <f ca="1">'uniforme cercle (rejet)'!M311</f>
        <v>0.65302874655683341</v>
      </c>
      <c r="C305">
        <f ca="1">'uniforme cercle (rejet)'!N311</f>
        <v>-0.56864549470738668</v>
      </c>
      <c r="D305">
        <f ca="1">'uniforme cercle (rejet)'!O311</f>
        <v>0.86591237575207203</v>
      </c>
    </row>
    <row r="306" spans="1:4" x14ac:dyDescent="0.2">
      <c r="A306">
        <f>'uniforme cercle (rejet)'!L312</f>
        <v>303</v>
      </c>
      <c r="B306">
        <f ca="1">'uniforme cercle (rejet)'!M312</f>
        <v>-0.93768731307975917</v>
      </c>
      <c r="C306">
        <f ca="1">'uniforme cercle (rejet)'!N312</f>
        <v>-8.9535293148014228E-2</v>
      </c>
      <c r="D306">
        <f ca="1">'uniforme cercle (rejet)'!O312</f>
        <v>0.94195226303132751</v>
      </c>
    </row>
    <row r="307" spans="1:4" x14ac:dyDescent="0.2">
      <c r="A307">
        <f>'uniforme cercle (rejet)'!L313</f>
        <v>304</v>
      </c>
      <c r="B307">
        <f ca="1">'uniforme cercle (rejet)'!M313</f>
        <v>-0.15812879845334016</v>
      </c>
      <c r="C307">
        <f ca="1">'uniforme cercle (rejet)'!N313</f>
        <v>0.12701817532237736</v>
      </c>
      <c r="D307">
        <f ca="1">'uniforme cercle (rejet)'!O313</f>
        <v>0.20282587054545895</v>
      </c>
    </row>
    <row r="308" spans="1:4" x14ac:dyDescent="0.2">
      <c r="A308">
        <f>'uniforme cercle (rejet)'!L314</f>
        <v>305</v>
      </c>
      <c r="B308">
        <f ca="1">'uniforme cercle (rejet)'!M314</f>
        <v>1.0135116287532275E-2</v>
      </c>
      <c r="C308">
        <f ca="1">'uniforme cercle (rejet)'!N314</f>
        <v>-0.454697360773618</v>
      </c>
      <c r="D308">
        <f ca="1">'uniforme cercle (rejet)'!O314</f>
        <v>0.45481030163866726</v>
      </c>
    </row>
    <row r="309" spans="1:4" x14ac:dyDescent="0.2">
      <c r="A309">
        <f>'uniforme cercle (rejet)'!L315</f>
        <v>306</v>
      </c>
      <c r="B309">
        <f ca="1">'uniforme cercle (rejet)'!M315</f>
        <v>0.55873023938597099</v>
      </c>
      <c r="C309">
        <f ca="1">'uniforme cercle (rejet)'!N315</f>
        <v>-0.24883900901938238</v>
      </c>
      <c r="D309">
        <f ca="1">'uniforme cercle (rejet)'!O315</f>
        <v>0.6116374194030747</v>
      </c>
    </row>
    <row r="310" spans="1:4" x14ac:dyDescent="0.2">
      <c r="A310">
        <f>'uniforme cercle (rejet)'!L316</f>
        <v>307</v>
      </c>
      <c r="B310">
        <f ca="1">'uniforme cercle (rejet)'!M316</f>
        <v>0.83148386949848629</v>
      </c>
      <c r="C310">
        <f ca="1">'uniforme cercle (rejet)'!N316</f>
        <v>-0.19268176786955782</v>
      </c>
      <c r="D310">
        <f ca="1">'uniforme cercle (rejet)'!O316</f>
        <v>0.85351724581610766</v>
      </c>
    </row>
    <row r="311" spans="1:4" x14ac:dyDescent="0.2">
      <c r="A311">
        <f>'uniforme cercle (rejet)'!L317</f>
        <v>308</v>
      </c>
      <c r="B311">
        <f ca="1">'uniforme cercle (rejet)'!M317</f>
        <v>-0.36719122942978522</v>
      </c>
      <c r="C311">
        <f ca="1">'uniforme cercle (rejet)'!N317</f>
        <v>0.70203569963013779</v>
      </c>
      <c r="D311">
        <f ca="1">'uniforme cercle (rejet)'!O317</f>
        <v>0.79226480581011183</v>
      </c>
    </row>
    <row r="312" spans="1:4" x14ac:dyDescent="0.2">
      <c r="A312">
        <f>'uniforme cercle (rejet)'!L318</f>
        <v>309</v>
      </c>
      <c r="B312">
        <f ca="1">'uniforme cercle (rejet)'!M318</f>
        <v>0.3364567220577348</v>
      </c>
      <c r="C312">
        <f ca="1">'uniforme cercle (rejet)'!N318</f>
        <v>0.41364096997175559</v>
      </c>
      <c r="D312">
        <f ca="1">'uniforme cercle (rejet)'!O318</f>
        <v>0.53319975417943566</v>
      </c>
    </row>
    <row r="313" spans="1:4" x14ac:dyDescent="0.2">
      <c r="A313">
        <f>'uniforme cercle (rejet)'!L319</f>
        <v>310</v>
      </c>
      <c r="B313">
        <f ca="1">'uniforme cercle (rejet)'!M319</f>
        <v>0.33215620532159362</v>
      </c>
      <c r="C313">
        <f ca="1">'uniforme cercle (rejet)'!N319</f>
        <v>0.45108492551705304</v>
      </c>
      <c r="D313">
        <f ca="1">'uniforme cercle (rejet)'!O319</f>
        <v>0.5601833224600371</v>
      </c>
    </row>
    <row r="314" spans="1:4" x14ac:dyDescent="0.2">
      <c r="A314">
        <f>'uniforme cercle (rejet)'!L320</f>
        <v>311</v>
      </c>
      <c r="B314">
        <f ca="1">'uniforme cercle (rejet)'!M320</f>
        <v>-0.10491358028308073</v>
      </c>
      <c r="C314">
        <f ca="1">'uniforme cercle (rejet)'!N320</f>
        <v>0.19219055595043866</v>
      </c>
      <c r="D314">
        <f ca="1">'uniforme cercle (rejet)'!O320</f>
        <v>0.21896134162073705</v>
      </c>
    </row>
    <row r="315" spans="1:4" x14ac:dyDescent="0.2">
      <c r="A315">
        <f>'uniforme cercle (rejet)'!L321</f>
        <v>312</v>
      </c>
      <c r="B315">
        <f ca="1">'uniforme cercle (rejet)'!M321</f>
        <v>0.36893372133154889</v>
      </c>
      <c r="C315">
        <f ca="1">'uniforme cercle (rejet)'!N321</f>
        <v>0.33724704198423372</v>
      </c>
      <c r="D315">
        <f ca="1">'uniforme cercle (rejet)'!O321</f>
        <v>0.49984763484752076</v>
      </c>
    </row>
    <row r="316" spans="1:4" x14ac:dyDescent="0.2">
      <c r="A316">
        <f>'uniforme cercle (rejet)'!L322</f>
        <v>313</v>
      </c>
      <c r="B316">
        <f ca="1">'uniforme cercle (rejet)'!M322</f>
        <v>-2.4842538612166676E-2</v>
      </c>
      <c r="C316">
        <f ca="1">'uniforme cercle (rejet)'!N322</f>
        <v>-0.42210400360713218</v>
      </c>
      <c r="D316">
        <f ca="1">'uniforme cercle (rejet)'!O322</f>
        <v>0.42283441390911741</v>
      </c>
    </row>
    <row r="317" spans="1:4" x14ac:dyDescent="0.2">
      <c r="A317">
        <f>'uniforme cercle (rejet)'!L323</f>
        <v>314</v>
      </c>
      <c r="B317">
        <f ca="1">'uniforme cercle (rejet)'!M323</f>
        <v>0.88361365341332543</v>
      </c>
      <c r="C317">
        <f ca="1">'uniforme cercle (rejet)'!N323</f>
        <v>-8.8648259810276686E-2</v>
      </c>
      <c r="D317">
        <f ca="1">'uniforme cercle (rejet)'!O323</f>
        <v>0.88804932434287387</v>
      </c>
    </row>
    <row r="318" spans="1:4" x14ac:dyDescent="0.2">
      <c r="A318">
        <f>'uniforme cercle (rejet)'!L324</f>
        <v>315</v>
      </c>
      <c r="B318">
        <f ca="1">'uniforme cercle (rejet)'!M324</f>
        <v>-0.35799067222946568</v>
      </c>
      <c r="C318">
        <f ca="1">'uniforme cercle (rejet)'!N324</f>
        <v>2.8356836987351031E-3</v>
      </c>
      <c r="D318">
        <f ca="1">'uniforme cercle (rejet)'!O324</f>
        <v>0.3580019029353671</v>
      </c>
    </row>
    <row r="319" spans="1:4" x14ac:dyDescent="0.2">
      <c r="A319">
        <f>'uniforme cercle (rejet)'!L325</f>
        <v>316</v>
      </c>
      <c r="B319">
        <f ca="1">'uniforme cercle (rejet)'!M325</f>
        <v>0.52391616819719422</v>
      </c>
      <c r="C319">
        <f ca="1">'uniforme cercle (rejet)'!N325</f>
        <v>-0.16265079848506003</v>
      </c>
      <c r="D319">
        <f ca="1">'uniforme cercle (rejet)'!O325</f>
        <v>0.54858311452892738</v>
      </c>
    </row>
    <row r="320" spans="1:4" x14ac:dyDescent="0.2">
      <c r="A320">
        <f>'uniforme cercle (rejet)'!L326</f>
        <v>317</v>
      </c>
      <c r="B320">
        <f ca="1">'uniforme cercle (rejet)'!M326</f>
        <v>-0.48255629773721465</v>
      </c>
      <c r="C320">
        <f ca="1">'uniforme cercle (rejet)'!N326</f>
        <v>0.57637376096972814</v>
      </c>
      <c r="D320">
        <f ca="1">'uniforme cercle (rejet)'!O326</f>
        <v>0.75170958010406963</v>
      </c>
    </row>
    <row r="321" spans="1:4" x14ac:dyDescent="0.2">
      <c r="A321">
        <f>'uniforme cercle (rejet)'!L327</f>
        <v>318</v>
      </c>
      <c r="B321">
        <f ca="1">'uniforme cercle (rejet)'!M327</f>
        <v>0.85242494645187761</v>
      </c>
      <c r="C321">
        <f ca="1">'uniforme cercle (rejet)'!N327</f>
        <v>0.43783517608082057</v>
      </c>
      <c r="D321">
        <f ca="1">'uniforme cercle (rejet)'!O327</f>
        <v>0.9582942819130299</v>
      </c>
    </row>
    <row r="322" spans="1:4" x14ac:dyDescent="0.2">
      <c r="A322">
        <f>'uniforme cercle (rejet)'!L328</f>
        <v>319</v>
      </c>
      <c r="B322">
        <f ca="1">'uniforme cercle (rejet)'!M328</f>
        <v>-0.84727636651104965</v>
      </c>
      <c r="C322">
        <f ca="1">'uniforme cercle (rejet)'!N328</f>
        <v>0.27225295620614554</v>
      </c>
      <c r="D322">
        <f ca="1">'uniforme cercle (rejet)'!O328</f>
        <v>0.88994320796956017</v>
      </c>
    </row>
    <row r="323" spans="1:4" x14ac:dyDescent="0.2">
      <c r="A323">
        <f>'uniforme cercle (rejet)'!L329</f>
        <v>320</v>
      </c>
      <c r="B323">
        <f ca="1">'uniforme cercle (rejet)'!M329</f>
        <v>-1.7047138298651454E-3</v>
      </c>
      <c r="C323">
        <f ca="1">'uniforme cercle (rejet)'!N329</f>
        <v>-0.45727449432209721</v>
      </c>
      <c r="D323">
        <f ca="1">'uniforme cercle (rejet)'!O329</f>
        <v>0.45727767188741181</v>
      </c>
    </row>
    <row r="324" spans="1:4" x14ac:dyDescent="0.2">
      <c r="A324">
        <f>'uniforme cercle (rejet)'!L330</f>
        <v>321</v>
      </c>
      <c r="B324">
        <f ca="1">'uniforme cercle (rejet)'!M330</f>
        <v>-0.1877716954179387</v>
      </c>
      <c r="C324">
        <f ca="1">'uniforme cercle (rejet)'!N330</f>
        <v>-0.77597088300400863</v>
      </c>
      <c r="D324">
        <f ca="1">'uniforme cercle (rejet)'!O330</f>
        <v>0.79836647028175478</v>
      </c>
    </row>
    <row r="325" spans="1:4" x14ac:dyDescent="0.2">
      <c r="A325">
        <f>'uniforme cercle (rejet)'!L331</f>
        <v>322</v>
      </c>
      <c r="B325">
        <f ca="1">'uniforme cercle (rejet)'!M331</f>
        <v>-2.1103907830199997E-3</v>
      </c>
      <c r="C325">
        <f ca="1">'uniforme cercle (rejet)'!N331</f>
        <v>0.21699165261276998</v>
      </c>
      <c r="D325">
        <f ca="1">'uniforme cercle (rejet)'!O331</f>
        <v>0.21700191485993411</v>
      </c>
    </row>
    <row r="326" spans="1:4" x14ac:dyDescent="0.2">
      <c r="A326">
        <f>'uniforme cercle (rejet)'!L332</f>
        <v>323</v>
      </c>
      <c r="B326">
        <f ca="1">'uniforme cercle (rejet)'!M332</f>
        <v>-0.4826348487027845</v>
      </c>
      <c r="C326">
        <f ca="1">'uniforme cercle (rejet)'!N332</f>
        <v>-0.14796847557897297</v>
      </c>
      <c r="D326">
        <f ca="1">'uniforme cercle (rejet)'!O332</f>
        <v>0.50480795055894756</v>
      </c>
    </row>
    <row r="327" spans="1:4" x14ac:dyDescent="0.2">
      <c r="A327">
        <f>'uniforme cercle (rejet)'!L333</f>
        <v>324</v>
      </c>
      <c r="B327">
        <f ca="1">'uniforme cercle (rejet)'!M333</f>
        <v>-0.47390565654821293</v>
      </c>
      <c r="C327">
        <f ca="1">'uniforme cercle (rejet)'!N333</f>
        <v>0.17198504738870746</v>
      </c>
      <c r="D327">
        <f ca="1">'uniforme cercle (rejet)'!O333</f>
        <v>0.50414822010366023</v>
      </c>
    </row>
    <row r="328" spans="1:4" x14ac:dyDescent="0.2">
      <c r="A328">
        <f>'uniforme cercle (rejet)'!L334</f>
        <v>325</v>
      </c>
      <c r="B328">
        <f ca="1">'uniforme cercle (rejet)'!M334</f>
        <v>0.64236103643060272</v>
      </c>
      <c r="C328">
        <f ca="1">'uniforme cercle (rejet)'!N334</f>
        <v>-0.73642974150836382</v>
      </c>
      <c r="D328">
        <f ca="1">'uniforme cercle (rejet)'!O334</f>
        <v>0.97721873974165763</v>
      </c>
    </row>
    <row r="329" spans="1:4" x14ac:dyDescent="0.2">
      <c r="A329">
        <f>'uniforme cercle (rejet)'!L335</f>
        <v>326</v>
      </c>
      <c r="B329">
        <f ca="1">'uniforme cercle (rejet)'!M335</f>
        <v>0.91867495067925065</v>
      </c>
      <c r="C329">
        <f ca="1">'uniforme cercle (rejet)'!N335</f>
        <v>8.6887862393091098E-2</v>
      </c>
      <c r="D329">
        <f ca="1">'uniforme cercle (rejet)'!O335</f>
        <v>0.92277471011984513</v>
      </c>
    </row>
    <row r="330" spans="1:4" x14ac:dyDescent="0.2">
      <c r="A330">
        <f>'uniforme cercle (rejet)'!L336</f>
        <v>327</v>
      </c>
      <c r="B330">
        <f ca="1">'uniforme cercle (rejet)'!M336</f>
        <v>0.6431493986402359</v>
      </c>
      <c r="C330">
        <f ca="1">'uniforme cercle (rejet)'!N336</f>
        <v>-0.63900549757467129</v>
      </c>
      <c r="D330">
        <f ca="1">'uniforme cercle (rejet)'!O336</f>
        <v>0.90662515677756828</v>
      </c>
    </row>
    <row r="331" spans="1:4" x14ac:dyDescent="0.2">
      <c r="A331">
        <f>'uniforme cercle (rejet)'!L337</f>
        <v>328</v>
      </c>
      <c r="B331">
        <f ca="1">'uniforme cercle (rejet)'!M337</f>
        <v>-0.57370209409566497</v>
      </c>
      <c r="C331">
        <f ca="1">'uniforme cercle (rejet)'!N337</f>
        <v>0.69062838231836587</v>
      </c>
      <c r="D331">
        <f ca="1">'uniforme cercle (rejet)'!O337</f>
        <v>0.89783164080657918</v>
      </c>
    </row>
    <row r="332" spans="1:4" x14ac:dyDescent="0.2">
      <c r="A332">
        <f>'uniforme cercle (rejet)'!L338</f>
        <v>329</v>
      </c>
      <c r="B332">
        <f ca="1">'uniforme cercle (rejet)'!M338</f>
        <v>-0.5613033809504997</v>
      </c>
      <c r="C332">
        <f ca="1">'uniforme cercle (rejet)'!N338</f>
        <v>0.58026750187858345</v>
      </c>
      <c r="D332">
        <f ca="1">'uniforme cercle (rejet)'!O338</f>
        <v>0.80732388742243566</v>
      </c>
    </row>
    <row r="333" spans="1:4" x14ac:dyDescent="0.2">
      <c r="A333">
        <f>'uniforme cercle (rejet)'!L339</f>
        <v>330</v>
      </c>
      <c r="B333">
        <f ca="1">'uniforme cercle (rejet)'!M339</f>
        <v>0.9392521658489188</v>
      </c>
      <c r="C333">
        <f ca="1">'uniforme cercle (rejet)'!N339</f>
        <v>-8.1093314246259762E-2</v>
      </c>
      <c r="D333">
        <f ca="1">'uniforme cercle (rejet)'!O339</f>
        <v>0.94274639042922226</v>
      </c>
    </row>
    <row r="334" spans="1:4" x14ac:dyDescent="0.2">
      <c r="A334">
        <f>'uniforme cercle (rejet)'!L340</f>
        <v>331</v>
      </c>
      <c r="B334">
        <f ca="1">'uniforme cercle (rejet)'!M340</f>
        <v>-0.77857523464636813</v>
      </c>
      <c r="C334">
        <f ca="1">'uniforme cercle (rejet)'!N340</f>
        <v>-0.12442237043937321</v>
      </c>
      <c r="D334">
        <f ca="1">'uniforme cercle (rejet)'!O340</f>
        <v>0.78845438819908908</v>
      </c>
    </row>
    <row r="335" spans="1:4" x14ac:dyDescent="0.2">
      <c r="A335">
        <f>'uniforme cercle (rejet)'!L341</f>
        <v>332</v>
      </c>
      <c r="B335">
        <f ca="1">'uniforme cercle (rejet)'!M341</f>
        <v>-1.129216678485867E-2</v>
      </c>
      <c r="C335">
        <f ca="1">'uniforme cercle (rejet)'!N341</f>
        <v>-0.71537323476580905</v>
      </c>
      <c r="D335">
        <f ca="1">'uniforme cercle (rejet)'!O341</f>
        <v>0.71546235264337588</v>
      </c>
    </row>
    <row r="336" spans="1:4" x14ac:dyDescent="0.2">
      <c r="A336">
        <f>'uniforme cercle (rejet)'!L342</f>
        <v>333</v>
      </c>
      <c r="B336">
        <f ca="1">'uniforme cercle (rejet)'!M342</f>
        <v>-0.13033454282968804</v>
      </c>
      <c r="C336">
        <f ca="1">'uniforme cercle (rejet)'!N342</f>
        <v>1.0245196091803521E-2</v>
      </c>
      <c r="D336">
        <f ca="1">'uniforme cercle (rejet)'!O342</f>
        <v>0.13073659433220408</v>
      </c>
    </row>
    <row r="337" spans="1:4" x14ac:dyDescent="0.2">
      <c r="A337">
        <f>'uniforme cercle (rejet)'!L343</f>
        <v>334</v>
      </c>
      <c r="B337">
        <f ca="1">'uniforme cercle (rejet)'!M343</f>
        <v>-0.3598118398351049</v>
      </c>
      <c r="C337">
        <f ca="1">'uniforme cercle (rejet)'!N343</f>
        <v>-0.77265100942570952</v>
      </c>
      <c r="D337">
        <f ca="1">'uniforme cercle (rejet)'!O343</f>
        <v>0.85232279240443354</v>
      </c>
    </row>
    <row r="338" spans="1:4" x14ac:dyDescent="0.2">
      <c r="A338">
        <f>'uniforme cercle (rejet)'!L344</f>
        <v>335</v>
      </c>
      <c r="B338">
        <f ca="1">'uniforme cercle (rejet)'!M344</f>
        <v>0.64869406134641072</v>
      </c>
      <c r="C338">
        <f ca="1">'uniforme cercle (rejet)'!N344</f>
        <v>2.697023418728195E-2</v>
      </c>
      <c r="D338">
        <f ca="1">'uniforme cercle (rejet)'!O344</f>
        <v>0.64925447919765455</v>
      </c>
    </row>
    <row r="339" spans="1:4" x14ac:dyDescent="0.2">
      <c r="A339">
        <f>'uniforme cercle (rejet)'!L345</f>
        <v>336</v>
      </c>
      <c r="B339">
        <f ca="1">'uniforme cercle (rejet)'!M345</f>
        <v>0.8303615861989575</v>
      </c>
      <c r="C339">
        <f ca="1">'uniforme cercle (rejet)'!N345</f>
        <v>0.37216927988717896</v>
      </c>
      <c r="D339">
        <f ca="1">'uniforme cercle (rejet)'!O345</f>
        <v>0.90995073313151964</v>
      </c>
    </row>
    <row r="340" spans="1:4" x14ac:dyDescent="0.2">
      <c r="A340">
        <f>'uniforme cercle (rejet)'!L346</f>
        <v>337</v>
      </c>
      <c r="B340">
        <f ca="1">'uniforme cercle (rejet)'!M346</f>
        <v>-7.0541656315936674E-3</v>
      </c>
      <c r="C340">
        <f ca="1">'uniforme cercle (rejet)'!N346</f>
        <v>-0.33113812760790973</v>
      </c>
      <c r="D340">
        <f ca="1">'uniforme cercle (rejet)'!O346</f>
        <v>0.33121325578610267</v>
      </c>
    </row>
    <row r="341" spans="1:4" x14ac:dyDescent="0.2">
      <c r="A341">
        <f>'uniforme cercle (rejet)'!L347</f>
        <v>338</v>
      </c>
      <c r="B341">
        <f ca="1">'uniforme cercle (rejet)'!M347</f>
        <v>0.44211722142893439</v>
      </c>
      <c r="C341">
        <f ca="1">'uniforme cercle (rejet)'!N347</f>
        <v>-0.11028513480767876</v>
      </c>
      <c r="D341">
        <f ca="1">'uniforme cercle (rejet)'!O347</f>
        <v>0.45566484222901077</v>
      </c>
    </row>
    <row r="342" spans="1:4" x14ac:dyDescent="0.2">
      <c r="A342">
        <f>'uniforme cercle (rejet)'!L348</f>
        <v>339</v>
      </c>
      <c r="B342">
        <f ca="1">'uniforme cercle (rejet)'!M348</f>
        <v>-0.69574706719980406</v>
      </c>
      <c r="C342">
        <f ca="1">'uniforme cercle (rejet)'!N348</f>
        <v>0.19193630632597736</v>
      </c>
      <c r="D342">
        <f ca="1">'uniforme cercle (rejet)'!O348</f>
        <v>0.72173646658817792</v>
      </c>
    </row>
    <row r="343" spans="1:4" x14ac:dyDescent="0.2">
      <c r="A343">
        <f>'uniforme cercle (rejet)'!L349</f>
        <v>340</v>
      </c>
      <c r="B343">
        <f ca="1">'uniforme cercle (rejet)'!M349</f>
        <v>-0.341786094298004</v>
      </c>
      <c r="C343">
        <f ca="1">'uniforme cercle (rejet)'!N349</f>
        <v>0.34654655697999326</v>
      </c>
      <c r="D343">
        <f ca="1">'uniforme cercle (rejet)'!O349</f>
        <v>0.48673632534481315</v>
      </c>
    </row>
    <row r="344" spans="1:4" x14ac:dyDescent="0.2">
      <c r="A344">
        <f>'uniforme cercle (rejet)'!L350</f>
        <v>341</v>
      </c>
      <c r="B344">
        <f ca="1">'uniforme cercle (rejet)'!M350</f>
        <v>0.3088270027687614</v>
      </c>
      <c r="C344">
        <f ca="1">'uniforme cercle (rejet)'!N350</f>
        <v>0.39792826582909568</v>
      </c>
      <c r="D344">
        <f ca="1">'uniforme cercle (rejet)'!O350</f>
        <v>0.50370727847122487</v>
      </c>
    </row>
    <row r="345" spans="1:4" x14ac:dyDescent="0.2">
      <c r="A345">
        <f>'uniforme cercle (rejet)'!L351</f>
        <v>342</v>
      </c>
      <c r="B345">
        <f ca="1">'uniforme cercle (rejet)'!M351</f>
        <v>-0.69842192980465501</v>
      </c>
      <c r="C345">
        <f ca="1">'uniforme cercle (rejet)'!N351</f>
        <v>-0.4983712028180407</v>
      </c>
      <c r="D345">
        <f ca="1">'uniforme cercle (rejet)'!O351</f>
        <v>0.8580017761230796</v>
      </c>
    </row>
    <row r="346" spans="1:4" x14ac:dyDescent="0.2">
      <c r="A346">
        <f>'uniforme cercle (rejet)'!L352</f>
        <v>343</v>
      </c>
      <c r="B346">
        <f ca="1">'uniforme cercle (rejet)'!M352</f>
        <v>-0.14335763328970064</v>
      </c>
      <c r="C346">
        <f ca="1">'uniforme cercle (rejet)'!N352</f>
        <v>0.16871985262021605</v>
      </c>
      <c r="D346">
        <f ca="1">'uniforme cercle (rejet)'!O352</f>
        <v>0.22139963796404841</v>
      </c>
    </row>
    <row r="347" spans="1:4" x14ac:dyDescent="0.2">
      <c r="A347">
        <f>'uniforme cercle (rejet)'!L353</f>
        <v>344</v>
      </c>
      <c r="B347">
        <f ca="1">'uniforme cercle (rejet)'!M353</f>
        <v>0.52897595294501643</v>
      </c>
      <c r="C347">
        <f ca="1">'uniforme cercle (rejet)'!N353</f>
        <v>-0.62297331177395909</v>
      </c>
      <c r="D347">
        <f ca="1">'uniforme cercle (rejet)'!O353</f>
        <v>0.81725840832425978</v>
      </c>
    </row>
    <row r="348" spans="1:4" x14ac:dyDescent="0.2">
      <c r="A348">
        <f>'uniforme cercle (rejet)'!L354</f>
        <v>345</v>
      </c>
      <c r="B348">
        <f ca="1">'uniforme cercle (rejet)'!M354</f>
        <v>-0.61272932173222605</v>
      </c>
      <c r="C348">
        <f ca="1">'uniforme cercle (rejet)'!N354</f>
        <v>-0.38078159904405995</v>
      </c>
      <c r="D348">
        <f ca="1">'uniforme cercle (rejet)'!O354</f>
        <v>0.72140962558104604</v>
      </c>
    </row>
    <row r="349" spans="1:4" x14ac:dyDescent="0.2">
      <c r="A349">
        <f>'uniforme cercle (rejet)'!L355</f>
        <v>346</v>
      </c>
      <c r="B349">
        <f ca="1">'uniforme cercle (rejet)'!M355</f>
        <v>-0.71188827090940987</v>
      </c>
      <c r="C349">
        <f ca="1">'uniforme cercle (rejet)'!N355</f>
        <v>-0.24548791420418414</v>
      </c>
      <c r="D349">
        <f ca="1">'uniforme cercle (rejet)'!O355</f>
        <v>0.75302671020270606</v>
      </c>
    </row>
    <row r="350" spans="1:4" x14ac:dyDescent="0.2">
      <c r="A350">
        <f>'uniforme cercle (rejet)'!L356</f>
        <v>347</v>
      </c>
      <c r="B350">
        <f ca="1">'uniforme cercle (rejet)'!M356</f>
        <v>0.91148066629162905</v>
      </c>
      <c r="C350">
        <f ca="1">'uniforme cercle (rejet)'!N356</f>
        <v>0.20304079809219133</v>
      </c>
      <c r="D350">
        <f ca="1">'uniforme cercle (rejet)'!O356</f>
        <v>0.93382148760528427</v>
      </c>
    </row>
    <row r="351" spans="1:4" x14ac:dyDescent="0.2">
      <c r="A351">
        <f>'uniforme cercle (rejet)'!L357</f>
        <v>348</v>
      </c>
      <c r="B351">
        <f ca="1">'uniforme cercle (rejet)'!M357</f>
        <v>-0.14109481080938213</v>
      </c>
      <c r="C351">
        <f ca="1">'uniforme cercle (rejet)'!N357</f>
        <v>0.51753554600696017</v>
      </c>
      <c r="D351">
        <f ca="1">'uniforme cercle (rejet)'!O357</f>
        <v>0.53642407386139723</v>
      </c>
    </row>
    <row r="352" spans="1:4" x14ac:dyDescent="0.2">
      <c r="A352">
        <f>'uniforme cercle (rejet)'!L358</f>
        <v>349</v>
      </c>
      <c r="B352">
        <f ca="1">'uniforme cercle (rejet)'!M358</f>
        <v>-0.45884923997263494</v>
      </c>
      <c r="C352">
        <f ca="1">'uniforme cercle (rejet)'!N358</f>
        <v>0.54326982708455751</v>
      </c>
      <c r="D352">
        <f ca="1">'uniforme cercle (rejet)'!O358</f>
        <v>0.71111513135634352</v>
      </c>
    </row>
    <row r="353" spans="1:4" x14ac:dyDescent="0.2">
      <c r="A353">
        <f>'uniforme cercle (rejet)'!L359</f>
        <v>350</v>
      </c>
      <c r="B353">
        <f ca="1">'uniforme cercle (rejet)'!M359</f>
        <v>-0.27326698449170639</v>
      </c>
      <c r="C353">
        <f ca="1">'uniforme cercle (rejet)'!N359</f>
        <v>0.43908115668739356</v>
      </c>
      <c r="D353">
        <f ca="1">'uniforme cercle (rejet)'!O359</f>
        <v>0.51717222177059163</v>
      </c>
    </row>
    <row r="354" spans="1:4" x14ac:dyDescent="0.2">
      <c r="A354">
        <f>'uniforme cercle (rejet)'!L360</f>
        <v>351</v>
      </c>
      <c r="B354">
        <f ca="1">'uniforme cercle (rejet)'!M360</f>
        <v>-0.64495472082250926</v>
      </c>
      <c r="C354">
        <f ca="1">'uniforme cercle (rejet)'!N360</f>
        <v>0.56044559796465143</v>
      </c>
      <c r="D354">
        <f ca="1">'uniforme cercle (rejet)'!O360</f>
        <v>0.8544389154229789</v>
      </c>
    </row>
    <row r="355" spans="1:4" x14ac:dyDescent="0.2">
      <c r="A355">
        <f>'uniforme cercle (rejet)'!L361</f>
        <v>352</v>
      </c>
      <c r="B355">
        <f ca="1">'uniforme cercle (rejet)'!M361</f>
        <v>-0.58997939741475602</v>
      </c>
      <c r="C355">
        <f ca="1">'uniforme cercle (rejet)'!N361</f>
        <v>0.26869229147030493</v>
      </c>
      <c r="D355">
        <f ca="1">'uniforme cercle (rejet)'!O361</f>
        <v>0.64828329985388478</v>
      </c>
    </row>
    <row r="356" spans="1:4" x14ac:dyDescent="0.2">
      <c r="A356">
        <f>'uniforme cercle (rejet)'!L362</f>
        <v>353</v>
      </c>
      <c r="B356">
        <f ca="1">'uniforme cercle (rejet)'!M362</f>
        <v>-0.3736629447301123</v>
      </c>
      <c r="C356">
        <f ca="1">'uniforme cercle (rejet)'!N362</f>
        <v>-0.67518820582953354</v>
      </c>
      <c r="D356">
        <f ca="1">'uniforme cercle (rejet)'!O362</f>
        <v>0.77168847960539333</v>
      </c>
    </row>
    <row r="357" spans="1:4" x14ac:dyDescent="0.2">
      <c r="A357">
        <f>'uniforme cercle (rejet)'!L363</f>
        <v>354</v>
      </c>
      <c r="B357">
        <f ca="1">'uniforme cercle (rejet)'!M363</f>
        <v>-0.53004468733491672</v>
      </c>
      <c r="C357">
        <f ca="1">'uniforme cercle (rejet)'!N363</f>
        <v>0.72804839676611177</v>
      </c>
      <c r="D357">
        <f ca="1">'uniforme cercle (rejet)'!O363</f>
        <v>0.90055640501063305</v>
      </c>
    </row>
    <row r="358" spans="1:4" x14ac:dyDescent="0.2">
      <c r="A358">
        <f>'uniforme cercle (rejet)'!L364</f>
        <v>355</v>
      </c>
      <c r="B358">
        <f ca="1">'uniforme cercle (rejet)'!M364</f>
        <v>-0.38547253991007513</v>
      </c>
      <c r="C358">
        <f ca="1">'uniforme cercle (rejet)'!N364</f>
        <v>-0.73808181096726844</v>
      </c>
      <c r="D358">
        <f ca="1">'uniforme cercle (rejet)'!O364</f>
        <v>0.83267871277308814</v>
      </c>
    </row>
    <row r="359" spans="1:4" x14ac:dyDescent="0.2">
      <c r="A359">
        <f>'uniforme cercle (rejet)'!L365</f>
        <v>356</v>
      </c>
      <c r="B359">
        <f ca="1">'uniforme cercle (rejet)'!M365</f>
        <v>-0.28583877161788429</v>
      </c>
      <c r="C359">
        <f ca="1">'uniforme cercle (rejet)'!N365</f>
        <v>0.64703242281658602</v>
      </c>
      <c r="D359">
        <f ca="1">'uniforme cercle (rejet)'!O365</f>
        <v>0.70735758957964279</v>
      </c>
    </row>
    <row r="360" spans="1:4" x14ac:dyDescent="0.2">
      <c r="A360">
        <f>'uniforme cercle (rejet)'!L366</f>
        <v>357</v>
      </c>
      <c r="B360">
        <f ca="1">'uniforme cercle (rejet)'!M366</f>
        <v>0.24810174914909422</v>
      </c>
      <c r="C360">
        <f ca="1">'uniforme cercle (rejet)'!N366</f>
        <v>0.22659137737601998</v>
      </c>
      <c r="D360">
        <f ca="1">'uniforme cercle (rejet)'!O366</f>
        <v>0.33600316997314472</v>
      </c>
    </row>
    <row r="361" spans="1:4" x14ac:dyDescent="0.2">
      <c r="A361">
        <f>'uniforme cercle (rejet)'!L367</f>
        <v>358</v>
      </c>
      <c r="B361">
        <f ca="1">'uniforme cercle (rejet)'!M367</f>
        <v>0.87182188474192235</v>
      </c>
      <c r="C361">
        <f ca="1">'uniforme cercle (rejet)'!N367</f>
        <v>-2.5852341060794259E-2</v>
      </c>
      <c r="D361">
        <f ca="1">'uniforme cercle (rejet)'!O367</f>
        <v>0.87220510331760925</v>
      </c>
    </row>
    <row r="362" spans="1:4" x14ac:dyDescent="0.2">
      <c r="A362">
        <f>'uniforme cercle (rejet)'!L368</f>
        <v>359</v>
      </c>
      <c r="B362">
        <f ca="1">'uniforme cercle (rejet)'!M368</f>
        <v>-0.63565160572211532</v>
      </c>
      <c r="C362">
        <f ca="1">'uniforme cercle (rejet)'!N368</f>
        <v>0.6893791098635158</v>
      </c>
      <c r="D362">
        <f ca="1">'uniforme cercle (rejet)'!O368</f>
        <v>0.93770812141802262</v>
      </c>
    </row>
    <row r="363" spans="1:4" x14ac:dyDescent="0.2">
      <c r="A363">
        <f>'uniforme cercle (rejet)'!L369</f>
        <v>360</v>
      </c>
      <c r="B363">
        <f ca="1">'uniforme cercle (rejet)'!M369</f>
        <v>0.49535266629989483</v>
      </c>
      <c r="C363">
        <f ca="1">'uniforme cercle (rejet)'!N369</f>
        <v>0.11098185614359224</v>
      </c>
      <c r="D363">
        <f ca="1">'uniforme cercle (rejet)'!O369</f>
        <v>0.50763297410973207</v>
      </c>
    </row>
    <row r="364" spans="1:4" x14ac:dyDescent="0.2">
      <c r="A364">
        <f>'uniforme cercle (rejet)'!L370</f>
        <v>361</v>
      </c>
      <c r="B364">
        <f ca="1">'uniforme cercle (rejet)'!M370</f>
        <v>0.35303321098312224</v>
      </c>
      <c r="C364">
        <f ca="1">'uniforme cercle (rejet)'!N370</f>
        <v>-0.20891590143016381</v>
      </c>
      <c r="D364">
        <f ca="1">'uniforme cercle (rejet)'!O370</f>
        <v>0.41021738374602268</v>
      </c>
    </row>
    <row r="365" spans="1:4" x14ac:dyDescent="0.2">
      <c r="A365">
        <f>'uniforme cercle (rejet)'!L371</f>
        <v>362</v>
      </c>
      <c r="B365">
        <f ca="1">'uniforme cercle (rejet)'!M371</f>
        <v>0.41254217374578461</v>
      </c>
      <c r="C365">
        <f ca="1">'uniforme cercle (rejet)'!N371</f>
        <v>-0.15749601696019244</v>
      </c>
      <c r="D365">
        <f ca="1">'uniforme cercle (rejet)'!O371</f>
        <v>0.44158356001692628</v>
      </c>
    </row>
    <row r="366" spans="1:4" x14ac:dyDescent="0.2">
      <c r="A366">
        <f>'uniforme cercle (rejet)'!L372</f>
        <v>363</v>
      </c>
      <c r="B366">
        <f ca="1">'uniforme cercle (rejet)'!M372</f>
        <v>-0.19383619598183643</v>
      </c>
      <c r="C366">
        <f ca="1">'uniforme cercle (rejet)'!N372</f>
        <v>-0.82411820010128412</v>
      </c>
      <c r="D366">
        <f ca="1">'uniforme cercle (rejet)'!O372</f>
        <v>0.8466069209561714</v>
      </c>
    </row>
    <row r="367" spans="1:4" x14ac:dyDescent="0.2">
      <c r="A367">
        <f>'uniforme cercle (rejet)'!L373</f>
        <v>364</v>
      </c>
      <c r="B367">
        <f ca="1">'uniforme cercle (rejet)'!M373</f>
        <v>-0.34004922552001826</v>
      </c>
      <c r="C367">
        <f ca="1">'uniforme cercle (rejet)'!N373</f>
        <v>-0.25370282630031049</v>
      </c>
      <c r="D367">
        <f ca="1">'uniforme cercle (rejet)'!O373</f>
        <v>0.42426241861556602</v>
      </c>
    </row>
    <row r="368" spans="1:4" x14ac:dyDescent="0.2">
      <c r="A368">
        <f>'uniforme cercle (rejet)'!L374</f>
        <v>365</v>
      </c>
      <c r="B368">
        <f ca="1">'uniforme cercle (rejet)'!M374</f>
        <v>0.82673128815039165</v>
      </c>
      <c r="C368">
        <f ca="1">'uniforme cercle (rejet)'!N374</f>
        <v>9.136076894289058E-2</v>
      </c>
      <c r="D368">
        <f ca="1">'uniforme cercle (rejet)'!O374</f>
        <v>0.83176403679688038</v>
      </c>
    </row>
    <row r="369" spans="1:4" x14ac:dyDescent="0.2">
      <c r="A369">
        <f>'uniforme cercle (rejet)'!L375</f>
        <v>366</v>
      </c>
      <c r="B369">
        <f ca="1">'uniforme cercle (rejet)'!M375</f>
        <v>0.33807450300688213</v>
      </c>
      <c r="C369">
        <f ca="1">'uniforme cercle (rejet)'!N375</f>
        <v>0.91242542013466421</v>
      </c>
      <c r="D369">
        <f ca="1">'uniforme cercle (rejet)'!O375</f>
        <v>0.97304394396721305</v>
      </c>
    </row>
    <row r="370" spans="1:4" x14ac:dyDescent="0.2">
      <c r="A370">
        <f>'uniforme cercle (rejet)'!L376</f>
        <v>367</v>
      </c>
      <c r="B370">
        <f ca="1">'uniforme cercle (rejet)'!M376</f>
        <v>-0.32156489709414648</v>
      </c>
      <c r="C370">
        <f ca="1">'uniforme cercle (rejet)'!N376</f>
        <v>-0.78571349141693547</v>
      </c>
      <c r="D370">
        <f ca="1">'uniforme cercle (rejet)'!O376</f>
        <v>0.84896977192227507</v>
      </c>
    </row>
    <row r="371" spans="1:4" x14ac:dyDescent="0.2">
      <c r="A371">
        <f>'uniforme cercle (rejet)'!L377</f>
        <v>368</v>
      </c>
      <c r="B371">
        <f ca="1">'uniforme cercle (rejet)'!M377</f>
        <v>-0.5335821069641713</v>
      </c>
      <c r="C371">
        <f ca="1">'uniforme cercle (rejet)'!N377</f>
        <v>2.0993544925932861E-2</v>
      </c>
      <c r="D371">
        <f ca="1">'uniforme cercle (rejet)'!O377</f>
        <v>0.53399493799181419</v>
      </c>
    </row>
    <row r="372" spans="1:4" x14ac:dyDescent="0.2">
      <c r="A372">
        <f>'uniforme cercle (rejet)'!L378</f>
        <v>369</v>
      </c>
      <c r="B372">
        <f ca="1">'uniforme cercle (rejet)'!M378</f>
        <v>0.9858375146661349</v>
      </c>
      <c r="C372">
        <f ca="1">'uniforme cercle (rejet)'!N378</f>
        <v>3.1688525284157887E-2</v>
      </c>
      <c r="D372">
        <f ca="1">'uniforme cercle (rejet)'!O378</f>
        <v>0.98634667736946646</v>
      </c>
    </row>
    <row r="373" spans="1:4" x14ac:dyDescent="0.2">
      <c r="A373">
        <f>'uniforme cercle (rejet)'!L379</f>
        <v>370</v>
      </c>
      <c r="B373">
        <f ca="1">'uniforme cercle (rejet)'!M379</f>
        <v>0.51186628032295456</v>
      </c>
      <c r="C373">
        <f ca="1">'uniforme cercle (rejet)'!N379</f>
        <v>0.81734098495233853</v>
      </c>
      <c r="D373">
        <f ca="1">'uniforme cercle (rejet)'!O379</f>
        <v>0.96439274915073703</v>
      </c>
    </row>
    <row r="374" spans="1:4" x14ac:dyDescent="0.2">
      <c r="A374">
        <f>'uniforme cercle (rejet)'!L380</f>
        <v>371</v>
      </c>
      <c r="B374">
        <f ca="1">'uniforme cercle (rejet)'!M380</f>
        <v>4.2350772089258859E-2</v>
      </c>
      <c r="C374">
        <f ca="1">'uniforme cercle (rejet)'!N380</f>
        <v>0.83437687872379129</v>
      </c>
      <c r="D374">
        <f ca="1">'uniforme cercle (rejet)'!O380</f>
        <v>0.83545099416148438</v>
      </c>
    </row>
    <row r="375" spans="1:4" x14ac:dyDescent="0.2">
      <c r="A375">
        <f>'uniforme cercle (rejet)'!L381</f>
        <v>372</v>
      </c>
      <c r="B375">
        <f ca="1">'uniforme cercle (rejet)'!M381</f>
        <v>-0.36690917371439213</v>
      </c>
      <c r="C375">
        <f ca="1">'uniforme cercle (rejet)'!N381</f>
        <v>-0.37625758078390392</v>
      </c>
      <c r="D375">
        <f ca="1">'uniforme cercle (rejet)'!O381</f>
        <v>0.52553982613417027</v>
      </c>
    </row>
    <row r="376" spans="1:4" x14ac:dyDescent="0.2">
      <c r="A376">
        <f>'uniforme cercle (rejet)'!L382</f>
        <v>373</v>
      </c>
      <c r="B376">
        <f ca="1">'uniforme cercle (rejet)'!M382</f>
        <v>-0.24155393820665982</v>
      </c>
      <c r="C376">
        <f ca="1">'uniforme cercle (rejet)'!N382</f>
        <v>-0.90771628194190113</v>
      </c>
      <c r="D376">
        <f ca="1">'uniforme cercle (rejet)'!O382</f>
        <v>0.93930674093481081</v>
      </c>
    </row>
    <row r="377" spans="1:4" x14ac:dyDescent="0.2">
      <c r="A377">
        <f>'uniforme cercle (rejet)'!L383</f>
        <v>374</v>
      </c>
      <c r="B377">
        <f ca="1">'uniforme cercle (rejet)'!M383</f>
        <v>0.94159990340786703</v>
      </c>
      <c r="C377">
        <f ca="1">'uniforme cercle (rejet)'!N383</f>
        <v>-0.17892200918448764</v>
      </c>
      <c r="D377">
        <f ca="1">'uniforme cercle (rejet)'!O383</f>
        <v>0.95844846677759277</v>
      </c>
    </row>
    <row r="378" spans="1:4" x14ac:dyDescent="0.2">
      <c r="A378">
        <f>'uniforme cercle (rejet)'!L384</f>
        <v>375</v>
      </c>
      <c r="B378">
        <f ca="1">'uniforme cercle (rejet)'!M384</f>
        <v>-4.8809663218516874E-2</v>
      </c>
      <c r="C378">
        <f ca="1">'uniforme cercle (rejet)'!N384</f>
        <v>0.40043427686506039</v>
      </c>
      <c r="D378">
        <f ca="1">'uniforme cercle (rejet)'!O384</f>
        <v>0.40339805814102386</v>
      </c>
    </row>
    <row r="379" spans="1:4" x14ac:dyDescent="0.2">
      <c r="A379">
        <f>'uniforme cercle (rejet)'!L385</f>
        <v>376</v>
      </c>
      <c r="B379">
        <f ca="1">'uniforme cercle (rejet)'!M385</f>
        <v>0.498309033103145</v>
      </c>
      <c r="C379">
        <f ca="1">'uniforme cercle (rejet)'!N385</f>
        <v>-0.78832091059496601</v>
      </c>
      <c r="D379">
        <f ca="1">'uniforme cercle (rejet)'!O385</f>
        <v>0.93261018145496766</v>
      </c>
    </row>
    <row r="380" spans="1:4" x14ac:dyDescent="0.2">
      <c r="A380">
        <f>'uniforme cercle (rejet)'!L386</f>
        <v>377</v>
      </c>
      <c r="B380">
        <f ca="1">'uniforme cercle (rejet)'!M386</f>
        <v>-0.63176702958038167</v>
      </c>
      <c r="C380">
        <f ca="1">'uniforme cercle (rejet)'!N386</f>
        <v>-0.51539156686621945</v>
      </c>
      <c r="D380">
        <f ca="1">'uniforme cercle (rejet)'!O386</f>
        <v>0.81532695703112601</v>
      </c>
    </row>
    <row r="381" spans="1:4" x14ac:dyDescent="0.2">
      <c r="A381">
        <f>'uniforme cercle (rejet)'!L387</f>
        <v>378</v>
      </c>
      <c r="B381">
        <f ca="1">'uniforme cercle (rejet)'!M387</f>
        <v>-1.9758325259434217E-2</v>
      </c>
      <c r="C381">
        <f ca="1">'uniforme cercle (rejet)'!N387</f>
        <v>-0.96185285337842719</v>
      </c>
      <c r="D381">
        <f ca="1">'uniforme cercle (rejet)'!O387</f>
        <v>0.96205576915752633</v>
      </c>
    </row>
    <row r="382" spans="1:4" x14ac:dyDescent="0.2">
      <c r="A382">
        <f>'uniforme cercle (rejet)'!L388</f>
        <v>379</v>
      </c>
      <c r="B382">
        <f ca="1">'uniforme cercle (rejet)'!M388</f>
        <v>0.84657415109539458</v>
      </c>
      <c r="C382">
        <f ca="1">'uniforme cercle (rejet)'!N388</f>
        <v>-0.4846377486968938</v>
      </c>
      <c r="D382">
        <f ca="1">'uniforme cercle (rejet)'!O388</f>
        <v>0.97548015908314689</v>
      </c>
    </row>
    <row r="383" spans="1:4" x14ac:dyDescent="0.2">
      <c r="A383">
        <f>'uniforme cercle (rejet)'!L389</f>
        <v>380</v>
      </c>
      <c r="B383">
        <f ca="1">'uniforme cercle (rejet)'!M389</f>
        <v>-0.33566807857502301</v>
      </c>
      <c r="C383">
        <f ca="1">'uniforme cercle (rejet)'!N389</f>
        <v>0.4750915130311566</v>
      </c>
      <c r="D383">
        <f ca="1">'uniforme cercle (rejet)'!O389</f>
        <v>0.58170869404580972</v>
      </c>
    </row>
    <row r="384" spans="1:4" x14ac:dyDescent="0.2">
      <c r="A384">
        <f>'uniforme cercle (rejet)'!L390</f>
        <v>381</v>
      </c>
      <c r="B384">
        <f ca="1">'uniforme cercle (rejet)'!M390</f>
        <v>0.6897473195394388</v>
      </c>
      <c r="C384">
        <f ca="1">'uniforme cercle (rejet)'!N390</f>
        <v>-0.47637523616176236</v>
      </c>
      <c r="D384">
        <f ca="1">'uniforme cercle (rejet)'!O390</f>
        <v>0.83826292440976746</v>
      </c>
    </row>
    <row r="385" spans="1:4" x14ac:dyDescent="0.2">
      <c r="A385">
        <f>'uniforme cercle (rejet)'!L391</f>
        <v>382</v>
      </c>
      <c r="B385">
        <f ca="1">'uniforme cercle (rejet)'!M391</f>
        <v>-0.15271401290556574</v>
      </c>
      <c r="C385">
        <f ca="1">'uniforme cercle (rejet)'!N391</f>
        <v>0.82881802632782708</v>
      </c>
      <c r="D385">
        <f ca="1">'uniforme cercle (rejet)'!O391</f>
        <v>0.84276977313123658</v>
      </c>
    </row>
    <row r="386" spans="1:4" x14ac:dyDescent="0.2">
      <c r="A386">
        <f>'uniforme cercle (rejet)'!L392</f>
        <v>383</v>
      </c>
      <c r="B386">
        <f ca="1">'uniforme cercle (rejet)'!M392</f>
        <v>0.81080016514563069</v>
      </c>
      <c r="C386">
        <f ca="1">'uniforme cercle (rejet)'!N392</f>
        <v>2.1180902125316869E-2</v>
      </c>
      <c r="D386">
        <f ca="1">'uniforme cercle (rejet)'!O392</f>
        <v>0.81107677713951609</v>
      </c>
    </row>
    <row r="387" spans="1:4" x14ac:dyDescent="0.2">
      <c r="A387">
        <f>'uniforme cercle (rejet)'!L393</f>
        <v>384</v>
      </c>
      <c r="B387">
        <f ca="1">'uniforme cercle (rejet)'!M393</f>
        <v>-0.11088170804702768</v>
      </c>
      <c r="C387">
        <f ca="1">'uniforme cercle (rejet)'!N393</f>
        <v>-0.61653086801405799</v>
      </c>
      <c r="D387">
        <f ca="1">'uniforme cercle (rejet)'!O393</f>
        <v>0.62642243286267618</v>
      </c>
    </row>
    <row r="388" spans="1:4" x14ac:dyDescent="0.2">
      <c r="A388">
        <f>'uniforme cercle (rejet)'!L394</f>
        <v>385</v>
      </c>
      <c r="B388">
        <f ca="1">'uniforme cercle (rejet)'!M394</f>
        <v>-0.2096116889020001</v>
      </c>
      <c r="C388">
        <f ca="1">'uniforme cercle (rejet)'!N394</f>
        <v>0.29290354143142738</v>
      </c>
      <c r="D388">
        <f ca="1">'uniforme cercle (rejet)'!O394</f>
        <v>0.36017987826559766</v>
      </c>
    </row>
    <row r="389" spans="1:4" x14ac:dyDescent="0.2">
      <c r="A389">
        <f>'uniforme cercle (rejet)'!L395</f>
        <v>386</v>
      </c>
      <c r="B389">
        <f ca="1">'uniforme cercle (rejet)'!M395</f>
        <v>0.28706149236815737</v>
      </c>
      <c r="C389">
        <f ca="1">'uniforme cercle (rejet)'!N395</f>
        <v>0.43135604777725356</v>
      </c>
      <c r="D389">
        <f ca="1">'uniforme cercle (rejet)'!O395</f>
        <v>0.51814316588626919</v>
      </c>
    </row>
    <row r="390" spans="1:4" x14ac:dyDescent="0.2">
      <c r="A390">
        <f>'uniforme cercle (rejet)'!L396</f>
        <v>387</v>
      </c>
      <c r="B390">
        <f ca="1">'uniforme cercle (rejet)'!M396</f>
        <v>-0.39112810800626163</v>
      </c>
      <c r="C390">
        <f ca="1">'uniforme cercle (rejet)'!N396</f>
        <v>-4.3249814501438832E-2</v>
      </c>
      <c r="D390">
        <f ca="1">'uniforme cercle (rejet)'!O396</f>
        <v>0.39351206249232912</v>
      </c>
    </row>
    <row r="391" spans="1:4" x14ac:dyDescent="0.2">
      <c r="A391">
        <f>'uniforme cercle (rejet)'!L397</f>
        <v>388</v>
      </c>
      <c r="B391">
        <f ca="1">'uniforme cercle (rejet)'!M397</f>
        <v>-0.39246675223075878</v>
      </c>
      <c r="C391">
        <f ca="1">'uniforme cercle (rejet)'!N397</f>
        <v>-0.53778467924977535</v>
      </c>
      <c r="D391">
        <f ca="1">'uniforme cercle (rejet)'!O397</f>
        <v>0.66576460768228252</v>
      </c>
    </row>
    <row r="392" spans="1:4" x14ac:dyDescent="0.2">
      <c r="A392">
        <f>'uniforme cercle (rejet)'!L398</f>
        <v>389</v>
      </c>
      <c r="B392">
        <f ca="1">'uniforme cercle (rejet)'!M398</f>
        <v>-0.99614624582503009</v>
      </c>
      <c r="C392">
        <f ca="1">'uniforme cercle (rejet)'!N398</f>
        <v>6.4081224503843348E-2</v>
      </c>
      <c r="D392">
        <f ca="1">'uniforme cercle (rejet)'!O398</f>
        <v>0.99820526266154963</v>
      </c>
    </row>
    <row r="393" spans="1:4" x14ac:dyDescent="0.2">
      <c r="A393">
        <f>'uniforme cercle (rejet)'!L399</f>
        <v>390</v>
      </c>
      <c r="B393">
        <f ca="1">'uniforme cercle (rejet)'!M399</f>
        <v>-5.2274594048515866E-3</v>
      </c>
      <c r="C393">
        <f ca="1">'uniforme cercle (rejet)'!N399</f>
        <v>0.53454344203954629</v>
      </c>
      <c r="D393">
        <f ca="1">'uniforme cercle (rejet)'!O399</f>
        <v>0.53456900186909007</v>
      </c>
    </row>
    <row r="394" spans="1:4" x14ac:dyDescent="0.2">
      <c r="A394">
        <f>'uniforme cercle (rejet)'!L400</f>
        <v>391</v>
      </c>
      <c r="B394">
        <f ca="1">'uniforme cercle (rejet)'!M400</f>
        <v>-0.86310444039634793</v>
      </c>
      <c r="C394">
        <f ca="1">'uniforme cercle (rejet)'!N400</f>
        <v>0.5003815483138061</v>
      </c>
      <c r="D394">
        <f ca="1">'uniforme cercle (rejet)'!O400</f>
        <v>0.9976627531008736</v>
      </c>
    </row>
    <row r="395" spans="1:4" x14ac:dyDescent="0.2">
      <c r="A395">
        <f>'uniforme cercle (rejet)'!L401</f>
        <v>392</v>
      </c>
      <c r="B395">
        <f ca="1">'uniforme cercle (rejet)'!M401</f>
        <v>-0.10917980954107143</v>
      </c>
      <c r="C395">
        <f ca="1">'uniforme cercle (rejet)'!N401</f>
        <v>-0.17812217888705351</v>
      </c>
      <c r="D395">
        <f ca="1">'uniforme cercle (rejet)'!O401</f>
        <v>0.20892041887497767</v>
      </c>
    </row>
    <row r="396" spans="1:4" x14ac:dyDescent="0.2">
      <c r="A396">
        <f>'uniforme cercle (rejet)'!L402</f>
        <v>393</v>
      </c>
      <c r="B396">
        <f ca="1">'uniforme cercle (rejet)'!M402</f>
        <v>0.64169908497620942</v>
      </c>
      <c r="C396">
        <f ca="1">'uniforme cercle (rejet)'!N402</f>
        <v>-0.75851400900080623</v>
      </c>
      <c r="D396">
        <f ca="1">'uniforme cercle (rejet)'!O402</f>
        <v>0.99353974128354805</v>
      </c>
    </row>
    <row r="397" spans="1:4" x14ac:dyDescent="0.2">
      <c r="A397">
        <f>'uniforme cercle (rejet)'!L403</f>
        <v>394</v>
      </c>
      <c r="B397">
        <f ca="1">'uniforme cercle (rejet)'!M403</f>
        <v>-0.90171815553123502</v>
      </c>
      <c r="C397">
        <f ca="1">'uniforme cercle (rejet)'!N403</f>
        <v>-0.32770354441874705</v>
      </c>
      <c r="D397">
        <f ca="1">'uniforme cercle (rejet)'!O403</f>
        <v>0.95941922277973057</v>
      </c>
    </row>
    <row r="398" spans="1:4" x14ac:dyDescent="0.2">
      <c r="A398">
        <f>'uniforme cercle (rejet)'!L404</f>
        <v>395</v>
      </c>
      <c r="B398">
        <f ca="1">'uniforme cercle (rejet)'!M404</f>
        <v>-0.1403741625154018</v>
      </c>
      <c r="C398">
        <f ca="1">'uniforme cercle (rejet)'!N404</f>
        <v>0.82425706035969526</v>
      </c>
      <c r="D398">
        <f ca="1">'uniforme cercle (rejet)'!O404</f>
        <v>0.83612475567627265</v>
      </c>
    </row>
    <row r="399" spans="1:4" x14ac:dyDescent="0.2">
      <c r="A399">
        <f>'uniforme cercle (rejet)'!L405</f>
        <v>396</v>
      </c>
      <c r="B399">
        <f ca="1">'uniforme cercle (rejet)'!M405</f>
        <v>-0.19873450961478922</v>
      </c>
      <c r="C399">
        <f ca="1">'uniforme cercle (rejet)'!N405</f>
        <v>0.1071898220056775</v>
      </c>
      <c r="D399">
        <f ca="1">'uniforme cercle (rejet)'!O405</f>
        <v>0.22579872287822972</v>
      </c>
    </row>
    <row r="400" spans="1:4" x14ac:dyDescent="0.2">
      <c r="A400">
        <f>'uniforme cercle (rejet)'!L406</f>
        <v>397</v>
      </c>
      <c r="B400">
        <f ca="1">'uniforme cercle (rejet)'!M406</f>
        <v>-0.27737480917689217</v>
      </c>
      <c r="C400">
        <f ca="1">'uniforme cercle (rejet)'!N406</f>
        <v>-0.70463438732794459</v>
      </c>
      <c r="D400">
        <f ca="1">'uniforme cercle (rejet)'!O406</f>
        <v>0.75726244101430595</v>
      </c>
    </row>
    <row r="401" spans="1:4" x14ac:dyDescent="0.2">
      <c r="A401">
        <f>'uniforme cercle (rejet)'!L407</f>
        <v>398</v>
      </c>
      <c r="B401">
        <f ca="1">'uniforme cercle (rejet)'!M407</f>
        <v>0.73939637813398806</v>
      </c>
      <c r="C401">
        <f ca="1">'uniforme cercle (rejet)'!N407</f>
        <v>-7.3884564878367476E-2</v>
      </c>
      <c r="D401">
        <f ca="1">'uniforme cercle (rejet)'!O407</f>
        <v>0.74307868555417822</v>
      </c>
    </row>
    <row r="402" spans="1:4" x14ac:dyDescent="0.2">
      <c r="A402">
        <f>'uniforme cercle (rejet)'!L408</f>
        <v>399</v>
      </c>
      <c r="B402">
        <f ca="1">'uniforme cercle (rejet)'!M408</f>
        <v>0.49300531201249798</v>
      </c>
      <c r="C402">
        <f ca="1">'uniforme cercle (rejet)'!N408</f>
        <v>0.44260514723231226</v>
      </c>
      <c r="D402">
        <f ca="1">'uniforme cercle (rejet)'!O408</f>
        <v>0.66253570019213104</v>
      </c>
    </row>
    <row r="403" spans="1:4" x14ac:dyDescent="0.2">
      <c r="A403">
        <f>'uniforme cercle (rejet)'!L409</f>
        <v>400</v>
      </c>
      <c r="B403">
        <f ca="1">'uniforme cercle (rejet)'!M409</f>
        <v>0.33729308123101576</v>
      </c>
      <c r="C403">
        <f ca="1">'uniforme cercle (rejet)'!N409</f>
        <v>0.77149506002897072</v>
      </c>
      <c r="D403">
        <f ca="1">'uniforme cercle (rejet)'!O409</f>
        <v>0.84200430539007209</v>
      </c>
    </row>
    <row r="404" spans="1:4" x14ac:dyDescent="0.2">
      <c r="A404">
        <f>'uniforme cercle (rejet)'!L410</f>
        <v>401</v>
      </c>
      <c r="B404">
        <f ca="1">'uniforme cercle (rejet)'!M410</f>
        <v>0.42809797590402177</v>
      </c>
      <c r="C404">
        <f ca="1">'uniforme cercle (rejet)'!N410</f>
        <v>-0.38981083733652522</v>
      </c>
      <c r="D404">
        <f ca="1">'uniforme cercle (rejet)'!O410</f>
        <v>0.57898218096770759</v>
      </c>
    </row>
    <row r="405" spans="1:4" x14ac:dyDescent="0.2">
      <c r="A405">
        <f>'uniforme cercle (rejet)'!L411</f>
        <v>402</v>
      </c>
      <c r="B405">
        <f ca="1">'uniforme cercle (rejet)'!M411</f>
        <v>-0.86928323837131716</v>
      </c>
      <c r="C405">
        <f ca="1">'uniforme cercle (rejet)'!N411</f>
        <v>0.46740526191206744</v>
      </c>
      <c r="D405">
        <f ca="1">'uniforme cercle (rejet)'!O411</f>
        <v>0.98697569745987801</v>
      </c>
    </row>
    <row r="406" spans="1:4" x14ac:dyDescent="0.2">
      <c r="A406">
        <f>'uniforme cercle (rejet)'!L412</f>
        <v>403</v>
      </c>
      <c r="B406">
        <f ca="1">'uniforme cercle (rejet)'!M412</f>
        <v>0.25396193542839751</v>
      </c>
      <c r="C406">
        <f ca="1">'uniforme cercle (rejet)'!N412</f>
        <v>-0.62890214282838786</v>
      </c>
      <c r="D406">
        <f ca="1">'uniforme cercle (rejet)'!O412</f>
        <v>0.67824373930075865</v>
      </c>
    </row>
    <row r="407" spans="1:4" x14ac:dyDescent="0.2">
      <c r="A407">
        <f>'uniforme cercle (rejet)'!L413</f>
        <v>404</v>
      </c>
      <c r="B407">
        <f ca="1">'uniforme cercle (rejet)'!M413</f>
        <v>0.46426987116192397</v>
      </c>
      <c r="C407">
        <f ca="1">'uniforme cercle (rejet)'!N413</f>
        <v>0.84219565808710461</v>
      </c>
      <c r="D407">
        <f ca="1">'uniforme cercle (rejet)'!O413</f>
        <v>0.96168604012405245</v>
      </c>
    </row>
    <row r="408" spans="1:4" x14ac:dyDescent="0.2">
      <c r="A408">
        <f>'uniforme cercle (rejet)'!L414</f>
        <v>405</v>
      </c>
      <c r="B408">
        <f ca="1">'uniforme cercle (rejet)'!M414</f>
        <v>7.8187392889270013E-2</v>
      </c>
      <c r="C408">
        <f ca="1">'uniforme cercle (rejet)'!N414</f>
        <v>-0.72754199274151654</v>
      </c>
      <c r="D408">
        <f ca="1">'uniforme cercle (rejet)'!O414</f>
        <v>0.7317312482114714</v>
      </c>
    </row>
    <row r="409" spans="1:4" x14ac:dyDescent="0.2">
      <c r="A409">
        <f>'uniforme cercle (rejet)'!L415</f>
        <v>406</v>
      </c>
      <c r="B409">
        <f ca="1">'uniforme cercle (rejet)'!M415</f>
        <v>0.15832608626636757</v>
      </c>
      <c r="C409">
        <f ca="1">'uniforme cercle (rejet)'!N415</f>
        <v>0.49111795325757068</v>
      </c>
      <c r="D409">
        <f ca="1">'uniforme cercle (rejet)'!O415</f>
        <v>0.51600774568249519</v>
      </c>
    </row>
    <row r="410" spans="1:4" x14ac:dyDescent="0.2">
      <c r="A410">
        <f>'uniforme cercle (rejet)'!L416</f>
        <v>407</v>
      </c>
      <c r="B410">
        <f ca="1">'uniforme cercle (rejet)'!M416</f>
        <v>-0.82691722135689893</v>
      </c>
      <c r="C410">
        <f ca="1">'uniforme cercle (rejet)'!N416</f>
        <v>0.2896286356205835</v>
      </c>
      <c r="D410">
        <f ca="1">'uniforme cercle (rejet)'!O416</f>
        <v>0.87617169410341911</v>
      </c>
    </row>
    <row r="411" spans="1:4" x14ac:dyDescent="0.2">
      <c r="A411">
        <f>'uniforme cercle (rejet)'!L417</f>
        <v>408</v>
      </c>
      <c r="B411">
        <f ca="1">'uniforme cercle (rejet)'!M417</f>
        <v>6.0178408719119503E-2</v>
      </c>
      <c r="C411">
        <f ca="1">'uniforme cercle (rejet)'!N417</f>
        <v>-0.52721784372314318</v>
      </c>
      <c r="D411">
        <f ca="1">'uniforme cercle (rejet)'!O417</f>
        <v>0.53064121175804468</v>
      </c>
    </row>
    <row r="412" spans="1:4" x14ac:dyDescent="0.2">
      <c r="A412">
        <f>'uniforme cercle (rejet)'!L418</f>
        <v>409</v>
      </c>
      <c r="B412">
        <f ca="1">'uniforme cercle (rejet)'!M418</f>
        <v>-7.9115780705246275E-2</v>
      </c>
      <c r="C412">
        <f ca="1">'uniforme cercle (rejet)'!N418</f>
        <v>-0.75991338392458552</v>
      </c>
      <c r="D412">
        <f ca="1">'uniforme cercle (rejet)'!O418</f>
        <v>0.764020718190492</v>
      </c>
    </row>
    <row r="413" spans="1:4" x14ac:dyDescent="0.2">
      <c r="A413">
        <f>'uniforme cercle (rejet)'!L419</f>
        <v>410</v>
      </c>
      <c r="B413">
        <f ca="1">'uniforme cercle (rejet)'!M419</f>
        <v>-0.43093319036320654</v>
      </c>
      <c r="C413">
        <f ca="1">'uniforme cercle (rejet)'!N419</f>
        <v>-0.12717146292066506</v>
      </c>
      <c r="D413">
        <f ca="1">'uniforme cercle (rejet)'!O419</f>
        <v>0.44930612675323456</v>
      </c>
    </row>
    <row r="414" spans="1:4" x14ac:dyDescent="0.2">
      <c r="A414">
        <f>'uniforme cercle (rejet)'!L420</f>
        <v>411</v>
      </c>
      <c r="B414">
        <f ca="1">'uniforme cercle (rejet)'!M420</f>
        <v>-0.46290118243477818</v>
      </c>
      <c r="C414">
        <f ca="1">'uniforme cercle (rejet)'!N420</f>
        <v>0.87860875050753973</v>
      </c>
      <c r="D414">
        <f ca="1">'uniforme cercle (rejet)'!O420</f>
        <v>0.99309155729365461</v>
      </c>
    </row>
    <row r="415" spans="1:4" x14ac:dyDescent="0.2">
      <c r="A415">
        <f>'uniforme cercle (rejet)'!L421</f>
        <v>412</v>
      </c>
      <c r="B415">
        <f ca="1">'uniforme cercle (rejet)'!M421</f>
        <v>-0.35997613881951529</v>
      </c>
      <c r="C415">
        <f ca="1">'uniforme cercle (rejet)'!N421</f>
        <v>-0.80142859644322018</v>
      </c>
      <c r="D415">
        <f ca="1">'uniforme cercle (rejet)'!O421</f>
        <v>0.8785616743953476</v>
      </c>
    </row>
    <row r="416" spans="1:4" x14ac:dyDescent="0.2">
      <c r="A416">
        <f>'uniforme cercle (rejet)'!L422</f>
        <v>413</v>
      </c>
      <c r="B416">
        <f ca="1">'uniforme cercle (rejet)'!M422</f>
        <v>-0.2210738721030201</v>
      </c>
      <c r="C416">
        <f ca="1">'uniforme cercle (rejet)'!N422</f>
        <v>0.67950177404560197</v>
      </c>
      <c r="D416">
        <f ca="1">'uniforme cercle (rejet)'!O422</f>
        <v>0.71456022689325693</v>
      </c>
    </row>
    <row r="417" spans="1:4" x14ac:dyDescent="0.2">
      <c r="A417">
        <f>'uniforme cercle (rejet)'!L423</f>
        <v>414</v>
      </c>
      <c r="B417">
        <f ca="1">'uniforme cercle (rejet)'!M423</f>
        <v>-0.85892577629186762</v>
      </c>
      <c r="C417">
        <f ca="1">'uniforme cercle (rejet)'!N423</f>
        <v>0.12441371022584491</v>
      </c>
      <c r="D417">
        <f ca="1">'uniforme cercle (rejet)'!O423</f>
        <v>0.86788954393445017</v>
      </c>
    </row>
    <row r="418" spans="1:4" x14ac:dyDescent="0.2">
      <c r="A418">
        <f>'uniforme cercle (rejet)'!L424</f>
        <v>415</v>
      </c>
      <c r="B418">
        <f ca="1">'uniforme cercle (rejet)'!M424</f>
        <v>0.34474057573502548</v>
      </c>
      <c r="C418">
        <f ca="1">'uniforme cercle (rejet)'!N424</f>
        <v>0.53559566759071831</v>
      </c>
      <c r="D418">
        <f ca="1">'uniforme cercle (rejet)'!O424</f>
        <v>0.63695273270476205</v>
      </c>
    </row>
    <row r="419" spans="1:4" x14ac:dyDescent="0.2">
      <c r="A419">
        <f>'uniforme cercle (rejet)'!L425</f>
        <v>416</v>
      </c>
      <c r="B419">
        <f ca="1">'uniforme cercle (rejet)'!M425</f>
        <v>0.30960038353995478</v>
      </c>
      <c r="C419">
        <f ca="1">'uniforme cercle (rejet)'!N425</f>
        <v>3.2098445439365131E-2</v>
      </c>
      <c r="D419">
        <f ca="1">'uniforme cercle (rejet)'!O425</f>
        <v>0.31125987163094282</v>
      </c>
    </row>
    <row r="420" spans="1:4" x14ac:dyDescent="0.2">
      <c r="A420">
        <f>'uniforme cercle (rejet)'!L426</f>
        <v>417</v>
      </c>
      <c r="B420">
        <f ca="1">'uniforme cercle (rejet)'!M426</f>
        <v>-0.76930323666961797</v>
      </c>
      <c r="C420">
        <f ca="1">'uniforme cercle (rejet)'!N426</f>
        <v>0.34953109328350518</v>
      </c>
      <c r="D420">
        <f ca="1">'uniforme cercle (rejet)'!O426</f>
        <v>0.8449848845525656</v>
      </c>
    </row>
    <row r="421" spans="1:4" x14ac:dyDescent="0.2">
      <c r="A421">
        <f>'uniforme cercle (rejet)'!L427</f>
        <v>418</v>
      </c>
      <c r="B421">
        <f ca="1">'uniforme cercle (rejet)'!M427</f>
        <v>0.14540870833654762</v>
      </c>
      <c r="C421">
        <f ca="1">'uniforme cercle (rejet)'!N427</f>
        <v>-0.82913313902667118</v>
      </c>
      <c r="D421">
        <f ca="1">'uniforme cercle (rejet)'!O427</f>
        <v>0.84178706018346727</v>
      </c>
    </row>
    <row r="422" spans="1:4" x14ac:dyDescent="0.2">
      <c r="A422">
        <f>'uniforme cercle (rejet)'!L428</f>
        <v>419</v>
      </c>
      <c r="B422">
        <f ca="1">'uniforme cercle (rejet)'!M428</f>
        <v>-0.51120551160506622</v>
      </c>
      <c r="C422">
        <f ca="1">'uniforme cercle (rejet)'!N428</f>
        <v>-0.40501501937802442</v>
      </c>
      <c r="D422">
        <f ca="1">'uniforme cercle (rejet)'!O428</f>
        <v>0.65220260733699842</v>
      </c>
    </row>
    <row r="423" spans="1:4" x14ac:dyDescent="0.2">
      <c r="A423">
        <f>'uniforme cercle (rejet)'!L429</f>
        <v>420</v>
      </c>
      <c r="B423">
        <f ca="1">'uniforme cercle (rejet)'!M429</f>
        <v>-4.5363174774619708E-2</v>
      </c>
      <c r="C423">
        <f ca="1">'uniforme cercle (rejet)'!N429</f>
        <v>0.61877984396479291</v>
      </c>
      <c r="D423">
        <f ca="1">'uniforme cercle (rejet)'!O429</f>
        <v>0.62044041851150067</v>
      </c>
    </row>
    <row r="424" spans="1:4" x14ac:dyDescent="0.2">
      <c r="A424">
        <f>'uniforme cercle (rejet)'!L430</f>
        <v>421</v>
      </c>
      <c r="B424">
        <f ca="1">'uniforme cercle (rejet)'!M430</f>
        <v>0.59759654016288133</v>
      </c>
      <c r="C424">
        <f ca="1">'uniforme cercle (rejet)'!N430</f>
        <v>9.8226863738798187E-2</v>
      </c>
      <c r="D424">
        <f ca="1">'uniforme cercle (rejet)'!O430</f>
        <v>0.60561550638553385</v>
      </c>
    </row>
    <row r="425" spans="1:4" x14ac:dyDescent="0.2">
      <c r="A425">
        <f>'uniforme cercle (rejet)'!L431</f>
        <v>422</v>
      </c>
      <c r="B425">
        <f ca="1">'uniforme cercle (rejet)'!M431</f>
        <v>0.74725878882797447</v>
      </c>
      <c r="C425">
        <f ca="1">'uniforme cercle (rejet)'!N431</f>
        <v>-0.47686996499006362</v>
      </c>
      <c r="D425">
        <f ca="1">'uniforme cercle (rejet)'!O431</f>
        <v>0.88645398131559872</v>
      </c>
    </row>
    <row r="426" spans="1:4" x14ac:dyDescent="0.2">
      <c r="A426">
        <f>'uniforme cercle (rejet)'!L432</f>
        <v>423</v>
      </c>
      <c r="B426">
        <f ca="1">'uniforme cercle (rejet)'!M432</f>
        <v>0.12410055477630166</v>
      </c>
      <c r="C426">
        <f ca="1">'uniforme cercle (rejet)'!N432</f>
        <v>-0.4963724613343663</v>
      </c>
      <c r="D426">
        <f ca="1">'uniforme cercle (rejet)'!O432</f>
        <v>0.51165082631314374</v>
      </c>
    </row>
    <row r="427" spans="1:4" x14ac:dyDescent="0.2">
      <c r="A427">
        <f>'uniforme cercle (rejet)'!L433</f>
        <v>424</v>
      </c>
      <c r="B427">
        <f ca="1">'uniforme cercle (rejet)'!M433</f>
        <v>-0.18740457584424863</v>
      </c>
      <c r="C427">
        <f ca="1">'uniforme cercle (rejet)'!N433</f>
        <v>-0.17925558068133807</v>
      </c>
      <c r="D427">
        <f ca="1">'uniforme cercle (rejet)'!O433</f>
        <v>0.25933190750998308</v>
      </c>
    </row>
    <row r="428" spans="1:4" x14ac:dyDescent="0.2">
      <c r="A428">
        <f>'uniforme cercle (rejet)'!L434</f>
        <v>425</v>
      </c>
      <c r="B428">
        <f ca="1">'uniforme cercle (rejet)'!M434</f>
        <v>0.23868783475945032</v>
      </c>
      <c r="C428">
        <f ca="1">'uniforme cercle (rejet)'!N434</f>
        <v>0.19786778366161295</v>
      </c>
      <c r="D428">
        <f ca="1">'uniforme cercle (rejet)'!O434</f>
        <v>0.3100379690833262</v>
      </c>
    </row>
    <row r="429" spans="1:4" x14ac:dyDescent="0.2">
      <c r="A429">
        <f>'uniforme cercle (rejet)'!L435</f>
        <v>426</v>
      </c>
      <c r="B429">
        <f ca="1">'uniforme cercle (rejet)'!M435</f>
        <v>0.67910589610894201</v>
      </c>
      <c r="C429">
        <f ca="1">'uniforme cercle (rejet)'!N435</f>
        <v>0.14386791652919428</v>
      </c>
      <c r="D429">
        <f ca="1">'uniforme cercle (rejet)'!O435</f>
        <v>0.6941777838107327</v>
      </c>
    </row>
    <row r="430" spans="1:4" x14ac:dyDescent="0.2">
      <c r="A430">
        <f>'uniforme cercle (rejet)'!L436</f>
        <v>427</v>
      </c>
      <c r="B430">
        <f ca="1">'uniforme cercle (rejet)'!M436</f>
        <v>-8.4925421104645293E-2</v>
      </c>
      <c r="C430">
        <f ca="1">'uniforme cercle (rejet)'!N436</f>
        <v>0.56421798548150415</v>
      </c>
      <c r="D430">
        <f ca="1">'uniforme cercle (rejet)'!O436</f>
        <v>0.57057362565282332</v>
      </c>
    </row>
    <row r="431" spans="1:4" x14ac:dyDescent="0.2">
      <c r="A431">
        <f>'uniforme cercle (rejet)'!L437</f>
        <v>428</v>
      </c>
      <c r="B431">
        <f ca="1">'uniforme cercle (rejet)'!M437</f>
        <v>0.38749262263859352</v>
      </c>
      <c r="C431">
        <f ca="1">'uniforme cercle (rejet)'!N437</f>
        <v>0.60542703740972548</v>
      </c>
      <c r="D431">
        <f ca="1">'uniforme cercle (rejet)'!O437</f>
        <v>0.71881320955172534</v>
      </c>
    </row>
    <row r="432" spans="1:4" x14ac:dyDescent="0.2">
      <c r="A432">
        <f>'uniforme cercle (rejet)'!L438</f>
        <v>429</v>
      </c>
      <c r="B432">
        <f ca="1">'uniforme cercle (rejet)'!M438</f>
        <v>-0.3160308999980872</v>
      </c>
      <c r="C432">
        <f ca="1">'uniforme cercle (rejet)'!N438</f>
        <v>0.2444370864378147</v>
      </c>
      <c r="D432">
        <f ca="1">'uniforme cercle (rejet)'!O438</f>
        <v>0.3995309987720711</v>
      </c>
    </row>
    <row r="433" spans="1:4" x14ac:dyDescent="0.2">
      <c r="A433">
        <f>'uniforme cercle (rejet)'!L439</f>
        <v>430</v>
      </c>
      <c r="B433">
        <f ca="1">'uniforme cercle (rejet)'!M439</f>
        <v>0.77981786729094571</v>
      </c>
      <c r="C433">
        <f ca="1">'uniforme cercle (rejet)'!N439</f>
        <v>-5.4172153453415195E-2</v>
      </c>
      <c r="D433">
        <f ca="1">'uniforme cercle (rejet)'!O439</f>
        <v>0.7816972101497992</v>
      </c>
    </row>
    <row r="434" spans="1:4" x14ac:dyDescent="0.2">
      <c r="A434">
        <f>'uniforme cercle (rejet)'!L440</f>
        <v>431</v>
      </c>
      <c r="B434">
        <f ca="1">'uniforme cercle (rejet)'!M440</f>
        <v>-0.36342791553084597</v>
      </c>
      <c r="C434">
        <f ca="1">'uniforme cercle (rejet)'!N440</f>
        <v>-0.665784633362277</v>
      </c>
      <c r="D434">
        <f ca="1">'uniforme cercle (rejet)'!O440</f>
        <v>0.75851765161295837</v>
      </c>
    </row>
    <row r="435" spans="1:4" x14ac:dyDescent="0.2">
      <c r="A435">
        <f>'uniforme cercle (rejet)'!L441</f>
        <v>432</v>
      </c>
      <c r="B435">
        <f ca="1">'uniforme cercle (rejet)'!M441</f>
        <v>0.19482217725032225</v>
      </c>
      <c r="C435">
        <f ca="1">'uniforme cercle (rejet)'!N441</f>
        <v>0.58696902221301195</v>
      </c>
      <c r="D435">
        <f ca="1">'uniforme cercle (rejet)'!O441</f>
        <v>0.61845639602663605</v>
      </c>
    </row>
    <row r="436" spans="1:4" x14ac:dyDescent="0.2">
      <c r="A436">
        <f>'uniforme cercle (rejet)'!L442</f>
        <v>433</v>
      </c>
      <c r="B436">
        <f ca="1">'uniforme cercle (rejet)'!M442</f>
        <v>-0.62065142376149951</v>
      </c>
      <c r="C436">
        <f ca="1">'uniforme cercle (rejet)'!N442</f>
        <v>0.33441761474099096</v>
      </c>
      <c r="D436">
        <f ca="1">'uniforme cercle (rejet)'!O442</f>
        <v>0.70501300049448046</v>
      </c>
    </row>
    <row r="437" spans="1:4" x14ac:dyDescent="0.2">
      <c r="A437">
        <f>'uniforme cercle (rejet)'!L443</f>
        <v>434</v>
      </c>
      <c r="B437">
        <f ca="1">'uniforme cercle (rejet)'!M443</f>
        <v>-0.27875624655047249</v>
      </c>
      <c r="C437">
        <f ca="1">'uniforme cercle (rejet)'!N443</f>
        <v>-0.55094359083907496</v>
      </c>
      <c r="D437">
        <f ca="1">'uniforme cercle (rejet)'!O443</f>
        <v>0.6174495001840733</v>
      </c>
    </row>
    <row r="438" spans="1:4" x14ac:dyDescent="0.2">
      <c r="A438">
        <f>'uniforme cercle (rejet)'!L444</f>
        <v>435</v>
      </c>
      <c r="B438">
        <f ca="1">'uniforme cercle (rejet)'!M444</f>
        <v>0.8452476430626561</v>
      </c>
      <c r="C438">
        <f ca="1">'uniforme cercle (rejet)'!N444</f>
        <v>-0.20811806861971283</v>
      </c>
      <c r="D438">
        <f ca="1">'uniforme cercle (rejet)'!O444</f>
        <v>0.87049222201520837</v>
      </c>
    </row>
    <row r="439" spans="1:4" x14ac:dyDescent="0.2">
      <c r="A439">
        <f>'uniforme cercle (rejet)'!L445</f>
        <v>436</v>
      </c>
      <c r="B439">
        <f ca="1">'uniforme cercle (rejet)'!M445</f>
        <v>0.605249681314179</v>
      </c>
      <c r="C439">
        <f ca="1">'uniforme cercle (rejet)'!N445</f>
        <v>-0.36121289705591098</v>
      </c>
      <c r="D439">
        <f ca="1">'uniforme cercle (rejet)'!O445</f>
        <v>0.70484177921746338</v>
      </c>
    </row>
    <row r="440" spans="1:4" x14ac:dyDescent="0.2">
      <c r="A440">
        <f>'uniforme cercle (rejet)'!L446</f>
        <v>437</v>
      </c>
      <c r="B440">
        <f ca="1">'uniforme cercle (rejet)'!M446</f>
        <v>-0.31402980535055858</v>
      </c>
      <c r="C440">
        <f ca="1">'uniforme cercle (rejet)'!N446</f>
        <v>0.25436362686732572</v>
      </c>
      <c r="D440">
        <f ca="1">'uniforme cercle (rejet)'!O446</f>
        <v>0.40412321551923963</v>
      </c>
    </row>
    <row r="441" spans="1:4" x14ac:dyDescent="0.2">
      <c r="A441">
        <f>'uniforme cercle (rejet)'!L447</f>
        <v>438</v>
      </c>
      <c r="B441">
        <f ca="1">'uniforme cercle (rejet)'!M447</f>
        <v>0.30081672018614469</v>
      </c>
      <c r="C441">
        <f ca="1">'uniforme cercle (rejet)'!N447</f>
        <v>-0.10313634839007313</v>
      </c>
      <c r="D441">
        <f ca="1">'uniforme cercle (rejet)'!O447</f>
        <v>0.31800598343865766</v>
      </c>
    </row>
    <row r="442" spans="1:4" x14ac:dyDescent="0.2">
      <c r="A442">
        <f>'uniforme cercle (rejet)'!L448</f>
        <v>439</v>
      </c>
      <c r="B442">
        <f ca="1">'uniforme cercle (rejet)'!M448</f>
        <v>0.55916933803937807</v>
      </c>
      <c r="C442">
        <f ca="1">'uniforme cercle (rejet)'!N448</f>
        <v>-0.79120913595734765</v>
      </c>
      <c r="D442">
        <f ca="1">'uniforme cercle (rejet)'!O448</f>
        <v>0.96885615311343765</v>
      </c>
    </row>
    <row r="443" spans="1:4" x14ac:dyDescent="0.2">
      <c r="A443">
        <f>'uniforme cercle (rejet)'!L449</f>
        <v>440</v>
      </c>
      <c r="B443">
        <f ca="1">'uniforme cercle (rejet)'!M449</f>
        <v>-0.51229717594596047</v>
      </c>
      <c r="C443">
        <f ca="1">'uniforme cercle (rejet)'!N449</f>
        <v>-0.10021141391328126</v>
      </c>
      <c r="D443">
        <f ca="1">'uniforme cercle (rejet)'!O449</f>
        <v>0.52200644053565592</v>
      </c>
    </row>
    <row r="444" spans="1:4" x14ac:dyDescent="0.2">
      <c r="A444">
        <f>'uniforme cercle (rejet)'!L450</f>
        <v>441</v>
      </c>
      <c r="B444">
        <f ca="1">'uniforme cercle (rejet)'!M450</f>
        <v>-8.1406742888056938E-2</v>
      </c>
      <c r="C444">
        <f ca="1">'uniforme cercle (rejet)'!N450</f>
        <v>7.023963420417445E-3</v>
      </c>
      <c r="D444">
        <f ca="1">'uniforme cercle (rejet)'!O450</f>
        <v>8.1709202968659356E-2</v>
      </c>
    </row>
    <row r="445" spans="1:4" x14ac:dyDescent="0.2">
      <c r="A445">
        <f>'uniforme cercle (rejet)'!L451</f>
        <v>442</v>
      </c>
      <c r="B445">
        <f ca="1">'uniforme cercle (rejet)'!M451</f>
        <v>-0.42055719199583685</v>
      </c>
      <c r="C445">
        <f ca="1">'uniforme cercle (rejet)'!N451</f>
        <v>-0.36496933577457513</v>
      </c>
      <c r="D445">
        <f ca="1">'uniforme cercle (rejet)'!O451</f>
        <v>0.55684016359738076</v>
      </c>
    </row>
    <row r="446" spans="1:4" x14ac:dyDescent="0.2">
      <c r="A446">
        <f>'uniforme cercle (rejet)'!L452</f>
        <v>443</v>
      </c>
      <c r="B446">
        <f ca="1">'uniforme cercle (rejet)'!M452</f>
        <v>0.10789742649685885</v>
      </c>
      <c r="C446">
        <f ca="1">'uniforme cercle (rejet)'!N452</f>
        <v>-0.19955437233573048</v>
      </c>
      <c r="D446">
        <f ca="1">'uniforme cercle (rejet)'!O452</f>
        <v>0.22685634697524426</v>
      </c>
    </row>
    <row r="447" spans="1:4" x14ac:dyDescent="0.2">
      <c r="A447">
        <f>'uniforme cercle (rejet)'!L453</f>
        <v>444</v>
      </c>
      <c r="B447">
        <f ca="1">'uniforme cercle (rejet)'!M453</f>
        <v>-0.10801391520993375</v>
      </c>
      <c r="C447">
        <f ca="1">'uniforme cercle (rejet)'!N453</f>
        <v>0.22482772130959106</v>
      </c>
      <c r="D447">
        <f ca="1">'uniforme cercle (rejet)'!O453</f>
        <v>0.24942836676737853</v>
      </c>
    </row>
    <row r="448" spans="1:4" x14ac:dyDescent="0.2">
      <c r="A448">
        <f>'uniforme cercle (rejet)'!L454</f>
        <v>445</v>
      </c>
      <c r="B448">
        <f ca="1">'uniforme cercle (rejet)'!M454</f>
        <v>0.20070604275813309</v>
      </c>
      <c r="C448">
        <f ca="1">'uniforme cercle (rejet)'!N454</f>
        <v>-0.41821286076113617</v>
      </c>
      <c r="D448">
        <f ca="1">'uniforme cercle (rejet)'!O454</f>
        <v>0.46388027820294647</v>
      </c>
    </row>
    <row r="449" spans="1:4" x14ac:dyDescent="0.2">
      <c r="A449">
        <f>'uniforme cercle (rejet)'!L455</f>
        <v>446</v>
      </c>
      <c r="B449">
        <f ca="1">'uniforme cercle (rejet)'!M455</f>
        <v>3.9771698615278517E-3</v>
      </c>
      <c r="C449">
        <f ca="1">'uniforme cercle (rejet)'!N455</f>
        <v>-9.0484544302712466E-2</v>
      </c>
      <c r="D449">
        <f ca="1">'uniforme cercle (rejet)'!O455</f>
        <v>9.0571908657027758E-2</v>
      </c>
    </row>
    <row r="450" spans="1:4" x14ac:dyDescent="0.2">
      <c r="A450">
        <f>'uniforme cercle (rejet)'!L456</f>
        <v>447</v>
      </c>
      <c r="B450">
        <f ca="1">'uniforme cercle (rejet)'!M456</f>
        <v>-0.72174677959534828</v>
      </c>
      <c r="C450">
        <f ca="1">'uniforme cercle (rejet)'!N456</f>
        <v>0.54780552953560235</v>
      </c>
      <c r="D450">
        <f ca="1">'uniforme cercle (rejet)'!O456</f>
        <v>0.90609564177631818</v>
      </c>
    </row>
    <row r="451" spans="1:4" x14ac:dyDescent="0.2">
      <c r="A451">
        <f>'uniforme cercle (rejet)'!L457</f>
        <v>448</v>
      </c>
      <c r="B451">
        <f ca="1">'uniforme cercle (rejet)'!M457</f>
        <v>-3.2482150373637886E-2</v>
      </c>
      <c r="C451">
        <f ca="1">'uniforme cercle (rejet)'!N457</f>
        <v>0.9195295989797625</v>
      </c>
      <c r="D451">
        <f ca="1">'uniforme cercle (rejet)'!O457</f>
        <v>0.92010313198726723</v>
      </c>
    </row>
    <row r="452" spans="1:4" x14ac:dyDescent="0.2">
      <c r="A452">
        <f>'uniforme cercle (rejet)'!L458</f>
        <v>449</v>
      </c>
      <c r="B452">
        <f ca="1">'uniforme cercle (rejet)'!M458</f>
        <v>0.7517365348073668</v>
      </c>
      <c r="C452">
        <f ca="1">'uniforme cercle (rejet)'!N458</f>
        <v>0.33871757428968019</v>
      </c>
      <c r="D452">
        <f ca="1">'uniforme cercle (rejet)'!O458</f>
        <v>0.82452253631836669</v>
      </c>
    </row>
    <row r="453" spans="1:4" x14ac:dyDescent="0.2">
      <c r="A453">
        <f>'uniforme cercle (rejet)'!L459</f>
        <v>450</v>
      </c>
      <c r="B453">
        <f ca="1">'uniforme cercle (rejet)'!M459</f>
        <v>0.1114750039776593</v>
      </c>
      <c r="C453">
        <f ca="1">'uniforme cercle (rejet)'!N459</f>
        <v>0.47980384398065268</v>
      </c>
      <c r="D453">
        <f ca="1">'uniforme cercle (rejet)'!O459</f>
        <v>0.49258339924365058</v>
      </c>
    </row>
    <row r="454" spans="1:4" x14ac:dyDescent="0.2">
      <c r="A454">
        <f>'uniforme cercle (rejet)'!L460</f>
        <v>451</v>
      </c>
      <c r="B454">
        <f ca="1">'uniforme cercle (rejet)'!M460</f>
        <v>0.50823227472078014</v>
      </c>
      <c r="C454">
        <f ca="1">'uniforme cercle (rejet)'!N460</f>
        <v>-0.72151597220046781</v>
      </c>
      <c r="D454">
        <f ca="1">'uniforme cercle (rejet)'!O460</f>
        <v>0.88254481087831727</v>
      </c>
    </row>
    <row r="455" spans="1:4" x14ac:dyDescent="0.2">
      <c r="A455">
        <f>'uniforme cercle (rejet)'!L461</f>
        <v>452</v>
      </c>
      <c r="B455">
        <f ca="1">'uniforme cercle (rejet)'!M461</f>
        <v>-0.69532966519940764</v>
      </c>
      <c r="C455">
        <f ca="1">'uniforme cercle (rejet)'!N461</f>
        <v>0.1573316256426005</v>
      </c>
      <c r="D455">
        <f ca="1">'uniforme cercle (rejet)'!O461</f>
        <v>0.71290713542064066</v>
      </c>
    </row>
    <row r="456" spans="1:4" x14ac:dyDescent="0.2">
      <c r="A456">
        <f>'uniforme cercle (rejet)'!L462</f>
        <v>453</v>
      </c>
      <c r="B456">
        <f ca="1">'uniforme cercle (rejet)'!M462</f>
        <v>0.10889716846112329</v>
      </c>
      <c r="C456">
        <f ca="1">'uniforme cercle (rejet)'!N462</f>
        <v>-0.93368087391198928</v>
      </c>
      <c r="D456">
        <f ca="1">'uniforme cercle (rejet)'!O462</f>
        <v>0.9400098763353002</v>
      </c>
    </row>
    <row r="457" spans="1:4" x14ac:dyDescent="0.2">
      <c r="A457">
        <f>'uniforme cercle (rejet)'!L463</f>
        <v>454</v>
      </c>
      <c r="B457">
        <f ca="1">'uniforme cercle (rejet)'!M463</f>
        <v>-0.39832312242628443</v>
      </c>
      <c r="C457">
        <f ca="1">'uniforme cercle (rejet)'!N463</f>
        <v>-0.68034799742835461</v>
      </c>
      <c r="D457">
        <f ca="1">'uniforme cercle (rejet)'!O463</f>
        <v>0.78837472528246189</v>
      </c>
    </row>
    <row r="458" spans="1:4" x14ac:dyDescent="0.2">
      <c r="A458">
        <f>'uniforme cercle (rejet)'!L464</f>
        <v>455</v>
      </c>
      <c r="B458">
        <f ca="1">'uniforme cercle (rejet)'!M464</f>
        <v>0.23058316988674243</v>
      </c>
      <c r="C458">
        <f ca="1">'uniforme cercle (rejet)'!N464</f>
        <v>-0.27294153383172559</v>
      </c>
      <c r="D458">
        <f ca="1">'uniforme cercle (rejet)'!O464</f>
        <v>0.35730334328891089</v>
      </c>
    </row>
    <row r="459" spans="1:4" x14ac:dyDescent="0.2">
      <c r="A459">
        <f>'uniforme cercle (rejet)'!L465</f>
        <v>456</v>
      </c>
      <c r="B459">
        <f ca="1">'uniforme cercle (rejet)'!M465</f>
        <v>-0.65326658575418195</v>
      </c>
      <c r="C459">
        <f ca="1">'uniforme cercle (rejet)'!N465</f>
        <v>0.59459084803658691</v>
      </c>
      <c r="D459">
        <f ca="1">'uniforme cercle (rejet)'!O465</f>
        <v>0.8833433696087799</v>
      </c>
    </row>
    <row r="460" spans="1:4" x14ac:dyDescent="0.2">
      <c r="A460">
        <f>'uniforme cercle (rejet)'!L466</f>
        <v>457</v>
      </c>
      <c r="B460">
        <f ca="1">'uniforme cercle (rejet)'!M466</f>
        <v>0.40364571310801534</v>
      </c>
      <c r="C460">
        <f ca="1">'uniforme cercle (rejet)'!N466</f>
        <v>0.78023502288600777</v>
      </c>
      <c r="D460">
        <f ca="1">'uniforme cercle (rejet)'!O466</f>
        <v>0.87846260742754856</v>
      </c>
    </row>
    <row r="461" spans="1:4" x14ac:dyDescent="0.2">
      <c r="A461">
        <f>'uniforme cercle (rejet)'!L467</f>
        <v>458</v>
      </c>
      <c r="B461">
        <f ca="1">'uniforme cercle (rejet)'!M467</f>
        <v>0.57564081919725663</v>
      </c>
      <c r="C461">
        <f ca="1">'uniforme cercle (rejet)'!N467</f>
        <v>-0.58981652987064304</v>
      </c>
      <c r="D461">
        <f ca="1">'uniforme cercle (rejet)'!O467</f>
        <v>0.82416375292458477</v>
      </c>
    </row>
    <row r="462" spans="1:4" x14ac:dyDescent="0.2">
      <c r="A462">
        <f>'uniforme cercle (rejet)'!L468</f>
        <v>459</v>
      </c>
      <c r="B462">
        <f ca="1">'uniforme cercle (rejet)'!M468</f>
        <v>0.38872295167476012</v>
      </c>
      <c r="C462">
        <f ca="1">'uniforme cercle (rejet)'!N468</f>
        <v>-0.92123772375563817</v>
      </c>
      <c r="D462">
        <f ca="1">'uniforme cercle (rejet)'!O468</f>
        <v>0.99989223260769822</v>
      </c>
    </row>
    <row r="463" spans="1:4" x14ac:dyDescent="0.2">
      <c r="A463">
        <f>'uniforme cercle (rejet)'!L469</f>
        <v>460</v>
      </c>
      <c r="B463">
        <f ca="1">'uniforme cercle (rejet)'!M469</f>
        <v>-0.21889476888141934</v>
      </c>
      <c r="C463">
        <f ca="1">'uniforme cercle (rejet)'!N469</f>
        <v>-0.47443318317556904</v>
      </c>
      <c r="D463">
        <f ca="1">'uniforme cercle (rejet)'!O469</f>
        <v>0.52249570825199421</v>
      </c>
    </row>
    <row r="464" spans="1:4" x14ac:dyDescent="0.2">
      <c r="A464">
        <f>'uniforme cercle (rejet)'!L470</f>
        <v>461</v>
      </c>
      <c r="B464">
        <f ca="1">'uniforme cercle (rejet)'!M470</f>
        <v>0.37444719921379388</v>
      </c>
      <c r="C464">
        <f ca="1">'uniforme cercle (rejet)'!N470</f>
        <v>0.49498780578844648</v>
      </c>
      <c r="D464">
        <f ca="1">'uniforme cercle (rejet)'!O470</f>
        <v>0.62066386464681134</v>
      </c>
    </row>
    <row r="465" spans="1:4" x14ac:dyDescent="0.2">
      <c r="A465">
        <f>'uniforme cercle (rejet)'!L471</f>
        <v>462</v>
      </c>
      <c r="B465">
        <f ca="1">'uniforme cercle (rejet)'!M471</f>
        <v>-0.17451746896231679</v>
      </c>
      <c r="C465">
        <f ca="1">'uniforme cercle (rejet)'!N471</f>
        <v>-0.48913948189655754</v>
      </c>
      <c r="D465">
        <f ca="1">'uniforme cercle (rejet)'!O471</f>
        <v>0.51933975365173612</v>
      </c>
    </row>
    <row r="466" spans="1:4" x14ac:dyDescent="0.2">
      <c r="A466">
        <f>'uniforme cercle (rejet)'!L472</f>
        <v>463</v>
      </c>
      <c r="B466">
        <f ca="1">'uniforme cercle (rejet)'!M472</f>
        <v>0.37644360217326622</v>
      </c>
      <c r="C466">
        <f ca="1">'uniforme cercle (rejet)'!N472</f>
        <v>0.63153968051037235</v>
      </c>
      <c r="D466">
        <f ca="1">'uniforme cercle (rejet)'!O472</f>
        <v>0.73522251983758469</v>
      </c>
    </row>
    <row r="467" spans="1:4" x14ac:dyDescent="0.2">
      <c r="A467">
        <f>'uniforme cercle (rejet)'!L473</f>
        <v>464</v>
      </c>
      <c r="B467">
        <f ca="1">'uniforme cercle (rejet)'!M473</f>
        <v>-0.53684416095449139</v>
      </c>
      <c r="C467">
        <f ca="1">'uniforme cercle (rejet)'!N473</f>
        <v>0.34111692119549741</v>
      </c>
      <c r="D467">
        <f ca="1">'uniforme cercle (rejet)'!O473</f>
        <v>0.63605220467885104</v>
      </c>
    </row>
    <row r="468" spans="1:4" x14ac:dyDescent="0.2">
      <c r="A468">
        <f>'uniforme cercle (rejet)'!L474</f>
        <v>465</v>
      </c>
      <c r="B468">
        <f ca="1">'uniforme cercle (rejet)'!M474</f>
        <v>0.95892968018223335</v>
      </c>
      <c r="C468">
        <f ca="1">'uniforme cercle (rejet)'!N474</f>
        <v>-0.15376119006828737</v>
      </c>
      <c r="D468">
        <f ca="1">'uniforme cercle (rejet)'!O474</f>
        <v>0.97117899231069471</v>
      </c>
    </row>
    <row r="469" spans="1:4" x14ac:dyDescent="0.2">
      <c r="A469">
        <f>'uniforme cercle (rejet)'!L475</f>
        <v>466</v>
      </c>
      <c r="B469">
        <f ca="1">'uniforme cercle (rejet)'!M475</f>
        <v>-0.37678228278131565</v>
      </c>
      <c r="C469">
        <f ca="1">'uniforme cercle (rejet)'!N475</f>
        <v>-0.85935306489531449</v>
      </c>
      <c r="D469">
        <f ca="1">'uniforme cercle (rejet)'!O475</f>
        <v>0.93832434624860384</v>
      </c>
    </row>
    <row r="470" spans="1:4" x14ac:dyDescent="0.2">
      <c r="A470">
        <f>'uniforme cercle (rejet)'!L476</f>
        <v>467</v>
      </c>
      <c r="B470">
        <f ca="1">'uniforme cercle (rejet)'!M476</f>
        <v>0.1138801479714453</v>
      </c>
      <c r="C470">
        <f ca="1">'uniforme cercle (rejet)'!N476</f>
        <v>-0.31758440179667202</v>
      </c>
      <c r="D470">
        <f ca="1">'uniforme cercle (rejet)'!O476</f>
        <v>0.33738485497506893</v>
      </c>
    </row>
    <row r="471" spans="1:4" x14ac:dyDescent="0.2">
      <c r="A471">
        <f>'uniforme cercle (rejet)'!L477</f>
        <v>468</v>
      </c>
      <c r="B471">
        <f ca="1">'uniforme cercle (rejet)'!M477</f>
        <v>-0.96798515844816158</v>
      </c>
      <c r="C471">
        <f ca="1">'uniforme cercle (rejet)'!N477</f>
        <v>-0.22675905002490704</v>
      </c>
      <c r="D471">
        <f ca="1">'uniforme cercle (rejet)'!O477</f>
        <v>0.99419059226292761</v>
      </c>
    </row>
    <row r="472" spans="1:4" x14ac:dyDescent="0.2">
      <c r="A472">
        <f>'uniforme cercle (rejet)'!L478</f>
        <v>469</v>
      </c>
      <c r="B472">
        <f ca="1">'uniforme cercle (rejet)'!M478</f>
        <v>-0.40603422666091649</v>
      </c>
      <c r="C472">
        <f ca="1">'uniforme cercle (rejet)'!N478</f>
        <v>0.48499983857014817</v>
      </c>
      <c r="D472">
        <f ca="1">'uniforme cercle (rejet)'!O478</f>
        <v>0.63252560156344528</v>
      </c>
    </row>
    <row r="473" spans="1:4" x14ac:dyDescent="0.2">
      <c r="A473">
        <f>'uniforme cercle (rejet)'!L479</f>
        <v>470</v>
      </c>
      <c r="B473">
        <f ca="1">'uniforme cercle (rejet)'!M479</f>
        <v>0.74582667584800455</v>
      </c>
      <c r="C473">
        <f ca="1">'uniforme cercle (rejet)'!N479</f>
        <v>0.12389709345166522</v>
      </c>
      <c r="D473">
        <f ca="1">'uniforme cercle (rejet)'!O479</f>
        <v>0.7560475647551913</v>
      </c>
    </row>
    <row r="474" spans="1:4" x14ac:dyDescent="0.2">
      <c r="A474">
        <f>'uniforme cercle (rejet)'!L480</f>
        <v>471</v>
      </c>
      <c r="B474">
        <f ca="1">'uniforme cercle (rejet)'!M480</f>
        <v>-0.17216489524945833</v>
      </c>
      <c r="C474">
        <f ca="1">'uniforme cercle (rejet)'!N480</f>
        <v>0.16173205727069639</v>
      </c>
      <c r="D474">
        <f ca="1">'uniforme cercle (rejet)'!O480</f>
        <v>0.23621602296471927</v>
      </c>
    </row>
    <row r="475" spans="1:4" x14ac:dyDescent="0.2">
      <c r="A475">
        <f>'uniforme cercle (rejet)'!L481</f>
        <v>472</v>
      </c>
      <c r="B475">
        <f ca="1">'uniforme cercle (rejet)'!M481</f>
        <v>0.41965831137348575</v>
      </c>
      <c r="C475">
        <f ca="1">'uniforme cercle (rejet)'!N481</f>
        <v>0.67108892073545534</v>
      </c>
      <c r="D475">
        <f ca="1">'uniforme cercle (rejet)'!O481</f>
        <v>0.7915007503715481</v>
      </c>
    </row>
    <row r="476" spans="1:4" x14ac:dyDescent="0.2">
      <c r="A476">
        <f>'uniforme cercle (rejet)'!L482</f>
        <v>473</v>
      </c>
      <c r="B476">
        <f ca="1">'uniforme cercle (rejet)'!M482</f>
        <v>0.11112333654494888</v>
      </c>
      <c r="C476">
        <f ca="1">'uniforme cercle (rejet)'!N482</f>
        <v>0.41587943977152531</v>
      </c>
      <c r="D476">
        <f ca="1">'uniforme cercle (rejet)'!O482</f>
        <v>0.4304696323198185</v>
      </c>
    </row>
    <row r="477" spans="1:4" x14ac:dyDescent="0.2">
      <c r="A477">
        <f>'uniforme cercle (rejet)'!L483</f>
        <v>474</v>
      </c>
      <c r="B477">
        <f ca="1">'uniforme cercle (rejet)'!M483</f>
        <v>-0.49007433915280707</v>
      </c>
      <c r="C477">
        <f ca="1">'uniforme cercle (rejet)'!N483</f>
        <v>-0.72799010269879005</v>
      </c>
      <c r="D477">
        <f ca="1">'uniforme cercle (rejet)'!O483</f>
        <v>0.87757760199509172</v>
      </c>
    </row>
    <row r="478" spans="1:4" x14ac:dyDescent="0.2">
      <c r="A478">
        <f>'uniforme cercle (rejet)'!L484</f>
        <v>475</v>
      </c>
      <c r="B478">
        <f ca="1">'uniforme cercle (rejet)'!M484</f>
        <v>0.76751634415689929</v>
      </c>
      <c r="C478">
        <f ca="1">'uniforme cercle (rejet)'!N484</f>
        <v>0.42151968208569368</v>
      </c>
      <c r="D478">
        <f ca="1">'uniforme cercle (rejet)'!O484</f>
        <v>0.87564843455213015</v>
      </c>
    </row>
    <row r="479" spans="1:4" x14ac:dyDescent="0.2">
      <c r="A479">
        <f>'uniforme cercle (rejet)'!L485</f>
        <v>476</v>
      </c>
      <c r="B479">
        <f ca="1">'uniforme cercle (rejet)'!M485</f>
        <v>-0.12736904884580658</v>
      </c>
      <c r="C479">
        <f ca="1">'uniforme cercle (rejet)'!N485</f>
        <v>-0.15370928454944432</v>
      </c>
      <c r="D479">
        <f ca="1">'uniforme cercle (rejet)'!O485</f>
        <v>0.19962319194068487</v>
      </c>
    </row>
    <row r="480" spans="1:4" x14ac:dyDescent="0.2">
      <c r="A480">
        <f>'uniforme cercle (rejet)'!L486</f>
        <v>477</v>
      </c>
      <c r="B480">
        <f ca="1">'uniforme cercle (rejet)'!M486</f>
        <v>0.71749593656407429</v>
      </c>
      <c r="C480">
        <f ca="1">'uniforme cercle (rejet)'!N486</f>
        <v>-0.16675981681693908</v>
      </c>
      <c r="D480">
        <f ca="1">'uniforme cercle (rejet)'!O486</f>
        <v>0.73662015685886384</v>
      </c>
    </row>
    <row r="481" spans="1:4" x14ac:dyDescent="0.2">
      <c r="A481">
        <f>'uniforme cercle (rejet)'!L487</f>
        <v>478</v>
      </c>
      <c r="B481">
        <f ca="1">'uniforme cercle (rejet)'!M487</f>
        <v>-0.34127868292088026</v>
      </c>
      <c r="C481">
        <f ca="1">'uniforme cercle (rejet)'!N487</f>
        <v>0.59854572604558665</v>
      </c>
      <c r="D481">
        <f ca="1">'uniforme cercle (rejet)'!O487</f>
        <v>0.68900517094115421</v>
      </c>
    </row>
    <row r="482" spans="1:4" x14ac:dyDescent="0.2">
      <c r="A482">
        <f>'uniforme cercle (rejet)'!L488</f>
        <v>479</v>
      </c>
      <c r="B482">
        <f ca="1">'uniforme cercle (rejet)'!M488</f>
        <v>0.4540265054736432</v>
      </c>
      <c r="C482">
        <f ca="1">'uniforme cercle (rejet)'!N488</f>
        <v>0.34431026302557788</v>
      </c>
      <c r="D482">
        <f ca="1">'uniforme cercle (rejet)'!O488</f>
        <v>0.56981543055392136</v>
      </c>
    </row>
    <row r="483" spans="1:4" x14ac:dyDescent="0.2">
      <c r="A483">
        <f>'uniforme cercle (rejet)'!L489</f>
        <v>480</v>
      </c>
      <c r="B483">
        <f ca="1">'uniforme cercle (rejet)'!M489</f>
        <v>-0.17755033673695575</v>
      </c>
      <c r="C483">
        <f ca="1">'uniforme cercle (rejet)'!N489</f>
        <v>0.77422721949396967</v>
      </c>
      <c r="D483">
        <f ca="1">'uniforme cercle (rejet)'!O489</f>
        <v>0.79432481358747054</v>
      </c>
    </row>
    <row r="484" spans="1:4" x14ac:dyDescent="0.2">
      <c r="A484">
        <f>'uniforme cercle (rejet)'!L490</f>
        <v>481</v>
      </c>
      <c r="B484">
        <f ca="1">'uniforme cercle (rejet)'!M490</f>
        <v>-0.16230264278329543</v>
      </c>
      <c r="C484">
        <f ca="1">'uniforme cercle (rejet)'!N490</f>
        <v>-0.22668300171670674</v>
      </c>
      <c r="D484">
        <f ca="1">'uniforme cercle (rejet)'!O490</f>
        <v>0.27879621791146747</v>
      </c>
    </row>
    <row r="485" spans="1:4" x14ac:dyDescent="0.2">
      <c r="A485">
        <f>'uniforme cercle (rejet)'!L491</f>
        <v>482</v>
      </c>
      <c r="B485">
        <f ca="1">'uniforme cercle (rejet)'!M491</f>
        <v>0.46116116178480548</v>
      </c>
      <c r="C485">
        <f ca="1">'uniforme cercle (rejet)'!N491</f>
        <v>0.52298347951011559</v>
      </c>
      <c r="D485">
        <f ca="1">'uniforme cercle (rejet)'!O491</f>
        <v>0.69726704853966748</v>
      </c>
    </row>
    <row r="486" spans="1:4" x14ac:dyDescent="0.2">
      <c r="A486">
        <f>'uniforme cercle (rejet)'!L492</f>
        <v>483</v>
      </c>
      <c r="B486">
        <f ca="1">'uniforme cercle (rejet)'!M492</f>
        <v>-8.9811442308215028E-2</v>
      </c>
      <c r="C486">
        <f ca="1">'uniforme cercle (rejet)'!N492</f>
        <v>0.14871650772663747</v>
      </c>
      <c r="D486">
        <f ca="1">'uniforme cercle (rejet)'!O492</f>
        <v>0.17373167483187646</v>
      </c>
    </row>
    <row r="487" spans="1:4" x14ac:dyDescent="0.2">
      <c r="A487">
        <f>'uniforme cercle (rejet)'!L493</f>
        <v>484</v>
      </c>
      <c r="B487">
        <f ca="1">'uniforme cercle (rejet)'!M493</f>
        <v>-0.33291715260129506</v>
      </c>
      <c r="C487">
        <f ca="1">'uniforme cercle (rejet)'!N493</f>
        <v>-0.9251601601782784</v>
      </c>
      <c r="D487">
        <f ca="1">'uniforme cercle (rejet)'!O493</f>
        <v>0.98323707846950714</v>
      </c>
    </row>
    <row r="488" spans="1:4" x14ac:dyDescent="0.2">
      <c r="A488">
        <f>'uniforme cercle (rejet)'!L494</f>
        <v>485</v>
      </c>
      <c r="B488">
        <f ca="1">'uniforme cercle (rejet)'!M494</f>
        <v>-4.4646603539548746E-3</v>
      </c>
      <c r="C488">
        <f ca="1">'uniforme cercle (rejet)'!N494</f>
        <v>-3.8670598375567078E-2</v>
      </c>
      <c r="D488">
        <f ca="1">'uniforme cercle (rejet)'!O494</f>
        <v>3.8927475782544491E-2</v>
      </c>
    </row>
    <row r="489" spans="1:4" x14ac:dyDescent="0.2">
      <c r="A489">
        <f>'uniforme cercle (rejet)'!L495</f>
        <v>486</v>
      </c>
      <c r="B489">
        <f ca="1">'uniforme cercle (rejet)'!M495</f>
        <v>0.16010648895044</v>
      </c>
      <c r="C489">
        <f ca="1">'uniforme cercle (rejet)'!N495</f>
        <v>0.18953845051550222</v>
      </c>
      <c r="D489">
        <f ca="1">'uniforme cercle (rejet)'!O495</f>
        <v>0.24811068503362538</v>
      </c>
    </row>
    <row r="490" spans="1:4" x14ac:dyDescent="0.2">
      <c r="A490">
        <f>'uniforme cercle (rejet)'!L496</f>
        <v>487</v>
      </c>
      <c r="B490">
        <f ca="1">'uniforme cercle (rejet)'!M496</f>
        <v>0.50962499645402937</v>
      </c>
      <c r="C490">
        <f ca="1">'uniforme cercle (rejet)'!N496</f>
        <v>0.59964540867154437</v>
      </c>
      <c r="D490">
        <f ca="1">'uniforme cercle (rejet)'!O496</f>
        <v>0.78695123937359224</v>
      </c>
    </row>
    <row r="491" spans="1:4" x14ac:dyDescent="0.2">
      <c r="A491">
        <f>'uniforme cercle (rejet)'!L497</f>
        <v>488</v>
      </c>
      <c r="B491">
        <f ca="1">'uniforme cercle (rejet)'!M497</f>
        <v>0.71343359814027796</v>
      </c>
      <c r="C491">
        <f ca="1">'uniforme cercle (rejet)'!N497</f>
        <v>-0.33590650395888355</v>
      </c>
      <c r="D491">
        <f ca="1">'uniforme cercle (rejet)'!O497</f>
        <v>0.78855607179024567</v>
      </c>
    </row>
    <row r="492" spans="1:4" x14ac:dyDescent="0.2">
      <c r="A492">
        <f>'uniforme cercle (rejet)'!L498</f>
        <v>489</v>
      </c>
      <c r="B492">
        <f ca="1">'uniforme cercle (rejet)'!M498</f>
        <v>-0.24033675638038066</v>
      </c>
      <c r="C492">
        <f ca="1">'uniforme cercle (rejet)'!N498</f>
        <v>0.60328206188906508</v>
      </c>
      <c r="D492">
        <f ca="1">'uniforme cercle (rejet)'!O498</f>
        <v>0.64939279535929884</v>
      </c>
    </row>
    <row r="493" spans="1:4" x14ac:dyDescent="0.2">
      <c r="A493">
        <f>'uniforme cercle (rejet)'!L499</f>
        <v>490</v>
      </c>
      <c r="B493">
        <f ca="1">'uniforme cercle (rejet)'!M499</f>
        <v>0.38666702072628789</v>
      </c>
      <c r="C493">
        <f ca="1">'uniforme cercle (rejet)'!N499</f>
        <v>0.25224552164500014</v>
      </c>
      <c r="D493">
        <f ca="1">'uniforme cercle (rejet)'!O499</f>
        <v>0.46166999914148826</v>
      </c>
    </row>
    <row r="494" spans="1:4" x14ac:dyDescent="0.2">
      <c r="A494">
        <f>'uniforme cercle (rejet)'!L500</f>
        <v>491</v>
      </c>
      <c r="B494">
        <f ca="1">'uniforme cercle (rejet)'!M500</f>
        <v>-0.33717092938315041</v>
      </c>
      <c r="C494">
        <f ca="1">'uniforme cercle (rejet)'!N500</f>
        <v>-0.43534499132226556</v>
      </c>
      <c r="D494">
        <f ca="1">'uniforme cercle (rejet)'!O500</f>
        <v>0.55064461959641531</v>
      </c>
    </row>
    <row r="495" spans="1:4" x14ac:dyDescent="0.2">
      <c r="A495">
        <f>'uniforme cercle (rejet)'!L501</f>
        <v>492</v>
      </c>
      <c r="B495">
        <f ca="1">'uniforme cercle (rejet)'!M501</f>
        <v>0.59371096160338621</v>
      </c>
      <c r="C495">
        <f ca="1">'uniforme cercle (rejet)'!N501</f>
        <v>6.3688799856957523E-2</v>
      </c>
      <c r="D495">
        <f ca="1">'uniforme cercle (rejet)'!O501</f>
        <v>0.597117215591074</v>
      </c>
    </row>
    <row r="496" spans="1:4" x14ac:dyDescent="0.2">
      <c r="A496">
        <f>'uniforme cercle (rejet)'!L502</f>
        <v>493</v>
      </c>
      <c r="B496">
        <f ca="1">'uniforme cercle (rejet)'!M502</f>
        <v>-0.73849165356191349</v>
      </c>
      <c r="C496">
        <f ca="1">'uniforme cercle (rejet)'!N502</f>
        <v>0.27622407349225253</v>
      </c>
      <c r="D496">
        <f ca="1">'uniforme cercle (rejet)'!O502</f>
        <v>0.78846031045149156</v>
      </c>
    </row>
    <row r="497" spans="1:4" x14ac:dyDescent="0.2">
      <c r="A497">
        <f>'uniforme cercle (rejet)'!L503</f>
        <v>494</v>
      </c>
      <c r="B497">
        <f ca="1">'uniforme cercle (rejet)'!M503</f>
        <v>-0.58325324511702936</v>
      </c>
      <c r="C497">
        <f ca="1">'uniforme cercle (rejet)'!N503</f>
        <v>-8.1096273396693119E-2</v>
      </c>
      <c r="D497">
        <f ca="1">'uniforme cercle (rejet)'!O503</f>
        <v>0.58886412142223166</v>
      </c>
    </row>
    <row r="498" spans="1:4" x14ac:dyDescent="0.2">
      <c r="A498">
        <f>'uniforme cercle (rejet)'!L504</f>
        <v>495</v>
      </c>
      <c r="B498">
        <f ca="1">'uniforme cercle (rejet)'!M504</f>
        <v>-9.7687800355038767E-2</v>
      </c>
      <c r="C498">
        <f ca="1">'uniforme cercle (rejet)'!N504</f>
        <v>-0.27406334581275971</v>
      </c>
      <c r="D498">
        <f ca="1">'uniforme cercle (rejet)'!O504</f>
        <v>0.29095295815009381</v>
      </c>
    </row>
    <row r="499" spans="1:4" x14ac:dyDescent="0.2">
      <c r="A499">
        <f>'uniforme cercle (rejet)'!L505</f>
        <v>496</v>
      </c>
      <c r="B499">
        <f ca="1">'uniforme cercle (rejet)'!M505</f>
        <v>0.84911342432143244</v>
      </c>
      <c r="C499">
        <f ca="1">'uniforme cercle (rejet)'!N505</f>
        <v>-0.16247820044692984</v>
      </c>
      <c r="D499">
        <f ca="1">'uniforme cercle (rejet)'!O505</f>
        <v>0.86451881008069553</v>
      </c>
    </row>
    <row r="500" spans="1:4" x14ac:dyDescent="0.2">
      <c r="A500">
        <f>'uniforme cercle (rejet)'!L506</f>
        <v>497</v>
      </c>
      <c r="B500">
        <f ca="1">'uniforme cercle (rejet)'!M506</f>
        <v>3.3081564471577618E-2</v>
      </c>
      <c r="C500">
        <f ca="1">'uniforme cercle (rejet)'!N506</f>
        <v>-0.12489343492531035</v>
      </c>
      <c r="D500">
        <f ca="1">'uniforme cercle (rejet)'!O506</f>
        <v>0.12920046437737706</v>
      </c>
    </row>
    <row r="501" spans="1:4" x14ac:dyDescent="0.2">
      <c r="A501">
        <f>'uniforme cercle (rejet)'!L507</f>
        <v>498</v>
      </c>
      <c r="B501">
        <f ca="1">'uniforme cercle (rejet)'!M507</f>
        <v>-0.36610815443379741</v>
      </c>
      <c r="C501">
        <f ca="1">'uniforme cercle (rejet)'!N507</f>
        <v>-0.63711615883431838</v>
      </c>
      <c r="D501">
        <f ca="1">'uniforme cercle (rejet)'!O507</f>
        <v>0.73481438512778019</v>
      </c>
    </row>
    <row r="502" spans="1:4" x14ac:dyDescent="0.2">
      <c r="A502">
        <f>'uniforme cercle (rejet)'!L508</f>
        <v>499</v>
      </c>
      <c r="B502">
        <f ca="1">'uniforme cercle (rejet)'!M508</f>
        <v>-0.99618228669047793</v>
      </c>
      <c r="C502">
        <f ca="1">'uniforme cercle (rejet)'!N508</f>
        <v>7.6112243017218972E-2</v>
      </c>
      <c r="D502">
        <f ca="1">'uniforme cercle (rejet)'!O508</f>
        <v>0.99908569294779803</v>
      </c>
    </row>
    <row r="503" spans="1:4" x14ac:dyDescent="0.2">
      <c r="A503">
        <f>'uniforme cercle (rejet)'!L509</f>
        <v>500</v>
      </c>
      <c r="B503">
        <f ca="1">'uniforme cercle (rejet)'!M509</f>
        <v>-0.60522425644184752</v>
      </c>
      <c r="C503">
        <f ca="1">'uniforme cercle (rejet)'!N509</f>
        <v>0.21031972070129323</v>
      </c>
      <c r="D503">
        <f ca="1">'uniforme cercle (rejet)'!O509</f>
        <v>0.6407267635283056</v>
      </c>
    </row>
  </sheetData>
  <pageMargins left="0.7" right="0.7" top="0.75" bottom="0.75" header="0.3" footer="0.3"/>
  <pageSetup scale="1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04"/>
  <sheetViews>
    <sheetView zoomScaleNormal="100" workbookViewId="0">
      <selection activeCell="H2" sqref="H2:I2"/>
    </sheetView>
  </sheetViews>
  <sheetFormatPr baseColWidth="10" defaultColWidth="11.5" defaultRowHeight="15" x14ac:dyDescent="0.2"/>
  <cols>
    <col min="1" max="3" width="12.6640625" customWidth="1"/>
    <col min="4" max="4" width="14.33203125" hidden="1" customWidth="1"/>
    <col min="5" max="6" width="11.5" hidden="1" customWidth="1"/>
  </cols>
  <sheetData>
    <row r="1" spans="1:9" ht="19" x14ac:dyDescent="0.25">
      <c r="A1" s="6" t="s">
        <v>34</v>
      </c>
    </row>
    <row r="2" spans="1:9" ht="21" x14ac:dyDescent="0.25">
      <c r="A2" s="5" t="s">
        <v>33</v>
      </c>
      <c r="G2" s="7">
        <f ca="1">AVERAGE(G5:G504)</f>
        <v>0.19800000000000001</v>
      </c>
      <c r="H2" s="8" t="s">
        <v>35</v>
      </c>
      <c r="I2" s="7">
        <f ca="1">_xlfn.NORM.INV(0.95,0,1)*STDEV(G5:G504)/SQRT(500)</f>
        <v>2.934247635272268E-2</v>
      </c>
    </row>
    <row r="4" spans="1:9" ht="32" x14ac:dyDescent="0.2">
      <c r="A4" s="3" t="s">
        <v>0</v>
      </c>
      <c r="B4" s="3" t="s">
        <v>9</v>
      </c>
      <c r="C4" s="3" t="s">
        <v>10</v>
      </c>
      <c r="D4" s="3" t="s">
        <v>16</v>
      </c>
      <c r="E4" s="3" t="s">
        <v>28</v>
      </c>
      <c r="F4" s="3" t="s">
        <v>29</v>
      </c>
      <c r="G4" s="3" t="s">
        <v>32</v>
      </c>
      <c r="H4" s="3" t="s">
        <v>30</v>
      </c>
      <c r="I4" s="3" t="s">
        <v>31</v>
      </c>
    </row>
    <row r="5" spans="1:9" x14ac:dyDescent="0.2">
      <c r="A5">
        <f>'uniforme cercle (rejet)'!L10</f>
        <v>1</v>
      </c>
      <c r="B5">
        <f ca="1">'uniforme cercle (rejet)'!M10</f>
        <v>-0.37065883238826403</v>
      </c>
      <c r="C5">
        <f ca="1">'uniforme cercle (rejet)'!N10</f>
        <v>-0.37285528888144159</v>
      </c>
      <c r="D5">
        <f ca="1">'uniforme cercle (rejet)'!O10</f>
        <v>0.52574617114563416</v>
      </c>
      <c r="E5">
        <f ca="1">(B5+C5)^2/SQRT(2*(B5+C5)^2)</f>
        <v>0.52574387705776582</v>
      </c>
      <c r="F5">
        <f ca="1">SQRT((B5-0.5)^2+(C5-0.5)^2)</f>
        <v>1.2328516365499946</v>
      </c>
      <c r="G5">
        <f ca="1">IF(ABS(F5-E5)&lt;SQRT(2)/2/2,1,0)</f>
        <v>0</v>
      </c>
      <c r="H5" t="e">
        <f ca="1">IF($G5=1,B5,NA())</f>
        <v>#N/A</v>
      </c>
      <c r="I5" t="e">
        <f ca="1">IF($G5=1,C5,NA())</f>
        <v>#N/A</v>
      </c>
    </row>
    <row r="6" spans="1:9" x14ac:dyDescent="0.2">
      <c r="A6">
        <f>'uniforme cercle (rejet)'!L11</f>
        <v>2</v>
      </c>
      <c r="B6">
        <f ca="1">'uniforme cercle (rejet)'!M11</f>
        <v>-9.0019855182084552E-2</v>
      </c>
      <c r="C6">
        <f ca="1">'uniforme cercle (rejet)'!N11</f>
        <v>-0.90672690360907149</v>
      </c>
      <c r="D6">
        <f ca="1">'uniforme cercle (rejet)'!O11</f>
        <v>0.91118453238380748</v>
      </c>
      <c r="E6">
        <f t="shared" ref="E6:E69" ca="1" si="0">(B6+C6)^2/SQRT(2*(B6+C6)^2)</f>
        <v>0.70480639226693842</v>
      </c>
      <c r="F6">
        <f t="shared" ref="F6:F69" ca="1" si="1">SQRT((B6-0.5)^2+(C6-0.5)^2)</f>
        <v>1.5254520676988359</v>
      </c>
      <c r="G6">
        <f t="shared" ref="G6:G69" ca="1" si="2">IF(ABS(F6-E6)&lt;SQRT(2)/2/2,1,0)</f>
        <v>0</v>
      </c>
      <c r="H6" t="e">
        <f t="shared" ref="H6:H69" ca="1" si="3">IF($G6=1,B6,NA())</f>
        <v>#N/A</v>
      </c>
      <c r="I6" t="e">
        <f t="shared" ref="I6:I69" ca="1" si="4">IF($G6=1,C6,NA())</f>
        <v>#N/A</v>
      </c>
    </row>
    <row r="7" spans="1:9" x14ac:dyDescent="0.2">
      <c r="A7">
        <f>'uniforme cercle (rejet)'!L12</f>
        <v>3</v>
      </c>
      <c r="B7">
        <f ca="1">'uniforme cercle (rejet)'!M12</f>
        <v>-0.24899950226759415</v>
      </c>
      <c r="C7">
        <f ca="1">'uniforme cercle (rejet)'!N12</f>
        <v>0.66272336367548323</v>
      </c>
      <c r="D7">
        <f ca="1">'uniforme cercle (rejet)'!O12</f>
        <v>0.70795692587251124</v>
      </c>
      <c r="E7">
        <f t="shared" ca="1" si="0"/>
        <v>0.29254694794020175</v>
      </c>
      <c r="F7">
        <f t="shared" ca="1" si="1"/>
        <v>0.76647188303483604</v>
      </c>
      <c r="G7">
        <f t="shared" ca="1" si="2"/>
        <v>0</v>
      </c>
      <c r="H7" t="e">
        <f t="shared" ca="1" si="3"/>
        <v>#N/A</v>
      </c>
      <c r="I7" t="e">
        <f t="shared" ca="1" si="4"/>
        <v>#N/A</v>
      </c>
    </row>
    <row r="8" spans="1:9" x14ac:dyDescent="0.2">
      <c r="A8">
        <f>'uniforme cercle (rejet)'!L13</f>
        <v>4</v>
      </c>
      <c r="B8">
        <f ca="1">'uniforme cercle (rejet)'!M13</f>
        <v>6.8244952980820894E-2</v>
      </c>
      <c r="C8">
        <f ca="1">'uniforme cercle (rejet)'!N13</f>
        <v>0.15403684950946261</v>
      </c>
      <c r="D8">
        <f ca="1">'uniforme cercle (rejet)'!O13</f>
        <v>0.16847766799832933</v>
      </c>
      <c r="E8">
        <f t="shared" ca="1" si="0"/>
        <v>0.15717696987524826</v>
      </c>
      <c r="F8">
        <f t="shared" ca="1" si="1"/>
        <v>0.55326568854743907</v>
      </c>
      <c r="G8">
        <f t="shared" ca="1" si="2"/>
        <v>0</v>
      </c>
      <c r="H8" t="e">
        <f t="shared" ca="1" si="3"/>
        <v>#N/A</v>
      </c>
      <c r="I8" t="e">
        <f t="shared" ca="1" si="4"/>
        <v>#N/A</v>
      </c>
    </row>
    <row r="9" spans="1:9" x14ac:dyDescent="0.2">
      <c r="A9">
        <f>'uniforme cercle (rejet)'!L14</f>
        <v>5</v>
      </c>
      <c r="B9">
        <f ca="1">'uniforme cercle (rejet)'!M14</f>
        <v>0.22665299296155994</v>
      </c>
      <c r="C9">
        <f ca="1">'uniforme cercle (rejet)'!N14</f>
        <v>0.44924293222446954</v>
      </c>
      <c r="D9">
        <f ca="1">'uniforme cercle (rejet)'!O14</f>
        <v>0.50318067468064809</v>
      </c>
      <c r="E9">
        <f t="shared" ca="1" si="0"/>
        <v>0.47793059207539679</v>
      </c>
      <c r="F9">
        <f t="shared" ca="1" si="1"/>
        <v>0.27801954281316771</v>
      </c>
      <c r="G9">
        <f t="shared" ca="1" si="2"/>
        <v>1</v>
      </c>
      <c r="H9">
        <f t="shared" ca="1" si="3"/>
        <v>0.22665299296155994</v>
      </c>
      <c r="I9">
        <f t="shared" ca="1" si="4"/>
        <v>0.44924293222446954</v>
      </c>
    </row>
    <row r="10" spans="1:9" x14ac:dyDescent="0.2">
      <c r="A10">
        <f>'uniforme cercle (rejet)'!L15</f>
        <v>6</v>
      </c>
      <c r="B10">
        <f ca="1">'uniforme cercle (rejet)'!M15</f>
        <v>0.28192509407307553</v>
      </c>
      <c r="C10">
        <f ca="1">'uniforme cercle (rejet)'!N15</f>
        <v>-0.74365115020988237</v>
      </c>
      <c r="D10">
        <f ca="1">'uniforme cercle (rejet)'!O15</f>
        <v>0.79529792648830255</v>
      </c>
      <c r="E10">
        <f t="shared" ca="1" si="0"/>
        <v>0.32648962534485665</v>
      </c>
      <c r="F10">
        <f t="shared" ca="1" si="1"/>
        <v>1.2626261711264346</v>
      </c>
      <c r="G10">
        <f t="shared" ca="1" si="2"/>
        <v>0</v>
      </c>
      <c r="H10" t="e">
        <f t="shared" ca="1" si="3"/>
        <v>#N/A</v>
      </c>
      <c r="I10" t="e">
        <f t="shared" ca="1" si="4"/>
        <v>#N/A</v>
      </c>
    </row>
    <row r="11" spans="1:9" x14ac:dyDescent="0.2">
      <c r="A11">
        <f>'uniforme cercle (rejet)'!L16</f>
        <v>7</v>
      </c>
      <c r="B11">
        <f ca="1">'uniforme cercle (rejet)'!M16</f>
        <v>0.32873345678994959</v>
      </c>
      <c r="C11">
        <f ca="1">'uniforme cercle (rejet)'!N16</f>
        <v>0.69839744684280869</v>
      </c>
      <c r="D11">
        <f ca="1">'uniforme cercle (rejet)'!O16</f>
        <v>0.77189680616622802</v>
      </c>
      <c r="E11">
        <f t="shared" ca="1" si="0"/>
        <v>0.72629122712498972</v>
      </c>
      <c r="F11">
        <f t="shared" ca="1" si="1"/>
        <v>0.26209497465015458</v>
      </c>
      <c r="G11">
        <f t="shared" ca="1" si="2"/>
        <v>0</v>
      </c>
      <c r="H11" t="e">
        <f t="shared" ca="1" si="3"/>
        <v>#N/A</v>
      </c>
      <c r="I11" t="e">
        <f t="shared" ca="1" si="4"/>
        <v>#N/A</v>
      </c>
    </row>
    <row r="12" spans="1:9" x14ac:dyDescent="0.2">
      <c r="A12">
        <f>'uniforme cercle (rejet)'!L17</f>
        <v>8</v>
      </c>
      <c r="B12">
        <f ca="1">'uniforme cercle (rejet)'!M17</f>
        <v>-0.85827678492662596</v>
      </c>
      <c r="C12">
        <f ca="1">'uniforme cercle (rejet)'!N17</f>
        <v>8.5271867003751112E-2</v>
      </c>
      <c r="D12">
        <f ca="1">'uniforme cercle (rejet)'!O17</f>
        <v>0.86250236570475047</v>
      </c>
      <c r="E12">
        <f t="shared" ca="1" si="0"/>
        <v>0.54659701935381544</v>
      </c>
      <c r="F12">
        <f t="shared" ca="1" si="1"/>
        <v>1.4201814140345472</v>
      </c>
      <c r="G12">
        <f t="shared" ca="1" si="2"/>
        <v>0</v>
      </c>
      <c r="H12" t="e">
        <f t="shared" ca="1" si="3"/>
        <v>#N/A</v>
      </c>
      <c r="I12" t="e">
        <f t="shared" ca="1" si="4"/>
        <v>#N/A</v>
      </c>
    </row>
    <row r="13" spans="1:9" x14ac:dyDescent="0.2">
      <c r="A13">
        <f>'uniforme cercle (rejet)'!L18</f>
        <v>9</v>
      </c>
      <c r="B13">
        <f ca="1">'uniforme cercle (rejet)'!M18</f>
        <v>0.18970217759962793</v>
      </c>
      <c r="C13">
        <f ca="1">'uniforme cercle (rejet)'!N18</f>
        <v>-0.64992696167198627</v>
      </c>
      <c r="D13">
        <f ca="1">'uniforme cercle (rejet)'!O18</f>
        <v>0.67704650630087471</v>
      </c>
      <c r="E13">
        <f t="shared" ca="1" si="0"/>
        <v>0.32542806568767918</v>
      </c>
      <c r="F13">
        <f t="shared" ca="1" si="1"/>
        <v>1.1910569909817827</v>
      </c>
      <c r="G13">
        <f t="shared" ca="1" si="2"/>
        <v>0</v>
      </c>
      <c r="H13" t="e">
        <f t="shared" ca="1" si="3"/>
        <v>#N/A</v>
      </c>
      <c r="I13" t="e">
        <f t="shared" ca="1" si="4"/>
        <v>#N/A</v>
      </c>
    </row>
    <row r="14" spans="1:9" x14ac:dyDescent="0.2">
      <c r="A14">
        <f>'uniforme cercle (rejet)'!L19</f>
        <v>10</v>
      </c>
      <c r="B14">
        <f ca="1">'uniforme cercle (rejet)'!M19</f>
        <v>0.36918322505175727</v>
      </c>
      <c r="C14">
        <f ca="1">'uniforme cercle (rejet)'!N19</f>
        <v>0.39114529116746644</v>
      </c>
      <c r="D14">
        <f ca="1">'uniforme cercle (rejet)'!O19</f>
        <v>0.53785768792692601</v>
      </c>
      <c r="E14">
        <f t="shared" ca="1" si="0"/>
        <v>0.53763344974811889</v>
      </c>
      <c r="F14">
        <f t="shared" ca="1" si="1"/>
        <v>0.17018336065219433</v>
      </c>
      <c r="G14">
        <f t="shared" ca="1" si="2"/>
        <v>0</v>
      </c>
      <c r="H14" t="e">
        <f t="shared" ca="1" si="3"/>
        <v>#N/A</v>
      </c>
      <c r="I14" t="e">
        <f t="shared" ca="1" si="4"/>
        <v>#N/A</v>
      </c>
    </row>
    <row r="15" spans="1:9" x14ac:dyDescent="0.2">
      <c r="A15">
        <f>'uniforme cercle (rejet)'!L20</f>
        <v>11</v>
      </c>
      <c r="B15">
        <f ca="1">'uniforme cercle (rejet)'!M20</f>
        <v>-0.24941141570130454</v>
      </c>
      <c r="C15">
        <f ca="1">'uniforme cercle (rejet)'!N20</f>
        <v>9.347978722496908E-2</v>
      </c>
      <c r="D15">
        <f ca="1">'uniforme cercle (rejet)'!O20</f>
        <v>0.26635413438081723</v>
      </c>
      <c r="E15">
        <f t="shared" ca="1" si="0"/>
        <v>0.11026031189707816</v>
      </c>
      <c r="F15">
        <f t="shared" ca="1" si="1"/>
        <v>0.85257032166155644</v>
      </c>
      <c r="G15">
        <f t="shared" ca="1" si="2"/>
        <v>0</v>
      </c>
      <c r="H15" t="e">
        <f t="shared" ca="1" si="3"/>
        <v>#N/A</v>
      </c>
      <c r="I15" t="e">
        <f t="shared" ca="1" si="4"/>
        <v>#N/A</v>
      </c>
    </row>
    <row r="16" spans="1:9" x14ac:dyDescent="0.2">
      <c r="A16">
        <f>'uniforme cercle (rejet)'!L21</f>
        <v>12</v>
      </c>
      <c r="B16">
        <f ca="1">'uniforme cercle (rejet)'!M21</f>
        <v>-0.82542411696763041</v>
      </c>
      <c r="C16">
        <f ca="1">'uniforme cercle (rejet)'!N21</f>
        <v>-0.19855570580337001</v>
      </c>
      <c r="D16">
        <f ca="1">'uniforme cercle (rejet)'!O21</f>
        <v>0.84896957612088009</v>
      </c>
      <c r="E16">
        <f t="shared" ca="1" si="0"/>
        <v>0.72406307647957346</v>
      </c>
      <c r="F16">
        <f t="shared" ca="1" si="1"/>
        <v>1.4982420244906587</v>
      </c>
      <c r="G16">
        <f t="shared" ca="1" si="2"/>
        <v>0</v>
      </c>
      <c r="H16" t="e">
        <f t="shared" ca="1" si="3"/>
        <v>#N/A</v>
      </c>
      <c r="I16" t="e">
        <f t="shared" ca="1" si="4"/>
        <v>#N/A</v>
      </c>
    </row>
    <row r="17" spans="1:9" x14ac:dyDescent="0.2">
      <c r="A17">
        <f>'uniforme cercle (rejet)'!L22</f>
        <v>13</v>
      </c>
      <c r="B17">
        <f ca="1">'uniforme cercle (rejet)'!M22</f>
        <v>-0.43889576684524712</v>
      </c>
      <c r="C17">
        <f ca="1">'uniforme cercle (rejet)'!N22</f>
        <v>-0.78678866053038776</v>
      </c>
      <c r="D17">
        <f ca="1">'uniforme cercle (rejet)'!O22</f>
        <v>0.9009250193517101</v>
      </c>
      <c r="E17">
        <f t="shared" ca="1" si="0"/>
        <v>0.86668977019206184</v>
      </c>
      <c r="F17">
        <f t="shared" ca="1" si="1"/>
        <v>1.5929062489266324</v>
      </c>
      <c r="G17">
        <f t="shared" ca="1" si="2"/>
        <v>0</v>
      </c>
      <c r="H17" t="e">
        <f t="shared" ca="1" si="3"/>
        <v>#N/A</v>
      </c>
      <c r="I17" t="e">
        <f t="shared" ca="1" si="4"/>
        <v>#N/A</v>
      </c>
    </row>
    <row r="18" spans="1:9" x14ac:dyDescent="0.2">
      <c r="A18">
        <f>'uniforme cercle (rejet)'!L23</f>
        <v>14</v>
      </c>
      <c r="B18">
        <f ca="1">'uniforme cercle (rejet)'!M23</f>
        <v>-0.20649894929057133</v>
      </c>
      <c r="C18">
        <f ca="1">'uniforme cercle (rejet)'!N23</f>
        <v>-0.52500988824423289</v>
      </c>
      <c r="D18">
        <f ca="1">'uniforme cercle (rejet)'!O23</f>
        <v>0.56416061437531406</v>
      </c>
      <c r="E18">
        <f t="shared" ca="1" si="0"/>
        <v>0.51725485951874861</v>
      </c>
      <c r="F18">
        <f t="shared" ca="1" si="1"/>
        <v>1.2449040269623743</v>
      </c>
      <c r="G18">
        <f t="shared" ca="1" si="2"/>
        <v>0</v>
      </c>
      <c r="H18" t="e">
        <f t="shared" ca="1" si="3"/>
        <v>#N/A</v>
      </c>
      <c r="I18" t="e">
        <f t="shared" ca="1" si="4"/>
        <v>#N/A</v>
      </c>
    </row>
    <row r="19" spans="1:9" x14ac:dyDescent="0.2">
      <c r="A19">
        <f>'uniforme cercle (rejet)'!L24</f>
        <v>15</v>
      </c>
      <c r="B19">
        <f ca="1">'uniforme cercle (rejet)'!M24</f>
        <v>0.60121368102237338</v>
      </c>
      <c r="C19">
        <f ca="1">'uniforme cercle (rejet)'!N24</f>
        <v>-0.22377018381812741</v>
      </c>
      <c r="D19">
        <f ca="1">'uniforme cercle (rejet)'!O24</f>
        <v>0.64150680854880304</v>
      </c>
      <c r="E19">
        <f t="shared" ca="1" si="0"/>
        <v>0.26689285638788801</v>
      </c>
      <c r="F19">
        <f t="shared" ca="1" si="1"/>
        <v>0.73081289548709027</v>
      </c>
      <c r="G19">
        <f t="shared" ca="1" si="2"/>
        <v>0</v>
      </c>
      <c r="H19" t="e">
        <f t="shared" ca="1" si="3"/>
        <v>#N/A</v>
      </c>
      <c r="I19" t="e">
        <f t="shared" ca="1" si="4"/>
        <v>#N/A</v>
      </c>
    </row>
    <row r="20" spans="1:9" x14ac:dyDescent="0.2">
      <c r="A20">
        <f>'uniforme cercle (rejet)'!L25</f>
        <v>16</v>
      </c>
      <c r="B20">
        <f ca="1">'uniforme cercle (rejet)'!M25</f>
        <v>-0.52779177211756245</v>
      </c>
      <c r="C20">
        <f ca="1">'uniforme cercle (rejet)'!N25</f>
        <v>-0.74703793214383318</v>
      </c>
      <c r="D20">
        <f ca="1">'uniforme cercle (rejet)'!O25</f>
        <v>0.91467471090914676</v>
      </c>
      <c r="E20">
        <f t="shared" ca="1" si="0"/>
        <v>0.90144072874127379</v>
      </c>
      <c r="F20">
        <f t="shared" ca="1" si="1"/>
        <v>1.6160010925238038</v>
      </c>
      <c r="G20">
        <f t="shared" ca="1" si="2"/>
        <v>0</v>
      </c>
      <c r="H20" t="e">
        <f t="shared" ca="1" si="3"/>
        <v>#N/A</v>
      </c>
      <c r="I20" t="e">
        <f t="shared" ca="1" si="4"/>
        <v>#N/A</v>
      </c>
    </row>
    <row r="21" spans="1:9" x14ac:dyDescent="0.2">
      <c r="A21">
        <f>'uniforme cercle (rejet)'!L26</f>
        <v>17</v>
      </c>
      <c r="B21">
        <f ca="1">'uniforme cercle (rejet)'!M26</f>
        <v>-0.5309432195415098</v>
      </c>
      <c r="C21">
        <f ca="1">'uniforme cercle (rejet)'!N26</f>
        <v>0.32107299952414237</v>
      </c>
      <c r="D21">
        <f ca="1">'uniforme cercle (rejet)'!O26</f>
        <v>0.62047447441497039</v>
      </c>
      <c r="E21">
        <f t="shared" ca="1" si="0"/>
        <v>0.1484006557433932</v>
      </c>
      <c r="F21">
        <f t="shared" ca="1" si="1"/>
        <v>1.0463550035326927</v>
      </c>
      <c r="G21">
        <f t="shared" ca="1" si="2"/>
        <v>0</v>
      </c>
      <c r="H21" t="e">
        <f t="shared" ca="1" si="3"/>
        <v>#N/A</v>
      </c>
      <c r="I21" t="e">
        <f t="shared" ca="1" si="4"/>
        <v>#N/A</v>
      </c>
    </row>
    <row r="22" spans="1:9" x14ac:dyDescent="0.2">
      <c r="A22">
        <f>'uniforme cercle (rejet)'!L27</f>
        <v>18</v>
      </c>
      <c r="B22">
        <f ca="1">'uniforme cercle (rejet)'!M27</f>
        <v>0.2630723100277963</v>
      </c>
      <c r="C22">
        <f ca="1">'uniforme cercle (rejet)'!N27</f>
        <v>-0.46918678193415331</v>
      </c>
      <c r="D22">
        <f ca="1">'uniforme cercle (rejet)'!O27</f>
        <v>0.53790638278894565</v>
      </c>
      <c r="E22">
        <f t="shared" ca="1" si="0"/>
        <v>0.14574494078566916</v>
      </c>
      <c r="F22">
        <f t="shared" ca="1" si="1"/>
        <v>0.99772628939576646</v>
      </c>
      <c r="G22">
        <f t="shared" ca="1" si="2"/>
        <v>0</v>
      </c>
      <c r="H22" t="e">
        <f t="shared" ca="1" si="3"/>
        <v>#N/A</v>
      </c>
      <c r="I22" t="e">
        <f t="shared" ca="1" si="4"/>
        <v>#N/A</v>
      </c>
    </row>
    <row r="23" spans="1:9" x14ac:dyDescent="0.2">
      <c r="A23">
        <f>'uniforme cercle (rejet)'!L28</f>
        <v>19</v>
      </c>
      <c r="B23">
        <f ca="1">'uniforme cercle (rejet)'!M28</f>
        <v>-0.24040913886294946</v>
      </c>
      <c r="C23">
        <f ca="1">'uniforme cercle (rejet)'!N28</f>
        <v>0.5220530807235142</v>
      </c>
      <c r="D23">
        <f ca="1">'uniforme cercle (rejet)'!O28</f>
        <v>0.57474861734652039</v>
      </c>
      <c r="E23">
        <f t="shared" ca="1" si="0"/>
        <v>0.19915234116971506</v>
      </c>
      <c r="F23">
        <f t="shared" ca="1" si="1"/>
        <v>0.74073749147803514</v>
      </c>
      <c r="G23">
        <f t="shared" ca="1" si="2"/>
        <v>0</v>
      </c>
      <c r="H23" t="e">
        <f t="shared" ca="1" si="3"/>
        <v>#N/A</v>
      </c>
      <c r="I23" t="e">
        <f t="shared" ca="1" si="4"/>
        <v>#N/A</v>
      </c>
    </row>
    <row r="24" spans="1:9" x14ac:dyDescent="0.2">
      <c r="A24">
        <f>'uniforme cercle (rejet)'!L29</f>
        <v>20</v>
      </c>
      <c r="B24">
        <f ca="1">'uniforme cercle (rejet)'!M29</f>
        <v>-0.20897830122665995</v>
      </c>
      <c r="C24">
        <f ca="1">'uniforme cercle (rejet)'!N29</f>
        <v>-0.82735009252181468</v>
      </c>
      <c r="D24">
        <f ca="1">'uniforme cercle (rejet)'!O29</f>
        <v>0.85333469751290203</v>
      </c>
      <c r="E24">
        <f t="shared" ca="1" si="0"/>
        <v>0.73279483475570895</v>
      </c>
      <c r="F24">
        <f t="shared" ca="1" si="1"/>
        <v>1.5048283954417896</v>
      </c>
      <c r="G24">
        <f t="shared" ca="1" si="2"/>
        <v>0</v>
      </c>
      <c r="H24" t="e">
        <f t="shared" ca="1" si="3"/>
        <v>#N/A</v>
      </c>
      <c r="I24" t="e">
        <f t="shared" ca="1" si="4"/>
        <v>#N/A</v>
      </c>
    </row>
    <row r="25" spans="1:9" x14ac:dyDescent="0.2">
      <c r="A25">
        <f>'uniforme cercle (rejet)'!L30</f>
        <v>21</v>
      </c>
      <c r="B25">
        <f ca="1">'uniforme cercle (rejet)'!M30</f>
        <v>-0.67354792558674292</v>
      </c>
      <c r="C25">
        <f ca="1">'uniforme cercle (rejet)'!N30</f>
        <v>-9.10833282546335E-2</v>
      </c>
      <c r="D25">
        <f ca="1">'uniforme cercle (rejet)'!O30</f>
        <v>0.67967858635398093</v>
      </c>
      <c r="E25">
        <f t="shared" ca="1" si="0"/>
        <v>0.54067594469840963</v>
      </c>
      <c r="F25">
        <f t="shared" ca="1" si="1"/>
        <v>1.3139993282302402</v>
      </c>
      <c r="G25">
        <f t="shared" ca="1" si="2"/>
        <v>0</v>
      </c>
      <c r="H25" t="e">
        <f t="shared" ca="1" si="3"/>
        <v>#N/A</v>
      </c>
      <c r="I25" t="e">
        <f t="shared" ca="1" si="4"/>
        <v>#N/A</v>
      </c>
    </row>
    <row r="26" spans="1:9" x14ac:dyDescent="0.2">
      <c r="A26">
        <f>'uniforme cercle (rejet)'!L31</f>
        <v>22</v>
      </c>
      <c r="B26">
        <f ca="1">'uniforme cercle (rejet)'!M31</f>
        <v>0.57326339455173692</v>
      </c>
      <c r="C26">
        <f ca="1">'uniforme cercle (rejet)'!N31</f>
        <v>-0.79977540490648136</v>
      </c>
      <c r="D26">
        <f ca="1">'uniforme cercle (rejet)'!O31</f>
        <v>0.98400793585535007</v>
      </c>
      <c r="E26">
        <f t="shared" ca="1" si="0"/>
        <v>0.16016817854203724</v>
      </c>
      <c r="F26">
        <f t="shared" ca="1" si="1"/>
        <v>1.3018385568806337</v>
      </c>
      <c r="G26">
        <f t="shared" ca="1" si="2"/>
        <v>0</v>
      </c>
      <c r="H26" t="e">
        <f t="shared" ca="1" si="3"/>
        <v>#N/A</v>
      </c>
      <c r="I26" t="e">
        <f t="shared" ca="1" si="4"/>
        <v>#N/A</v>
      </c>
    </row>
    <row r="27" spans="1:9" x14ac:dyDescent="0.2">
      <c r="A27">
        <f>'uniforme cercle (rejet)'!L32</f>
        <v>23</v>
      </c>
      <c r="B27">
        <f ca="1">'uniforme cercle (rejet)'!M32</f>
        <v>0.69896941668651613</v>
      </c>
      <c r="C27">
        <f ca="1">'uniforme cercle (rejet)'!N32</f>
        <v>0.62631342866914363</v>
      </c>
      <c r="D27">
        <f ca="1">'uniforme cercle (rejet)'!O32</f>
        <v>0.93852371115192779</v>
      </c>
      <c r="E27">
        <f t="shared" ca="1" si="0"/>
        <v>0.93711648694118954</v>
      </c>
      <c r="F27">
        <f t="shared" ca="1" si="1"/>
        <v>0.23567755735056176</v>
      </c>
      <c r="G27">
        <f t="shared" ca="1" si="2"/>
        <v>0</v>
      </c>
      <c r="H27" t="e">
        <f t="shared" ca="1" si="3"/>
        <v>#N/A</v>
      </c>
      <c r="I27" t="e">
        <f t="shared" ca="1" si="4"/>
        <v>#N/A</v>
      </c>
    </row>
    <row r="28" spans="1:9" x14ac:dyDescent="0.2">
      <c r="A28">
        <f>'uniforme cercle (rejet)'!L33</f>
        <v>24</v>
      </c>
      <c r="B28">
        <f ca="1">'uniforme cercle (rejet)'!M33</f>
        <v>0.28059708928632143</v>
      </c>
      <c r="C28">
        <f ca="1">'uniforme cercle (rejet)'!N33</f>
        <v>-0.91679788370538295</v>
      </c>
      <c r="D28">
        <f ca="1">'uniforme cercle (rejet)'!O33</f>
        <v>0.95877686980998067</v>
      </c>
      <c r="E28">
        <f t="shared" ca="1" si="0"/>
        <v>0.44986189592998704</v>
      </c>
      <c r="F28">
        <f t="shared" ca="1" si="1"/>
        <v>1.4336854189471573</v>
      </c>
      <c r="G28">
        <f t="shared" ca="1" si="2"/>
        <v>0</v>
      </c>
      <c r="H28" t="e">
        <f t="shared" ca="1" si="3"/>
        <v>#N/A</v>
      </c>
      <c r="I28" t="e">
        <f t="shared" ca="1" si="4"/>
        <v>#N/A</v>
      </c>
    </row>
    <row r="29" spans="1:9" x14ac:dyDescent="0.2">
      <c r="A29">
        <f>'uniforme cercle (rejet)'!L34</f>
        <v>25</v>
      </c>
      <c r="B29">
        <f ca="1">'uniforme cercle (rejet)'!M34</f>
        <v>0.30564663528708635</v>
      </c>
      <c r="C29">
        <f ca="1">'uniforme cercle (rejet)'!N34</f>
        <v>0.44065837696568111</v>
      </c>
      <c r="D29">
        <f ca="1">'uniforme cercle (rejet)'!O34</f>
        <v>0.53628320023318421</v>
      </c>
      <c r="E29">
        <f t="shared" ca="1" si="0"/>
        <v>0.52771733499744133</v>
      </c>
      <c r="F29">
        <f t="shared" ca="1" si="1"/>
        <v>0.20321087224747114</v>
      </c>
      <c r="G29">
        <f t="shared" ca="1" si="2"/>
        <v>1</v>
      </c>
      <c r="H29">
        <f t="shared" ca="1" si="3"/>
        <v>0.30564663528708635</v>
      </c>
      <c r="I29">
        <f t="shared" ca="1" si="4"/>
        <v>0.44065837696568111</v>
      </c>
    </row>
    <row r="30" spans="1:9" x14ac:dyDescent="0.2">
      <c r="A30">
        <f>'uniforme cercle (rejet)'!L35</f>
        <v>26</v>
      </c>
      <c r="B30">
        <f ca="1">'uniforme cercle (rejet)'!M35</f>
        <v>-0.90223063673221127</v>
      </c>
      <c r="C30">
        <f ca="1">'uniforme cercle (rejet)'!N35</f>
        <v>0.23808504167396372</v>
      </c>
      <c r="D30">
        <f ca="1">'uniforme cercle (rejet)'!O35</f>
        <v>0.93311553889489185</v>
      </c>
      <c r="E30">
        <f t="shared" ca="1" si="0"/>
        <v>0.46962185396086165</v>
      </c>
      <c r="F30">
        <f t="shared" ca="1" si="1"/>
        <v>1.4264817573265183</v>
      </c>
      <c r="G30">
        <f t="shared" ca="1" si="2"/>
        <v>0</v>
      </c>
      <c r="H30" t="e">
        <f t="shared" ca="1" si="3"/>
        <v>#N/A</v>
      </c>
      <c r="I30" t="e">
        <f t="shared" ca="1" si="4"/>
        <v>#N/A</v>
      </c>
    </row>
    <row r="31" spans="1:9" x14ac:dyDescent="0.2">
      <c r="A31">
        <f>'uniforme cercle (rejet)'!L36</f>
        <v>27</v>
      </c>
      <c r="B31">
        <f ca="1">'uniforme cercle (rejet)'!M36</f>
        <v>0.42723313695359355</v>
      </c>
      <c r="C31">
        <f ca="1">'uniforme cercle (rejet)'!N36</f>
        <v>0.14006047149288037</v>
      </c>
      <c r="D31">
        <f ca="1">'uniforme cercle (rejet)'!O36</f>
        <v>0.44960548149017932</v>
      </c>
      <c r="E31">
        <f t="shared" ca="1" si="0"/>
        <v>0.40113715745628781</v>
      </c>
      <c r="F31">
        <f t="shared" ca="1" si="1"/>
        <v>0.36722129641340528</v>
      </c>
      <c r="G31">
        <f t="shared" ca="1" si="2"/>
        <v>1</v>
      </c>
      <c r="H31">
        <f t="shared" ca="1" si="3"/>
        <v>0.42723313695359355</v>
      </c>
      <c r="I31">
        <f t="shared" ca="1" si="4"/>
        <v>0.14006047149288037</v>
      </c>
    </row>
    <row r="32" spans="1:9" x14ac:dyDescent="0.2">
      <c r="A32">
        <f>'uniforme cercle (rejet)'!L37</f>
        <v>28</v>
      </c>
      <c r="B32">
        <f ca="1">'uniforme cercle (rejet)'!M37</f>
        <v>0.39364284337987265</v>
      </c>
      <c r="C32">
        <f ca="1">'uniforme cercle (rejet)'!N37</f>
        <v>-0.51109556622333607</v>
      </c>
      <c r="D32">
        <f ca="1">'uniforme cercle (rejet)'!O37</f>
        <v>0.64511500211771811</v>
      </c>
      <c r="E32">
        <f t="shared" ca="1" si="0"/>
        <v>8.3051616791437105E-2</v>
      </c>
      <c r="F32">
        <f t="shared" ca="1" si="1"/>
        <v>1.0166740327168815</v>
      </c>
      <c r="G32">
        <f t="shared" ca="1" si="2"/>
        <v>0</v>
      </c>
      <c r="H32" t="e">
        <f t="shared" ca="1" si="3"/>
        <v>#N/A</v>
      </c>
      <c r="I32" t="e">
        <f t="shared" ca="1" si="4"/>
        <v>#N/A</v>
      </c>
    </row>
    <row r="33" spans="1:9" x14ac:dyDescent="0.2">
      <c r="A33">
        <f>'uniforme cercle (rejet)'!L38</f>
        <v>29</v>
      </c>
      <c r="B33">
        <f ca="1">'uniforme cercle (rejet)'!M38</f>
        <v>8.0128248754276266E-2</v>
      </c>
      <c r="C33">
        <f ca="1">'uniforme cercle (rejet)'!N38</f>
        <v>0.10539167105959435</v>
      </c>
      <c r="D33">
        <f ca="1">'uniforme cercle (rejet)'!O38</f>
        <v>0.13239312888953458</v>
      </c>
      <c r="E33">
        <f t="shared" ca="1" si="0"/>
        <v>0.13118239334557247</v>
      </c>
      <c r="F33">
        <f t="shared" ca="1" si="1"/>
        <v>0.5762013717124338</v>
      </c>
      <c r="G33">
        <f t="shared" ca="1" si="2"/>
        <v>0</v>
      </c>
      <c r="H33" t="e">
        <f t="shared" ca="1" si="3"/>
        <v>#N/A</v>
      </c>
      <c r="I33" t="e">
        <f t="shared" ca="1" si="4"/>
        <v>#N/A</v>
      </c>
    </row>
    <row r="34" spans="1:9" x14ac:dyDescent="0.2">
      <c r="A34">
        <f>'uniforme cercle (rejet)'!L39</f>
        <v>30</v>
      </c>
      <c r="B34">
        <f ca="1">'uniforme cercle (rejet)'!M39</f>
        <v>0.65284725452006565</v>
      </c>
      <c r="C34">
        <f ca="1">'uniforme cercle (rejet)'!N39</f>
        <v>-0.34533364115407394</v>
      </c>
      <c r="D34">
        <f ca="1">'uniforme cercle (rejet)'!O39</f>
        <v>0.73855592980296225</v>
      </c>
      <c r="E34">
        <f t="shared" ca="1" si="0"/>
        <v>0.21744496131827085</v>
      </c>
      <c r="F34">
        <f t="shared" ca="1" si="1"/>
        <v>0.85904088848036009</v>
      </c>
      <c r="G34">
        <f t="shared" ca="1" si="2"/>
        <v>0</v>
      </c>
      <c r="H34" t="e">
        <f t="shared" ca="1" si="3"/>
        <v>#N/A</v>
      </c>
      <c r="I34" t="e">
        <f t="shared" ca="1" si="4"/>
        <v>#N/A</v>
      </c>
    </row>
    <row r="35" spans="1:9" x14ac:dyDescent="0.2">
      <c r="A35">
        <f>'uniforme cercle (rejet)'!L40</f>
        <v>31</v>
      </c>
      <c r="B35">
        <f ca="1">'uniforme cercle (rejet)'!M40</f>
        <v>-0.19487068794361151</v>
      </c>
      <c r="C35">
        <f ca="1">'uniforme cercle (rejet)'!N40</f>
        <v>0.81052474368699934</v>
      </c>
      <c r="D35">
        <f ca="1">'uniforme cercle (rejet)'!O40</f>
        <v>0.83362158390272767</v>
      </c>
      <c r="E35">
        <f t="shared" ca="1" si="0"/>
        <v>0.43533315768115027</v>
      </c>
      <c r="F35">
        <f t="shared" ca="1" si="1"/>
        <v>0.76109847549781928</v>
      </c>
      <c r="G35">
        <f t="shared" ca="1" si="2"/>
        <v>1</v>
      </c>
      <c r="H35">
        <f t="shared" ca="1" si="3"/>
        <v>-0.19487068794361151</v>
      </c>
      <c r="I35">
        <f t="shared" ca="1" si="4"/>
        <v>0.81052474368699934</v>
      </c>
    </row>
    <row r="36" spans="1:9" x14ac:dyDescent="0.2">
      <c r="A36">
        <f>'uniforme cercle (rejet)'!L41</f>
        <v>32</v>
      </c>
      <c r="B36">
        <f ca="1">'uniforme cercle (rejet)'!M41</f>
        <v>-4.7786061163548776E-2</v>
      </c>
      <c r="C36">
        <f ca="1">'uniforme cercle (rejet)'!N41</f>
        <v>-0.29350235032106853</v>
      </c>
      <c r="D36">
        <f ca="1">'uniforme cercle (rejet)'!O41</f>
        <v>0.29736700772869484</v>
      </c>
      <c r="E36">
        <f t="shared" ca="1" si="0"/>
        <v>0.24132735010115769</v>
      </c>
      <c r="F36">
        <f t="shared" ca="1" si="1"/>
        <v>0.96421758372793376</v>
      </c>
      <c r="G36">
        <f t="shared" ca="1" si="2"/>
        <v>0</v>
      </c>
      <c r="H36" t="e">
        <f t="shared" ca="1" si="3"/>
        <v>#N/A</v>
      </c>
      <c r="I36" t="e">
        <f t="shared" ca="1" si="4"/>
        <v>#N/A</v>
      </c>
    </row>
    <row r="37" spans="1:9" x14ac:dyDescent="0.2">
      <c r="A37">
        <f>'uniforme cercle (rejet)'!L42</f>
        <v>33</v>
      </c>
      <c r="B37">
        <f ca="1">'uniforme cercle (rejet)'!M42</f>
        <v>0.19400143165006489</v>
      </c>
      <c r="C37">
        <f ca="1">'uniforme cercle (rejet)'!N42</f>
        <v>0.7837161348423296</v>
      </c>
      <c r="D37">
        <f ca="1">'uniforme cercle (rejet)'!O42</f>
        <v>0.80737075466880481</v>
      </c>
      <c r="E37">
        <f t="shared" ca="1" si="0"/>
        <v>0.69135072135198139</v>
      </c>
      <c r="F37">
        <f t="shared" ca="1" si="1"/>
        <v>0.41728883162874236</v>
      </c>
      <c r="G37">
        <f t="shared" ca="1" si="2"/>
        <v>1</v>
      </c>
      <c r="H37">
        <f t="shared" ca="1" si="3"/>
        <v>0.19400143165006489</v>
      </c>
      <c r="I37">
        <f t="shared" ca="1" si="4"/>
        <v>0.7837161348423296</v>
      </c>
    </row>
    <row r="38" spans="1:9" x14ac:dyDescent="0.2">
      <c r="A38">
        <f>'uniforme cercle (rejet)'!L43</f>
        <v>34</v>
      </c>
      <c r="B38">
        <f ca="1">'uniforme cercle (rejet)'!M43</f>
        <v>-0.11593281701190916</v>
      </c>
      <c r="C38">
        <f ca="1">'uniforme cercle (rejet)'!N43</f>
        <v>-6.8977899122335762E-2</v>
      </c>
      <c r="D38">
        <f ca="1">'uniforme cercle (rejet)'!O43</f>
        <v>0.13490132922861783</v>
      </c>
      <c r="E38">
        <f t="shared" ca="1" si="0"/>
        <v>0.13075162129258533</v>
      </c>
      <c r="F38">
        <f t="shared" ca="1" si="1"/>
        <v>0.83851600149424266</v>
      </c>
      <c r="G38">
        <f t="shared" ca="1" si="2"/>
        <v>0</v>
      </c>
      <c r="H38" t="e">
        <f t="shared" ca="1" si="3"/>
        <v>#N/A</v>
      </c>
      <c r="I38" t="e">
        <f t="shared" ca="1" si="4"/>
        <v>#N/A</v>
      </c>
    </row>
    <row r="39" spans="1:9" x14ac:dyDescent="0.2">
      <c r="A39">
        <f>'uniforme cercle (rejet)'!L44</f>
        <v>35</v>
      </c>
      <c r="B39">
        <f ca="1">'uniforme cercle (rejet)'!M44</f>
        <v>-0.59169147279780887</v>
      </c>
      <c r="C39">
        <f ca="1">'uniforme cercle (rejet)'!N44</f>
        <v>-0.63436108153085202</v>
      </c>
      <c r="D39">
        <f ca="1">'uniforme cercle (rejet)'!O44</f>
        <v>0.86747494531117875</v>
      </c>
      <c r="E39">
        <f t="shared" ca="1" si="0"/>
        <v>0.86695007525688406</v>
      </c>
      <c r="F39">
        <f t="shared" ca="1" si="1"/>
        <v>1.5743460023359837</v>
      </c>
      <c r="G39">
        <f t="shared" ca="1" si="2"/>
        <v>0</v>
      </c>
      <c r="H39" t="e">
        <f t="shared" ca="1" si="3"/>
        <v>#N/A</v>
      </c>
      <c r="I39" t="e">
        <f t="shared" ca="1" si="4"/>
        <v>#N/A</v>
      </c>
    </row>
    <row r="40" spans="1:9" x14ac:dyDescent="0.2">
      <c r="A40">
        <f>'uniforme cercle (rejet)'!L45</f>
        <v>36</v>
      </c>
      <c r="B40">
        <f ca="1">'uniforme cercle (rejet)'!M45</f>
        <v>-0.3921903240548088</v>
      </c>
      <c r="C40">
        <f ca="1">'uniforme cercle (rejet)'!N45</f>
        <v>-0.86442801719236129</v>
      </c>
      <c r="D40">
        <f ca="1">'uniforme cercle (rejet)'!O45</f>
        <v>0.94923603344443952</v>
      </c>
      <c r="E40">
        <f t="shared" ca="1" si="0"/>
        <v>0.88856335045926493</v>
      </c>
      <c r="F40">
        <f t="shared" ca="1" si="1"/>
        <v>1.6302353782311632</v>
      </c>
      <c r="G40">
        <f t="shared" ca="1" si="2"/>
        <v>0</v>
      </c>
      <c r="H40" t="e">
        <f t="shared" ca="1" si="3"/>
        <v>#N/A</v>
      </c>
      <c r="I40" t="e">
        <f t="shared" ca="1" si="4"/>
        <v>#N/A</v>
      </c>
    </row>
    <row r="41" spans="1:9" x14ac:dyDescent="0.2">
      <c r="A41">
        <f>'uniforme cercle (rejet)'!L46</f>
        <v>37</v>
      </c>
      <c r="B41">
        <f ca="1">'uniforme cercle (rejet)'!M46</f>
        <v>-0.65750006296392915</v>
      </c>
      <c r="C41">
        <f ca="1">'uniforme cercle (rejet)'!N46</f>
        <v>-0.37876406856659783</v>
      </c>
      <c r="D41">
        <f ca="1">'uniforme cercle (rejet)'!O46</f>
        <v>0.75879414364812614</v>
      </c>
      <c r="E41">
        <f t="shared" ca="1" si="0"/>
        <v>0.73274939450562404</v>
      </c>
      <c r="F41">
        <f t="shared" ca="1" si="1"/>
        <v>1.4532834148799816</v>
      </c>
      <c r="G41">
        <f t="shared" ca="1" si="2"/>
        <v>0</v>
      </c>
      <c r="H41" t="e">
        <f t="shared" ca="1" si="3"/>
        <v>#N/A</v>
      </c>
      <c r="I41" t="e">
        <f t="shared" ca="1" si="4"/>
        <v>#N/A</v>
      </c>
    </row>
    <row r="42" spans="1:9" x14ac:dyDescent="0.2">
      <c r="A42">
        <f>'uniforme cercle (rejet)'!L47</f>
        <v>38</v>
      </c>
      <c r="B42">
        <f ca="1">'uniforme cercle (rejet)'!M47</f>
        <v>0.22446732479624987</v>
      </c>
      <c r="C42">
        <f ca="1">'uniforme cercle (rejet)'!N47</f>
        <v>0.22790886657574849</v>
      </c>
      <c r="D42">
        <f ca="1">'uniforme cercle (rejet)'!O47</f>
        <v>0.31988752924274411</v>
      </c>
      <c r="E42">
        <f t="shared" ca="1" si="0"/>
        <v>0.31987827256648338</v>
      </c>
      <c r="F42">
        <f t="shared" ca="1" si="1"/>
        <v>0.38723615532776517</v>
      </c>
      <c r="G42">
        <f t="shared" ca="1" si="2"/>
        <v>1</v>
      </c>
      <c r="H42">
        <f t="shared" ca="1" si="3"/>
        <v>0.22446732479624987</v>
      </c>
      <c r="I42">
        <f t="shared" ca="1" si="4"/>
        <v>0.22790886657574849</v>
      </c>
    </row>
    <row r="43" spans="1:9" x14ac:dyDescent="0.2">
      <c r="A43">
        <f>'uniforme cercle (rejet)'!L48</f>
        <v>39</v>
      </c>
      <c r="B43">
        <f ca="1">'uniforme cercle (rejet)'!M48</f>
        <v>-0.5777191522380285</v>
      </c>
      <c r="C43">
        <f ca="1">'uniforme cercle (rejet)'!N48</f>
        <v>-0.53283217741543676</v>
      </c>
      <c r="D43">
        <f ca="1">'uniforme cercle (rejet)'!O48</f>
        <v>0.78591955577648132</v>
      </c>
      <c r="E43">
        <f t="shared" ca="1" si="0"/>
        <v>0.78527837605370232</v>
      </c>
      <c r="F43">
        <f t="shared" ca="1" si="1"/>
        <v>1.4927226392754172</v>
      </c>
      <c r="G43">
        <f t="shared" ca="1" si="2"/>
        <v>0</v>
      </c>
      <c r="H43" t="e">
        <f t="shared" ca="1" si="3"/>
        <v>#N/A</v>
      </c>
      <c r="I43" t="e">
        <f t="shared" ca="1" si="4"/>
        <v>#N/A</v>
      </c>
    </row>
    <row r="44" spans="1:9" x14ac:dyDescent="0.2">
      <c r="A44">
        <f>'uniforme cercle (rejet)'!L49</f>
        <v>40</v>
      </c>
      <c r="B44">
        <f ca="1">'uniforme cercle (rejet)'!M49</f>
        <v>-0.71107816222770426</v>
      </c>
      <c r="C44">
        <f ca="1">'uniforme cercle (rejet)'!N49</f>
        <v>-0.1185714503225066</v>
      </c>
      <c r="D44">
        <f ca="1">'uniforme cercle (rejet)'!O49</f>
        <v>0.72089620725088566</v>
      </c>
      <c r="E44">
        <f t="shared" ca="1" si="0"/>
        <v>0.58665086704304592</v>
      </c>
      <c r="F44">
        <f t="shared" ca="1" si="1"/>
        <v>1.3599047592309259</v>
      </c>
      <c r="G44">
        <f t="shared" ca="1" si="2"/>
        <v>0</v>
      </c>
      <c r="H44" t="e">
        <f t="shared" ca="1" si="3"/>
        <v>#N/A</v>
      </c>
      <c r="I44" t="e">
        <f t="shared" ca="1" si="4"/>
        <v>#N/A</v>
      </c>
    </row>
    <row r="45" spans="1:9" x14ac:dyDescent="0.2">
      <c r="A45">
        <f>'uniforme cercle (rejet)'!L50</f>
        <v>41</v>
      </c>
      <c r="B45">
        <f ca="1">'uniforme cercle (rejet)'!M50</f>
        <v>-2.5439099025597045E-3</v>
      </c>
      <c r="C45">
        <f ca="1">'uniforme cercle (rejet)'!N50</f>
        <v>-0.81083096694950507</v>
      </c>
      <c r="D45">
        <f ca="1">'uniforme cercle (rejet)'!O50</f>
        <v>0.81083495758499569</v>
      </c>
      <c r="E45">
        <f t="shared" ca="1" si="0"/>
        <v>0.57514289106886807</v>
      </c>
      <c r="F45">
        <f t="shared" ca="1" si="1"/>
        <v>1.4038618896792969</v>
      </c>
      <c r="G45">
        <f t="shared" ca="1" si="2"/>
        <v>0</v>
      </c>
      <c r="H45" t="e">
        <f t="shared" ca="1" si="3"/>
        <v>#N/A</v>
      </c>
      <c r="I45" t="e">
        <f t="shared" ca="1" si="4"/>
        <v>#N/A</v>
      </c>
    </row>
    <row r="46" spans="1:9" x14ac:dyDescent="0.2">
      <c r="A46">
        <f>'uniforme cercle (rejet)'!L51</f>
        <v>42</v>
      </c>
      <c r="B46">
        <f ca="1">'uniforme cercle (rejet)'!M51</f>
        <v>0.24031175624030587</v>
      </c>
      <c r="C46">
        <f ca="1">'uniforme cercle (rejet)'!N51</f>
        <v>0.23664402622281377</v>
      </c>
      <c r="D46">
        <f ca="1">'uniforme cercle (rejet)'!O51</f>
        <v>0.33726863971357307</v>
      </c>
      <c r="E46">
        <f t="shared" ca="1" si="0"/>
        <v>0.33725866810580774</v>
      </c>
      <c r="F46">
        <f t="shared" ca="1" si="1"/>
        <v>0.36985720605542388</v>
      </c>
      <c r="G46">
        <f t="shared" ca="1" si="2"/>
        <v>1</v>
      </c>
      <c r="H46">
        <f t="shared" ca="1" si="3"/>
        <v>0.24031175624030587</v>
      </c>
      <c r="I46">
        <f t="shared" ca="1" si="4"/>
        <v>0.23664402622281377</v>
      </c>
    </row>
    <row r="47" spans="1:9" x14ac:dyDescent="0.2">
      <c r="A47">
        <f>'uniforme cercle (rejet)'!L52</f>
        <v>43</v>
      </c>
      <c r="B47">
        <f ca="1">'uniforme cercle (rejet)'!M52</f>
        <v>0.20383733124264114</v>
      </c>
      <c r="C47">
        <f ca="1">'uniforme cercle (rejet)'!N52</f>
        <v>-0.57558733722436495</v>
      </c>
      <c r="D47">
        <f ca="1">'uniforme cercle (rejet)'!O52</f>
        <v>0.61061480524235323</v>
      </c>
      <c r="E47">
        <f t="shared" ca="1" si="0"/>
        <v>0.26286695013581651</v>
      </c>
      <c r="F47">
        <f t="shared" ca="1" si="1"/>
        <v>1.115616621587757</v>
      </c>
      <c r="G47">
        <f t="shared" ca="1" si="2"/>
        <v>0</v>
      </c>
      <c r="H47" t="e">
        <f t="shared" ca="1" si="3"/>
        <v>#N/A</v>
      </c>
      <c r="I47" t="e">
        <f t="shared" ca="1" si="4"/>
        <v>#N/A</v>
      </c>
    </row>
    <row r="48" spans="1:9" x14ac:dyDescent="0.2">
      <c r="A48">
        <f>'uniforme cercle (rejet)'!L53</f>
        <v>44</v>
      </c>
      <c r="B48">
        <f ca="1">'uniforme cercle (rejet)'!M53</f>
        <v>-0.74308851468199855</v>
      </c>
      <c r="C48">
        <f ca="1">'uniforme cercle (rejet)'!N53</f>
        <v>-6.7070504010329213E-3</v>
      </c>
      <c r="D48">
        <f ca="1">'uniforme cercle (rejet)'!O53</f>
        <v>0.74311878268375153</v>
      </c>
      <c r="E48">
        <f t="shared" ca="1" si="0"/>
        <v>0.53018552857381085</v>
      </c>
      <c r="F48">
        <f t="shared" ca="1" si="1"/>
        <v>1.3423937910540307</v>
      </c>
      <c r="G48">
        <f t="shared" ca="1" si="2"/>
        <v>0</v>
      </c>
      <c r="H48" t="e">
        <f t="shared" ca="1" si="3"/>
        <v>#N/A</v>
      </c>
      <c r="I48" t="e">
        <f t="shared" ca="1" si="4"/>
        <v>#N/A</v>
      </c>
    </row>
    <row r="49" spans="1:9" x14ac:dyDescent="0.2">
      <c r="A49">
        <f>'uniforme cercle (rejet)'!L54</f>
        <v>45</v>
      </c>
      <c r="B49">
        <f ca="1">'uniforme cercle (rejet)'!M54</f>
        <v>0.45586797318147654</v>
      </c>
      <c r="C49">
        <f ca="1">'uniforme cercle (rejet)'!N54</f>
        <v>-0.33076163699874495</v>
      </c>
      <c r="D49">
        <f ca="1">'uniforme cercle (rejet)'!O54</f>
        <v>0.56322186523844842</v>
      </c>
      <c r="E49">
        <f t="shared" ca="1" si="0"/>
        <v>8.8463538684213444E-2</v>
      </c>
      <c r="F49">
        <f t="shared" ca="1" si="1"/>
        <v>0.83193301010354515</v>
      </c>
      <c r="G49">
        <f t="shared" ca="1" si="2"/>
        <v>0</v>
      </c>
      <c r="H49" t="e">
        <f t="shared" ca="1" si="3"/>
        <v>#N/A</v>
      </c>
      <c r="I49" t="e">
        <f t="shared" ca="1" si="4"/>
        <v>#N/A</v>
      </c>
    </row>
    <row r="50" spans="1:9" x14ac:dyDescent="0.2">
      <c r="A50">
        <f>'uniforme cercle (rejet)'!L55</f>
        <v>46</v>
      </c>
      <c r="B50">
        <f ca="1">'uniforme cercle (rejet)'!M55</f>
        <v>0.5092318797513844</v>
      </c>
      <c r="C50">
        <f ca="1">'uniforme cercle (rejet)'!N55</f>
        <v>0.25738296073227951</v>
      </c>
      <c r="D50">
        <f ca="1">'uniforme cercle (rejet)'!O55</f>
        <v>0.57058136652929925</v>
      </c>
      <c r="E50">
        <f t="shared" ca="1" si="0"/>
        <v>0.54207855226424217</v>
      </c>
      <c r="F50">
        <f t="shared" ca="1" si="1"/>
        <v>0.24279261798246388</v>
      </c>
      <c r="G50">
        <f t="shared" ca="1" si="2"/>
        <v>1</v>
      </c>
      <c r="H50">
        <f t="shared" ca="1" si="3"/>
        <v>0.5092318797513844</v>
      </c>
      <c r="I50">
        <f t="shared" ca="1" si="4"/>
        <v>0.25738296073227951</v>
      </c>
    </row>
    <row r="51" spans="1:9" x14ac:dyDescent="0.2">
      <c r="A51">
        <f>'uniforme cercle (rejet)'!L56</f>
        <v>47</v>
      </c>
      <c r="B51">
        <f ca="1">'uniforme cercle (rejet)'!M56</f>
        <v>-0.89883188299015604</v>
      </c>
      <c r="C51">
        <f ca="1">'uniforme cercle (rejet)'!N56</f>
        <v>2.6714180911111329E-2</v>
      </c>
      <c r="D51">
        <f ca="1">'uniforme cercle (rejet)'!O56</f>
        <v>0.89922878142404961</v>
      </c>
      <c r="E51">
        <f t="shared" ca="1" si="0"/>
        <v>0.61668034113292169</v>
      </c>
      <c r="F51">
        <f t="shared" ca="1" si="1"/>
        <v>1.4767295295416918</v>
      </c>
      <c r="G51">
        <f t="shared" ca="1" si="2"/>
        <v>0</v>
      </c>
      <c r="H51" t="e">
        <f t="shared" ca="1" si="3"/>
        <v>#N/A</v>
      </c>
      <c r="I51" t="e">
        <f t="shared" ca="1" si="4"/>
        <v>#N/A</v>
      </c>
    </row>
    <row r="52" spans="1:9" x14ac:dyDescent="0.2">
      <c r="A52">
        <f>'uniforme cercle (rejet)'!L57</f>
        <v>48</v>
      </c>
      <c r="B52">
        <f ca="1">'uniforme cercle (rejet)'!M57</f>
        <v>0.94473553403628241</v>
      </c>
      <c r="C52">
        <f ca="1">'uniforme cercle (rejet)'!N57</f>
        <v>-0.28930715081685876</v>
      </c>
      <c r="D52">
        <f ca="1">'uniforme cercle (rejet)'!O57</f>
        <v>0.98804041252602026</v>
      </c>
      <c r="E52">
        <f t="shared" ca="1" si="0"/>
        <v>0.46345785435658959</v>
      </c>
      <c r="F52">
        <f t="shared" ca="1" si="1"/>
        <v>0.90597763414179533</v>
      </c>
      <c r="G52">
        <f t="shared" ca="1" si="2"/>
        <v>0</v>
      </c>
      <c r="H52" t="e">
        <f t="shared" ca="1" si="3"/>
        <v>#N/A</v>
      </c>
      <c r="I52" t="e">
        <f t="shared" ca="1" si="4"/>
        <v>#N/A</v>
      </c>
    </row>
    <row r="53" spans="1:9" x14ac:dyDescent="0.2">
      <c r="A53">
        <f>'uniforme cercle (rejet)'!L58</f>
        <v>49</v>
      </c>
      <c r="B53">
        <f ca="1">'uniforme cercle (rejet)'!M58</f>
        <v>-0.88222259792012414</v>
      </c>
      <c r="C53">
        <f ca="1">'uniforme cercle (rejet)'!N58</f>
        <v>0.2192740515919247</v>
      </c>
      <c r="D53">
        <f ca="1">'uniforme cercle (rejet)'!O58</f>
        <v>0.90906425624510778</v>
      </c>
      <c r="E53">
        <f t="shared" ca="1" si="0"/>
        <v>0.46877541268643386</v>
      </c>
      <c r="F53">
        <f t="shared" ca="1" si="1"/>
        <v>1.4104419053299113</v>
      </c>
      <c r="G53">
        <f t="shared" ca="1" si="2"/>
        <v>0</v>
      </c>
      <c r="H53" t="e">
        <f t="shared" ca="1" si="3"/>
        <v>#N/A</v>
      </c>
      <c r="I53" t="e">
        <f t="shared" ca="1" si="4"/>
        <v>#N/A</v>
      </c>
    </row>
    <row r="54" spans="1:9" x14ac:dyDescent="0.2">
      <c r="A54">
        <f>'uniforme cercle (rejet)'!L59</f>
        <v>50</v>
      </c>
      <c r="B54">
        <f ca="1">'uniforme cercle (rejet)'!M59</f>
        <v>-0.39335767282093426</v>
      </c>
      <c r="C54">
        <f ca="1">'uniforme cercle (rejet)'!N59</f>
        <v>-0.60189708113326401</v>
      </c>
      <c r="D54">
        <f ca="1">'uniforme cercle (rejet)'!O59</f>
        <v>0.71903432118630062</v>
      </c>
      <c r="E54">
        <f t="shared" ca="1" si="0"/>
        <v>0.7037513855291625</v>
      </c>
      <c r="F54">
        <f t="shared" ca="1" si="1"/>
        <v>1.4185433052952745</v>
      </c>
      <c r="G54">
        <f t="shared" ca="1" si="2"/>
        <v>0</v>
      </c>
      <c r="H54" t="e">
        <f t="shared" ca="1" si="3"/>
        <v>#N/A</v>
      </c>
      <c r="I54" t="e">
        <f t="shared" ca="1" si="4"/>
        <v>#N/A</v>
      </c>
    </row>
    <row r="55" spans="1:9" x14ac:dyDescent="0.2">
      <c r="A55">
        <f>'uniforme cercle (rejet)'!L60</f>
        <v>51</v>
      </c>
      <c r="B55">
        <f ca="1">'uniforme cercle (rejet)'!M60</f>
        <v>0.48319991255675121</v>
      </c>
      <c r="C55">
        <f ca="1">'uniforme cercle (rejet)'!N60</f>
        <v>-0.12566332645679723</v>
      </c>
      <c r="D55">
        <f ca="1">'uniforme cercle (rejet)'!O60</f>
        <v>0.49927289843435285</v>
      </c>
      <c r="E55">
        <f t="shared" ca="1" si="0"/>
        <v>0.25281654455356534</v>
      </c>
      <c r="F55">
        <f t="shared" ca="1" si="1"/>
        <v>0.6258888407785248</v>
      </c>
      <c r="G55">
        <f t="shared" ca="1" si="2"/>
        <v>0</v>
      </c>
      <c r="H55" t="e">
        <f t="shared" ca="1" si="3"/>
        <v>#N/A</v>
      </c>
      <c r="I55" t="e">
        <f t="shared" ca="1" si="4"/>
        <v>#N/A</v>
      </c>
    </row>
    <row r="56" spans="1:9" x14ac:dyDescent="0.2">
      <c r="A56">
        <f>'uniforme cercle (rejet)'!L61</f>
        <v>52</v>
      </c>
      <c r="B56">
        <f ca="1">'uniforme cercle (rejet)'!M61</f>
        <v>0.84828507406543618</v>
      </c>
      <c r="C56">
        <f ca="1">'uniforme cercle (rejet)'!N61</f>
        <v>0.26212620222754923</v>
      </c>
      <c r="D56">
        <f ca="1">'uniforme cercle (rejet)'!O61</f>
        <v>0.88786131393165268</v>
      </c>
      <c r="E56">
        <f t="shared" ca="1" si="0"/>
        <v>0.78517934337277906</v>
      </c>
      <c r="F56">
        <f t="shared" ca="1" si="1"/>
        <v>0.42176585504691483</v>
      </c>
      <c r="G56">
        <f t="shared" ca="1" si="2"/>
        <v>0</v>
      </c>
      <c r="H56" t="e">
        <f t="shared" ca="1" si="3"/>
        <v>#N/A</v>
      </c>
      <c r="I56" t="e">
        <f t="shared" ca="1" si="4"/>
        <v>#N/A</v>
      </c>
    </row>
    <row r="57" spans="1:9" x14ac:dyDescent="0.2">
      <c r="A57">
        <f>'uniforme cercle (rejet)'!L62</f>
        <v>53</v>
      </c>
      <c r="B57">
        <f ca="1">'uniforme cercle (rejet)'!M62</f>
        <v>0.11260652318292563</v>
      </c>
      <c r="C57">
        <f ca="1">'uniforme cercle (rejet)'!N62</f>
        <v>-0.43957659008024574</v>
      </c>
      <c r="D57">
        <f ca="1">'uniforme cercle (rejet)'!O62</f>
        <v>0.45377065529838218</v>
      </c>
      <c r="E57">
        <f t="shared" ca="1" si="0"/>
        <v>0.23120275154811412</v>
      </c>
      <c r="F57">
        <f t="shared" ca="1" si="1"/>
        <v>1.0163059945248984</v>
      </c>
      <c r="G57">
        <f t="shared" ca="1" si="2"/>
        <v>0</v>
      </c>
      <c r="H57" t="e">
        <f t="shared" ca="1" si="3"/>
        <v>#N/A</v>
      </c>
      <c r="I57" t="e">
        <f t="shared" ca="1" si="4"/>
        <v>#N/A</v>
      </c>
    </row>
    <row r="58" spans="1:9" x14ac:dyDescent="0.2">
      <c r="A58">
        <f>'uniforme cercle (rejet)'!L63</f>
        <v>54</v>
      </c>
      <c r="B58">
        <f ca="1">'uniforme cercle (rejet)'!M63</f>
        <v>0.29692039330225306</v>
      </c>
      <c r="C58">
        <f ca="1">'uniforme cercle (rejet)'!N63</f>
        <v>0.27353999600846723</v>
      </c>
      <c r="D58">
        <f ca="1">'uniforme cercle (rejet)'!O63</f>
        <v>0.40371505963374332</v>
      </c>
      <c r="E58">
        <f t="shared" ca="1" si="0"/>
        <v>0.40337640967992822</v>
      </c>
      <c r="F58">
        <f t="shared" ca="1" si="1"/>
        <v>0.30417997972311822</v>
      </c>
      <c r="G58">
        <f t="shared" ca="1" si="2"/>
        <v>1</v>
      </c>
      <c r="H58">
        <f t="shared" ca="1" si="3"/>
        <v>0.29692039330225306</v>
      </c>
      <c r="I58">
        <f t="shared" ca="1" si="4"/>
        <v>0.27353999600846723</v>
      </c>
    </row>
    <row r="59" spans="1:9" x14ac:dyDescent="0.2">
      <c r="A59">
        <f>'uniforme cercle (rejet)'!L64</f>
        <v>55</v>
      </c>
      <c r="B59">
        <f ca="1">'uniforme cercle (rejet)'!M64</f>
        <v>-0.24093429270808797</v>
      </c>
      <c r="C59">
        <f ca="1">'uniforme cercle (rejet)'!N64</f>
        <v>-0.94250012943606598</v>
      </c>
      <c r="D59">
        <f ca="1">'uniforme cercle (rejet)'!O64</f>
        <v>0.97280821716808485</v>
      </c>
      <c r="E59">
        <f t="shared" ca="1" si="0"/>
        <v>0.83681450498771459</v>
      </c>
      <c r="F59">
        <f t="shared" ca="1" si="1"/>
        <v>1.6216628038941703</v>
      </c>
      <c r="G59">
        <f t="shared" ca="1" si="2"/>
        <v>0</v>
      </c>
      <c r="H59" t="e">
        <f t="shared" ca="1" si="3"/>
        <v>#N/A</v>
      </c>
      <c r="I59" t="e">
        <f t="shared" ca="1" si="4"/>
        <v>#N/A</v>
      </c>
    </row>
    <row r="60" spans="1:9" x14ac:dyDescent="0.2">
      <c r="A60">
        <f>'uniforme cercle (rejet)'!L65</f>
        <v>56</v>
      </c>
      <c r="B60">
        <f ca="1">'uniforme cercle (rejet)'!M65</f>
        <v>0.58073287836808118</v>
      </c>
      <c r="C60">
        <f ca="1">'uniforme cercle (rejet)'!N65</f>
        <v>-0.64995739489358595</v>
      </c>
      <c r="D60">
        <f ca="1">'uniforme cercle (rejet)'!O65</f>
        <v>0.87160500870206881</v>
      </c>
      <c r="E60">
        <f t="shared" ca="1" si="0"/>
        <v>4.8949125059544636E-2</v>
      </c>
      <c r="F60">
        <f t="shared" ca="1" si="1"/>
        <v>1.1527878415910007</v>
      </c>
      <c r="G60">
        <f t="shared" ca="1" si="2"/>
        <v>0</v>
      </c>
      <c r="H60" t="e">
        <f t="shared" ca="1" si="3"/>
        <v>#N/A</v>
      </c>
      <c r="I60" t="e">
        <f t="shared" ca="1" si="4"/>
        <v>#N/A</v>
      </c>
    </row>
    <row r="61" spans="1:9" x14ac:dyDescent="0.2">
      <c r="A61">
        <f>'uniforme cercle (rejet)'!L66</f>
        <v>57</v>
      </c>
      <c r="B61">
        <f ca="1">'uniforme cercle (rejet)'!M66</f>
        <v>0.4182920415856326</v>
      </c>
      <c r="C61">
        <f ca="1">'uniforme cercle (rejet)'!N66</f>
        <v>-0.10137619273004339</v>
      </c>
      <c r="D61">
        <f ca="1">'uniforme cercle (rejet)'!O66</f>
        <v>0.43040139928480192</v>
      </c>
      <c r="E61">
        <f t="shared" ca="1" si="0"/>
        <v>0.22409334579127807</v>
      </c>
      <c r="F61">
        <f t="shared" ca="1" si="1"/>
        <v>0.60690156998538591</v>
      </c>
      <c r="G61">
        <f t="shared" ca="1" si="2"/>
        <v>0</v>
      </c>
      <c r="H61" t="e">
        <f t="shared" ca="1" si="3"/>
        <v>#N/A</v>
      </c>
      <c r="I61" t="e">
        <f t="shared" ca="1" si="4"/>
        <v>#N/A</v>
      </c>
    </row>
    <row r="62" spans="1:9" x14ac:dyDescent="0.2">
      <c r="A62">
        <f>'uniforme cercle (rejet)'!L67</f>
        <v>58</v>
      </c>
      <c r="B62">
        <f ca="1">'uniforme cercle (rejet)'!M67</f>
        <v>-0.17699623393508457</v>
      </c>
      <c r="C62">
        <f ca="1">'uniforme cercle (rejet)'!N67</f>
        <v>8.1591187672948262E-2</v>
      </c>
      <c r="D62">
        <f ca="1">'uniforme cercle (rejet)'!O67</f>
        <v>0.19489686691449262</v>
      </c>
      <c r="E62">
        <f t="shared" ca="1" si="0"/>
        <v>6.7461555171372853E-2</v>
      </c>
      <c r="F62">
        <f t="shared" ca="1" si="1"/>
        <v>0.79585792387537468</v>
      </c>
      <c r="G62">
        <f t="shared" ca="1" si="2"/>
        <v>0</v>
      </c>
      <c r="H62" t="e">
        <f t="shared" ca="1" si="3"/>
        <v>#N/A</v>
      </c>
      <c r="I62" t="e">
        <f t="shared" ca="1" si="4"/>
        <v>#N/A</v>
      </c>
    </row>
    <row r="63" spans="1:9" x14ac:dyDescent="0.2">
      <c r="A63">
        <f>'uniforme cercle (rejet)'!L68</f>
        <v>59</v>
      </c>
      <c r="B63">
        <f ca="1">'uniforme cercle (rejet)'!M68</f>
        <v>4.3792111408921919E-2</v>
      </c>
      <c r="C63">
        <f ca="1">'uniforme cercle (rejet)'!N68</f>
        <v>0.51566370748270307</v>
      </c>
      <c r="D63">
        <f ca="1">'uniforme cercle (rejet)'!O68</f>
        <v>0.51751986264921102</v>
      </c>
      <c r="E63">
        <f t="shared" ca="1" si="0"/>
        <v>0.39559500331254099</v>
      </c>
      <c r="F63">
        <f t="shared" ca="1" si="1"/>
        <v>0.45647671281767838</v>
      </c>
      <c r="G63">
        <f t="shared" ca="1" si="2"/>
        <v>1</v>
      </c>
      <c r="H63">
        <f t="shared" ca="1" si="3"/>
        <v>4.3792111408921919E-2</v>
      </c>
      <c r="I63">
        <f t="shared" ca="1" si="4"/>
        <v>0.51566370748270307</v>
      </c>
    </row>
    <row r="64" spans="1:9" x14ac:dyDescent="0.2">
      <c r="A64">
        <f>'uniforme cercle (rejet)'!L69</f>
        <v>60</v>
      </c>
      <c r="B64">
        <f ca="1">'uniforme cercle (rejet)'!M69</f>
        <v>0.52136755491571218</v>
      </c>
      <c r="C64">
        <f ca="1">'uniforme cercle (rejet)'!N69</f>
        <v>0.16334461254837795</v>
      </c>
      <c r="D64">
        <f ca="1">'uniforme cercle (rejet)'!O69</f>
        <v>0.54635665070297057</v>
      </c>
      <c r="E64">
        <f t="shared" ca="1" si="0"/>
        <v>0.48416461677479711</v>
      </c>
      <c r="F64">
        <f t="shared" ca="1" si="1"/>
        <v>0.33733280644384078</v>
      </c>
      <c r="G64">
        <f t="shared" ca="1" si="2"/>
        <v>1</v>
      </c>
      <c r="H64">
        <f t="shared" ca="1" si="3"/>
        <v>0.52136755491571218</v>
      </c>
      <c r="I64">
        <f t="shared" ca="1" si="4"/>
        <v>0.16334461254837795</v>
      </c>
    </row>
    <row r="65" spans="1:9" x14ac:dyDescent="0.2">
      <c r="A65">
        <f>'uniforme cercle (rejet)'!L70</f>
        <v>61</v>
      </c>
      <c r="B65">
        <f ca="1">'uniforme cercle (rejet)'!M70</f>
        <v>-0.41727230873957333</v>
      </c>
      <c r="C65">
        <f ca="1">'uniforme cercle (rejet)'!N70</f>
        <v>0.33896637783420114</v>
      </c>
      <c r="D65">
        <f ca="1">'uniforme cercle (rejet)'!O70</f>
        <v>0.53760058123377452</v>
      </c>
      <c r="E65">
        <f t="shared" ca="1" si="0"/>
        <v>5.537065475031392E-2</v>
      </c>
      <c r="F65">
        <f t="shared" ca="1" si="1"/>
        <v>0.93130033600781248</v>
      </c>
      <c r="G65">
        <f t="shared" ca="1" si="2"/>
        <v>0</v>
      </c>
      <c r="H65" t="e">
        <f t="shared" ca="1" si="3"/>
        <v>#N/A</v>
      </c>
      <c r="I65" t="e">
        <f t="shared" ca="1" si="4"/>
        <v>#N/A</v>
      </c>
    </row>
    <row r="66" spans="1:9" x14ac:dyDescent="0.2">
      <c r="A66">
        <f>'uniforme cercle (rejet)'!L71</f>
        <v>62</v>
      </c>
      <c r="B66">
        <f ca="1">'uniforme cercle (rejet)'!M71</f>
        <v>1.839114496254024E-2</v>
      </c>
      <c r="C66">
        <f ca="1">'uniforme cercle (rejet)'!N71</f>
        <v>0.53667737808903748</v>
      </c>
      <c r="D66">
        <f ca="1">'uniforme cercle (rejet)'!O71</f>
        <v>0.5369924043834855</v>
      </c>
      <c r="E66">
        <f t="shared" ca="1" si="0"/>
        <v>0.39249271667297203</v>
      </c>
      <c r="F66">
        <f t="shared" ca="1" si="1"/>
        <v>0.48300343613061297</v>
      </c>
      <c r="G66">
        <f t="shared" ca="1" si="2"/>
        <v>1</v>
      </c>
      <c r="H66">
        <f t="shared" ca="1" si="3"/>
        <v>1.839114496254024E-2</v>
      </c>
      <c r="I66">
        <f t="shared" ca="1" si="4"/>
        <v>0.53667737808903748</v>
      </c>
    </row>
    <row r="67" spans="1:9" x14ac:dyDescent="0.2">
      <c r="A67">
        <f>'uniforme cercle (rejet)'!L72</f>
        <v>63</v>
      </c>
      <c r="B67">
        <f ca="1">'uniforme cercle (rejet)'!M72</f>
        <v>0.17666807587545774</v>
      </c>
      <c r="C67">
        <f ca="1">'uniforme cercle (rejet)'!N72</f>
        <v>-0.85014756468213126</v>
      </c>
      <c r="D67">
        <f ca="1">'uniforme cercle (rejet)'!O72</f>
        <v>0.86831013512943356</v>
      </c>
      <c r="E67">
        <f t="shared" ca="1" si="0"/>
        <v>0.47622191352524834</v>
      </c>
      <c r="F67">
        <f t="shared" ca="1" si="1"/>
        <v>1.3883234419886343</v>
      </c>
      <c r="G67">
        <f t="shared" ca="1" si="2"/>
        <v>0</v>
      </c>
      <c r="H67" t="e">
        <f t="shared" ca="1" si="3"/>
        <v>#N/A</v>
      </c>
      <c r="I67" t="e">
        <f t="shared" ca="1" si="4"/>
        <v>#N/A</v>
      </c>
    </row>
    <row r="68" spans="1:9" x14ac:dyDescent="0.2">
      <c r="A68">
        <f>'uniforme cercle (rejet)'!L73</f>
        <v>64</v>
      </c>
      <c r="B68">
        <f ca="1">'uniforme cercle (rejet)'!M73</f>
        <v>-0.33968993895609234</v>
      </c>
      <c r="C68">
        <f ca="1">'uniforme cercle (rejet)'!N73</f>
        <v>-7.2862027962266929E-2</v>
      </c>
      <c r="D68">
        <f ca="1">'uniforme cercle (rejet)'!O73</f>
        <v>0.34741636367155748</v>
      </c>
      <c r="E68">
        <f t="shared" ca="1" si="0"/>
        <v>0.29171829339982003</v>
      </c>
      <c r="F68">
        <f t="shared" ca="1" si="1"/>
        <v>1.0164891030724958</v>
      </c>
      <c r="G68">
        <f t="shared" ca="1" si="2"/>
        <v>0</v>
      </c>
      <c r="H68" t="e">
        <f t="shared" ca="1" si="3"/>
        <v>#N/A</v>
      </c>
      <c r="I68" t="e">
        <f t="shared" ca="1" si="4"/>
        <v>#N/A</v>
      </c>
    </row>
    <row r="69" spans="1:9" x14ac:dyDescent="0.2">
      <c r="A69">
        <f>'uniforme cercle (rejet)'!L74</f>
        <v>65</v>
      </c>
      <c r="B69">
        <f ca="1">'uniforme cercle (rejet)'!M74</f>
        <v>-6.0025866196560695E-2</v>
      </c>
      <c r="C69">
        <f ca="1">'uniforme cercle (rejet)'!N74</f>
        <v>-0.68411213472065024</v>
      </c>
      <c r="D69">
        <f ca="1">'uniforme cercle (rejet)'!O74</f>
        <v>0.68674050228939643</v>
      </c>
      <c r="E69">
        <f t="shared" ca="1" si="0"/>
        <v>0.52618502658716126</v>
      </c>
      <c r="F69">
        <f t="shared" ca="1" si="1"/>
        <v>1.3098666032851984</v>
      </c>
      <c r="G69">
        <f t="shared" ca="1" si="2"/>
        <v>0</v>
      </c>
      <c r="H69" t="e">
        <f t="shared" ca="1" si="3"/>
        <v>#N/A</v>
      </c>
      <c r="I69" t="e">
        <f t="shared" ca="1" si="4"/>
        <v>#N/A</v>
      </c>
    </row>
    <row r="70" spans="1:9" x14ac:dyDescent="0.2">
      <c r="A70">
        <f>'uniforme cercle (rejet)'!L75</f>
        <v>66</v>
      </c>
      <c r="B70">
        <f ca="1">'uniforme cercle (rejet)'!M75</f>
        <v>-0.55550370434775354</v>
      </c>
      <c r="C70">
        <f ca="1">'uniforme cercle (rejet)'!N75</f>
        <v>-0.29457744017272147</v>
      </c>
      <c r="D70">
        <f ca="1">'uniforme cercle (rejet)'!O75</f>
        <v>0.62877677581379365</v>
      </c>
      <c r="E70">
        <f t="shared" ref="E70:E133" ca="1" si="5">(B70+C70)^2/SQRT(2*(B70+C70)^2)</f>
        <v>0.60109814184924937</v>
      </c>
      <c r="F70">
        <f t="shared" ref="F70:F133" ca="1" si="6">SQRT((B70-0.5)^2+(C70-0.5)^2)</f>
        <v>1.3211515349585243</v>
      </c>
      <c r="G70">
        <f t="shared" ref="G70:G133" ca="1" si="7">IF(ABS(F70-E70)&lt;SQRT(2)/2/2,1,0)</f>
        <v>0</v>
      </c>
      <c r="H70" t="e">
        <f t="shared" ref="H70:H133" ca="1" si="8">IF($G70=1,B70,NA())</f>
        <v>#N/A</v>
      </c>
      <c r="I70" t="e">
        <f t="shared" ref="I70:I133" ca="1" si="9">IF($G70=1,C70,NA())</f>
        <v>#N/A</v>
      </c>
    </row>
    <row r="71" spans="1:9" x14ac:dyDescent="0.2">
      <c r="A71">
        <f>'uniforme cercle (rejet)'!L76</f>
        <v>67</v>
      </c>
      <c r="B71">
        <f ca="1">'uniforme cercle (rejet)'!M76</f>
        <v>-0.85751353122469975</v>
      </c>
      <c r="C71">
        <f ca="1">'uniforme cercle (rejet)'!N76</f>
        <v>-0.13967267165478514</v>
      </c>
      <c r="D71">
        <f ca="1">'uniforme cercle (rejet)'!O76</f>
        <v>0.86881408335767651</v>
      </c>
      <c r="E71">
        <f t="shared" ca="1" si="5"/>
        <v>0.70511712616174804</v>
      </c>
      <c r="F71">
        <f t="shared" ca="1" si="6"/>
        <v>1.5006745530994134</v>
      </c>
      <c r="G71">
        <f t="shared" ca="1" si="7"/>
        <v>0</v>
      </c>
      <c r="H71" t="e">
        <f t="shared" ca="1" si="8"/>
        <v>#N/A</v>
      </c>
      <c r="I71" t="e">
        <f t="shared" ca="1" si="9"/>
        <v>#N/A</v>
      </c>
    </row>
    <row r="72" spans="1:9" x14ac:dyDescent="0.2">
      <c r="A72">
        <f>'uniforme cercle (rejet)'!L77</f>
        <v>68</v>
      </c>
      <c r="B72">
        <f ca="1">'uniforme cercle (rejet)'!M77</f>
        <v>-0.18889135543136581</v>
      </c>
      <c r="C72">
        <f ca="1">'uniforme cercle (rejet)'!N77</f>
        <v>0.46464080644809824</v>
      </c>
      <c r="D72">
        <f ca="1">'uniforme cercle (rejet)'!O77</f>
        <v>0.50156856278422957</v>
      </c>
      <c r="E72">
        <f t="shared" ca="1" si="5"/>
        <v>0.19498430672239922</v>
      </c>
      <c r="F72">
        <f t="shared" ca="1" si="6"/>
        <v>0.68979821118694218</v>
      </c>
      <c r="G72">
        <f t="shared" ca="1" si="7"/>
        <v>0</v>
      </c>
      <c r="H72" t="e">
        <f t="shared" ca="1" si="8"/>
        <v>#N/A</v>
      </c>
      <c r="I72" t="e">
        <f t="shared" ca="1" si="9"/>
        <v>#N/A</v>
      </c>
    </row>
    <row r="73" spans="1:9" x14ac:dyDescent="0.2">
      <c r="A73">
        <f>'uniforme cercle (rejet)'!L78</f>
        <v>69</v>
      </c>
      <c r="B73">
        <f ca="1">'uniforme cercle (rejet)'!M78</f>
        <v>0.38230268846465232</v>
      </c>
      <c r="C73">
        <f ca="1">'uniforme cercle (rejet)'!N78</f>
        <v>0.20505319835163216</v>
      </c>
      <c r="D73">
        <f ca="1">'uniforme cercle (rejet)'!O78</f>
        <v>0.43382272849809844</v>
      </c>
      <c r="E73">
        <f t="shared" ca="1" si="5"/>
        <v>0.41532333053763304</v>
      </c>
      <c r="F73">
        <f t="shared" ca="1" si="6"/>
        <v>0.31756302200547587</v>
      </c>
      <c r="G73">
        <f t="shared" ca="1" si="7"/>
        <v>1</v>
      </c>
      <c r="H73">
        <f t="shared" ca="1" si="8"/>
        <v>0.38230268846465232</v>
      </c>
      <c r="I73">
        <f t="shared" ca="1" si="9"/>
        <v>0.20505319835163216</v>
      </c>
    </row>
    <row r="74" spans="1:9" x14ac:dyDescent="0.2">
      <c r="A74">
        <f>'uniforme cercle (rejet)'!L79</f>
        <v>70</v>
      </c>
      <c r="B74">
        <f ca="1">'uniforme cercle (rejet)'!M79</f>
        <v>-0.38880618047702198</v>
      </c>
      <c r="C74">
        <f ca="1">'uniforme cercle (rejet)'!N79</f>
        <v>0.51713691414518093</v>
      </c>
      <c r="D74">
        <f ca="1">'uniforme cercle (rejet)'!O79</f>
        <v>0.64699368926499645</v>
      </c>
      <c r="E74">
        <f t="shared" ca="1" si="5"/>
        <v>9.074353201139998E-2</v>
      </c>
      <c r="F74">
        <f t="shared" ca="1" si="6"/>
        <v>0.88897137202531551</v>
      </c>
      <c r="G74">
        <f t="shared" ca="1" si="7"/>
        <v>0</v>
      </c>
      <c r="H74" t="e">
        <f t="shared" ca="1" si="8"/>
        <v>#N/A</v>
      </c>
      <c r="I74" t="e">
        <f t="shared" ca="1" si="9"/>
        <v>#N/A</v>
      </c>
    </row>
    <row r="75" spans="1:9" x14ac:dyDescent="0.2">
      <c r="A75">
        <f>'uniforme cercle (rejet)'!L80</f>
        <v>71</v>
      </c>
      <c r="B75">
        <f ca="1">'uniforme cercle (rejet)'!M80</f>
        <v>-0.22779559227363633</v>
      </c>
      <c r="C75">
        <f ca="1">'uniforme cercle (rejet)'!N80</f>
        <v>-0.84178129088663223</v>
      </c>
      <c r="D75">
        <f ca="1">'uniforme cercle (rejet)'!O80</f>
        <v>0.87205881312332467</v>
      </c>
      <c r="E75">
        <f t="shared" ca="1" si="5"/>
        <v>0.7563050670829975</v>
      </c>
      <c r="F75">
        <f t="shared" ca="1" si="6"/>
        <v>1.5264545380411205</v>
      </c>
      <c r="G75">
        <f t="shared" ca="1" si="7"/>
        <v>0</v>
      </c>
      <c r="H75" t="e">
        <f t="shared" ca="1" si="8"/>
        <v>#N/A</v>
      </c>
      <c r="I75" t="e">
        <f t="shared" ca="1" si="9"/>
        <v>#N/A</v>
      </c>
    </row>
    <row r="76" spans="1:9" x14ac:dyDescent="0.2">
      <c r="A76">
        <f>'uniforme cercle (rejet)'!L81</f>
        <v>72</v>
      </c>
      <c r="B76">
        <f ca="1">'uniforme cercle (rejet)'!M81</f>
        <v>-0.49555891467440771</v>
      </c>
      <c r="C76">
        <f ca="1">'uniforme cercle (rejet)'!N81</f>
        <v>0.2800695454373423</v>
      </c>
      <c r="D76">
        <f ca="1">'uniforme cercle (rejet)'!O81</f>
        <v>0.56922542827491152</v>
      </c>
      <c r="E76">
        <f t="shared" ca="1" si="5"/>
        <v>0.15237399426114073</v>
      </c>
      <c r="F76">
        <f t="shared" ca="1" si="6"/>
        <v>1.0195621400541617</v>
      </c>
      <c r="G76">
        <f t="shared" ca="1" si="7"/>
        <v>0</v>
      </c>
      <c r="H76" t="e">
        <f t="shared" ca="1" si="8"/>
        <v>#N/A</v>
      </c>
      <c r="I76" t="e">
        <f t="shared" ca="1" si="9"/>
        <v>#N/A</v>
      </c>
    </row>
    <row r="77" spans="1:9" x14ac:dyDescent="0.2">
      <c r="A77">
        <f>'uniforme cercle (rejet)'!L82</f>
        <v>73</v>
      </c>
      <c r="B77">
        <f ca="1">'uniforme cercle (rejet)'!M82</f>
        <v>0.54275359037716608</v>
      </c>
      <c r="C77">
        <f ca="1">'uniforme cercle (rejet)'!N82</f>
        <v>-0.80526140223738119</v>
      </c>
      <c r="D77">
        <f ca="1">'uniforme cercle (rejet)'!O82</f>
        <v>0.97109597146760829</v>
      </c>
      <c r="E77">
        <f t="shared" ca="1" si="5"/>
        <v>0.18562105388080052</v>
      </c>
      <c r="F77">
        <f t="shared" ca="1" si="6"/>
        <v>1.3059614074163268</v>
      </c>
      <c r="G77">
        <f t="shared" ca="1" si="7"/>
        <v>0</v>
      </c>
      <c r="H77" t="e">
        <f t="shared" ca="1" si="8"/>
        <v>#N/A</v>
      </c>
      <c r="I77" t="e">
        <f t="shared" ca="1" si="9"/>
        <v>#N/A</v>
      </c>
    </row>
    <row r="78" spans="1:9" x14ac:dyDescent="0.2">
      <c r="A78">
        <f>'uniforme cercle (rejet)'!L83</f>
        <v>74</v>
      </c>
      <c r="B78">
        <f ca="1">'uniforme cercle (rejet)'!M83</f>
        <v>-6.5900654409481563E-2</v>
      </c>
      <c r="C78">
        <f ca="1">'uniforme cercle (rejet)'!N83</f>
        <v>-0.96261184971912539</v>
      </c>
      <c r="D78">
        <f ca="1">'uniforme cercle (rejet)'!O83</f>
        <v>0.96486500064582814</v>
      </c>
      <c r="E78">
        <f t="shared" ca="1" si="5"/>
        <v>0.72726816620449497</v>
      </c>
      <c r="F78">
        <f t="shared" ca="1" si="6"/>
        <v>1.5682719705458874</v>
      </c>
      <c r="G78">
        <f t="shared" ca="1" si="7"/>
        <v>0</v>
      </c>
      <c r="H78" t="e">
        <f t="shared" ca="1" si="8"/>
        <v>#N/A</v>
      </c>
      <c r="I78" t="e">
        <f t="shared" ca="1" si="9"/>
        <v>#N/A</v>
      </c>
    </row>
    <row r="79" spans="1:9" x14ac:dyDescent="0.2">
      <c r="A79">
        <f>'uniforme cercle (rejet)'!L84</f>
        <v>75</v>
      </c>
      <c r="B79">
        <f ca="1">'uniforme cercle (rejet)'!M84</f>
        <v>-0.17070464858176981</v>
      </c>
      <c r="C79">
        <f ca="1">'uniforme cercle (rejet)'!N84</f>
        <v>-0.36725804979917398</v>
      </c>
      <c r="D79">
        <f ca="1">'uniforme cercle (rejet)'!O84</f>
        <v>0.40499203966216185</v>
      </c>
      <c r="E79">
        <f t="shared" ca="1" si="5"/>
        <v>0.38039707205057866</v>
      </c>
      <c r="F79">
        <f t="shared" ca="1" si="6"/>
        <v>1.0963490550781088</v>
      </c>
      <c r="G79">
        <f t="shared" ca="1" si="7"/>
        <v>0</v>
      </c>
      <c r="H79" t="e">
        <f t="shared" ca="1" si="8"/>
        <v>#N/A</v>
      </c>
      <c r="I79" t="e">
        <f t="shared" ca="1" si="9"/>
        <v>#N/A</v>
      </c>
    </row>
    <row r="80" spans="1:9" x14ac:dyDescent="0.2">
      <c r="A80">
        <f>'uniforme cercle (rejet)'!L85</f>
        <v>76</v>
      </c>
      <c r="B80">
        <f ca="1">'uniforme cercle (rejet)'!M85</f>
        <v>0.30028017464776302</v>
      </c>
      <c r="C80">
        <f ca="1">'uniforme cercle (rejet)'!N85</f>
        <v>0.84758060417199932</v>
      </c>
      <c r="D80">
        <f ca="1">'uniforme cercle (rejet)'!O85</f>
        <v>0.89920023568450114</v>
      </c>
      <c r="E80">
        <f t="shared" ca="1" si="5"/>
        <v>0.81166014056152569</v>
      </c>
      <c r="F80">
        <f t="shared" ca="1" si="6"/>
        <v>0.40087440057367113</v>
      </c>
      <c r="G80">
        <f t="shared" ca="1" si="7"/>
        <v>0</v>
      </c>
      <c r="H80" t="e">
        <f t="shared" ca="1" si="8"/>
        <v>#N/A</v>
      </c>
      <c r="I80" t="e">
        <f t="shared" ca="1" si="9"/>
        <v>#N/A</v>
      </c>
    </row>
    <row r="81" spans="1:9" x14ac:dyDescent="0.2">
      <c r="A81">
        <f>'uniforme cercle (rejet)'!L86</f>
        <v>77</v>
      </c>
      <c r="B81">
        <f ca="1">'uniforme cercle (rejet)'!M86</f>
        <v>0.45018443824592547</v>
      </c>
      <c r="C81">
        <f ca="1">'uniforme cercle (rejet)'!N86</f>
        <v>-7.1580650652300681E-2</v>
      </c>
      <c r="D81">
        <f ca="1">'uniforme cercle (rejet)'!O86</f>
        <v>0.45583968452363399</v>
      </c>
      <c r="E81">
        <f t="shared" ca="1" si="5"/>
        <v>0.26771330559036333</v>
      </c>
      <c r="F81">
        <f t="shared" ca="1" si="6"/>
        <v>0.57374735763485785</v>
      </c>
      <c r="G81">
        <f t="shared" ca="1" si="7"/>
        <v>1</v>
      </c>
      <c r="H81">
        <f t="shared" ca="1" si="8"/>
        <v>0.45018443824592547</v>
      </c>
      <c r="I81">
        <f t="shared" ca="1" si="9"/>
        <v>-7.1580650652300681E-2</v>
      </c>
    </row>
    <row r="82" spans="1:9" x14ac:dyDescent="0.2">
      <c r="A82">
        <f>'uniforme cercle (rejet)'!L87</f>
        <v>78</v>
      </c>
      <c r="B82">
        <f ca="1">'uniforme cercle (rejet)'!M87</f>
        <v>-4.7191372428773581E-2</v>
      </c>
      <c r="C82">
        <f ca="1">'uniforme cercle (rejet)'!N87</f>
        <v>3.1061334398022833E-2</v>
      </c>
      <c r="D82">
        <f ca="1">'uniforme cercle (rejet)'!O87</f>
        <v>5.6496301881601138E-2</v>
      </c>
      <c r="E82">
        <f t="shared" ca="1" si="5"/>
        <v>1.1405659272340758E-2</v>
      </c>
      <c r="F82">
        <f t="shared" ca="1" si="6"/>
        <v>0.72063990325060945</v>
      </c>
      <c r="G82">
        <f t="shared" ca="1" si="7"/>
        <v>0</v>
      </c>
      <c r="H82" t="e">
        <f t="shared" ca="1" si="8"/>
        <v>#N/A</v>
      </c>
      <c r="I82" t="e">
        <f t="shared" ca="1" si="9"/>
        <v>#N/A</v>
      </c>
    </row>
    <row r="83" spans="1:9" x14ac:dyDescent="0.2">
      <c r="A83">
        <f>'uniforme cercle (rejet)'!L88</f>
        <v>79</v>
      </c>
      <c r="B83">
        <f ca="1">'uniforme cercle (rejet)'!M88</f>
        <v>-0.7911338860149697</v>
      </c>
      <c r="C83">
        <f ca="1">'uniforme cercle (rejet)'!N88</f>
        <v>0.44353818230914932</v>
      </c>
      <c r="D83">
        <f ca="1">'uniforme cercle (rejet)'!O88</f>
        <v>0.90698343136313753</v>
      </c>
      <c r="E83">
        <f t="shared" ca="1" si="5"/>
        <v>0.24578727920169552</v>
      </c>
      <c r="F83">
        <f t="shared" ca="1" si="6"/>
        <v>1.2923678456511798</v>
      </c>
      <c r="G83">
        <f t="shared" ca="1" si="7"/>
        <v>0</v>
      </c>
      <c r="H83" t="e">
        <f t="shared" ca="1" si="8"/>
        <v>#N/A</v>
      </c>
      <c r="I83" t="e">
        <f t="shared" ca="1" si="9"/>
        <v>#N/A</v>
      </c>
    </row>
    <row r="84" spans="1:9" x14ac:dyDescent="0.2">
      <c r="A84">
        <f>'uniforme cercle (rejet)'!L89</f>
        <v>80</v>
      </c>
      <c r="B84">
        <f ca="1">'uniforme cercle (rejet)'!M89</f>
        <v>-0.11150120078523584</v>
      </c>
      <c r="C84">
        <f ca="1">'uniforme cercle (rejet)'!N89</f>
        <v>-0.46599522792308945</v>
      </c>
      <c r="D84">
        <f ca="1">'uniforme cercle (rejet)'!O89</f>
        <v>0.47914931933964128</v>
      </c>
      <c r="E84">
        <f t="shared" ca="1" si="5"/>
        <v>0.40835164085067044</v>
      </c>
      <c r="F84">
        <f t="shared" ca="1" si="6"/>
        <v>1.1432762128776961</v>
      </c>
      <c r="G84">
        <f t="shared" ca="1" si="7"/>
        <v>0</v>
      </c>
      <c r="H84" t="e">
        <f t="shared" ca="1" si="8"/>
        <v>#N/A</v>
      </c>
      <c r="I84" t="e">
        <f t="shared" ca="1" si="9"/>
        <v>#N/A</v>
      </c>
    </row>
    <row r="85" spans="1:9" x14ac:dyDescent="0.2">
      <c r="A85">
        <f>'uniforme cercle (rejet)'!L90</f>
        <v>81</v>
      </c>
      <c r="B85">
        <f ca="1">'uniforme cercle (rejet)'!M90</f>
        <v>-0.49230118482856988</v>
      </c>
      <c r="C85">
        <f ca="1">'uniforme cercle (rejet)'!N90</f>
        <v>0.14443144606973735</v>
      </c>
      <c r="D85">
        <f ca="1">'uniforme cercle (rejet)'!O90</f>
        <v>0.51305058151941429</v>
      </c>
      <c r="E85">
        <f t="shared" ca="1" si="5"/>
        <v>0.24598105124596326</v>
      </c>
      <c r="F85">
        <f t="shared" ca="1" si="6"/>
        <v>1.0540828420746833</v>
      </c>
      <c r="G85">
        <f t="shared" ca="1" si="7"/>
        <v>0</v>
      </c>
      <c r="H85" t="e">
        <f t="shared" ca="1" si="8"/>
        <v>#N/A</v>
      </c>
      <c r="I85" t="e">
        <f t="shared" ca="1" si="9"/>
        <v>#N/A</v>
      </c>
    </row>
    <row r="86" spans="1:9" x14ac:dyDescent="0.2">
      <c r="A86">
        <f>'uniforme cercle (rejet)'!L91</f>
        <v>82</v>
      </c>
      <c r="B86">
        <f ca="1">'uniforme cercle (rejet)'!M91</f>
        <v>0.59644414309945049</v>
      </c>
      <c r="C86">
        <f ca="1">'uniforme cercle (rejet)'!N91</f>
        <v>-9.3223287011965361E-2</v>
      </c>
      <c r="D86">
        <f ca="1">'uniforme cercle (rejet)'!O91</f>
        <v>0.60368551173516916</v>
      </c>
      <c r="E86">
        <f t="shared" ca="1" si="5"/>
        <v>0.35583087977396044</v>
      </c>
      <c r="F86">
        <f t="shared" ca="1" si="6"/>
        <v>0.60101193082289794</v>
      </c>
      <c r="G86">
        <f t="shared" ca="1" si="7"/>
        <v>1</v>
      </c>
      <c r="H86">
        <f t="shared" ca="1" si="8"/>
        <v>0.59644414309945049</v>
      </c>
      <c r="I86">
        <f t="shared" ca="1" si="9"/>
        <v>-9.3223287011965361E-2</v>
      </c>
    </row>
    <row r="87" spans="1:9" x14ac:dyDescent="0.2">
      <c r="A87">
        <f>'uniforme cercle (rejet)'!L92</f>
        <v>83</v>
      </c>
      <c r="B87">
        <f ca="1">'uniforme cercle (rejet)'!M92</f>
        <v>-0.98360338572862616</v>
      </c>
      <c r="C87">
        <f ca="1">'uniforme cercle (rejet)'!N92</f>
        <v>0.13639108060658001</v>
      </c>
      <c r="D87">
        <f ca="1">'uniforme cercle (rejet)'!O92</f>
        <v>0.99301467626911089</v>
      </c>
      <c r="E87">
        <f t="shared" ca="1" si="5"/>
        <v>0.5990695660564852</v>
      </c>
      <c r="F87">
        <f t="shared" ca="1" si="6"/>
        <v>1.5275111955098375</v>
      </c>
      <c r="G87">
        <f t="shared" ca="1" si="7"/>
        <v>0</v>
      </c>
      <c r="H87" t="e">
        <f t="shared" ca="1" si="8"/>
        <v>#N/A</v>
      </c>
      <c r="I87" t="e">
        <f t="shared" ca="1" si="9"/>
        <v>#N/A</v>
      </c>
    </row>
    <row r="88" spans="1:9" x14ac:dyDescent="0.2">
      <c r="A88">
        <f>'uniforme cercle (rejet)'!L93</f>
        <v>84</v>
      </c>
      <c r="B88">
        <f ca="1">'uniforme cercle (rejet)'!M93</f>
        <v>-0.18354250776494196</v>
      </c>
      <c r="C88">
        <f ca="1">'uniforme cercle (rejet)'!N93</f>
        <v>-0.8578159184307057</v>
      </c>
      <c r="D88">
        <f ca="1">'uniforme cercle (rejet)'!O93</f>
        <v>0.8772320115395692</v>
      </c>
      <c r="E88">
        <f t="shared" ca="1" si="5"/>
        <v>0.73635160480869333</v>
      </c>
      <c r="F88">
        <f t="shared" ca="1" si="6"/>
        <v>1.5201626321763755</v>
      </c>
      <c r="G88">
        <f t="shared" ca="1" si="7"/>
        <v>0</v>
      </c>
      <c r="H88" t="e">
        <f t="shared" ca="1" si="8"/>
        <v>#N/A</v>
      </c>
      <c r="I88" t="e">
        <f t="shared" ca="1" si="9"/>
        <v>#N/A</v>
      </c>
    </row>
    <row r="89" spans="1:9" x14ac:dyDescent="0.2">
      <c r="A89">
        <f>'uniforme cercle (rejet)'!L94</f>
        <v>85</v>
      </c>
      <c r="B89">
        <f ca="1">'uniforme cercle (rejet)'!M94</f>
        <v>-0.32389167781645312</v>
      </c>
      <c r="C89">
        <f ca="1">'uniforme cercle (rejet)'!N94</f>
        <v>-0.86743539619510668</v>
      </c>
      <c r="D89">
        <f ca="1">'uniforme cercle (rejet)'!O94</f>
        <v>0.92593195513002946</v>
      </c>
      <c r="E89">
        <f t="shared" ca="1" si="5"/>
        <v>0.84239545264470184</v>
      </c>
      <c r="F89">
        <f t="shared" ca="1" si="6"/>
        <v>1.5964576598026265</v>
      </c>
      <c r="G89">
        <f t="shared" ca="1" si="7"/>
        <v>0</v>
      </c>
      <c r="H89" t="e">
        <f t="shared" ca="1" si="8"/>
        <v>#N/A</v>
      </c>
      <c r="I89" t="e">
        <f t="shared" ca="1" si="9"/>
        <v>#N/A</v>
      </c>
    </row>
    <row r="90" spans="1:9" x14ac:dyDescent="0.2">
      <c r="A90">
        <f>'uniforme cercle (rejet)'!L95</f>
        <v>86</v>
      </c>
      <c r="B90">
        <f ca="1">'uniforme cercle (rejet)'!M95</f>
        <v>0.38213314959882894</v>
      </c>
      <c r="C90">
        <f ca="1">'uniforme cercle (rejet)'!N95</f>
        <v>0.55062058143423176</v>
      </c>
      <c r="D90">
        <f ca="1">'uniforme cercle (rejet)'!O95</f>
        <v>0.67023038480905384</v>
      </c>
      <c r="E90">
        <f t="shared" ca="1" si="5"/>
        <v>0.65955648839053027</v>
      </c>
      <c r="F90">
        <f t="shared" ca="1" si="6"/>
        <v>0.12827719083388023</v>
      </c>
      <c r="G90">
        <f t="shared" ca="1" si="7"/>
        <v>0</v>
      </c>
      <c r="H90" t="e">
        <f t="shared" ca="1" si="8"/>
        <v>#N/A</v>
      </c>
      <c r="I90" t="e">
        <f t="shared" ca="1" si="9"/>
        <v>#N/A</v>
      </c>
    </row>
    <row r="91" spans="1:9" x14ac:dyDescent="0.2">
      <c r="A91">
        <f>'uniforme cercle (rejet)'!L96</f>
        <v>87</v>
      </c>
      <c r="B91">
        <f ca="1">'uniforme cercle (rejet)'!M96</f>
        <v>0.43370766556011975</v>
      </c>
      <c r="C91">
        <f ca="1">'uniforme cercle (rejet)'!N96</f>
        <v>-0.72695497710238866</v>
      </c>
      <c r="D91">
        <f ca="1">'uniforme cercle (rejet)'!O96</f>
        <v>0.84650214287947501</v>
      </c>
      <c r="E91">
        <f t="shared" ca="1" si="5"/>
        <v>0.20735716255626246</v>
      </c>
      <c r="F91">
        <f t="shared" ca="1" si="6"/>
        <v>1.2287445582552186</v>
      </c>
      <c r="G91">
        <f t="shared" ca="1" si="7"/>
        <v>0</v>
      </c>
      <c r="H91" t="e">
        <f t="shared" ca="1" si="8"/>
        <v>#N/A</v>
      </c>
      <c r="I91" t="e">
        <f t="shared" ca="1" si="9"/>
        <v>#N/A</v>
      </c>
    </row>
    <row r="92" spans="1:9" x14ac:dyDescent="0.2">
      <c r="A92">
        <f>'uniforme cercle (rejet)'!L97</f>
        <v>88</v>
      </c>
      <c r="B92">
        <f ca="1">'uniforme cercle (rejet)'!M97</f>
        <v>-0.15729465865069669</v>
      </c>
      <c r="C92">
        <f ca="1">'uniforme cercle (rejet)'!N97</f>
        <v>-0.84768559044460501</v>
      </c>
      <c r="D92">
        <f ca="1">'uniforme cercle (rejet)'!O97</f>
        <v>0.86215571092898169</v>
      </c>
      <c r="E92">
        <f t="shared" ca="1" si="5"/>
        <v>0.71062834909383343</v>
      </c>
      <c r="F92">
        <f t="shared" ca="1" si="6"/>
        <v>1.4994307983307396</v>
      </c>
      <c r="G92">
        <f t="shared" ca="1" si="7"/>
        <v>0</v>
      </c>
      <c r="H92" t="e">
        <f t="shared" ca="1" si="8"/>
        <v>#N/A</v>
      </c>
      <c r="I92" t="e">
        <f t="shared" ca="1" si="9"/>
        <v>#N/A</v>
      </c>
    </row>
    <row r="93" spans="1:9" x14ac:dyDescent="0.2">
      <c r="A93">
        <f>'uniforme cercle (rejet)'!L98</f>
        <v>89</v>
      </c>
      <c r="B93">
        <f ca="1">'uniforme cercle (rejet)'!M98</f>
        <v>-0.246441946674681</v>
      </c>
      <c r="C93">
        <f ca="1">'uniforme cercle (rejet)'!N98</f>
        <v>-0.66077811302092959</v>
      </c>
      <c r="D93">
        <f ca="1">'uniforme cercle (rejet)'!O98</f>
        <v>0.70523850414473732</v>
      </c>
      <c r="E93">
        <f t="shared" ca="1" si="5"/>
        <v>0.64150145623923061</v>
      </c>
      <c r="F93">
        <f t="shared" ca="1" si="6"/>
        <v>1.3800657257623339</v>
      </c>
      <c r="G93">
        <f t="shared" ca="1" si="7"/>
        <v>0</v>
      </c>
      <c r="H93" t="e">
        <f t="shared" ca="1" si="8"/>
        <v>#N/A</v>
      </c>
      <c r="I93" t="e">
        <f t="shared" ca="1" si="9"/>
        <v>#N/A</v>
      </c>
    </row>
    <row r="94" spans="1:9" x14ac:dyDescent="0.2">
      <c r="A94">
        <f>'uniforme cercle (rejet)'!L99</f>
        <v>90</v>
      </c>
      <c r="B94">
        <f ca="1">'uniforme cercle (rejet)'!M99</f>
        <v>0.51099737822066316</v>
      </c>
      <c r="C94">
        <f ca="1">'uniforme cercle (rejet)'!N99</f>
        <v>6.5002500479690584E-2</v>
      </c>
      <c r="D94">
        <f ca="1">'uniforme cercle (rejet)'!O99</f>
        <v>0.5151151770400515</v>
      </c>
      <c r="E94">
        <f t="shared" ca="1" si="5"/>
        <v>0.40729342019164899</v>
      </c>
      <c r="F94">
        <f t="shared" ca="1" si="6"/>
        <v>0.43513649228334084</v>
      </c>
      <c r="G94">
        <f t="shared" ca="1" si="7"/>
        <v>1</v>
      </c>
      <c r="H94">
        <f t="shared" ca="1" si="8"/>
        <v>0.51099737822066316</v>
      </c>
      <c r="I94">
        <f t="shared" ca="1" si="9"/>
        <v>6.5002500479690584E-2</v>
      </c>
    </row>
    <row r="95" spans="1:9" x14ac:dyDescent="0.2">
      <c r="A95">
        <f>'uniforme cercle (rejet)'!L100</f>
        <v>91</v>
      </c>
      <c r="B95">
        <f ca="1">'uniforme cercle (rejet)'!M100</f>
        <v>0.94064018452878129</v>
      </c>
      <c r="C95">
        <f ca="1">'uniforme cercle (rejet)'!N100</f>
        <v>-0.15750496708175099</v>
      </c>
      <c r="D95">
        <f ca="1">'uniforme cercle (rejet)'!O100</f>
        <v>0.9537356926348951</v>
      </c>
      <c r="E95">
        <f t="shared" ca="1" si="5"/>
        <v>0.55376022284279658</v>
      </c>
      <c r="F95">
        <f t="shared" ca="1" si="6"/>
        <v>0.79150271885744838</v>
      </c>
      <c r="G95">
        <f t="shared" ca="1" si="7"/>
        <v>1</v>
      </c>
      <c r="H95">
        <f t="shared" ca="1" si="8"/>
        <v>0.94064018452878129</v>
      </c>
      <c r="I95">
        <f t="shared" ca="1" si="9"/>
        <v>-0.15750496708175099</v>
      </c>
    </row>
    <row r="96" spans="1:9" x14ac:dyDescent="0.2">
      <c r="A96">
        <f>'uniforme cercle (rejet)'!L101</f>
        <v>92</v>
      </c>
      <c r="B96">
        <f ca="1">'uniforme cercle (rejet)'!M101</f>
        <v>4.2666835760793553E-2</v>
      </c>
      <c r="C96">
        <f ca="1">'uniforme cercle (rejet)'!N101</f>
        <v>0.93338532947966057</v>
      </c>
      <c r="D96">
        <f ca="1">'uniforme cercle (rejet)'!O101</f>
        <v>0.93436001207334052</v>
      </c>
      <c r="E96">
        <f t="shared" ca="1" si="5"/>
        <v>0.69017310483333771</v>
      </c>
      <c r="F96">
        <f t="shared" ca="1" si="6"/>
        <v>0.63006068510996538</v>
      </c>
      <c r="G96">
        <f t="shared" ca="1" si="7"/>
        <v>1</v>
      </c>
      <c r="H96">
        <f t="shared" ca="1" si="8"/>
        <v>4.2666835760793553E-2</v>
      </c>
      <c r="I96">
        <f t="shared" ca="1" si="9"/>
        <v>0.93338532947966057</v>
      </c>
    </row>
    <row r="97" spans="1:9" x14ac:dyDescent="0.2">
      <c r="A97">
        <f>'uniforme cercle (rejet)'!L102</f>
        <v>93</v>
      </c>
      <c r="B97">
        <f ca="1">'uniforme cercle (rejet)'!M102</f>
        <v>0.44848007091324904</v>
      </c>
      <c r="C97">
        <f ca="1">'uniforme cercle (rejet)'!N102</f>
        <v>-6.4253654605271882E-2</v>
      </c>
      <c r="D97">
        <f ca="1">'uniforme cercle (rejet)'!O102</f>
        <v>0.45305949513997218</v>
      </c>
      <c r="E97">
        <f t="shared" ca="1" si="5"/>
        <v>0.27168910448237615</v>
      </c>
      <c r="F97">
        <f t="shared" ca="1" si="6"/>
        <v>0.56660082053285921</v>
      </c>
      <c r="G97">
        <f t="shared" ca="1" si="7"/>
        <v>1</v>
      </c>
      <c r="H97">
        <f t="shared" ca="1" si="8"/>
        <v>0.44848007091324904</v>
      </c>
      <c r="I97">
        <f t="shared" ca="1" si="9"/>
        <v>-6.4253654605271882E-2</v>
      </c>
    </row>
    <row r="98" spans="1:9" x14ac:dyDescent="0.2">
      <c r="A98">
        <f>'uniforme cercle (rejet)'!L103</f>
        <v>94</v>
      </c>
      <c r="B98">
        <f ca="1">'uniforme cercle (rejet)'!M103</f>
        <v>0.66688866705534289</v>
      </c>
      <c r="C98">
        <f ca="1">'uniforme cercle (rejet)'!N103</f>
        <v>2.2390061219303981E-3</v>
      </c>
      <c r="D98">
        <f ca="1">'uniforme cercle (rejet)'!O103</f>
        <v>0.6668924256544424</v>
      </c>
      <c r="E98">
        <f t="shared" ca="1" si="5"/>
        <v>0.47314471518322582</v>
      </c>
      <c r="F98">
        <f t="shared" ca="1" si="6"/>
        <v>0.52499317540135004</v>
      </c>
      <c r="G98">
        <f t="shared" ca="1" si="7"/>
        <v>1</v>
      </c>
      <c r="H98">
        <f t="shared" ca="1" si="8"/>
        <v>0.66688866705534289</v>
      </c>
      <c r="I98">
        <f t="shared" ca="1" si="9"/>
        <v>2.2390061219303981E-3</v>
      </c>
    </row>
    <row r="99" spans="1:9" x14ac:dyDescent="0.2">
      <c r="A99">
        <f>'uniforme cercle (rejet)'!L104</f>
        <v>95</v>
      </c>
      <c r="B99">
        <f ca="1">'uniforme cercle (rejet)'!M104</f>
        <v>-0.37259452389716752</v>
      </c>
      <c r="C99">
        <f ca="1">'uniforme cercle (rejet)'!N104</f>
        <v>0.10803869397304822</v>
      </c>
      <c r="D99">
        <f ca="1">'uniforme cercle (rejet)'!O104</f>
        <v>0.38794205576807334</v>
      </c>
      <c r="E99">
        <f t="shared" ca="1" si="5"/>
        <v>0.1870692213417797</v>
      </c>
      <c r="F99">
        <f t="shared" ca="1" si="6"/>
        <v>0.9565850033100447</v>
      </c>
      <c r="G99">
        <f t="shared" ca="1" si="7"/>
        <v>0</v>
      </c>
      <c r="H99" t="e">
        <f t="shared" ca="1" si="8"/>
        <v>#N/A</v>
      </c>
      <c r="I99" t="e">
        <f t="shared" ca="1" si="9"/>
        <v>#N/A</v>
      </c>
    </row>
    <row r="100" spans="1:9" x14ac:dyDescent="0.2">
      <c r="A100">
        <f>'uniforme cercle (rejet)'!L105</f>
        <v>96</v>
      </c>
      <c r="B100">
        <f ca="1">'uniforme cercle (rejet)'!M105</f>
        <v>0.64506913337908256</v>
      </c>
      <c r="C100">
        <f ca="1">'uniforme cercle (rejet)'!N105</f>
        <v>0.38549167344371682</v>
      </c>
      <c r="D100">
        <f ca="1">'uniforme cercle (rejet)'!O105</f>
        <v>0.75147722329614075</v>
      </c>
      <c r="E100">
        <f t="shared" ca="1" si="5"/>
        <v>0.72871653492948107</v>
      </c>
      <c r="F100">
        <f t="shared" ca="1" si="6"/>
        <v>0.18481669380788748</v>
      </c>
      <c r="G100">
        <f t="shared" ca="1" si="7"/>
        <v>0</v>
      </c>
      <c r="H100" t="e">
        <f t="shared" ca="1" si="8"/>
        <v>#N/A</v>
      </c>
      <c r="I100" t="e">
        <f t="shared" ca="1" si="9"/>
        <v>#N/A</v>
      </c>
    </row>
    <row r="101" spans="1:9" x14ac:dyDescent="0.2">
      <c r="A101">
        <f>'uniforme cercle (rejet)'!L106</f>
        <v>97</v>
      </c>
      <c r="B101">
        <f ca="1">'uniforme cercle (rejet)'!M106</f>
        <v>-0.49030617808703925</v>
      </c>
      <c r="C101">
        <f ca="1">'uniforme cercle (rejet)'!N106</f>
        <v>-5.7842383323584157E-2</v>
      </c>
      <c r="D101">
        <f ca="1">'uniforme cercle (rejet)'!O106</f>
        <v>0.49370627865044608</v>
      </c>
      <c r="E101">
        <f t="shared" ca="1" si="5"/>
        <v>0.38759956487110248</v>
      </c>
      <c r="F101">
        <f t="shared" ca="1" si="6"/>
        <v>1.1366153487391832</v>
      </c>
      <c r="G101">
        <f t="shared" ca="1" si="7"/>
        <v>0</v>
      </c>
      <c r="H101" t="e">
        <f t="shared" ca="1" si="8"/>
        <v>#N/A</v>
      </c>
      <c r="I101" t="e">
        <f t="shared" ca="1" si="9"/>
        <v>#N/A</v>
      </c>
    </row>
    <row r="102" spans="1:9" x14ac:dyDescent="0.2">
      <c r="A102">
        <f>'uniforme cercle (rejet)'!L107</f>
        <v>98</v>
      </c>
      <c r="B102">
        <f ca="1">'uniforme cercle (rejet)'!M107</f>
        <v>-0.43242488849029148</v>
      </c>
      <c r="C102">
        <f ca="1">'uniforme cercle (rejet)'!N107</f>
        <v>-0.68426991987216956</v>
      </c>
      <c r="D102">
        <f ca="1">'uniforme cercle (rejet)'!O107</f>
        <v>0.80945451226594967</v>
      </c>
      <c r="E102">
        <f t="shared" ca="1" si="5"/>
        <v>0.78962247150890841</v>
      </c>
      <c r="F102">
        <f t="shared" ca="1" si="6"/>
        <v>1.5072861094663372</v>
      </c>
      <c r="G102">
        <f t="shared" ca="1" si="7"/>
        <v>0</v>
      </c>
      <c r="H102" t="e">
        <f t="shared" ca="1" si="8"/>
        <v>#N/A</v>
      </c>
      <c r="I102" t="e">
        <f t="shared" ca="1" si="9"/>
        <v>#N/A</v>
      </c>
    </row>
    <row r="103" spans="1:9" x14ac:dyDescent="0.2">
      <c r="A103">
        <f>'uniforme cercle (rejet)'!L108</f>
        <v>99</v>
      </c>
      <c r="B103">
        <f ca="1">'uniforme cercle (rejet)'!M108</f>
        <v>-1.71913237750565E-2</v>
      </c>
      <c r="C103">
        <f ca="1">'uniforme cercle (rejet)'!N108</f>
        <v>-0.70206275897042336</v>
      </c>
      <c r="D103">
        <f ca="1">'uniforme cercle (rejet)'!O108</f>
        <v>0.70227320833583107</v>
      </c>
      <c r="E103">
        <f t="shared" ca="1" si="5"/>
        <v>0.50858943930543898</v>
      </c>
      <c r="F103">
        <f t="shared" ca="1" si="6"/>
        <v>1.3086029733619673</v>
      </c>
      <c r="G103">
        <f t="shared" ca="1" si="7"/>
        <v>0</v>
      </c>
      <c r="H103" t="e">
        <f t="shared" ca="1" si="8"/>
        <v>#N/A</v>
      </c>
      <c r="I103" t="e">
        <f t="shared" ca="1" si="9"/>
        <v>#N/A</v>
      </c>
    </row>
    <row r="104" spans="1:9" x14ac:dyDescent="0.2">
      <c r="A104">
        <f>'uniforme cercle (rejet)'!L109</f>
        <v>100</v>
      </c>
      <c r="B104">
        <f ca="1">'uniforme cercle (rejet)'!M109</f>
        <v>0.31717417852140839</v>
      </c>
      <c r="C104">
        <f ca="1">'uniforme cercle (rejet)'!N109</f>
        <v>-0.27888475169209559</v>
      </c>
      <c r="D104">
        <f ca="1">'uniforme cercle (rejet)'!O109</f>
        <v>0.42234602430600915</v>
      </c>
      <c r="E104">
        <f t="shared" ca="1" si="5"/>
        <v>2.7074713358753208E-2</v>
      </c>
      <c r="F104">
        <f t="shared" ca="1" si="6"/>
        <v>0.80005420904947389</v>
      </c>
      <c r="G104">
        <f t="shared" ca="1" si="7"/>
        <v>0</v>
      </c>
      <c r="H104" t="e">
        <f t="shared" ca="1" si="8"/>
        <v>#N/A</v>
      </c>
      <c r="I104" t="e">
        <f t="shared" ca="1" si="9"/>
        <v>#N/A</v>
      </c>
    </row>
    <row r="105" spans="1:9" x14ac:dyDescent="0.2">
      <c r="A105">
        <f>'uniforme cercle (rejet)'!L110</f>
        <v>101</v>
      </c>
      <c r="B105">
        <f ca="1">'uniforme cercle (rejet)'!M110</f>
        <v>0.60745438790598771</v>
      </c>
      <c r="C105">
        <f ca="1">'uniforme cercle (rejet)'!N110</f>
        <v>-0.44971895110153226</v>
      </c>
      <c r="D105">
        <f ca="1">'uniforme cercle (rejet)'!O110</f>
        <v>0.75580947888082251</v>
      </c>
      <c r="E105">
        <f t="shared" ca="1" si="5"/>
        <v>0.11153579699785258</v>
      </c>
      <c r="F105">
        <f t="shared" ca="1" si="6"/>
        <v>0.95577849502991286</v>
      </c>
      <c r="G105">
        <f t="shared" ca="1" si="7"/>
        <v>0</v>
      </c>
      <c r="H105" t="e">
        <f t="shared" ca="1" si="8"/>
        <v>#N/A</v>
      </c>
      <c r="I105" t="e">
        <f t="shared" ca="1" si="9"/>
        <v>#N/A</v>
      </c>
    </row>
    <row r="106" spans="1:9" x14ac:dyDescent="0.2">
      <c r="A106">
        <f>'uniforme cercle (rejet)'!L111</f>
        <v>102</v>
      </c>
      <c r="B106">
        <f ca="1">'uniforme cercle (rejet)'!M111</f>
        <v>-0.53640608859101646</v>
      </c>
      <c r="C106">
        <f ca="1">'uniforme cercle (rejet)'!N111</f>
        <v>0.26332863244717331</v>
      </c>
      <c r="D106">
        <f ca="1">'uniforme cercle (rejet)'!O111</f>
        <v>0.59755624048620892</v>
      </c>
      <c r="E106">
        <f t="shared" ca="1" si="5"/>
        <v>0.19309492102848355</v>
      </c>
      <c r="F106">
        <f t="shared" ca="1" si="6"/>
        <v>1.0630855641423482</v>
      </c>
      <c r="G106">
        <f t="shared" ca="1" si="7"/>
        <v>0</v>
      </c>
      <c r="H106" t="e">
        <f t="shared" ca="1" si="8"/>
        <v>#N/A</v>
      </c>
      <c r="I106" t="e">
        <f t="shared" ca="1" si="9"/>
        <v>#N/A</v>
      </c>
    </row>
    <row r="107" spans="1:9" x14ac:dyDescent="0.2">
      <c r="A107">
        <f>'uniforme cercle (rejet)'!L112</f>
        <v>103</v>
      </c>
      <c r="B107">
        <f ca="1">'uniforme cercle (rejet)'!M112</f>
        <v>-0.82906453503987687</v>
      </c>
      <c r="C107">
        <f ca="1">'uniforme cercle (rejet)'!N112</f>
        <v>0.15871833301394478</v>
      </c>
      <c r="D107">
        <f ca="1">'uniforme cercle (rejet)'!O112</f>
        <v>0.84412055566465893</v>
      </c>
      <c r="E107">
        <f t="shared" ca="1" si="5"/>
        <v>0.47400634519518398</v>
      </c>
      <c r="F107">
        <f t="shared" ca="1" si="6"/>
        <v>1.3721828283875093</v>
      </c>
      <c r="G107">
        <f t="shared" ca="1" si="7"/>
        <v>0</v>
      </c>
      <c r="H107" t="e">
        <f t="shared" ca="1" si="8"/>
        <v>#N/A</v>
      </c>
      <c r="I107" t="e">
        <f t="shared" ca="1" si="9"/>
        <v>#N/A</v>
      </c>
    </row>
    <row r="108" spans="1:9" x14ac:dyDescent="0.2">
      <c r="A108">
        <f>'uniforme cercle (rejet)'!L113</f>
        <v>104</v>
      </c>
      <c r="B108">
        <f ca="1">'uniforme cercle (rejet)'!M113</f>
        <v>-0.88883051357042842</v>
      </c>
      <c r="C108">
        <f ca="1">'uniforme cercle (rejet)'!N113</f>
        <v>-0.31079953811947303</v>
      </c>
      <c r="D108">
        <f ca="1">'uniforme cercle (rejet)'!O113</f>
        <v>0.94160290714777917</v>
      </c>
      <c r="E108">
        <f t="shared" ca="1" si="5"/>
        <v>0.84826654446509775</v>
      </c>
      <c r="F108">
        <f t="shared" ca="1" si="6"/>
        <v>1.608180986841671</v>
      </c>
      <c r="G108">
        <f t="shared" ca="1" si="7"/>
        <v>0</v>
      </c>
      <c r="H108" t="e">
        <f t="shared" ca="1" si="8"/>
        <v>#N/A</v>
      </c>
      <c r="I108" t="e">
        <f t="shared" ca="1" si="9"/>
        <v>#N/A</v>
      </c>
    </row>
    <row r="109" spans="1:9" x14ac:dyDescent="0.2">
      <c r="A109">
        <f>'uniforme cercle (rejet)'!L114</f>
        <v>105</v>
      </c>
      <c r="B109">
        <f ca="1">'uniforme cercle (rejet)'!M114</f>
        <v>-0.23020696219876458</v>
      </c>
      <c r="C109">
        <f ca="1">'uniforme cercle (rejet)'!N114</f>
        <v>-0.37657365095554329</v>
      </c>
      <c r="D109">
        <f ca="1">'uniforme cercle (rejet)'!O114</f>
        <v>0.44136488310554428</v>
      </c>
      <c r="E109">
        <f t="shared" ca="1" si="5"/>
        <v>0.42905868625394233</v>
      </c>
      <c r="F109">
        <f t="shared" ca="1" si="6"/>
        <v>1.1408696565309635</v>
      </c>
      <c r="G109">
        <f t="shared" ca="1" si="7"/>
        <v>0</v>
      </c>
      <c r="H109" t="e">
        <f t="shared" ca="1" si="8"/>
        <v>#N/A</v>
      </c>
      <c r="I109" t="e">
        <f t="shared" ca="1" si="9"/>
        <v>#N/A</v>
      </c>
    </row>
    <row r="110" spans="1:9" x14ac:dyDescent="0.2">
      <c r="A110">
        <f>'uniforme cercle (rejet)'!L115</f>
        <v>106</v>
      </c>
      <c r="B110">
        <f ca="1">'uniforme cercle (rejet)'!M115</f>
        <v>-0.65781306306629461</v>
      </c>
      <c r="C110">
        <f ca="1">'uniforme cercle (rejet)'!N115</f>
        <v>-0.41642636789932785</v>
      </c>
      <c r="D110">
        <f ca="1">'uniforme cercle (rejet)'!O115</f>
        <v>0.77854283493105714</v>
      </c>
      <c r="E110">
        <f t="shared" ca="1" si="5"/>
        <v>0.75960198625376973</v>
      </c>
      <c r="F110">
        <f t="shared" ca="1" si="6"/>
        <v>1.4766070488752618</v>
      </c>
      <c r="G110">
        <f t="shared" ca="1" si="7"/>
        <v>0</v>
      </c>
      <c r="H110" t="e">
        <f t="shared" ca="1" si="8"/>
        <v>#N/A</v>
      </c>
      <c r="I110" t="e">
        <f t="shared" ca="1" si="9"/>
        <v>#N/A</v>
      </c>
    </row>
    <row r="111" spans="1:9" x14ac:dyDescent="0.2">
      <c r="A111">
        <f>'uniforme cercle (rejet)'!L116</f>
        <v>107</v>
      </c>
      <c r="B111">
        <f ca="1">'uniforme cercle (rejet)'!M116</f>
        <v>-2.9460280802771077E-2</v>
      </c>
      <c r="C111">
        <f ca="1">'uniforme cercle (rejet)'!N116</f>
        <v>0.95382363584982022</v>
      </c>
      <c r="D111">
        <f ca="1">'uniforme cercle (rejet)'!O116</f>
        <v>0.95427848998641307</v>
      </c>
      <c r="E111">
        <f t="shared" ca="1" si="5"/>
        <v>0.65362359663411673</v>
      </c>
      <c r="F111">
        <f t="shared" ca="1" si="6"/>
        <v>0.69734072117129331</v>
      </c>
      <c r="G111">
        <f t="shared" ca="1" si="7"/>
        <v>1</v>
      </c>
      <c r="H111">
        <f t="shared" ca="1" si="8"/>
        <v>-2.9460280802771077E-2</v>
      </c>
      <c r="I111">
        <f t="shared" ca="1" si="9"/>
        <v>0.95382363584982022</v>
      </c>
    </row>
    <row r="112" spans="1:9" x14ac:dyDescent="0.2">
      <c r="A112">
        <f>'uniforme cercle (rejet)'!L117</f>
        <v>108</v>
      </c>
      <c r="B112">
        <f ca="1">'uniforme cercle (rejet)'!M117</f>
        <v>-0.29038103046032893</v>
      </c>
      <c r="C112">
        <f ca="1">'uniforme cercle (rejet)'!N117</f>
        <v>-0.11509772312467481</v>
      </c>
      <c r="D112">
        <f ca="1">'uniforme cercle (rejet)'!O117</f>
        <v>0.31235977449038915</v>
      </c>
      <c r="E112">
        <f t="shared" ca="1" si="5"/>
        <v>0.2867167762870253</v>
      </c>
      <c r="F112">
        <f t="shared" ca="1" si="6"/>
        <v>1.0015225321003469</v>
      </c>
      <c r="G112">
        <f t="shared" ca="1" si="7"/>
        <v>0</v>
      </c>
      <c r="H112" t="e">
        <f t="shared" ca="1" si="8"/>
        <v>#N/A</v>
      </c>
      <c r="I112" t="e">
        <f t="shared" ca="1" si="9"/>
        <v>#N/A</v>
      </c>
    </row>
    <row r="113" spans="1:9" x14ac:dyDescent="0.2">
      <c r="A113">
        <f>'uniforme cercle (rejet)'!L118</f>
        <v>109</v>
      </c>
      <c r="B113">
        <f ca="1">'uniforme cercle (rejet)'!M118</f>
        <v>-0.89120778823232105</v>
      </c>
      <c r="C113">
        <f ca="1">'uniforme cercle (rejet)'!N118</f>
        <v>0.35881627578090125</v>
      </c>
      <c r="D113">
        <f ca="1">'uniforme cercle (rejet)'!O118</f>
        <v>0.96072911976853359</v>
      </c>
      <c r="E113">
        <f t="shared" ca="1" si="5"/>
        <v>0.3764576487005612</v>
      </c>
      <c r="F113">
        <f t="shared" ca="1" si="6"/>
        <v>1.3983533008587783</v>
      </c>
      <c r="G113">
        <f t="shared" ca="1" si="7"/>
        <v>0</v>
      </c>
      <c r="H113" t="e">
        <f t="shared" ca="1" si="8"/>
        <v>#N/A</v>
      </c>
      <c r="I113" t="e">
        <f t="shared" ca="1" si="9"/>
        <v>#N/A</v>
      </c>
    </row>
    <row r="114" spans="1:9" x14ac:dyDescent="0.2">
      <c r="A114">
        <f>'uniforme cercle (rejet)'!L119</f>
        <v>110</v>
      </c>
      <c r="B114">
        <f ca="1">'uniforme cercle (rejet)'!M119</f>
        <v>-0.61111064056696796</v>
      </c>
      <c r="C114">
        <f ca="1">'uniforme cercle (rejet)'!N119</f>
        <v>0.61074712055843206</v>
      </c>
      <c r="D114">
        <f ca="1">'uniforme cercle (rejet)'!O119</f>
        <v>0.86398394677481472</v>
      </c>
      <c r="E114">
        <f t="shared" ca="1" si="5"/>
        <v>2.5704746313272672E-4</v>
      </c>
      <c r="F114">
        <f t="shared" ca="1" si="6"/>
        <v>1.1166162188922037</v>
      </c>
      <c r="G114">
        <f t="shared" ca="1" si="7"/>
        <v>0</v>
      </c>
      <c r="H114" t="e">
        <f t="shared" ca="1" si="8"/>
        <v>#N/A</v>
      </c>
      <c r="I114" t="e">
        <f t="shared" ca="1" si="9"/>
        <v>#N/A</v>
      </c>
    </row>
    <row r="115" spans="1:9" x14ac:dyDescent="0.2">
      <c r="A115">
        <f>'uniforme cercle (rejet)'!L120</f>
        <v>111</v>
      </c>
      <c r="B115">
        <f ca="1">'uniforme cercle (rejet)'!M120</f>
        <v>0.61350101424429448</v>
      </c>
      <c r="C115">
        <f ca="1">'uniforme cercle (rejet)'!N120</f>
        <v>-0.53590978411301893</v>
      </c>
      <c r="D115">
        <f ca="1">'uniforme cercle (rejet)'!O120</f>
        <v>0.81460591158353413</v>
      </c>
      <c r="E115">
        <f t="shared" ca="1" si="5"/>
        <v>5.4865284986430916E-2</v>
      </c>
      <c r="F115">
        <f t="shared" ca="1" si="6"/>
        <v>1.0421091886436684</v>
      </c>
      <c r="G115">
        <f t="shared" ca="1" si="7"/>
        <v>0</v>
      </c>
      <c r="H115" t="e">
        <f t="shared" ca="1" si="8"/>
        <v>#N/A</v>
      </c>
      <c r="I115" t="e">
        <f t="shared" ca="1" si="9"/>
        <v>#N/A</v>
      </c>
    </row>
    <row r="116" spans="1:9" x14ac:dyDescent="0.2">
      <c r="A116">
        <f>'uniforme cercle (rejet)'!L121</f>
        <v>112</v>
      </c>
      <c r="B116">
        <f ca="1">'uniforme cercle (rejet)'!M121</f>
        <v>0.23158214651098663</v>
      </c>
      <c r="C116">
        <f ca="1">'uniforme cercle (rejet)'!N121</f>
        <v>0.96214814176377916</v>
      </c>
      <c r="D116">
        <f ca="1">'uniforme cercle (rejet)'!O121</f>
        <v>0.98962585722187424</v>
      </c>
      <c r="E116">
        <f t="shared" ca="1" si="5"/>
        <v>0.84409478174685904</v>
      </c>
      <c r="F116">
        <f t="shared" ca="1" si="6"/>
        <v>0.53444274623888721</v>
      </c>
      <c r="G116">
        <f t="shared" ca="1" si="7"/>
        <v>1</v>
      </c>
      <c r="H116">
        <f t="shared" ca="1" si="8"/>
        <v>0.23158214651098663</v>
      </c>
      <c r="I116">
        <f t="shared" ca="1" si="9"/>
        <v>0.96214814176377916</v>
      </c>
    </row>
    <row r="117" spans="1:9" x14ac:dyDescent="0.2">
      <c r="A117">
        <f>'uniforme cercle (rejet)'!L122</f>
        <v>113</v>
      </c>
      <c r="B117">
        <f ca="1">'uniforme cercle (rejet)'!M122</f>
        <v>0.20140536968586953</v>
      </c>
      <c r="C117">
        <f ca="1">'uniforme cercle (rejet)'!N122</f>
        <v>0.14014360437136886</v>
      </c>
      <c r="D117">
        <f ca="1">'uniforme cercle (rejet)'!O122</f>
        <v>0.24536575307996941</v>
      </c>
      <c r="E117">
        <f t="shared" ca="1" si="5"/>
        <v>0.24151159566318145</v>
      </c>
      <c r="F117">
        <f t="shared" ca="1" si="6"/>
        <v>0.46760600801022878</v>
      </c>
      <c r="G117">
        <f t="shared" ca="1" si="7"/>
        <v>1</v>
      </c>
      <c r="H117">
        <f t="shared" ca="1" si="8"/>
        <v>0.20140536968586953</v>
      </c>
      <c r="I117">
        <f t="shared" ca="1" si="9"/>
        <v>0.14014360437136886</v>
      </c>
    </row>
    <row r="118" spans="1:9" x14ac:dyDescent="0.2">
      <c r="A118">
        <f>'uniforme cercle (rejet)'!L123</f>
        <v>114</v>
      </c>
      <c r="B118">
        <f ca="1">'uniforme cercle (rejet)'!M123</f>
        <v>0.27407722075338525</v>
      </c>
      <c r="C118">
        <f ca="1">'uniforme cercle (rejet)'!N123</f>
        <v>-2.0396140674767027E-2</v>
      </c>
      <c r="D118">
        <f ca="1">'uniforme cercle (rejet)'!O123</f>
        <v>0.27483508780780658</v>
      </c>
      <c r="E118">
        <f t="shared" ca="1" si="5"/>
        <v>0.17937961198231853</v>
      </c>
      <c r="F118">
        <f t="shared" ca="1" si="6"/>
        <v>0.56732111313761846</v>
      </c>
      <c r="G118">
        <f t="shared" ca="1" si="7"/>
        <v>0</v>
      </c>
      <c r="H118" t="e">
        <f t="shared" ca="1" si="8"/>
        <v>#N/A</v>
      </c>
      <c r="I118" t="e">
        <f t="shared" ca="1" si="9"/>
        <v>#N/A</v>
      </c>
    </row>
    <row r="119" spans="1:9" x14ac:dyDescent="0.2">
      <c r="A119">
        <f>'uniforme cercle (rejet)'!L124</f>
        <v>115</v>
      </c>
      <c r="B119">
        <f ca="1">'uniforme cercle (rejet)'!M124</f>
        <v>-0.72793995650205456</v>
      </c>
      <c r="C119">
        <f ca="1">'uniforme cercle (rejet)'!N124</f>
        <v>0.35195253830667039</v>
      </c>
      <c r="D119">
        <f ca="1">'uniforme cercle (rejet)'!O124</f>
        <v>0.80855869885415332</v>
      </c>
      <c r="E119">
        <f t="shared" ca="1" si="5"/>
        <v>0.26586325304677844</v>
      </c>
      <c r="F119">
        <f t="shared" ca="1" si="6"/>
        <v>1.2368324816595437</v>
      </c>
      <c r="G119">
        <f t="shared" ca="1" si="7"/>
        <v>0</v>
      </c>
      <c r="H119" t="e">
        <f t="shared" ca="1" si="8"/>
        <v>#N/A</v>
      </c>
      <c r="I119" t="e">
        <f t="shared" ca="1" si="9"/>
        <v>#N/A</v>
      </c>
    </row>
    <row r="120" spans="1:9" x14ac:dyDescent="0.2">
      <c r="A120">
        <f>'uniforme cercle (rejet)'!L125</f>
        <v>116</v>
      </c>
      <c r="B120">
        <f ca="1">'uniforme cercle (rejet)'!M125</f>
        <v>-0.54521479465473677</v>
      </c>
      <c r="C120">
        <f ca="1">'uniforme cercle (rejet)'!N125</f>
        <v>0.48439403336276365</v>
      </c>
      <c r="D120">
        <f ca="1">'uniforme cercle (rejet)'!O125</f>
        <v>0.72931252002680791</v>
      </c>
      <c r="E120">
        <f t="shared" ca="1" si="5"/>
        <v>4.3006772746482472E-2</v>
      </c>
      <c r="F120">
        <f t="shared" ca="1" si="6"/>
        <v>1.0453312934949504</v>
      </c>
      <c r="G120">
        <f t="shared" ca="1" si="7"/>
        <v>0</v>
      </c>
      <c r="H120" t="e">
        <f t="shared" ca="1" si="8"/>
        <v>#N/A</v>
      </c>
      <c r="I120" t="e">
        <f t="shared" ca="1" si="9"/>
        <v>#N/A</v>
      </c>
    </row>
    <row r="121" spans="1:9" x14ac:dyDescent="0.2">
      <c r="A121">
        <f>'uniforme cercle (rejet)'!L126</f>
        <v>117</v>
      </c>
      <c r="B121">
        <f ca="1">'uniforme cercle (rejet)'!M126</f>
        <v>0.68557328551252761</v>
      </c>
      <c r="C121">
        <f ca="1">'uniforme cercle (rejet)'!N126</f>
        <v>0.13532450957471354</v>
      </c>
      <c r="D121">
        <f ca="1">'uniforme cercle (rejet)'!O126</f>
        <v>0.69880144011019207</v>
      </c>
      <c r="E121">
        <f t="shared" ca="1" si="5"/>
        <v>0.58046239756727314</v>
      </c>
      <c r="F121">
        <f t="shared" ca="1" si="6"/>
        <v>0.40917680483238206</v>
      </c>
      <c r="G121">
        <f t="shared" ca="1" si="7"/>
        <v>1</v>
      </c>
      <c r="H121">
        <f t="shared" ca="1" si="8"/>
        <v>0.68557328551252761</v>
      </c>
      <c r="I121">
        <f t="shared" ca="1" si="9"/>
        <v>0.13532450957471354</v>
      </c>
    </row>
    <row r="122" spans="1:9" x14ac:dyDescent="0.2">
      <c r="A122">
        <f>'uniforme cercle (rejet)'!L127</f>
        <v>118</v>
      </c>
      <c r="B122">
        <f ca="1">'uniforme cercle (rejet)'!M127</f>
        <v>0.59756211716899399</v>
      </c>
      <c r="C122">
        <f ca="1">'uniforme cercle (rejet)'!N127</f>
        <v>0.62895993311040455</v>
      </c>
      <c r="D122">
        <f ca="1">'uniforme cercle (rejet)'!O127</f>
        <v>0.86756618268218311</v>
      </c>
      <c r="E122">
        <f t="shared" ca="1" si="5"/>
        <v>0.8672820590273902</v>
      </c>
      <c r="F122">
        <f t="shared" ca="1" si="6"/>
        <v>0.16170662031696947</v>
      </c>
      <c r="G122">
        <f t="shared" ca="1" si="7"/>
        <v>0</v>
      </c>
      <c r="H122" t="e">
        <f t="shared" ca="1" si="8"/>
        <v>#N/A</v>
      </c>
      <c r="I122" t="e">
        <f t="shared" ca="1" si="9"/>
        <v>#N/A</v>
      </c>
    </row>
    <row r="123" spans="1:9" x14ac:dyDescent="0.2">
      <c r="A123">
        <f>'uniforme cercle (rejet)'!L128</f>
        <v>119</v>
      </c>
      <c r="B123">
        <f ca="1">'uniforme cercle (rejet)'!M128</f>
        <v>0.51665231540486611</v>
      </c>
      <c r="C123">
        <f ca="1">'uniforme cercle (rejet)'!N128</f>
        <v>-0.71338701187026765</v>
      </c>
      <c r="D123">
        <f ca="1">'uniforme cercle (rejet)'!O128</f>
        <v>0.88082384374992861</v>
      </c>
      <c r="E123">
        <f t="shared" ca="1" si="5"/>
        <v>0.13911243796536252</v>
      </c>
      <c r="F123">
        <f t="shared" ca="1" si="6"/>
        <v>1.2135012732518249</v>
      </c>
      <c r="G123">
        <f t="shared" ca="1" si="7"/>
        <v>0</v>
      </c>
      <c r="H123" t="e">
        <f t="shared" ca="1" si="8"/>
        <v>#N/A</v>
      </c>
      <c r="I123" t="e">
        <f t="shared" ca="1" si="9"/>
        <v>#N/A</v>
      </c>
    </row>
    <row r="124" spans="1:9" x14ac:dyDescent="0.2">
      <c r="A124">
        <f>'uniforme cercle (rejet)'!L129</f>
        <v>120</v>
      </c>
      <c r="B124">
        <f ca="1">'uniforme cercle (rejet)'!M129</f>
        <v>0.16910018602308674</v>
      </c>
      <c r="C124">
        <f ca="1">'uniforme cercle (rejet)'!N129</f>
        <v>-0.48205373744300695</v>
      </c>
      <c r="D124">
        <f ca="1">'uniforme cercle (rejet)'!O129</f>
        <v>0.51085289340064821</v>
      </c>
      <c r="E124">
        <f t="shared" ca="1" si="5"/>
        <v>0.22129157840543848</v>
      </c>
      <c r="F124">
        <f t="shared" ca="1" si="6"/>
        <v>1.03630315550795</v>
      </c>
      <c r="G124">
        <f t="shared" ca="1" si="7"/>
        <v>0</v>
      </c>
      <c r="H124" t="e">
        <f t="shared" ca="1" si="8"/>
        <v>#N/A</v>
      </c>
      <c r="I124" t="e">
        <f t="shared" ca="1" si="9"/>
        <v>#N/A</v>
      </c>
    </row>
    <row r="125" spans="1:9" x14ac:dyDescent="0.2">
      <c r="A125">
        <f>'uniforme cercle (rejet)'!L130</f>
        <v>121</v>
      </c>
      <c r="B125">
        <f ca="1">'uniforme cercle (rejet)'!M130</f>
        <v>7.5894643643880544E-2</v>
      </c>
      <c r="C125">
        <f ca="1">'uniforme cercle (rejet)'!N130</f>
        <v>-0.47712238716857747</v>
      </c>
      <c r="D125">
        <f ca="1">'uniforme cercle (rejet)'!O130</f>
        <v>0.48312086404053545</v>
      </c>
      <c r="E125">
        <f t="shared" ca="1" si="5"/>
        <v>0.28371085824649006</v>
      </c>
      <c r="F125">
        <f t="shared" ca="1" si="6"/>
        <v>1.0651917727789539</v>
      </c>
      <c r="G125">
        <f t="shared" ca="1" si="7"/>
        <v>0</v>
      </c>
      <c r="H125" t="e">
        <f t="shared" ca="1" si="8"/>
        <v>#N/A</v>
      </c>
      <c r="I125" t="e">
        <f t="shared" ca="1" si="9"/>
        <v>#N/A</v>
      </c>
    </row>
    <row r="126" spans="1:9" x14ac:dyDescent="0.2">
      <c r="A126">
        <f>'uniforme cercle (rejet)'!L131</f>
        <v>122</v>
      </c>
      <c r="B126">
        <f ca="1">'uniforme cercle (rejet)'!M131</f>
        <v>-0.40052045094348743</v>
      </c>
      <c r="C126">
        <f ca="1">'uniforme cercle (rejet)'!N131</f>
        <v>0.63113922769514796</v>
      </c>
      <c r="D126">
        <f ca="1">'uniforme cercle (rejet)'!O131</f>
        <v>0.74749806445207756</v>
      </c>
      <c r="E126">
        <f t="shared" ca="1" si="5"/>
        <v>0.1630721009100457</v>
      </c>
      <c r="F126">
        <f t="shared" ca="1" si="6"/>
        <v>0.91001899958624044</v>
      </c>
      <c r="G126">
        <f t="shared" ca="1" si="7"/>
        <v>0</v>
      </c>
      <c r="H126" t="e">
        <f t="shared" ca="1" si="8"/>
        <v>#N/A</v>
      </c>
      <c r="I126" t="e">
        <f t="shared" ca="1" si="9"/>
        <v>#N/A</v>
      </c>
    </row>
    <row r="127" spans="1:9" x14ac:dyDescent="0.2">
      <c r="A127">
        <f>'uniforme cercle (rejet)'!L132</f>
        <v>123</v>
      </c>
      <c r="B127">
        <f ca="1">'uniforme cercle (rejet)'!M132</f>
        <v>-0.49721672456535071</v>
      </c>
      <c r="C127">
        <f ca="1">'uniforme cercle (rejet)'!N132</f>
        <v>-8.1558599339525584E-2</v>
      </c>
      <c r="D127">
        <f ca="1">'uniforme cercle (rejet)'!O132</f>
        <v>0.5038613661650605</v>
      </c>
      <c r="E127">
        <f t="shared" ca="1" si="5"/>
        <v>0.40925595631657857</v>
      </c>
      <c r="F127">
        <f t="shared" ca="1" si="6"/>
        <v>1.154405301537808</v>
      </c>
      <c r="G127">
        <f t="shared" ca="1" si="7"/>
        <v>0</v>
      </c>
      <c r="H127" t="e">
        <f t="shared" ca="1" si="8"/>
        <v>#N/A</v>
      </c>
      <c r="I127" t="e">
        <f t="shared" ca="1" si="9"/>
        <v>#N/A</v>
      </c>
    </row>
    <row r="128" spans="1:9" x14ac:dyDescent="0.2">
      <c r="A128">
        <f>'uniforme cercle (rejet)'!L133</f>
        <v>124</v>
      </c>
      <c r="B128">
        <f ca="1">'uniforme cercle (rejet)'!M133</f>
        <v>-0.68126329069722846</v>
      </c>
      <c r="C128">
        <f ca="1">'uniforme cercle (rejet)'!N133</f>
        <v>-0.64792373731803665</v>
      </c>
      <c r="D128">
        <f ca="1">'uniforme cercle (rejet)'!O133</f>
        <v>0.94017277169240998</v>
      </c>
      <c r="E128">
        <f t="shared" ca="1" si="5"/>
        <v>0.93987716097478746</v>
      </c>
      <c r="F128">
        <f t="shared" ca="1" si="6"/>
        <v>1.6471526549312463</v>
      </c>
      <c r="G128">
        <f t="shared" ca="1" si="7"/>
        <v>0</v>
      </c>
      <c r="H128" t="e">
        <f t="shared" ca="1" si="8"/>
        <v>#N/A</v>
      </c>
      <c r="I128" t="e">
        <f t="shared" ca="1" si="9"/>
        <v>#N/A</v>
      </c>
    </row>
    <row r="129" spans="1:9" x14ac:dyDescent="0.2">
      <c r="A129">
        <f>'uniforme cercle (rejet)'!L134</f>
        <v>125</v>
      </c>
      <c r="B129">
        <f ca="1">'uniforme cercle (rejet)'!M134</f>
        <v>-8.7006954449523333E-2</v>
      </c>
      <c r="C129">
        <f ca="1">'uniforme cercle (rejet)'!N134</f>
        <v>0.43419560405516666</v>
      </c>
      <c r="D129">
        <f ca="1">'uniforme cercle (rejet)'!O134</f>
        <v>0.44282731702483363</v>
      </c>
      <c r="E129">
        <f t="shared" ca="1" si="5"/>
        <v>0.24549944848715058</v>
      </c>
      <c r="F129">
        <f t="shared" ca="1" si="6"/>
        <v>0.59068382667698727</v>
      </c>
      <c r="G129">
        <f t="shared" ca="1" si="7"/>
        <v>1</v>
      </c>
      <c r="H129">
        <f t="shared" ca="1" si="8"/>
        <v>-8.7006954449523333E-2</v>
      </c>
      <c r="I129">
        <f t="shared" ca="1" si="9"/>
        <v>0.43419560405516666</v>
      </c>
    </row>
    <row r="130" spans="1:9" x14ac:dyDescent="0.2">
      <c r="A130">
        <f>'uniforme cercle (rejet)'!L135</f>
        <v>126</v>
      </c>
      <c r="B130">
        <f ca="1">'uniforme cercle (rejet)'!M135</f>
        <v>-0.55980645228139303</v>
      </c>
      <c r="C130">
        <f ca="1">'uniforme cercle (rejet)'!N135</f>
        <v>-0.31788842307128862</v>
      </c>
      <c r="D130">
        <f ca="1">'uniforme cercle (rejet)'!O135</f>
        <v>0.64376728212812284</v>
      </c>
      <c r="E130">
        <f t="shared" ca="1" si="5"/>
        <v>0.62062399817456282</v>
      </c>
      <c r="F130">
        <f t="shared" ca="1" si="6"/>
        <v>1.3387050417815389</v>
      </c>
      <c r="G130">
        <f t="shared" ca="1" si="7"/>
        <v>0</v>
      </c>
      <c r="H130" t="e">
        <f t="shared" ca="1" si="8"/>
        <v>#N/A</v>
      </c>
      <c r="I130" t="e">
        <f t="shared" ca="1" si="9"/>
        <v>#N/A</v>
      </c>
    </row>
    <row r="131" spans="1:9" x14ac:dyDescent="0.2">
      <c r="A131">
        <f>'uniforme cercle (rejet)'!L136</f>
        <v>127</v>
      </c>
      <c r="B131">
        <f ca="1">'uniforme cercle (rejet)'!M136</f>
        <v>-0.6300228740179461</v>
      </c>
      <c r="C131">
        <f ca="1">'uniforme cercle (rejet)'!N136</f>
        <v>0.53591321549446058</v>
      </c>
      <c r="D131">
        <f ca="1">'uniforme cercle (rejet)'!O136</f>
        <v>0.82712260054205078</v>
      </c>
      <c r="E131">
        <f t="shared" ca="1" si="5"/>
        <v>6.654557771710698E-2</v>
      </c>
      <c r="F131">
        <f t="shared" ca="1" si="6"/>
        <v>1.1305934082820979</v>
      </c>
      <c r="G131">
        <f t="shared" ca="1" si="7"/>
        <v>0</v>
      </c>
      <c r="H131" t="e">
        <f t="shared" ca="1" si="8"/>
        <v>#N/A</v>
      </c>
      <c r="I131" t="e">
        <f t="shared" ca="1" si="9"/>
        <v>#N/A</v>
      </c>
    </row>
    <row r="132" spans="1:9" x14ac:dyDescent="0.2">
      <c r="A132">
        <f>'uniforme cercle (rejet)'!L137</f>
        <v>128</v>
      </c>
      <c r="B132">
        <f ca="1">'uniforme cercle (rejet)'!M137</f>
        <v>-0.11564569405856884</v>
      </c>
      <c r="C132">
        <f ca="1">'uniforme cercle (rejet)'!N137</f>
        <v>0.46176770451940663</v>
      </c>
      <c r="D132">
        <f ca="1">'uniforme cercle (rejet)'!O137</f>
        <v>0.47602871708691075</v>
      </c>
      <c r="E132">
        <f t="shared" ca="1" si="5"/>
        <v>0.24474522071477953</v>
      </c>
      <c r="F132">
        <f t="shared" ca="1" si="6"/>
        <v>0.61683168614345063</v>
      </c>
      <c r="G132">
        <f t="shared" ca="1" si="7"/>
        <v>0</v>
      </c>
      <c r="H132" t="e">
        <f t="shared" ca="1" si="8"/>
        <v>#N/A</v>
      </c>
      <c r="I132" t="e">
        <f t="shared" ca="1" si="9"/>
        <v>#N/A</v>
      </c>
    </row>
    <row r="133" spans="1:9" x14ac:dyDescent="0.2">
      <c r="A133">
        <f>'uniforme cercle (rejet)'!L138</f>
        <v>129</v>
      </c>
      <c r="B133">
        <f ca="1">'uniforme cercle (rejet)'!M138</f>
        <v>-0.50428270650601359</v>
      </c>
      <c r="C133">
        <f ca="1">'uniforme cercle (rejet)'!N138</f>
        <v>0.42854536707809321</v>
      </c>
      <c r="D133">
        <f ca="1">'uniforme cercle (rejet)'!O138</f>
        <v>0.66177955523355958</v>
      </c>
      <c r="E133">
        <f t="shared" ca="1" si="5"/>
        <v>5.3554386298509775E-2</v>
      </c>
      <c r="F133">
        <f t="shared" ca="1" si="6"/>
        <v>1.0068214931918409</v>
      </c>
      <c r="G133">
        <f t="shared" ca="1" si="7"/>
        <v>0</v>
      </c>
      <c r="H133" t="e">
        <f t="shared" ca="1" si="8"/>
        <v>#N/A</v>
      </c>
      <c r="I133" t="e">
        <f t="shared" ca="1" si="9"/>
        <v>#N/A</v>
      </c>
    </row>
    <row r="134" spans="1:9" x14ac:dyDescent="0.2">
      <c r="A134">
        <f>'uniforme cercle (rejet)'!L139</f>
        <v>130</v>
      </c>
      <c r="B134">
        <f ca="1">'uniforme cercle (rejet)'!M139</f>
        <v>-0.21366854995070339</v>
      </c>
      <c r="C134">
        <f ca="1">'uniforme cercle (rejet)'!N139</f>
        <v>-0.72390907460144072</v>
      </c>
      <c r="D134">
        <f ca="1">'uniforme cercle (rejet)'!O139</f>
        <v>0.75478380846991566</v>
      </c>
      <c r="E134">
        <f t="shared" ref="E134:E197" ca="1" si="10">(B134+C134)^2/SQRT(2*(B134+C134)^2)</f>
        <v>0.66296749620959605</v>
      </c>
      <c r="F134">
        <f t="shared" ref="F134:F197" ca="1" si="11">SQRT((B134-0.5)^2+(C134-0.5)^2)</f>
        <v>1.416783759816753</v>
      </c>
      <c r="G134">
        <f t="shared" ref="G134:G197" ca="1" si="12">IF(ABS(F134-E134)&lt;SQRT(2)/2/2,1,0)</f>
        <v>0</v>
      </c>
      <c r="H134" t="e">
        <f t="shared" ref="H134:H197" ca="1" si="13">IF($G134=1,B134,NA())</f>
        <v>#N/A</v>
      </c>
      <c r="I134" t="e">
        <f t="shared" ref="I134:I197" ca="1" si="14">IF($G134=1,C134,NA())</f>
        <v>#N/A</v>
      </c>
    </row>
    <row r="135" spans="1:9" x14ac:dyDescent="0.2">
      <c r="A135">
        <f>'uniforme cercle (rejet)'!L140</f>
        <v>131</v>
      </c>
      <c r="B135">
        <f ca="1">'uniforme cercle (rejet)'!M140</f>
        <v>-0.71766218606975851</v>
      </c>
      <c r="C135">
        <f ca="1">'uniforme cercle (rejet)'!N140</f>
        <v>-5.860279277971614E-4</v>
      </c>
      <c r="D135">
        <f ca="1">'uniforme cercle (rejet)'!O140</f>
        <v>0.71766242533879177</v>
      </c>
      <c r="E135">
        <f t="shared" ca="1" si="10"/>
        <v>0.50787818269279816</v>
      </c>
      <c r="F135">
        <f t="shared" ca="1" si="11"/>
        <v>1.3165437975018957</v>
      </c>
      <c r="G135">
        <f t="shared" ca="1" si="12"/>
        <v>0</v>
      </c>
      <c r="H135" t="e">
        <f t="shared" ca="1" si="13"/>
        <v>#N/A</v>
      </c>
      <c r="I135" t="e">
        <f t="shared" ca="1" si="14"/>
        <v>#N/A</v>
      </c>
    </row>
    <row r="136" spans="1:9" x14ac:dyDescent="0.2">
      <c r="A136">
        <f>'uniforme cercle (rejet)'!L141</f>
        <v>132</v>
      </c>
      <c r="B136">
        <f ca="1">'uniforme cercle (rejet)'!M141</f>
        <v>-0.37298669554306119</v>
      </c>
      <c r="C136">
        <f ca="1">'uniforme cercle (rejet)'!N141</f>
        <v>0.91659890744862005</v>
      </c>
      <c r="D136">
        <f ca="1">'uniforme cercle (rejet)'!O141</f>
        <v>0.9895820492451024</v>
      </c>
      <c r="E136">
        <f t="shared" ca="1" si="10"/>
        <v>0.38439188137423907</v>
      </c>
      <c r="F136">
        <f t="shared" ca="1" si="11"/>
        <v>0.96729541520808271</v>
      </c>
      <c r="G136">
        <f t="shared" ca="1" si="12"/>
        <v>0</v>
      </c>
      <c r="H136" t="e">
        <f t="shared" ca="1" si="13"/>
        <v>#N/A</v>
      </c>
      <c r="I136" t="e">
        <f t="shared" ca="1" si="14"/>
        <v>#N/A</v>
      </c>
    </row>
    <row r="137" spans="1:9" x14ac:dyDescent="0.2">
      <c r="A137">
        <f>'uniforme cercle (rejet)'!L142</f>
        <v>133</v>
      </c>
      <c r="B137">
        <f ca="1">'uniforme cercle (rejet)'!M142</f>
        <v>8.7525275417372761E-2</v>
      </c>
      <c r="C137">
        <f ca="1">'uniforme cercle (rejet)'!N142</f>
        <v>0.58800141290422192</v>
      </c>
      <c r="D137">
        <f ca="1">'uniforme cercle (rejet)'!O142</f>
        <v>0.59447988646736249</v>
      </c>
      <c r="E137">
        <f t="shared" ca="1" si="10"/>
        <v>0.47766950218469095</v>
      </c>
      <c r="F137">
        <f t="shared" ca="1" si="11"/>
        <v>0.42175780620239095</v>
      </c>
      <c r="G137">
        <f t="shared" ca="1" si="12"/>
        <v>1</v>
      </c>
      <c r="H137">
        <f t="shared" ca="1" si="13"/>
        <v>8.7525275417372761E-2</v>
      </c>
      <c r="I137">
        <f t="shared" ca="1" si="14"/>
        <v>0.58800141290422192</v>
      </c>
    </row>
    <row r="138" spans="1:9" x14ac:dyDescent="0.2">
      <c r="A138">
        <f>'uniforme cercle (rejet)'!L143</f>
        <v>134</v>
      </c>
      <c r="B138">
        <f ca="1">'uniforme cercle (rejet)'!M143</f>
        <v>0.3089066254530568</v>
      </c>
      <c r="C138">
        <f ca="1">'uniforme cercle (rejet)'!N143</f>
        <v>0.21286155414763641</v>
      </c>
      <c r="D138">
        <f ca="1">'uniforme cercle (rejet)'!O143</f>
        <v>0.37514443149664672</v>
      </c>
      <c r="E138">
        <f t="shared" ca="1" si="10"/>
        <v>0.36894581800301063</v>
      </c>
      <c r="F138">
        <f t="shared" ca="1" si="11"/>
        <v>0.34491327153684453</v>
      </c>
      <c r="G138">
        <f t="shared" ca="1" si="12"/>
        <v>1</v>
      </c>
      <c r="H138">
        <f t="shared" ca="1" si="13"/>
        <v>0.3089066254530568</v>
      </c>
      <c r="I138">
        <f t="shared" ca="1" si="14"/>
        <v>0.21286155414763641</v>
      </c>
    </row>
    <row r="139" spans="1:9" x14ac:dyDescent="0.2">
      <c r="A139">
        <f>'uniforme cercle (rejet)'!L144</f>
        <v>135</v>
      </c>
      <c r="B139">
        <f ca="1">'uniforme cercle (rejet)'!M144</f>
        <v>-0.59437502843849077</v>
      </c>
      <c r="C139">
        <f ca="1">'uniforme cercle (rejet)'!N144</f>
        <v>-0.11145805625478977</v>
      </c>
      <c r="D139">
        <f ca="1">'uniforme cercle (rejet)'!O144</f>
        <v>0.604735126096833</v>
      </c>
      <c r="E139">
        <f t="shared" ca="1" si="10"/>
        <v>0.49909936057243737</v>
      </c>
      <c r="F139">
        <f t="shared" ca="1" si="11"/>
        <v>1.2536098505630184</v>
      </c>
      <c r="G139">
        <f t="shared" ca="1" si="12"/>
        <v>0</v>
      </c>
      <c r="H139" t="e">
        <f t="shared" ca="1" si="13"/>
        <v>#N/A</v>
      </c>
      <c r="I139" t="e">
        <f t="shared" ca="1" si="14"/>
        <v>#N/A</v>
      </c>
    </row>
    <row r="140" spans="1:9" x14ac:dyDescent="0.2">
      <c r="A140">
        <f>'uniforme cercle (rejet)'!L145</f>
        <v>136</v>
      </c>
      <c r="B140">
        <f ca="1">'uniforme cercle (rejet)'!M145</f>
        <v>-0.49864958375447732</v>
      </c>
      <c r="C140">
        <f ca="1">'uniforme cercle (rejet)'!N145</f>
        <v>-0.42894092289138497</v>
      </c>
      <c r="D140">
        <f ca="1">'uniforme cercle (rejet)'!O145</f>
        <v>0.65775506285351126</v>
      </c>
      <c r="E140">
        <f t="shared" ca="1" si="10"/>
        <v>0.65590553741355451</v>
      </c>
      <c r="F140">
        <f t="shared" ca="1" si="11"/>
        <v>1.363903306453683</v>
      </c>
      <c r="G140">
        <f t="shared" ca="1" si="12"/>
        <v>0</v>
      </c>
      <c r="H140" t="e">
        <f t="shared" ca="1" si="13"/>
        <v>#N/A</v>
      </c>
      <c r="I140" t="e">
        <f t="shared" ca="1" si="14"/>
        <v>#N/A</v>
      </c>
    </row>
    <row r="141" spans="1:9" x14ac:dyDescent="0.2">
      <c r="A141">
        <f>'uniforme cercle (rejet)'!L146</f>
        <v>137</v>
      </c>
      <c r="B141">
        <f ca="1">'uniforme cercle (rejet)'!M146</f>
        <v>0.32884515286045768</v>
      </c>
      <c r="C141">
        <f ca="1">'uniforme cercle (rejet)'!N146</f>
        <v>-0.54509462043387491</v>
      </c>
      <c r="D141">
        <f ca="1">'uniforme cercle (rejet)'!O146</f>
        <v>0.63660606326500535</v>
      </c>
      <c r="E141">
        <f t="shared" ca="1" si="10"/>
        <v>0.15291146494914376</v>
      </c>
      <c r="F141">
        <f t="shared" ca="1" si="11"/>
        <v>1.0590168777499183</v>
      </c>
      <c r="G141">
        <f t="shared" ca="1" si="12"/>
        <v>0</v>
      </c>
      <c r="H141" t="e">
        <f t="shared" ca="1" si="13"/>
        <v>#N/A</v>
      </c>
      <c r="I141" t="e">
        <f t="shared" ca="1" si="14"/>
        <v>#N/A</v>
      </c>
    </row>
    <row r="142" spans="1:9" x14ac:dyDescent="0.2">
      <c r="A142">
        <f>'uniforme cercle (rejet)'!L147</f>
        <v>138</v>
      </c>
      <c r="B142">
        <f ca="1">'uniforme cercle (rejet)'!M147</f>
        <v>-0.36971981324480652</v>
      </c>
      <c r="C142">
        <f ca="1">'uniforme cercle (rejet)'!N147</f>
        <v>-3.3476868100283941E-3</v>
      </c>
      <c r="D142">
        <f ca="1">'uniforme cercle (rejet)'!O147</f>
        <v>0.36973496901531056</v>
      </c>
      <c r="E142">
        <f t="shared" ca="1" si="10"/>
        <v>0.26379855912908645</v>
      </c>
      <c r="F142">
        <f t="shared" ca="1" si="11"/>
        <v>1.0048738464939704</v>
      </c>
      <c r="G142">
        <f t="shared" ca="1" si="12"/>
        <v>0</v>
      </c>
      <c r="H142" t="e">
        <f t="shared" ca="1" si="13"/>
        <v>#N/A</v>
      </c>
      <c r="I142" t="e">
        <f t="shared" ca="1" si="14"/>
        <v>#N/A</v>
      </c>
    </row>
    <row r="143" spans="1:9" x14ac:dyDescent="0.2">
      <c r="A143">
        <f>'uniforme cercle (rejet)'!L148</f>
        <v>139</v>
      </c>
      <c r="B143">
        <f ca="1">'uniforme cercle (rejet)'!M148</f>
        <v>0.12539276380532827</v>
      </c>
      <c r="C143">
        <f ca="1">'uniforme cercle (rejet)'!N148</f>
        <v>-0.81708573708532217</v>
      </c>
      <c r="D143">
        <f ca="1">'uniforme cercle (rejet)'!O148</f>
        <v>0.82665134546736385</v>
      </c>
      <c r="E143">
        <f t="shared" ca="1" si="10"/>
        <v>0.48910079190536915</v>
      </c>
      <c r="F143">
        <f t="shared" ca="1" si="11"/>
        <v>1.3693229787902477</v>
      </c>
      <c r="G143">
        <f t="shared" ca="1" si="12"/>
        <v>0</v>
      </c>
      <c r="H143" t="e">
        <f t="shared" ca="1" si="13"/>
        <v>#N/A</v>
      </c>
      <c r="I143" t="e">
        <f t="shared" ca="1" si="14"/>
        <v>#N/A</v>
      </c>
    </row>
    <row r="144" spans="1:9" x14ac:dyDescent="0.2">
      <c r="A144">
        <f>'uniforme cercle (rejet)'!L149</f>
        <v>140</v>
      </c>
      <c r="B144">
        <f ca="1">'uniforme cercle (rejet)'!M149</f>
        <v>-3.241389183488641E-2</v>
      </c>
      <c r="C144">
        <f ca="1">'uniforme cercle (rejet)'!N149</f>
        <v>-0.61191423672753742</v>
      </c>
      <c r="D144">
        <f ca="1">'uniforme cercle (rejet)'!O149</f>
        <v>0.61277213831385025</v>
      </c>
      <c r="E144">
        <f t="shared" ca="1" si="10"/>
        <v>0.45560878901572749</v>
      </c>
      <c r="F144">
        <f t="shared" ca="1" si="11"/>
        <v>1.2328089154674995</v>
      </c>
      <c r="G144">
        <f t="shared" ca="1" si="12"/>
        <v>0</v>
      </c>
      <c r="H144" t="e">
        <f t="shared" ca="1" si="13"/>
        <v>#N/A</v>
      </c>
      <c r="I144" t="e">
        <f t="shared" ca="1" si="14"/>
        <v>#N/A</v>
      </c>
    </row>
    <row r="145" spans="1:9" x14ac:dyDescent="0.2">
      <c r="A145">
        <f>'uniforme cercle (rejet)'!L150</f>
        <v>141</v>
      </c>
      <c r="B145">
        <f ca="1">'uniforme cercle (rejet)'!M150</f>
        <v>-0.38085805573880882</v>
      </c>
      <c r="C145">
        <f ca="1">'uniforme cercle (rejet)'!N150</f>
        <v>-0.17550780715745584</v>
      </c>
      <c r="D145">
        <f ca="1">'uniforme cercle (rejet)'!O150</f>
        <v>0.41935170083637952</v>
      </c>
      <c r="E145">
        <f t="shared" ca="1" si="10"/>
        <v>0.3934100744746537</v>
      </c>
      <c r="F145">
        <f t="shared" ca="1" si="11"/>
        <v>1.110054823822062</v>
      </c>
      <c r="G145">
        <f t="shared" ca="1" si="12"/>
        <v>0</v>
      </c>
      <c r="H145" t="e">
        <f t="shared" ca="1" si="13"/>
        <v>#N/A</v>
      </c>
      <c r="I145" t="e">
        <f t="shared" ca="1" si="14"/>
        <v>#N/A</v>
      </c>
    </row>
    <row r="146" spans="1:9" x14ac:dyDescent="0.2">
      <c r="A146">
        <f>'uniforme cercle (rejet)'!L151</f>
        <v>142</v>
      </c>
      <c r="B146">
        <f ca="1">'uniforme cercle (rejet)'!M151</f>
        <v>-0.14922141115602106</v>
      </c>
      <c r="C146">
        <f ca="1">'uniforme cercle (rejet)'!N151</f>
        <v>0.56363441207718457</v>
      </c>
      <c r="D146">
        <f ca="1">'uniforme cercle (rejet)'!O151</f>
        <v>0.58305298217656665</v>
      </c>
      <c r="E146">
        <f t="shared" ca="1" si="10"/>
        <v>0.29303424316322169</v>
      </c>
      <c r="F146">
        <f t="shared" ca="1" si="11"/>
        <v>0.65233256786996641</v>
      </c>
      <c r="G146">
        <f t="shared" ca="1" si="12"/>
        <v>0</v>
      </c>
      <c r="H146" t="e">
        <f t="shared" ca="1" si="13"/>
        <v>#N/A</v>
      </c>
      <c r="I146" t="e">
        <f t="shared" ca="1" si="14"/>
        <v>#N/A</v>
      </c>
    </row>
    <row r="147" spans="1:9" x14ac:dyDescent="0.2">
      <c r="A147">
        <f>'uniforme cercle (rejet)'!L152</f>
        <v>143</v>
      </c>
      <c r="B147">
        <f ca="1">'uniforme cercle (rejet)'!M152</f>
        <v>-0.75465871537984941</v>
      </c>
      <c r="C147">
        <f ca="1">'uniforme cercle (rejet)'!N152</f>
        <v>0.4963124989304244</v>
      </c>
      <c r="D147">
        <f ca="1">'uniforme cercle (rejet)'!O152</f>
        <v>0.903236333023272</v>
      </c>
      <c r="E147">
        <f t="shared" ca="1" si="10"/>
        <v>0.18267836154527603</v>
      </c>
      <c r="F147">
        <f t="shared" ca="1" si="11"/>
        <v>1.2546641342378255</v>
      </c>
      <c r="G147">
        <f t="shared" ca="1" si="12"/>
        <v>0</v>
      </c>
      <c r="H147" t="e">
        <f t="shared" ca="1" si="13"/>
        <v>#N/A</v>
      </c>
      <c r="I147" t="e">
        <f t="shared" ca="1" si="14"/>
        <v>#N/A</v>
      </c>
    </row>
    <row r="148" spans="1:9" x14ac:dyDescent="0.2">
      <c r="A148">
        <f>'uniforme cercle (rejet)'!L153</f>
        <v>144</v>
      </c>
      <c r="B148">
        <f ca="1">'uniforme cercle (rejet)'!M153</f>
        <v>0.61727525880150891</v>
      </c>
      <c r="C148">
        <f ca="1">'uniforme cercle (rejet)'!N153</f>
        <v>0.61305902410404123</v>
      </c>
      <c r="D148">
        <f ca="1">'uniforme cercle (rejet)'!O153</f>
        <v>0.86998282291311313</v>
      </c>
      <c r="E148">
        <f t="shared" ca="1" si="10"/>
        <v>0.86997771456880268</v>
      </c>
      <c r="F148">
        <f t="shared" ca="1" si="11"/>
        <v>0.16289821748048403</v>
      </c>
      <c r="G148">
        <f t="shared" ca="1" si="12"/>
        <v>0</v>
      </c>
      <c r="H148" t="e">
        <f t="shared" ca="1" si="13"/>
        <v>#N/A</v>
      </c>
      <c r="I148" t="e">
        <f t="shared" ca="1" si="14"/>
        <v>#N/A</v>
      </c>
    </row>
    <row r="149" spans="1:9" x14ac:dyDescent="0.2">
      <c r="A149">
        <f>'uniforme cercle (rejet)'!L154</f>
        <v>145</v>
      </c>
      <c r="B149">
        <f ca="1">'uniforme cercle (rejet)'!M154</f>
        <v>0.22192801710324672</v>
      </c>
      <c r="C149">
        <f ca="1">'uniforme cercle (rejet)'!N154</f>
        <v>-0.66082676176526056</v>
      </c>
      <c r="D149">
        <f ca="1">'uniforme cercle (rejet)'!O154</f>
        <v>0.69709687550622357</v>
      </c>
      <c r="E149">
        <f t="shared" ca="1" si="10"/>
        <v>0.31034827860477304</v>
      </c>
      <c r="F149">
        <f t="shared" ca="1" si="11"/>
        <v>1.1936677923536989</v>
      </c>
      <c r="G149">
        <f t="shared" ca="1" si="12"/>
        <v>0</v>
      </c>
      <c r="H149" t="e">
        <f t="shared" ca="1" si="13"/>
        <v>#N/A</v>
      </c>
      <c r="I149" t="e">
        <f t="shared" ca="1" si="14"/>
        <v>#N/A</v>
      </c>
    </row>
    <row r="150" spans="1:9" x14ac:dyDescent="0.2">
      <c r="A150">
        <f>'uniforme cercle (rejet)'!L155</f>
        <v>146</v>
      </c>
      <c r="B150">
        <f ca="1">'uniforme cercle (rejet)'!M155</f>
        <v>2.4864567483524169E-2</v>
      </c>
      <c r="C150">
        <f ca="1">'uniforme cercle (rejet)'!N155</f>
        <v>0.19302185276550299</v>
      </c>
      <c r="D150">
        <f ca="1">'uniforme cercle (rejet)'!O155</f>
        <v>0.194616757657634</v>
      </c>
      <c r="E150">
        <f t="shared" ca="1" si="10"/>
        <v>0.15406896528654901</v>
      </c>
      <c r="F150">
        <f t="shared" ca="1" si="11"/>
        <v>0.56567593382796755</v>
      </c>
      <c r="G150">
        <f t="shared" ca="1" si="12"/>
        <v>0</v>
      </c>
      <c r="H150" t="e">
        <f t="shared" ca="1" si="13"/>
        <v>#N/A</v>
      </c>
      <c r="I150" t="e">
        <f t="shared" ca="1" si="14"/>
        <v>#N/A</v>
      </c>
    </row>
    <row r="151" spans="1:9" x14ac:dyDescent="0.2">
      <c r="A151">
        <f>'uniforme cercle (rejet)'!L156</f>
        <v>147</v>
      </c>
      <c r="B151">
        <f ca="1">'uniforme cercle (rejet)'!M156</f>
        <v>0.55209653348238996</v>
      </c>
      <c r="C151">
        <f ca="1">'uniforme cercle (rejet)'!N156</f>
        <v>7.3949849191701222E-2</v>
      </c>
      <c r="D151">
        <f ca="1">'uniforme cercle (rejet)'!O156</f>
        <v>0.55702707517565708</v>
      </c>
      <c r="E151">
        <f t="shared" ca="1" si="10"/>
        <v>0.44268164252615816</v>
      </c>
      <c r="F151">
        <f t="shared" ca="1" si="11"/>
        <v>0.42922346138655554</v>
      </c>
      <c r="G151">
        <f t="shared" ca="1" si="12"/>
        <v>1</v>
      </c>
      <c r="H151">
        <f t="shared" ca="1" si="13"/>
        <v>0.55209653348238996</v>
      </c>
      <c r="I151">
        <f t="shared" ca="1" si="14"/>
        <v>7.3949849191701222E-2</v>
      </c>
    </row>
    <row r="152" spans="1:9" x14ac:dyDescent="0.2">
      <c r="A152">
        <f>'uniforme cercle (rejet)'!L157</f>
        <v>148</v>
      </c>
      <c r="B152">
        <f ca="1">'uniforme cercle (rejet)'!M157</f>
        <v>0.69896923001006006</v>
      </c>
      <c r="C152">
        <f ca="1">'uniforme cercle (rejet)'!N157</f>
        <v>0.26438442563156683</v>
      </c>
      <c r="D152">
        <f ca="1">'uniforme cercle (rejet)'!O157</f>
        <v>0.74729987890898908</v>
      </c>
      <c r="E152">
        <f t="shared" ca="1" si="10"/>
        <v>0.68119390258504453</v>
      </c>
      <c r="F152">
        <f t="shared" ca="1" si="11"/>
        <v>0.30838847802043906</v>
      </c>
      <c r="G152">
        <f t="shared" ca="1" si="12"/>
        <v>0</v>
      </c>
      <c r="H152" t="e">
        <f t="shared" ca="1" si="13"/>
        <v>#N/A</v>
      </c>
      <c r="I152" t="e">
        <f t="shared" ca="1" si="14"/>
        <v>#N/A</v>
      </c>
    </row>
    <row r="153" spans="1:9" x14ac:dyDescent="0.2">
      <c r="A153">
        <f>'uniforme cercle (rejet)'!L158</f>
        <v>149</v>
      </c>
      <c r="B153">
        <f ca="1">'uniforme cercle (rejet)'!M158</f>
        <v>0.82833849757509048</v>
      </c>
      <c r="C153">
        <f ca="1">'uniforme cercle (rejet)'!N158</f>
        <v>0.35696571315822045</v>
      </c>
      <c r="D153">
        <f ca="1">'uniforme cercle (rejet)'!O158</f>
        <v>0.9019807020859788</v>
      </c>
      <c r="E153">
        <f t="shared" ca="1" si="10"/>
        <v>0.83813664517849273</v>
      </c>
      <c r="F153">
        <f t="shared" ca="1" si="11"/>
        <v>0.35814100044843256</v>
      </c>
      <c r="G153">
        <f t="shared" ca="1" si="12"/>
        <v>0</v>
      </c>
      <c r="H153" t="e">
        <f t="shared" ca="1" si="13"/>
        <v>#N/A</v>
      </c>
      <c r="I153" t="e">
        <f t="shared" ca="1" si="14"/>
        <v>#N/A</v>
      </c>
    </row>
    <row r="154" spans="1:9" x14ac:dyDescent="0.2">
      <c r="A154">
        <f>'uniforme cercle (rejet)'!L159</f>
        <v>150</v>
      </c>
      <c r="B154">
        <f ca="1">'uniforme cercle (rejet)'!M159</f>
        <v>0.58081469436696564</v>
      </c>
      <c r="C154">
        <f ca="1">'uniforme cercle (rejet)'!N159</f>
        <v>-0.52428791329457747</v>
      </c>
      <c r="D154">
        <f ca="1">'uniforme cercle (rejet)'!O159</f>
        <v>0.78244713892976447</v>
      </c>
      <c r="E154">
        <f t="shared" ca="1" si="10"/>
        <v>3.9970470214933058E-2</v>
      </c>
      <c r="F154">
        <f t="shared" ca="1" si="11"/>
        <v>1.0274710429724947</v>
      </c>
      <c r="G154">
        <f t="shared" ca="1" si="12"/>
        <v>0</v>
      </c>
      <c r="H154" t="e">
        <f t="shared" ca="1" si="13"/>
        <v>#N/A</v>
      </c>
      <c r="I154" t="e">
        <f t="shared" ca="1" si="14"/>
        <v>#N/A</v>
      </c>
    </row>
    <row r="155" spans="1:9" x14ac:dyDescent="0.2">
      <c r="A155">
        <f>'uniforme cercle (rejet)'!L160</f>
        <v>151</v>
      </c>
      <c r="B155">
        <f ca="1">'uniforme cercle (rejet)'!M160</f>
        <v>-0.28652288580614926</v>
      </c>
      <c r="C155">
        <f ca="1">'uniforme cercle (rejet)'!N160</f>
        <v>-0.93599320034367728</v>
      </c>
      <c r="D155">
        <f ca="1">'uniforme cercle (rejet)'!O160</f>
        <v>0.97886599449581591</v>
      </c>
      <c r="E155">
        <f t="shared" ca="1" si="10"/>
        <v>0.86444941462617986</v>
      </c>
      <c r="F155">
        <f t="shared" ca="1" si="11"/>
        <v>1.6372827249226412</v>
      </c>
      <c r="G155">
        <f t="shared" ca="1" si="12"/>
        <v>0</v>
      </c>
      <c r="H155" t="e">
        <f t="shared" ca="1" si="13"/>
        <v>#N/A</v>
      </c>
      <c r="I155" t="e">
        <f t="shared" ca="1" si="14"/>
        <v>#N/A</v>
      </c>
    </row>
    <row r="156" spans="1:9" x14ac:dyDescent="0.2">
      <c r="A156">
        <f>'uniforme cercle (rejet)'!L161</f>
        <v>152</v>
      </c>
      <c r="B156">
        <f ca="1">'uniforme cercle (rejet)'!M161</f>
        <v>0.17621913362156327</v>
      </c>
      <c r="C156">
        <f ca="1">'uniforme cercle (rejet)'!N161</f>
        <v>-0.24138576078721785</v>
      </c>
      <c r="D156">
        <f ca="1">'uniforme cercle (rejet)'!O161</f>
        <v>0.29886496710915839</v>
      </c>
      <c r="E156">
        <f t="shared" ca="1" si="10"/>
        <v>4.607976397588983E-2</v>
      </c>
      <c r="F156">
        <f t="shared" ca="1" si="11"/>
        <v>0.80900364383036794</v>
      </c>
      <c r="G156">
        <f t="shared" ca="1" si="12"/>
        <v>0</v>
      </c>
      <c r="H156" t="e">
        <f t="shared" ca="1" si="13"/>
        <v>#N/A</v>
      </c>
      <c r="I156" t="e">
        <f t="shared" ca="1" si="14"/>
        <v>#N/A</v>
      </c>
    </row>
    <row r="157" spans="1:9" x14ac:dyDescent="0.2">
      <c r="A157">
        <f>'uniforme cercle (rejet)'!L162</f>
        <v>153</v>
      </c>
      <c r="B157">
        <f ca="1">'uniforme cercle (rejet)'!M162</f>
        <v>0.44332888634397505</v>
      </c>
      <c r="C157">
        <f ca="1">'uniforme cercle (rejet)'!N162</f>
        <v>-0.53624282595685102</v>
      </c>
      <c r="D157">
        <f ca="1">'uniforme cercle (rejet)'!O162</f>
        <v>0.69577070206870506</v>
      </c>
      <c r="E157">
        <f t="shared" ca="1" si="10"/>
        <v>6.570007676702197E-2</v>
      </c>
      <c r="F157">
        <f t="shared" ca="1" si="11"/>
        <v>1.0377913130634959</v>
      </c>
      <c r="G157">
        <f t="shared" ca="1" si="12"/>
        <v>0</v>
      </c>
      <c r="H157" t="e">
        <f t="shared" ca="1" si="13"/>
        <v>#N/A</v>
      </c>
      <c r="I157" t="e">
        <f t="shared" ca="1" si="14"/>
        <v>#N/A</v>
      </c>
    </row>
    <row r="158" spans="1:9" x14ac:dyDescent="0.2">
      <c r="A158">
        <f>'uniforme cercle (rejet)'!L163</f>
        <v>154</v>
      </c>
      <c r="B158">
        <f ca="1">'uniforme cercle (rejet)'!M163</f>
        <v>0.20058823610511478</v>
      </c>
      <c r="C158">
        <f ca="1">'uniforme cercle (rejet)'!N163</f>
        <v>0.3193714693606089</v>
      </c>
      <c r="D158">
        <f ca="1">'uniforme cercle (rejet)'!O163</f>
        <v>0.37713893448610636</v>
      </c>
      <c r="E158">
        <f t="shared" ca="1" si="10"/>
        <v>0.36766703367857312</v>
      </c>
      <c r="F158">
        <f t="shared" ca="1" si="11"/>
        <v>0.34967709453092854</v>
      </c>
      <c r="G158">
        <f t="shared" ca="1" si="12"/>
        <v>1</v>
      </c>
      <c r="H158">
        <f t="shared" ca="1" si="13"/>
        <v>0.20058823610511478</v>
      </c>
      <c r="I158">
        <f t="shared" ca="1" si="14"/>
        <v>0.3193714693606089</v>
      </c>
    </row>
    <row r="159" spans="1:9" x14ac:dyDescent="0.2">
      <c r="A159">
        <f>'uniforme cercle (rejet)'!L164</f>
        <v>155</v>
      </c>
      <c r="B159">
        <f ca="1">'uniforme cercle (rejet)'!M164</f>
        <v>-0.11531642407258302</v>
      </c>
      <c r="C159">
        <f ca="1">'uniforme cercle (rejet)'!N164</f>
        <v>0.71045804389276701</v>
      </c>
      <c r="D159">
        <f ca="1">'uniforme cercle (rejet)'!O164</f>
        <v>0.71975586818922477</v>
      </c>
      <c r="E159">
        <f t="shared" ca="1" si="10"/>
        <v>0.42082867514119826</v>
      </c>
      <c r="F159">
        <f t="shared" ca="1" si="11"/>
        <v>0.65031291696585625</v>
      </c>
      <c r="G159">
        <f t="shared" ca="1" si="12"/>
        <v>1</v>
      </c>
      <c r="H159">
        <f t="shared" ca="1" si="13"/>
        <v>-0.11531642407258302</v>
      </c>
      <c r="I159">
        <f t="shared" ca="1" si="14"/>
        <v>0.71045804389276701</v>
      </c>
    </row>
    <row r="160" spans="1:9" x14ac:dyDescent="0.2">
      <c r="A160">
        <f>'uniforme cercle (rejet)'!L165</f>
        <v>156</v>
      </c>
      <c r="B160">
        <f ca="1">'uniforme cercle (rejet)'!M165</f>
        <v>0.21062698331727536</v>
      </c>
      <c r="C160">
        <f ca="1">'uniforme cercle (rejet)'!N165</f>
        <v>-0.66744167378325248</v>
      </c>
      <c r="D160">
        <f ca="1">'uniforme cercle (rejet)'!O165</f>
        <v>0.69988721520251063</v>
      </c>
      <c r="E160">
        <f t="shared" ca="1" si="10"/>
        <v>0.32301676537412616</v>
      </c>
      <c r="F160">
        <f t="shared" ca="1" si="11"/>
        <v>1.2027704704015236</v>
      </c>
      <c r="G160">
        <f t="shared" ca="1" si="12"/>
        <v>0</v>
      </c>
      <c r="H160" t="e">
        <f t="shared" ca="1" si="13"/>
        <v>#N/A</v>
      </c>
      <c r="I160" t="e">
        <f t="shared" ca="1" si="14"/>
        <v>#N/A</v>
      </c>
    </row>
    <row r="161" spans="1:9" x14ac:dyDescent="0.2">
      <c r="A161">
        <f>'uniforme cercle (rejet)'!L166</f>
        <v>157</v>
      </c>
      <c r="B161">
        <f ca="1">'uniforme cercle (rejet)'!M166</f>
        <v>0.65182486951935426</v>
      </c>
      <c r="C161">
        <f ca="1">'uniforme cercle (rejet)'!N166</f>
        <v>-0.44473915282220822</v>
      </c>
      <c r="D161">
        <f ca="1">'uniforme cercle (rejet)'!O166</f>
        <v>0.78909351446893716</v>
      </c>
      <c r="E161">
        <f t="shared" ca="1" si="10"/>
        <v>0.14643171456342821</v>
      </c>
      <c r="F161">
        <f t="shared" ca="1" si="11"/>
        <v>0.95686093967712604</v>
      </c>
      <c r="G161">
        <f t="shared" ca="1" si="12"/>
        <v>0</v>
      </c>
      <c r="H161" t="e">
        <f t="shared" ca="1" si="13"/>
        <v>#N/A</v>
      </c>
      <c r="I161" t="e">
        <f t="shared" ca="1" si="14"/>
        <v>#N/A</v>
      </c>
    </row>
    <row r="162" spans="1:9" x14ac:dyDescent="0.2">
      <c r="A162">
        <f>'uniforme cercle (rejet)'!L167</f>
        <v>158</v>
      </c>
      <c r="B162">
        <f ca="1">'uniforme cercle (rejet)'!M167</f>
        <v>-0.6452460436053653</v>
      </c>
      <c r="C162">
        <f ca="1">'uniforme cercle (rejet)'!N167</f>
        <v>-0.73711727095095791</v>
      </c>
      <c r="D162">
        <f ca="1">'uniforme cercle (rejet)'!O167</f>
        <v>0.97963479313597512</v>
      </c>
      <c r="E162">
        <f t="shared" ca="1" si="10"/>
        <v>0.9774784737862886</v>
      </c>
      <c r="F162">
        <f t="shared" ca="1" si="11"/>
        <v>1.6858373713021335</v>
      </c>
      <c r="G162">
        <f t="shared" ca="1" si="12"/>
        <v>0</v>
      </c>
      <c r="H162" t="e">
        <f t="shared" ca="1" si="13"/>
        <v>#N/A</v>
      </c>
      <c r="I162" t="e">
        <f t="shared" ca="1" si="14"/>
        <v>#N/A</v>
      </c>
    </row>
    <row r="163" spans="1:9" x14ac:dyDescent="0.2">
      <c r="A163">
        <f>'uniforme cercle (rejet)'!L168</f>
        <v>159</v>
      </c>
      <c r="B163">
        <f ca="1">'uniforme cercle (rejet)'!M168</f>
        <v>-0.83797510353540661</v>
      </c>
      <c r="C163">
        <f ca="1">'uniforme cercle (rejet)'!N168</f>
        <v>0.46087793173755509</v>
      </c>
      <c r="D163">
        <f ca="1">'uniforme cercle (rejet)'!O168</f>
        <v>0.95635283348137889</v>
      </c>
      <c r="E163">
        <f t="shared" ca="1" si="10"/>
        <v>0.26664796734452934</v>
      </c>
      <c r="F163">
        <f t="shared" ca="1" si="11"/>
        <v>1.3385469412410285</v>
      </c>
      <c r="G163">
        <f t="shared" ca="1" si="12"/>
        <v>0</v>
      </c>
      <c r="H163" t="e">
        <f t="shared" ca="1" si="13"/>
        <v>#N/A</v>
      </c>
      <c r="I163" t="e">
        <f t="shared" ca="1" si="14"/>
        <v>#N/A</v>
      </c>
    </row>
    <row r="164" spans="1:9" x14ac:dyDescent="0.2">
      <c r="A164">
        <f>'uniforme cercle (rejet)'!L169</f>
        <v>160</v>
      </c>
      <c r="B164">
        <f ca="1">'uniforme cercle (rejet)'!M169</f>
        <v>0.47185147847338405</v>
      </c>
      <c r="C164">
        <f ca="1">'uniforme cercle (rejet)'!N169</f>
        <v>-0.48576126600838632</v>
      </c>
      <c r="D164">
        <f ca="1">'uniforme cercle (rejet)'!O169</f>
        <v>0.67720589578915269</v>
      </c>
      <c r="E164">
        <f t="shared" ca="1" si="10"/>
        <v>9.8357050908642173E-3</v>
      </c>
      <c r="F164">
        <f t="shared" ca="1" si="11"/>
        <v>0.98616307618293586</v>
      </c>
      <c r="G164">
        <f t="shared" ca="1" si="12"/>
        <v>0</v>
      </c>
      <c r="H164" t="e">
        <f t="shared" ca="1" si="13"/>
        <v>#N/A</v>
      </c>
      <c r="I164" t="e">
        <f t="shared" ca="1" si="14"/>
        <v>#N/A</v>
      </c>
    </row>
    <row r="165" spans="1:9" x14ac:dyDescent="0.2">
      <c r="A165">
        <f>'uniforme cercle (rejet)'!L170</f>
        <v>161</v>
      </c>
      <c r="B165">
        <f ca="1">'uniforme cercle (rejet)'!M170</f>
        <v>-0.40027816487250045</v>
      </c>
      <c r="C165">
        <f ca="1">'uniforme cercle (rejet)'!N170</f>
        <v>0.68274334596230846</v>
      </c>
      <c r="D165">
        <f ca="1">'uniforme cercle (rejet)'!O170</f>
        <v>0.79142977308760953</v>
      </c>
      <c r="E165">
        <f t="shared" ca="1" si="10"/>
        <v>0.1997330449976894</v>
      </c>
      <c r="F165">
        <f t="shared" ca="1" si="11"/>
        <v>0.91863807053686664</v>
      </c>
      <c r="G165">
        <f t="shared" ca="1" si="12"/>
        <v>0</v>
      </c>
      <c r="H165" t="e">
        <f t="shared" ca="1" si="13"/>
        <v>#N/A</v>
      </c>
      <c r="I165" t="e">
        <f t="shared" ca="1" si="14"/>
        <v>#N/A</v>
      </c>
    </row>
    <row r="166" spans="1:9" x14ac:dyDescent="0.2">
      <c r="A166">
        <f>'uniforme cercle (rejet)'!L171</f>
        <v>162</v>
      </c>
      <c r="B166">
        <f ca="1">'uniforme cercle (rejet)'!M171</f>
        <v>-6.4078934832423773E-2</v>
      </c>
      <c r="C166">
        <f ca="1">'uniforme cercle (rejet)'!N171</f>
        <v>0.43430688685743557</v>
      </c>
      <c r="D166">
        <f ca="1">'uniforme cercle (rejet)'!O171</f>
        <v>0.43900863529212653</v>
      </c>
      <c r="E166">
        <f t="shared" ca="1" si="10"/>
        <v>0.26179069546169365</v>
      </c>
      <c r="F166">
        <f t="shared" ca="1" si="11"/>
        <v>0.56789138911947201</v>
      </c>
      <c r="G166">
        <f t="shared" ca="1" si="12"/>
        <v>1</v>
      </c>
      <c r="H166">
        <f t="shared" ca="1" si="13"/>
        <v>-6.4078934832423773E-2</v>
      </c>
      <c r="I166">
        <f t="shared" ca="1" si="14"/>
        <v>0.43430688685743557</v>
      </c>
    </row>
    <row r="167" spans="1:9" x14ac:dyDescent="0.2">
      <c r="A167">
        <f>'uniforme cercle (rejet)'!L172</f>
        <v>163</v>
      </c>
      <c r="B167">
        <f ca="1">'uniforme cercle (rejet)'!M172</f>
        <v>0.47859397283038385</v>
      </c>
      <c r="C167">
        <f ca="1">'uniforme cercle (rejet)'!N172</f>
        <v>-0.35891055457044385</v>
      </c>
      <c r="D167">
        <f ca="1">'uniforme cercle (rejet)'!O172</f>
        <v>0.59822151165904569</v>
      </c>
      <c r="E167">
        <f t="shared" ca="1" si="10"/>
        <v>8.4628956647189432E-2</v>
      </c>
      <c r="F167">
        <f t="shared" ca="1" si="11"/>
        <v>0.8591772568868975</v>
      </c>
      <c r="G167">
        <f t="shared" ca="1" si="12"/>
        <v>0</v>
      </c>
      <c r="H167" t="e">
        <f t="shared" ca="1" si="13"/>
        <v>#N/A</v>
      </c>
      <c r="I167" t="e">
        <f t="shared" ca="1" si="14"/>
        <v>#N/A</v>
      </c>
    </row>
    <row r="168" spans="1:9" x14ac:dyDescent="0.2">
      <c r="A168">
        <f>'uniforme cercle (rejet)'!L173</f>
        <v>164</v>
      </c>
      <c r="B168">
        <f ca="1">'uniforme cercle (rejet)'!M173</f>
        <v>-0.696939274471293</v>
      </c>
      <c r="C168">
        <f ca="1">'uniforme cercle (rejet)'!N173</f>
        <v>0.11760768837624758</v>
      </c>
      <c r="D168">
        <f ca="1">'uniforme cercle (rejet)'!O173</f>
        <v>0.70679269992394289</v>
      </c>
      <c r="E168">
        <f t="shared" ca="1" si="10"/>
        <v>0.40964929308336484</v>
      </c>
      <c r="F168">
        <f t="shared" ca="1" si="11"/>
        <v>1.2565379050234904</v>
      </c>
      <c r="G168">
        <f t="shared" ca="1" si="12"/>
        <v>0</v>
      </c>
      <c r="H168" t="e">
        <f t="shared" ca="1" si="13"/>
        <v>#N/A</v>
      </c>
      <c r="I168" t="e">
        <f t="shared" ca="1" si="14"/>
        <v>#N/A</v>
      </c>
    </row>
    <row r="169" spans="1:9" x14ac:dyDescent="0.2">
      <c r="A169">
        <f>'uniforme cercle (rejet)'!L174</f>
        <v>165</v>
      </c>
      <c r="B169">
        <f ca="1">'uniforme cercle (rejet)'!M174</f>
        <v>-0.22028948144143867</v>
      </c>
      <c r="C169">
        <f ca="1">'uniforme cercle (rejet)'!N174</f>
        <v>0.49165831188293141</v>
      </c>
      <c r="D169">
        <f ca="1">'uniforme cercle (rejet)'!O174</f>
        <v>0.53875351625517198</v>
      </c>
      <c r="E169">
        <f t="shared" ca="1" si="10"/>
        <v>0.19188674020784194</v>
      </c>
      <c r="F169">
        <f t="shared" ca="1" si="11"/>
        <v>0.72033778245752123</v>
      </c>
      <c r="G169">
        <f t="shared" ca="1" si="12"/>
        <v>0</v>
      </c>
      <c r="H169" t="e">
        <f t="shared" ca="1" si="13"/>
        <v>#N/A</v>
      </c>
      <c r="I169" t="e">
        <f t="shared" ca="1" si="14"/>
        <v>#N/A</v>
      </c>
    </row>
    <row r="170" spans="1:9" x14ac:dyDescent="0.2">
      <c r="A170">
        <f>'uniforme cercle (rejet)'!L175</f>
        <v>166</v>
      </c>
      <c r="B170">
        <f ca="1">'uniforme cercle (rejet)'!M175</f>
        <v>-0.19672053577375959</v>
      </c>
      <c r="C170">
        <f ca="1">'uniforme cercle (rejet)'!N175</f>
        <v>0.3605965227164627</v>
      </c>
      <c r="D170">
        <f ca="1">'uniforme cercle (rejet)'!O175</f>
        <v>0.4107661395372304</v>
      </c>
      <c r="E170">
        <f t="shared" ca="1" si="10"/>
        <v>0.1158778216408235</v>
      </c>
      <c r="F170">
        <f t="shared" ca="1" si="11"/>
        <v>0.71052996731145435</v>
      </c>
      <c r="G170">
        <f t="shared" ca="1" si="12"/>
        <v>0</v>
      </c>
      <c r="H170" t="e">
        <f t="shared" ca="1" si="13"/>
        <v>#N/A</v>
      </c>
      <c r="I170" t="e">
        <f t="shared" ca="1" si="14"/>
        <v>#N/A</v>
      </c>
    </row>
    <row r="171" spans="1:9" x14ac:dyDescent="0.2">
      <c r="A171">
        <f>'uniforme cercle (rejet)'!L176</f>
        <v>167</v>
      </c>
      <c r="B171">
        <f ca="1">'uniforme cercle (rejet)'!M176</f>
        <v>0.83857719624460669</v>
      </c>
      <c r="C171">
        <f ca="1">'uniforme cercle (rejet)'!N176</f>
        <v>-0.24130094803455426</v>
      </c>
      <c r="D171">
        <f ca="1">'uniforme cercle (rejet)'!O176</f>
        <v>0.87260406919968025</v>
      </c>
      <c r="E171">
        <f t="shared" ca="1" si="10"/>
        <v>0.42233808535098755</v>
      </c>
      <c r="F171">
        <f t="shared" ca="1" si="11"/>
        <v>0.8149611115714589</v>
      </c>
      <c r="G171">
        <f t="shared" ca="1" si="12"/>
        <v>0</v>
      </c>
      <c r="H171" t="e">
        <f t="shared" ca="1" si="13"/>
        <v>#N/A</v>
      </c>
      <c r="I171" t="e">
        <f t="shared" ca="1" si="14"/>
        <v>#N/A</v>
      </c>
    </row>
    <row r="172" spans="1:9" x14ac:dyDescent="0.2">
      <c r="A172">
        <f>'uniforme cercle (rejet)'!L177</f>
        <v>168</v>
      </c>
      <c r="B172">
        <f ca="1">'uniforme cercle (rejet)'!M177</f>
        <v>-0.80088678109733813</v>
      </c>
      <c r="C172">
        <f ca="1">'uniforme cercle (rejet)'!N177</f>
        <v>0.51211636369972968</v>
      </c>
      <c r="D172">
        <f ca="1">'uniforme cercle (rejet)'!O177</f>
        <v>0.95062232569274818</v>
      </c>
      <c r="E172">
        <f t="shared" ca="1" si="10"/>
        <v>0.20419152034791871</v>
      </c>
      <c r="F172">
        <f t="shared" ca="1" si="11"/>
        <v>1.3009432053333836</v>
      </c>
      <c r="G172">
        <f t="shared" ca="1" si="12"/>
        <v>0</v>
      </c>
      <c r="H172" t="e">
        <f t="shared" ca="1" si="13"/>
        <v>#N/A</v>
      </c>
      <c r="I172" t="e">
        <f t="shared" ca="1" si="14"/>
        <v>#N/A</v>
      </c>
    </row>
    <row r="173" spans="1:9" x14ac:dyDescent="0.2">
      <c r="A173">
        <f>'uniforme cercle (rejet)'!L178</f>
        <v>169</v>
      </c>
      <c r="B173">
        <f ca="1">'uniforme cercle (rejet)'!M178</f>
        <v>-0.31529796596964133</v>
      </c>
      <c r="C173">
        <f ca="1">'uniforme cercle (rejet)'!N178</f>
        <v>7.9891493061188257E-2</v>
      </c>
      <c r="D173">
        <f ca="1">'uniforme cercle (rejet)'!O178</f>
        <v>0.32526213737251836</v>
      </c>
      <c r="E173">
        <f t="shared" ca="1" si="10"/>
        <v>0.16645751332877445</v>
      </c>
      <c r="F173">
        <f t="shared" ca="1" si="11"/>
        <v>0.91717061167298208</v>
      </c>
      <c r="G173">
        <f t="shared" ca="1" si="12"/>
        <v>0</v>
      </c>
      <c r="H173" t="e">
        <f t="shared" ca="1" si="13"/>
        <v>#N/A</v>
      </c>
      <c r="I173" t="e">
        <f t="shared" ca="1" si="14"/>
        <v>#N/A</v>
      </c>
    </row>
    <row r="174" spans="1:9" x14ac:dyDescent="0.2">
      <c r="A174">
        <f>'uniforme cercle (rejet)'!L179</f>
        <v>170</v>
      </c>
      <c r="B174">
        <f ca="1">'uniforme cercle (rejet)'!M179</f>
        <v>-0.63758943279684299</v>
      </c>
      <c r="C174">
        <f ca="1">'uniforme cercle (rejet)'!N179</f>
        <v>-0.62222526531973865</v>
      </c>
      <c r="D174">
        <f ca="1">'uniforme cercle (rejet)'!O179</f>
        <v>0.89088976064180869</v>
      </c>
      <c r="E174">
        <f t="shared" ca="1" si="10"/>
        <v>0.89082351607671806</v>
      </c>
      <c r="F174">
        <f t="shared" ca="1" si="11"/>
        <v>1.5979672286167199</v>
      </c>
      <c r="G174">
        <f t="shared" ca="1" si="12"/>
        <v>0</v>
      </c>
      <c r="H174" t="e">
        <f t="shared" ca="1" si="13"/>
        <v>#N/A</v>
      </c>
      <c r="I174" t="e">
        <f t="shared" ca="1" si="14"/>
        <v>#N/A</v>
      </c>
    </row>
    <row r="175" spans="1:9" x14ac:dyDescent="0.2">
      <c r="A175">
        <f>'uniforme cercle (rejet)'!L180</f>
        <v>171</v>
      </c>
      <c r="B175">
        <f ca="1">'uniforme cercle (rejet)'!M180</f>
        <v>0.23717881921607353</v>
      </c>
      <c r="C175">
        <f ca="1">'uniforme cercle (rejet)'!N180</f>
        <v>-0.14562568621489125</v>
      </c>
      <c r="D175">
        <f ca="1">'uniforme cercle (rejet)'!O180</f>
        <v>0.27831750352841422</v>
      </c>
      <c r="E175">
        <f t="shared" ca="1" si="10"/>
        <v>6.4737841184009895E-2</v>
      </c>
      <c r="F175">
        <f t="shared" ca="1" si="11"/>
        <v>0.69707065622439346</v>
      </c>
      <c r="G175">
        <f t="shared" ca="1" si="12"/>
        <v>0</v>
      </c>
      <c r="H175" t="e">
        <f t="shared" ca="1" si="13"/>
        <v>#N/A</v>
      </c>
      <c r="I175" t="e">
        <f t="shared" ca="1" si="14"/>
        <v>#N/A</v>
      </c>
    </row>
    <row r="176" spans="1:9" x14ac:dyDescent="0.2">
      <c r="A176">
        <f>'uniforme cercle (rejet)'!L181</f>
        <v>172</v>
      </c>
      <c r="B176">
        <f ca="1">'uniforme cercle (rejet)'!M181</f>
        <v>0.42003553048942677</v>
      </c>
      <c r="C176">
        <f ca="1">'uniforme cercle (rejet)'!N181</f>
        <v>0.2723244052000644</v>
      </c>
      <c r="D176">
        <f ca="1">'uniforme cercle (rejet)'!O181</f>
        <v>0.50059008034628794</v>
      </c>
      <c r="E176">
        <f t="shared" ca="1" si="10"/>
        <v>0.48957240554792114</v>
      </c>
      <c r="F176">
        <f t="shared" ca="1" si="11"/>
        <v>0.24130995182878773</v>
      </c>
      <c r="G176">
        <f t="shared" ca="1" si="12"/>
        <v>1</v>
      </c>
      <c r="H176">
        <f t="shared" ca="1" si="13"/>
        <v>0.42003553048942677</v>
      </c>
      <c r="I176">
        <f t="shared" ca="1" si="14"/>
        <v>0.2723244052000644</v>
      </c>
    </row>
    <row r="177" spans="1:9" x14ac:dyDescent="0.2">
      <c r="A177">
        <f>'uniforme cercle (rejet)'!L182</f>
        <v>173</v>
      </c>
      <c r="B177">
        <f ca="1">'uniforme cercle (rejet)'!M182</f>
        <v>0.98496953513788044</v>
      </c>
      <c r="C177">
        <f ca="1">'uniforme cercle (rejet)'!N182</f>
        <v>9.1293071616705523E-2</v>
      </c>
      <c r="D177">
        <f ca="1">'uniforme cercle (rejet)'!O182</f>
        <v>0.98919129094171931</v>
      </c>
      <c r="E177">
        <f t="shared" ca="1" si="10"/>
        <v>0.76103258757367831</v>
      </c>
      <c r="F177">
        <f t="shared" ca="1" si="11"/>
        <v>0.6342214150597244</v>
      </c>
      <c r="G177">
        <f t="shared" ca="1" si="12"/>
        <v>1</v>
      </c>
      <c r="H177">
        <f t="shared" ca="1" si="13"/>
        <v>0.98496953513788044</v>
      </c>
      <c r="I177">
        <f t="shared" ca="1" si="14"/>
        <v>9.1293071616705523E-2</v>
      </c>
    </row>
    <row r="178" spans="1:9" x14ac:dyDescent="0.2">
      <c r="A178">
        <f>'uniforme cercle (rejet)'!L183</f>
        <v>174</v>
      </c>
      <c r="B178">
        <f ca="1">'uniforme cercle (rejet)'!M183</f>
        <v>-0.56439678630190437</v>
      </c>
      <c r="C178">
        <f ca="1">'uniforme cercle (rejet)'!N183</f>
        <v>0.57306522078211386</v>
      </c>
      <c r="D178">
        <f ca="1">'uniforme cercle (rejet)'!O183</f>
        <v>0.8043304542648938</v>
      </c>
      <c r="E178">
        <f t="shared" ca="1" si="10"/>
        <v>6.1295088032274131E-3</v>
      </c>
      <c r="F178">
        <f t="shared" ca="1" si="11"/>
        <v>1.0669016098861979</v>
      </c>
      <c r="G178">
        <f t="shared" ca="1" si="12"/>
        <v>0</v>
      </c>
      <c r="H178" t="e">
        <f t="shared" ca="1" si="13"/>
        <v>#N/A</v>
      </c>
      <c r="I178" t="e">
        <f t="shared" ca="1" si="14"/>
        <v>#N/A</v>
      </c>
    </row>
    <row r="179" spans="1:9" x14ac:dyDescent="0.2">
      <c r="A179">
        <f>'uniforme cercle (rejet)'!L184</f>
        <v>175</v>
      </c>
      <c r="B179">
        <f ca="1">'uniforme cercle (rejet)'!M184</f>
        <v>0.75603287192200308</v>
      </c>
      <c r="C179">
        <f ca="1">'uniforme cercle (rejet)'!N184</f>
        <v>-0.40242353499477845</v>
      </c>
      <c r="D179">
        <f ca="1">'uniforme cercle (rejet)'!O184</f>
        <v>0.85646389587905314</v>
      </c>
      <c r="E179">
        <f t="shared" ca="1" si="10"/>
        <v>0.25003956003211913</v>
      </c>
      <c r="F179">
        <f t="shared" ca="1" si="11"/>
        <v>0.93804108013300835</v>
      </c>
      <c r="G179">
        <f t="shared" ca="1" si="12"/>
        <v>0</v>
      </c>
      <c r="H179" t="e">
        <f t="shared" ca="1" si="13"/>
        <v>#N/A</v>
      </c>
      <c r="I179" t="e">
        <f t="shared" ca="1" si="14"/>
        <v>#N/A</v>
      </c>
    </row>
    <row r="180" spans="1:9" x14ac:dyDescent="0.2">
      <c r="A180">
        <f>'uniforme cercle (rejet)'!L185</f>
        <v>176</v>
      </c>
      <c r="B180">
        <f ca="1">'uniforme cercle (rejet)'!M185</f>
        <v>0.12656947813611663</v>
      </c>
      <c r="C180">
        <f ca="1">'uniforme cercle (rejet)'!N185</f>
        <v>-0.42523680909943984</v>
      </c>
      <c r="D180">
        <f ca="1">'uniforme cercle (rejet)'!O185</f>
        <v>0.44367350226120372</v>
      </c>
      <c r="E180">
        <f t="shared" ca="1" si="10"/>
        <v>0.21118969504305277</v>
      </c>
      <c r="F180">
        <f t="shared" ca="1" si="11"/>
        <v>0.99775423204917824</v>
      </c>
      <c r="G180">
        <f t="shared" ca="1" si="12"/>
        <v>0</v>
      </c>
      <c r="H180" t="e">
        <f t="shared" ca="1" si="13"/>
        <v>#N/A</v>
      </c>
      <c r="I180" t="e">
        <f t="shared" ca="1" si="14"/>
        <v>#N/A</v>
      </c>
    </row>
    <row r="181" spans="1:9" x14ac:dyDescent="0.2">
      <c r="A181">
        <f>'uniforme cercle (rejet)'!L186</f>
        <v>177</v>
      </c>
      <c r="B181">
        <f ca="1">'uniforme cercle (rejet)'!M186</f>
        <v>0.66908215415021322</v>
      </c>
      <c r="C181">
        <f ca="1">'uniforme cercle (rejet)'!N186</f>
        <v>-9.6307702168258347E-2</v>
      </c>
      <c r="D181">
        <f ca="1">'uniforme cercle (rejet)'!O186</f>
        <v>0.67597788610221532</v>
      </c>
      <c r="E181">
        <f t="shared" ca="1" si="10"/>
        <v>0.40501269908684884</v>
      </c>
      <c r="F181">
        <f t="shared" ca="1" si="11"/>
        <v>0.61981581983462208</v>
      </c>
      <c r="G181">
        <f t="shared" ca="1" si="12"/>
        <v>1</v>
      </c>
      <c r="H181">
        <f t="shared" ca="1" si="13"/>
        <v>0.66908215415021322</v>
      </c>
      <c r="I181">
        <f t="shared" ca="1" si="14"/>
        <v>-9.6307702168258347E-2</v>
      </c>
    </row>
    <row r="182" spans="1:9" x14ac:dyDescent="0.2">
      <c r="A182">
        <f>'uniforme cercle (rejet)'!L187</f>
        <v>178</v>
      </c>
      <c r="B182">
        <f ca="1">'uniforme cercle (rejet)'!M187</f>
        <v>-2.927822832200544E-2</v>
      </c>
      <c r="C182">
        <f ca="1">'uniforme cercle (rejet)'!N187</f>
        <v>0.20586576233137932</v>
      </c>
      <c r="D182">
        <f ca="1">'uniforme cercle (rejet)'!O187</f>
        <v>0.20793731448192612</v>
      </c>
      <c r="E182">
        <f t="shared" ca="1" si="10"/>
        <v>0.12486624277103836</v>
      </c>
      <c r="F182">
        <f t="shared" ca="1" si="11"/>
        <v>0.6055166329214926</v>
      </c>
      <c r="G182">
        <f t="shared" ca="1" si="12"/>
        <v>0</v>
      </c>
      <c r="H182" t="e">
        <f t="shared" ca="1" si="13"/>
        <v>#N/A</v>
      </c>
      <c r="I182" t="e">
        <f t="shared" ca="1" si="14"/>
        <v>#N/A</v>
      </c>
    </row>
    <row r="183" spans="1:9" x14ac:dyDescent="0.2">
      <c r="A183">
        <f>'uniforme cercle (rejet)'!L188</f>
        <v>179</v>
      </c>
      <c r="B183">
        <f ca="1">'uniforme cercle (rejet)'!M188</f>
        <v>-0.63613211323640551</v>
      </c>
      <c r="C183">
        <f ca="1">'uniforme cercle (rejet)'!N188</f>
        <v>0.43847586366519531</v>
      </c>
      <c r="D183">
        <f ca="1">'uniforme cercle (rejet)'!O188</f>
        <v>0.77260931168835523</v>
      </c>
      <c r="E183">
        <f t="shared" ca="1" si="10"/>
        <v>0.13976407441570335</v>
      </c>
      <c r="F183">
        <f t="shared" ca="1" si="11"/>
        <v>1.1377967296836304</v>
      </c>
      <c r="G183">
        <f t="shared" ca="1" si="12"/>
        <v>0</v>
      </c>
      <c r="H183" t="e">
        <f t="shared" ca="1" si="13"/>
        <v>#N/A</v>
      </c>
      <c r="I183" t="e">
        <f t="shared" ca="1" si="14"/>
        <v>#N/A</v>
      </c>
    </row>
    <row r="184" spans="1:9" x14ac:dyDescent="0.2">
      <c r="A184">
        <f>'uniforme cercle (rejet)'!L189</f>
        <v>180</v>
      </c>
      <c r="B184">
        <f ca="1">'uniforme cercle (rejet)'!M189</f>
        <v>-0.17286106049227179</v>
      </c>
      <c r="C184">
        <f ca="1">'uniforme cercle (rejet)'!N189</f>
        <v>0.2376448578251662</v>
      </c>
      <c r="D184">
        <f ca="1">'uniforme cercle (rejet)'!O189</f>
        <v>0.29386395608385912</v>
      </c>
      <c r="E184">
        <f t="shared" ca="1" si="10"/>
        <v>4.5809062405104614E-2</v>
      </c>
      <c r="F184">
        <f t="shared" ca="1" si="11"/>
        <v>0.72219957584615213</v>
      </c>
      <c r="G184">
        <f t="shared" ca="1" si="12"/>
        <v>0</v>
      </c>
      <c r="H184" t="e">
        <f t="shared" ca="1" si="13"/>
        <v>#N/A</v>
      </c>
      <c r="I184" t="e">
        <f t="shared" ca="1" si="14"/>
        <v>#N/A</v>
      </c>
    </row>
    <row r="185" spans="1:9" x14ac:dyDescent="0.2">
      <c r="A185">
        <f>'uniforme cercle (rejet)'!L190</f>
        <v>181</v>
      </c>
      <c r="B185">
        <f ca="1">'uniforme cercle (rejet)'!M190</f>
        <v>0.2269452753129837</v>
      </c>
      <c r="C185">
        <f ca="1">'uniforme cercle (rejet)'!N190</f>
        <v>0.21768942016107817</v>
      </c>
      <c r="D185">
        <f ca="1">'uniforme cercle (rejet)'!O190</f>
        <v>0.31447232252926871</v>
      </c>
      <c r="E185">
        <f t="shared" ca="1" si="10"/>
        <v>0.31440420832052463</v>
      </c>
      <c r="F185">
        <f t="shared" ca="1" si="11"/>
        <v>0.39275710835437533</v>
      </c>
      <c r="G185">
        <f t="shared" ca="1" si="12"/>
        <v>1</v>
      </c>
      <c r="H185">
        <f t="shared" ca="1" si="13"/>
        <v>0.2269452753129837</v>
      </c>
      <c r="I185">
        <f t="shared" ca="1" si="14"/>
        <v>0.21768942016107817</v>
      </c>
    </row>
    <row r="186" spans="1:9" x14ac:dyDescent="0.2">
      <c r="A186">
        <f>'uniforme cercle (rejet)'!L191</f>
        <v>182</v>
      </c>
      <c r="B186">
        <f ca="1">'uniforme cercle (rejet)'!M191</f>
        <v>0.82168178271305958</v>
      </c>
      <c r="C186">
        <f ca="1">'uniforme cercle (rejet)'!N191</f>
        <v>0.54887985911201453</v>
      </c>
      <c r="D186">
        <f ca="1">'uniforme cercle (rejet)'!O191</f>
        <v>0.98814475244335365</v>
      </c>
      <c r="E186">
        <f t="shared" ca="1" si="10"/>
        <v>0.96913343096867799</v>
      </c>
      <c r="F186">
        <f t="shared" ca="1" si="11"/>
        <v>0.32537426136107089</v>
      </c>
      <c r="G186">
        <f t="shared" ca="1" si="12"/>
        <v>0</v>
      </c>
      <c r="H186" t="e">
        <f t="shared" ca="1" si="13"/>
        <v>#N/A</v>
      </c>
      <c r="I186" t="e">
        <f t="shared" ca="1" si="14"/>
        <v>#N/A</v>
      </c>
    </row>
    <row r="187" spans="1:9" x14ac:dyDescent="0.2">
      <c r="A187">
        <f>'uniforme cercle (rejet)'!L192</f>
        <v>183</v>
      </c>
      <c r="B187">
        <f ca="1">'uniforme cercle (rejet)'!M192</f>
        <v>0.43814229922697079</v>
      </c>
      <c r="C187">
        <f ca="1">'uniforme cercle (rejet)'!N192</f>
        <v>-7.985649457295585E-2</v>
      </c>
      <c r="D187">
        <f ca="1">'uniforme cercle (rejet)'!O192</f>
        <v>0.44536022958654148</v>
      </c>
      <c r="E187">
        <f t="shared" ca="1" si="10"/>
        <v>0.25334632207373264</v>
      </c>
      <c r="F187">
        <f t="shared" ca="1" si="11"/>
        <v>0.5831465762939555</v>
      </c>
      <c r="G187">
        <f t="shared" ca="1" si="12"/>
        <v>1</v>
      </c>
      <c r="H187">
        <f t="shared" ca="1" si="13"/>
        <v>0.43814229922697079</v>
      </c>
      <c r="I187">
        <f t="shared" ca="1" si="14"/>
        <v>-7.985649457295585E-2</v>
      </c>
    </row>
    <row r="188" spans="1:9" x14ac:dyDescent="0.2">
      <c r="A188">
        <f>'uniforme cercle (rejet)'!L193</f>
        <v>184</v>
      </c>
      <c r="B188">
        <f ca="1">'uniforme cercle (rejet)'!M193</f>
        <v>-0.7946422952001484</v>
      </c>
      <c r="C188">
        <f ca="1">'uniforme cercle (rejet)'!N193</f>
        <v>-0.59609243872232187</v>
      </c>
      <c r="D188">
        <f ca="1">'uniforme cercle (rejet)'!O193</f>
        <v>0.99336930334235962</v>
      </c>
      <c r="E188">
        <f t="shared" ca="1" si="10"/>
        <v>0.98339796118824752</v>
      </c>
      <c r="F188">
        <f t="shared" ca="1" si="11"/>
        <v>1.6963246466243882</v>
      </c>
      <c r="G188">
        <f t="shared" ca="1" si="12"/>
        <v>0</v>
      </c>
      <c r="H188" t="e">
        <f t="shared" ca="1" si="13"/>
        <v>#N/A</v>
      </c>
      <c r="I188" t="e">
        <f t="shared" ca="1" si="14"/>
        <v>#N/A</v>
      </c>
    </row>
    <row r="189" spans="1:9" x14ac:dyDescent="0.2">
      <c r="A189">
        <f>'uniforme cercle (rejet)'!L194</f>
        <v>185</v>
      </c>
      <c r="B189">
        <f ca="1">'uniforme cercle (rejet)'!M194</f>
        <v>0.43003336413654369</v>
      </c>
      <c r="C189">
        <f ca="1">'uniforme cercle (rejet)'!N194</f>
        <v>0.6274770627666042</v>
      </c>
      <c r="D189">
        <f ca="1">'uniforme cercle (rejet)'!O194</f>
        <v>0.76069452381938318</v>
      </c>
      <c r="E189">
        <f t="shared" ca="1" si="10"/>
        <v>0.74777279403869668</v>
      </c>
      <c r="F189">
        <f t="shared" ca="1" si="11"/>
        <v>0.14541572014624224</v>
      </c>
      <c r="G189">
        <f t="shared" ca="1" si="12"/>
        <v>0</v>
      </c>
      <c r="H189" t="e">
        <f t="shared" ca="1" si="13"/>
        <v>#N/A</v>
      </c>
      <c r="I189" t="e">
        <f t="shared" ca="1" si="14"/>
        <v>#N/A</v>
      </c>
    </row>
    <row r="190" spans="1:9" x14ac:dyDescent="0.2">
      <c r="A190">
        <f>'uniforme cercle (rejet)'!L195</f>
        <v>186</v>
      </c>
      <c r="B190">
        <f ca="1">'uniforme cercle (rejet)'!M195</f>
        <v>-3.086301665795288E-2</v>
      </c>
      <c r="C190">
        <f ca="1">'uniforme cercle (rejet)'!N195</f>
        <v>-0.68209833609792825</v>
      </c>
      <c r="D190">
        <f ca="1">'uniforme cercle (rejet)'!O195</f>
        <v>0.68279621110898925</v>
      </c>
      <c r="E190">
        <f t="shared" ca="1" si="10"/>
        <v>0.50413980725761776</v>
      </c>
      <c r="F190">
        <f t="shared" ca="1" si="11"/>
        <v>1.295828699582114</v>
      </c>
      <c r="G190">
        <f t="shared" ca="1" si="12"/>
        <v>0</v>
      </c>
      <c r="H190" t="e">
        <f t="shared" ca="1" si="13"/>
        <v>#N/A</v>
      </c>
      <c r="I190" t="e">
        <f t="shared" ca="1" si="14"/>
        <v>#N/A</v>
      </c>
    </row>
    <row r="191" spans="1:9" x14ac:dyDescent="0.2">
      <c r="A191">
        <f>'uniforme cercle (rejet)'!L196</f>
        <v>187</v>
      </c>
      <c r="B191">
        <f ca="1">'uniforme cercle (rejet)'!M196</f>
        <v>-0.22366459897329438</v>
      </c>
      <c r="C191">
        <f ca="1">'uniforme cercle (rejet)'!N196</f>
        <v>0.64904561580845654</v>
      </c>
      <c r="D191">
        <f ca="1">'uniforme cercle (rejet)'!O196</f>
        <v>0.68650277802355841</v>
      </c>
      <c r="E191">
        <f t="shared" ca="1" si="10"/>
        <v>0.30078980159217206</v>
      </c>
      <c r="F191">
        <f t="shared" ca="1" si="11"/>
        <v>0.73885387418548532</v>
      </c>
      <c r="G191">
        <f t="shared" ca="1" si="12"/>
        <v>0</v>
      </c>
      <c r="H191" t="e">
        <f t="shared" ca="1" si="13"/>
        <v>#N/A</v>
      </c>
      <c r="I191" t="e">
        <f t="shared" ca="1" si="14"/>
        <v>#N/A</v>
      </c>
    </row>
    <row r="192" spans="1:9" x14ac:dyDescent="0.2">
      <c r="A192">
        <f>'uniforme cercle (rejet)'!L197</f>
        <v>188</v>
      </c>
      <c r="B192">
        <f ca="1">'uniforme cercle (rejet)'!M197</f>
        <v>0.8362343363052942</v>
      </c>
      <c r="C192">
        <f ca="1">'uniforme cercle (rejet)'!N197</f>
        <v>-0.41530916960869901</v>
      </c>
      <c r="D192">
        <f ca="1">'uniforme cercle (rejet)'!O197</f>
        <v>0.93368601337763601</v>
      </c>
      <c r="E192">
        <f t="shared" ca="1" si="10"/>
        <v>0.29763903974324035</v>
      </c>
      <c r="F192">
        <f t="shared" ca="1" si="11"/>
        <v>0.9751125088318926</v>
      </c>
      <c r="G192">
        <f t="shared" ca="1" si="12"/>
        <v>0</v>
      </c>
      <c r="H192" t="e">
        <f t="shared" ca="1" si="13"/>
        <v>#N/A</v>
      </c>
      <c r="I192" t="e">
        <f t="shared" ca="1" si="14"/>
        <v>#N/A</v>
      </c>
    </row>
    <row r="193" spans="1:9" x14ac:dyDescent="0.2">
      <c r="A193">
        <f>'uniforme cercle (rejet)'!L198</f>
        <v>189</v>
      </c>
      <c r="B193">
        <f ca="1">'uniforme cercle (rejet)'!M198</f>
        <v>-0.46824254982622193</v>
      </c>
      <c r="C193">
        <f ca="1">'uniforme cercle (rejet)'!N198</f>
        <v>-0.3324104165457944</v>
      </c>
      <c r="D193">
        <f ca="1">'uniforme cercle (rejet)'!O198</f>
        <v>0.57423668508369485</v>
      </c>
      <c r="E193">
        <f t="shared" ca="1" si="10"/>
        <v>0.56614714189877757</v>
      </c>
      <c r="F193">
        <f t="shared" ca="1" si="11"/>
        <v>1.2768714645053068</v>
      </c>
      <c r="G193">
        <f t="shared" ca="1" si="12"/>
        <v>0</v>
      </c>
      <c r="H193" t="e">
        <f t="shared" ca="1" si="13"/>
        <v>#N/A</v>
      </c>
      <c r="I193" t="e">
        <f t="shared" ca="1" si="14"/>
        <v>#N/A</v>
      </c>
    </row>
    <row r="194" spans="1:9" x14ac:dyDescent="0.2">
      <c r="A194">
        <f>'uniforme cercle (rejet)'!L199</f>
        <v>190</v>
      </c>
      <c r="B194">
        <f ca="1">'uniforme cercle (rejet)'!M199</f>
        <v>0.63732296931491672</v>
      </c>
      <c r="C194">
        <f ca="1">'uniforme cercle (rejet)'!N199</f>
        <v>-0.42258418390803776</v>
      </c>
      <c r="D194">
        <f ca="1">'uniforme cercle (rejet)'!O199</f>
        <v>0.76469468397890961</v>
      </c>
      <c r="E194">
        <f t="shared" ca="1" si="10"/>
        <v>0.15184325134496696</v>
      </c>
      <c r="F194">
        <f t="shared" ca="1" si="11"/>
        <v>0.93274818375525426</v>
      </c>
      <c r="G194">
        <f t="shared" ca="1" si="12"/>
        <v>0</v>
      </c>
      <c r="H194" t="e">
        <f t="shared" ca="1" si="13"/>
        <v>#N/A</v>
      </c>
      <c r="I194" t="e">
        <f t="shared" ca="1" si="14"/>
        <v>#N/A</v>
      </c>
    </row>
    <row r="195" spans="1:9" x14ac:dyDescent="0.2">
      <c r="A195">
        <f>'uniforme cercle (rejet)'!L200</f>
        <v>191</v>
      </c>
      <c r="B195">
        <f ca="1">'uniforme cercle (rejet)'!M200</f>
        <v>2.5095112065302461E-2</v>
      </c>
      <c r="C195">
        <f ca="1">'uniforme cercle (rejet)'!N200</f>
        <v>-8.0770829757597529E-2</v>
      </c>
      <c r="D195">
        <f ca="1">'uniforme cercle (rejet)'!O200</f>
        <v>8.4579498634721709E-2</v>
      </c>
      <c r="E195">
        <f t="shared" ca="1" si="10"/>
        <v>3.9368677527649686E-2</v>
      </c>
      <c r="F195">
        <f t="shared" ca="1" si="11"/>
        <v>0.75021957404588957</v>
      </c>
      <c r="G195">
        <f t="shared" ca="1" si="12"/>
        <v>0</v>
      </c>
      <c r="H195" t="e">
        <f t="shared" ca="1" si="13"/>
        <v>#N/A</v>
      </c>
      <c r="I195" t="e">
        <f t="shared" ca="1" si="14"/>
        <v>#N/A</v>
      </c>
    </row>
    <row r="196" spans="1:9" x14ac:dyDescent="0.2">
      <c r="A196">
        <f>'uniforme cercle (rejet)'!L201</f>
        <v>192</v>
      </c>
      <c r="B196">
        <f ca="1">'uniforme cercle (rejet)'!M201</f>
        <v>-0.35880181154627389</v>
      </c>
      <c r="C196">
        <f ca="1">'uniforme cercle (rejet)'!N201</f>
        <v>-0.51669635132751068</v>
      </c>
      <c r="D196">
        <f ca="1">'uniforme cercle (rejet)'!O201</f>
        <v>0.62905791422098023</v>
      </c>
      <c r="E196">
        <f t="shared" ca="1" si="10"/>
        <v>0.61907068788441744</v>
      </c>
      <c r="F196">
        <f t="shared" ca="1" si="11"/>
        <v>1.330868897494353</v>
      </c>
      <c r="G196">
        <f t="shared" ca="1" si="12"/>
        <v>0</v>
      </c>
      <c r="H196" t="e">
        <f t="shared" ca="1" si="13"/>
        <v>#N/A</v>
      </c>
      <c r="I196" t="e">
        <f t="shared" ca="1" si="14"/>
        <v>#N/A</v>
      </c>
    </row>
    <row r="197" spans="1:9" x14ac:dyDescent="0.2">
      <c r="A197">
        <f>'uniforme cercle (rejet)'!L202</f>
        <v>193</v>
      </c>
      <c r="B197">
        <f ca="1">'uniforme cercle (rejet)'!M202</f>
        <v>0.2686440819692435</v>
      </c>
      <c r="C197">
        <f ca="1">'uniforme cercle (rejet)'!N202</f>
        <v>-0.64386641029169422</v>
      </c>
      <c r="D197">
        <f ca="1">'uniforme cercle (rejet)'!O202</f>
        <v>0.69766295378141585</v>
      </c>
      <c r="E197">
        <f t="shared" ca="1" si="10"/>
        <v>0.26532225280941002</v>
      </c>
      <c r="F197">
        <f t="shared" ca="1" si="11"/>
        <v>1.167028673770041</v>
      </c>
      <c r="G197">
        <f t="shared" ca="1" si="12"/>
        <v>0</v>
      </c>
      <c r="H197" t="e">
        <f t="shared" ca="1" si="13"/>
        <v>#N/A</v>
      </c>
      <c r="I197" t="e">
        <f t="shared" ca="1" si="14"/>
        <v>#N/A</v>
      </c>
    </row>
    <row r="198" spans="1:9" x14ac:dyDescent="0.2">
      <c r="A198">
        <f>'uniforme cercle (rejet)'!L203</f>
        <v>194</v>
      </c>
      <c r="B198">
        <f ca="1">'uniforme cercle (rejet)'!M203</f>
        <v>0.63736512465283179</v>
      </c>
      <c r="C198">
        <f ca="1">'uniforme cercle (rejet)'!N203</f>
        <v>-0.57701340015323987</v>
      </c>
      <c r="D198">
        <f ca="1">'uniforme cercle (rejet)'!O203</f>
        <v>0.8597550616775238</v>
      </c>
      <c r="E198">
        <f t="shared" ref="E198:E204" ca="1" si="15">(B198+C198)^2/SQRT(2*(B198+C198)^2)</f>
        <v>4.2675113649963743E-2</v>
      </c>
      <c r="F198">
        <f t="shared" ref="F198:F204" ca="1" si="16">SQRT((B198-0.5)^2+(C198-0.5)^2)</f>
        <v>1.0857380170098727</v>
      </c>
      <c r="G198">
        <f t="shared" ref="G198:G204" ca="1" si="17">IF(ABS(F198-E198)&lt;SQRT(2)/2/2,1,0)</f>
        <v>0</v>
      </c>
      <c r="H198" t="e">
        <f t="shared" ref="H198:H204" ca="1" si="18">IF($G198=1,B198,NA())</f>
        <v>#N/A</v>
      </c>
      <c r="I198" t="e">
        <f t="shared" ref="I198:I204" ca="1" si="19">IF($G198=1,C198,NA())</f>
        <v>#N/A</v>
      </c>
    </row>
    <row r="199" spans="1:9" x14ac:dyDescent="0.2">
      <c r="A199">
        <f>'uniforme cercle (rejet)'!L204</f>
        <v>195</v>
      </c>
      <c r="B199">
        <f ca="1">'uniforme cercle (rejet)'!M204</f>
        <v>-0.44984261748245036</v>
      </c>
      <c r="C199">
        <f ca="1">'uniforme cercle (rejet)'!N204</f>
        <v>-0.1670418240126228</v>
      </c>
      <c r="D199">
        <f ca="1">'uniforme cercle (rejet)'!O204</f>
        <v>0.47985555271657138</v>
      </c>
      <c r="E199">
        <f t="shared" ca="1" si="15"/>
        <v>0.43620317178964224</v>
      </c>
      <c r="F199">
        <f t="shared" ca="1" si="16"/>
        <v>1.1606660988277375</v>
      </c>
      <c r="G199">
        <f t="shared" ca="1" si="17"/>
        <v>0</v>
      </c>
      <c r="H199" t="e">
        <f t="shared" ca="1" si="18"/>
        <v>#N/A</v>
      </c>
      <c r="I199" t="e">
        <f t="shared" ca="1" si="19"/>
        <v>#N/A</v>
      </c>
    </row>
    <row r="200" spans="1:9" x14ac:dyDescent="0.2">
      <c r="A200">
        <f>'uniforme cercle (rejet)'!L205</f>
        <v>196</v>
      </c>
      <c r="B200">
        <f ca="1">'uniforme cercle (rejet)'!M205</f>
        <v>-0.25045049154528409</v>
      </c>
      <c r="C200">
        <f ca="1">'uniforme cercle (rejet)'!N205</f>
        <v>-0.17852447446200559</v>
      </c>
      <c r="D200">
        <f ca="1">'uniforme cercle (rejet)'!O205</f>
        <v>0.30756533728170621</v>
      </c>
      <c r="E200">
        <f t="shared" ca="1" si="15"/>
        <v>0.30333110742302322</v>
      </c>
      <c r="F200">
        <f t="shared" ca="1" si="16"/>
        <v>1.0117170566440497</v>
      </c>
      <c r="G200">
        <f t="shared" ca="1" si="17"/>
        <v>0</v>
      </c>
      <c r="H200" t="e">
        <f t="shared" ca="1" si="18"/>
        <v>#N/A</v>
      </c>
      <c r="I200" t="e">
        <f t="shared" ca="1" si="19"/>
        <v>#N/A</v>
      </c>
    </row>
    <row r="201" spans="1:9" x14ac:dyDescent="0.2">
      <c r="A201">
        <f>'uniforme cercle (rejet)'!L206</f>
        <v>197</v>
      </c>
      <c r="B201">
        <f ca="1">'uniforme cercle (rejet)'!M206</f>
        <v>0.73754812459142549</v>
      </c>
      <c r="C201">
        <f ca="1">'uniforme cercle (rejet)'!N206</f>
        <v>5.7410333824505999E-2</v>
      </c>
      <c r="D201">
        <f ca="1">'uniforme cercle (rejet)'!O206</f>
        <v>0.73977914441958292</v>
      </c>
      <c r="E201">
        <f t="shared" ca="1" si="15"/>
        <v>0.56212051670750929</v>
      </c>
      <c r="F201">
        <f t="shared" ca="1" si="16"/>
        <v>0.50230939081629622</v>
      </c>
      <c r="G201">
        <f t="shared" ca="1" si="17"/>
        <v>1</v>
      </c>
      <c r="H201">
        <f t="shared" ca="1" si="18"/>
        <v>0.73754812459142549</v>
      </c>
      <c r="I201">
        <f t="shared" ca="1" si="19"/>
        <v>5.7410333824505999E-2</v>
      </c>
    </row>
    <row r="202" spans="1:9" x14ac:dyDescent="0.2">
      <c r="A202">
        <f>'uniforme cercle (rejet)'!L207</f>
        <v>198</v>
      </c>
      <c r="B202">
        <f ca="1">'uniforme cercle (rejet)'!M207</f>
        <v>8.3754633407560508E-2</v>
      </c>
      <c r="C202">
        <f ca="1">'uniforme cercle (rejet)'!N207</f>
        <v>6.3846844392987601E-2</v>
      </c>
      <c r="D202">
        <f ca="1">'uniforme cercle (rejet)'!O207</f>
        <v>0.10531504240220019</v>
      </c>
      <c r="E202">
        <f t="shared" ca="1" si="15"/>
        <v>0.10437000586592322</v>
      </c>
      <c r="F202">
        <f t="shared" ca="1" si="16"/>
        <v>0.60290113646901433</v>
      </c>
      <c r="G202">
        <f t="shared" ca="1" si="17"/>
        <v>0</v>
      </c>
      <c r="H202" t="e">
        <f t="shared" ca="1" si="18"/>
        <v>#N/A</v>
      </c>
      <c r="I202" t="e">
        <f t="shared" ca="1" si="19"/>
        <v>#N/A</v>
      </c>
    </row>
    <row r="203" spans="1:9" x14ac:dyDescent="0.2">
      <c r="A203">
        <f>'uniforme cercle (rejet)'!L208</f>
        <v>199</v>
      </c>
      <c r="B203">
        <f ca="1">'uniforme cercle (rejet)'!M208</f>
        <v>0.1113223276005364</v>
      </c>
      <c r="C203">
        <f ca="1">'uniforme cercle (rejet)'!N208</f>
        <v>-4.8826024926988953E-2</v>
      </c>
      <c r="D203">
        <f ca="1">'uniforme cercle (rejet)'!O208</f>
        <v>0.1215592091639794</v>
      </c>
      <c r="E203">
        <f t="shared" ca="1" si="15"/>
        <v>4.4191559419552356E-2</v>
      </c>
      <c r="F203">
        <f t="shared" ca="1" si="16"/>
        <v>0.6725179095451842</v>
      </c>
      <c r="G203">
        <f t="shared" ca="1" si="17"/>
        <v>0</v>
      </c>
      <c r="H203" t="e">
        <f t="shared" ca="1" si="18"/>
        <v>#N/A</v>
      </c>
      <c r="I203" t="e">
        <f t="shared" ca="1" si="19"/>
        <v>#N/A</v>
      </c>
    </row>
    <row r="204" spans="1:9" x14ac:dyDescent="0.2">
      <c r="A204">
        <f>'uniforme cercle (rejet)'!L209</f>
        <v>200</v>
      </c>
      <c r="B204">
        <f ca="1">'uniforme cercle (rejet)'!M209</f>
        <v>-0.71291256263702785</v>
      </c>
      <c r="C204">
        <f ca="1">'uniforme cercle (rejet)'!N209</f>
        <v>0.58216213238281878</v>
      </c>
      <c r="D204">
        <f ca="1">'uniforme cercle (rejet)'!O209</f>
        <v>0.92041135930963214</v>
      </c>
      <c r="E204">
        <f t="shared" ca="1" si="15"/>
        <v>9.2454515875809967E-2</v>
      </c>
      <c r="F204">
        <f t="shared" ca="1" si="16"/>
        <v>1.2156921899068094</v>
      </c>
      <c r="G204">
        <f t="shared" ca="1" si="17"/>
        <v>0</v>
      </c>
      <c r="H204" t="e">
        <f t="shared" ca="1" si="18"/>
        <v>#N/A</v>
      </c>
      <c r="I204" t="e">
        <f t="shared" ca="1" si="19"/>
        <v>#N/A</v>
      </c>
    </row>
    <row r="205" spans="1:9" x14ac:dyDescent="0.2">
      <c r="A205">
        <f>'uniforme cercle (rejet)'!L210</f>
        <v>201</v>
      </c>
      <c r="B205">
        <f ca="1">'uniforme cercle (rejet)'!M210</f>
        <v>-0.11940346508821498</v>
      </c>
      <c r="C205">
        <f ca="1">'uniforme cercle (rejet)'!N210</f>
        <v>0.33430750305897372</v>
      </c>
      <c r="D205">
        <f ca="1">'uniforme cercle (rejet)'!O210</f>
        <v>0.35499111830663921</v>
      </c>
      <c r="E205">
        <f t="shared" ref="E205:E226" ca="1" si="20">(B205+C205)^2/SQRT(2*(B205+C205)^2)</f>
        <v>0.15196010255349482</v>
      </c>
      <c r="F205">
        <f t="shared" ref="F205:F226" ca="1" si="21">SQRT((B205-0.5)^2+(C205-0.5)^2)</f>
        <v>0.64118223314892275</v>
      </c>
      <c r="G205">
        <f t="shared" ref="G205:G226" ca="1" si="22">IF(ABS(F205-E205)&lt;SQRT(2)/2/2,1,0)</f>
        <v>0</v>
      </c>
      <c r="H205" t="e">
        <f t="shared" ref="H205:H226" ca="1" si="23">IF($G205=1,B205,NA())</f>
        <v>#N/A</v>
      </c>
      <c r="I205" t="e">
        <f t="shared" ref="I205:I226" ca="1" si="24">IF($G205=1,C205,NA())</f>
        <v>#N/A</v>
      </c>
    </row>
    <row r="206" spans="1:9" x14ac:dyDescent="0.2">
      <c r="A206">
        <f>'uniforme cercle (rejet)'!L211</f>
        <v>202</v>
      </c>
      <c r="B206">
        <f ca="1">'uniforme cercle (rejet)'!M211</f>
        <v>6.5898731125562326E-2</v>
      </c>
      <c r="C206">
        <f ca="1">'uniforme cercle (rejet)'!N211</f>
        <v>0.48634408338724899</v>
      </c>
      <c r="D206">
        <f ca="1">'uniforme cercle (rejet)'!O211</f>
        <v>0.49078835582126695</v>
      </c>
      <c r="E206">
        <f t="shared" ca="1" si="20"/>
        <v>0.39049463900355358</v>
      </c>
      <c r="F206">
        <f t="shared" ca="1" si="21"/>
        <v>0.43431600902675838</v>
      </c>
      <c r="G206">
        <f t="shared" ca="1" si="22"/>
        <v>1</v>
      </c>
      <c r="H206">
        <f t="shared" ca="1" si="23"/>
        <v>6.5898731125562326E-2</v>
      </c>
      <c r="I206">
        <f t="shared" ca="1" si="24"/>
        <v>0.48634408338724899</v>
      </c>
    </row>
    <row r="207" spans="1:9" x14ac:dyDescent="0.2">
      <c r="A207">
        <f>'uniforme cercle (rejet)'!L212</f>
        <v>203</v>
      </c>
      <c r="B207">
        <f ca="1">'uniforme cercle (rejet)'!M212</f>
        <v>3.4345534365215924E-2</v>
      </c>
      <c r="C207">
        <f ca="1">'uniforme cercle (rejet)'!N212</f>
        <v>-7.7651441494367868E-2</v>
      </c>
      <c r="D207">
        <f ca="1">'uniforme cercle (rejet)'!O212</f>
        <v>8.490796250638373E-2</v>
      </c>
      <c r="E207">
        <f t="shared" ca="1" si="20"/>
        <v>3.0621900596458189E-2</v>
      </c>
      <c r="F207">
        <f t="shared" ca="1" si="21"/>
        <v>0.74196716182465738</v>
      </c>
      <c r="G207">
        <f t="shared" ca="1" si="22"/>
        <v>0</v>
      </c>
      <c r="H207" t="e">
        <f t="shared" ca="1" si="23"/>
        <v>#N/A</v>
      </c>
      <c r="I207" t="e">
        <f t="shared" ca="1" si="24"/>
        <v>#N/A</v>
      </c>
    </row>
    <row r="208" spans="1:9" x14ac:dyDescent="0.2">
      <c r="A208">
        <f>'uniforme cercle (rejet)'!L213</f>
        <v>204</v>
      </c>
      <c r="B208">
        <f ca="1">'uniforme cercle (rejet)'!M213</f>
        <v>-0.72843531206936163</v>
      </c>
      <c r="C208">
        <f ca="1">'uniforme cercle (rejet)'!N213</f>
        <v>0.29116013149838338</v>
      </c>
      <c r="D208">
        <f ca="1">'uniforme cercle (rejet)'!O213</f>
        <v>0.78446939140016425</v>
      </c>
      <c r="E208">
        <f t="shared" ca="1" si="20"/>
        <v>0.3092002454263108</v>
      </c>
      <c r="F208">
        <f t="shared" ca="1" si="21"/>
        <v>1.2460607555872716</v>
      </c>
      <c r="G208">
        <f t="shared" ca="1" si="22"/>
        <v>0</v>
      </c>
      <c r="H208" t="e">
        <f t="shared" ca="1" si="23"/>
        <v>#N/A</v>
      </c>
      <c r="I208" t="e">
        <f t="shared" ca="1" si="24"/>
        <v>#N/A</v>
      </c>
    </row>
    <row r="209" spans="1:9" x14ac:dyDescent="0.2">
      <c r="A209">
        <f>'uniforme cercle (rejet)'!L214</f>
        <v>205</v>
      </c>
      <c r="B209">
        <f ca="1">'uniforme cercle (rejet)'!M214</f>
        <v>-0.59227308925563715</v>
      </c>
      <c r="C209">
        <f ca="1">'uniforme cercle (rejet)'!N214</f>
        <v>-1.8462709751358553E-2</v>
      </c>
      <c r="D209">
        <f ca="1">'uniforme cercle (rejet)'!O214</f>
        <v>0.59256078498984288</v>
      </c>
      <c r="E209">
        <f t="shared" ca="1" si="20"/>
        <v>0.43185542499123103</v>
      </c>
      <c r="F209">
        <f t="shared" ca="1" si="21"/>
        <v>1.2090757143019515</v>
      </c>
      <c r="G209">
        <f t="shared" ca="1" si="22"/>
        <v>0</v>
      </c>
      <c r="H209" t="e">
        <f t="shared" ca="1" si="23"/>
        <v>#N/A</v>
      </c>
      <c r="I209" t="e">
        <f t="shared" ca="1" si="24"/>
        <v>#N/A</v>
      </c>
    </row>
    <row r="210" spans="1:9" x14ac:dyDescent="0.2">
      <c r="A210">
        <f>'uniforme cercle (rejet)'!L215</f>
        <v>206</v>
      </c>
      <c r="B210">
        <f ca="1">'uniforme cercle (rejet)'!M215</f>
        <v>-5.5018146923834443E-2</v>
      </c>
      <c r="C210">
        <f ca="1">'uniforme cercle (rejet)'!N215</f>
        <v>0.78345281138433576</v>
      </c>
      <c r="D210">
        <f ca="1">'uniforme cercle (rejet)'!O215</f>
        <v>0.78538226626080132</v>
      </c>
      <c r="E210">
        <f t="shared" ca="1" si="20"/>
        <v>0.51508109089136778</v>
      </c>
      <c r="F210">
        <f t="shared" ca="1" si="21"/>
        <v>0.62320994832917331</v>
      </c>
      <c r="G210">
        <f t="shared" ca="1" si="22"/>
        <v>1</v>
      </c>
      <c r="H210">
        <f t="shared" ca="1" si="23"/>
        <v>-5.5018146923834443E-2</v>
      </c>
      <c r="I210">
        <f t="shared" ca="1" si="24"/>
        <v>0.78345281138433576</v>
      </c>
    </row>
    <row r="211" spans="1:9" x14ac:dyDescent="0.2">
      <c r="A211">
        <f>'uniforme cercle (rejet)'!L216</f>
        <v>207</v>
      </c>
      <c r="B211">
        <f ca="1">'uniforme cercle (rejet)'!M216</f>
        <v>-0.8935169112273369</v>
      </c>
      <c r="C211">
        <f ca="1">'uniforme cercle (rejet)'!N216</f>
        <v>0.38397655651283502</v>
      </c>
      <c r="D211">
        <f ca="1">'uniforme cercle (rejet)'!O216</f>
        <v>0.97252787445949074</v>
      </c>
      <c r="E211">
        <f t="shared" ca="1" si="20"/>
        <v>0.36029944010682308</v>
      </c>
      <c r="F211">
        <f t="shared" ca="1" si="21"/>
        <v>1.39833859322955</v>
      </c>
      <c r="G211">
        <f t="shared" ca="1" si="22"/>
        <v>0</v>
      </c>
      <c r="H211" t="e">
        <f t="shared" ca="1" si="23"/>
        <v>#N/A</v>
      </c>
      <c r="I211" t="e">
        <f t="shared" ca="1" si="24"/>
        <v>#N/A</v>
      </c>
    </row>
    <row r="212" spans="1:9" x14ac:dyDescent="0.2">
      <c r="A212">
        <f>'uniforme cercle (rejet)'!L217</f>
        <v>208</v>
      </c>
      <c r="B212">
        <f ca="1">'uniforme cercle (rejet)'!M217</f>
        <v>0.53220199495428244</v>
      </c>
      <c r="C212">
        <f ca="1">'uniforme cercle (rejet)'!N217</f>
        <v>-0.39755333844022966</v>
      </c>
      <c r="D212">
        <f ca="1">'uniforme cercle (rejet)'!O217</f>
        <v>0.66429482937795759</v>
      </c>
      <c r="E212">
        <f t="shared" ca="1" si="20"/>
        <v>9.5210978098744917E-2</v>
      </c>
      <c r="F212">
        <f t="shared" ca="1" si="21"/>
        <v>0.89813081665436534</v>
      </c>
      <c r="G212">
        <f t="shared" ca="1" si="22"/>
        <v>0</v>
      </c>
      <c r="H212" t="e">
        <f t="shared" ca="1" si="23"/>
        <v>#N/A</v>
      </c>
      <c r="I212" t="e">
        <f t="shared" ca="1" si="24"/>
        <v>#N/A</v>
      </c>
    </row>
    <row r="213" spans="1:9" x14ac:dyDescent="0.2">
      <c r="A213">
        <f>'uniforme cercle (rejet)'!L218</f>
        <v>209</v>
      </c>
      <c r="B213">
        <f ca="1">'uniforme cercle (rejet)'!M218</f>
        <v>-0.93093134767783403</v>
      </c>
      <c r="C213">
        <f ca="1">'uniforme cercle (rejet)'!N218</f>
        <v>0.29944881251964262</v>
      </c>
      <c r="D213">
        <f ca="1">'uniforme cercle (rejet)'!O218</f>
        <v>0.97790733988895517</v>
      </c>
      <c r="E213">
        <f t="shared" ca="1" si="20"/>
        <v>0.44652558281122956</v>
      </c>
      <c r="F213">
        <f t="shared" ca="1" si="21"/>
        <v>1.444917056639198</v>
      </c>
      <c r="G213">
        <f t="shared" ca="1" si="22"/>
        <v>0</v>
      </c>
      <c r="H213" t="e">
        <f t="shared" ca="1" si="23"/>
        <v>#N/A</v>
      </c>
      <c r="I213" t="e">
        <f t="shared" ca="1" si="24"/>
        <v>#N/A</v>
      </c>
    </row>
    <row r="214" spans="1:9" x14ac:dyDescent="0.2">
      <c r="A214">
        <f>'uniforme cercle (rejet)'!L219</f>
        <v>210</v>
      </c>
      <c r="B214">
        <f ca="1">'uniforme cercle (rejet)'!M219</f>
        <v>-0.60833624582970169</v>
      </c>
      <c r="C214">
        <f ca="1">'uniforme cercle (rejet)'!N219</f>
        <v>-0.18712420434621535</v>
      </c>
      <c r="D214">
        <f ca="1">'uniforme cercle (rejet)'!O219</f>
        <v>0.63646559674689362</v>
      </c>
      <c r="E214">
        <f t="shared" ca="1" si="20"/>
        <v>0.56247547848509483</v>
      </c>
      <c r="F214">
        <f t="shared" ca="1" si="21"/>
        <v>1.3040509599008376</v>
      </c>
      <c r="G214">
        <f t="shared" ca="1" si="22"/>
        <v>0</v>
      </c>
      <c r="H214" t="e">
        <f t="shared" ca="1" si="23"/>
        <v>#N/A</v>
      </c>
      <c r="I214" t="e">
        <f t="shared" ca="1" si="24"/>
        <v>#N/A</v>
      </c>
    </row>
    <row r="215" spans="1:9" x14ac:dyDescent="0.2">
      <c r="A215">
        <f>'uniforme cercle (rejet)'!L220</f>
        <v>211</v>
      </c>
      <c r="B215">
        <f ca="1">'uniforme cercle (rejet)'!M220</f>
        <v>0.31707585496136681</v>
      </c>
      <c r="C215">
        <f ca="1">'uniforme cercle (rejet)'!N220</f>
        <v>0.44302828748336465</v>
      </c>
      <c r="D215">
        <f ca="1">'uniforme cercle (rejet)'!O220</f>
        <v>0.54480378239318838</v>
      </c>
      <c r="E215">
        <f t="shared" ca="1" si="20"/>
        <v>0.53747479353065508</v>
      </c>
      <c r="F215">
        <f t="shared" ca="1" si="21"/>
        <v>0.1915907588199208</v>
      </c>
      <c r="G215">
        <f t="shared" ca="1" si="22"/>
        <v>1</v>
      </c>
      <c r="H215">
        <f t="shared" ca="1" si="23"/>
        <v>0.31707585496136681</v>
      </c>
      <c r="I215">
        <f t="shared" ca="1" si="24"/>
        <v>0.44302828748336465</v>
      </c>
    </row>
    <row r="216" spans="1:9" x14ac:dyDescent="0.2">
      <c r="A216">
        <f>'uniforme cercle (rejet)'!L221</f>
        <v>212</v>
      </c>
      <c r="B216">
        <f ca="1">'uniforme cercle (rejet)'!M221</f>
        <v>-7.7423927345139365E-3</v>
      </c>
      <c r="C216">
        <f ca="1">'uniforme cercle (rejet)'!N221</f>
        <v>-0.72247771654027271</v>
      </c>
      <c r="D216">
        <f ca="1">'uniforme cercle (rejet)'!O221</f>
        <v>0.72251920081233978</v>
      </c>
      <c r="E216">
        <f t="shared" ca="1" si="20"/>
        <v>0.51634359102698335</v>
      </c>
      <c r="F216">
        <f t="shared" ca="1" si="21"/>
        <v>1.3237273529006224</v>
      </c>
      <c r="G216">
        <f t="shared" ca="1" si="22"/>
        <v>0</v>
      </c>
      <c r="H216" t="e">
        <f t="shared" ca="1" si="23"/>
        <v>#N/A</v>
      </c>
      <c r="I216" t="e">
        <f t="shared" ca="1" si="24"/>
        <v>#N/A</v>
      </c>
    </row>
    <row r="217" spans="1:9" x14ac:dyDescent="0.2">
      <c r="A217">
        <f>'uniforme cercle (rejet)'!L222</f>
        <v>213</v>
      </c>
      <c r="B217">
        <f ca="1">'uniforme cercle (rejet)'!M222</f>
        <v>0.8412414460892863</v>
      </c>
      <c r="C217">
        <f ca="1">'uniforme cercle (rejet)'!N222</f>
        <v>0.18325842092696742</v>
      </c>
      <c r="D217">
        <f ca="1">'uniforme cercle (rejet)'!O222</f>
        <v>0.86097085865843281</v>
      </c>
      <c r="E217">
        <f t="shared" ca="1" si="20"/>
        <v>0.72443080329190912</v>
      </c>
      <c r="F217">
        <f t="shared" ca="1" si="21"/>
        <v>0.46558667554257332</v>
      </c>
      <c r="G217">
        <f t="shared" ca="1" si="22"/>
        <v>1</v>
      </c>
      <c r="H217">
        <f t="shared" ca="1" si="23"/>
        <v>0.8412414460892863</v>
      </c>
      <c r="I217">
        <f t="shared" ca="1" si="24"/>
        <v>0.18325842092696742</v>
      </c>
    </row>
    <row r="218" spans="1:9" x14ac:dyDescent="0.2">
      <c r="A218">
        <f>'uniforme cercle (rejet)'!L223</f>
        <v>214</v>
      </c>
      <c r="B218">
        <f ca="1">'uniforme cercle (rejet)'!M223</f>
        <v>-0.49017904771442766</v>
      </c>
      <c r="C218">
        <f ca="1">'uniforme cercle (rejet)'!N223</f>
        <v>0.68638216141977049</v>
      </c>
      <c r="D218">
        <f ca="1">'uniforme cercle (rejet)'!O223</f>
        <v>0.84344292654186093</v>
      </c>
      <c r="E218">
        <f t="shared" ca="1" si="20"/>
        <v>0.13873655219096317</v>
      </c>
      <c r="F218">
        <f t="shared" ca="1" si="21"/>
        <v>1.0075677925718727</v>
      </c>
      <c r="G218">
        <f t="shared" ca="1" si="22"/>
        <v>0</v>
      </c>
      <c r="H218" t="e">
        <f t="shared" ca="1" si="23"/>
        <v>#N/A</v>
      </c>
      <c r="I218" t="e">
        <f t="shared" ca="1" si="24"/>
        <v>#N/A</v>
      </c>
    </row>
    <row r="219" spans="1:9" x14ac:dyDescent="0.2">
      <c r="A219">
        <f>'uniforme cercle (rejet)'!L224</f>
        <v>215</v>
      </c>
      <c r="B219">
        <f ca="1">'uniforme cercle (rejet)'!M224</f>
        <v>0.3216297227910665</v>
      </c>
      <c r="C219">
        <f ca="1">'uniforme cercle (rejet)'!N224</f>
        <v>-0.75487596515981048</v>
      </c>
      <c r="D219">
        <f ca="1">'uniforme cercle (rejet)'!O224</f>
        <v>0.82053848255801731</v>
      </c>
      <c r="E219">
        <f t="shared" ca="1" si="20"/>
        <v>0.30635135590252938</v>
      </c>
      <c r="F219">
        <f t="shared" ca="1" si="21"/>
        <v>1.2674895043854832</v>
      </c>
      <c r="G219">
        <f t="shared" ca="1" si="22"/>
        <v>0</v>
      </c>
      <c r="H219" t="e">
        <f t="shared" ca="1" si="23"/>
        <v>#N/A</v>
      </c>
      <c r="I219" t="e">
        <f t="shared" ca="1" si="24"/>
        <v>#N/A</v>
      </c>
    </row>
    <row r="220" spans="1:9" x14ac:dyDescent="0.2">
      <c r="A220">
        <f>'uniforme cercle (rejet)'!L225</f>
        <v>216</v>
      </c>
      <c r="B220">
        <f ca="1">'uniforme cercle (rejet)'!M225</f>
        <v>0.79162276842605261</v>
      </c>
      <c r="C220">
        <f ca="1">'uniforme cercle (rejet)'!N225</f>
        <v>-0.33790722354201175</v>
      </c>
      <c r="D220">
        <f ca="1">'uniforme cercle (rejet)'!O225</f>
        <v>0.86072521701899662</v>
      </c>
      <c r="E220">
        <f t="shared" ca="1" si="20"/>
        <v>0.32082533851725464</v>
      </c>
      <c r="F220">
        <f t="shared" ca="1" si="21"/>
        <v>0.88720479841373601</v>
      </c>
      <c r="G220">
        <f t="shared" ca="1" si="22"/>
        <v>0</v>
      </c>
      <c r="H220" t="e">
        <f t="shared" ca="1" si="23"/>
        <v>#N/A</v>
      </c>
      <c r="I220" t="e">
        <f t="shared" ca="1" si="24"/>
        <v>#N/A</v>
      </c>
    </row>
    <row r="221" spans="1:9" x14ac:dyDescent="0.2">
      <c r="A221">
        <f>'uniforme cercle (rejet)'!L226</f>
        <v>217</v>
      </c>
      <c r="B221">
        <f ca="1">'uniforme cercle (rejet)'!M226</f>
        <v>-0.45663968524265131</v>
      </c>
      <c r="C221">
        <f ca="1">'uniforme cercle (rejet)'!N226</f>
        <v>0.76425913531358436</v>
      </c>
      <c r="D221">
        <f ca="1">'uniforme cercle (rejet)'!O226</f>
        <v>0.8902874974123669</v>
      </c>
      <c r="E221">
        <f t="shared" ca="1" si="20"/>
        <v>0.21751979917003333</v>
      </c>
      <c r="F221">
        <f t="shared" ca="1" si="21"/>
        <v>0.99246782213724305</v>
      </c>
      <c r="G221">
        <f t="shared" ca="1" si="22"/>
        <v>0</v>
      </c>
      <c r="H221" t="e">
        <f t="shared" ca="1" si="23"/>
        <v>#N/A</v>
      </c>
      <c r="I221" t="e">
        <f t="shared" ca="1" si="24"/>
        <v>#N/A</v>
      </c>
    </row>
    <row r="222" spans="1:9" x14ac:dyDescent="0.2">
      <c r="A222">
        <f>'uniforme cercle (rejet)'!L227</f>
        <v>218</v>
      </c>
      <c r="B222">
        <f ca="1">'uniforme cercle (rejet)'!M227</f>
        <v>0.71454569525652167</v>
      </c>
      <c r="C222">
        <f ca="1">'uniforme cercle (rejet)'!N227</f>
        <v>0.50346837696808877</v>
      </c>
      <c r="D222">
        <f ca="1">'uniforme cercle (rejet)'!O227</f>
        <v>0.87410294429003466</v>
      </c>
      <c r="E222">
        <f t="shared" ca="1" si="20"/>
        <v>0.86126601005066328</v>
      </c>
      <c r="F222">
        <f t="shared" ca="1" si="21"/>
        <v>0.21457372856875334</v>
      </c>
      <c r="G222">
        <f t="shared" ca="1" si="22"/>
        <v>0</v>
      </c>
      <c r="H222" t="e">
        <f t="shared" ca="1" si="23"/>
        <v>#N/A</v>
      </c>
      <c r="I222" t="e">
        <f t="shared" ca="1" si="24"/>
        <v>#N/A</v>
      </c>
    </row>
    <row r="223" spans="1:9" x14ac:dyDescent="0.2">
      <c r="A223">
        <f>'uniforme cercle (rejet)'!L228</f>
        <v>219</v>
      </c>
      <c r="B223">
        <f ca="1">'uniforme cercle (rejet)'!M228</f>
        <v>-0.22655596396344801</v>
      </c>
      <c r="C223">
        <f ca="1">'uniforme cercle (rejet)'!N228</f>
        <v>-0.39556619193734566</v>
      </c>
      <c r="D223">
        <f ca="1">'uniforme cercle (rejet)'!O228</f>
        <v>0.45585109083035014</v>
      </c>
      <c r="E223">
        <f t="shared" ca="1" si="20"/>
        <v>0.43990679516384573</v>
      </c>
      <c r="F223">
        <f t="shared" ca="1" si="21"/>
        <v>1.1532226033650286</v>
      </c>
      <c r="G223">
        <f t="shared" ca="1" si="22"/>
        <v>0</v>
      </c>
      <c r="H223" t="e">
        <f t="shared" ca="1" si="23"/>
        <v>#N/A</v>
      </c>
      <c r="I223" t="e">
        <f t="shared" ca="1" si="24"/>
        <v>#N/A</v>
      </c>
    </row>
    <row r="224" spans="1:9" x14ac:dyDescent="0.2">
      <c r="A224">
        <f>'uniforme cercle (rejet)'!L229</f>
        <v>220</v>
      </c>
      <c r="B224">
        <f ca="1">'uniforme cercle (rejet)'!M229</f>
        <v>0.15450549908861344</v>
      </c>
      <c r="C224">
        <f ca="1">'uniforme cercle (rejet)'!N229</f>
        <v>0.83058792081629629</v>
      </c>
      <c r="D224">
        <f ca="1">'uniforme cercle (rejet)'!O229</f>
        <v>0.84483622285893945</v>
      </c>
      <c r="E224">
        <f t="shared" ca="1" si="20"/>
        <v>0.69656623731700873</v>
      </c>
      <c r="F224">
        <f t="shared" ca="1" si="21"/>
        <v>0.47817865233576656</v>
      </c>
      <c r="G224">
        <f t="shared" ca="1" si="22"/>
        <v>1</v>
      </c>
      <c r="H224">
        <f t="shared" ca="1" si="23"/>
        <v>0.15450549908861344</v>
      </c>
      <c r="I224">
        <f t="shared" ca="1" si="24"/>
        <v>0.83058792081629629</v>
      </c>
    </row>
    <row r="225" spans="1:9" x14ac:dyDescent="0.2">
      <c r="A225">
        <f>'uniforme cercle (rejet)'!L230</f>
        <v>221</v>
      </c>
      <c r="B225">
        <f ca="1">'uniforme cercle (rejet)'!M230</f>
        <v>-0.19150635827607232</v>
      </c>
      <c r="C225">
        <f ca="1">'uniforme cercle (rejet)'!N230</f>
        <v>4.5024910339950042E-2</v>
      </c>
      <c r="D225">
        <f ca="1">'uniforme cercle (rejet)'!O230</f>
        <v>0.19672805547578595</v>
      </c>
      <c r="E225">
        <f t="shared" ca="1" si="20"/>
        <v>0.10357802515365627</v>
      </c>
      <c r="F225">
        <f t="shared" ca="1" si="21"/>
        <v>0.82775804178963197</v>
      </c>
      <c r="G225">
        <f t="shared" ca="1" si="22"/>
        <v>0</v>
      </c>
      <c r="H225" t="e">
        <f t="shared" ca="1" si="23"/>
        <v>#N/A</v>
      </c>
      <c r="I225" t="e">
        <f t="shared" ca="1" si="24"/>
        <v>#N/A</v>
      </c>
    </row>
    <row r="226" spans="1:9" x14ac:dyDescent="0.2">
      <c r="A226">
        <f>'uniforme cercle (rejet)'!L231</f>
        <v>222</v>
      </c>
      <c r="B226">
        <f ca="1">'uniforme cercle (rejet)'!M231</f>
        <v>0.27873893867987598</v>
      </c>
      <c r="C226">
        <f ca="1">'uniforme cercle (rejet)'!N231</f>
        <v>-0.66111568343686034</v>
      </c>
      <c r="D226">
        <f ca="1">'uniforme cercle (rejet)'!O231</f>
        <v>0.71747428025161331</v>
      </c>
      <c r="E226">
        <f t="shared" ca="1" si="20"/>
        <v>0.27038118918570125</v>
      </c>
      <c r="F226">
        <f t="shared" ca="1" si="21"/>
        <v>1.1820093432708367</v>
      </c>
      <c r="G226">
        <f t="shared" ca="1" si="22"/>
        <v>0</v>
      </c>
      <c r="H226" t="e">
        <f t="shared" ca="1" si="23"/>
        <v>#N/A</v>
      </c>
      <c r="I226" t="e">
        <f t="shared" ca="1" si="24"/>
        <v>#N/A</v>
      </c>
    </row>
    <row r="227" spans="1:9" x14ac:dyDescent="0.2">
      <c r="A227">
        <f>'uniforme cercle (rejet)'!L232</f>
        <v>223</v>
      </c>
      <c r="B227">
        <f ca="1">'uniforme cercle (rejet)'!M232</f>
        <v>-0.13803672475362672</v>
      </c>
      <c r="C227">
        <f ca="1">'uniforme cercle (rejet)'!N232</f>
        <v>0.48533785643546978</v>
      </c>
      <c r="D227">
        <f ca="1">'uniforme cercle (rejet)'!O232</f>
        <v>0.50458594141145585</v>
      </c>
      <c r="E227">
        <f t="shared" ref="E227:E290" ca="1" si="25">(B227+C227)^2/SQRT(2*(B227+C227)^2)</f>
        <v>0.24557898532599332</v>
      </c>
      <c r="F227">
        <f t="shared" ref="F227:F290" ca="1" si="26">SQRT((B227-0.5)^2+(C227-0.5)^2)</f>
        <v>0.63820517123276432</v>
      </c>
      <c r="G227">
        <f t="shared" ref="G227:G290" ca="1" si="27">IF(ABS(F227-E227)&lt;SQRT(2)/2/2,1,0)</f>
        <v>0</v>
      </c>
      <c r="H227" t="e">
        <f t="shared" ref="H227:H290" ca="1" si="28">IF($G227=1,B227,NA())</f>
        <v>#N/A</v>
      </c>
      <c r="I227" t="e">
        <f t="shared" ref="I227:I290" ca="1" si="29">IF($G227=1,C227,NA())</f>
        <v>#N/A</v>
      </c>
    </row>
    <row r="228" spans="1:9" x14ac:dyDescent="0.2">
      <c r="A228">
        <f>'uniforme cercle (rejet)'!L233</f>
        <v>224</v>
      </c>
      <c r="B228">
        <f ca="1">'uniforme cercle (rejet)'!M233</f>
        <v>-0.42706499602327086</v>
      </c>
      <c r="C228">
        <f ca="1">'uniforme cercle (rejet)'!N233</f>
        <v>-0.52648715104139909</v>
      </c>
      <c r="D228">
        <f ca="1">'uniforme cercle (rejet)'!O233</f>
        <v>0.67791830705479939</v>
      </c>
      <c r="E228">
        <f t="shared" ca="1" si="25"/>
        <v>0.67426318940442009</v>
      </c>
      <c r="F228">
        <f t="shared" ca="1" si="26"/>
        <v>1.3831577560440151</v>
      </c>
      <c r="G228">
        <f t="shared" ca="1" si="27"/>
        <v>0</v>
      </c>
      <c r="H228" t="e">
        <f t="shared" ca="1" si="28"/>
        <v>#N/A</v>
      </c>
      <c r="I228" t="e">
        <f t="shared" ca="1" si="29"/>
        <v>#N/A</v>
      </c>
    </row>
    <row r="229" spans="1:9" x14ac:dyDescent="0.2">
      <c r="A229">
        <f>'uniforme cercle (rejet)'!L234</f>
        <v>225</v>
      </c>
      <c r="B229">
        <f ca="1">'uniforme cercle (rejet)'!M234</f>
        <v>8.5455109731671586E-2</v>
      </c>
      <c r="C229">
        <f ca="1">'uniforme cercle (rejet)'!N234</f>
        <v>0.17790973473614002</v>
      </c>
      <c r="D229">
        <f ca="1">'uniforme cercle (rejet)'!O234</f>
        <v>0.19736881590853134</v>
      </c>
      <c r="E229">
        <f t="shared" ca="1" si="25"/>
        <v>0.18622706744932999</v>
      </c>
      <c r="F229">
        <f t="shared" ca="1" si="26"/>
        <v>0.52496628941801982</v>
      </c>
      <c r="G229">
        <f t="shared" ca="1" si="27"/>
        <v>1</v>
      </c>
      <c r="H229">
        <f t="shared" ca="1" si="28"/>
        <v>8.5455109731671586E-2</v>
      </c>
      <c r="I229">
        <f t="shared" ca="1" si="29"/>
        <v>0.17790973473614002</v>
      </c>
    </row>
    <row r="230" spans="1:9" x14ac:dyDescent="0.2">
      <c r="A230">
        <f>'uniforme cercle (rejet)'!L235</f>
        <v>226</v>
      </c>
      <c r="B230">
        <f ca="1">'uniforme cercle (rejet)'!M235</f>
        <v>0.55058201797569439</v>
      </c>
      <c r="C230">
        <f ca="1">'uniforme cercle (rejet)'!N235</f>
        <v>-0.38458086158973415</v>
      </c>
      <c r="D230">
        <f ca="1">'uniforme cercle (rejet)'!O235</f>
        <v>0.67159734783521152</v>
      </c>
      <c r="E230">
        <f t="shared" ca="1" si="25"/>
        <v>0.11738054336532104</v>
      </c>
      <c r="F230">
        <f t="shared" ca="1" si="26"/>
        <v>0.88602586939283545</v>
      </c>
      <c r="G230">
        <f t="shared" ca="1" si="27"/>
        <v>0</v>
      </c>
      <c r="H230" t="e">
        <f t="shared" ca="1" si="28"/>
        <v>#N/A</v>
      </c>
      <c r="I230" t="e">
        <f t="shared" ca="1" si="29"/>
        <v>#N/A</v>
      </c>
    </row>
    <row r="231" spans="1:9" x14ac:dyDescent="0.2">
      <c r="A231">
        <f>'uniforme cercle (rejet)'!L236</f>
        <v>227</v>
      </c>
      <c r="B231">
        <f ca="1">'uniforme cercle (rejet)'!M236</f>
        <v>-0.38636600515455832</v>
      </c>
      <c r="C231">
        <f ca="1">'uniforme cercle (rejet)'!N236</f>
        <v>-0.27487186456189727</v>
      </c>
      <c r="D231">
        <f ca="1">'uniforme cercle (rejet)'!O236</f>
        <v>0.47416582739251273</v>
      </c>
      <c r="E231">
        <f t="shared" ca="1" si="25"/>
        <v>0.46756578165385254</v>
      </c>
      <c r="F231">
        <f t="shared" ca="1" si="26"/>
        <v>1.1773152091021681</v>
      </c>
      <c r="G231">
        <f t="shared" ca="1" si="27"/>
        <v>0</v>
      </c>
      <c r="H231" t="e">
        <f t="shared" ca="1" si="28"/>
        <v>#N/A</v>
      </c>
      <c r="I231" t="e">
        <f t="shared" ca="1" si="29"/>
        <v>#N/A</v>
      </c>
    </row>
    <row r="232" spans="1:9" x14ac:dyDescent="0.2">
      <c r="A232">
        <f>'uniforme cercle (rejet)'!L237</f>
        <v>228</v>
      </c>
      <c r="B232">
        <f ca="1">'uniforme cercle (rejet)'!M237</f>
        <v>-0.24559283089309503</v>
      </c>
      <c r="C232">
        <f ca="1">'uniforme cercle (rejet)'!N237</f>
        <v>-0.43138863917387416</v>
      </c>
      <c r="D232">
        <f ca="1">'uniforme cercle (rejet)'!O237</f>
        <v>0.49639902960659721</v>
      </c>
      <c r="E232">
        <f t="shared" ca="1" si="25"/>
        <v>0.47869818822199167</v>
      </c>
      <c r="F232">
        <f t="shared" ca="1" si="26"/>
        <v>1.1930605461003816</v>
      </c>
      <c r="G232">
        <f t="shared" ca="1" si="27"/>
        <v>0</v>
      </c>
      <c r="H232" t="e">
        <f t="shared" ca="1" si="28"/>
        <v>#N/A</v>
      </c>
      <c r="I232" t="e">
        <f t="shared" ca="1" si="29"/>
        <v>#N/A</v>
      </c>
    </row>
    <row r="233" spans="1:9" x14ac:dyDescent="0.2">
      <c r="A233">
        <f>'uniforme cercle (rejet)'!L238</f>
        <v>229</v>
      </c>
      <c r="B233">
        <f ca="1">'uniforme cercle (rejet)'!M238</f>
        <v>-0.4717173394905203</v>
      </c>
      <c r="C233">
        <f ca="1">'uniforme cercle (rejet)'!N238</f>
        <v>0.14603111565432214</v>
      </c>
      <c r="D233">
        <f ca="1">'uniforme cercle (rejet)'!O238</f>
        <v>0.49380394400537225</v>
      </c>
      <c r="E233">
        <f t="shared" ca="1" si="25"/>
        <v>0.23029493741361554</v>
      </c>
      <c r="F233">
        <f t="shared" ca="1" si="26"/>
        <v>1.0341801385404088</v>
      </c>
      <c r="G233">
        <f t="shared" ca="1" si="27"/>
        <v>0</v>
      </c>
      <c r="H233" t="e">
        <f t="shared" ca="1" si="28"/>
        <v>#N/A</v>
      </c>
      <c r="I233" t="e">
        <f t="shared" ca="1" si="29"/>
        <v>#N/A</v>
      </c>
    </row>
    <row r="234" spans="1:9" x14ac:dyDescent="0.2">
      <c r="A234">
        <f>'uniforme cercle (rejet)'!L239</f>
        <v>230</v>
      </c>
      <c r="B234">
        <f ca="1">'uniforme cercle (rejet)'!M239</f>
        <v>-0.1824507461715712</v>
      </c>
      <c r="C234">
        <f ca="1">'uniforme cercle (rejet)'!N239</f>
        <v>-0.68805911857468005</v>
      </c>
      <c r="D234">
        <f ca="1">'uniforme cercle (rejet)'!O239</f>
        <v>0.71183820172306622</v>
      </c>
      <c r="E234">
        <f t="shared" ca="1" si="25"/>
        <v>0.61554342845185861</v>
      </c>
      <c r="F234">
        <f t="shared" ca="1" si="26"/>
        <v>1.3701180570223064</v>
      </c>
      <c r="G234">
        <f t="shared" ca="1" si="27"/>
        <v>0</v>
      </c>
      <c r="H234" t="e">
        <f t="shared" ca="1" si="28"/>
        <v>#N/A</v>
      </c>
      <c r="I234" t="e">
        <f t="shared" ca="1" si="29"/>
        <v>#N/A</v>
      </c>
    </row>
    <row r="235" spans="1:9" x14ac:dyDescent="0.2">
      <c r="A235">
        <f>'uniforme cercle (rejet)'!L240</f>
        <v>231</v>
      </c>
      <c r="B235">
        <f ca="1">'uniforme cercle (rejet)'!M240</f>
        <v>0.16792201324440481</v>
      </c>
      <c r="C235">
        <f ca="1">'uniforme cercle (rejet)'!N240</f>
        <v>-0.37827903285089892</v>
      </c>
      <c r="D235">
        <f ca="1">'uniforme cercle (rejet)'!O240</f>
        <v>0.41387537886018966</v>
      </c>
      <c r="E235">
        <f t="shared" ca="1" si="25"/>
        <v>0.14874487503394351</v>
      </c>
      <c r="F235">
        <f t="shared" ca="1" si="26"/>
        <v>0.93896211256533646</v>
      </c>
      <c r="G235">
        <f t="shared" ca="1" si="27"/>
        <v>0</v>
      </c>
      <c r="H235" t="e">
        <f t="shared" ca="1" si="28"/>
        <v>#N/A</v>
      </c>
      <c r="I235" t="e">
        <f t="shared" ca="1" si="29"/>
        <v>#N/A</v>
      </c>
    </row>
    <row r="236" spans="1:9" x14ac:dyDescent="0.2">
      <c r="A236">
        <f>'uniforme cercle (rejet)'!L241</f>
        <v>232</v>
      </c>
      <c r="B236">
        <f ca="1">'uniforme cercle (rejet)'!M241</f>
        <v>0.64786069817050107</v>
      </c>
      <c r="C236">
        <f ca="1">'uniforme cercle (rejet)'!N241</f>
        <v>-0.71236775006385233</v>
      </c>
      <c r="D236">
        <f ca="1">'uniforme cercle (rejet)'!O241</f>
        <v>0.96290772951773751</v>
      </c>
      <c r="E236">
        <f t="shared" ca="1" si="25"/>
        <v>4.56133738281412E-2</v>
      </c>
      <c r="F236">
        <f t="shared" ca="1" si="26"/>
        <v>1.2213510336747397</v>
      </c>
      <c r="G236">
        <f t="shared" ca="1" si="27"/>
        <v>0</v>
      </c>
      <c r="H236" t="e">
        <f t="shared" ca="1" si="28"/>
        <v>#N/A</v>
      </c>
      <c r="I236" t="e">
        <f t="shared" ca="1" si="29"/>
        <v>#N/A</v>
      </c>
    </row>
    <row r="237" spans="1:9" x14ac:dyDescent="0.2">
      <c r="A237">
        <f>'uniforme cercle (rejet)'!L242</f>
        <v>233</v>
      </c>
      <c r="B237">
        <f ca="1">'uniforme cercle (rejet)'!M242</f>
        <v>-6.6377985463702105E-2</v>
      </c>
      <c r="C237">
        <f ca="1">'uniforme cercle (rejet)'!N242</f>
        <v>-0.2457187956279403</v>
      </c>
      <c r="D237">
        <f ca="1">'uniforme cercle (rejet)'!O242</f>
        <v>0.25452654769014749</v>
      </c>
      <c r="E237">
        <f t="shared" ca="1" si="25"/>
        <v>0.22068575029639381</v>
      </c>
      <c r="F237">
        <f t="shared" ca="1" si="26"/>
        <v>0.93641900053913218</v>
      </c>
      <c r="G237">
        <f t="shared" ca="1" si="27"/>
        <v>0</v>
      </c>
      <c r="H237" t="e">
        <f t="shared" ca="1" si="28"/>
        <v>#N/A</v>
      </c>
      <c r="I237" t="e">
        <f t="shared" ca="1" si="29"/>
        <v>#N/A</v>
      </c>
    </row>
    <row r="238" spans="1:9" x14ac:dyDescent="0.2">
      <c r="A238">
        <f>'uniforme cercle (rejet)'!L243</f>
        <v>234</v>
      </c>
      <c r="B238">
        <f ca="1">'uniforme cercle (rejet)'!M243</f>
        <v>0.79811305130147092</v>
      </c>
      <c r="C238">
        <f ca="1">'uniforme cercle (rejet)'!N243</f>
        <v>-0.41300355702679958</v>
      </c>
      <c r="D238">
        <f ca="1">'uniforme cercle (rejet)'!O243</f>
        <v>0.89864140833512296</v>
      </c>
      <c r="E238">
        <f t="shared" ca="1" si="25"/>
        <v>0.27231353490094201</v>
      </c>
      <c r="F238">
        <f t="shared" ca="1" si="26"/>
        <v>0.96044098543318213</v>
      </c>
      <c r="G238">
        <f t="shared" ca="1" si="27"/>
        <v>0</v>
      </c>
      <c r="H238" t="e">
        <f t="shared" ca="1" si="28"/>
        <v>#N/A</v>
      </c>
      <c r="I238" t="e">
        <f t="shared" ca="1" si="29"/>
        <v>#N/A</v>
      </c>
    </row>
    <row r="239" spans="1:9" x14ac:dyDescent="0.2">
      <c r="A239">
        <f>'uniforme cercle (rejet)'!L244</f>
        <v>235</v>
      </c>
      <c r="B239">
        <f ca="1">'uniforme cercle (rejet)'!M244</f>
        <v>-0.21024126143005351</v>
      </c>
      <c r="C239">
        <f ca="1">'uniforme cercle (rejet)'!N244</f>
        <v>-0.82975559310936298</v>
      </c>
      <c r="D239">
        <f ca="1">'uniforme cercle (rejet)'!O244</f>
        <v>0.85597647882635819</v>
      </c>
      <c r="E239">
        <f t="shared" ca="1" si="25"/>
        <v>0.73538882825750085</v>
      </c>
      <c r="F239">
        <f t="shared" ca="1" si="26"/>
        <v>1.507545218838688</v>
      </c>
      <c r="G239">
        <f t="shared" ca="1" si="27"/>
        <v>0</v>
      </c>
      <c r="H239" t="e">
        <f t="shared" ca="1" si="28"/>
        <v>#N/A</v>
      </c>
      <c r="I239" t="e">
        <f t="shared" ca="1" si="29"/>
        <v>#N/A</v>
      </c>
    </row>
    <row r="240" spans="1:9" x14ac:dyDescent="0.2">
      <c r="A240">
        <f>'uniforme cercle (rejet)'!L245</f>
        <v>236</v>
      </c>
      <c r="B240">
        <f ca="1">'uniforme cercle (rejet)'!M245</f>
        <v>0.78059967654771478</v>
      </c>
      <c r="C240">
        <f ca="1">'uniforme cercle (rejet)'!N245</f>
        <v>-0.46524403790958813</v>
      </c>
      <c r="D240">
        <f ca="1">'uniforme cercle (rejet)'!O245</f>
        <v>0.90872871080252293</v>
      </c>
      <c r="E240">
        <f t="shared" ca="1" si="25"/>
        <v>0.22299011056643378</v>
      </c>
      <c r="F240">
        <f t="shared" ca="1" si="26"/>
        <v>1.0052025821687331</v>
      </c>
      <c r="G240">
        <f t="shared" ca="1" si="27"/>
        <v>0</v>
      </c>
      <c r="H240" t="e">
        <f t="shared" ca="1" si="28"/>
        <v>#N/A</v>
      </c>
      <c r="I240" t="e">
        <f t="shared" ca="1" si="29"/>
        <v>#N/A</v>
      </c>
    </row>
    <row r="241" spans="1:9" x14ac:dyDescent="0.2">
      <c r="A241">
        <f>'uniforme cercle (rejet)'!L246</f>
        <v>237</v>
      </c>
      <c r="B241">
        <f ca="1">'uniforme cercle (rejet)'!M246</f>
        <v>-0.53261164325099353</v>
      </c>
      <c r="C241">
        <f ca="1">'uniforme cercle (rejet)'!N246</f>
        <v>0.29160618244841663</v>
      </c>
      <c r="D241">
        <f ca="1">'uniforme cercle (rejet)'!O246</f>
        <v>0.6072144004951322</v>
      </c>
      <c r="E241">
        <f t="shared" ca="1" si="25"/>
        <v>0.17041659563649078</v>
      </c>
      <c r="F241">
        <f t="shared" ca="1" si="26"/>
        <v>1.0534300114251729</v>
      </c>
      <c r="G241">
        <f t="shared" ca="1" si="27"/>
        <v>0</v>
      </c>
      <c r="H241" t="e">
        <f t="shared" ca="1" si="28"/>
        <v>#N/A</v>
      </c>
      <c r="I241" t="e">
        <f t="shared" ca="1" si="29"/>
        <v>#N/A</v>
      </c>
    </row>
    <row r="242" spans="1:9" x14ac:dyDescent="0.2">
      <c r="A242">
        <f>'uniforme cercle (rejet)'!L247</f>
        <v>238</v>
      </c>
      <c r="B242">
        <f ca="1">'uniforme cercle (rejet)'!M247</f>
        <v>-0.38856703549400673</v>
      </c>
      <c r="C242">
        <f ca="1">'uniforme cercle (rejet)'!N247</f>
        <v>0.31690565349567312</v>
      </c>
      <c r="D242">
        <f ca="1">'uniforme cercle (rejet)'!O247</f>
        <v>0.501411541839755</v>
      </c>
      <c r="E242">
        <f t="shared" ca="1" si="25"/>
        <v>5.0672249160221276E-2</v>
      </c>
      <c r="F242">
        <f t="shared" ca="1" si="26"/>
        <v>0.90723476360226296</v>
      </c>
      <c r="G242">
        <f t="shared" ca="1" si="27"/>
        <v>0</v>
      </c>
      <c r="H242" t="e">
        <f t="shared" ca="1" si="28"/>
        <v>#N/A</v>
      </c>
      <c r="I242" t="e">
        <f t="shared" ca="1" si="29"/>
        <v>#N/A</v>
      </c>
    </row>
    <row r="243" spans="1:9" x14ac:dyDescent="0.2">
      <c r="A243">
        <f>'uniforme cercle (rejet)'!L248</f>
        <v>239</v>
      </c>
      <c r="B243">
        <f ca="1">'uniforme cercle (rejet)'!M248</f>
        <v>-3.0890721495921536E-2</v>
      </c>
      <c r="C243">
        <f ca="1">'uniforme cercle (rejet)'!N248</f>
        <v>0.58221209111843497</v>
      </c>
      <c r="D243">
        <f ca="1">'uniforme cercle (rejet)'!O248</f>
        <v>0.58303100751078363</v>
      </c>
      <c r="E243">
        <f t="shared" ca="1" si="25"/>
        <v>0.38984307907313431</v>
      </c>
      <c r="F243">
        <f t="shared" ca="1" si="26"/>
        <v>0.53721856454940753</v>
      </c>
      <c r="G243">
        <f t="shared" ca="1" si="27"/>
        <v>1</v>
      </c>
      <c r="H243">
        <f t="shared" ca="1" si="28"/>
        <v>-3.0890721495921536E-2</v>
      </c>
      <c r="I243">
        <f t="shared" ca="1" si="29"/>
        <v>0.58221209111843497</v>
      </c>
    </row>
    <row r="244" spans="1:9" x14ac:dyDescent="0.2">
      <c r="A244">
        <f>'uniforme cercle (rejet)'!L249</f>
        <v>240</v>
      </c>
      <c r="B244">
        <f ca="1">'uniforme cercle (rejet)'!M249</f>
        <v>-0.46826499217963824</v>
      </c>
      <c r="C244">
        <f ca="1">'uniforme cercle (rejet)'!N249</f>
        <v>-0.35296035162692463</v>
      </c>
      <c r="D244">
        <f ca="1">'uniforme cercle (rejet)'!O249</f>
        <v>0.58638989820903198</v>
      </c>
      <c r="E244">
        <f t="shared" ca="1" si="25"/>
        <v>0.58069400948787442</v>
      </c>
      <c r="F244">
        <f t="shared" ca="1" si="26"/>
        <v>1.2903791909854103</v>
      </c>
      <c r="G244">
        <f t="shared" ca="1" si="27"/>
        <v>0</v>
      </c>
      <c r="H244" t="e">
        <f t="shared" ca="1" si="28"/>
        <v>#N/A</v>
      </c>
      <c r="I244" t="e">
        <f t="shared" ca="1" si="29"/>
        <v>#N/A</v>
      </c>
    </row>
    <row r="245" spans="1:9" x14ac:dyDescent="0.2">
      <c r="A245">
        <f>'uniforme cercle (rejet)'!L250</f>
        <v>241</v>
      </c>
      <c r="B245">
        <f ca="1">'uniforme cercle (rejet)'!M250</f>
        <v>2.236175422472142E-2</v>
      </c>
      <c r="C245">
        <f ca="1">'uniforme cercle (rejet)'!N250</f>
        <v>-0.33570148090837915</v>
      </c>
      <c r="D245">
        <f ca="1">'uniforme cercle (rejet)'!O250</f>
        <v>0.33644543738336785</v>
      </c>
      <c r="E245">
        <f t="shared" ca="1" si="25"/>
        <v>0.22156464555315378</v>
      </c>
      <c r="F245">
        <f t="shared" ca="1" si="26"/>
        <v>0.962567015339578</v>
      </c>
      <c r="G245">
        <f t="shared" ca="1" si="27"/>
        <v>0</v>
      </c>
      <c r="H245" t="e">
        <f t="shared" ca="1" si="28"/>
        <v>#N/A</v>
      </c>
      <c r="I245" t="e">
        <f t="shared" ca="1" si="29"/>
        <v>#N/A</v>
      </c>
    </row>
    <row r="246" spans="1:9" x14ac:dyDescent="0.2">
      <c r="A246">
        <f>'uniforme cercle (rejet)'!L251</f>
        <v>242</v>
      </c>
      <c r="B246">
        <f ca="1">'uniforme cercle (rejet)'!M251</f>
        <v>-0.60906964774133932</v>
      </c>
      <c r="C246">
        <f ca="1">'uniforme cercle (rejet)'!N251</f>
        <v>0.27378473020086425</v>
      </c>
      <c r="D246">
        <f ca="1">'uniforme cercle (rejet)'!O251</f>
        <v>0.66777534717217524</v>
      </c>
      <c r="E246">
        <f t="shared" ca="1" si="25"/>
        <v>0.23708223882244231</v>
      </c>
      <c r="F246">
        <f t="shared" ca="1" si="26"/>
        <v>1.1319049570663582</v>
      </c>
      <c r="G246">
        <f t="shared" ca="1" si="27"/>
        <v>0</v>
      </c>
      <c r="H246" t="e">
        <f t="shared" ca="1" si="28"/>
        <v>#N/A</v>
      </c>
      <c r="I246" t="e">
        <f t="shared" ca="1" si="29"/>
        <v>#N/A</v>
      </c>
    </row>
    <row r="247" spans="1:9" x14ac:dyDescent="0.2">
      <c r="A247">
        <f>'uniforme cercle (rejet)'!L252</f>
        <v>243</v>
      </c>
      <c r="B247">
        <f ca="1">'uniforme cercle (rejet)'!M252</f>
        <v>-0.49165666893455962</v>
      </c>
      <c r="C247">
        <f ca="1">'uniforme cercle (rejet)'!N252</f>
        <v>0.58629651666330718</v>
      </c>
      <c r="D247">
        <f ca="1">'uniforme cercle (rejet)'!O252</f>
        <v>0.76516003918092501</v>
      </c>
      <c r="E247">
        <f t="shared" ca="1" si="25"/>
        <v>6.6920478099459668E-2</v>
      </c>
      <c r="F247">
        <f t="shared" ca="1" si="26"/>
        <v>0.99540445941868638</v>
      </c>
      <c r="G247">
        <f t="shared" ca="1" si="27"/>
        <v>0</v>
      </c>
      <c r="H247" t="e">
        <f t="shared" ca="1" si="28"/>
        <v>#N/A</v>
      </c>
      <c r="I247" t="e">
        <f t="shared" ca="1" si="29"/>
        <v>#N/A</v>
      </c>
    </row>
    <row r="248" spans="1:9" x14ac:dyDescent="0.2">
      <c r="A248">
        <f>'uniforme cercle (rejet)'!L253</f>
        <v>244</v>
      </c>
      <c r="B248">
        <f ca="1">'uniforme cercle (rejet)'!M253</f>
        <v>-0.87105376787406308</v>
      </c>
      <c r="C248">
        <f ca="1">'uniforme cercle (rejet)'!N253</f>
        <v>-0.3444587939065511</v>
      </c>
      <c r="D248">
        <f ca="1">'uniforme cercle (rejet)'!O253</f>
        <v>0.9366891305161803</v>
      </c>
      <c r="E248">
        <f t="shared" ca="1" si="25"/>
        <v>0.85949717505250467</v>
      </c>
      <c r="F248">
        <f t="shared" ca="1" si="26"/>
        <v>1.6102481451651396</v>
      </c>
      <c r="G248">
        <f t="shared" ca="1" si="27"/>
        <v>0</v>
      </c>
      <c r="H248" t="e">
        <f t="shared" ca="1" si="28"/>
        <v>#N/A</v>
      </c>
      <c r="I248" t="e">
        <f t="shared" ca="1" si="29"/>
        <v>#N/A</v>
      </c>
    </row>
    <row r="249" spans="1:9" x14ac:dyDescent="0.2">
      <c r="A249">
        <f>'uniforme cercle (rejet)'!L254</f>
        <v>245</v>
      </c>
      <c r="B249">
        <f ca="1">'uniforme cercle (rejet)'!M254</f>
        <v>-0.16911596373500082</v>
      </c>
      <c r="C249">
        <f ca="1">'uniforme cercle (rejet)'!N254</f>
        <v>0.53542849193638076</v>
      </c>
      <c r="D249">
        <f ca="1">'uniforme cercle (rejet)'!O254</f>
        <v>0.5615014507258953</v>
      </c>
      <c r="E249">
        <f t="shared" ca="1" si="25"/>
        <v>0.25902207272478417</v>
      </c>
      <c r="F249">
        <f t="shared" ca="1" si="26"/>
        <v>0.67005324487379747</v>
      </c>
      <c r="G249">
        <f t="shared" ca="1" si="27"/>
        <v>0</v>
      </c>
      <c r="H249" t="e">
        <f t="shared" ca="1" si="28"/>
        <v>#N/A</v>
      </c>
      <c r="I249" t="e">
        <f t="shared" ca="1" si="29"/>
        <v>#N/A</v>
      </c>
    </row>
    <row r="250" spans="1:9" x14ac:dyDescent="0.2">
      <c r="A250">
        <f>'uniforme cercle (rejet)'!L255</f>
        <v>246</v>
      </c>
      <c r="B250">
        <f ca="1">'uniforme cercle (rejet)'!M255</f>
        <v>-0.13017569524902783</v>
      </c>
      <c r="C250">
        <f ca="1">'uniforme cercle (rejet)'!N255</f>
        <v>-0.94887301630672383</v>
      </c>
      <c r="D250">
        <f ca="1">'uniforme cercle (rejet)'!O255</f>
        <v>0.95776078052329328</v>
      </c>
      <c r="E250">
        <f t="shared" ca="1" si="25"/>
        <v>0.76300266117167892</v>
      </c>
      <c r="F250">
        <f t="shared" ca="1" si="26"/>
        <v>1.5799855772330136</v>
      </c>
      <c r="G250">
        <f t="shared" ca="1" si="27"/>
        <v>0</v>
      </c>
      <c r="H250" t="e">
        <f t="shared" ca="1" si="28"/>
        <v>#N/A</v>
      </c>
      <c r="I250" t="e">
        <f t="shared" ca="1" si="29"/>
        <v>#N/A</v>
      </c>
    </row>
    <row r="251" spans="1:9" x14ac:dyDescent="0.2">
      <c r="A251">
        <f>'uniforme cercle (rejet)'!L256</f>
        <v>247</v>
      </c>
      <c r="B251">
        <f ca="1">'uniforme cercle (rejet)'!M256</f>
        <v>-0.31544042386176874</v>
      </c>
      <c r="C251">
        <f ca="1">'uniforme cercle (rejet)'!N256</f>
        <v>0.68182119679808606</v>
      </c>
      <c r="D251">
        <f ca="1">'uniforme cercle (rejet)'!O256</f>
        <v>0.75125415500299675</v>
      </c>
      <c r="E251">
        <f t="shared" ca="1" si="25"/>
        <v>0.25907032903963867</v>
      </c>
      <c r="F251">
        <f t="shared" ca="1" si="26"/>
        <v>0.83546515934115972</v>
      </c>
      <c r="G251">
        <f t="shared" ca="1" si="27"/>
        <v>0</v>
      </c>
      <c r="H251" t="e">
        <f t="shared" ca="1" si="28"/>
        <v>#N/A</v>
      </c>
      <c r="I251" t="e">
        <f t="shared" ca="1" si="29"/>
        <v>#N/A</v>
      </c>
    </row>
    <row r="252" spans="1:9" x14ac:dyDescent="0.2">
      <c r="A252">
        <f>'uniforme cercle (rejet)'!L257</f>
        <v>248</v>
      </c>
      <c r="B252">
        <f ca="1">'uniforme cercle (rejet)'!M257</f>
        <v>0.20744178398669089</v>
      </c>
      <c r="C252">
        <f ca="1">'uniforme cercle (rejet)'!N257</f>
        <v>-0.43091355063759584</v>
      </c>
      <c r="D252">
        <f ca="1">'uniforme cercle (rejet)'!O257</f>
        <v>0.47824531557212435</v>
      </c>
      <c r="E252">
        <f t="shared" ca="1" si="25"/>
        <v>0.15801840160259265</v>
      </c>
      <c r="F252">
        <f t="shared" ca="1" si="26"/>
        <v>0.97580241264181433</v>
      </c>
      <c r="G252">
        <f t="shared" ca="1" si="27"/>
        <v>0</v>
      </c>
      <c r="H252" t="e">
        <f t="shared" ca="1" si="28"/>
        <v>#N/A</v>
      </c>
      <c r="I252" t="e">
        <f t="shared" ca="1" si="29"/>
        <v>#N/A</v>
      </c>
    </row>
    <row r="253" spans="1:9" x14ac:dyDescent="0.2">
      <c r="A253">
        <f>'uniforme cercle (rejet)'!L258</f>
        <v>249</v>
      </c>
      <c r="B253">
        <f ca="1">'uniforme cercle (rejet)'!M258</f>
        <v>0.78947090007764409</v>
      </c>
      <c r="C253">
        <f ca="1">'uniforme cercle (rejet)'!N258</f>
        <v>-0.44183033605688871</v>
      </c>
      <c r="D253">
        <f ca="1">'uniforme cercle (rejet)'!O258</f>
        <v>0.90469793186983072</v>
      </c>
      <c r="E253">
        <f t="shared" ca="1" si="25"/>
        <v>0.24581900023459224</v>
      </c>
      <c r="F253">
        <f t="shared" ca="1" si="26"/>
        <v>0.98531100872201427</v>
      </c>
      <c r="G253">
        <f t="shared" ca="1" si="27"/>
        <v>0</v>
      </c>
      <c r="H253" t="e">
        <f t="shared" ca="1" si="28"/>
        <v>#N/A</v>
      </c>
      <c r="I253" t="e">
        <f t="shared" ca="1" si="29"/>
        <v>#N/A</v>
      </c>
    </row>
    <row r="254" spans="1:9" x14ac:dyDescent="0.2">
      <c r="A254">
        <f>'uniforme cercle (rejet)'!L259</f>
        <v>250</v>
      </c>
      <c r="B254">
        <f ca="1">'uniforme cercle (rejet)'!M259</f>
        <v>-0.91382075709878796</v>
      </c>
      <c r="C254">
        <f ca="1">'uniforme cercle (rejet)'!N259</f>
        <v>-0.30889189501518488</v>
      </c>
      <c r="D254">
        <f ca="1">'uniforme cercle (rejet)'!O259</f>
        <v>0.96461524915930807</v>
      </c>
      <c r="E254">
        <f t="shared" ca="1" si="25"/>
        <v>0.86458840775237811</v>
      </c>
      <c r="F254">
        <f t="shared" ca="1" si="26"/>
        <v>1.6288631713635884</v>
      </c>
      <c r="G254">
        <f t="shared" ca="1" si="27"/>
        <v>0</v>
      </c>
      <c r="H254" t="e">
        <f t="shared" ca="1" si="28"/>
        <v>#N/A</v>
      </c>
      <c r="I254" t="e">
        <f t="shared" ca="1" si="29"/>
        <v>#N/A</v>
      </c>
    </row>
    <row r="255" spans="1:9" x14ac:dyDescent="0.2">
      <c r="A255">
        <f>'uniforme cercle (rejet)'!L260</f>
        <v>251</v>
      </c>
      <c r="B255">
        <f ca="1">'uniforme cercle (rejet)'!M260</f>
        <v>-0.81034919280714401</v>
      </c>
      <c r="C255">
        <f ca="1">'uniforme cercle (rejet)'!N260</f>
        <v>-7.032537086178503E-2</v>
      </c>
      <c r="D255">
        <f ca="1">'uniforme cercle (rejet)'!O260</f>
        <v>0.81339502830422894</v>
      </c>
      <c r="E255">
        <f t="shared" ca="1" si="25"/>
        <v>0.62273095598880357</v>
      </c>
      <c r="F255">
        <f t="shared" ca="1" si="26"/>
        <v>1.429085734215749</v>
      </c>
      <c r="G255">
        <f t="shared" ca="1" si="27"/>
        <v>0</v>
      </c>
      <c r="H255" t="e">
        <f t="shared" ca="1" si="28"/>
        <v>#N/A</v>
      </c>
      <c r="I255" t="e">
        <f t="shared" ca="1" si="29"/>
        <v>#N/A</v>
      </c>
    </row>
    <row r="256" spans="1:9" x14ac:dyDescent="0.2">
      <c r="A256">
        <f>'uniforme cercle (rejet)'!L261</f>
        <v>252</v>
      </c>
      <c r="B256">
        <f ca="1">'uniforme cercle (rejet)'!M261</f>
        <v>0.50220010809376436</v>
      </c>
      <c r="C256">
        <f ca="1">'uniforme cercle (rejet)'!N261</f>
        <v>-0.36138505453567027</v>
      </c>
      <c r="D256">
        <f ca="1">'uniforme cercle (rejet)'!O261</f>
        <v>0.61871165029530362</v>
      </c>
      <c r="E256">
        <f t="shared" ca="1" si="25"/>
        <v>9.9571279264075219E-2</v>
      </c>
      <c r="F256">
        <f t="shared" ca="1" si="26"/>
        <v>0.86138786423599201</v>
      </c>
      <c r="G256">
        <f t="shared" ca="1" si="27"/>
        <v>0</v>
      </c>
      <c r="H256" t="e">
        <f t="shared" ca="1" si="28"/>
        <v>#N/A</v>
      </c>
      <c r="I256" t="e">
        <f t="shared" ca="1" si="29"/>
        <v>#N/A</v>
      </c>
    </row>
    <row r="257" spans="1:9" x14ac:dyDescent="0.2">
      <c r="A257">
        <f>'uniforme cercle (rejet)'!L262</f>
        <v>253</v>
      </c>
      <c r="B257">
        <f ca="1">'uniforme cercle (rejet)'!M262</f>
        <v>0.42284489542996129</v>
      </c>
      <c r="C257">
        <f ca="1">'uniforme cercle (rejet)'!N262</f>
        <v>0.65168079104548049</v>
      </c>
      <c r="D257">
        <f ca="1">'uniforme cercle (rejet)'!O262</f>
        <v>0.77684339413348824</v>
      </c>
      <c r="E257">
        <f t="shared" ca="1" si="25"/>
        <v>0.75980439946591494</v>
      </c>
      <c r="F257">
        <f t="shared" ca="1" si="26"/>
        <v>0.17017629838904219</v>
      </c>
      <c r="G257">
        <f t="shared" ca="1" si="27"/>
        <v>0</v>
      </c>
      <c r="H257" t="e">
        <f t="shared" ca="1" si="28"/>
        <v>#N/A</v>
      </c>
      <c r="I257" t="e">
        <f t="shared" ca="1" si="29"/>
        <v>#N/A</v>
      </c>
    </row>
    <row r="258" spans="1:9" x14ac:dyDescent="0.2">
      <c r="A258">
        <f>'uniforme cercle (rejet)'!L263</f>
        <v>254</v>
      </c>
      <c r="B258">
        <f ca="1">'uniforme cercle (rejet)'!M263</f>
        <v>0.30467521754913696</v>
      </c>
      <c r="C258">
        <f ca="1">'uniforme cercle (rejet)'!N263</f>
        <v>0.38645615628379559</v>
      </c>
      <c r="D258">
        <f ca="1">'uniforme cercle (rejet)'!O263</f>
        <v>0.49211314645948989</v>
      </c>
      <c r="E258">
        <f t="shared" ca="1" si="25"/>
        <v>0.48870368112804141</v>
      </c>
      <c r="F258">
        <f t="shared" ca="1" si="26"/>
        <v>0.22592913730930506</v>
      </c>
      <c r="G258">
        <f t="shared" ca="1" si="27"/>
        <v>1</v>
      </c>
      <c r="H258">
        <f t="shared" ca="1" si="28"/>
        <v>0.30467521754913696</v>
      </c>
      <c r="I258">
        <f t="shared" ca="1" si="29"/>
        <v>0.38645615628379559</v>
      </c>
    </row>
    <row r="259" spans="1:9" x14ac:dyDescent="0.2">
      <c r="A259">
        <f>'uniforme cercle (rejet)'!L264</f>
        <v>255</v>
      </c>
      <c r="B259">
        <f ca="1">'uniforme cercle (rejet)'!M264</f>
        <v>0.27033828547836602</v>
      </c>
      <c r="C259">
        <f ca="1">'uniforme cercle (rejet)'!N264</f>
        <v>-0.70380752596547147</v>
      </c>
      <c r="D259">
        <f ca="1">'uniforme cercle (rejet)'!O264</f>
        <v>0.75394152439099704</v>
      </c>
      <c r="E259">
        <f t="shared" ca="1" si="25"/>
        <v>0.30650903938421464</v>
      </c>
      <c r="F259">
        <f t="shared" ca="1" si="26"/>
        <v>1.2255190992751299</v>
      </c>
      <c r="G259">
        <f t="shared" ca="1" si="27"/>
        <v>0</v>
      </c>
      <c r="H259" t="e">
        <f t="shared" ca="1" si="28"/>
        <v>#N/A</v>
      </c>
      <c r="I259" t="e">
        <f t="shared" ca="1" si="29"/>
        <v>#N/A</v>
      </c>
    </row>
    <row r="260" spans="1:9" x14ac:dyDescent="0.2">
      <c r="A260">
        <f>'uniforme cercle (rejet)'!L265</f>
        <v>256</v>
      </c>
      <c r="B260">
        <f ca="1">'uniforme cercle (rejet)'!M265</f>
        <v>0.71378882963168211</v>
      </c>
      <c r="C260">
        <f ca="1">'uniforme cercle (rejet)'!N265</f>
        <v>4.2720720944879886E-3</v>
      </c>
      <c r="D260">
        <f ca="1">'uniforme cercle (rejet)'!O265</f>
        <v>0.71380161383044449</v>
      </c>
      <c r="E260">
        <f t="shared" ca="1" si="25"/>
        <v>0.50774573291550207</v>
      </c>
      <c r="F260">
        <f t="shared" ca="1" si="26"/>
        <v>0.53986279940441995</v>
      </c>
      <c r="G260">
        <f t="shared" ca="1" si="27"/>
        <v>1</v>
      </c>
      <c r="H260">
        <f t="shared" ca="1" si="28"/>
        <v>0.71378882963168211</v>
      </c>
      <c r="I260">
        <f t="shared" ca="1" si="29"/>
        <v>4.2720720944879886E-3</v>
      </c>
    </row>
    <row r="261" spans="1:9" x14ac:dyDescent="0.2">
      <c r="A261">
        <f>'uniforme cercle (rejet)'!L266</f>
        <v>257</v>
      </c>
      <c r="B261">
        <f ca="1">'uniforme cercle (rejet)'!M266</f>
        <v>0.51891968858752913</v>
      </c>
      <c r="C261">
        <f ca="1">'uniforme cercle (rejet)'!N266</f>
        <v>-0.32876404161086348</v>
      </c>
      <c r="D261">
        <f ca="1">'uniforme cercle (rejet)'!O266</f>
        <v>0.61429914395194118</v>
      </c>
      <c r="E261">
        <f t="shared" ca="1" si="25"/>
        <v>0.1344603474581155</v>
      </c>
      <c r="F261">
        <f t="shared" ca="1" si="26"/>
        <v>0.82897997037529325</v>
      </c>
      <c r="G261">
        <f t="shared" ca="1" si="27"/>
        <v>0</v>
      </c>
      <c r="H261" t="e">
        <f t="shared" ca="1" si="28"/>
        <v>#N/A</v>
      </c>
      <c r="I261" t="e">
        <f t="shared" ca="1" si="29"/>
        <v>#N/A</v>
      </c>
    </row>
    <row r="262" spans="1:9" x14ac:dyDescent="0.2">
      <c r="A262">
        <f>'uniforme cercle (rejet)'!L267</f>
        <v>258</v>
      </c>
      <c r="B262">
        <f ca="1">'uniforme cercle (rejet)'!M267</f>
        <v>-0.30173540505473939</v>
      </c>
      <c r="C262">
        <f ca="1">'uniforme cercle (rejet)'!N267</f>
        <v>0.72317710191591411</v>
      </c>
      <c r="D262">
        <f ca="1">'uniforme cercle (rejet)'!O267</f>
        <v>0.78360026505805114</v>
      </c>
      <c r="E262">
        <f t="shared" ca="1" si="25"/>
        <v>0.29800428172530197</v>
      </c>
      <c r="F262">
        <f t="shared" ca="1" si="26"/>
        <v>0.83221852811498576</v>
      </c>
      <c r="G262">
        <f t="shared" ca="1" si="27"/>
        <v>0</v>
      </c>
      <c r="H262" t="e">
        <f t="shared" ca="1" si="28"/>
        <v>#N/A</v>
      </c>
      <c r="I262" t="e">
        <f t="shared" ca="1" si="29"/>
        <v>#N/A</v>
      </c>
    </row>
    <row r="263" spans="1:9" x14ac:dyDescent="0.2">
      <c r="A263">
        <f>'uniforme cercle (rejet)'!L268</f>
        <v>259</v>
      </c>
      <c r="B263">
        <f ca="1">'uniforme cercle (rejet)'!M268</f>
        <v>6.6293946739651277E-2</v>
      </c>
      <c r="C263">
        <f ca="1">'uniforme cercle (rejet)'!N268</f>
        <v>4.5999685507583266E-2</v>
      </c>
      <c r="D263">
        <f ca="1">'uniforme cercle (rejet)'!O268</f>
        <v>8.0689890575686651E-2</v>
      </c>
      <c r="E263">
        <f t="shared" ca="1" si="25"/>
        <v>7.9403588846087905E-2</v>
      </c>
      <c r="F263">
        <f t="shared" ca="1" si="26"/>
        <v>0.62786720426685916</v>
      </c>
      <c r="G263">
        <f t="shared" ca="1" si="27"/>
        <v>0</v>
      </c>
      <c r="H263" t="e">
        <f t="shared" ca="1" si="28"/>
        <v>#N/A</v>
      </c>
      <c r="I263" t="e">
        <f t="shared" ca="1" si="29"/>
        <v>#N/A</v>
      </c>
    </row>
    <row r="264" spans="1:9" x14ac:dyDescent="0.2">
      <c r="A264">
        <f>'uniforme cercle (rejet)'!L269</f>
        <v>260</v>
      </c>
      <c r="B264">
        <f ca="1">'uniforme cercle (rejet)'!M269</f>
        <v>-0.35204826827594693</v>
      </c>
      <c r="C264">
        <f ca="1">'uniforme cercle (rejet)'!N269</f>
        <v>-0.16502223983008557</v>
      </c>
      <c r="D264">
        <f ca="1">'uniforme cercle (rejet)'!O269</f>
        <v>0.38880627931481687</v>
      </c>
      <c r="E264">
        <f t="shared" ca="1" si="25"/>
        <v>0.36562406263334929</v>
      </c>
      <c r="F264">
        <f t="shared" ca="1" si="26"/>
        <v>1.0808519005583808</v>
      </c>
      <c r="G264">
        <f t="shared" ca="1" si="27"/>
        <v>0</v>
      </c>
      <c r="H264" t="e">
        <f t="shared" ca="1" si="28"/>
        <v>#N/A</v>
      </c>
      <c r="I264" t="e">
        <f t="shared" ca="1" si="29"/>
        <v>#N/A</v>
      </c>
    </row>
    <row r="265" spans="1:9" x14ac:dyDescent="0.2">
      <c r="A265">
        <f>'uniforme cercle (rejet)'!L270</f>
        <v>261</v>
      </c>
      <c r="B265">
        <f ca="1">'uniforme cercle (rejet)'!M270</f>
        <v>0.63734370719098354</v>
      </c>
      <c r="C265">
        <f ca="1">'uniforme cercle (rejet)'!N270</f>
        <v>-0.56397443138096137</v>
      </c>
      <c r="D265">
        <f ca="1">'uniforme cercle (rejet)'!O270</f>
        <v>0.85104298384242905</v>
      </c>
      <c r="E265">
        <f t="shared" ca="1" si="25"/>
        <v>5.1879912456012804E-2</v>
      </c>
      <c r="F265">
        <f t="shared" ca="1" si="26"/>
        <v>1.0728023511054601</v>
      </c>
      <c r="G265">
        <f t="shared" ca="1" si="27"/>
        <v>0</v>
      </c>
      <c r="H265" t="e">
        <f t="shared" ca="1" si="28"/>
        <v>#N/A</v>
      </c>
      <c r="I265" t="e">
        <f t="shared" ca="1" si="29"/>
        <v>#N/A</v>
      </c>
    </row>
    <row r="266" spans="1:9" x14ac:dyDescent="0.2">
      <c r="A266">
        <f>'uniforme cercle (rejet)'!L271</f>
        <v>262</v>
      </c>
      <c r="B266">
        <f ca="1">'uniforme cercle (rejet)'!M271</f>
        <v>0.15883300634351327</v>
      </c>
      <c r="C266">
        <f ca="1">'uniforme cercle (rejet)'!N271</f>
        <v>-0.62205185129727125</v>
      </c>
      <c r="D266">
        <f ca="1">'uniforme cercle (rejet)'!O271</f>
        <v>0.64200968030589767</v>
      </c>
      <c r="E266">
        <f t="shared" ca="1" si="25"/>
        <v>0.3275451864402022</v>
      </c>
      <c r="F266">
        <f t="shared" ca="1" si="26"/>
        <v>1.1727724734833431</v>
      </c>
      <c r="G266">
        <f t="shared" ca="1" si="27"/>
        <v>0</v>
      </c>
      <c r="H266" t="e">
        <f t="shared" ca="1" si="28"/>
        <v>#N/A</v>
      </c>
      <c r="I266" t="e">
        <f t="shared" ca="1" si="29"/>
        <v>#N/A</v>
      </c>
    </row>
    <row r="267" spans="1:9" x14ac:dyDescent="0.2">
      <c r="A267">
        <f>'uniforme cercle (rejet)'!L272</f>
        <v>263</v>
      </c>
      <c r="B267">
        <f ca="1">'uniforme cercle (rejet)'!M272</f>
        <v>0.34785923715921618</v>
      </c>
      <c r="C267">
        <f ca="1">'uniforme cercle (rejet)'!N272</f>
        <v>0.52128431891560689</v>
      </c>
      <c r="D267">
        <f ca="1">'uniforme cercle (rejet)'!O272</f>
        <v>0.6266924205894786</v>
      </c>
      <c r="E267">
        <f t="shared" ca="1" si="25"/>
        <v>0.61457730232509766</v>
      </c>
      <c r="F267">
        <f t="shared" ca="1" si="26"/>
        <v>0.1536223745080022</v>
      </c>
      <c r="G267">
        <f t="shared" ca="1" si="27"/>
        <v>0</v>
      </c>
      <c r="H267" t="e">
        <f t="shared" ca="1" si="28"/>
        <v>#N/A</v>
      </c>
      <c r="I267" t="e">
        <f t="shared" ca="1" si="29"/>
        <v>#N/A</v>
      </c>
    </row>
    <row r="268" spans="1:9" x14ac:dyDescent="0.2">
      <c r="A268">
        <f>'uniforme cercle (rejet)'!L273</f>
        <v>264</v>
      </c>
      <c r="B268">
        <f ca="1">'uniforme cercle (rejet)'!M273</f>
        <v>-0.41353024281190542</v>
      </c>
      <c r="C268">
        <f ca="1">'uniforme cercle (rejet)'!N273</f>
        <v>-0.8343942617575244</v>
      </c>
      <c r="D268">
        <f ca="1">'uniforme cercle (rejet)'!O273</f>
        <v>0.93124703799472974</v>
      </c>
      <c r="E268">
        <f t="shared" ca="1" si="25"/>
        <v>0.88241587958990653</v>
      </c>
      <c r="F268">
        <f t="shared" ca="1" si="26"/>
        <v>1.6171411658675279</v>
      </c>
      <c r="G268">
        <f t="shared" ca="1" si="27"/>
        <v>0</v>
      </c>
      <c r="H268" t="e">
        <f t="shared" ca="1" si="28"/>
        <v>#N/A</v>
      </c>
      <c r="I268" t="e">
        <f t="shared" ca="1" si="29"/>
        <v>#N/A</v>
      </c>
    </row>
    <row r="269" spans="1:9" x14ac:dyDescent="0.2">
      <c r="A269">
        <f>'uniforme cercle (rejet)'!L274</f>
        <v>265</v>
      </c>
      <c r="B269">
        <f ca="1">'uniforme cercle (rejet)'!M274</f>
        <v>-0.47632185792090653</v>
      </c>
      <c r="C269">
        <f ca="1">'uniforme cercle (rejet)'!N274</f>
        <v>-0.3983998298040119</v>
      </c>
      <c r="D269">
        <f ca="1">'uniforme cercle (rejet)'!O274</f>
        <v>0.62097096286468167</v>
      </c>
      <c r="E269">
        <f t="shared" ca="1" si="25"/>
        <v>0.61852163704123142</v>
      </c>
      <c r="F269">
        <f t="shared" ca="1" si="26"/>
        <v>1.3267730116512049</v>
      </c>
      <c r="G269">
        <f t="shared" ca="1" si="27"/>
        <v>0</v>
      </c>
      <c r="H269" t="e">
        <f t="shared" ca="1" si="28"/>
        <v>#N/A</v>
      </c>
      <c r="I269" t="e">
        <f t="shared" ca="1" si="29"/>
        <v>#N/A</v>
      </c>
    </row>
    <row r="270" spans="1:9" x14ac:dyDescent="0.2">
      <c r="A270">
        <f>'uniforme cercle (rejet)'!L275</f>
        <v>266</v>
      </c>
      <c r="B270">
        <f ca="1">'uniforme cercle (rejet)'!M275</f>
        <v>-0.50576044907298812</v>
      </c>
      <c r="C270">
        <f ca="1">'uniforme cercle (rejet)'!N275</f>
        <v>-0.15933123648124203</v>
      </c>
      <c r="D270">
        <f ca="1">'uniforme cercle (rejet)'!O275</f>
        <v>0.53026415564806195</v>
      </c>
      <c r="E270">
        <f t="shared" ca="1" si="25"/>
        <v>0.47029084096618712</v>
      </c>
      <c r="F270">
        <f t="shared" ca="1" si="26"/>
        <v>1.2026103942338857</v>
      </c>
      <c r="G270">
        <f t="shared" ca="1" si="27"/>
        <v>0</v>
      </c>
      <c r="H270" t="e">
        <f t="shared" ca="1" si="28"/>
        <v>#N/A</v>
      </c>
      <c r="I270" t="e">
        <f t="shared" ca="1" si="29"/>
        <v>#N/A</v>
      </c>
    </row>
    <row r="271" spans="1:9" x14ac:dyDescent="0.2">
      <c r="A271">
        <f>'uniforme cercle (rejet)'!L276</f>
        <v>267</v>
      </c>
      <c r="B271">
        <f ca="1">'uniforme cercle (rejet)'!M276</f>
        <v>0.24321921590570472</v>
      </c>
      <c r="C271">
        <f ca="1">'uniforme cercle (rejet)'!N276</f>
        <v>0.18377987157847997</v>
      </c>
      <c r="D271">
        <f ca="1">'uniforme cercle (rejet)'!O276</f>
        <v>0.30484525284673269</v>
      </c>
      <c r="E271">
        <f t="shared" ca="1" si="25"/>
        <v>0.30193395032053488</v>
      </c>
      <c r="F271">
        <f t="shared" ca="1" si="26"/>
        <v>0.4073469537126842</v>
      </c>
      <c r="G271">
        <f t="shared" ca="1" si="27"/>
        <v>1</v>
      </c>
      <c r="H271">
        <f t="shared" ca="1" si="28"/>
        <v>0.24321921590570472</v>
      </c>
      <c r="I271">
        <f t="shared" ca="1" si="29"/>
        <v>0.18377987157847997</v>
      </c>
    </row>
    <row r="272" spans="1:9" x14ac:dyDescent="0.2">
      <c r="A272">
        <f>'uniforme cercle (rejet)'!L277</f>
        <v>268</v>
      </c>
      <c r="B272">
        <f ca="1">'uniforme cercle (rejet)'!M277</f>
        <v>-0.33200641506340323</v>
      </c>
      <c r="C272">
        <f ca="1">'uniforme cercle (rejet)'!N277</f>
        <v>0.66167072420751816</v>
      </c>
      <c r="D272">
        <f ca="1">'uniforme cercle (rejet)'!O277</f>
        <v>0.74029481081293169</v>
      </c>
      <c r="E272">
        <f t="shared" ca="1" si="25"/>
        <v>0.23310786851098203</v>
      </c>
      <c r="F272">
        <f t="shared" ca="1" si="26"/>
        <v>0.8475683440127052</v>
      </c>
      <c r="G272">
        <f t="shared" ca="1" si="27"/>
        <v>0</v>
      </c>
      <c r="H272" t="e">
        <f t="shared" ca="1" si="28"/>
        <v>#N/A</v>
      </c>
      <c r="I272" t="e">
        <f t="shared" ca="1" si="29"/>
        <v>#N/A</v>
      </c>
    </row>
    <row r="273" spans="1:9" x14ac:dyDescent="0.2">
      <c r="A273">
        <f>'uniforme cercle (rejet)'!L278</f>
        <v>269</v>
      </c>
      <c r="B273">
        <f ca="1">'uniforme cercle (rejet)'!M278</f>
        <v>-0.63649323068025554</v>
      </c>
      <c r="C273">
        <f ca="1">'uniforme cercle (rejet)'!N278</f>
        <v>4.8980587178116375E-2</v>
      </c>
      <c r="D273">
        <f ca="1">'uniforme cercle (rejet)'!O278</f>
        <v>0.63837507048920861</v>
      </c>
      <c r="E273">
        <f t="shared" ca="1" si="25"/>
        <v>0.41543417425319723</v>
      </c>
      <c r="F273">
        <f t="shared" ca="1" si="26"/>
        <v>1.222716391533311</v>
      </c>
      <c r="G273">
        <f t="shared" ca="1" si="27"/>
        <v>0</v>
      </c>
      <c r="H273" t="e">
        <f t="shared" ca="1" si="28"/>
        <v>#N/A</v>
      </c>
      <c r="I273" t="e">
        <f t="shared" ca="1" si="29"/>
        <v>#N/A</v>
      </c>
    </row>
    <row r="274" spans="1:9" x14ac:dyDescent="0.2">
      <c r="A274">
        <f>'uniforme cercle (rejet)'!L279</f>
        <v>270</v>
      </c>
      <c r="B274">
        <f ca="1">'uniforme cercle (rejet)'!M279</f>
        <v>-8.356697934618329E-2</v>
      </c>
      <c r="C274">
        <f ca="1">'uniforme cercle (rejet)'!N279</f>
        <v>0.3625854138817326</v>
      </c>
      <c r="D274">
        <f ca="1">'uniforme cercle (rejet)'!O279</f>
        <v>0.37209087921747391</v>
      </c>
      <c r="E274">
        <f t="shared" ca="1" si="25"/>
        <v>0.19729582713614169</v>
      </c>
      <c r="F274">
        <f t="shared" ca="1" si="26"/>
        <v>0.59952747048094757</v>
      </c>
      <c r="G274">
        <f t="shared" ca="1" si="27"/>
        <v>0</v>
      </c>
      <c r="H274" t="e">
        <f t="shared" ca="1" si="28"/>
        <v>#N/A</v>
      </c>
      <c r="I274" t="e">
        <f t="shared" ca="1" si="29"/>
        <v>#N/A</v>
      </c>
    </row>
    <row r="275" spans="1:9" x14ac:dyDescent="0.2">
      <c r="A275">
        <f>'uniforme cercle (rejet)'!L280</f>
        <v>271</v>
      </c>
      <c r="B275">
        <f ca="1">'uniforme cercle (rejet)'!M280</f>
        <v>-0.44646500867427785</v>
      </c>
      <c r="C275">
        <f ca="1">'uniforme cercle (rejet)'!N280</f>
        <v>0.38970998270074353</v>
      </c>
      <c r="D275">
        <f ca="1">'uniforme cercle (rejet)'!O280</f>
        <v>0.59262540832058219</v>
      </c>
      <c r="E275">
        <f t="shared" ca="1" si="25"/>
        <v>4.0131863732304755E-2</v>
      </c>
      <c r="F275">
        <f t="shared" ca="1" si="26"/>
        <v>0.95286929878166982</v>
      </c>
      <c r="G275">
        <f t="shared" ca="1" si="27"/>
        <v>0</v>
      </c>
      <c r="H275" t="e">
        <f t="shared" ca="1" si="28"/>
        <v>#N/A</v>
      </c>
      <c r="I275" t="e">
        <f t="shared" ca="1" si="29"/>
        <v>#N/A</v>
      </c>
    </row>
    <row r="276" spans="1:9" x14ac:dyDescent="0.2">
      <c r="A276">
        <f>'uniforme cercle (rejet)'!L281</f>
        <v>272</v>
      </c>
      <c r="B276">
        <f ca="1">'uniforme cercle (rejet)'!M281</f>
        <v>3.2772814029315755E-2</v>
      </c>
      <c r="C276">
        <f ca="1">'uniforme cercle (rejet)'!N281</f>
        <v>-0.41489898002795189</v>
      </c>
      <c r="D276">
        <f ca="1">'uniforme cercle (rejet)'!O281</f>
        <v>0.41619132735754466</v>
      </c>
      <c r="E276">
        <f t="shared" ca="1" si="25"/>
        <v>0.27020400324645194</v>
      </c>
      <c r="F276">
        <f t="shared" ca="1" si="26"/>
        <v>1.0272981003419948</v>
      </c>
      <c r="G276">
        <f t="shared" ca="1" si="27"/>
        <v>0</v>
      </c>
      <c r="H276" t="e">
        <f t="shared" ca="1" si="28"/>
        <v>#N/A</v>
      </c>
      <c r="I276" t="e">
        <f t="shared" ca="1" si="29"/>
        <v>#N/A</v>
      </c>
    </row>
    <row r="277" spans="1:9" x14ac:dyDescent="0.2">
      <c r="A277">
        <f>'uniforme cercle (rejet)'!L282</f>
        <v>273</v>
      </c>
      <c r="B277">
        <f ca="1">'uniforme cercle (rejet)'!M282</f>
        <v>-0.69942318589266139</v>
      </c>
      <c r="C277">
        <f ca="1">'uniforme cercle (rejet)'!N282</f>
        <v>-0.4119795457034896</v>
      </c>
      <c r="D277">
        <f ca="1">'uniforme cercle (rejet)'!O282</f>
        <v>0.81173883672169711</v>
      </c>
      <c r="E277">
        <f t="shared" ca="1" si="25"/>
        <v>0.78588040814089077</v>
      </c>
      <c r="F277">
        <f t="shared" ca="1" si="26"/>
        <v>1.5067589955392484</v>
      </c>
      <c r="G277">
        <f t="shared" ca="1" si="27"/>
        <v>0</v>
      </c>
      <c r="H277" t="e">
        <f t="shared" ca="1" si="28"/>
        <v>#N/A</v>
      </c>
      <c r="I277" t="e">
        <f t="shared" ca="1" si="29"/>
        <v>#N/A</v>
      </c>
    </row>
    <row r="278" spans="1:9" x14ac:dyDescent="0.2">
      <c r="A278">
        <f>'uniforme cercle (rejet)'!L283</f>
        <v>274</v>
      </c>
      <c r="B278">
        <f ca="1">'uniforme cercle (rejet)'!M283</f>
        <v>-0.64401591962906846</v>
      </c>
      <c r="C278">
        <f ca="1">'uniforme cercle (rejet)'!N283</f>
        <v>-0.12526044178057139</v>
      </c>
      <c r="D278">
        <f ca="1">'uniforme cercle (rejet)'!O283</f>
        <v>0.65608435662705655</v>
      </c>
      <c r="E278">
        <f t="shared" ca="1" si="25"/>
        <v>0.54396053175926973</v>
      </c>
      <c r="F278">
        <f t="shared" ca="1" si="26"/>
        <v>1.3037342690979548</v>
      </c>
      <c r="G278">
        <f t="shared" ca="1" si="27"/>
        <v>0</v>
      </c>
      <c r="H278" t="e">
        <f t="shared" ca="1" si="28"/>
        <v>#N/A</v>
      </c>
      <c r="I278" t="e">
        <f t="shared" ca="1" si="29"/>
        <v>#N/A</v>
      </c>
    </row>
    <row r="279" spans="1:9" x14ac:dyDescent="0.2">
      <c r="A279">
        <f>'uniforme cercle (rejet)'!L284</f>
        <v>275</v>
      </c>
      <c r="B279">
        <f ca="1">'uniforme cercle (rejet)'!M284</f>
        <v>-0.63170362438977512</v>
      </c>
      <c r="C279">
        <f ca="1">'uniforme cercle (rejet)'!N284</f>
        <v>0.14219445019421584</v>
      </c>
      <c r="D279">
        <f ca="1">'uniforme cercle (rejet)'!O284</f>
        <v>0.64750963756010105</v>
      </c>
      <c r="E279">
        <f t="shared" ca="1" si="25"/>
        <v>0.34613525652670696</v>
      </c>
      <c r="F279">
        <f t="shared" ca="1" si="26"/>
        <v>1.1869195022952368</v>
      </c>
      <c r="G279">
        <f t="shared" ca="1" si="27"/>
        <v>0</v>
      </c>
      <c r="H279" t="e">
        <f t="shared" ca="1" si="28"/>
        <v>#N/A</v>
      </c>
      <c r="I279" t="e">
        <f t="shared" ca="1" si="29"/>
        <v>#N/A</v>
      </c>
    </row>
    <row r="280" spans="1:9" x14ac:dyDescent="0.2">
      <c r="A280">
        <f>'uniforme cercle (rejet)'!L285</f>
        <v>276</v>
      </c>
      <c r="B280">
        <f ca="1">'uniforme cercle (rejet)'!M285</f>
        <v>-7.407604905552434E-2</v>
      </c>
      <c r="C280">
        <f ca="1">'uniforme cercle (rejet)'!N285</f>
        <v>0.41791250812058678</v>
      </c>
      <c r="D280">
        <f ca="1">'uniforme cercle (rejet)'!O285</f>
        <v>0.42442681994345732</v>
      </c>
      <c r="E280">
        <f t="shared" ca="1" si="25"/>
        <v>0.24312909182407641</v>
      </c>
      <c r="F280">
        <f t="shared" ca="1" si="26"/>
        <v>0.57991522347861635</v>
      </c>
      <c r="G280">
        <f t="shared" ca="1" si="27"/>
        <v>1</v>
      </c>
      <c r="H280">
        <f t="shared" ca="1" si="28"/>
        <v>-7.407604905552434E-2</v>
      </c>
      <c r="I280">
        <f t="shared" ca="1" si="29"/>
        <v>0.41791250812058678</v>
      </c>
    </row>
    <row r="281" spans="1:9" x14ac:dyDescent="0.2">
      <c r="A281">
        <f>'uniforme cercle (rejet)'!L286</f>
        <v>277</v>
      </c>
      <c r="B281">
        <f ca="1">'uniforme cercle (rejet)'!M286</f>
        <v>-0.15461079792582511</v>
      </c>
      <c r="C281">
        <f ca="1">'uniforme cercle (rejet)'!N286</f>
        <v>-0.53395609403316024</v>
      </c>
      <c r="D281">
        <f ca="1">'uniforme cercle (rejet)'!O286</f>
        <v>0.55588992542625681</v>
      </c>
      <c r="E281">
        <f t="shared" ca="1" si="25"/>
        <v>0.48689031860474336</v>
      </c>
      <c r="F281">
        <f t="shared" ca="1" si="26"/>
        <v>1.2237567164879606</v>
      </c>
      <c r="G281">
        <f t="shared" ca="1" si="27"/>
        <v>0</v>
      </c>
      <c r="H281" t="e">
        <f t="shared" ca="1" si="28"/>
        <v>#N/A</v>
      </c>
      <c r="I281" t="e">
        <f t="shared" ca="1" si="29"/>
        <v>#N/A</v>
      </c>
    </row>
    <row r="282" spans="1:9" x14ac:dyDescent="0.2">
      <c r="A282">
        <f>'uniforme cercle (rejet)'!L287</f>
        <v>278</v>
      </c>
      <c r="B282">
        <f ca="1">'uniforme cercle (rejet)'!M287</f>
        <v>0.17668412989556681</v>
      </c>
      <c r="C282">
        <f ca="1">'uniforme cercle (rejet)'!N287</f>
        <v>-0.746998171218483</v>
      </c>
      <c r="D282">
        <f ca="1">'uniforme cercle (rejet)'!O287</f>
        <v>0.76760898220429363</v>
      </c>
      <c r="E282">
        <f t="shared" ca="1" si="25"/>
        <v>0.40327292602533893</v>
      </c>
      <c r="F282">
        <f t="shared" ca="1" si="26"/>
        <v>1.288230410634537</v>
      </c>
      <c r="G282">
        <f t="shared" ca="1" si="27"/>
        <v>0</v>
      </c>
      <c r="H282" t="e">
        <f t="shared" ca="1" si="28"/>
        <v>#N/A</v>
      </c>
      <c r="I282" t="e">
        <f t="shared" ca="1" si="29"/>
        <v>#N/A</v>
      </c>
    </row>
    <row r="283" spans="1:9" x14ac:dyDescent="0.2">
      <c r="A283">
        <f>'uniforme cercle (rejet)'!L288</f>
        <v>279</v>
      </c>
      <c r="B283">
        <f ca="1">'uniforme cercle (rejet)'!M288</f>
        <v>0.51738869131244636</v>
      </c>
      <c r="C283">
        <f ca="1">'uniforme cercle (rejet)'!N288</f>
        <v>0.8139121962569813</v>
      </c>
      <c r="D283">
        <f ca="1">'uniforme cercle (rejet)'!O288</f>
        <v>0.96443979652120781</v>
      </c>
      <c r="E283">
        <f t="shared" ca="1" si="25"/>
        <v>0.94137188540001182</v>
      </c>
      <c r="F283">
        <f t="shared" ca="1" si="26"/>
        <v>0.31439343750218623</v>
      </c>
      <c r="G283">
        <f t="shared" ca="1" si="27"/>
        <v>0</v>
      </c>
      <c r="H283" t="e">
        <f t="shared" ca="1" si="28"/>
        <v>#N/A</v>
      </c>
      <c r="I283" t="e">
        <f t="shared" ca="1" si="29"/>
        <v>#N/A</v>
      </c>
    </row>
    <row r="284" spans="1:9" x14ac:dyDescent="0.2">
      <c r="A284">
        <f>'uniforme cercle (rejet)'!L289</f>
        <v>280</v>
      </c>
      <c r="B284">
        <f ca="1">'uniforme cercle (rejet)'!M289</f>
        <v>-0.91204249512434266</v>
      </c>
      <c r="C284">
        <f ca="1">'uniforme cercle (rejet)'!N289</f>
        <v>0.25566608091085907</v>
      </c>
      <c r="D284">
        <f ca="1">'uniforme cercle (rejet)'!O289</f>
        <v>0.9471993759715821</v>
      </c>
      <c r="E284">
        <f t="shared" ca="1" si="25"/>
        <v>0.46412821350126443</v>
      </c>
      <c r="F284">
        <f t="shared" ca="1" si="26"/>
        <v>1.4330258448661832</v>
      </c>
      <c r="G284">
        <f t="shared" ca="1" si="27"/>
        <v>0</v>
      </c>
      <c r="H284" t="e">
        <f t="shared" ca="1" si="28"/>
        <v>#N/A</v>
      </c>
      <c r="I284" t="e">
        <f t="shared" ca="1" si="29"/>
        <v>#N/A</v>
      </c>
    </row>
    <row r="285" spans="1:9" x14ac:dyDescent="0.2">
      <c r="A285">
        <f>'uniforme cercle (rejet)'!L290</f>
        <v>281</v>
      </c>
      <c r="B285">
        <f ca="1">'uniforme cercle (rejet)'!M290</f>
        <v>-0.56238150143848675</v>
      </c>
      <c r="C285">
        <f ca="1">'uniforme cercle (rejet)'!N290</f>
        <v>0.25524658294350866</v>
      </c>
      <c r="D285">
        <f ca="1">'uniforme cercle (rejet)'!O290</f>
        <v>0.61759515158762712</v>
      </c>
      <c r="E285">
        <f t="shared" ca="1" si="25"/>
        <v>0.21717718360697658</v>
      </c>
      <c r="F285">
        <f t="shared" ca="1" si="26"/>
        <v>1.090210387842421</v>
      </c>
      <c r="G285">
        <f t="shared" ca="1" si="27"/>
        <v>0</v>
      </c>
      <c r="H285" t="e">
        <f t="shared" ca="1" si="28"/>
        <v>#N/A</v>
      </c>
      <c r="I285" t="e">
        <f t="shared" ca="1" si="29"/>
        <v>#N/A</v>
      </c>
    </row>
    <row r="286" spans="1:9" x14ac:dyDescent="0.2">
      <c r="A286">
        <f>'uniforme cercle (rejet)'!L291</f>
        <v>282</v>
      </c>
      <c r="B286">
        <f ca="1">'uniforme cercle (rejet)'!M291</f>
        <v>0.87418489648818309</v>
      </c>
      <c r="C286">
        <f ca="1">'uniforme cercle (rejet)'!N291</f>
        <v>0.37114286182852041</v>
      </c>
      <c r="D286">
        <f ca="1">'uniforme cercle (rejet)'!O291</f>
        <v>0.94970851166782722</v>
      </c>
      <c r="E286">
        <f t="shared" ca="1" si="25"/>
        <v>0.88057970270558295</v>
      </c>
      <c r="F286">
        <f t="shared" ca="1" si="26"/>
        <v>0.39575055125371095</v>
      </c>
      <c r="G286">
        <f t="shared" ca="1" si="27"/>
        <v>0</v>
      </c>
      <c r="H286" t="e">
        <f t="shared" ca="1" si="28"/>
        <v>#N/A</v>
      </c>
      <c r="I286" t="e">
        <f t="shared" ca="1" si="29"/>
        <v>#N/A</v>
      </c>
    </row>
    <row r="287" spans="1:9" x14ac:dyDescent="0.2">
      <c r="A287">
        <f>'uniforme cercle (rejet)'!L292</f>
        <v>283</v>
      </c>
      <c r="B287">
        <f ca="1">'uniforme cercle (rejet)'!M292</f>
        <v>-0.19645122724180974</v>
      </c>
      <c r="C287">
        <f ca="1">'uniforme cercle (rejet)'!N292</f>
        <v>0.4555022094147021</v>
      </c>
      <c r="D287">
        <f ca="1">'uniforme cercle (rejet)'!O292</f>
        <v>0.49605982246750069</v>
      </c>
      <c r="E287">
        <f t="shared" ca="1" si="25"/>
        <v>0.18317670616748763</v>
      </c>
      <c r="F287">
        <f t="shared" ca="1" si="26"/>
        <v>0.69787130998028279</v>
      </c>
      <c r="G287">
        <f t="shared" ca="1" si="27"/>
        <v>0</v>
      </c>
      <c r="H287" t="e">
        <f t="shared" ca="1" si="28"/>
        <v>#N/A</v>
      </c>
      <c r="I287" t="e">
        <f t="shared" ca="1" si="29"/>
        <v>#N/A</v>
      </c>
    </row>
    <row r="288" spans="1:9" x14ac:dyDescent="0.2">
      <c r="A288">
        <f>'uniforme cercle (rejet)'!L293</f>
        <v>284</v>
      </c>
      <c r="B288">
        <f ca="1">'uniforme cercle (rejet)'!M293</f>
        <v>0.68783963810095039</v>
      </c>
      <c r="C288">
        <f ca="1">'uniforme cercle (rejet)'!N293</f>
        <v>0.69389478316046849</v>
      </c>
      <c r="D288">
        <f ca="1">'uniforme cercle (rejet)'!O293</f>
        <v>0.97704316068439878</v>
      </c>
      <c r="E288">
        <f t="shared" ca="1" si="25"/>
        <v>0.97703377907281908</v>
      </c>
      <c r="F288">
        <f t="shared" ca="1" si="26"/>
        <v>0.26996095380395496</v>
      </c>
      <c r="G288">
        <f t="shared" ca="1" si="27"/>
        <v>0</v>
      </c>
      <c r="H288" t="e">
        <f t="shared" ca="1" si="28"/>
        <v>#N/A</v>
      </c>
      <c r="I288" t="e">
        <f t="shared" ca="1" si="29"/>
        <v>#N/A</v>
      </c>
    </row>
    <row r="289" spans="1:9" x14ac:dyDescent="0.2">
      <c r="A289">
        <f>'uniforme cercle (rejet)'!L294</f>
        <v>285</v>
      </c>
      <c r="B289">
        <f ca="1">'uniforme cercle (rejet)'!M294</f>
        <v>0.7659452081642022</v>
      </c>
      <c r="C289">
        <f ca="1">'uniforme cercle (rejet)'!N294</f>
        <v>0.22907572489809525</v>
      </c>
      <c r="D289">
        <f ca="1">'uniforme cercle (rejet)'!O294</f>
        <v>0.79946716608456836</v>
      </c>
      <c r="E289">
        <f t="shared" ca="1" si="25"/>
        <v>0.70358604919091638</v>
      </c>
      <c r="F289">
        <f t="shared" ca="1" si="26"/>
        <v>0.37964037796972205</v>
      </c>
      <c r="G289">
        <f t="shared" ca="1" si="27"/>
        <v>1</v>
      </c>
      <c r="H289">
        <f t="shared" ca="1" si="28"/>
        <v>0.7659452081642022</v>
      </c>
      <c r="I289">
        <f t="shared" ca="1" si="29"/>
        <v>0.22907572489809525</v>
      </c>
    </row>
    <row r="290" spans="1:9" x14ac:dyDescent="0.2">
      <c r="A290">
        <f>'uniforme cercle (rejet)'!L295</f>
        <v>286</v>
      </c>
      <c r="B290">
        <f ca="1">'uniforme cercle (rejet)'!M295</f>
        <v>0.63309871099713955</v>
      </c>
      <c r="C290">
        <f ca="1">'uniforme cercle (rejet)'!N295</f>
        <v>-2.3084560732880455E-2</v>
      </c>
      <c r="D290">
        <f ca="1">'uniforme cercle (rejet)'!O295</f>
        <v>0.63351943522710463</v>
      </c>
      <c r="E290">
        <f t="shared" ca="1" si="25"/>
        <v>0.4313451422716072</v>
      </c>
      <c r="F290">
        <f t="shared" ca="1" si="26"/>
        <v>0.53975246599363547</v>
      </c>
      <c r="G290">
        <f t="shared" ca="1" si="27"/>
        <v>1</v>
      </c>
      <c r="H290">
        <f t="shared" ca="1" si="28"/>
        <v>0.63309871099713955</v>
      </c>
      <c r="I290">
        <f t="shared" ca="1" si="29"/>
        <v>-2.3084560732880455E-2</v>
      </c>
    </row>
    <row r="291" spans="1:9" x14ac:dyDescent="0.2">
      <c r="A291">
        <f>'uniforme cercle (rejet)'!L296</f>
        <v>287</v>
      </c>
      <c r="B291">
        <f ca="1">'uniforme cercle (rejet)'!M296</f>
        <v>-7.2029058730591622E-3</v>
      </c>
      <c r="C291">
        <f ca="1">'uniforme cercle (rejet)'!N296</f>
        <v>-0.43650513262619017</v>
      </c>
      <c r="D291">
        <f ca="1">'uniforme cercle (rejet)'!O296</f>
        <v>0.43656455726733479</v>
      </c>
      <c r="E291">
        <f t="shared" ref="E291:E354" ca="1" si="30">(B291+C291)^2/SQRT(2*(B291+C291)^2)</f>
        <v>0.31374896288980086</v>
      </c>
      <c r="F291">
        <f t="shared" ref="F291:F354" ca="1" si="31">SQRT((B291-0.5)^2+(C291-0.5)^2)</f>
        <v>1.0650336385116075</v>
      </c>
      <c r="G291">
        <f t="shared" ref="G291:G354" ca="1" si="32">IF(ABS(F291-E291)&lt;SQRT(2)/2/2,1,0)</f>
        <v>0</v>
      </c>
      <c r="H291" t="e">
        <f t="shared" ref="H291:H354" ca="1" si="33">IF($G291=1,B291,NA())</f>
        <v>#N/A</v>
      </c>
      <c r="I291" t="e">
        <f t="shared" ref="I291:I354" ca="1" si="34">IF($G291=1,C291,NA())</f>
        <v>#N/A</v>
      </c>
    </row>
    <row r="292" spans="1:9" x14ac:dyDescent="0.2">
      <c r="A292">
        <f>'uniforme cercle (rejet)'!L297</f>
        <v>288</v>
      </c>
      <c r="B292">
        <f ca="1">'uniforme cercle (rejet)'!M297</f>
        <v>0.58116441051652457</v>
      </c>
      <c r="C292">
        <f ca="1">'uniforme cercle (rejet)'!N297</f>
        <v>-0.48512118427864448</v>
      </c>
      <c r="D292">
        <f ca="1">'uniforme cercle (rejet)'!O297</f>
        <v>0.75703014172946503</v>
      </c>
      <c r="E292">
        <f t="shared" ca="1" si="30"/>
        <v>6.7912816559838746E-2</v>
      </c>
      <c r="F292">
        <f t="shared" ca="1" si="31"/>
        <v>0.98845910853664254</v>
      </c>
      <c r="G292">
        <f t="shared" ca="1" si="32"/>
        <v>0</v>
      </c>
      <c r="H292" t="e">
        <f t="shared" ca="1" si="33"/>
        <v>#N/A</v>
      </c>
      <c r="I292" t="e">
        <f t="shared" ca="1" si="34"/>
        <v>#N/A</v>
      </c>
    </row>
    <row r="293" spans="1:9" x14ac:dyDescent="0.2">
      <c r="A293">
        <f>'uniforme cercle (rejet)'!L298</f>
        <v>289</v>
      </c>
      <c r="B293">
        <f ca="1">'uniforme cercle (rejet)'!M298</f>
        <v>5.3448918625491837E-2</v>
      </c>
      <c r="C293">
        <f ca="1">'uniforme cercle (rejet)'!N298</f>
        <v>0.33864166528600048</v>
      </c>
      <c r="D293">
        <f ca="1">'uniforme cercle (rejet)'!O298</f>
        <v>0.34283372700174941</v>
      </c>
      <c r="E293">
        <f t="shared" ca="1" si="30"/>
        <v>0.2772499107232092</v>
      </c>
      <c r="F293">
        <f t="shared" ca="1" si="31"/>
        <v>0.47480983610116767</v>
      </c>
      <c r="G293">
        <f t="shared" ca="1" si="32"/>
        <v>1</v>
      </c>
      <c r="H293">
        <f t="shared" ca="1" si="33"/>
        <v>5.3448918625491837E-2</v>
      </c>
      <c r="I293">
        <f t="shared" ca="1" si="34"/>
        <v>0.33864166528600048</v>
      </c>
    </row>
    <row r="294" spans="1:9" x14ac:dyDescent="0.2">
      <c r="A294">
        <f>'uniforme cercle (rejet)'!L299</f>
        <v>290</v>
      </c>
      <c r="B294">
        <f ca="1">'uniforme cercle (rejet)'!M299</f>
        <v>-0.18014434992252548</v>
      </c>
      <c r="C294">
        <f ca="1">'uniforme cercle (rejet)'!N299</f>
        <v>6.8199557851573056E-2</v>
      </c>
      <c r="D294">
        <f ca="1">'uniforme cercle (rejet)'!O299</f>
        <v>0.19262182249205143</v>
      </c>
      <c r="E294">
        <f t="shared" ca="1" si="30"/>
        <v>7.9156921591888516E-2</v>
      </c>
      <c r="F294">
        <f t="shared" ca="1" si="31"/>
        <v>0.80563512744362864</v>
      </c>
      <c r="G294">
        <f t="shared" ca="1" si="32"/>
        <v>0</v>
      </c>
      <c r="H294" t="e">
        <f t="shared" ca="1" si="33"/>
        <v>#N/A</v>
      </c>
      <c r="I294" t="e">
        <f t="shared" ca="1" si="34"/>
        <v>#N/A</v>
      </c>
    </row>
    <row r="295" spans="1:9" x14ac:dyDescent="0.2">
      <c r="A295">
        <f>'uniforme cercle (rejet)'!L300</f>
        <v>291</v>
      </c>
      <c r="B295">
        <f ca="1">'uniforme cercle (rejet)'!M300</f>
        <v>-0.20593639803059172</v>
      </c>
      <c r="C295">
        <f ca="1">'uniforme cercle (rejet)'!N300</f>
        <v>0.65131401638123898</v>
      </c>
      <c r="D295">
        <f ca="1">'uniforme cercle (rejet)'!O300</f>
        <v>0.68309570923002816</v>
      </c>
      <c r="E295">
        <f t="shared" ca="1" si="30"/>
        <v>0.31492953412445684</v>
      </c>
      <c r="F295">
        <f t="shared" ca="1" si="31"/>
        <v>0.72197100330818542</v>
      </c>
      <c r="G295">
        <f t="shared" ca="1" si="32"/>
        <v>0</v>
      </c>
      <c r="H295" t="e">
        <f t="shared" ca="1" si="33"/>
        <v>#N/A</v>
      </c>
      <c r="I295" t="e">
        <f t="shared" ca="1" si="34"/>
        <v>#N/A</v>
      </c>
    </row>
    <row r="296" spans="1:9" x14ac:dyDescent="0.2">
      <c r="A296">
        <f>'uniforme cercle (rejet)'!L301</f>
        <v>292</v>
      </c>
      <c r="B296">
        <f ca="1">'uniforme cercle (rejet)'!M301</f>
        <v>0.79602426870321619</v>
      </c>
      <c r="C296">
        <f ca="1">'uniforme cercle (rejet)'!N301</f>
        <v>-0.39809937091214143</v>
      </c>
      <c r="D296">
        <f ca="1">'uniforme cercle (rejet)'!O301</f>
        <v>0.89002120507611104</v>
      </c>
      <c r="E296">
        <f t="shared" ca="1" si="30"/>
        <v>0.28137539363103276</v>
      </c>
      <c r="F296">
        <f t="shared" ca="1" si="31"/>
        <v>0.94562828198719717</v>
      </c>
      <c r="G296">
        <f t="shared" ca="1" si="32"/>
        <v>0</v>
      </c>
      <c r="H296" t="e">
        <f t="shared" ca="1" si="33"/>
        <v>#N/A</v>
      </c>
      <c r="I296" t="e">
        <f t="shared" ca="1" si="34"/>
        <v>#N/A</v>
      </c>
    </row>
    <row r="297" spans="1:9" x14ac:dyDescent="0.2">
      <c r="A297">
        <f>'uniforme cercle (rejet)'!L302</f>
        <v>293</v>
      </c>
      <c r="B297">
        <f ca="1">'uniforme cercle (rejet)'!M302</f>
        <v>-0.67979448377915852</v>
      </c>
      <c r="C297">
        <f ca="1">'uniforme cercle (rejet)'!N302</f>
        <v>0.69473690239176977</v>
      </c>
      <c r="D297">
        <f ca="1">'uniforme cercle (rejet)'!O302</f>
        <v>0.97199789285856175</v>
      </c>
      <c r="E297">
        <f t="shared" ca="1" si="30"/>
        <v>1.0565885528305499E-2</v>
      </c>
      <c r="F297">
        <f t="shared" ca="1" si="31"/>
        <v>1.1957581214898241</v>
      </c>
      <c r="G297">
        <f t="shared" ca="1" si="32"/>
        <v>0</v>
      </c>
      <c r="H297" t="e">
        <f t="shared" ca="1" si="33"/>
        <v>#N/A</v>
      </c>
      <c r="I297" t="e">
        <f t="shared" ca="1" si="34"/>
        <v>#N/A</v>
      </c>
    </row>
    <row r="298" spans="1:9" x14ac:dyDescent="0.2">
      <c r="A298">
        <f>'uniforme cercle (rejet)'!L303</f>
        <v>294</v>
      </c>
      <c r="B298">
        <f ca="1">'uniforme cercle (rejet)'!M303</f>
        <v>-1.1513899839611597E-2</v>
      </c>
      <c r="C298">
        <f ca="1">'uniforme cercle (rejet)'!N303</f>
        <v>-0.5262277183700339</v>
      </c>
      <c r="D298">
        <f ca="1">'uniforme cercle (rejet)'!O303</f>
        <v>0.52635366577088483</v>
      </c>
      <c r="E298">
        <f t="shared" ca="1" si="30"/>
        <v>0.38024074476226782</v>
      </c>
      <c r="F298">
        <f t="shared" ca="1" si="31"/>
        <v>1.1466428387602192</v>
      </c>
      <c r="G298">
        <f t="shared" ca="1" si="32"/>
        <v>0</v>
      </c>
      <c r="H298" t="e">
        <f t="shared" ca="1" si="33"/>
        <v>#N/A</v>
      </c>
      <c r="I298" t="e">
        <f t="shared" ca="1" si="34"/>
        <v>#N/A</v>
      </c>
    </row>
    <row r="299" spans="1:9" x14ac:dyDescent="0.2">
      <c r="A299">
        <f>'uniforme cercle (rejet)'!L304</f>
        <v>295</v>
      </c>
      <c r="B299">
        <f ca="1">'uniforme cercle (rejet)'!M304</f>
        <v>-0.51327484012177504</v>
      </c>
      <c r="C299">
        <f ca="1">'uniforme cercle (rejet)'!N304</f>
        <v>0.684540779512399</v>
      </c>
      <c r="D299">
        <f ca="1">'uniforme cercle (rejet)'!O304</f>
        <v>0.85559753407631833</v>
      </c>
      <c r="E299">
        <f t="shared" ca="1" si="30"/>
        <v>0.12110330712939445</v>
      </c>
      <c r="F299">
        <f t="shared" ca="1" si="31"/>
        <v>1.0299423289324761</v>
      </c>
      <c r="G299">
        <f t="shared" ca="1" si="32"/>
        <v>0</v>
      </c>
      <c r="H299" t="e">
        <f t="shared" ca="1" si="33"/>
        <v>#N/A</v>
      </c>
      <c r="I299" t="e">
        <f t="shared" ca="1" si="34"/>
        <v>#N/A</v>
      </c>
    </row>
    <row r="300" spans="1:9" x14ac:dyDescent="0.2">
      <c r="A300">
        <f>'uniforme cercle (rejet)'!L305</f>
        <v>296</v>
      </c>
      <c r="B300">
        <f ca="1">'uniforme cercle (rejet)'!M305</f>
        <v>0.88104049474303014</v>
      </c>
      <c r="C300">
        <f ca="1">'uniforme cercle (rejet)'!N305</f>
        <v>0.41478606655705841</v>
      </c>
      <c r="D300">
        <f ca="1">'uniforme cercle (rejet)'!O305</f>
        <v>0.97379660832584536</v>
      </c>
      <c r="E300">
        <f t="shared" ca="1" si="30"/>
        <v>0.91628774873693808</v>
      </c>
      <c r="F300">
        <f t="shared" ca="1" si="31"/>
        <v>0.39045265153003028</v>
      </c>
      <c r="G300">
        <f t="shared" ca="1" si="32"/>
        <v>0</v>
      </c>
      <c r="H300" t="e">
        <f t="shared" ca="1" si="33"/>
        <v>#N/A</v>
      </c>
      <c r="I300" t="e">
        <f t="shared" ca="1" si="34"/>
        <v>#N/A</v>
      </c>
    </row>
    <row r="301" spans="1:9" x14ac:dyDescent="0.2">
      <c r="A301">
        <f>'uniforme cercle (rejet)'!L306</f>
        <v>297</v>
      </c>
      <c r="B301">
        <f ca="1">'uniforme cercle (rejet)'!M306</f>
        <v>3.2036717609439602E-2</v>
      </c>
      <c r="C301">
        <f ca="1">'uniforme cercle (rejet)'!N306</f>
        <v>0.89515530248883479</v>
      </c>
      <c r="D301">
        <f ca="1">'uniforme cercle (rejet)'!O306</f>
        <v>0.89572840015769528</v>
      </c>
      <c r="E301">
        <f t="shared" ca="1" si="30"/>
        <v>0.65562376487354346</v>
      </c>
      <c r="F301">
        <f t="shared" ca="1" si="31"/>
        <v>0.61248456858176425</v>
      </c>
      <c r="G301">
        <f t="shared" ca="1" si="32"/>
        <v>1</v>
      </c>
      <c r="H301">
        <f t="shared" ca="1" si="33"/>
        <v>3.2036717609439602E-2</v>
      </c>
      <c r="I301">
        <f t="shared" ca="1" si="34"/>
        <v>0.89515530248883479</v>
      </c>
    </row>
    <row r="302" spans="1:9" x14ac:dyDescent="0.2">
      <c r="A302">
        <f>'uniforme cercle (rejet)'!L307</f>
        <v>298</v>
      </c>
      <c r="B302">
        <f ca="1">'uniforme cercle (rejet)'!M307</f>
        <v>0.73963391567596992</v>
      </c>
      <c r="C302">
        <f ca="1">'uniforme cercle (rejet)'!N307</f>
        <v>9.3595920812291178E-2</v>
      </c>
      <c r="D302">
        <f ca="1">'uniforme cercle (rejet)'!O307</f>
        <v>0.74553237730555233</v>
      </c>
      <c r="E302">
        <f t="shared" ca="1" si="30"/>
        <v>0.58918246766780769</v>
      </c>
      <c r="F302">
        <f t="shared" ca="1" si="31"/>
        <v>0.47179305751844991</v>
      </c>
      <c r="G302">
        <f t="shared" ca="1" si="32"/>
        <v>1</v>
      </c>
      <c r="H302">
        <f t="shared" ca="1" si="33"/>
        <v>0.73963391567596992</v>
      </c>
      <c r="I302">
        <f t="shared" ca="1" si="34"/>
        <v>9.3595920812291178E-2</v>
      </c>
    </row>
    <row r="303" spans="1:9" x14ac:dyDescent="0.2">
      <c r="A303">
        <f>'uniforme cercle (rejet)'!L308</f>
        <v>299</v>
      </c>
      <c r="B303">
        <f ca="1">'uniforme cercle (rejet)'!M308</f>
        <v>0.63699812500816422</v>
      </c>
      <c r="C303">
        <f ca="1">'uniforme cercle (rejet)'!N308</f>
        <v>-0.13716650457370427</v>
      </c>
      <c r="D303">
        <f ca="1">'uniforme cercle (rejet)'!O308</f>
        <v>0.65159900340691501</v>
      </c>
      <c r="E303">
        <f t="shared" ca="1" si="30"/>
        <v>0.35343432826066717</v>
      </c>
      <c r="F303">
        <f t="shared" ca="1" si="31"/>
        <v>0.65172819549749794</v>
      </c>
      <c r="G303">
        <f t="shared" ca="1" si="32"/>
        <v>1</v>
      </c>
      <c r="H303">
        <f t="shared" ca="1" si="33"/>
        <v>0.63699812500816422</v>
      </c>
      <c r="I303">
        <f t="shared" ca="1" si="34"/>
        <v>-0.13716650457370427</v>
      </c>
    </row>
    <row r="304" spans="1:9" x14ac:dyDescent="0.2">
      <c r="A304">
        <f>'uniforme cercle (rejet)'!L309</f>
        <v>300</v>
      </c>
      <c r="B304">
        <f ca="1">'uniforme cercle (rejet)'!M309</f>
        <v>0.50542054580274898</v>
      </c>
      <c r="C304">
        <f ca="1">'uniforme cercle (rejet)'!N309</f>
        <v>-0.3824017525762291</v>
      </c>
      <c r="D304">
        <f ca="1">'uniforme cercle (rejet)'!O309</f>
        <v>0.63378310839980601</v>
      </c>
      <c r="E304">
        <f t="shared" ca="1" si="30"/>
        <v>8.6987422903857914E-2</v>
      </c>
      <c r="F304">
        <f t="shared" ca="1" si="31"/>
        <v>0.88241840147766659</v>
      </c>
      <c r="G304">
        <f t="shared" ca="1" si="32"/>
        <v>0</v>
      </c>
      <c r="H304" t="e">
        <f t="shared" ca="1" si="33"/>
        <v>#N/A</v>
      </c>
      <c r="I304" t="e">
        <f t="shared" ca="1" si="34"/>
        <v>#N/A</v>
      </c>
    </row>
    <row r="305" spans="1:9" x14ac:dyDescent="0.2">
      <c r="A305">
        <f>'uniforme cercle (rejet)'!L310</f>
        <v>301</v>
      </c>
      <c r="B305">
        <f ca="1">'uniforme cercle (rejet)'!M310</f>
        <v>0.34781872134281611</v>
      </c>
      <c r="C305">
        <f ca="1">'uniforme cercle (rejet)'!N310</f>
        <v>4.3708908731121321E-2</v>
      </c>
      <c r="D305">
        <f ca="1">'uniforme cercle (rejet)'!O310</f>
        <v>0.35055432049686258</v>
      </c>
      <c r="E305">
        <f t="shared" ca="1" si="30"/>
        <v>0.27685184224717924</v>
      </c>
      <c r="F305">
        <f t="shared" ca="1" si="31"/>
        <v>0.48099968975569996</v>
      </c>
      <c r="G305">
        <f t="shared" ca="1" si="32"/>
        <v>1</v>
      </c>
      <c r="H305">
        <f t="shared" ca="1" si="33"/>
        <v>0.34781872134281611</v>
      </c>
      <c r="I305">
        <f t="shared" ca="1" si="34"/>
        <v>4.3708908731121321E-2</v>
      </c>
    </row>
    <row r="306" spans="1:9" x14ac:dyDescent="0.2">
      <c r="A306">
        <f>'uniforme cercle (rejet)'!L311</f>
        <v>302</v>
      </c>
      <c r="B306">
        <f ca="1">'uniforme cercle (rejet)'!M311</f>
        <v>0.65302874655683341</v>
      </c>
      <c r="C306">
        <f ca="1">'uniforme cercle (rejet)'!N311</f>
        <v>-0.56864549470738668</v>
      </c>
      <c r="D306">
        <f ca="1">'uniforme cercle (rejet)'!O311</f>
        <v>0.86591237575207203</v>
      </c>
      <c r="E306">
        <f t="shared" ca="1" si="30"/>
        <v>5.9667969601316054E-2</v>
      </c>
      <c r="F306">
        <f t="shared" ca="1" si="31"/>
        <v>1.0795466597749033</v>
      </c>
      <c r="G306">
        <f t="shared" ca="1" si="32"/>
        <v>0</v>
      </c>
      <c r="H306" t="e">
        <f t="shared" ca="1" si="33"/>
        <v>#N/A</v>
      </c>
      <c r="I306" t="e">
        <f t="shared" ca="1" si="34"/>
        <v>#N/A</v>
      </c>
    </row>
    <row r="307" spans="1:9" x14ac:dyDescent="0.2">
      <c r="A307">
        <f>'uniforme cercle (rejet)'!L312</f>
        <v>303</v>
      </c>
      <c r="B307">
        <f ca="1">'uniforme cercle (rejet)'!M312</f>
        <v>-0.93768731307975917</v>
      </c>
      <c r="C307">
        <f ca="1">'uniforme cercle (rejet)'!N312</f>
        <v>-8.9535293148014228E-2</v>
      </c>
      <c r="D307">
        <f ca="1">'uniforme cercle (rejet)'!O312</f>
        <v>0.94195226303132751</v>
      </c>
      <c r="E307">
        <f t="shared" ca="1" si="30"/>
        <v>0.72635607065177721</v>
      </c>
      <c r="F307">
        <f t="shared" ca="1" si="31"/>
        <v>1.5538650752422529</v>
      </c>
      <c r="G307">
        <f t="shared" ca="1" si="32"/>
        <v>0</v>
      </c>
      <c r="H307" t="e">
        <f t="shared" ca="1" si="33"/>
        <v>#N/A</v>
      </c>
      <c r="I307" t="e">
        <f t="shared" ca="1" si="34"/>
        <v>#N/A</v>
      </c>
    </row>
    <row r="308" spans="1:9" x14ac:dyDescent="0.2">
      <c r="A308">
        <f>'uniforme cercle (rejet)'!L313</f>
        <v>304</v>
      </c>
      <c r="B308">
        <f ca="1">'uniforme cercle (rejet)'!M313</f>
        <v>-0.15812879845334016</v>
      </c>
      <c r="C308">
        <f ca="1">'uniforme cercle (rejet)'!N313</f>
        <v>0.12701817532237736</v>
      </c>
      <c r="D308">
        <f ca="1">'uniforme cercle (rejet)'!O313</f>
        <v>0.20282587054545895</v>
      </c>
      <c r="E308">
        <f t="shared" ca="1" si="30"/>
        <v>2.1998532582842859E-2</v>
      </c>
      <c r="F308">
        <f t="shared" ca="1" si="31"/>
        <v>0.75647138537652969</v>
      </c>
      <c r="G308">
        <f t="shared" ca="1" si="32"/>
        <v>0</v>
      </c>
      <c r="H308" t="e">
        <f t="shared" ca="1" si="33"/>
        <v>#N/A</v>
      </c>
      <c r="I308" t="e">
        <f t="shared" ca="1" si="34"/>
        <v>#N/A</v>
      </c>
    </row>
    <row r="309" spans="1:9" x14ac:dyDescent="0.2">
      <c r="A309">
        <f>'uniforme cercle (rejet)'!L314</f>
        <v>305</v>
      </c>
      <c r="B309">
        <f ca="1">'uniforme cercle (rejet)'!M314</f>
        <v>1.0135116287532275E-2</v>
      </c>
      <c r="C309">
        <f ca="1">'uniforme cercle (rejet)'!N314</f>
        <v>-0.454697360773618</v>
      </c>
      <c r="D309">
        <f ca="1">'uniforme cercle (rejet)'!O314</f>
        <v>0.45481030163866726</v>
      </c>
      <c r="E309">
        <f t="shared" ca="1" si="30"/>
        <v>0.3143529777356231</v>
      </c>
      <c r="F309">
        <f t="shared" ca="1" si="31"/>
        <v>1.0730399130334067</v>
      </c>
      <c r="G309">
        <f t="shared" ca="1" si="32"/>
        <v>0</v>
      </c>
      <c r="H309" t="e">
        <f t="shared" ca="1" si="33"/>
        <v>#N/A</v>
      </c>
      <c r="I309" t="e">
        <f t="shared" ca="1" si="34"/>
        <v>#N/A</v>
      </c>
    </row>
    <row r="310" spans="1:9" x14ac:dyDescent="0.2">
      <c r="A310">
        <f>'uniforme cercle (rejet)'!L315</f>
        <v>306</v>
      </c>
      <c r="B310">
        <f ca="1">'uniforme cercle (rejet)'!M315</f>
        <v>0.55873023938597099</v>
      </c>
      <c r="C310">
        <f ca="1">'uniforme cercle (rejet)'!N315</f>
        <v>-0.24883900901938238</v>
      </c>
      <c r="D310">
        <f ca="1">'uniforme cercle (rejet)'!O315</f>
        <v>0.6116374194030747</v>
      </c>
      <c r="E310">
        <f t="shared" ca="1" si="30"/>
        <v>0.21912619042245737</v>
      </c>
      <c r="F310">
        <f t="shared" ca="1" si="31"/>
        <v>0.75113853745328774</v>
      </c>
      <c r="G310">
        <f t="shared" ca="1" si="32"/>
        <v>0</v>
      </c>
      <c r="H310" t="e">
        <f t="shared" ca="1" si="33"/>
        <v>#N/A</v>
      </c>
      <c r="I310" t="e">
        <f t="shared" ca="1" si="34"/>
        <v>#N/A</v>
      </c>
    </row>
    <row r="311" spans="1:9" x14ac:dyDescent="0.2">
      <c r="A311">
        <f>'uniforme cercle (rejet)'!L316</f>
        <v>307</v>
      </c>
      <c r="B311">
        <f ca="1">'uniforme cercle (rejet)'!M316</f>
        <v>0.83148386949848629</v>
      </c>
      <c r="C311">
        <f ca="1">'uniforme cercle (rejet)'!N316</f>
        <v>-0.19268176786955782</v>
      </c>
      <c r="D311">
        <f ca="1">'uniforme cercle (rejet)'!O316</f>
        <v>0.85351724581610766</v>
      </c>
      <c r="E311">
        <f t="shared" ca="1" si="30"/>
        <v>0.45170129789803343</v>
      </c>
      <c r="F311">
        <f t="shared" ca="1" si="31"/>
        <v>0.7679124867304773</v>
      </c>
      <c r="G311">
        <f t="shared" ca="1" si="32"/>
        <v>1</v>
      </c>
      <c r="H311">
        <f t="shared" ca="1" si="33"/>
        <v>0.83148386949848629</v>
      </c>
      <c r="I311">
        <f t="shared" ca="1" si="34"/>
        <v>-0.19268176786955782</v>
      </c>
    </row>
    <row r="312" spans="1:9" x14ac:dyDescent="0.2">
      <c r="A312">
        <f>'uniforme cercle (rejet)'!L317</f>
        <v>308</v>
      </c>
      <c r="B312">
        <f ca="1">'uniforme cercle (rejet)'!M317</f>
        <v>-0.36719122942978522</v>
      </c>
      <c r="C312">
        <f ca="1">'uniforme cercle (rejet)'!N317</f>
        <v>0.70203569963013779</v>
      </c>
      <c r="D312">
        <f ca="1">'uniforme cercle (rejet)'!O317</f>
        <v>0.79226480581011183</v>
      </c>
      <c r="E312">
        <f t="shared" ca="1" si="30"/>
        <v>0.23677079552148614</v>
      </c>
      <c r="F312">
        <f t="shared" ca="1" si="31"/>
        <v>0.89041510113260181</v>
      </c>
      <c r="G312">
        <f t="shared" ca="1" si="32"/>
        <v>0</v>
      </c>
      <c r="H312" t="e">
        <f t="shared" ca="1" si="33"/>
        <v>#N/A</v>
      </c>
      <c r="I312" t="e">
        <f t="shared" ca="1" si="34"/>
        <v>#N/A</v>
      </c>
    </row>
    <row r="313" spans="1:9" x14ac:dyDescent="0.2">
      <c r="A313">
        <f>'uniforme cercle (rejet)'!L318</f>
        <v>309</v>
      </c>
      <c r="B313">
        <f ca="1">'uniforme cercle (rejet)'!M318</f>
        <v>0.3364567220577348</v>
      </c>
      <c r="C313">
        <f ca="1">'uniforme cercle (rejet)'!N318</f>
        <v>0.41364096997175559</v>
      </c>
      <c r="D313">
        <f ca="1">'uniforme cercle (rejet)'!O318</f>
        <v>0.53319975417943566</v>
      </c>
      <c r="E313">
        <f t="shared" ca="1" si="30"/>
        <v>0.53039916458643122</v>
      </c>
      <c r="F313">
        <f t="shared" ca="1" si="31"/>
        <v>0.1849440072765815</v>
      </c>
      <c r="G313">
        <f t="shared" ca="1" si="32"/>
        <v>1</v>
      </c>
      <c r="H313">
        <f t="shared" ca="1" si="33"/>
        <v>0.3364567220577348</v>
      </c>
      <c r="I313">
        <f t="shared" ca="1" si="34"/>
        <v>0.41364096997175559</v>
      </c>
    </row>
    <row r="314" spans="1:9" x14ac:dyDescent="0.2">
      <c r="A314">
        <f>'uniforme cercle (rejet)'!L319</f>
        <v>310</v>
      </c>
      <c r="B314">
        <f ca="1">'uniforme cercle (rejet)'!M319</f>
        <v>0.33215620532159362</v>
      </c>
      <c r="C314">
        <f ca="1">'uniforme cercle (rejet)'!N319</f>
        <v>0.45108492551705304</v>
      </c>
      <c r="D314">
        <f ca="1">'uniforme cercle (rejet)'!O319</f>
        <v>0.5601833224600371</v>
      </c>
      <c r="E314">
        <f t="shared" ca="1" si="30"/>
        <v>0.55383511492022697</v>
      </c>
      <c r="F314">
        <f t="shared" ca="1" si="31"/>
        <v>0.17482626783100785</v>
      </c>
      <c r="G314">
        <f t="shared" ca="1" si="32"/>
        <v>0</v>
      </c>
      <c r="H314" t="e">
        <f t="shared" ca="1" si="33"/>
        <v>#N/A</v>
      </c>
      <c r="I314" t="e">
        <f t="shared" ca="1" si="34"/>
        <v>#N/A</v>
      </c>
    </row>
    <row r="315" spans="1:9" x14ac:dyDescent="0.2">
      <c r="A315">
        <f>'uniforme cercle (rejet)'!L320</f>
        <v>311</v>
      </c>
      <c r="B315">
        <f ca="1">'uniforme cercle (rejet)'!M320</f>
        <v>-0.10491358028308073</v>
      </c>
      <c r="C315">
        <f ca="1">'uniforme cercle (rejet)'!N320</f>
        <v>0.19219055595043866</v>
      </c>
      <c r="D315">
        <f ca="1">'uniforme cercle (rejet)'!O320</f>
        <v>0.21896134162073705</v>
      </c>
      <c r="E315">
        <f t="shared" ca="1" si="30"/>
        <v>6.1714141335842097E-2</v>
      </c>
      <c r="F315">
        <f t="shared" ca="1" si="31"/>
        <v>0.67872460796481748</v>
      </c>
      <c r="G315">
        <f t="shared" ca="1" si="32"/>
        <v>0</v>
      </c>
      <c r="H315" t="e">
        <f t="shared" ca="1" si="33"/>
        <v>#N/A</v>
      </c>
      <c r="I315" t="e">
        <f t="shared" ca="1" si="34"/>
        <v>#N/A</v>
      </c>
    </row>
    <row r="316" spans="1:9" x14ac:dyDescent="0.2">
      <c r="A316">
        <f>'uniforme cercle (rejet)'!L321</f>
        <v>312</v>
      </c>
      <c r="B316">
        <f ca="1">'uniforme cercle (rejet)'!M321</f>
        <v>0.36893372133154889</v>
      </c>
      <c r="C316">
        <f ca="1">'uniforme cercle (rejet)'!N321</f>
        <v>0.33724704198423372</v>
      </c>
      <c r="D316">
        <f ca="1">'uniforme cercle (rejet)'!O321</f>
        <v>0.49984763484752076</v>
      </c>
      <c r="E316">
        <f t="shared" ca="1" si="30"/>
        <v>0.4993452064840822</v>
      </c>
      <c r="F316">
        <f t="shared" ca="1" si="31"/>
        <v>0.20896625265070401</v>
      </c>
      <c r="G316">
        <f t="shared" ca="1" si="32"/>
        <v>1</v>
      </c>
      <c r="H316">
        <f t="shared" ca="1" si="33"/>
        <v>0.36893372133154889</v>
      </c>
      <c r="I316">
        <f t="shared" ca="1" si="34"/>
        <v>0.33724704198423372</v>
      </c>
    </row>
    <row r="317" spans="1:9" x14ac:dyDescent="0.2">
      <c r="A317">
        <f>'uniforme cercle (rejet)'!L322</f>
        <v>313</v>
      </c>
      <c r="B317">
        <f ca="1">'uniforme cercle (rejet)'!M322</f>
        <v>-2.4842538612166676E-2</v>
      </c>
      <c r="C317">
        <f ca="1">'uniforme cercle (rejet)'!N322</f>
        <v>-0.42210400360713218</v>
      </c>
      <c r="D317">
        <f ca="1">'uniforme cercle (rejet)'!O322</f>
        <v>0.42283441390911741</v>
      </c>
      <c r="E317">
        <f t="shared" ca="1" si="30"/>
        <v>0.31603893083114576</v>
      </c>
      <c r="F317">
        <f t="shared" ca="1" si="31"/>
        <v>1.0610068255224214</v>
      </c>
      <c r="G317">
        <f t="shared" ca="1" si="32"/>
        <v>0</v>
      </c>
      <c r="H317" t="e">
        <f t="shared" ca="1" si="33"/>
        <v>#N/A</v>
      </c>
      <c r="I317" t="e">
        <f t="shared" ca="1" si="34"/>
        <v>#N/A</v>
      </c>
    </row>
    <row r="318" spans="1:9" x14ac:dyDescent="0.2">
      <c r="A318">
        <f>'uniforme cercle (rejet)'!L323</f>
        <v>314</v>
      </c>
      <c r="B318">
        <f ca="1">'uniforme cercle (rejet)'!M323</f>
        <v>0.88361365341332543</v>
      </c>
      <c r="C318">
        <f ca="1">'uniforme cercle (rejet)'!N323</f>
        <v>-8.8648259810276686E-2</v>
      </c>
      <c r="D318">
        <f ca="1">'uniforme cercle (rejet)'!O323</f>
        <v>0.88804932434287387</v>
      </c>
      <c r="E318">
        <f t="shared" ca="1" si="30"/>
        <v>0.56212542062534854</v>
      </c>
      <c r="F318">
        <f t="shared" ca="1" si="31"/>
        <v>0.70261384050044584</v>
      </c>
      <c r="G318">
        <f t="shared" ca="1" si="32"/>
        <v>1</v>
      </c>
      <c r="H318">
        <f t="shared" ca="1" si="33"/>
        <v>0.88361365341332543</v>
      </c>
      <c r="I318">
        <f t="shared" ca="1" si="34"/>
        <v>-8.8648259810276686E-2</v>
      </c>
    </row>
    <row r="319" spans="1:9" x14ac:dyDescent="0.2">
      <c r="A319">
        <f>'uniforme cercle (rejet)'!L324</f>
        <v>315</v>
      </c>
      <c r="B319">
        <f ca="1">'uniforme cercle (rejet)'!M324</f>
        <v>-0.35799067222946568</v>
      </c>
      <c r="C319">
        <f ca="1">'uniforme cercle (rejet)'!N324</f>
        <v>2.8356836987351031E-3</v>
      </c>
      <c r="D319">
        <f ca="1">'uniforme cercle (rejet)'!O324</f>
        <v>0.3580019029353671</v>
      </c>
      <c r="E319">
        <f t="shared" ca="1" si="30"/>
        <v>0.25113250076231014</v>
      </c>
      <c r="F319">
        <f t="shared" ca="1" si="31"/>
        <v>0.99162510609406951</v>
      </c>
      <c r="G319">
        <f t="shared" ca="1" si="32"/>
        <v>0</v>
      </c>
      <c r="H319" t="e">
        <f t="shared" ca="1" si="33"/>
        <v>#N/A</v>
      </c>
      <c r="I319" t="e">
        <f t="shared" ca="1" si="34"/>
        <v>#N/A</v>
      </c>
    </row>
    <row r="320" spans="1:9" x14ac:dyDescent="0.2">
      <c r="A320">
        <f>'uniforme cercle (rejet)'!L325</f>
        <v>316</v>
      </c>
      <c r="B320">
        <f ca="1">'uniforme cercle (rejet)'!M325</f>
        <v>0.52391616819719422</v>
      </c>
      <c r="C320">
        <f ca="1">'uniforme cercle (rejet)'!N325</f>
        <v>-0.16265079848506003</v>
      </c>
      <c r="D320">
        <f ca="1">'uniforme cercle (rejet)'!O325</f>
        <v>0.54858311452892738</v>
      </c>
      <c r="E320">
        <f t="shared" ca="1" si="30"/>
        <v>0.25545319273131528</v>
      </c>
      <c r="F320">
        <f t="shared" ca="1" si="31"/>
        <v>0.66308224515072345</v>
      </c>
      <c r="G320">
        <f t="shared" ca="1" si="32"/>
        <v>0</v>
      </c>
      <c r="H320" t="e">
        <f t="shared" ca="1" si="33"/>
        <v>#N/A</v>
      </c>
      <c r="I320" t="e">
        <f t="shared" ca="1" si="34"/>
        <v>#N/A</v>
      </c>
    </row>
    <row r="321" spans="1:9" x14ac:dyDescent="0.2">
      <c r="A321">
        <f>'uniforme cercle (rejet)'!L326</f>
        <v>317</v>
      </c>
      <c r="B321">
        <f ca="1">'uniforme cercle (rejet)'!M326</f>
        <v>-0.48255629773721465</v>
      </c>
      <c r="C321">
        <f ca="1">'uniforme cercle (rejet)'!N326</f>
        <v>0.57637376096972814</v>
      </c>
      <c r="D321">
        <f ca="1">'uniforme cercle (rejet)'!O326</f>
        <v>0.75170958010406963</v>
      </c>
      <c r="E321">
        <f t="shared" ca="1" si="30"/>
        <v>6.6338964445429888E-2</v>
      </c>
      <c r="F321">
        <f t="shared" ca="1" si="31"/>
        <v>0.9855200807633111</v>
      </c>
      <c r="G321">
        <f t="shared" ca="1" si="32"/>
        <v>0</v>
      </c>
      <c r="H321" t="e">
        <f t="shared" ca="1" si="33"/>
        <v>#N/A</v>
      </c>
      <c r="I321" t="e">
        <f t="shared" ca="1" si="34"/>
        <v>#N/A</v>
      </c>
    </row>
    <row r="322" spans="1:9" x14ac:dyDescent="0.2">
      <c r="A322">
        <f>'uniforme cercle (rejet)'!L327</f>
        <v>318</v>
      </c>
      <c r="B322">
        <f ca="1">'uniforme cercle (rejet)'!M327</f>
        <v>0.85242494645187761</v>
      </c>
      <c r="C322">
        <f ca="1">'uniforme cercle (rejet)'!N327</f>
        <v>0.43783517608082057</v>
      </c>
      <c r="D322">
        <f ca="1">'uniforme cercle (rejet)'!O327</f>
        <v>0.9582942819130299</v>
      </c>
      <c r="E322">
        <f t="shared" ca="1" si="30"/>
        <v>0.91235168213745665</v>
      </c>
      <c r="F322">
        <f t="shared" ca="1" si="31"/>
        <v>0.35786562871350386</v>
      </c>
      <c r="G322">
        <f t="shared" ca="1" si="32"/>
        <v>0</v>
      </c>
      <c r="H322" t="e">
        <f t="shared" ca="1" si="33"/>
        <v>#N/A</v>
      </c>
      <c r="I322" t="e">
        <f t="shared" ca="1" si="34"/>
        <v>#N/A</v>
      </c>
    </row>
    <row r="323" spans="1:9" x14ac:dyDescent="0.2">
      <c r="A323">
        <f>'uniforme cercle (rejet)'!L328</f>
        <v>319</v>
      </c>
      <c r="B323">
        <f ca="1">'uniforme cercle (rejet)'!M328</f>
        <v>-0.84727636651104965</v>
      </c>
      <c r="C323">
        <f ca="1">'uniforme cercle (rejet)'!N328</f>
        <v>0.27225295620614554</v>
      </c>
      <c r="D323">
        <f ca="1">'uniforme cercle (rejet)'!O328</f>
        <v>0.88994320796956017</v>
      </c>
      <c r="E323">
        <f t="shared" ca="1" si="30"/>
        <v>0.40660295276761221</v>
      </c>
      <c r="F323">
        <f t="shared" ca="1" si="31"/>
        <v>1.3663902530814744</v>
      </c>
      <c r="G323">
        <f t="shared" ca="1" si="32"/>
        <v>0</v>
      </c>
      <c r="H323" t="e">
        <f t="shared" ca="1" si="33"/>
        <v>#N/A</v>
      </c>
      <c r="I323" t="e">
        <f t="shared" ca="1" si="34"/>
        <v>#N/A</v>
      </c>
    </row>
    <row r="324" spans="1:9" x14ac:dyDescent="0.2">
      <c r="A324">
        <f>'uniforme cercle (rejet)'!L329</f>
        <v>320</v>
      </c>
      <c r="B324">
        <f ca="1">'uniforme cercle (rejet)'!M329</f>
        <v>-1.7047138298651454E-3</v>
      </c>
      <c r="C324">
        <f ca="1">'uniforme cercle (rejet)'!N329</f>
        <v>-0.45727449432209721</v>
      </c>
      <c r="D324">
        <f ca="1">'uniforme cercle (rejet)'!O329</f>
        <v>0.45727767188741181</v>
      </c>
      <c r="E324">
        <f t="shared" ca="1" si="30"/>
        <v>0.32454731050788449</v>
      </c>
      <c r="F324">
        <f t="shared" ca="1" si="31"/>
        <v>1.0807784589631373</v>
      </c>
      <c r="G324">
        <f t="shared" ca="1" si="32"/>
        <v>0</v>
      </c>
      <c r="H324" t="e">
        <f t="shared" ca="1" si="33"/>
        <v>#N/A</v>
      </c>
      <c r="I324" t="e">
        <f t="shared" ca="1" si="34"/>
        <v>#N/A</v>
      </c>
    </row>
    <row r="325" spans="1:9" x14ac:dyDescent="0.2">
      <c r="A325">
        <f>'uniforme cercle (rejet)'!L330</f>
        <v>321</v>
      </c>
      <c r="B325">
        <f ca="1">'uniforme cercle (rejet)'!M330</f>
        <v>-0.1877716954179387</v>
      </c>
      <c r="C325">
        <f ca="1">'uniforme cercle (rejet)'!N330</f>
        <v>-0.77597088300400863</v>
      </c>
      <c r="D325">
        <f ca="1">'uniforme cercle (rejet)'!O330</f>
        <v>0.79836647028175478</v>
      </c>
      <c r="E325">
        <f t="shared" ca="1" si="30"/>
        <v>0.68146891252036701</v>
      </c>
      <c r="F325">
        <f t="shared" ca="1" si="31"/>
        <v>1.4495280608846781</v>
      </c>
      <c r="G325">
        <f t="shared" ca="1" si="32"/>
        <v>0</v>
      </c>
      <c r="H325" t="e">
        <f t="shared" ca="1" si="33"/>
        <v>#N/A</v>
      </c>
      <c r="I325" t="e">
        <f t="shared" ca="1" si="34"/>
        <v>#N/A</v>
      </c>
    </row>
    <row r="326" spans="1:9" x14ac:dyDescent="0.2">
      <c r="A326">
        <f>'uniforme cercle (rejet)'!L331</f>
        <v>322</v>
      </c>
      <c r="B326">
        <f ca="1">'uniforme cercle (rejet)'!M331</f>
        <v>-2.1103907830199997E-3</v>
      </c>
      <c r="C326">
        <f ca="1">'uniforme cercle (rejet)'!N331</f>
        <v>0.21699165261276998</v>
      </c>
      <c r="D326">
        <f ca="1">'uniforme cercle (rejet)'!O331</f>
        <v>0.21700191485993411</v>
      </c>
      <c r="E326">
        <f t="shared" ca="1" si="30"/>
        <v>0.15194399738973827</v>
      </c>
      <c r="F326">
        <f t="shared" ca="1" si="31"/>
        <v>0.5763753718048058</v>
      </c>
      <c r="G326">
        <f t="shared" ca="1" si="32"/>
        <v>0</v>
      </c>
      <c r="H326" t="e">
        <f t="shared" ca="1" si="33"/>
        <v>#N/A</v>
      </c>
      <c r="I326" t="e">
        <f t="shared" ca="1" si="34"/>
        <v>#N/A</v>
      </c>
    </row>
    <row r="327" spans="1:9" x14ac:dyDescent="0.2">
      <c r="A327">
        <f>'uniforme cercle (rejet)'!L332</f>
        <v>323</v>
      </c>
      <c r="B327">
        <f ca="1">'uniforme cercle (rejet)'!M332</f>
        <v>-0.4826348487027845</v>
      </c>
      <c r="C327">
        <f ca="1">'uniforme cercle (rejet)'!N332</f>
        <v>-0.14796847557897297</v>
      </c>
      <c r="D327">
        <f ca="1">'uniforme cercle (rejet)'!O332</f>
        <v>0.50480795055894756</v>
      </c>
      <c r="E327">
        <f t="shared" ca="1" si="30"/>
        <v>0.44590388683841015</v>
      </c>
      <c r="F327">
        <f t="shared" ca="1" si="31"/>
        <v>1.1770447702739613</v>
      </c>
      <c r="G327">
        <f t="shared" ca="1" si="32"/>
        <v>0</v>
      </c>
      <c r="H327" t="e">
        <f t="shared" ca="1" si="33"/>
        <v>#N/A</v>
      </c>
      <c r="I327" t="e">
        <f t="shared" ca="1" si="34"/>
        <v>#N/A</v>
      </c>
    </row>
    <row r="328" spans="1:9" x14ac:dyDescent="0.2">
      <c r="A328">
        <f>'uniforme cercle (rejet)'!L333</f>
        <v>324</v>
      </c>
      <c r="B328">
        <f ca="1">'uniforme cercle (rejet)'!M333</f>
        <v>-0.47390565654821293</v>
      </c>
      <c r="C328">
        <f ca="1">'uniforme cercle (rejet)'!N333</f>
        <v>0.17198504738870746</v>
      </c>
      <c r="D328">
        <f ca="1">'uniforme cercle (rejet)'!O333</f>
        <v>0.50414822010366023</v>
      </c>
      <c r="E328">
        <f t="shared" ca="1" si="30"/>
        <v>0.21349011011665958</v>
      </c>
      <c r="F328">
        <f t="shared" ca="1" si="31"/>
        <v>1.0276604677582932</v>
      </c>
      <c r="G328">
        <f t="shared" ca="1" si="32"/>
        <v>0</v>
      </c>
      <c r="H328" t="e">
        <f t="shared" ca="1" si="33"/>
        <v>#N/A</v>
      </c>
      <c r="I328" t="e">
        <f t="shared" ca="1" si="34"/>
        <v>#N/A</v>
      </c>
    </row>
    <row r="329" spans="1:9" x14ac:dyDescent="0.2">
      <c r="A329">
        <f>'uniforme cercle (rejet)'!L334</f>
        <v>325</v>
      </c>
      <c r="B329">
        <f ca="1">'uniforme cercle (rejet)'!M334</f>
        <v>0.64236103643060272</v>
      </c>
      <c r="C329">
        <f ca="1">'uniforme cercle (rejet)'!N334</f>
        <v>-0.73642974150836382</v>
      </c>
      <c r="D329">
        <f ca="1">'uniforme cercle (rejet)'!O334</f>
        <v>0.97721873974165763</v>
      </c>
      <c r="E329">
        <f t="shared" ca="1" si="30"/>
        <v>6.6516619257922294E-2</v>
      </c>
      <c r="F329">
        <f t="shared" ca="1" si="31"/>
        <v>1.2445983972270072</v>
      </c>
      <c r="G329">
        <f t="shared" ca="1" si="32"/>
        <v>0</v>
      </c>
      <c r="H329" t="e">
        <f t="shared" ca="1" si="33"/>
        <v>#N/A</v>
      </c>
      <c r="I329" t="e">
        <f t="shared" ca="1" si="34"/>
        <v>#N/A</v>
      </c>
    </row>
    <row r="330" spans="1:9" x14ac:dyDescent="0.2">
      <c r="A330">
        <f>'uniforme cercle (rejet)'!L335</f>
        <v>326</v>
      </c>
      <c r="B330">
        <f ca="1">'uniforme cercle (rejet)'!M335</f>
        <v>0.91867495067925065</v>
      </c>
      <c r="C330">
        <f ca="1">'uniforme cercle (rejet)'!N335</f>
        <v>8.6887862393091098E-2</v>
      </c>
      <c r="D330">
        <f ca="1">'uniforme cercle (rejet)'!O335</f>
        <v>0.92277471011984513</v>
      </c>
      <c r="E330">
        <f t="shared" ca="1" si="30"/>
        <v>0.71104028403247366</v>
      </c>
      <c r="F330">
        <f t="shared" ca="1" si="31"/>
        <v>0.58817544369382058</v>
      </c>
      <c r="G330">
        <f t="shared" ca="1" si="32"/>
        <v>1</v>
      </c>
      <c r="H330">
        <f t="shared" ca="1" si="33"/>
        <v>0.91867495067925065</v>
      </c>
      <c r="I330">
        <f t="shared" ca="1" si="34"/>
        <v>8.6887862393091098E-2</v>
      </c>
    </row>
    <row r="331" spans="1:9" x14ac:dyDescent="0.2">
      <c r="A331">
        <f>'uniforme cercle (rejet)'!L336</f>
        <v>327</v>
      </c>
      <c r="B331">
        <f ca="1">'uniforme cercle (rejet)'!M336</f>
        <v>0.6431493986402359</v>
      </c>
      <c r="C331">
        <f ca="1">'uniforme cercle (rejet)'!N336</f>
        <v>-0.63900549757467129</v>
      </c>
      <c r="D331">
        <f ca="1">'uniforme cercle (rejet)'!O336</f>
        <v>0.90662515677756828</v>
      </c>
      <c r="E331">
        <f t="shared" ca="1" si="30"/>
        <v>2.9301805440268987E-3</v>
      </c>
      <c r="F331">
        <f t="shared" ca="1" si="31"/>
        <v>1.1479657110891359</v>
      </c>
      <c r="G331">
        <f t="shared" ca="1" si="32"/>
        <v>0</v>
      </c>
      <c r="H331" t="e">
        <f t="shared" ca="1" si="33"/>
        <v>#N/A</v>
      </c>
      <c r="I331" t="e">
        <f t="shared" ca="1" si="34"/>
        <v>#N/A</v>
      </c>
    </row>
    <row r="332" spans="1:9" x14ac:dyDescent="0.2">
      <c r="A332">
        <f>'uniforme cercle (rejet)'!L337</f>
        <v>328</v>
      </c>
      <c r="B332">
        <f ca="1">'uniforme cercle (rejet)'!M337</f>
        <v>-0.57370209409566497</v>
      </c>
      <c r="C332">
        <f ca="1">'uniforme cercle (rejet)'!N337</f>
        <v>0.69062838231836587</v>
      </c>
      <c r="D332">
        <f ca="1">'uniforme cercle (rejet)'!O337</f>
        <v>0.89783164080657918</v>
      </c>
      <c r="E332">
        <f t="shared" ca="1" si="30"/>
        <v>8.2679371301244559E-2</v>
      </c>
      <c r="F332">
        <f t="shared" ca="1" si="31"/>
        <v>1.0904931760495951</v>
      </c>
      <c r="G332">
        <f t="shared" ca="1" si="32"/>
        <v>0</v>
      </c>
      <c r="H332" t="e">
        <f t="shared" ca="1" si="33"/>
        <v>#N/A</v>
      </c>
      <c r="I332" t="e">
        <f t="shared" ca="1" si="34"/>
        <v>#N/A</v>
      </c>
    </row>
    <row r="333" spans="1:9" x14ac:dyDescent="0.2">
      <c r="A333">
        <f>'uniforme cercle (rejet)'!L338</f>
        <v>329</v>
      </c>
      <c r="B333">
        <f ca="1">'uniforme cercle (rejet)'!M338</f>
        <v>-0.5613033809504997</v>
      </c>
      <c r="C333">
        <f ca="1">'uniforme cercle (rejet)'!N338</f>
        <v>0.58026750187858345</v>
      </c>
      <c r="D333">
        <f ca="1">'uniforme cercle (rejet)'!O338</f>
        <v>0.80732388742243566</v>
      </c>
      <c r="E333">
        <f t="shared" ca="1" si="30"/>
        <v>1.3409658507489743E-2</v>
      </c>
      <c r="F333">
        <f t="shared" ca="1" si="31"/>
        <v>1.0643344109229909</v>
      </c>
      <c r="G333">
        <f t="shared" ca="1" si="32"/>
        <v>0</v>
      </c>
      <c r="H333" t="e">
        <f t="shared" ca="1" si="33"/>
        <v>#N/A</v>
      </c>
      <c r="I333" t="e">
        <f t="shared" ca="1" si="34"/>
        <v>#N/A</v>
      </c>
    </row>
    <row r="334" spans="1:9" x14ac:dyDescent="0.2">
      <c r="A334">
        <f>'uniforme cercle (rejet)'!L339</f>
        <v>330</v>
      </c>
      <c r="B334">
        <f ca="1">'uniforme cercle (rejet)'!M339</f>
        <v>0.9392521658489188</v>
      </c>
      <c r="C334">
        <f ca="1">'uniforme cercle (rejet)'!N339</f>
        <v>-8.1093314246259762E-2</v>
      </c>
      <c r="D334">
        <f ca="1">'uniforme cercle (rejet)'!O339</f>
        <v>0.94274639042922226</v>
      </c>
      <c r="E334">
        <f t="shared" ca="1" si="30"/>
        <v>0.60680994330350035</v>
      </c>
      <c r="F334">
        <f t="shared" ca="1" si="31"/>
        <v>0.72843112582087577</v>
      </c>
      <c r="G334">
        <f t="shared" ca="1" si="32"/>
        <v>1</v>
      </c>
      <c r="H334">
        <f t="shared" ca="1" si="33"/>
        <v>0.9392521658489188</v>
      </c>
      <c r="I334">
        <f t="shared" ca="1" si="34"/>
        <v>-8.1093314246259762E-2</v>
      </c>
    </row>
    <row r="335" spans="1:9" x14ac:dyDescent="0.2">
      <c r="A335">
        <f>'uniforme cercle (rejet)'!L340</f>
        <v>331</v>
      </c>
      <c r="B335">
        <f ca="1">'uniforme cercle (rejet)'!M340</f>
        <v>-0.77857523464636813</v>
      </c>
      <c r="C335">
        <f ca="1">'uniforme cercle (rejet)'!N340</f>
        <v>-0.12442237043937321</v>
      </c>
      <c r="D335">
        <f ca="1">'uniforme cercle (rejet)'!O340</f>
        <v>0.78845438819908908</v>
      </c>
      <c r="E335">
        <f t="shared" ca="1" si="30"/>
        <v>0.63851572995133976</v>
      </c>
      <c r="F335">
        <f t="shared" ca="1" si="31"/>
        <v>1.4229047499239509</v>
      </c>
      <c r="G335">
        <f t="shared" ca="1" si="32"/>
        <v>0</v>
      </c>
      <c r="H335" t="e">
        <f t="shared" ca="1" si="33"/>
        <v>#N/A</v>
      </c>
      <c r="I335" t="e">
        <f t="shared" ca="1" si="34"/>
        <v>#N/A</v>
      </c>
    </row>
    <row r="336" spans="1:9" x14ac:dyDescent="0.2">
      <c r="A336">
        <f>'uniforme cercle (rejet)'!L341</f>
        <v>332</v>
      </c>
      <c r="B336">
        <f ca="1">'uniforme cercle (rejet)'!M341</f>
        <v>-1.129216678485867E-2</v>
      </c>
      <c r="C336">
        <f ca="1">'uniforme cercle (rejet)'!N341</f>
        <v>-0.71537323476580905</v>
      </c>
      <c r="D336">
        <f ca="1">'uniforme cercle (rejet)'!O341</f>
        <v>0.71546235264337588</v>
      </c>
      <c r="E336">
        <f t="shared" ca="1" si="30"/>
        <v>0.51383003309012265</v>
      </c>
      <c r="F336">
        <f t="shared" ca="1" si="31"/>
        <v>1.3185415350305285</v>
      </c>
      <c r="G336">
        <f t="shared" ca="1" si="32"/>
        <v>0</v>
      </c>
      <c r="H336" t="e">
        <f t="shared" ca="1" si="33"/>
        <v>#N/A</v>
      </c>
      <c r="I336" t="e">
        <f t="shared" ca="1" si="34"/>
        <v>#N/A</v>
      </c>
    </row>
    <row r="337" spans="1:9" x14ac:dyDescent="0.2">
      <c r="A337">
        <f>'uniforme cercle (rejet)'!L342</f>
        <v>333</v>
      </c>
      <c r="B337">
        <f ca="1">'uniforme cercle (rejet)'!M342</f>
        <v>-0.13033454282968804</v>
      </c>
      <c r="C337">
        <f ca="1">'uniforme cercle (rejet)'!N342</f>
        <v>1.0245196091803521E-2</v>
      </c>
      <c r="D337">
        <f ca="1">'uniforme cercle (rejet)'!O342</f>
        <v>0.13073659433220408</v>
      </c>
      <c r="E337">
        <f t="shared" ca="1" si="30"/>
        <v>8.4915991426620749E-2</v>
      </c>
      <c r="F337">
        <f t="shared" ca="1" si="31"/>
        <v>0.79823643354301221</v>
      </c>
      <c r="G337">
        <f t="shared" ca="1" si="32"/>
        <v>0</v>
      </c>
      <c r="H337" t="e">
        <f t="shared" ca="1" si="33"/>
        <v>#N/A</v>
      </c>
      <c r="I337" t="e">
        <f t="shared" ca="1" si="34"/>
        <v>#N/A</v>
      </c>
    </row>
    <row r="338" spans="1:9" x14ac:dyDescent="0.2">
      <c r="A338">
        <f>'uniforme cercle (rejet)'!L343</f>
        <v>334</v>
      </c>
      <c r="B338">
        <f ca="1">'uniforme cercle (rejet)'!M343</f>
        <v>-0.3598118398351049</v>
      </c>
      <c r="C338">
        <f ca="1">'uniforme cercle (rejet)'!N343</f>
        <v>-0.77265100942570952</v>
      </c>
      <c r="D338">
        <f ca="1">'uniforme cercle (rejet)'!O343</f>
        <v>0.85232279240443354</v>
      </c>
      <c r="E338">
        <f t="shared" ca="1" si="30"/>
        <v>0.80077216015416075</v>
      </c>
      <c r="F338">
        <f t="shared" ca="1" si="31"/>
        <v>1.5358766199512595</v>
      </c>
      <c r="G338">
        <f t="shared" ca="1" si="32"/>
        <v>0</v>
      </c>
      <c r="H338" t="e">
        <f t="shared" ca="1" si="33"/>
        <v>#N/A</v>
      </c>
      <c r="I338" t="e">
        <f t="shared" ca="1" si="34"/>
        <v>#N/A</v>
      </c>
    </row>
    <row r="339" spans="1:9" x14ac:dyDescent="0.2">
      <c r="A339">
        <f>'uniforme cercle (rejet)'!L344</f>
        <v>335</v>
      </c>
      <c r="B339">
        <f ca="1">'uniforme cercle (rejet)'!M344</f>
        <v>0.64869406134641072</v>
      </c>
      <c r="C339">
        <f ca="1">'uniforme cercle (rejet)'!N344</f>
        <v>2.697023418728195E-2</v>
      </c>
      <c r="D339">
        <f ca="1">'uniforme cercle (rejet)'!O344</f>
        <v>0.64925447919765455</v>
      </c>
      <c r="E339">
        <f t="shared" ca="1" si="30"/>
        <v>0.47776680517750564</v>
      </c>
      <c r="F339">
        <f t="shared" ca="1" si="31"/>
        <v>0.49584985955884375</v>
      </c>
      <c r="G339">
        <f t="shared" ca="1" si="32"/>
        <v>1</v>
      </c>
      <c r="H339">
        <f t="shared" ca="1" si="33"/>
        <v>0.64869406134641072</v>
      </c>
      <c r="I339">
        <f t="shared" ca="1" si="34"/>
        <v>2.697023418728195E-2</v>
      </c>
    </row>
    <row r="340" spans="1:9" x14ac:dyDescent="0.2">
      <c r="A340">
        <f>'uniforme cercle (rejet)'!L345</f>
        <v>336</v>
      </c>
      <c r="B340">
        <f ca="1">'uniforme cercle (rejet)'!M345</f>
        <v>0.8303615861989575</v>
      </c>
      <c r="C340">
        <f ca="1">'uniforme cercle (rejet)'!N345</f>
        <v>0.37216927988717896</v>
      </c>
      <c r="D340">
        <f ca="1">'uniforme cercle (rejet)'!O345</f>
        <v>0.90995073313151964</v>
      </c>
      <c r="E340">
        <f t="shared" ca="1" si="30"/>
        <v>0.85031772999563926</v>
      </c>
      <c r="F340">
        <f t="shared" ca="1" si="31"/>
        <v>0.35423081548681451</v>
      </c>
      <c r="G340">
        <f t="shared" ca="1" si="32"/>
        <v>0</v>
      </c>
      <c r="H340" t="e">
        <f t="shared" ca="1" si="33"/>
        <v>#N/A</v>
      </c>
      <c r="I340" t="e">
        <f t="shared" ca="1" si="34"/>
        <v>#N/A</v>
      </c>
    </row>
    <row r="341" spans="1:9" x14ac:dyDescent="0.2">
      <c r="A341">
        <f>'uniforme cercle (rejet)'!L346</f>
        <v>337</v>
      </c>
      <c r="B341">
        <f ca="1">'uniforme cercle (rejet)'!M346</f>
        <v>-7.0541656315936674E-3</v>
      </c>
      <c r="C341">
        <f ca="1">'uniforme cercle (rejet)'!N346</f>
        <v>-0.33113812760790973</v>
      </c>
      <c r="D341">
        <f ca="1">'uniforme cercle (rejet)'!O346</f>
        <v>0.33121325578610267</v>
      </c>
      <c r="E341">
        <f t="shared" ca="1" si="30"/>
        <v>0.23913806389468223</v>
      </c>
      <c r="F341">
        <f t="shared" ca="1" si="31"/>
        <v>0.97359874386111123</v>
      </c>
      <c r="G341">
        <f t="shared" ca="1" si="32"/>
        <v>0</v>
      </c>
      <c r="H341" t="e">
        <f t="shared" ca="1" si="33"/>
        <v>#N/A</v>
      </c>
      <c r="I341" t="e">
        <f t="shared" ca="1" si="34"/>
        <v>#N/A</v>
      </c>
    </row>
    <row r="342" spans="1:9" x14ac:dyDescent="0.2">
      <c r="A342">
        <f>'uniforme cercle (rejet)'!L347</f>
        <v>338</v>
      </c>
      <c r="B342">
        <f ca="1">'uniforme cercle (rejet)'!M347</f>
        <v>0.44211722142893439</v>
      </c>
      <c r="C342">
        <f ca="1">'uniforme cercle (rejet)'!N347</f>
        <v>-0.11028513480767876</v>
      </c>
      <c r="D342">
        <f ca="1">'uniforme cercle (rejet)'!O347</f>
        <v>0.45566484222901077</v>
      </c>
      <c r="E342">
        <f t="shared" ca="1" si="30"/>
        <v>0.23464071866517167</v>
      </c>
      <c r="F342">
        <f t="shared" ca="1" si="31"/>
        <v>0.61302394881630329</v>
      </c>
      <c r="G342">
        <f t="shared" ca="1" si="32"/>
        <v>0</v>
      </c>
      <c r="H342" t="e">
        <f t="shared" ca="1" si="33"/>
        <v>#N/A</v>
      </c>
      <c r="I342" t="e">
        <f t="shared" ca="1" si="34"/>
        <v>#N/A</v>
      </c>
    </row>
    <row r="343" spans="1:9" x14ac:dyDescent="0.2">
      <c r="A343">
        <f>'uniforme cercle (rejet)'!L348</f>
        <v>339</v>
      </c>
      <c r="B343">
        <f ca="1">'uniforme cercle (rejet)'!M348</f>
        <v>-0.69574706719980406</v>
      </c>
      <c r="C343">
        <f ca="1">'uniforme cercle (rejet)'!N348</f>
        <v>0.19193630632597736</v>
      </c>
      <c r="D343">
        <f ca="1">'uniforme cercle (rejet)'!O348</f>
        <v>0.72173646658817792</v>
      </c>
      <c r="E343">
        <f t="shared" ca="1" si="30"/>
        <v>0.356248005448637</v>
      </c>
      <c r="F343">
        <f t="shared" ca="1" si="31"/>
        <v>1.2347932167278111</v>
      </c>
      <c r="G343">
        <f t="shared" ca="1" si="32"/>
        <v>0</v>
      </c>
      <c r="H343" t="e">
        <f t="shared" ca="1" si="33"/>
        <v>#N/A</v>
      </c>
      <c r="I343" t="e">
        <f t="shared" ca="1" si="34"/>
        <v>#N/A</v>
      </c>
    </row>
    <row r="344" spans="1:9" x14ac:dyDescent="0.2">
      <c r="A344">
        <f>'uniforme cercle (rejet)'!L349</f>
        <v>340</v>
      </c>
      <c r="B344">
        <f ca="1">'uniforme cercle (rejet)'!M349</f>
        <v>-0.341786094298004</v>
      </c>
      <c r="C344">
        <f ca="1">'uniforme cercle (rejet)'!N349</f>
        <v>0.34654655697999326</v>
      </c>
      <c r="D344">
        <f ca="1">'uniforme cercle (rejet)'!O349</f>
        <v>0.48673632534481315</v>
      </c>
      <c r="E344">
        <f t="shared" ca="1" si="30"/>
        <v>3.3661554440201076E-3</v>
      </c>
      <c r="F344">
        <f t="shared" ca="1" si="31"/>
        <v>0.85565868646802301</v>
      </c>
      <c r="G344">
        <f t="shared" ca="1" si="32"/>
        <v>0</v>
      </c>
      <c r="H344" t="e">
        <f t="shared" ca="1" si="33"/>
        <v>#N/A</v>
      </c>
      <c r="I344" t="e">
        <f t="shared" ca="1" si="34"/>
        <v>#N/A</v>
      </c>
    </row>
    <row r="345" spans="1:9" x14ac:dyDescent="0.2">
      <c r="A345">
        <f>'uniforme cercle (rejet)'!L350</f>
        <v>341</v>
      </c>
      <c r="B345">
        <f ca="1">'uniforme cercle (rejet)'!M350</f>
        <v>0.3088270027687614</v>
      </c>
      <c r="C345">
        <f ca="1">'uniforme cercle (rejet)'!N350</f>
        <v>0.39792826582909568</v>
      </c>
      <c r="D345">
        <f ca="1">'uniforme cercle (rejet)'!O350</f>
        <v>0.50370727847122487</v>
      </c>
      <c r="E345">
        <f t="shared" ca="1" si="30"/>
        <v>0.49975144306486452</v>
      </c>
      <c r="F345">
        <f t="shared" ca="1" si="31"/>
        <v>0.21671583649339268</v>
      </c>
      <c r="G345">
        <f t="shared" ca="1" si="32"/>
        <v>1</v>
      </c>
      <c r="H345">
        <f t="shared" ca="1" si="33"/>
        <v>0.3088270027687614</v>
      </c>
      <c r="I345">
        <f t="shared" ca="1" si="34"/>
        <v>0.39792826582909568</v>
      </c>
    </row>
    <row r="346" spans="1:9" x14ac:dyDescent="0.2">
      <c r="A346">
        <f>'uniforme cercle (rejet)'!L351</f>
        <v>342</v>
      </c>
      <c r="B346">
        <f ca="1">'uniforme cercle (rejet)'!M351</f>
        <v>-0.69842192980465501</v>
      </c>
      <c r="C346">
        <f ca="1">'uniforme cercle (rejet)'!N351</f>
        <v>-0.4983712028180407</v>
      </c>
      <c r="D346">
        <f ca="1">'uniforme cercle (rejet)'!O351</f>
        <v>0.8580017761230796</v>
      </c>
      <c r="E346">
        <f t="shared" ca="1" si="30"/>
        <v>0.84626053975499915</v>
      </c>
      <c r="F346">
        <f t="shared" ca="1" si="31"/>
        <v>1.5597949161518172</v>
      </c>
      <c r="G346">
        <f t="shared" ca="1" si="32"/>
        <v>0</v>
      </c>
      <c r="H346" t="e">
        <f t="shared" ca="1" si="33"/>
        <v>#N/A</v>
      </c>
      <c r="I346" t="e">
        <f t="shared" ca="1" si="34"/>
        <v>#N/A</v>
      </c>
    </row>
    <row r="347" spans="1:9" x14ac:dyDescent="0.2">
      <c r="A347">
        <f>'uniforme cercle (rejet)'!L352</f>
        <v>343</v>
      </c>
      <c r="B347">
        <f ca="1">'uniforme cercle (rejet)'!M352</f>
        <v>-0.14335763328970064</v>
      </c>
      <c r="C347">
        <f ca="1">'uniforme cercle (rejet)'!N352</f>
        <v>0.16871985262021605</v>
      </c>
      <c r="D347">
        <f ca="1">'uniforme cercle (rejet)'!O352</f>
        <v>0.22139963796404841</v>
      </c>
      <c r="E347">
        <f t="shared" ca="1" si="30"/>
        <v>1.793379727454799E-2</v>
      </c>
      <c r="F347">
        <f t="shared" ca="1" si="31"/>
        <v>0.72364050491946363</v>
      </c>
      <c r="G347">
        <f t="shared" ca="1" si="32"/>
        <v>0</v>
      </c>
      <c r="H347" t="e">
        <f t="shared" ca="1" si="33"/>
        <v>#N/A</v>
      </c>
      <c r="I347" t="e">
        <f t="shared" ca="1" si="34"/>
        <v>#N/A</v>
      </c>
    </row>
    <row r="348" spans="1:9" x14ac:dyDescent="0.2">
      <c r="A348">
        <f>'uniforme cercle (rejet)'!L353</f>
        <v>344</v>
      </c>
      <c r="B348">
        <f ca="1">'uniforme cercle (rejet)'!M353</f>
        <v>0.52897595294501643</v>
      </c>
      <c r="C348">
        <f ca="1">'uniforme cercle (rejet)'!N353</f>
        <v>-0.62297331177395909</v>
      </c>
      <c r="D348">
        <f ca="1">'uniforme cercle (rejet)'!O353</f>
        <v>0.81725840832425978</v>
      </c>
      <c r="E348">
        <f t="shared" ca="1" si="30"/>
        <v>6.6466169841570555E-2</v>
      </c>
      <c r="F348">
        <f t="shared" ca="1" si="31"/>
        <v>1.1233470811844599</v>
      </c>
      <c r="G348">
        <f t="shared" ca="1" si="32"/>
        <v>0</v>
      </c>
      <c r="H348" t="e">
        <f t="shared" ca="1" si="33"/>
        <v>#N/A</v>
      </c>
      <c r="I348" t="e">
        <f t="shared" ca="1" si="34"/>
        <v>#N/A</v>
      </c>
    </row>
    <row r="349" spans="1:9" x14ac:dyDescent="0.2">
      <c r="A349">
        <f>'uniforme cercle (rejet)'!L354</f>
        <v>345</v>
      </c>
      <c r="B349">
        <f ca="1">'uniforme cercle (rejet)'!M354</f>
        <v>-0.61272932173222605</v>
      </c>
      <c r="C349">
        <f ca="1">'uniforme cercle (rejet)'!N354</f>
        <v>-0.38078159904405995</v>
      </c>
      <c r="D349">
        <f ca="1">'uniforme cercle (rejet)'!O354</f>
        <v>0.72140962558104604</v>
      </c>
      <c r="E349">
        <f t="shared" ca="1" si="30"/>
        <v>0.70251830926380254</v>
      </c>
      <c r="F349">
        <f t="shared" ca="1" si="31"/>
        <v>1.4191345139405465</v>
      </c>
      <c r="G349">
        <f t="shared" ca="1" si="32"/>
        <v>0</v>
      </c>
      <c r="H349" t="e">
        <f t="shared" ca="1" si="33"/>
        <v>#N/A</v>
      </c>
      <c r="I349" t="e">
        <f t="shared" ca="1" si="34"/>
        <v>#N/A</v>
      </c>
    </row>
    <row r="350" spans="1:9" x14ac:dyDescent="0.2">
      <c r="A350">
        <f>'uniforme cercle (rejet)'!L355</f>
        <v>346</v>
      </c>
      <c r="B350">
        <f ca="1">'uniforme cercle (rejet)'!M355</f>
        <v>-0.71188827090940987</v>
      </c>
      <c r="C350">
        <f ca="1">'uniforme cercle (rejet)'!N355</f>
        <v>-0.24548791420418414</v>
      </c>
      <c r="D350">
        <f ca="1">'uniforme cercle (rejet)'!O355</f>
        <v>0.75302671020270606</v>
      </c>
      <c r="E350">
        <f t="shared" ca="1" si="30"/>
        <v>0.67696719264032967</v>
      </c>
      <c r="F350">
        <f t="shared" ca="1" si="31"/>
        <v>1.4228230428947601</v>
      </c>
      <c r="G350">
        <f t="shared" ca="1" si="32"/>
        <v>0</v>
      </c>
      <c r="H350" t="e">
        <f t="shared" ca="1" si="33"/>
        <v>#N/A</v>
      </c>
      <c r="I350" t="e">
        <f t="shared" ca="1" si="34"/>
        <v>#N/A</v>
      </c>
    </row>
    <row r="351" spans="1:9" x14ac:dyDescent="0.2">
      <c r="A351">
        <f>'uniforme cercle (rejet)'!L356</f>
        <v>347</v>
      </c>
      <c r="B351">
        <f ca="1">'uniforme cercle (rejet)'!M356</f>
        <v>0.91148066629162905</v>
      </c>
      <c r="C351">
        <f ca="1">'uniforme cercle (rejet)'!N356</f>
        <v>0.20304079809219133</v>
      </c>
      <c r="D351">
        <f ca="1">'uniforme cercle (rejet)'!O356</f>
        <v>0.93382148760528427</v>
      </c>
      <c r="E351">
        <f t="shared" ca="1" si="30"/>
        <v>0.78808568524376055</v>
      </c>
      <c r="F351">
        <f t="shared" ca="1" si="31"/>
        <v>0.50744566835231297</v>
      </c>
      <c r="G351">
        <f t="shared" ca="1" si="32"/>
        <v>1</v>
      </c>
      <c r="H351">
        <f t="shared" ca="1" si="33"/>
        <v>0.91148066629162905</v>
      </c>
      <c r="I351">
        <f t="shared" ca="1" si="34"/>
        <v>0.20304079809219133</v>
      </c>
    </row>
    <row r="352" spans="1:9" x14ac:dyDescent="0.2">
      <c r="A352">
        <f>'uniforme cercle (rejet)'!L357</f>
        <v>348</v>
      </c>
      <c r="B352">
        <f ca="1">'uniforme cercle (rejet)'!M357</f>
        <v>-0.14109481080938213</v>
      </c>
      <c r="C352">
        <f ca="1">'uniforme cercle (rejet)'!N357</f>
        <v>0.51753554600696017</v>
      </c>
      <c r="D352">
        <f ca="1">'uniforme cercle (rejet)'!O357</f>
        <v>0.53642407386139723</v>
      </c>
      <c r="E352">
        <f t="shared" ca="1" si="30"/>
        <v>0.26618379657305691</v>
      </c>
      <c r="F352">
        <f t="shared" ca="1" si="31"/>
        <v>0.64133458648390362</v>
      </c>
      <c r="G352">
        <f t="shared" ca="1" si="32"/>
        <v>0</v>
      </c>
      <c r="H352" t="e">
        <f t="shared" ca="1" si="33"/>
        <v>#N/A</v>
      </c>
      <c r="I352" t="e">
        <f t="shared" ca="1" si="34"/>
        <v>#N/A</v>
      </c>
    </row>
    <row r="353" spans="1:9" x14ac:dyDescent="0.2">
      <c r="A353">
        <f>'uniforme cercle (rejet)'!L358</f>
        <v>349</v>
      </c>
      <c r="B353">
        <f ca="1">'uniforme cercle (rejet)'!M358</f>
        <v>-0.45884923997263494</v>
      </c>
      <c r="C353">
        <f ca="1">'uniforme cercle (rejet)'!N358</f>
        <v>0.54326982708455751</v>
      </c>
      <c r="D353">
        <f ca="1">'uniforme cercle (rejet)'!O358</f>
        <v>0.71111513135634352</v>
      </c>
      <c r="E353">
        <f t="shared" ca="1" si="30"/>
        <v>5.9694369618590107E-2</v>
      </c>
      <c r="F353">
        <f t="shared" ca="1" si="31"/>
        <v>0.95982505850390631</v>
      </c>
      <c r="G353">
        <f t="shared" ca="1" si="32"/>
        <v>0</v>
      </c>
      <c r="H353" t="e">
        <f t="shared" ca="1" si="33"/>
        <v>#N/A</v>
      </c>
      <c r="I353" t="e">
        <f t="shared" ca="1" si="34"/>
        <v>#N/A</v>
      </c>
    </row>
    <row r="354" spans="1:9" x14ac:dyDescent="0.2">
      <c r="A354">
        <f>'uniforme cercle (rejet)'!L359</f>
        <v>350</v>
      </c>
      <c r="B354">
        <f ca="1">'uniforme cercle (rejet)'!M359</f>
        <v>-0.27326698449170639</v>
      </c>
      <c r="C354">
        <f ca="1">'uniforme cercle (rejet)'!N359</f>
        <v>0.43908115668739356</v>
      </c>
      <c r="D354">
        <f ca="1">'uniforme cercle (rejet)'!O359</f>
        <v>0.51717222177059163</v>
      </c>
      <c r="E354">
        <f t="shared" ca="1" si="30"/>
        <v>0.11724832557640427</v>
      </c>
      <c r="F354">
        <f t="shared" ca="1" si="31"/>
        <v>0.77566290021854389</v>
      </c>
      <c r="G354">
        <f t="shared" ca="1" si="32"/>
        <v>0</v>
      </c>
      <c r="H354" t="e">
        <f t="shared" ca="1" si="33"/>
        <v>#N/A</v>
      </c>
      <c r="I354" t="e">
        <f t="shared" ca="1" si="34"/>
        <v>#N/A</v>
      </c>
    </row>
    <row r="355" spans="1:9" x14ac:dyDescent="0.2">
      <c r="A355">
        <f>'uniforme cercle (rejet)'!L360</f>
        <v>351</v>
      </c>
      <c r="B355">
        <f ca="1">'uniforme cercle (rejet)'!M360</f>
        <v>-0.64495472082250926</v>
      </c>
      <c r="C355">
        <f ca="1">'uniforme cercle (rejet)'!N360</f>
        <v>0.56044559796465143</v>
      </c>
      <c r="D355">
        <f ca="1">'uniforme cercle (rejet)'!O360</f>
        <v>0.8544389154229789</v>
      </c>
      <c r="E355">
        <f t="shared" ref="E355:E418" ca="1" si="35">(B355+C355)^2/SQRT(2*(B355+C355)^2)</f>
        <v>5.9756973844918335E-2</v>
      </c>
      <c r="F355">
        <f t="shared" ref="F355:F418" ca="1" si="36">SQRT((B355-0.5)^2+(C355-0.5)^2)</f>
        <v>1.1465491629437679</v>
      </c>
      <c r="G355">
        <f t="shared" ref="G355:G418" ca="1" si="37">IF(ABS(F355-E355)&lt;SQRT(2)/2/2,1,0)</f>
        <v>0</v>
      </c>
      <c r="H355" t="e">
        <f t="shared" ref="H355:H418" ca="1" si="38">IF($G355=1,B355,NA())</f>
        <v>#N/A</v>
      </c>
      <c r="I355" t="e">
        <f t="shared" ref="I355:I418" ca="1" si="39">IF($G355=1,C355,NA())</f>
        <v>#N/A</v>
      </c>
    </row>
    <row r="356" spans="1:9" x14ac:dyDescent="0.2">
      <c r="A356">
        <f>'uniforme cercle (rejet)'!L361</f>
        <v>352</v>
      </c>
      <c r="B356">
        <f ca="1">'uniforme cercle (rejet)'!M361</f>
        <v>-0.58997939741475602</v>
      </c>
      <c r="C356">
        <f ca="1">'uniforme cercle (rejet)'!N361</f>
        <v>0.26869229147030493</v>
      </c>
      <c r="D356">
        <f ca="1">'uniforme cercle (rejet)'!O361</f>
        <v>0.64828329985388478</v>
      </c>
      <c r="E356">
        <f t="shared" ca="1" si="35"/>
        <v>0.22718429132112208</v>
      </c>
      <c r="F356">
        <f t="shared" ca="1" si="36"/>
        <v>1.1142523694450432</v>
      </c>
      <c r="G356">
        <f t="shared" ca="1" si="37"/>
        <v>0</v>
      </c>
      <c r="H356" t="e">
        <f t="shared" ca="1" si="38"/>
        <v>#N/A</v>
      </c>
      <c r="I356" t="e">
        <f t="shared" ca="1" si="39"/>
        <v>#N/A</v>
      </c>
    </row>
    <row r="357" spans="1:9" x14ac:dyDescent="0.2">
      <c r="A357">
        <f>'uniforme cercle (rejet)'!L362</f>
        <v>353</v>
      </c>
      <c r="B357">
        <f ca="1">'uniforme cercle (rejet)'!M362</f>
        <v>-0.3736629447301123</v>
      </c>
      <c r="C357">
        <f ca="1">'uniforme cercle (rejet)'!N362</f>
        <v>-0.67518820582953354</v>
      </c>
      <c r="D357">
        <f ca="1">'uniforme cercle (rejet)'!O362</f>
        <v>0.77168847960539333</v>
      </c>
      <c r="E357">
        <f t="shared" ca="1" si="35"/>
        <v>0.74164976101603819</v>
      </c>
      <c r="F357">
        <f t="shared" ca="1" si="36"/>
        <v>1.4643613830319786</v>
      </c>
      <c r="G357">
        <f t="shared" ca="1" si="37"/>
        <v>0</v>
      </c>
      <c r="H357" t="e">
        <f t="shared" ca="1" si="38"/>
        <v>#N/A</v>
      </c>
      <c r="I357" t="e">
        <f t="shared" ca="1" si="39"/>
        <v>#N/A</v>
      </c>
    </row>
    <row r="358" spans="1:9" x14ac:dyDescent="0.2">
      <c r="A358">
        <f>'uniforme cercle (rejet)'!L363</f>
        <v>354</v>
      </c>
      <c r="B358">
        <f ca="1">'uniforme cercle (rejet)'!M363</f>
        <v>-0.53004468733491672</v>
      </c>
      <c r="C358">
        <f ca="1">'uniforme cercle (rejet)'!N363</f>
        <v>0.72804839676611177</v>
      </c>
      <c r="D358">
        <f ca="1">'uniforme cercle (rejet)'!O363</f>
        <v>0.90055640501063305</v>
      </c>
      <c r="E358">
        <f t="shared" ca="1" si="35"/>
        <v>0.14000976563888878</v>
      </c>
      <c r="F358">
        <f t="shared" ca="1" si="36"/>
        <v>1.0549872649347387</v>
      </c>
      <c r="G358">
        <f t="shared" ca="1" si="37"/>
        <v>0</v>
      </c>
      <c r="H358" t="e">
        <f t="shared" ca="1" si="38"/>
        <v>#N/A</v>
      </c>
      <c r="I358" t="e">
        <f t="shared" ca="1" si="39"/>
        <v>#N/A</v>
      </c>
    </row>
    <row r="359" spans="1:9" x14ac:dyDescent="0.2">
      <c r="A359">
        <f>'uniforme cercle (rejet)'!L364</f>
        <v>355</v>
      </c>
      <c r="B359">
        <f ca="1">'uniforme cercle (rejet)'!M364</f>
        <v>-0.38547253991007513</v>
      </c>
      <c r="C359">
        <f ca="1">'uniforme cercle (rejet)'!N364</f>
        <v>-0.73808181096726844</v>
      </c>
      <c r="D359">
        <f ca="1">'uniforme cercle (rejet)'!O364</f>
        <v>0.83267871277308814</v>
      </c>
      <c r="E359">
        <f t="shared" ca="1" si="35"/>
        <v>0.79447290053701924</v>
      </c>
      <c r="F359">
        <f t="shared" ca="1" si="36"/>
        <v>1.522139346309263</v>
      </c>
      <c r="G359">
        <f t="shared" ca="1" si="37"/>
        <v>0</v>
      </c>
      <c r="H359" t="e">
        <f t="shared" ca="1" si="38"/>
        <v>#N/A</v>
      </c>
      <c r="I359" t="e">
        <f t="shared" ca="1" si="39"/>
        <v>#N/A</v>
      </c>
    </row>
    <row r="360" spans="1:9" x14ac:dyDescent="0.2">
      <c r="A360">
        <f>'uniforme cercle (rejet)'!L365</f>
        <v>356</v>
      </c>
      <c r="B360">
        <f ca="1">'uniforme cercle (rejet)'!M365</f>
        <v>-0.28583877161788429</v>
      </c>
      <c r="C360">
        <f ca="1">'uniforme cercle (rejet)'!N365</f>
        <v>0.64703242281658602</v>
      </c>
      <c r="D360">
        <f ca="1">'uniforme cercle (rejet)'!O365</f>
        <v>0.70735758957964279</v>
      </c>
      <c r="E360">
        <f t="shared" ca="1" si="35"/>
        <v>0.25540248008413058</v>
      </c>
      <c r="F360">
        <f t="shared" ca="1" si="36"/>
        <v>0.79947552078673467</v>
      </c>
      <c r="G360">
        <f t="shared" ca="1" si="37"/>
        <v>0</v>
      </c>
      <c r="H360" t="e">
        <f t="shared" ca="1" si="38"/>
        <v>#N/A</v>
      </c>
      <c r="I360" t="e">
        <f t="shared" ca="1" si="39"/>
        <v>#N/A</v>
      </c>
    </row>
    <row r="361" spans="1:9" x14ac:dyDescent="0.2">
      <c r="A361">
        <f>'uniforme cercle (rejet)'!L366</f>
        <v>357</v>
      </c>
      <c r="B361">
        <f ca="1">'uniforme cercle (rejet)'!M366</f>
        <v>0.24810174914909422</v>
      </c>
      <c r="C361">
        <f ca="1">'uniforme cercle (rejet)'!N366</f>
        <v>0.22659137737601998</v>
      </c>
      <c r="D361">
        <f ca="1">'uniforme cercle (rejet)'!O366</f>
        <v>0.33600316997314472</v>
      </c>
      <c r="E361">
        <f t="shared" ca="1" si="35"/>
        <v>0.33565872874855207</v>
      </c>
      <c r="F361">
        <f t="shared" ca="1" si="36"/>
        <v>0.37175933573602127</v>
      </c>
      <c r="G361">
        <f t="shared" ca="1" si="37"/>
        <v>1</v>
      </c>
      <c r="H361">
        <f t="shared" ca="1" si="38"/>
        <v>0.24810174914909422</v>
      </c>
      <c r="I361">
        <f t="shared" ca="1" si="39"/>
        <v>0.22659137737601998</v>
      </c>
    </row>
    <row r="362" spans="1:9" x14ac:dyDescent="0.2">
      <c r="A362">
        <f>'uniforme cercle (rejet)'!L367</f>
        <v>358</v>
      </c>
      <c r="B362">
        <f ca="1">'uniforme cercle (rejet)'!M367</f>
        <v>0.87182188474192235</v>
      </c>
      <c r="C362">
        <f ca="1">'uniforme cercle (rejet)'!N367</f>
        <v>-2.5852341060794259E-2</v>
      </c>
      <c r="D362">
        <f ca="1">'uniforme cercle (rejet)'!O367</f>
        <v>0.87220510331760925</v>
      </c>
      <c r="E362">
        <f t="shared" ca="1" si="35"/>
        <v>0.59819080101421496</v>
      </c>
      <c r="F362">
        <f t="shared" ca="1" si="36"/>
        <v>0.64402810386826548</v>
      </c>
      <c r="G362">
        <f t="shared" ca="1" si="37"/>
        <v>1</v>
      </c>
      <c r="H362">
        <f t="shared" ca="1" si="38"/>
        <v>0.87182188474192235</v>
      </c>
      <c r="I362">
        <f t="shared" ca="1" si="39"/>
        <v>-2.5852341060794259E-2</v>
      </c>
    </row>
    <row r="363" spans="1:9" x14ac:dyDescent="0.2">
      <c r="A363">
        <f>'uniforme cercle (rejet)'!L368</f>
        <v>359</v>
      </c>
      <c r="B363">
        <f ca="1">'uniforme cercle (rejet)'!M368</f>
        <v>-0.63565160572211532</v>
      </c>
      <c r="C363">
        <f ca="1">'uniforme cercle (rejet)'!N368</f>
        <v>0.6893791098635158</v>
      </c>
      <c r="D363">
        <f ca="1">'uniforme cercle (rejet)'!O368</f>
        <v>0.93770812141802262</v>
      </c>
      <c r="E363">
        <f t="shared" ca="1" si="35"/>
        <v>3.7991082514612598E-2</v>
      </c>
      <c r="F363">
        <f t="shared" ca="1" si="36"/>
        <v>1.1513335819092207</v>
      </c>
      <c r="G363">
        <f t="shared" ca="1" si="37"/>
        <v>0</v>
      </c>
      <c r="H363" t="e">
        <f t="shared" ca="1" si="38"/>
        <v>#N/A</v>
      </c>
      <c r="I363" t="e">
        <f t="shared" ca="1" si="39"/>
        <v>#N/A</v>
      </c>
    </row>
    <row r="364" spans="1:9" x14ac:dyDescent="0.2">
      <c r="A364">
        <f>'uniforme cercle (rejet)'!L369</f>
        <v>360</v>
      </c>
      <c r="B364">
        <f ca="1">'uniforme cercle (rejet)'!M369</f>
        <v>0.49535266629989483</v>
      </c>
      <c r="C364">
        <f ca="1">'uniforme cercle (rejet)'!N369</f>
        <v>0.11098185614359224</v>
      </c>
      <c r="D364">
        <f ca="1">'uniforme cercle (rejet)'!O369</f>
        <v>0.50763297410973207</v>
      </c>
      <c r="E364">
        <f t="shared" ca="1" si="35"/>
        <v>0.42874325248729661</v>
      </c>
      <c r="F364">
        <f t="shared" ca="1" si="36"/>
        <v>0.38904590212467843</v>
      </c>
      <c r="G364">
        <f t="shared" ca="1" si="37"/>
        <v>1</v>
      </c>
      <c r="H364">
        <f t="shared" ca="1" si="38"/>
        <v>0.49535266629989483</v>
      </c>
      <c r="I364">
        <f t="shared" ca="1" si="39"/>
        <v>0.11098185614359224</v>
      </c>
    </row>
    <row r="365" spans="1:9" x14ac:dyDescent="0.2">
      <c r="A365">
        <f>'uniforme cercle (rejet)'!L370</f>
        <v>361</v>
      </c>
      <c r="B365">
        <f ca="1">'uniforme cercle (rejet)'!M370</f>
        <v>0.35303321098312224</v>
      </c>
      <c r="C365">
        <f ca="1">'uniforme cercle (rejet)'!N370</f>
        <v>-0.20891590143016381</v>
      </c>
      <c r="D365">
        <f ca="1">'uniforme cercle (rejet)'!O370</f>
        <v>0.41021738374602268</v>
      </c>
      <c r="E365">
        <f t="shared" ca="1" si="35"/>
        <v>0.10190632687125771</v>
      </c>
      <c r="F365">
        <f t="shared" ca="1" si="36"/>
        <v>0.72398963554354356</v>
      </c>
      <c r="G365">
        <f t="shared" ca="1" si="37"/>
        <v>0</v>
      </c>
      <c r="H365" t="e">
        <f t="shared" ca="1" si="38"/>
        <v>#N/A</v>
      </c>
      <c r="I365" t="e">
        <f t="shared" ca="1" si="39"/>
        <v>#N/A</v>
      </c>
    </row>
    <row r="366" spans="1:9" x14ac:dyDescent="0.2">
      <c r="A366">
        <f>'uniforme cercle (rejet)'!L371</f>
        <v>362</v>
      </c>
      <c r="B366">
        <f ca="1">'uniforme cercle (rejet)'!M371</f>
        <v>0.41254217374578461</v>
      </c>
      <c r="C366">
        <f ca="1">'uniforme cercle (rejet)'!N371</f>
        <v>-0.15749601696019244</v>
      </c>
      <c r="D366">
        <f ca="1">'uniforme cercle (rejet)'!O371</f>
        <v>0.44158356001692628</v>
      </c>
      <c r="E366">
        <f t="shared" ca="1" si="35"/>
        <v>0.18034486697865962</v>
      </c>
      <c r="F366">
        <f t="shared" ca="1" si="36"/>
        <v>0.66328718040651913</v>
      </c>
      <c r="G366">
        <f t="shared" ca="1" si="37"/>
        <v>0</v>
      </c>
      <c r="H366" t="e">
        <f t="shared" ca="1" si="38"/>
        <v>#N/A</v>
      </c>
      <c r="I366" t="e">
        <f t="shared" ca="1" si="39"/>
        <v>#N/A</v>
      </c>
    </row>
    <row r="367" spans="1:9" x14ac:dyDescent="0.2">
      <c r="A367">
        <f>'uniforme cercle (rejet)'!L372</f>
        <v>363</v>
      </c>
      <c r="B367">
        <f ca="1">'uniforme cercle (rejet)'!M372</f>
        <v>-0.19383619598183643</v>
      </c>
      <c r="C367">
        <f ca="1">'uniforme cercle (rejet)'!N372</f>
        <v>-0.82411820010128412</v>
      </c>
      <c r="D367">
        <f ca="1">'uniforme cercle (rejet)'!O372</f>
        <v>0.8466069209561714</v>
      </c>
      <c r="E367">
        <f t="shared" ca="1" si="35"/>
        <v>0.71980245640903129</v>
      </c>
      <c r="F367">
        <f t="shared" ca="1" si="36"/>
        <v>1.4948905226450564</v>
      </c>
      <c r="G367">
        <f t="shared" ca="1" si="37"/>
        <v>0</v>
      </c>
      <c r="H367" t="e">
        <f t="shared" ca="1" si="38"/>
        <v>#N/A</v>
      </c>
      <c r="I367" t="e">
        <f t="shared" ca="1" si="39"/>
        <v>#N/A</v>
      </c>
    </row>
    <row r="368" spans="1:9" x14ac:dyDescent="0.2">
      <c r="A368">
        <f>'uniforme cercle (rejet)'!L373</f>
        <v>364</v>
      </c>
      <c r="B368">
        <f ca="1">'uniforme cercle (rejet)'!M373</f>
        <v>-0.34004922552001826</v>
      </c>
      <c r="C368">
        <f ca="1">'uniforme cercle (rejet)'!N373</f>
        <v>-0.25370282630031049</v>
      </c>
      <c r="D368">
        <f ca="1">'uniforme cercle (rejet)'!O373</f>
        <v>0.42426241861556602</v>
      </c>
      <c r="E368">
        <f t="shared" ca="1" si="35"/>
        <v>0.41984610218558083</v>
      </c>
      <c r="F368">
        <f t="shared" ca="1" si="36"/>
        <v>1.1286056227353549</v>
      </c>
      <c r="G368">
        <f t="shared" ca="1" si="37"/>
        <v>0</v>
      </c>
      <c r="H368" t="e">
        <f t="shared" ca="1" si="38"/>
        <v>#N/A</v>
      </c>
      <c r="I368" t="e">
        <f t="shared" ca="1" si="39"/>
        <v>#N/A</v>
      </c>
    </row>
    <row r="369" spans="1:9" x14ac:dyDescent="0.2">
      <c r="A369">
        <f>'uniforme cercle (rejet)'!L374</f>
        <v>365</v>
      </c>
      <c r="B369">
        <f ca="1">'uniforme cercle (rejet)'!M374</f>
        <v>0.82673128815039165</v>
      </c>
      <c r="C369">
        <f ca="1">'uniforme cercle (rejet)'!N374</f>
        <v>9.136076894289058E-2</v>
      </c>
      <c r="D369">
        <f ca="1">'uniforme cercle (rejet)'!O374</f>
        <v>0.83176403679688038</v>
      </c>
      <c r="E369">
        <f t="shared" ca="1" si="35"/>
        <v>0.6491891193241669</v>
      </c>
      <c r="F369">
        <f t="shared" ca="1" si="36"/>
        <v>0.5232010663362221</v>
      </c>
      <c r="G369">
        <f t="shared" ca="1" si="37"/>
        <v>1</v>
      </c>
      <c r="H369">
        <f t="shared" ca="1" si="38"/>
        <v>0.82673128815039165</v>
      </c>
      <c r="I369">
        <f t="shared" ca="1" si="39"/>
        <v>9.136076894289058E-2</v>
      </c>
    </row>
    <row r="370" spans="1:9" x14ac:dyDescent="0.2">
      <c r="A370">
        <f>'uniforme cercle (rejet)'!L375</f>
        <v>366</v>
      </c>
      <c r="B370">
        <f ca="1">'uniforme cercle (rejet)'!M375</f>
        <v>0.33807450300688213</v>
      </c>
      <c r="C370">
        <f ca="1">'uniforme cercle (rejet)'!N375</f>
        <v>0.91242542013466421</v>
      </c>
      <c r="D370">
        <f ca="1">'uniforme cercle (rejet)'!O375</f>
        <v>0.97304394396721305</v>
      </c>
      <c r="E370">
        <f t="shared" ca="1" si="35"/>
        <v>0.88423697552664393</v>
      </c>
      <c r="F370">
        <f t="shared" ca="1" si="36"/>
        <v>0.44307402739240148</v>
      </c>
      <c r="G370">
        <f t="shared" ca="1" si="37"/>
        <v>0</v>
      </c>
      <c r="H370" t="e">
        <f t="shared" ca="1" si="38"/>
        <v>#N/A</v>
      </c>
      <c r="I370" t="e">
        <f t="shared" ca="1" si="39"/>
        <v>#N/A</v>
      </c>
    </row>
    <row r="371" spans="1:9" x14ac:dyDescent="0.2">
      <c r="A371">
        <f>'uniforme cercle (rejet)'!L376</f>
        <v>367</v>
      </c>
      <c r="B371">
        <f ca="1">'uniforme cercle (rejet)'!M376</f>
        <v>-0.32156489709414648</v>
      </c>
      <c r="C371">
        <f ca="1">'uniforme cercle (rejet)'!N376</f>
        <v>-0.78571349141693547</v>
      </c>
      <c r="D371">
        <f ca="1">'uniforme cercle (rejet)'!O376</f>
        <v>0.84896977192227507</v>
      </c>
      <c r="E371">
        <f t="shared" ca="1" si="35"/>
        <v>0.78296405717749862</v>
      </c>
      <c r="F371">
        <f t="shared" ca="1" si="36"/>
        <v>1.5257876858032513</v>
      </c>
      <c r="G371">
        <f t="shared" ca="1" si="37"/>
        <v>0</v>
      </c>
      <c r="H371" t="e">
        <f t="shared" ca="1" si="38"/>
        <v>#N/A</v>
      </c>
      <c r="I371" t="e">
        <f t="shared" ca="1" si="39"/>
        <v>#N/A</v>
      </c>
    </row>
    <row r="372" spans="1:9" x14ac:dyDescent="0.2">
      <c r="A372">
        <f>'uniforme cercle (rejet)'!L377</f>
        <v>368</v>
      </c>
      <c r="B372">
        <f ca="1">'uniforme cercle (rejet)'!M377</f>
        <v>-0.5335821069641713</v>
      </c>
      <c r="C372">
        <f ca="1">'uniforme cercle (rejet)'!N377</f>
        <v>2.0993544925932861E-2</v>
      </c>
      <c r="D372">
        <f ca="1">'uniforme cercle (rejet)'!O377</f>
        <v>0.53399493799181419</v>
      </c>
      <c r="E372">
        <f t="shared" ca="1" si="35"/>
        <v>0.36245484817589974</v>
      </c>
      <c r="F372">
        <f t="shared" ca="1" si="36"/>
        <v>1.1391835479145227</v>
      </c>
      <c r="G372">
        <f t="shared" ca="1" si="37"/>
        <v>0</v>
      </c>
      <c r="H372" t="e">
        <f t="shared" ca="1" si="38"/>
        <v>#N/A</v>
      </c>
      <c r="I372" t="e">
        <f t="shared" ca="1" si="39"/>
        <v>#N/A</v>
      </c>
    </row>
    <row r="373" spans="1:9" x14ac:dyDescent="0.2">
      <c r="A373">
        <f>'uniforme cercle (rejet)'!L378</f>
        <v>369</v>
      </c>
      <c r="B373">
        <f ca="1">'uniforme cercle (rejet)'!M378</f>
        <v>0.9858375146661349</v>
      </c>
      <c r="C373">
        <f ca="1">'uniforme cercle (rejet)'!N378</f>
        <v>3.1688525284157887E-2</v>
      </c>
      <c r="D373">
        <f ca="1">'uniforme cercle (rejet)'!O378</f>
        <v>0.98634667736946646</v>
      </c>
      <c r="E373">
        <f t="shared" ca="1" si="35"/>
        <v>0.71949956288274597</v>
      </c>
      <c r="F373">
        <f t="shared" ca="1" si="36"/>
        <v>0.67479902786495893</v>
      </c>
      <c r="G373">
        <f t="shared" ca="1" si="37"/>
        <v>1</v>
      </c>
      <c r="H373">
        <f t="shared" ca="1" si="38"/>
        <v>0.9858375146661349</v>
      </c>
      <c r="I373">
        <f t="shared" ca="1" si="39"/>
        <v>3.1688525284157887E-2</v>
      </c>
    </row>
    <row r="374" spans="1:9" x14ac:dyDescent="0.2">
      <c r="A374">
        <f>'uniforme cercle (rejet)'!L379</f>
        <v>370</v>
      </c>
      <c r="B374">
        <f ca="1">'uniforme cercle (rejet)'!M379</f>
        <v>0.51186628032295456</v>
      </c>
      <c r="C374">
        <f ca="1">'uniforme cercle (rejet)'!N379</f>
        <v>0.81734098495233853</v>
      </c>
      <c r="D374">
        <f ca="1">'uniforme cercle (rejet)'!O379</f>
        <v>0.96439274915073703</v>
      </c>
      <c r="E374">
        <f t="shared" ca="1" si="35"/>
        <v>0.93989147087858582</v>
      </c>
      <c r="F374">
        <f t="shared" ca="1" si="36"/>
        <v>0.3175627644092161</v>
      </c>
      <c r="G374">
        <f t="shared" ca="1" si="37"/>
        <v>0</v>
      </c>
      <c r="H374" t="e">
        <f t="shared" ca="1" si="38"/>
        <v>#N/A</v>
      </c>
      <c r="I374" t="e">
        <f t="shared" ca="1" si="39"/>
        <v>#N/A</v>
      </c>
    </row>
    <row r="375" spans="1:9" x14ac:dyDescent="0.2">
      <c r="A375">
        <f>'uniforme cercle (rejet)'!L380</f>
        <v>371</v>
      </c>
      <c r="B375">
        <f ca="1">'uniforme cercle (rejet)'!M380</f>
        <v>4.2350772089258859E-2</v>
      </c>
      <c r="C375">
        <f ca="1">'uniforme cercle (rejet)'!N380</f>
        <v>0.83437687872379129</v>
      </c>
      <c r="D375">
        <f ca="1">'uniforme cercle (rejet)'!O380</f>
        <v>0.83545099416148438</v>
      </c>
      <c r="E375">
        <f t="shared" ca="1" si="35"/>
        <v>0.61994006714365935</v>
      </c>
      <c r="F375">
        <f t="shared" ca="1" si="36"/>
        <v>0.56678983127113569</v>
      </c>
      <c r="G375">
        <f t="shared" ca="1" si="37"/>
        <v>1</v>
      </c>
      <c r="H375">
        <f t="shared" ca="1" si="38"/>
        <v>4.2350772089258859E-2</v>
      </c>
      <c r="I375">
        <f t="shared" ca="1" si="39"/>
        <v>0.83437687872379129</v>
      </c>
    </row>
    <row r="376" spans="1:9" x14ac:dyDescent="0.2">
      <c r="A376">
        <f>'uniforme cercle (rejet)'!L381</f>
        <v>372</v>
      </c>
      <c r="B376">
        <f ca="1">'uniforme cercle (rejet)'!M381</f>
        <v>-0.36690917371439213</v>
      </c>
      <c r="C376">
        <f ca="1">'uniforme cercle (rejet)'!N381</f>
        <v>-0.37625758078390392</v>
      </c>
      <c r="D376">
        <f ca="1">'uniforme cercle (rejet)'!O381</f>
        <v>0.52553982613417027</v>
      </c>
      <c r="E376">
        <f t="shared" ca="1" si="35"/>
        <v>0.52549825165814334</v>
      </c>
      <c r="F376">
        <f t="shared" ca="1" si="36"/>
        <v>1.2326227579237008</v>
      </c>
      <c r="G376">
        <f t="shared" ca="1" si="37"/>
        <v>0</v>
      </c>
      <c r="H376" t="e">
        <f t="shared" ca="1" si="38"/>
        <v>#N/A</v>
      </c>
      <c r="I376" t="e">
        <f t="shared" ca="1" si="39"/>
        <v>#N/A</v>
      </c>
    </row>
    <row r="377" spans="1:9" x14ac:dyDescent="0.2">
      <c r="A377">
        <f>'uniforme cercle (rejet)'!L382</f>
        <v>373</v>
      </c>
      <c r="B377">
        <f ca="1">'uniforme cercle (rejet)'!M382</f>
        <v>-0.24155393820665982</v>
      </c>
      <c r="C377">
        <f ca="1">'uniforme cercle (rejet)'!N382</f>
        <v>-0.90771628194190113</v>
      </c>
      <c r="D377">
        <f ca="1">'uniforme cercle (rejet)'!O382</f>
        <v>0.93930674093481081</v>
      </c>
      <c r="E377">
        <f t="shared" ca="1" si="35"/>
        <v>0.81265676608280379</v>
      </c>
      <c r="F377">
        <f t="shared" ca="1" si="36"/>
        <v>1.5910899954792428</v>
      </c>
      <c r="G377">
        <f t="shared" ca="1" si="37"/>
        <v>0</v>
      </c>
      <c r="H377" t="e">
        <f t="shared" ca="1" si="38"/>
        <v>#N/A</v>
      </c>
      <c r="I377" t="e">
        <f t="shared" ca="1" si="39"/>
        <v>#N/A</v>
      </c>
    </row>
    <row r="378" spans="1:9" x14ac:dyDescent="0.2">
      <c r="A378">
        <f>'uniforme cercle (rejet)'!L383</f>
        <v>374</v>
      </c>
      <c r="B378">
        <f ca="1">'uniforme cercle (rejet)'!M383</f>
        <v>0.94159990340786703</v>
      </c>
      <c r="C378">
        <f ca="1">'uniforme cercle (rejet)'!N383</f>
        <v>-0.17892200918448764</v>
      </c>
      <c r="D378">
        <f ca="1">'uniforme cercle (rejet)'!O383</f>
        <v>0.95844846677759277</v>
      </c>
      <c r="E378">
        <f t="shared" ca="1" si="35"/>
        <v>0.539294710866428</v>
      </c>
      <c r="F378">
        <f t="shared" ca="1" si="36"/>
        <v>0.80990466676327955</v>
      </c>
      <c r="G378">
        <f t="shared" ca="1" si="37"/>
        <v>1</v>
      </c>
      <c r="H378">
        <f t="shared" ca="1" si="38"/>
        <v>0.94159990340786703</v>
      </c>
      <c r="I378">
        <f t="shared" ca="1" si="39"/>
        <v>-0.17892200918448764</v>
      </c>
    </row>
    <row r="379" spans="1:9" x14ac:dyDescent="0.2">
      <c r="A379">
        <f>'uniforme cercle (rejet)'!L384</f>
        <v>375</v>
      </c>
      <c r="B379">
        <f ca="1">'uniforme cercle (rejet)'!M384</f>
        <v>-4.8809663218516874E-2</v>
      </c>
      <c r="C379">
        <f ca="1">'uniforme cercle (rejet)'!N384</f>
        <v>0.40043427686506039</v>
      </c>
      <c r="D379">
        <f ca="1">'uniforme cercle (rejet)'!O384</f>
        <v>0.40339805814102386</v>
      </c>
      <c r="E379">
        <f t="shared" ca="1" si="35"/>
        <v>0.24863614874157075</v>
      </c>
      <c r="F379">
        <f t="shared" ca="1" si="36"/>
        <v>0.55776821320814385</v>
      </c>
      <c r="G379">
        <f t="shared" ca="1" si="37"/>
        <v>1</v>
      </c>
      <c r="H379">
        <f t="shared" ca="1" si="38"/>
        <v>-4.8809663218516874E-2</v>
      </c>
      <c r="I379">
        <f t="shared" ca="1" si="39"/>
        <v>0.40043427686506039</v>
      </c>
    </row>
    <row r="380" spans="1:9" x14ac:dyDescent="0.2">
      <c r="A380">
        <f>'uniforme cercle (rejet)'!L385</f>
        <v>376</v>
      </c>
      <c r="B380">
        <f ca="1">'uniforme cercle (rejet)'!M385</f>
        <v>0.498309033103145</v>
      </c>
      <c r="C380">
        <f ca="1">'uniforme cercle (rejet)'!N385</f>
        <v>-0.78832091059496601</v>
      </c>
      <c r="D380">
        <f ca="1">'uniforme cercle (rejet)'!O385</f>
        <v>0.93261018145496766</v>
      </c>
      <c r="E380">
        <f t="shared" ca="1" si="35"/>
        <v>0.2050693651991089</v>
      </c>
      <c r="F380">
        <f t="shared" ca="1" si="36"/>
        <v>1.2883220203215067</v>
      </c>
      <c r="G380">
        <f t="shared" ca="1" si="37"/>
        <v>0</v>
      </c>
      <c r="H380" t="e">
        <f t="shared" ca="1" si="38"/>
        <v>#N/A</v>
      </c>
      <c r="I380" t="e">
        <f t="shared" ca="1" si="39"/>
        <v>#N/A</v>
      </c>
    </row>
    <row r="381" spans="1:9" x14ac:dyDescent="0.2">
      <c r="A381">
        <f>'uniforme cercle (rejet)'!L386</f>
        <v>377</v>
      </c>
      <c r="B381">
        <f ca="1">'uniforme cercle (rejet)'!M386</f>
        <v>-0.63176702958038167</v>
      </c>
      <c r="C381">
        <f ca="1">'uniforme cercle (rejet)'!N386</f>
        <v>-0.51539156686621945</v>
      </c>
      <c r="D381">
        <f ca="1">'uniforme cercle (rejet)'!O386</f>
        <v>0.81532695703112601</v>
      </c>
      <c r="E381">
        <f t="shared" ca="1" si="35"/>
        <v>0.81116362264383379</v>
      </c>
      <c r="F381">
        <f t="shared" ca="1" si="36"/>
        <v>1.5204988139779121</v>
      </c>
      <c r="G381">
        <f t="shared" ca="1" si="37"/>
        <v>0</v>
      </c>
      <c r="H381" t="e">
        <f t="shared" ca="1" si="38"/>
        <v>#N/A</v>
      </c>
      <c r="I381" t="e">
        <f t="shared" ca="1" si="39"/>
        <v>#N/A</v>
      </c>
    </row>
    <row r="382" spans="1:9" x14ac:dyDescent="0.2">
      <c r="A382">
        <f>'uniforme cercle (rejet)'!L387</f>
        <v>378</v>
      </c>
      <c r="B382">
        <f ca="1">'uniforme cercle (rejet)'!M387</f>
        <v>-1.9758325259434217E-2</v>
      </c>
      <c r="C382">
        <f ca="1">'uniforme cercle (rejet)'!N387</f>
        <v>-0.96185285337842719</v>
      </c>
      <c r="D382">
        <f ca="1">'uniforme cercle (rejet)'!O387</f>
        <v>0.96205576915752633</v>
      </c>
      <c r="E382">
        <f t="shared" ca="1" si="35"/>
        <v>0.69410392090335127</v>
      </c>
      <c r="F382">
        <f t="shared" ca="1" si="36"/>
        <v>1.5515032973239669</v>
      </c>
      <c r="G382">
        <f t="shared" ca="1" si="37"/>
        <v>0</v>
      </c>
      <c r="H382" t="e">
        <f t="shared" ca="1" si="38"/>
        <v>#N/A</v>
      </c>
      <c r="I382" t="e">
        <f t="shared" ca="1" si="39"/>
        <v>#N/A</v>
      </c>
    </row>
    <row r="383" spans="1:9" x14ac:dyDescent="0.2">
      <c r="A383">
        <f>'uniforme cercle (rejet)'!L388</f>
        <v>379</v>
      </c>
      <c r="B383">
        <f ca="1">'uniforme cercle (rejet)'!M388</f>
        <v>0.84657415109539458</v>
      </c>
      <c r="C383">
        <f ca="1">'uniforme cercle (rejet)'!N388</f>
        <v>-0.4846377486968938</v>
      </c>
      <c r="D383">
        <f ca="1">'uniforme cercle (rejet)'!O388</f>
        <v>0.97548015908314689</v>
      </c>
      <c r="E383">
        <f t="shared" ca="1" si="35"/>
        <v>0.25592768449424291</v>
      </c>
      <c r="F383">
        <f t="shared" ca="1" si="36"/>
        <v>1.0438511092901999</v>
      </c>
      <c r="G383">
        <f t="shared" ca="1" si="37"/>
        <v>0</v>
      </c>
      <c r="H383" t="e">
        <f t="shared" ca="1" si="38"/>
        <v>#N/A</v>
      </c>
      <c r="I383" t="e">
        <f t="shared" ca="1" si="39"/>
        <v>#N/A</v>
      </c>
    </row>
    <row r="384" spans="1:9" x14ac:dyDescent="0.2">
      <c r="A384">
        <f>'uniforme cercle (rejet)'!L389</f>
        <v>380</v>
      </c>
      <c r="B384">
        <f ca="1">'uniforme cercle (rejet)'!M389</f>
        <v>-0.33566807857502301</v>
      </c>
      <c r="C384">
        <f ca="1">'uniforme cercle (rejet)'!N389</f>
        <v>0.4750915130311566</v>
      </c>
      <c r="D384">
        <f ca="1">'uniforme cercle (rejet)'!O389</f>
        <v>0.58170869404580972</v>
      </c>
      <c r="E384">
        <f t="shared" ca="1" si="35"/>
        <v>9.8587255960250211E-2</v>
      </c>
      <c r="F384">
        <f t="shared" ca="1" si="36"/>
        <v>0.83603921575028273</v>
      </c>
      <c r="G384">
        <f t="shared" ca="1" si="37"/>
        <v>0</v>
      </c>
      <c r="H384" t="e">
        <f t="shared" ca="1" si="38"/>
        <v>#N/A</v>
      </c>
      <c r="I384" t="e">
        <f t="shared" ca="1" si="39"/>
        <v>#N/A</v>
      </c>
    </row>
    <row r="385" spans="1:9" x14ac:dyDescent="0.2">
      <c r="A385">
        <f>'uniforme cercle (rejet)'!L390</f>
        <v>381</v>
      </c>
      <c r="B385">
        <f ca="1">'uniforme cercle (rejet)'!M390</f>
        <v>0.6897473195394388</v>
      </c>
      <c r="C385">
        <f ca="1">'uniforme cercle (rejet)'!N390</f>
        <v>-0.47637523616176236</v>
      </c>
      <c r="D385">
        <f ca="1">'uniforme cercle (rejet)'!O390</f>
        <v>0.83826292440976746</v>
      </c>
      <c r="E385">
        <f t="shared" ca="1" si="35"/>
        <v>0.15087684707225643</v>
      </c>
      <c r="F385">
        <f t="shared" ca="1" si="36"/>
        <v>0.99464196928459592</v>
      </c>
      <c r="G385">
        <f t="shared" ca="1" si="37"/>
        <v>0</v>
      </c>
      <c r="H385" t="e">
        <f t="shared" ca="1" si="38"/>
        <v>#N/A</v>
      </c>
      <c r="I385" t="e">
        <f t="shared" ca="1" si="39"/>
        <v>#N/A</v>
      </c>
    </row>
    <row r="386" spans="1:9" x14ac:dyDescent="0.2">
      <c r="A386">
        <f>'uniforme cercle (rejet)'!L391</f>
        <v>382</v>
      </c>
      <c r="B386">
        <f ca="1">'uniforme cercle (rejet)'!M391</f>
        <v>-0.15271401290556574</v>
      </c>
      <c r="C386">
        <f ca="1">'uniforme cercle (rejet)'!N391</f>
        <v>0.82881802632782708</v>
      </c>
      <c r="D386">
        <f ca="1">'uniforme cercle (rejet)'!O391</f>
        <v>0.84276977313123658</v>
      </c>
      <c r="E386">
        <f t="shared" ca="1" si="35"/>
        <v>0.47807773267832154</v>
      </c>
      <c r="F386">
        <f t="shared" ca="1" si="36"/>
        <v>0.73086036770467633</v>
      </c>
      <c r="G386">
        <f t="shared" ca="1" si="37"/>
        <v>1</v>
      </c>
      <c r="H386">
        <f t="shared" ca="1" si="38"/>
        <v>-0.15271401290556574</v>
      </c>
      <c r="I386">
        <f t="shared" ca="1" si="39"/>
        <v>0.82881802632782708</v>
      </c>
    </row>
    <row r="387" spans="1:9" x14ac:dyDescent="0.2">
      <c r="A387">
        <f>'uniforme cercle (rejet)'!L392</f>
        <v>383</v>
      </c>
      <c r="B387">
        <f ca="1">'uniforme cercle (rejet)'!M392</f>
        <v>0.81080016514563069</v>
      </c>
      <c r="C387">
        <f ca="1">'uniforme cercle (rejet)'!N392</f>
        <v>2.1180902125316869E-2</v>
      </c>
      <c r="D387">
        <f ca="1">'uniforme cercle (rejet)'!O392</f>
        <v>0.81107677713951609</v>
      </c>
      <c r="E387">
        <f t="shared" ca="1" si="35"/>
        <v>0.58829945448610821</v>
      </c>
      <c r="F387">
        <f t="shared" ca="1" si="36"/>
        <v>0.57084540038794807</v>
      </c>
      <c r="G387">
        <f t="shared" ca="1" si="37"/>
        <v>1</v>
      </c>
      <c r="H387">
        <f t="shared" ca="1" si="38"/>
        <v>0.81080016514563069</v>
      </c>
      <c r="I387">
        <f t="shared" ca="1" si="39"/>
        <v>2.1180902125316869E-2</v>
      </c>
    </row>
    <row r="388" spans="1:9" x14ac:dyDescent="0.2">
      <c r="A388">
        <f>'uniforme cercle (rejet)'!L393</f>
        <v>384</v>
      </c>
      <c r="B388">
        <f ca="1">'uniforme cercle (rejet)'!M393</f>
        <v>-0.11088170804702768</v>
      </c>
      <c r="C388">
        <f ca="1">'uniforme cercle (rejet)'!N393</f>
        <v>-0.61653086801405799</v>
      </c>
      <c r="D388">
        <f ca="1">'uniforme cercle (rejet)'!O393</f>
        <v>0.62642243286267618</v>
      </c>
      <c r="E388">
        <f t="shared" ca="1" si="35"/>
        <v>0.51435836525316891</v>
      </c>
      <c r="F388">
        <f t="shared" ca="1" si="36"/>
        <v>1.2727205665245926</v>
      </c>
      <c r="G388">
        <f t="shared" ca="1" si="37"/>
        <v>0</v>
      </c>
      <c r="H388" t="e">
        <f t="shared" ca="1" si="38"/>
        <v>#N/A</v>
      </c>
      <c r="I388" t="e">
        <f t="shared" ca="1" si="39"/>
        <v>#N/A</v>
      </c>
    </row>
    <row r="389" spans="1:9" x14ac:dyDescent="0.2">
      <c r="A389">
        <f>'uniforme cercle (rejet)'!L394</f>
        <v>385</v>
      </c>
      <c r="B389">
        <f ca="1">'uniforme cercle (rejet)'!M394</f>
        <v>-0.2096116889020001</v>
      </c>
      <c r="C389">
        <f ca="1">'uniforme cercle (rejet)'!N394</f>
        <v>0.29290354143142738</v>
      </c>
      <c r="D389">
        <f ca="1">'uniforme cercle (rejet)'!O394</f>
        <v>0.36017987826559766</v>
      </c>
      <c r="E389">
        <f t="shared" ca="1" si="35"/>
        <v>5.889623374114792E-2</v>
      </c>
      <c r="F389">
        <f t="shared" ca="1" si="36"/>
        <v>0.73921423970185629</v>
      </c>
      <c r="G389">
        <f t="shared" ca="1" si="37"/>
        <v>0</v>
      </c>
      <c r="H389" t="e">
        <f t="shared" ca="1" si="38"/>
        <v>#N/A</v>
      </c>
      <c r="I389" t="e">
        <f t="shared" ca="1" si="39"/>
        <v>#N/A</v>
      </c>
    </row>
    <row r="390" spans="1:9" x14ac:dyDescent="0.2">
      <c r="A390">
        <f>'uniforme cercle (rejet)'!L395</f>
        <v>386</v>
      </c>
      <c r="B390">
        <f ca="1">'uniforme cercle (rejet)'!M395</f>
        <v>0.28706149236815737</v>
      </c>
      <c r="C390">
        <f ca="1">'uniforme cercle (rejet)'!N395</f>
        <v>0.43135604777725356</v>
      </c>
      <c r="D390">
        <f ca="1">'uniforme cercle (rejet)'!O395</f>
        <v>0.51814316588626919</v>
      </c>
      <c r="E390">
        <f t="shared" ca="1" si="35"/>
        <v>0.50799791436017883</v>
      </c>
      <c r="F390">
        <f t="shared" ca="1" si="36"/>
        <v>0.22372930118613207</v>
      </c>
      <c r="G390">
        <f t="shared" ca="1" si="37"/>
        <v>1</v>
      </c>
      <c r="H390">
        <f t="shared" ca="1" si="38"/>
        <v>0.28706149236815737</v>
      </c>
      <c r="I390">
        <f t="shared" ca="1" si="39"/>
        <v>0.43135604777725356</v>
      </c>
    </row>
    <row r="391" spans="1:9" x14ac:dyDescent="0.2">
      <c r="A391">
        <f>'uniforme cercle (rejet)'!L396</f>
        <v>387</v>
      </c>
      <c r="B391">
        <f ca="1">'uniforme cercle (rejet)'!M396</f>
        <v>-0.39112810800626163</v>
      </c>
      <c r="C391">
        <f ca="1">'uniforme cercle (rejet)'!N396</f>
        <v>-4.3249814501438832E-2</v>
      </c>
      <c r="D391">
        <f ca="1">'uniforme cercle (rejet)'!O396</f>
        <v>0.39351206249232912</v>
      </c>
      <c r="E391">
        <f t="shared" ca="1" si="35"/>
        <v>0.3071515746029197</v>
      </c>
      <c r="F391">
        <f t="shared" ca="1" si="36"/>
        <v>1.0436616625298962</v>
      </c>
      <c r="G391">
        <f t="shared" ca="1" si="37"/>
        <v>0</v>
      </c>
      <c r="H391" t="e">
        <f t="shared" ca="1" si="38"/>
        <v>#N/A</v>
      </c>
      <c r="I391" t="e">
        <f t="shared" ca="1" si="39"/>
        <v>#N/A</v>
      </c>
    </row>
    <row r="392" spans="1:9" x14ac:dyDescent="0.2">
      <c r="A392">
        <f>'uniforme cercle (rejet)'!L397</f>
        <v>388</v>
      </c>
      <c r="B392">
        <f ca="1">'uniforme cercle (rejet)'!M397</f>
        <v>-0.39246675223075878</v>
      </c>
      <c r="C392">
        <f ca="1">'uniforme cercle (rejet)'!N397</f>
        <v>-0.53778467924977535</v>
      </c>
      <c r="D392">
        <f ca="1">'uniforme cercle (rejet)'!O397</f>
        <v>0.66576460768228252</v>
      </c>
      <c r="E392">
        <f t="shared" ca="1" si="35"/>
        <v>0.65778709540837865</v>
      </c>
      <c r="F392">
        <f t="shared" ca="1" si="36"/>
        <v>1.3687563495096113</v>
      </c>
      <c r="G392">
        <f t="shared" ca="1" si="37"/>
        <v>0</v>
      </c>
      <c r="H392" t="e">
        <f t="shared" ca="1" si="38"/>
        <v>#N/A</v>
      </c>
      <c r="I392" t="e">
        <f t="shared" ca="1" si="39"/>
        <v>#N/A</v>
      </c>
    </row>
    <row r="393" spans="1:9" x14ac:dyDescent="0.2">
      <c r="A393">
        <f>'uniforme cercle (rejet)'!L398</f>
        <v>389</v>
      </c>
      <c r="B393">
        <f ca="1">'uniforme cercle (rejet)'!M398</f>
        <v>-0.99614624582503009</v>
      </c>
      <c r="C393">
        <f ca="1">'uniforme cercle (rejet)'!N398</f>
        <v>6.4081224503843348E-2</v>
      </c>
      <c r="D393">
        <f ca="1">'uniforme cercle (rejet)'!O398</f>
        <v>0.99820526266154963</v>
      </c>
      <c r="E393">
        <f t="shared" ca="1" si="35"/>
        <v>0.65906949708299523</v>
      </c>
      <c r="F393">
        <f t="shared" ca="1" si="36"/>
        <v>1.5583577149442935</v>
      </c>
      <c r="G393">
        <f t="shared" ca="1" si="37"/>
        <v>0</v>
      </c>
      <c r="H393" t="e">
        <f t="shared" ca="1" si="38"/>
        <v>#N/A</v>
      </c>
      <c r="I393" t="e">
        <f t="shared" ca="1" si="39"/>
        <v>#N/A</v>
      </c>
    </row>
    <row r="394" spans="1:9" x14ac:dyDescent="0.2">
      <c r="A394">
        <f>'uniforme cercle (rejet)'!L399</f>
        <v>390</v>
      </c>
      <c r="B394">
        <f ca="1">'uniforme cercle (rejet)'!M399</f>
        <v>-5.2274594048515866E-3</v>
      </c>
      <c r="C394">
        <f ca="1">'uniforme cercle (rejet)'!N399</f>
        <v>0.53454344203954629</v>
      </c>
      <c r="D394">
        <f ca="1">'uniforme cercle (rejet)'!O399</f>
        <v>0.53456900186909007</v>
      </c>
      <c r="E394">
        <f t="shared" ca="1" si="35"/>
        <v>0.3742829207114135</v>
      </c>
      <c r="F394">
        <f t="shared" ca="1" si="36"/>
        <v>0.50640698565938103</v>
      </c>
      <c r="G394">
        <f t="shared" ca="1" si="37"/>
        <v>1</v>
      </c>
      <c r="H394">
        <f t="shared" ca="1" si="38"/>
        <v>-5.2274594048515866E-3</v>
      </c>
      <c r="I394">
        <f t="shared" ca="1" si="39"/>
        <v>0.53454344203954629</v>
      </c>
    </row>
    <row r="395" spans="1:9" x14ac:dyDescent="0.2">
      <c r="A395">
        <f>'uniforme cercle (rejet)'!L400</f>
        <v>391</v>
      </c>
      <c r="B395">
        <f ca="1">'uniforme cercle (rejet)'!M400</f>
        <v>-0.86310444039634793</v>
      </c>
      <c r="C395">
        <f ca="1">'uniforme cercle (rejet)'!N400</f>
        <v>0.5003815483138061</v>
      </c>
      <c r="D395">
        <f ca="1">'uniforme cercle (rejet)'!O400</f>
        <v>0.9976627531008736</v>
      </c>
      <c r="E395">
        <f t="shared" ca="1" si="35"/>
        <v>0.25648381668316156</v>
      </c>
      <c r="F395">
        <f t="shared" ca="1" si="36"/>
        <v>1.363104493796186</v>
      </c>
      <c r="G395">
        <f t="shared" ca="1" si="37"/>
        <v>0</v>
      </c>
      <c r="H395" t="e">
        <f t="shared" ca="1" si="38"/>
        <v>#N/A</v>
      </c>
      <c r="I395" t="e">
        <f t="shared" ca="1" si="39"/>
        <v>#N/A</v>
      </c>
    </row>
    <row r="396" spans="1:9" x14ac:dyDescent="0.2">
      <c r="A396">
        <f>'uniforme cercle (rejet)'!L401</f>
        <v>392</v>
      </c>
      <c r="B396">
        <f ca="1">'uniforme cercle (rejet)'!M401</f>
        <v>-0.10917980954107143</v>
      </c>
      <c r="C396">
        <f ca="1">'uniforme cercle (rejet)'!N401</f>
        <v>-0.17812217888705351</v>
      </c>
      <c r="D396">
        <f ca="1">'uniforme cercle (rejet)'!O401</f>
        <v>0.20892041887497767</v>
      </c>
      <c r="E396">
        <f t="shared" ca="1" si="35"/>
        <v>0.20315318426590614</v>
      </c>
      <c r="F396">
        <f t="shared" ca="1" si="36"/>
        <v>0.91156444086582333</v>
      </c>
      <c r="G396">
        <f t="shared" ca="1" si="37"/>
        <v>0</v>
      </c>
      <c r="H396" t="e">
        <f t="shared" ca="1" si="38"/>
        <v>#N/A</v>
      </c>
      <c r="I396" t="e">
        <f t="shared" ca="1" si="39"/>
        <v>#N/A</v>
      </c>
    </row>
    <row r="397" spans="1:9" x14ac:dyDescent="0.2">
      <c r="A397">
        <f>'uniforme cercle (rejet)'!L402</f>
        <v>393</v>
      </c>
      <c r="B397">
        <f ca="1">'uniforme cercle (rejet)'!M402</f>
        <v>0.64169908497620942</v>
      </c>
      <c r="C397">
        <f ca="1">'uniforme cercle (rejet)'!N402</f>
        <v>-0.75851400900080623</v>
      </c>
      <c r="D397">
        <f ca="1">'uniforme cercle (rejet)'!O402</f>
        <v>0.99353974128354805</v>
      </c>
      <c r="E397">
        <f t="shared" ca="1" si="35"/>
        <v>8.2600624921583751E-2</v>
      </c>
      <c r="F397">
        <f t="shared" ca="1" si="36"/>
        <v>1.2664660048869754</v>
      </c>
      <c r="G397">
        <f t="shared" ca="1" si="37"/>
        <v>0</v>
      </c>
      <c r="H397" t="e">
        <f t="shared" ca="1" si="38"/>
        <v>#N/A</v>
      </c>
      <c r="I397" t="e">
        <f t="shared" ca="1" si="39"/>
        <v>#N/A</v>
      </c>
    </row>
    <row r="398" spans="1:9" x14ac:dyDescent="0.2">
      <c r="A398">
        <f>'uniforme cercle (rejet)'!L403</f>
        <v>394</v>
      </c>
      <c r="B398">
        <f ca="1">'uniforme cercle (rejet)'!M403</f>
        <v>-0.90171815553123502</v>
      </c>
      <c r="C398">
        <f ca="1">'uniforme cercle (rejet)'!N403</f>
        <v>-0.32770354441874705</v>
      </c>
      <c r="D398">
        <f ca="1">'uniforme cercle (rejet)'!O403</f>
        <v>0.95941922277973057</v>
      </c>
      <c r="E398">
        <f t="shared" ca="1" si="35"/>
        <v>0.86933242097252528</v>
      </c>
      <c r="F398">
        <f t="shared" ca="1" si="36"/>
        <v>1.6278534777397025</v>
      </c>
      <c r="G398">
        <f t="shared" ca="1" si="37"/>
        <v>0</v>
      </c>
      <c r="H398" t="e">
        <f t="shared" ca="1" si="38"/>
        <v>#N/A</v>
      </c>
      <c r="I398" t="e">
        <f t="shared" ca="1" si="39"/>
        <v>#N/A</v>
      </c>
    </row>
    <row r="399" spans="1:9" x14ac:dyDescent="0.2">
      <c r="A399">
        <f>'uniforme cercle (rejet)'!L404</f>
        <v>395</v>
      </c>
      <c r="B399">
        <f ca="1">'uniforme cercle (rejet)'!M404</f>
        <v>-0.1403741625154018</v>
      </c>
      <c r="C399">
        <f ca="1">'uniforme cercle (rejet)'!N404</f>
        <v>0.82425706035969526</v>
      </c>
      <c r="D399">
        <f ca="1">'uniforme cercle (rejet)'!O404</f>
        <v>0.83612475567627265</v>
      </c>
      <c r="E399">
        <f t="shared" ca="1" si="35"/>
        <v>0.48357823460320687</v>
      </c>
      <c r="F399">
        <f t="shared" ca="1" si="36"/>
        <v>0.7177894602252205</v>
      </c>
      <c r="G399">
        <f t="shared" ca="1" si="37"/>
        <v>1</v>
      </c>
      <c r="H399">
        <f t="shared" ca="1" si="38"/>
        <v>-0.1403741625154018</v>
      </c>
      <c r="I399">
        <f t="shared" ca="1" si="39"/>
        <v>0.82425706035969526</v>
      </c>
    </row>
    <row r="400" spans="1:9" x14ac:dyDescent="0.2">
      <c r="A400">
        <f>'uniforme cercle (rejet)'!L405</f>
        <v>396</v>
      </c>
      <c r="B400">
        <f ca="1">'uniforme cercle (rejet)'!M405</f>
        <v>-0.19873450961478922</v>
      </c>
      <c r="C400">
        <f ca="1">'uniforme cercle (rejet)'!N405</f>
        <v>0.1071898220056775</v>
      </c>
      <c r="D400">
        <f ca="1">'uniforme cercle (rejet)'!O405</f>
        <v>0.22579872287822972</v>
      </c>
      <c r="E400">
        <f t="shared" ca="1" si="35"/>
        <v>6.473186939000701E-2</v>
      </c>
      <c r="F400">
        <f t="shared" ca="1" si="36"/>
        <v>0.80157953495741852</v>
      </c>
      <c r="G400">
        <f t="shared" ca="1" si="37"/>
        <v>0</v>
      </c>
      <c r="H400" t="e">
        <f t="shared" ca="1" si="38"/>
        <v>#N/A</v>
      </c>
      <c r="I400" t="e">
        <f t="shared" ca="1" si="39"/>
        <v>#N/A</v>
      </c>
    </row>
    <row r="401" spans="1:9" x14ac:dyDescent="0.2">
      <c r="A401">
        <f>'uniforme cercle (rejet)'!L406</f>
        <v>397</v>
      </c>
      <c r="B401">
        <f ca="1">'uniforme cercle (rejet)'!M406</f>
        <v>-0.27737480917689217</v>
      </c>
      <c r="C401">
        <f ca="1">'uniforme cercle (rejet)'!N406</f>
        <v>-0.70463438732794459</v>
      </c>
      <c r="D401">
        <f ca="1">'uniforme cercle (rejet)'!O406</f>
        <v>0.75726244101430595</v>
      </c>
      <c r="E401">
        <f t="shared" ca="1" si="35"/>
        <v>0.69438536203612289</v>
      </c>
      <c r="F401">
        <f t="shared" ca="1" si="36"/>
        <v>1.4336860189999001</v>
      </c>
      <c r="G401">
        <f t="shared" ca="1" si="37"/>
        <v>0</v>
      </c>
      <c r="H401" t="e">
        <f t="shared" ca="1" si="38"/>
        <v>#N/A</v>
      </c>
      <c r="I401" t="e">
        <f t="shared" ca="1" si="39"/>
        <v>#N/A</v>
      </c>
    </row>
    <row r="402" spans="1:9" x14ac:dyDescent="0.2">
      <c r="A402">
        <f>'uniforme cercle (rejet)'!L407</f>
        <v>398</v>
      </c>
      <c r="B402">
        <f ca="1">'uniforme cercle (rejet)'!M407</f>
        <v>0.73939637813398806</v>
      </c>
      <c r="C402">
        <f ca="1">'uniforme cercle (rejet)'!N407</f>
        <v>-7.3884564878367476E-2</v>
      </c>
      <c r="D402">
        <f ca="1">'uniforme cercle (rejet)'!O407</f>
        <v>0.74307868555417822</v>
      </c>
      <c r="E402">
        <f t="shared" ca="1" si="35"/>
        <v>0.47058791611280454</v>
      </c>
      <c r="F402">
        <f t="shared" ca="1" si="36"/>
        <v>0.62181518127921631</v>
      </c>
      <c r="G402">
        <f t="shared" ca="1" si="37"/>
        <v>1</v>
      </c>
      <c r="H402">
        <f t="shared" ca="1" si="38"/>
        <v>0.73939637813398806</v>
      </c>
      <c r="I402">
        <f t="shared" ca="1" si="39"/>
        <v>-7.3884564878367476E-2</v>
      </c>
    </row>
    <row r="403" spans="1:9" x14ac:dyDescent="0.2">
      <c r="A403">
        <f>'uniforme cercle (rejet)'!L408</f>
        <v>399</v>
      </c>
      <c r="B403">
        <f ca="1">'uniforme cercle (rejet)'!M408</f>
        <v>0.49300531201249798</v>
      </c>
      <c r="C403">
        <f ca="1">'uniforme cercle (rejet)'!N408</f>
        <v>0.44260514723231226</v>
      </c>
      <c r="D403">
        <f ca="1">'uniforme cercle (rejet)'!O408</f>
        <v>0.66253570019213104</v>
      </c>
      <c r="E403">
        <f t="shared" ca="1" si="35"/>
        <v>0.66157650028106529</v>
      </c>
      <c r="F403">
        <f t="shared" ca="1" si="36"/>
        <v>5.7819501764258215E-2</v>
      </c>
      <c r="G403">
        <f t="shared" ca="1" si="37"/>
        <v>0</v>
      </c>
      <c r="H403" t="e">
        <f t="shared" ca="1" si="38"/>
        <v>#N/A</v>
      </c>
      <c r="I403" t="e">
        <f t="shared" ca="1" si="39"/>
        <v>#N/A</v>
      </c>
    </row>
    <row r="404" spans="1:9" x14ac:dyDescent="0.2">
      <c r="A404">
        <f>'uniforme cercle (rejet)'!L409</f>
        <v>400</v>
      </c>
      <c r="B404">
        <f ca="1">'uniforme cercle (rejet)'!M409</f>
        <v>0.33729308123101576</v>
      </c>
      <c r="C404">
        <f ca="1">'uniforme cercle (rejet)'!N409</f>
        <v>0.77149506002897072</v>
      </c>
      <c r="D404">
        <f ca="1">'uniforme cercle (rejet)'!O409</f>
        <v>0.84200430539007209</v>
      </c>
      <c r="E404">
        <f t="shared" ca="1" si="35"/>
        <v>0.78403161358416407</v>
      </c>
      <c r="F404">
        <f t="shared" ca="1" si="36"/>
        <v>0.31651715440941153</v>
      </c>
      <c r="G404">
        <f t="shared" ca="1" si="37"/>
        <v>0</v>
      </c>
      <c r="H404" t="e">
        <f t="shared" ca="1" si="38"/>
        <v>#N/A</v>
      </c>
      <c r="I404" t="e">
        <f t="shared" ca="1" si="39"/>
        <v>#N/A</v>
      </c>
    </row>
    <row r="405" spans="1:9" x14ac:dyDescent="0.2">
      <c r="A405">
        <f>'uniforme cercle (rejet)'!L410</f>
        <v>401</v>
      </c>
      <c r="B405">
        <f ca="1">'uniforme cercle (rejet)'!M410</f>
        <v>0.42809797590402177</v>
      </c>
      <c r="C405">
        <f ca="1">'uniforme cercle (rejet)'!N410</f>
        <v>-0.38981083733652522</v>
      </c>
      <c r="D405">
        <f ca="1">'uniforme cercle (rejet)'!O410</f>
        <v>0.57898218096770759</v>
      </c>
      <c r="E405">
        <f t="shared" ca="1" si="35"/>
        <v>2.7073095313305807E-2</v>
      </c>
      <c r="F405">
        <f t="shared" ca="1" si="36"/>
        <v>0.89271116678947549</v>
      </c>
      <c r="G405">
        <f t="shared" ca="1" si="37"/>
        <v>0</v>
      </c>
      <c r="H405" t="e">
        <f t="shared" ca="1" si="38"/>
        <v>#N/A</v>
      </c>
      <c r="I405" t="e">
        <f t="shared" ca="1" si="39"/>
        <v>#N/A</v>
      </c>
    </row>
    <row r="406" spans="1:9" x14ac:dyDescent="0.2">
      <c r="A406">
        <f>'uniforme cercle (rejet)'!L411</f>
        <v>402</v>
      </c>
      <c r="B406">
        <f ca="1">'uniforme cercle (rejet)'!M411</f>
        <v>-0.86928323837131716</v>
      </c>
      <c r="C406">
        <f ca="1">'uniforme cercle (rejet)'!N411</f>
        <v>0.46740526191206744</v>
      </c>
      <c r="D406">
        <f ca="1">'uniforme cercle (rejet)'!O411</f>
        <v>0.98697569745987801</v>
      </c>
      <c r="E406">
        <f t="shared" ca="1" si="35"/>
        <v>0.28417064236386319</v>
      </c>
      <c r="F406">
        <f t="shared" ca="1" si="36"/>
        <v>1.3696711298102411</v>
      </c>
      <c r="G406">
        <f t="shared" ca="1" si="37"/>
        <v>0</v>
      </c>
      <c r="H406" t="e">
        <f t="shared" ca="1" si="38"/>
        <v>#N/A</v>
      </c>
      <c r="I406" t="e">
        <f t="shared" ca="1" si="39"/>
        <v>#N/A</v>
      </c>
    </row>
    <row r="407" spans="1:9" x14ac:dyDescent="0.2">
      <c r="A407">
        <f>'uniforme cercle (rejet)'!L412</f>
        <v>403</v>
      </c>
      <c r="B407">
        <f ca="1">'uniforme cercle (rejet)'!M412</f>
        <v>0.25396193542839751</v>
      </c>
      <c r="C407">
        <f ca="1">'uniforme cercle (rejet)'!N412</f>
        <v>-0.62890214282838786</v>
      </c>
      <c r="D407">
        <f ca="1">'uniforme cercle (rejet)'!O412</f>
        <v>0.67824373930075865</v>
      </c>
      <c r="E407">
        <f t="shared" ca="1" si="35"/>
        <v>0.26512276319202371</v>
      </c>
      <c r="F407">
        <f t="shared" ca="1" si="36"/>
        <v>1.155402430887466</v>
      </c>
      <c r="G407">
        <f t="shared" ca="1" si="37"/>
        <v>0</v>
      </c>
      <c r="H407" t="e">
        <f t="shared" ca="1" si="38"/>
        <v>#N/A</v>
      </c>
      <c r="I407" t="e">
        <f t="shared" ca="1" si="39"/>
        <v>#N/A</v>
      </c>
    </row>
    <row r="408" spans="1:9" x14ac:dyDescent="0.2">
      <c r="A408">
        <f>'uniforme cercle (rejet)'!L413</f>
        <v>404</v>
      </c>
      <c r="B408">
        <f ca="1">'uniforme cercle (rejet)'!M413</f>
        <v>0.46426987116192397</v>
      </c>
      <c r="C408">
        <f ca="1">'uniforme cercle (rejet)'!N413</f>
        <v>0.84219565808710461</v>
      </c>
      <c r="D408">
        <f ca="1">'uniforme cercle (rejet)'!O413</f>
        <v>0.96168604012405245</v>
      </c>
      <c r="E408">
        <f t="shared" ca="1" si="35"/>
        <v>0.92381063511845984</v>
      </c>
      <c r="F408">
        <f t="shared" ca="1" si="36"/>
        <v>0.34405597004041671</v>
      </c>
      <c r="G408">
        <f t="shared" ca="1" si="37"/>
        <v>0</v>
      </c>
      <c r="H408" t="e">
        <f t="shared" ca="1" si="38"/>
        <v>#N/A</v>
      </c>
      <c r="I408" t="e">
        <f t="shared" ca="1" si="39"/>
        <v>#N/A</v>
      </c>
    </row>
    <row r="409" spans="1:9" x14ac:dyDescent="0.2">
      <c r="A409">
        <f>'uniforme cercle (rejet)'!L414</f>
        <v>405</v>
      </c>
      <c r="B409">
        <f ca="1">'uniforme cercle (rejet)'!M414</f>
        <v>7.8187392889270013E-2</v>
      </c>
      <c r="C409">
        <f ca="1">'uniforme cercle (rejet)'!N414</f>
        <v>-0.72754199274151654</v>
      </c>
      <c r="D409">
        <f ca="1">'uniforme cercle (rejet)'!O414</f>
        <v>0.7317312482114714</v>
      </c>
      <c r="E409">
        <f t="shared" ca="1" si="35"/>
        <v>0.45916304095020061</v>
      </c>
      <c r="F409">
        <f t="shared" ca="1" si="36"/>
        <v>1.2979927655658812</v>
      </c>
      <c r="G409">
        <f t="shared" ca="1" si="37"/>
        <v>0</v>
      </c>
      <c r="H409" t="e">
        <f t="shared" ca="1" si="38"/>
        <v>#N/A</v>
      </c>
      <c r="I409" t="e">
        <f t="shared" ca="1" si="39"/>
        <v>#N/A</v>
      </c>
    </row>
    <row r="410" spans="1:9" x14ac:dyDescent="0.2">
      <c r="A410">
        <f>'uniforme cercle (rejet)'!L415</f>
        <v>406</v>
      </c>
      <c r="B410">
        <f ca="1">'uniforme cercle (rejet)'!M415</f>
        <v>0.15832608626636757</v>
      </c>
      <c r="C410">
        <f ca="1">'uniforme cercle (rejet)'!N415</f>
        <v>0.49111795325757068</v>
      </c>
      <c r="D410">
        <f ca="1">'uniforme cercle (rejet)'!O415</f>
        <v>0.51600774568249519</v>
      </c>
      <c r="E410">
        <f t="shared" ca="1" si="35"/>
        <v>0.45922628434856089</v>
      </c>
      <c r="F410">
        <f t="shared" ca="1" si="36"/>
        <v>0.34178934167172681</v>
      </c>
      <c r="G410">
        <f t="shared" ca="1" si="37"/>
        <v>1</v>
      </c>
      <c r="H410">
        <f t="shared" ca="1" si="38"/>
        <v>0.15832608626636757</v>
      </c>
      <c r="I410">
        <f t="shared" ca="1" si="39"/>
        <v>0.49111795325757068</v>
      </c>
    </row>
    <row r="411" spans="1:9" x14ac:dyDescent="0.2">
      <c r="A411">
        <f>'uniforme cercle (rejet)'!L416</f>
        <v>407</v>
      </c>
      <c r="B411">
        <f ca="1">'uniforme cercle (rejet)'!M416</f>
        <v>-0.82691722135689893</v>
      </c>
      <c r="C411">
        <f ca="1">'uniforme cercle (rejet)'!N416</f>
        <v>0.2896286356205835</v>
      </c>
      <c r="D411">
        <f ca="1">'uniforme cercle (rejet)'!O416</f>
        <v>0.87617169410341911</v>
      </c>
      <c r="E411">
        <f t="shared" ca="1" si="35"/>
        <v>0.3799204024282784</v>
      </c>
      <c r="F411">
        <f t="shared" ca="1" si="36"/>
        <v>1.3434900160717127</v>
      </c>
      <c r="G411">
        <f t="shared" ca="1" si="37"/>
        <v>0</v>
      </c>
      <c r="H411" t="e">
        <f t="shared" ca="1" si="38"/>
        <v>#N/A</v>
      </c>
      <c r="I411" t="e">
        <f t="shared" ca="1" si="39"/>
        <v>#N/A</v>
      </c>
    </row>
    <row r="412" spans="1:9" x14ac:dyDescent="0.2">
      <c r="A412">
        <f>'uniforme cercle (rejet)'!L417</f>
        <v>408</v>
      </c>
      <c r="B412">
        <f ca="1">'uniforme cercle (rejet)'!M417</f>
        <v>6.0178408719119503E-2</v>
      </c>
      <c r="C412">
        <f ca="1">'uniforme cercle (rejet)'!N417</f>
        <v>-0.52721784372314318</v>
      </c>
      <c r="D412">
        <f ca="1">'uniforme cercle (rejet)'!O417</f>
        <v>0.53064121175804468</v>
      </c>
      <c r="E412">
        <f t="shared" ca="1" si="35"/>
        <v>0.33024675157287892</v>
      </c>
      <c r="F412">
        <f t="shared" ca="1" si="36"/>
        <v>1.1174164535302269</v>
      </c>
      <c r="G412">
        <f t="shared" ca="1" si="37"/>
        <v>0</v>
      </c>
      <c r="H412" t="e">
        <f t="shared" ca="1" si="38"/>
        <v>#N/A</v>
      </c>
      <c r="I412" t="e">
        <f t="shared" ca="1" si="39"/>
        <v>#N/A</v>
      </c>
    </row>
    <row r="413" spans="1:9" x14ac:dyDescent="0.2">
      <c r="A413">
        <f>'uniforme cercle (rejet)'!L418</f>
        <v>409</v>
      </c>
      <c r="B413">
        <f ca="1">'uniforme cercle (rejet)'!M418</f>
        <v>-7.9115780705246275E-2</v>
      </c>
      <c r="C413">
        <f ca="1">'uniforme cercle (rejet)'!N418</f>
        <v>-0.75991338392458552</v>
      </c>
      <c r="D413">
        <f ca="1">'uniforme cercle (rejet)'!O418</f>
        <v>0.764020718190492</v>
      </c>
      <c r="E413">
        <f t="shared" ca="1" si="35"/>
        <v>0.59328321192303823</v>
      </c>
      <c r="F413">
        <f t="shared" ca="1" si="36"/>
        <v>1.3866350718390714</v>
      </c>
      <c r="G413">
        <f t="shared" ca="1" si="37"/>
        <v>0</v>
      </c>
      <c r="H413" t="e">
        <f t="shared" ca="1" si="38"/>
        <v>#N/A</v>
      </c>
      <c r="I413" t="e">
        <f t="shared" ca="1" si="39"/>
        <v>#N/A</v>
      </c>
    </row>
    <row r="414" spans="1:9" x14ac:dyDescent="0.2">
      <c r="A414">
        <f>'uniforme cercle (rejet)'!L419</f>
        <v>410</v>
      </c>
      <c r="B414">
        <f ca="1">'uniforme cercle (rejet)'!M419</f>
        <v>-0.43093319036320654</v>
      </c>
      <c r="C414">
        <f ca="1">'uniforme cercle (rejet)'!N419</f>
        <v>-0.12717146292066506</v>
      </c>
      <c r="D414">
        <f ca="1">'uniforme cercle (rejet)'!O419</f>
        <v>0.44930612675323456</v>
      </c>
      <c r="E414">
        <f t="shared" ca="1" si="35"/>
        <v>0.39463958494879253</v>
      </c>
      <c r="F414">
        <f t="shared" ca="1" si="36"/>
        <v>1.1224885962992521</v>
      </c>
      <c r="G414">
        <f t="shared" ca="1" si="37"/>
        <v>0</v>
      </c>
      <c r="H414" t="e">
        <f t="shared" ca="1" si="38"/>
        <v>#N/A</v>
      </c>
      <c r="I414" t="e">
        <f t="shared" ca="1" si="39"/>
        <v>#N/A</v>
      </c>
    </row>
    <row r="415" spans="1:9" x14ac:dyDescent="0.2">
      <c r="A415">
        <f>'uniforme cercle (rejet)'!L420</f>
        <v>411</v>
      </c>
      <c r="B415">
        <f ca="1">'uniforme cercle (rejet)'!M420</f>
        <v>-0.46290118243477818</v>
      </c>
      <c r="C415">
        <f ca="1">'uniforme cercle (rejet)'!N420</f>
        <v>0.87860875050753973</v>
      </c>
      <c r="D415">
        <f ca="1">'uniforme cercle (rejet)'!O420</f>
        <v>0.99309155729365461</v>
      </c>
      <c r="E415">
        <f t="shared" ca="1" si="35"/>
        <v>0.29394964037481797</v>
      </c>
      <c r="F415">
        <f t="shared" ca="1" si="36"/>
        <v>1.0346609459601606</v>
      </c>
      <c r="G415">
        <f t="shared" ca="1" si="37"/>
        <v>0</v>
      </c>
      <c r="H415" t="e">
        <f t="shared" ca="1" si="38"/>
        <v>#N/A</v>
      </c>
      <c r="I415" t="e">
        <f t="shared" ca="1" si="39"/>
        <v>#N/A</v>
      </c>
    </row>
    <row r="416" spans="1:9" x14ac:dyDescent="0.2">
      <c r="A416">
        <f>'uniforme cercle (rejet)'!L421</f>
        <v>412</v>
      </c>
      <c r="B416">
        <f ca="1">'uniforme cercle (rejet)'!M421</f>
        <v>-0.35997613881951529</v>
      </c>
      <c r="C416">
        <f ca="1">'uniforme cercle (rejet)'!N421</f>
        <v>-0.80142859644322018</v>
      </c>
      <c r="D416">
        <f ca="1">'uniforme cercle (rejet)'!O421</f>
        <v>0.8785616743953476</v>
      </c>
      <c r="E416">
        <f t="shared" ca="1" si="35"/>
        <v>0.8212371640064472</v>
      </c>
      <c r="F416">
        <f t="shared" ca="1" si="36"/>
        <v>1.5598959423561214</v>
      </c>
      <c r="G416">
        <f t="shared" ca="1" si="37"/>
        <v>0</v>
      </c>
      <c r="H416" t="e">
        <f t="shared" ca="1" si="38"/>
        <v>#N/A</v>
      </c>
      <c r="I416" t="e">
        <f t="shared" ca="1" si="39"/>
        <v>#N/A</v>
      </c>
    </row>
    <row r="417" spans="1:9" x14ac:dyDescent="0.2">
      <c r="A417">
        <f>'uniforme cercle (rejet)'!L422</f>
        <v>413</v>
      </c>
      <c r="B417">
        <f ca="1">'uniforme cercle (rejet)'!M422</f>
        <v>-0.2210738721030201</v>
      </c>
      <c r="C417">
        <f ca="1">'uniforme cercle (rejet)'!N422</f>
        <v>0.67950177404560197</v>
      </c>
      <c r="D417">
        <f ca="1">'uniforme cercle (rejet)'!O422</f>
        <v>0.71456022689325693</v>
      </c>
      <c r="E417">
        <f t="shared" ca="1" si="35"/>
        <v>0.32415747814872131</v>
      </c>
      <c r="F417">
        <f t="shared" ca="1" si="36"/>
        <v>0.74308035629746061</v>
      </c>
      <c r="G417">
        <f t="shared" ca="1" si="37"/>
        <v>0</v>
      </c>
      <c r="H417" t="e">
        <f t="shared" ca="1" si="38"/>
        <v>#N/A</v>
      </c>
      <c r="I417" t="e">
        <f t="shared" ca="1" si="39"/>
        <v>#N/A</v>
      </c>
    </row>
    <row r="418" spans="1:9" x14ac:dyDescent="0.2">
      <c r="A418">
        <f>'uniforme cercle (rejet)'!L423</f>
        <v>414</v>
      </c>
      <c r="B418">
        <f ca="1">'uniforme cercle (rejet)'!M423</f>
        <v>-0.85892577629186762</v>
      </c>
      <c r="C418">
        <f ca="1">'uniforme cercle (rejet)'!N423</f>
        <v>0.12441371022584491</v>
      </c>
      <c r="D418">
        <f ca="1">'uniforme cercle (rejet)'!O423</f>
        <v>0.86788954393445017</v>
      </c>
      <c r="E418">
        <f t="shared" ca="1" si="35"/>
        <v>0.51937846277862609</v>
      </c>
      <c r="F418">
        <f t="shared" ca="1" si="36"/>
        <v>1.4098738690169312</v>
      </c>
      <c r="G418">
        <f t="shared" ca="1" si="37"/>
        <v>0</v>
      </c>
      <c r="H418" t="e">
        <f t="shared" ca="1" si="38"/>
        <v>#N/A</v>
      </c>
      <c r="I418" t="e">
        <f t="shared" ca="1" si="39"/>
        <v>#N/A</v>
      </c>
    </row>
    <row r="419" spans="1:9" x14ac:dyDescent="0.2">
      <c r="A419">
        <f>'uniforme cercle (rejet)'!L424</f>
        <v>415</v>
      </c>
      <c r="B419">
        <f ca="1">'uniforme cercle (rejet)'!M424</f>
        <v>0.34474057573502548</v>
      </c>
      <c r="C419">
        <f ca="1">'uniforme cercle (rejet)'!N424</f>
        <v>0.53559566759071831</v>
      </c>
      <c r="D419">
        <f ca="1">'uniforme cercle (rejet)'!O424</f>
        <v>0.63695273270476205</v>
      </c>
      <c r="E419">
        <f t="shared" ref="E419:E482" ca="1" si="40">(B419+C419)^2/SQRT(2*(B419+C419)^2)</f>
        <v>0.62249172737992398</v>
      </c>
      <c r="F419">
        <f t="shared" ref="F419:F482" ca="1" si="41">SQRT((B419-0.5)^2+(C419-0.5)^2)</f>
        <v>0.15928760270127829</v>
      </c>
      <c r="G419">
        <f t="shared" ref="G419:G482" ca="1" si="42">IF(ABS(F419-E419)&lt;SQRT(2)/2/2,1,0)</f>
        <v>0</v>
      </c>
      <c r="H419" t="e">
        <f t="shared" ref="H419:H482" ca="1" si="43">IF($G419=1,B419,NA())</f>
        <v>#N/A</v>
      </c>
      <c r="I419" t="e">
        <f t="shared" ref="I419:I482" ca="1" si="44">IF($G419=1,C419,NA())</f>
        <v>#N/A</v>
      </c>
    </row>
    <row r="420" spans="1:9" x14ac:dyDescent="0.2">
      <c r="A420">
        <f>'uniforme cercle (rejet)'!L425</f>
        <v>416</v>
      </c>
      <c r="B420">
        <f ca="1">'uniforme cercle (rejet)'!M425</f>
        <v>0.30960038353995478</v>
      </c>
      <c r="C420">
        <f ca="1">'uniforme cercle (rejet)'!N425</f>
        <v>3.2098445439365131E-2</v>
      </c>
      <c r="D420">
        <f ca="1">'uniforme cercle (rejet)'!O425</f>
        <v>0.31125987163094282</v>
      </c>
      <c r="E420">
        <f t="shared" ca="1" si="40"/>
        <v>0.2416175590947795</v>
      </c>
      <c r="F420">
        <f t="shared" ca="1" si="41"/>
        <v>0.5051572811594337</v>
      </c>
      <c r="G420">
        <f t="shared" ca="1" si="42"/>
        <v>1</v>
      </c>
      <c r="H420">
        <f t="shared" ca="1" si="43"/>
        <v>0.30960038353995478</v>
      </c>
      <c r="I420">
        <f t="shared" ca="1" si="44"/>
        <v>3.2098445439365131E-2</v>
      </c>
    </row>
    <row r="421" spans="1:9" x14ac:dyDescent="0.2">
      <c r="A421">
        <f>'uniforme cercle (rejet)'!L426</f>
        <v>417</v>
      </c>
      <c r="B421">
        <f ca="1">'uniforme cercle (rejet)'!M426</f>
        <v>-0.76930323666961797</v>
      </c>
      <c r="C421">
        <f ca="1">'uniforme cercle (rejet)'!N426</f>
        <v>0.34953109328350518</v>
      </c>
      <c r="D421">
        <f ca="1">'uniforme cercle (rejet)'!O426</f>
        <v>0.8449848845525656</v>
      </c>
      <c r="E421">
        <f t="shared" ca="1" si="40"/>
        <v>0.2968237291415321</v>
      </c>
      <c r="F421">
        <f t="shared" ca="1" si="41"/>
        <v>1.2781907520039508</v>
      </c>
      <c r="G421">
        <f t="shared" ca="1" si="42"/>
        <v>0</v>
      </c>
      <c r="H421" t="e">
        <f t="shared" ca="1" si="43"/>
        <v>#N/A</v>
      </c>
      <c r="I421" t="e">
        <f t="shared" ca="1" si="44"/>
        <v>#N/A</v>
      </c>
    </row>
    <row r="422" spans="1:9" x14ac:dyDescent="0.2">
      <c r="A422">
        <f>'uniforme cercle (rejet)'!L427</f>
        <v>418</v>
      </c>
      <c r="B422">
        <f ca="1">'uniforme cercle (rejet)'!M427</f>
        <v>0.14540870833654762</v>
      </c>
      <c r="C422">
        <f ca="1">'uniforme cercle (rejet)'!N427</f>
        <v>-0.82913313902667118</v>
      </c>
      <c r="D422">
        <f ca="1">'uniforme cercle (rejet)'!O427</f>
        <v>0.84178706018346727</v>
      </c>
      <c r="E422">
        <f t="shared" ca="1" si="40"/>
        <v>0.48346618140389797</v>
      </c>
      <c r="F422">
        <f t="shared" ca="1" si="41"/>
        <v>1.3756198186208455</v>
      </c>
      <c r="G422">
        <f t="shared" ca="1" si="42"/>
        <v>0</v>
      </c>
      <c r="H422" t="e">
        <f t="shared" ca="1" si="43"/>
        <v>#N/A</v>
      </c>
      <c r="I422" t="e">
        <f t="shared" ca="1" si="44"/>
        <v>#N/A</v>
      </c>
    </row>
    <row r="423" spans="1:9" x14ac:dyDescent="0.2">
      <c r="A423">
        <f>'uniforme cercle (rejet)'!L428</f>
        <v>419</v>
      </c>
      <c r="B423">
        <f ca="1">'uniforme cercle (rejet)'!M428</f>
        <v>-0.51120551160506622</v>
      </c>
      <c r="C423">
        <f ca="1">'uniforme cercle (rejet)'!N428</f>
        <v>-0.40501501937802442</v>
      </c>
      <c r="D423">
        <f ca="1">'uniforme cercle (rejet)'!O428</f>
        <v>0.65220260733699842</v>
      </c>
      <c r="E423">
        <f t="shared" ca="1" si="40"/>
        <v>0.64786575052048267</v>
      </c>
      <c r="F423">
        <f t="shared" ca="1" si="41"/>
        <v>1.3570514993913347</v>
      </c>
      <c r="G423">
        <f t="shared" ca="1" si="42"/>
        <v>0</v>
      </c>
      <c r="H423" t="e">
        <f t="shared" ca="1" si="43"/>
        <v>#N/A</v>
      </c>
      <c r="I423" t="e">
        <f t="shared" ca="1" si="44"/>
        <v>#N/A</v>
      </c>
    </row>
    <row r="424" spans="1:9" x14ac:dyDescent="0.2">
      <c r="A424">
        <f>'uniforme cercle (rejet)'!L429</f>
        <v>420</v>
      </c>
      <c r="B424">
        <f ca="1">'uniforme cercle (rejet)'!M429</f>
        <v>-4.5363174774619708E-2</v>
      </c>
      <c r="C424">
        <f ca="1">'uniforme cercle (rejet)'!N429</f>
        <v>0.61877984396479291</v>
      </c>
      <c r="D424">
        <f ca="1">'uniforme cercle (rejet)'!O429</f>
        <v>0.62044041851150067</v>
      </c>
      <c r="E424">
        <f t="shared" ca="1" si="40"/>
        <v>0.40546681522977474</v>
      </c>
      <c r="F424">
        <f t="shared" ca="1" si="41"/>
        <v>0.55814840654843123</v>
      </c>
      <c r="G424">
        <f t="shared" ca="1" si="42"/>
        <v>1</v>
      </c>
      <c r="H424">
        <f t="shared" ca="1" si="43"/>
        <v>-4.5363174774619708E-2</v>
      </c>
      <c r="I424">
        <f t="shared" ca="1" si="44"/>
        <v>0.61877984396479291</v>
      </c>
    </row>
    <row r="425" spans="1:9" x14ac:dyDescent="0.2">
      <c r="A425">
        <f>'uniforme cercle (rejet)'!L430</f>
        <v>421</v>
      </c>
      <c r="B425">
        <f ca="1">'uniforme cercle (rejet)'!M430</f>
        <v>0.59759654016288133</v>
      </c>
      <c r="C425">
        <f ca="1">'uniforme cercle (rejet)'!N430</f>
        <v>9.8226863738798187E-2</v>
      </c>
      <c r="D425">
        <f ca="1">'uniforme cercle (rejet)'!O430</f>
        <v>0.60561550638553385</v>
      </c>
      <c r="E425">
        <f t="shared" ca="1" si="40"/>
        <v>0.49202144740718357</v>
      </c>
      <c r="F425">
        <f t="shared" ca="1" si="41"/>
        <v>0.41345705662490168</v>
      </c>
      <c r="G425">
        <f t="shared" ca="1" si="42"/>
        <v>1</v>
      </c>
      <c r="H425">
        <f t="shared" ca="1" si="43"/>
        <v>0.59759654016288133</v>
      </c>
      <c r="I425">
        <f t="shared" ca="1" si="44"/>
        <v>9.8226863738798187E-2</v>
      </c>
    </row>
    <row r="426" spans="1:9" x14ac:dyDescent="0.2">
      <c r="A426">
        <f>'uniforme cercle (rejet)'!L431</f>
        <v>422</v>
      </c>
      <c r="B426">
        <f ca="1">'uniforme cercle (rejet)'!M431</f>
        <v>0.74725878882797447</v>
      </c>
      <c r="C426">
        <f ca="1">'uniforme cercle (rejet)'!N431</f>
        <v>-0.47686996499006362</v>
      </c>
      <c r="D426">
        <f ca="1">'uniforme cercle (rejet)'!O431</f>
        <v>0.88645398131559872</v>
      </c>
      <c r="E426">
        <f t="shared" ca="1" si="40"/>
        <v>0.19119377089284156</v>
      </c>
      <c r="F426">
        <f t="shared" ca="1" si="41"/>
        <v>1.0076764545985806</v>
      </c>
      <c r="G426">
        <f t="shared" ca="1" si="42"/>
        <v>0</v>
      </c>
      <c r="H426" t="e">
        <f t="shared" ca="1" si="43"/>
        <v>#N/A</v>
      </c>
      <c r="I426" t="e">
        <f t="shared" ca="1" si="44"/>
        <v>#N/A</v>
      </c>
    </row>
    <row r="427" spans="1:9" x14ac:dyDescent="0.2">
      <c r="A427">
        <f>'uniforme cercle (rejet)'!L432</f>
        <v>423</v>
      </c>
      <c r="B427">
        <f ca="1">'uniforme cercle (rejet)'!M432</f>
        <v>0.12410055477630166</v>
      </c>
      <c r="C427">
        <f ca="1">'uniforme cercle (rejet)'!N432</f>
        <v>-0.4963724613343663</v>
      </c>
      <c r="D427">
        <f ca="1">'uniforme cercle (rejet)'!O432</f>
        <v>0.51165082631314374</v>
      </c>
      <c r="E427">
        <f t="shared" ca="1" si="40"/>
        <v>0.26323598957245226</v>
      </c>
      <c r="F427">
        <f t="shared" ca="1" si="41"/>
        <v>1.064921816202949</v>
      </c>
      <c r="G427">
        <f t="shared" ca="1" si="42"/>
        <v>0</v>
      </c>
      <c r="H427" t="e">
        <f t="shared" ca="1" si="43"/>
        <v>#N/A</v>
      </c>
      <c r="I427" t="e">
        <f t="shared" ca="1" si="44"/>
        <v>#N/A</v>
      </c>
    </row>
    <row r="428" spans="1:9" x14ac:dyDescent="0.2">
      <c r="A428">
        <f>'uniforme cercle (rejet)'!L433</f>
        <v>424</v>
      </c>
      <c r="B428">
        <f ca="1">'uniforme cercle (rejet)'!M433</f>
        <v>-0.18740457584424863</v>
      </c>
      <c r="C428">
        <f ca="1">'uniforme cercle (rejet)'!N433</f>
        <v>-0.17925558068133807</v>
      </c>
      <c r="D428">
        <f ca="1">'uniforme cercle (rejet)'!O433</f>
        <v>0.25933190750998308</v>
      </c>
      <c r="E428">
        <f t="shared" ca="1" si="40"/>
        <v>0.2592678830701633</v>
      </c>
      <c r="F428">
        <f t="shared" ca="1" si="41"/>
        <v>0.96639184329047045</v>
      </c>
      <c r="G428">
        <f t="shared" ca="1" si="42"/>
        <v>0</v>
      </c>
      <c r="H428" t="e">
        <f t="shared" ca="1" si="43"/>
        <v>#N/A</v>
      </c>
      <c r="I428" t="e">
        <f t="shared" ca="1" si="44"/>
        <v>#N/A</v>
      </c>
    </row>
    <row r="429" spans="1:9" x14ac:dyDescent="0.2">
      <c r="A429">
        <f>'uniforme cercle (rejet)'!L434</f>
        <v>425</v>
      </c>
      <c r="B429">
        <f ca="1">'uniforme cercle (rejet)'!M434</f>
        <v>0.23868783475945032</v>
      </c>
      <c r="C429">
        <f ca="1">'uniforme cercle (rejet)'!N434</f>
        <v>0.19786778366161295</v>
      </c>
      <c r="D429">
        <f ca="1">'uniforme cercle (rejet)'!O434</f>
        <v>0.3100379690833262</v>
      </c>
      <c r="E429">
        <f t="shared" ca="1" si="40"/>
        <v>0.30869143815062072</v>
      </c>
      <c r="F429">
        <f t="shared" ca="1" si="41"/>
        <v>0.3994595396936344</v>
      </c>
      <c r="G429">
        <f t="shared" ca="1" si="42"/>
        <v>1</v>
      </c>
      <c r="H429">
        <f t="shared" ca="1" si="43"/>
        <v>0.23868783475945032</v>
      </c>
      <c r="I429">
        <f t="shared" ca="1" si="44"/>
        <v>0.19786778366161295</v>
      </c>
    </row>
    <row r="430" spans="1:9" x14ac:dyDescent="0.2">
      <c r="A430">
        <f>'uniforme cercle (rejet)'!L435</f>
        <v>426</v>
      </c>
      <c r="B430">
        <f ca="1">'uniforme cercle (rejet)'!M435</f>
        <v>0.67910589610894201</v>
      </c>
      <c r="C430">
        <f ca="1">'uniforme cercle (rejet)'!N435</f>
        <v>0.14386791652919428</v>
      </c>
      <c r="D430">
        <f ca="1">'uniforme cercle (rejet)'!O435</f>
        <v>0.6941777838107327</v>
      </c>
      <c r="E430">
        <f t="shared" ca="1" si="40"/>
        <v>0.58193036365537343</v>
      </c>
      <c r="F430">
        <f t="shared" ca="1" si="41"/>
        <v>0.39863389582202374</v>
      </c>
      <c r="G430">
        <f t="shared" ca="1" si="42"/>
        <v>1</v>
      </c>
      <c r="H430">
        <f t="shared" ca="1" si="43"/>
        <v>0.67910589610894201</v>
      </c>
      <c r="I430">
        <f t="shared" ca="1" si="44"/>
        <v>0.14386791652919428</v>
      </c>
    </row>
    <row r="431" spans="1:9" x14ac:dyDescent="0.2">
      <c r="A431">
        <f>'uniforme cercle (rejet)'!L436</f>
        <v>427</v>
      </c>
      <c r="B431">
        <f ca="1">'uniforme cercle (rejet)'!M436</f>
        <v>-8.4925421104645293E-2</v>
      </c>
      <c r="C431">
        <f ca="1">'uniforme cercle (rejet)'!N436</f>
        <v>0.56421798548150415</v>
      </c>
      <c r="D431">
        <f ca="1">'uniforme cercle (rejet)'!O436</f>
        <v>0.57057362565282332</v>
      </c>
      <c r="E431">
        <f t="shared" ca="1" si="40"/>
        <v>0.33891102244316679</v>
      </c>
      <c r="F431">
        <f t="shared" ca="1" si="41"/>
        <v>0.58844005464766702</v>
      </c>
      <c r="G431">
        <f t="shared" ca="1" si="42"/>
        <v>1</v>
      </c>
      <c r="H431">
        <f t="shared" ca="1" si="43"/>
        <v>-8.4925421104645293E-2</v>
      </c>
      <c r="I431">
        <f t="shared" ca="1" si="44"/>
        <v>0.56421798548150415</v>
      </c>
    </row>
    <row r="432" spans="1:9" x14ac:dyDescent="0.2">
      <c r="A432">
        <f>'uniforme cercle (rejet)'!L437</f>
        <v>428</v>
      </c>
      <c r="B432">
        <f ca="1">'uniforme cercle (rejet)'!M437</f>
        <v>0.38749262263859352</v>
      </c>
      <c r="C432">
        <f ca="1">'uniforme cercle (rejet)'!N437</f>
        <v>0.60542703740972548</v>
      </c>
      <c r="D432">
        <f ca="1">'uniforme cercle (rejet)'!O437</f>
        <v>0.71881320955172534</v>
      </c>
      <c r="E432">
        <f t="shared" ca="1" si="40"/>
        <v>0.70210022479360779</v>
      </c>
      <c r="F432">
        <f t="shared" ca="1" si="41"/>
        <v>0.1541842085874347</v>
      </c>
      <c r="G432">
        <f t="shared" ca="1" si="42"/>
        <v>0</v>
      </c>
      <c r="H432" t="e">
        <f t="shared" ca="1" si="43"/>
        <v>#N/A</v>
      </c>
      <c r="I432" t="e">
        <f t="shared" ca="1" si="44"/>
        <v>#N/A</v>
      </c>
    </row>
    <row r="433" spans="1:9" x14ac:dyDescent="0.2">
      <c r="A433">
        <f>'uniforme cercle (rejet)'!L438</f>
        <v>429</v>
      </c>
      <c r="B433">
        <f ca="1">'uniforme cercle (rejet)'!M438</f>
        <v>-0.3160308999980872</v>
      </c>
      <c r="C433">
        <f ca="1">'uniforme cercle (rejet)'!N438</f>
        <v>0.2444370864378147</v>
      </c>
      <c r="D433">
        <f ca="1">'uniforme cercle (rejet)'!O438</f>
        <v>0.3995309987720711</v>
      </c>
      <c r="E433">
        <f t="shared" ca="1" si="40"/>
        <v>5.0624471059474083E-2</v>
      </c>
      <c r="F433">
        <f t="shared" ca="1" si="41"/>
        <v>0.85511334484972301</v>
      </c>
      <c r="G433">
        <f t="shared" ca="1" si="42"/>
        <v>0</v>
      </c>
      <c r="H433" t="e">
        <f t="shared" ca="1" si="43"/>
        <v>#N/A</v>
      </c>
      <c r="I433" t="e">
        <f t="shared" ca="1" si="44"/>
        <v>#N/A</v>
      </c>
    </row>
    <row r="434" spans="1:9" x14ac:dyDescent="0.2">
      <c r="A434">
        <f>'uniforme cercle (rejet)'!L439</f>
        <v>430</v>
      </c>
      <c r="B434">
        <f ca="1">'uniforme cercle (rejet)'!M439</f>
        <v>0.77981786729094571</v>
      </c>
      <c r="C434">
        <f ca="1">'uniforme cercle (rejet)'!N439</f>
        <v>-5.4172153453415195E-2</v>
      </c>
      <c r="D434">
        <f ca="1">'uniforme cercle (rejet)'!O439</f>
        <v>0.7816972101497992</v>
      </c>
      <c r="E434">
        <f t="shared" ca="1" si="40"/>
        <v>0.51310900499347079</v>
      </c>
      <c r="F434">
        <f t="shared" ca="1" si="41"/>
        <v>0.62080980543033382</v>
      </c>
      <c r="G434">
        <f t="shared" ca="1" si="42"/>
        <v>1</v>
      </c>
      <c r="H434">
        <f t="shared" ca="1" si="43"/>
        <v>0.77981786729094571</v>
      </c>
      <c r="I434">
        <f t="shared" ca="1" si="44"/>
        <v>-5.4172153453415195E-2</v>
      </c>
    </row>
    <row r="435" spans="1:9" x14ac:dyDescent="0.2">
      <c r="A435">
        <f>'uniforme cercle (rejet)'!L440</f>
        <v>431</v>
      </c>
      <c r="B435">
        <f ca="1">'uniforme cercle (rejet)'!M440</f>
        <v>-0.36342791553084597</v>
      </c>
      <c r="C435">
        <f ca="1">'uniforme cercle (rejet)'!N440</f>
        <v>-0.665784633362277</v>
      </c>
      <c r="D435">
        <f ca="1">'uniforme cercle (rejet)'!O440</f>
        <v>0.75851765161295837</v>
      </c>
      <c r="E435">
        <f t="shared" ca="1" si="40"/>
        <v>0.72776317260461831</v>
      </c>
      <c r="F435">
        <f t="shared" ca="1" si="41"/>
        <v>1.4507107143402369</v>
      </c>
      <c r="G435">
        <f t="shared" ca="1" si="42"/>
        <v>0</v>
      </c>
      <c r="H435" t="e">
        <f t="shared" ca="1" si="43"/>
        <v>#N/A</v>
      </c>
      <c r="I435" t="e">
        <f t="shared" ca="1" si="44"/>
        <v>#N/A</v>
      </c>
    </row>
    <row r="436" spans="1:9" x14ac:dyDescent="0.2">
      <c r="A436">
        <f>'uniforme cercle (rejet)'!L441</f>
        <v>432</v>
      </c>
      <c r="B436">
        <f ca="1">'uniforme cercle (rejet)'!M441</f>
        <v>0.19482217725032225</v>
      </c>
      <c r="C436">
        <f ca="1">'uniforme cercle (rejet)'!N441</f>
        <v>0.58696902221301195</v>
      </c>
      <c r="D436">
        <f ca="1">'uniforme cercle (rejet)'!O441</f>
        <v>0.61845639602663605</v>
      </c>
      <c r="E436">
        <f t="shared" ca="1" si="40"/>
        <v>0.55280985861248833</v>
      </c>
      <c r="F436">
        <f t="shared" ca="1" si="41"/>
        <v>0.31732808624973791</v>
      </c>
      <c r="G436">
        <f t="shared" ca="1" si="42"/>
        <v>1</v>
      </c>
      <c r="H436">
        <f t="shared" ca="1" si="43"/>
        <v>0.19482217725032225</v>
      </c>
      <c r="I436">
        <f t="shared" ca="1" si="44"/>
        <v>0.58696902221301195</v>
      </c>
    </row>
    <row r="437" spans="1:9" x14ac:dyDescent="0.2">
      <c r="A437">
        <f>'uniforme cercle (rejet)'!L442</f>
        <v>433</v>
      </c>
      <c r="B437">
        <f ca="1">'uniforme cercle (rejet)'!M442</f>
        <v>-0.62065142376149951</v>
      </c>
      <c r="C437">
        <f ca="1">'uniforme cercle (rejet)'!N442</f>
        <v>0.33441761474099096</v>
      </c>
      <c r="D437">
        <f ca="1">'uniforme cercle (rejet)'!O442</f>
        <v>0.70501300049448046</v>
      </c>
      <c r="E437">
        <f t="shared" ca="1" si="40"/>
        <v>0.20239786736325677</v>
      </c>
      <c r="F437">
        <f t="shared" ca="1" si="41"/>
        <v>1.1328182289700051</v>
      </c>
      <c r="G437">
        <f t="shared" ca="1" si="42"/>
        <v>0</v>
      </c>
      <c r="H437" t="e">
        <f t="shared" ca="1" si="43"/>
        <v>#N/A</v>
      </c>
      <c r="I437" t="e">
        <f t="shared" ca="1" si="44"/>
        <v>#N/A</v>
      </c>
    </row>
    <row r="438" spans="1:9" x14ac:dyDescent="0.2">
      <c r="A438">
        <f>'uniforme cercle (rejet)'!L443</f>
        <v>434</v>
      </c>
      <c r="B438">
        <f ca="1">'uniforme cercle (rejet)'!M443</f>
        <v>-0.27875624655047249</v>
      </c>
      <c r="C438">
        <f ca="1">'uniforme cercle (rejet)'!N443</f>
        <v>-0.55094359083907496</v>
      </c>
      <c r="D438">
        <f ca="1">'uniforme cercle (rejet)'!O443</f>
        <v>0.6174495001840733</v>
      </c>
      <c r="E438">
        <f t="shared" ca="1" si="40"/>
        <v>0.58668638136752471</v>
      </c>
      <c r="F438">
        <f t="shared" ca="1" si="41"/>
        <v>1.3080304746706437</v>
      </c>
      <c r="G438">
        <f t="shared" ca="1" si="42"/>
        <v>0</v>
      </c>
      <c r="H438" t="e">
        <f t="shared" ca="1" si="43"/>
        <v>#N/A</v>
      </c>
      <c r="I438" t="e">
        <f t="shared" ca="1" si="44"/>
        <v>#N/A</v>
      </c>
    </row>
    <row r="439" spans="1:9" x14ac:dyDescent="0.2">
      <c r="A439">
        <f>'uniforme cercle (rejet)'!L444</f>
        <v>435</v>
      </c>
      <c r="B439">
        <f ca="1">'uniforme cercle (rejet)'!M444</f>
        <v>0.8452476430626561</v>
      </c>
      <c r="C439">
        <f ca="1">'uniforme cercle (rejet)'!N444</f>
        <v>-0.20811806861971283</v>
      </c>
      <c r="D439">
        <f ca="1">'uniforme cercle (rejet)'!O444</f>
        <v>0.87049222201520837</v>
      </c>
      <c r="E439">
        <f t="shared" ca="1" si="40"/>
        <v>0.45051864258310442</v>
      </c>
      <c r="F439">
        <f t="shared" ca="1" si="41"/>
        <v>0.78779891732981677</v>
      </c>
      <c r="G439">
        <f t="shared" ca="1" si="42"/>
        <v>1</v>
      </c>
      <c r="H439">
        <f t="shared" ca="1" si="43"/>
        <v>0.8452476430626561</v>
      </c>
      <c r="I439">
        <f t="shared" ca="1" si="44"/>
        <v>-0.20811806861971283</v>
      </c>
    </row>
    <row r="440" spans="1:9" x14ac:dyDescent="0.2">
      <c r="A440">
        <f>'uniforme cercle (rejet)'!L445</f>
        <v>436</v>
      </c>
      <c r="B440">
        <f ca="1">'uniforme cercle (rejet)'!M445</f>
        <v>0.605249681314179</v>
      </c>
      <c r="C440">
        <f ca="1">'uniforme cercle (rejet)'!N445</f>
        <v>-0.36121289705591098</v>
      </c>
      <c r="D440">
        <f ca="1">'uniforme cercle (rejet)'!O445</f>
        <v>0.70484177921746338</v>
      </c>
      <c r="E440">
        <f t="shared" ca="1" si="40"/>
        <v>0.17256006500797985</v>
      </c>
      <c r="F440">
        <f t="shared" ca="1" si="41"/>
        <v>0.86762039479957553</v>
      </c>
      <c r="G440">
        <f t="shared" ca="1" si="42"/>
        <v>0</v>
      </c>
      <c r="H440" t="e">
        <f t="shared" ca="1" si="43"/>
        <v>#N/A</v>
      </c>
      <c r="I440" t="e">
        <f t="shared" ca="1" si="44"/>
        <v>#N/A</v>
      </c>
    </row>
    <row r="441" spans="1:9" x14ac:dyDescent="0.2">
      <c r="A441">
        <f>'uniforme cercle (rejet)'!L446</f>
        <v>437</v>
      </c>
      <c r="B441">
        <f ca="1">'uniforme cercle (rejet)'!M446</f>
        <v>-0.31402980535055858</v>
      </c>
      <c r="C441">
        <f ca="1">'uniforme cercle (rejet)'!N446</f>
        <v>0.25436362686732572</v>
      </c>
      <c r="D441">
        <f ca="1">'uniforme cercle (rejet)'!O446</f>
        <v>0.40412321551923963</v>
      </c>
      <c r="E441">
        <f t="shared" ca="1" si="40"/>
        <v>4.2190359412980827E-2</v>
      </c>
      <c r="F441">
        <f t="shared" ca="1" si="41"/>
        <v>0.85028333619143848</v>
      </c>
      <c r="G441">
        <f t="shared" ca="1" si="42"/>
        <v>0</v>
      </c>
      <c r="H441" t="e">
        <f t="shared" ca="1" si="43"/>
        <v>#N/A</v>
      </c>
      <c r="I441" t="e">
        <f t="shared" ca="1" si="44"/>
        <v>#N/A</v>
      </c>
    </row>
    <row r="442" spans="1:9" x14ac:dyDescent="0.2">
      <c r="A442">
        <f>'uniforme cercle (rejet)'!L447</f>
        <v>438</v>
      </c>
      <c r="B442">
        <f ca="1">'uniforme cercle (rejet)'!M447</f>
        <v>0.30081672018614469</v>
      </c>
      <c r="C442">
        <f ca="1">'uniforme cercle (rejet)'!N447</f>
        <v>-0.10313634839007313</v>
      </c>
      <c r="D442">
        <f ca="1">'uniforme cercle (rejet)'!O447</f>
        <v>0.31800598343865766</v>
      </c>
      <c r="E442">
        <f t="shared" ca="1" si="40"/>
        <v>0.13978113140448012</v>
      </c>
      <c r="F442">
        <f t="shared" ca="1" si="41"/>
        <v>0.6351751205035634</v>
      </c>
      <c r="G442">
        <f t="shared" ca="1" si="42"/>
        <v>0</v>
      </c>
      <c r="H442" t="e">
        <f t="shared" ca="1" si="43"/>
        <v>#N/A</v>
      </c>
      <c r="I442" t="e">
        <f t="shared" ca="1" si="44"/>
        <v>#N/A</v>
      </c>
    </row>
    <row r="443" spans="1:9" x14ac:dyDescent="0.2">
      <c r="A443">
        <f>'uniforme cercle (rejet)'!L448</f>
        <v>439</v>
      </c>
      <c r="B443">
        <f ca="1">'uniforme cercle (rejet)'!M448</f>
        <v>0.55916933803937807</v>
      </c>
      <c r="C443">
        <f ca="1">'uniforme cercle (rejet)'!N448</f>
        <v>-0.79120913595734765</v>
      </c>
      <c r="D443">
        <f ca="1">'uniforme cercle (rejet)'!O448</f>
        <v>0.96885615311343765</v>
      </c>
      <c r="E443">
        <f t="shared" ca="1" si="40"/>
        <v>0.16407691461295243</v>
      </c>
      <c r="F443">
        <f t="shared" ca="1" si="41"/>
        <v>1.2925641350988115</v>
      </c>
      <c r="G443">
        <f t="shared" ca="1" si="42"/>
        <v>0</v>
      </c>
      <c r="H443" t="e">
        <f t="shared" ca="1" si="43"/>
        <v>#N/A</v>
      </c>
      <c r="I443" t="e">
        <f t="shared" ca="1" si="44"/>
        <v>#N/A</v>
      </c>
    </row>
    <row r="444" spans="1:9" x14ac:dyDescent="0.2">
      <c r="A444">
        <f>'uniforme cercle (rejet)'!L449</f>
        <v>440</v>
      </c>
      <c r="B444">
        <f ca="1">'uniforme cercle (rejet)'!M449</f>
        <v>-0.51229717594596047</v>
      </c>
      <c r="C444">
        <f ca="1">'uniforme cercle (rejet)'!N449</f>
        <v>-0.10021141391328126</v>
      </c>
      <c r="D444">
        <f ca="1">'uniforme cercle (rejet)'!O449</f>
        <v>0.52200644053565592</v>
      </c>
      <c r="E444">
        <f t="shared" ca="1" si="40"/>
        <v>0.43310897742447962</v>
      </c>
      <c r="F444">
        <f t="shared" ca="1" si="41"/>
        <v>1.1768599380639766</v>
      </c>
      <c r="G444">
        <f t="shared" ca="1" si="42"/>
        <v>0</v>
      </c>
      <c r="H444" t="e">
        <f t="shared" ca="1" si="43"/>
        <v>#N/A</v>
      </c>
      <c r="I444" t="e">
        <f t="shared" ca="1" si="44"/>
        <v>#N/A</v>
      </c>
    </row>
    <row r="445" spans="1:9" x14ac:dyDescent="0.2">
      <c r="A445">
        <f>'uniforme cercle (rejet)'!L450</f>
        <v>441</v>
      </c>
      <c r="B445">
        <f ca="1">'uniforme cercle (rejet)'!M450</f>
        <v>-8.1406742888056938E-2</v>
      </c>
      <c r="C445">
        <f ca="1">'uniforme cercle (rejet)'!N450</f>
        <v>7.023963420417445E-3</v>
      </c>
      <c r="D445">
        <f ca="1">'uniforme cercle (rejet)'!O450</f>
        <v>8.1709202968659356E-2</v>
      </c>
      <c r="E445">
        <f t="shared" ca="1" si="40"/>
        <v>5.2596567765071378E-2</v>
      </c>
      <c r="F445">
        <f t="shared" ca="1" si="41"/>
        <v>0.76227237475682741</v>
      </c>
      <c r="G445">
        <f t="shared" ca="1" si="42"/>
        <v>0</v>
      </c>
      <c r="H445" t="e">
        <f t="shared" ca="1" si="43"/>
        <v>#N/A</v>
      </c>
      <c r="I445" t="e">
        <f t="shared" ca="1" si="44"/>
        <v>#N/A</v>
      </c>
    </row>
    <row r="446" spans="1:9" x14ac:dyDescent="0.2">
      <c r="A446">
        <f>'uniforme cercle (rejet)'!L451</f>
        <v>442</v>
      </c>
      <c r="B446">
        <f ca="1">'uniforme cercle (rejet)'!M451</f>
        <v>-0.42055719199583685</v>
      </c>
      <c r="C446">
        <f ca="1">'uniforme cercle (rejet)'!N451</f>
        <v>-0.36496933577457513</v>
      </c>
      <c r="D446">
        <f ca="1">'uniforme cercle (rejet)'!O451</f>
        <v>0.55684016359738076</v>
      </c>
      <c r="E446">
        <f t="shared" ca="1" si="40"/>
        <v>0.55545113458838125</v>
      </c>
      <c r="F446">
        <f t="shared" ca="1" si="41"/>
        <v>1.2631696226420146</v>
      </c>
      <c r="G446">
        <f t="shared" ca="1" si="42"/>
        <v>0</v>
      </c>
      <c r="H446" t="e">
        <f t="shared" ca="1" si="43"/>
        <v>#N/A</v>
      </c>
      <c r="I446" t="e">
        <f t="shared" ca="1" si="44"/>
        <v>#N/A</v>
      </c>
    </row>
    <row r="447" spans="1:9" x14ac:dyDescent="0.2">
      <c r="A447">
        <f>'uniforme cercle (rejet)'!L452</f>
        <v>443</v>
      </c>
      <c r="B447">
        <f ca="1">'uniforme cercle (rejet)'!M452</f>
        <v>0.10789742649685885</v>
      </c>
      <c r="C447">
        <f ca="1">'uniforme cercle (rejet)'!N452</f>
        <v>-0.19955437233573048</v>
      </c>
      <c r="D447">
        <f ca="1">'uniforme cercle (rejet)'!O452</f>
        <v>0.22685634697524426</v>
      </c>
      <c r="E447">
        <f t="shared" ca="1" si="40"/>
        <v>6.4811247945514239E-2</v>
      </c>
      <c r="F447">
        <f t="shared" ca="1" si="41"/>
        <v>0.80194809557840097</v>
      </c>
      <c r="G447">
        <f t="shared" ca="1" si="42"/>
        <v>0</v>
      </c>
      <c r="H447" t="e">
        <f t="shared" ca="1" si="43"/>
        <v>#N/A</v>
      </c>
      <c r="I447" t="e">
        <f t="shared" ca="1" si="44"/>
        <v>#N/A</v>
      </c>
    </row>
    <row r="448" spans="1:9" x14ac:dyDescent="0.2">
      <c r="A448">
        <f>'uniforme cercle (rejet)'!L453</f>
        <v>444</v>
      </c>
      <c r="B448">
        <f ca="1">'uniforme cercle (rejet)'!M453</f>
        <v>-0.10801391520993375</v>
      </c>
      <c r="C448">
        <f ca="1">'uniforme cercle (rejet)'!N453</f>
        <v>0.22482772130959106</v>
      </c>
      <c r="D448">
        <f ca="1">'uniforme cercle (rejet)'!O453</f>
        <v>0.24942836676737853</v>
      </c>
      <c r="E448">
        <f t="shared" ca="1" si="40"/>
        <v>8.2599834429278166E-2</v>
      </c>
      <c r="F448">
        <f t="shared" ca="1" si="41"/>
        <v>0.66738347600804782</v>
      </c>
      <c r="G448">
        <f t="shared" ca="1" si="42"/>
        <v>0</v>
      </c>
      <c r="H448" t="e">
        <f t="shared" ca="1" si="43"/>
        <v>#N/A</v>
      </c>
      <c r="I448" t="e">
        <f t="shared" ca="1" si="44"/>
        <v>#N/A</v>
      </c>
    </row>
    <row r="449" spans="1:9" x14ac:dyDescent="0.2">
      <c r="A449">
        <f>'uniforme cercle (rejet)'!L454</f>
        <v>445</v>
      </c>
      <c r="B449">
        <f ca="1">'uniforme cercle (rejet)'!M454</f>
        <v>0.20070604275813309</v>
      </c>
      <c r="C449">
        <f ca="1">'uniforme cercle (rejet)'!N454</f>
        <v>-0.41821286076113617</v>
      </c>
      <c r="D449">
        <f ca="1">'uniforme cercle (rejet)'!O454</f>
        <v>0.46388027820294647</v>
      </c>
      <c r="E449">
        <f t="shared" ca="1" si="40"/>
        <v>0.15380054596423171</v>
      </c>
      <c r="F449">
        <f t="shared" ca="1" si="41"/>
        <v>0.96575966498329502</v>
      </c>
      <c r="G449">
        <f t="shared" ca="1" si="42"/>
        <v>0</v>
      </c>
      <c r="H449" t="e">
        <f t="shared" ca="1" si="43"/>
        <v>#N/A</v>
      </c>
      <c r="I449" t="e">
        <f t="shared" ca="1" si="44"/>
        <v>#N/A</v>
      </c>
    </row>
    <row r="450" spans="1:9" x14ac:dyDescent="0.2">
      <c r="A450">
        <f>'uniforme cercle (rejet)'!L455</f>
        <v>446</v>
      </c>
      <c r="B450">
        <f ca="1">'uniforme cercle (rejet)'!M455</f>
        <v>3.9771698615278517E-3</v>
      </c>
      <c r="C450">
        <f ca="1">'uniforme cercle (rejet)'!N455</f>
        <v>-9.0484544302712466E-2</v>
      </c>
      <c r="D450">
        <f ca="1">'uniforme cercle (rejet)'!O455</f>
        <v>9.0571908657027758E-2</v>
      </c>
      <c r="E450">
        <f t="shared" ca="1" si="40"/>
        <v>6.1169951090005462E-2</v>
      </c>
      <c r="F450">
        <f t="shared" ca="1" si="41"/>
        <v>0.77117484728105701</v>
      </c>
      <c r="G450">
        <f t="shared" ca="1" si="42"/>
        <v>0</v>
      </c>
      <c r="H450" t="e">
        <f t="shared" ca="1" si="43"/>
        <v>#N/A</v>
      </c>
      <c r="I450" t="e">
        <f t="shared" ca="1" si="44"/>
        <v>#N/A</v>
      </c>
    </row>
    <row r="451" spans="1:9" x14ac:dyDescent="0.2">
      <c r="A451">
        <f>'uniforme cercle (rejet)'!L456</f>
        <v>447</v>
      </c>
      <c r="B451">
        <f ca="1">'uniforme cercle (rejet)'!M456</f>
        <v>-0.72174677959534828</v>
      </c>
      <c r="C451">
        <f ca="1">'uniforme cercle (rejet)'!N456</f>
        <v>0.54780552953560235</v>
      </c>
      <c r="D451">
        <f ca="1">'uniforme cercle (rejet)'!O456</f>
        <v>0.90609564177631818</v>
      </c>
      <c r="E451">
        <f t="shared" ca="1" si="40"/>
        <v>0.1229950374453113</v>
      </c>
      <c r="F451">
        <f t="shared" ca="1" si="41"/>
        <v>1.2226817092382563</v>
      </c>
      <c r="G451">
        <f t="shared" ca="1" si="42"/>
        <v>0</v>
      </c>
      <c r="H451" t="e">
        <f t="shared" ca="1" si="43"/>
        <v>#N/A</v>
      </c>
      <c r="I451" t="e">
        <f t="shared" ca="1" si="44"/>
        <v>#N/A</v>
      </c>
    </row>
    <row r="452" spans="1:9" x14ac:dyDescent="0.2">
      <c r="A452">
        <f>'uniforme cercle (rejet)'!L457</f>
        <v>448</v>
      </c>
      <c r="B452">
        <f ca="1">'uniforme cercle (rejet)'!M457</f>
        <v>-3.2482150373637886E-2</v>
      </c>
      <c r="C452">
        <f ca="1">'uniforme cercle (rejet)'!N457</f>
        <v>0.9195295989797625</v>
      </c>
      <c r="D452">
        <f ca="1">'uniforme cercle (rejet)'!O457</f>
        <v>0.92010313198726723</v>
      </c>
      <c r="E452">
        <f t="shared" ca="1" si="40"/>
        <v>0.62723726614361619</v>
      </c>
      <c r="F452">
        <f t="shared" ca="1" si="41"/>
        <v>0.67789551177644902</v>
      </c>
      <c r="G452">
        <f t="shared" ca="1" si="42"/>
        <v>1</v>
      </c>
      <c r="H452">
        <f t="shared" ca="1" si="43"/>
        <v>-3.2482150373637886E-2</v>
      </c>
      <c r="I452">
        <f t="shared" ca="1" si="44"/>
        <v>0.9195295989797625</v>
      </c>
    </row>
    <row r="453" spans="1:9" x14ac:dyDescent="0.2">
      <c r="A453">
        <f>'uniforme cercle (rejet)'!L458</f>
        <v>449</v>
      </c>
      <c r="B453">
        <f ca="1">'uniforme cercle (rejet)'!M458</f>
        <v>0.7517365348073668</v>
      </c>
      <c r="C453">
        <f ca="1">'uniforme cercle (rejet)'!N458</f>
        <v>0.33871757428968019</v>
      </c>
      <c r="D453">
        <f ca="1">'uniforme cercle (rejet)'!O458</f>
        <v>0.82452253631836669</v>
      </c>
      <c r="E453">
        <f t="shared" ca="1" si="40"/>
        <v>0.7710674951152573</v>
      </c>
      <c r="F453">
        <f t="shared" ca="1" si="41"/>
        <v>0.29897040622748172</v>
      </c>
      <c r="G453">
        <f t="shared" ca="1" si="42"/>
        <v>0</v>
      </c>
      <c r="H453" t="e">
        <f t="shared" ca="1" si="43"/>
        <v>#N/A</v>
      </c>
      <c r="I453" t="e">
        <f t="shared" ca="1" si="44"/>
        <v>#N/A</v>
      </c>
    </row>
    <row r="454" spans="1:9" x14ac:dyDescent="0.2">
      <c r="A454">
        <f>'uniforme cercle (rejet)'!L459</f>
        <v>450</v>
      </c>
      <c r="B454">
        <f ca="1">'uniforme cercle (rejet)'!M459</f>
        <v>0.1114750039776593</v>
      </c>
      <c r="C454">
        <f ca="1">'uniforme cercle (rejet)'!N459</f>
        <v>0.47980384398065268</v>
      </c>
      <c r="D454">
        <f ca="1">'uniforme cercle (rejet)'!O459</f>
        <v>0.49258339924365058</v>
      </c>
      <c r="E454">
        <f t="shared" ca="1" si="40"/>
        <v>0.41809728296349202</v>
      </c>
      <c r="F454">
        <f t="shared" ca="1" si="41"/>
        <v>0.3890495562934338</v>
      </c>
      <c r="G454">
        <f t="shared" ca="1" si="42"/>
        <v>1</v>
      </c>
      <c r="H454">
        <f t="shared" ca="1" si="43"/>
        <v>0.1114750039776593</v>
      </c>
      <c r="I454">
        <f t="shared" ca="1" si="44"/>
        <v>0.47980384398065268</v>
      </c>
    </row>
    <row r="455" spans="1:9" x14ac:dyDescent="0.2">
      <c r="A455">
        <f>'uniforme cercle (rejet)'!L460</f>
        <v>451</v>
      </c>
      <c r="B455">
        <f ca="1">'uniforme cercle (rejet)'!M460</f>
        <v>0.50823227472078014</v>
      </c>
      <c r="C455">
        <f ca="1">'uniforme cercle (rejet)'!N460</f>
        <v>-0.72151597220046781</v>
      </c>
      <c r="D455">
        <f ca="1">'uniforme cercle (rejet)'!O460</f>
        <v>0.88254481087831727</v>
      </c>
      <c r="E455">
        <f t="shared" ca="1" si="40"/>
        <v>0.15081434880442729</v>
      </c>
      <c r="F455">
        <f t="shared" ca="1" si="41"/>
        <v>1.221543712147843</v>
      </c>
      <c r="G455">
        <f t="shared" ca="1" si="42"/>
        <v>0</v>
      </c>
      <c r="H455" t="e">
        <f t="shared" ca="1" si="43"/>
        <v>#N/A</v>
      </c>
      <c r="I455" t="e">
        <f t="shared" ca="1" si="44"/>
        <v>#N/A</v>
      </c>
    </row>
    <row r="456" spans="1:9" x14ac:dyDescent="0.2">
      <c r="A456">
        <f>'uniforme cercle (rejet)'!L461</f>
        <v>452</v>
      </c>
      <c r="B456">
        <f ca="1">'uniforme cercle (rejet)'!M461</f>
        <v>-0.69532966519940764</v>
      </c>
      <c r="C456">
        <f ca="1">'uniforme cercle (rejet)'!N461</f>
        <v>0.1573316256426005</v>
      </c>
      <c r="D456">
        <f ca="1">'uniforme cercle (rejet)'!O461</f>
        <v>0.71290713542064066</v>
      </c>
      <c r="E456">
        <f t="shared" ca="1" si="40"/>
        <v>0.38042206203568679</v>
      </c>
      <c r="F456">
        <f t="shared" ca="1" si="41"/>
        <v>1.243476828610196</v>
      </c>
      <c r="G456">
        <f t="shared" ca="1" si="42"/>
        <v>0</v>
      </c>
      <c r="H456" t="e">
        <f t="shared" ca="1" si="43"/>
        <v>#N/A</v>
      </c>
      <c r="I456" t="e">
        <f t="shared" ca="1" si="44"/>
        <v>#N/A</v>
      </c>
    </row>
    <row r="457" spans="1:9" x14ac:dyDescent="0.2">
      <c r="A457">
        <f>'uniforme cercle (rejet)'!L462</f>
        <v>453</v>
      </c>
      <c r="B457">
        <f ca="1">'uniforme cercle (rejet)'!M462</f>
        <v>0.10889716846112329</v>
      </c>
      <c r="C457">
        <f ca="1">'uniforme cercle (rejet)'!N462</f>
        <v>-0.93368087391198928</v>
      </c>
      <c r="D457">
        <f ca="1">'uniforme cercle (rejet)'!O462</f>
        <v>0.9400098763353002</v>
      </c>
      <c r="E457">
        <f t="shared" ca="1" si="40"/>
        <v>0.58321015113647534</v>
      </c>
      <c r="F457">
        <f t="shared" ca="1" si="41"/>
        <v>1.4860694038498916</v>
      </c>
      <c r="G457">
        <f t="shared" ca="1" si="42"/>
        <v>0</v>
      </c>
      <c r="H457" t="e">
        <f t="shared" ca="1" si="43"/>
        <v>#N/A</v>
      </c>
      <c r="I457" t="e">
        <f t="shared" ca="1" si="44"/>
        <v>#N/A</v>
      </c>
    </row>
    <row r="458" spans="1:9" x14ac:dyDescent="0.2">
      <c r="A458">
        <f>'uniforme cercle (rejet)'!L463</f>
        <v>454</v>
      </c>
      <c r="B458">
        <f ca="1">'uniforme cercle (rejet)'!M463</f>
        <v>-0.39832312242628443</v>
      </c>
      <c r="C458">
        <f ca="1">'uniforme cercle (rejet)'!N463</f>
        <v>-0.68034799742835461</v>
      </c>
      <c r="D458">
        <f ca="1">'uniforme cercle (rejet)'!O463</f>
        <v>0.78837472528246189</v>
      </c>
      <c r="E458">
        <f t="shared" ca="1" si="40"/>
        <v>0.76273566351930233</v>
      </c>
      <c r="F458">
        <f t="shared" ca="1" si="41"/>
        <v>1.4833090801713702</v>
      </c>
      <c r="G458">
        <f t="shared" ca="1" si="42"/>
        <v>0</v>
      </c>
      <c r="H458" t="e">
        <f t="shared" ca="1" si="43"/>
        <v>#N/A</v>
      </c>
      <c r="I458" t="e">
        <f t="shared" ca="1" si="44"/>
        <v>#N/A</v>
      </c>
    </row>
    <row r="459" spans="1:9" x14ac:dyDescent="0.2">
      <c r="A459">
        <f>'uniforme cercle (rejet)'!L464</f>
        <v>455</v>
      </c>
      <c r="B459">
        <f ca="1">'uniforme cercle (rejet)'!M464</f>
        <v>0.23058316988674243</v>
      </c>
      <c r="C459">
        <f ca="1">'uniforme cercle (rejet)'!N464</f>
        <v>-0.27294153383172559</v>
      </c>
      <c r="D459">
        <f ca="1">'uniforme cercle (rejet)'!O464</f>
        <v>0.35730334328891089</v>
      </c>
      <c r="E459">
        <f t="shared" ca="1" si="40"/>
        <v>2.9951886385465351E-2</v>
      </c>
      <c r="F459">
        <f t="shared" ca="1" si="41"/>
        <v>0.81854996369825617</v>
      </c>
      <c r="G459">
        <f t="shared" ca="1" si="42"/>
        <v>0</v>
      </c>
      <c r="H459" t="e">
        <f t="shared" ca="1" si="43"/>
        <v>#N/A</v>
      </c>
      <c r="I459" t="e">
        <f t="shared" ca="1" si="44"/>
        <v>#N/A</v>
      </c>
    </row>
    <row r="460" spans="1:9" x14ac:dyDescent="0.2">
      <c r="A460">
        <f>'uniforme cercle (rejet)'!L465</f>
        <v>456</v>
      </c>
      <c r="B460">
        <f ca="1">'uniforme cercle (rejet)'!M465</f>
        <v>-0.65326658575418195</v>
      </c>
      <c r="C460">
        <f ca="1">'uniforme cercle (rejet)'!N465</f>
        <v>0.59459084803658691</v>
      </c>
      <c r="D460">
        <f ca="1">'uniforme cercle (rejet)'!O465</f>
        <v>0.8833433696087799</v>
      </c>
      <c r="E460">
        <f t="shared" ca="1" si="40"/>
        <v>4.1490012031234737E-2</v>
      </c>
      <c r="F460">
        <f t="shared" ca="1" si="41"/>
        <v>1.157139251062459</v>
      </c>
      <c r="G460">
        <f t="shared" ca="1" si="42"/>
        <v>0</v>
      </c>
      <c r="H460" t="e">
        <f t="shared" ca="1" si="43"/>
        <v>#N/A</v>
      </c>
      <c r="I460" t="e">
        <f t="shared" ca="1" si="44"/>
        <v>#N/A</v>
      </c>
    </row>
    <row r="461" spans="1:9" x14ac:dyDescent="0.2">
      <c r="A461">
        <f>'uniforme cercle (rejet)'!L466</f>
        <v>457</v>
      </c>
      <c r="B461">
        <f ca="1">'uniforme cercle (rejet)'!M466</f>
        <v>0.40364571310801534</v>
      </c>
      <c r="C461">
        <f ca="1">'uniforme cercle (rejet)'!N466</f>
        <v>0.78023502288600777</v>
      </c>
      <c r="D461">
        <f ca="1">'uniforme cercle (rejet)'!O466</f>
        <v>0.87846260742754856</v>
      </c>
      <c r="E461">
        <f t="shared" ca="1" si="40"/>
        <v>0.83713009653749448</v>
      </c>
      <c r="F461">
        <f t="shared" ca="1" si="41"/>
        <v>0.29633733591024974</v>
      </c>
      <c r="G461">
        <f t="shared" ca="1" si="42"/>
        <v>0</v>
      </c>
      <c r="H461" t="e">
        <f t="shared" ca="1" si="43"/>
        <v>#N/A</v>
      </c>
      <c r="I461" t="e">
        <f t="shared" ca="1" si="44"/>
        <v>#N/A</v>
      </c>
    </row>
    <row r="462" spans="1:9" x14ac:dyDescent="0.2">
      <c r="A462">
        <f>'uniforme cercle (rejet)'!L467</f>
        <v>458</v>
      </c>
      <c r="B462">
        <f ca="1">'uniforme cercle (rejet)'!M467</f>
        <v>0.57564081919725663</v>
      </c>
      <c r="C462">
        <f ca="1">'uniforme cercle (rejet)'!N467</f>
        <v>-0.58981652987064304</v>
      </c>
      <c r="D462">
        <f ca="1">'uniforme cercle (rejet)'!O467</f>
        <v>0.82416375292458477</v>
      </c>
      <c r="E462">
        <f t="shared" ca="1" si="40"/>
        <v>1.0023741145290052E-2</v>
      </c>
      <c r="F462">
        <f t="shared" ca="1" si="41"/>
        <v>1.0924383746043171</v>
      </c>
      <c r="G462">
        <f t="shared" ca="1" si="42"/>
        <v>0</v>
      </c>
      <c r="H462" t="e">
        <f t="shared" ca="1" si="43"/>
        <v>#N/A</v>
      </c>
      <c r="I462" t="e">
        <f t="shared" ca="1" si="44"/>
        <v>#N/A</v>
      </c>
    </row>
    <row r="463" spans="1:9" x14ac:dyDescent="0.2">
      <c r="A463">
        <f>'uniforme cercle (rejet)'!L468</f>
        <v>459</v>
      </c>
      <c r="B463">
        <f ca="1">'uniforme cercle (rejet)'!M468</f>
        <v>0.38872295167476012</v>
      </c>
      <c r="C463">
        <f ca="1">'uniforme cercle (rejet)'!N468</f>
        <v>-0.92123772375563817</v>
      </c>
      <c r="D463">
        <f ca="1">'uniforme cercle (rejet)'!O468</f>
        <v>0.99989223260769822</v>
      </c>
      <c r="E463">
        <f t="shared" ca="1" si="40"/>
        <v>0.37654480642039767</v>
      </c>
      <c r="F463">
        <f t="shared" ca="1" si="41"/>
        <v>1.4255873347186014</v>
      </c>
      <c r="G463">
        <f t="shared" ca="1" si="42"/>
        <v>0</v>
      </c>
      <c r="H463" t="e">
        <f t="shared" ca="1" si="43"/>
        <v>#N/A</v>
      </c>
      <c r="I463" t="e">
        <f t="shared" ca="1" si="44"/>
        <v>#N/A</v>
      </c>
    </row>
    <row r="464" spans="1:9" x14ac:dyDescent="0.2">
      <c r="A464">
        <f>'uniforme cercle (rejet)'!L469</f>
        <v>460</v>
      </c>
      <c r="B464">
        <f ca="1">'uniforme cercle (rejet)'!M469</f>
        <v>-0.21889476888141934</v>
      </c>
      <c r="C464">
        <f ca="1">'uniforme cercle (rejet)'!N469</f>
        <v>-0.47443318317556904</v>
      </c>
      <c r="D464">
        <f ca="1">'uniforme cercle (rejet)'!O469</f>
        <v>0.52249570825199421</v>
      </c>
      <c r="E464">
        <f t="shared" ca="1" si="40"/>
        <v>0.490256896485678</v>
      </c>
      <c r="F464">
        <f t="shared" ca="1" si="41"/>
        <v>1.2109210202150846</v>
      </c>
      <c r="G464">
        <f t="shared" ca="1" si="42"/>
        <v>0</v>
      </c>
      <c r="H464" t="e">
        <f t="shared" ca="1" si="43"/>
        <v>#N/A</v>
      </c>
      <c r="I464" t="e">
        <f t="shared" ca="1" si="44"/>
        <v>#N/A</v>
      </c>
    </row>
    <row r="465" spans="1:9" x14ac:dyDescent="0.2">
      <c r="A465">
        <f>'uniforme cercle (rejet)'!L470</f>
        <v>461</v>
      </c>
      <c r="B465">
        <f ca="1">'uniforme cercle (rejet)'!M470</f>
        <v>0.37444719921379388</v>
      </c>
      <c r="C465">
        <f ca="1">'uniforme cercle (rejet)'!N470</f>
        <v>0.49498780578844648</v>
      </c>
      <c r="D465">
        <f ca="1">'uniforme cercle (rejet)'!O470</f>
        <v>0.62066386464681134</v>
      </c>
      <c r="E465">
        <f t="shared" ca="1" si="40"/>
        <v>0.61478338783804398</v>
      </c>
      <c r="F465">
        <f t="shared" ca="1" si="41"/>
        <v>0.1256528068770256</v>
      </c>
      <c r="G465">
        <f t="shared" ca="1" si="42"/>
        <v>0</v>
      </c>
      <c r="H465" t="e">
        <f t="shared" ca="1" si="43"/>
        <v>#N/A</v>
      </c>
      <c r="I465" t="e">
        <f t="shared" ca="1" si="44"/>
        <v>#N/A</v>
      </c>
    </row>
    <row r="466" spans="1:9" x14ac:dyDescent="0.2">
      <c r="A466">
        <f>'uniforme cercle (rejet)'!L471</f>
        <v>462</v>
      </c>
      <c r="B466">
        <f ca="1">'uniforme cercle (rejet)'!M471</f>
        <v>-0.17451746896231679</v>
      </c>
      <c r="C466">
        <f ca="1">'uniforme cercle (rejet)'!N471</f>
        <v>-0.48913948189655754</v>
      </c>
      <c r="D466">
        <f ca="1">'uniforme cercle (rejet)'!O471</f>
        <v>0.51933975365173612</v>
      </c>
      <c r="E466">
        <f t="shared" ca="1" si="40"/>
        <v>0.46927633033389737</v>
      </c>
      <c r="F466">
        <f t="shared" ca="1" si="41"/>
        <v>1.1972346180185069</v>
      </c>
      <c r="G466">
        <f t="shared" ca="1" si="42"/>
        <v>0</v>
      </c>
      <c r="H466" t="e">
        <f t="shared" ca="1" si="43"/>
        <v>#N/A</v>
      </c>
      <c r="I466" t="e">
        <f t="shared" ca="1" si="44"/>
        <v>#N/A</v>
      </c>
    </row>
    <row r="467" spans="1:9" x14ac:dyDescent="0.2">
      <c r="A467">
        <f>'uniforme cercle (rejet)'!L472</f>
        <v>463</v>
      </c>
      <c r="B467">
        <f ca="1">'uniforme cercle (rejet)'!M472</f>
        <v>0.37644360217326622</v>
      </c>
      <c r="C467">
        <f ca="1">'uniforme cercle (rejet)'!N472</f>
        <v>0.63153968051037235</v>
      </c>
      <c r="D467">
        <f ca="1">'uniforme cercle (rejet)'!O472</f>
        <v>0.73522251983758469</v>
      </c>
      <c r="E467">
        <f t="shared" ca="1" si="40"/>
        <v>0.71275181450827751</v>
      </c>
      <c r="F467">
        <f t="shared" ca="1" si="41"/>
        <v>0.18046847645139838</v>
      </c>
      <c r="G467">
        <f t="shared" ca="1" si="42"/>
        <v>0</v>
      </c>
      <c r="H467" t="e">
        <f t="shared" ca="1" si="43"/>
        <v>#N/A</v>
      </c>
      <c r="I467" t="e">
        <f t="shared" ca="1" si="44"/>
        <v>#N/A</v>
      </c>
    </row>
    <row r="468" spans="1:9" x14ac:dyDescent="0.2">
      <c r="A468">
        <f>'uniforme cercle (rejet)'!L473</f>
        <v>464</v>
      </c>
      <c r="B468">
        <f ca="1">'uniforme cercle (rejet)'!M473</f>
        <v>-0.53684416095449139</v>
      </c>
      <c r="C468">
        <f ca="1">'uniforme cercle (rejet)'!N473</f>
        <v>0.34111692119549741</v>
      </c>
      <c r="D468">
        <f ca="1">'uniforme cercle (rejet)'!O473</f>
        <v>0.63605220467885104</v>
      </c>
      <c r="E468">
        <f t="shared" ca="1" si="40"/>
        <v>0.13840005849650985</v>
      </c>
      <c r="F468">
        <f t="shared" ca="1" si="41"/>
        <v>1.0489469227924839</v>
      </c>
      <c r="G468">
        <f t="shared" ca="1" si="42"/>
        <v>0</v>
      </c>
      <c r="H468" t="e">
        <f t="shared" ca="1" si="43"/>
        <v>#N/A</v>
      </c>
      <c r="I468" t="e">
        <f t="shared" ca="1" si="44"/>
        <v>#N/A</v>
      </c>
    </row>
    <row r="469" spans="1:9" x14ac:dyDescent="0.2">
      <c r="A469">
        <f>'uniforme cercle (rejet)'!L474</f>
        <v>465</v>
      </c>
      <c r="B469">
        <f ca="1">'uniforme cercle (rejet)'!M474</f>
        <v>0.95892968018223335</v>
      </c>
      <c r="C469">
        <f ca="1">'uniforme cercle (rejet)'!N474</f>
        <v>-0.15376119006828737</v>
      </c>
      <c r="D469">
        <f ca="1">'uniforme cercle (rejet)'!O474</f>
        <v>0.97117899231069471</v>
      </c>
      <c r="E469">
        <f t="shared" ca="1" si="40"/>
        <v>0.56934009935730479</v>
      </c>
      <c r="F469">
        <f t="shared" ca="1" si="41"/>
        <v>0.79876163214795837</v>
      </c>
      <c r="G469">
        <f t="shared" ca="1" si="42"/>
        <v>1</v>
      </c>
      <c r="H469">
        <f t="shared" ca="1" si="43"/>
        <v>0.95892968018223335</v>
      </c>
      <c r="I469">
        <f t="shared" ca="1" si="44"/>
        <v>-0.15376119006828737</v>
      </c>
    </row>
    <row r="470" spans="1:9" x14ac:dyDescent="0.2">
      <c r="A470">
        <f>'uniforme cercle (rejet)'!L475</f>
        <v>466</v>
      </c>
      <c r="B470">
        <f ca="1">'uniforme cercle (rejet)'!M475</f>
        <v>-0.37678228278131565</v>
      </c>
      <c r="C470">
        <f ca="1">'uniforme cercle (rejet)'!N475</f>
        <v>-0.85935306489531449</v>
      </c>
      <c r="D470">
        <f ca="1">'uniforme cercle (rejet)'!O475</f>
        <v>0.93832434624860384</v>
      </c>
      <c r="E470">
        <f t="shared" ca="1" si="40"/>
        <v>0.8740796868065358</v>
      </c>
      <c r="F470">
        <f t="shared" ca="1" si="41"/>
        <v>1.617587069198904</v>
      </c>
      <c r="G470">
        <f t="shared" ca="1" si="42"/>
        <v>0</v>
      </c>
      <c r="H470" t="e">
        <f t="shared" ca="1" si="43"/>
        <v>#N/A</v>
      </c>
      <c r="I470" t="e">
        <f t="shared" ca="1" si="44"/>
        <v>#N/A</v>
      </c>
    </row>
    <row r="471" spans="1:9" x14ac:dyDescent="0.2">
      <c r="A471">
        <f>'uniforme cercle (rejet)'!L476</f>
        <v>467</v>
      </c>
      <c r="B471">
        <f ca="1">'uniforme cercle (rejet)'!M476</f>
        <v>0.1138801479714453</v>
      </c>
      <c r="C471">
        <f ca="1">'uniforme cercle (rejet)'!N476</f>
        <v>-0.31758440179667202</v>
      </c>
      <c r="D471">
        <f ca="1">'uniforme cercle (rejet)'!O476</f>
        <v>0.33738485497506893</v>
      </c>
      <c r="E471">
        <f t="shared" ca="1" si="40"/>
        <v>0.14404065923636353</v>
      </c>
      <c r="F471">
        <f t="shared" ca="1" si="41"/>
        <v>0.90417520104887583</v>
      </c>
      <c r="G471">
        <f t="shared" ca="1" si="42"/>
        <v>0</v>
      </c>
      <c r="H471" t="e">
        <f t="shared" ca="1" si="43"/>
        <v>#N/A</v>
      </c>
      <c r="I471" t="e">
        <f t="shared" ca="1" si="44"/>
        <v>#N/A</v>
      </c>
    </row>
    <row r="472" spans="1:9" x14ac:dyDescent="0.2">
      <c r="A472">
        <f>'uniforme cercle (rejet)'!L477</f>
        <v>468</v>
      </c>
      <c r="B472">
        <f ca="1">'uniforme cercle (rejet)'!M477</f>
        <v>-0.96798515844816158</v>
      </c>
      <c r="C472">
        <f ca="1">'uniforme cercle (rejet)'!N477</f>
        <v>-0.22675905002490704</v>
      </c>
      <c r="D472">
        <f ca="1">'uniforme cercle (rejet)'!O477</f>
        <v>0.99419059226292761</v>
      </c>
      <c r="E472">
        <f t="shared" ca="1" si="40"/>
        <v>0.84481173159466094</v>
      </c>
      <c r="F472">
        <f t="shared" ca="1" si="41"/>
        <v>1.6380351468198657</v>
      </c>
      <c r="G472">
        <f t="shared" ca="1" si="42"/>
        <v>0</v>
      </c>
      <c r="H472" t="e">
        <f t="shared" ca="1" si="43"/>
        <v>#N/A</v>
      </c>
      <c r="I472" t="e">
        <f t="shared" ca="1" si="44"/>
        <v>#N/A</v>
      </c>
    </row>
    <row r="473" spans="1:9" x14ac:dyDescent="0.2">
      <c r="A473">
        <f>'uniforme cercle (rejet)'!L478</f>
        <v>469</v>
      </c>
      <c r="B473">
        <f ca="1">'uniforme cercle (rejet)'!M478</f>
        <v>-0.40603422666091649</v>
      </c>
      <c r="C473">
        <f ca="1">'uniforme cercle (rejet)'!N478</f>
        <v>0.48499983857014817</v>
      </c>
      <c r="D473">
        <f ca="1">'uniforme cercle (rejet)'!O478</f>
        <v>0.63252560156344528</v>
      </c>
      <c r="E473">
        <f t="shared" ca="1" si="40"/>
        <v>5.583711966156292E-2</v>
      </c>
      <c r="F473">
        <f t="shared" ca="1" si="41"/>
        <v>0.90615838832069895</v>
      </c>
      <c r="G473">
        <f t="shared" ca="1" si="42"/>
        <v>0</v>
      </c>
      <c r="H473" t="e">
        <f t="shared" ca="1" si="43"/>
        <v>#N/A</v>
      </c>
      <c r="I473" t="e">
        <f t="shared" ca="1" si="44"/>
        <v>#N/A</v>
      </c>
    </row>
    <row r="474" spans="1:9" x14ac:dyDescent="0.2">
      <c r="A474">
        <f>'uniforme cercle (rejet)'!L479</f>
        <v>470</v>
      </c>
      <c r="B474">
        <f ca="1">'uniforme cercle (rejet)'!M479</f>
        <v>0.74582667584800455</v>
      </c>
      <c r="C474">
        <f ca="1">'uniforme cercle (rejet)'!N479</f>
        <v>0.12389709345166522</v>
      </c>
      <c r="D474">
        <f ca="1">'uniforme cercle (rejet)'!O479</f>
        <v>0.7560475647551913</v>
      </c>
      <c r="E474">
        <f t="shared" ca="1" si="40"/>
        <v>0.61498757503092094</v>
      </c>
      <c r="F474">
        <f t="shared" ca="1" si="41"/>
        <v>0.44931520213830439</v>
      </c>
      <c r="G474">
        <f t="shared" ca="1" si="42"/>
        <v>1</v>
      </c>
      <c r="H474">
        <f t="shared" ca="1" si="43"/>
        <v>0.74582667584800455</v>
      </c>
      <c r="I474">
        <f t="shared" ca="1" si="44"/>
        <v>0.12389709345166522</v>
      </c>
    </row>
    <row r="475" spans="1:9" x14ac:dyDescent="0.2">
      <c r="A475">
        <f>'uniforme cercle (rejet)'!L480</f>
        <v>471</v>
      </c>
      <c r="B475">
        <f ca="1">'uniforme cercle (rejet)'!M480</f>
        <v>-0.17216489524945833</v>
      </c>
      <c r="C475">
        <f ca="1">'uniforme cercle (rejet)'!N480</f>
        <v>0.16173205727069639</v>
      </c>
      <c r="D475">
        <f ca="1">'uniforme cercle (rejet)'!O480</f>
        <v>0.23621602296471927</v>
      </c>
      <c r="E475">
        <f t="shared" ca="1" si="40"/>
        <v>7.3771304818031165E-3</v>
      </c>
      <c r="F475">
        <f t="shared" ca="1" si="41"/>
        <v>0.75248312106254633</v>
      </c>
      <c r="G475">
        <f t="shared" ca="1" si="42"/>
        <v>0</v>
      </c>
      <c r="H475" t="e">
        <f t="shared" ca="1" si="43"/>
        <v>#N/A</v>
      </c>
      <c r="I475" t="e">
        <f t="shared" ca="1" si="44"/>
        <v>#N/A</v>
      </c>
    </row>
    <row r="476" spans="1:9" x14ac:dyDescent="0.2">
      <c r="A476">
        <f>'uniforme cercle (rejet)'!L481</f>
        <v>472</v>
      </c>
      <c r="B476">
        <f ca="1">'uniforme cercle (rejet)'!M481</f>
        <v>0.41965831137348575</v>
      </c>
      <c r="C476">
        <f ca="1">'uniforme cercle (rejet)'!N481</f>
        <v>0.67108892073545534</v>
      </c>
      <c r="D476">
        <f ca="1">'uniforme cercle (rejet)'!O481</f>
        <v>0.7915007503715481</v>
      </c>
      <c r="E476">
        <f t="shared" ca="1" si="40"/>
        <v>0.77127476438468934</v>
      </c>
      <c r="F476">
        <f t="shared" ca="1" si="41"/>
        <v>0.18901377127019789</v>
      </c>
      <c r="G476">
        <f t="shared" ca="1" si="42"/>
        <v>0</v>
      </c>
      <c r="H476" t="e">
        <f t="shared" ca="1" si="43"/>
        <v>#N/A</v>
      </c>
      <c r="I476" t="e">
        <f t="shared" ca="1" si="44"/>
        <v>#N/A</v>
      </c>
    </row>
    <row r="477" spans="1:9" x14ac:dyDescent="0.2">
      <c r="A477">
        <f>'uniforme cercle (rejet)'!L482</f>
        <v>473</v>
      </c>
      <c r="B477">
        <f ca="1">'uniforme cercle (rejet)'!M482</f>
        <v>0.11112333654494888</v>
      </c>
      <c r="C477">
        <f ca="1">'uniforme cercle (rejet)'!N482</f>
        <v>0.41587943977152531</v>
      </c>
      <c r="D477">
        <f ca="1">'uniforme cercle (rejet)'!O482</f>
        <v>0.4304696323198185</v>
      </c>
      <c r="E477">
        <f t="shared" ca="1" si="40"/>
        <v>0.37264723683751616</v>
      </c>
      <c r="F477">
        <f t="shared" ca="1" si="41"/>
        <v>0.39787099420928579</v>
      </c>
      <c r="G477">
        <f t="shared" ca="1" si="42"/>
        <v>1</v>
      </c>
      <c r="H477">
        <f t="shared" ca="1" si="43"/>
        <v>0.11112333654494888</v>
      </c>
      <c r="I477">
        <f t="shared" ca="1" si="44"/>
        <v>0.41587943977152531</v>
      </c>
    </row>
    <row r="478" spans="1:9" x14ac:dyDescent="0.2">
      <c r="A478">
        <f>'uniforme cercle (rejet)'!L483</f>
        <v>474</v>
      </c>
      <c r="B478">
        <f ca="1">'uniforme cercle (rejet)'!M483</f>
        <v>-0.49007433915280707</v>
      </c>
      <c r="C478">
        <f ca="1">'uniforme cercle (rejet)'!N483</f>
        <v>-0.72799010269879005</v>
      </c>
      <c r="D478">
        <f ca="1">'uniforme cercle (rejet)'!O483</f>
        <v>0.87757760199509172</v>
      </c>
      <c r="E478">
        <f t="shared" ca="1" si="40"/>
        <v>0.86130162675547151</v>
      </c>
      <c r="F478">
        <f t="shared" ca="1" si="41"/>
        <v>1.5774051126375408</v>
      </c>
      <c r="G478">
        <f t="shared" ca="1" si="42"/>
        <v>0</v>
      </c>
      <c r="H478" t="e">
        <f t="shared" ca="1" si="43"/>
        <v>#N/A</v>
      </c>
      <c r="I478" t="e">
        <f t="shared" ca="1" si="44"/>
        <v>#N/A</v>
      </c>
    </row>
    <row r="479" spans="1:9" x14ac:dyDescent="0.2">
      <c r="A479">
        <f>'uniforme cercle (rejet)'!L484</f>
        <v>475</v>
      </c>
      <c r="B479">
        <f ca="1">'uniforme cercle (rejet)'!M484</f>
        <v>0.76751634415689929</v>
      </c>
      <c r="C479">
        <f ca="1">'uniforme cercle (rejet)'!N484</f>
        <v>0.42151968208569368</v>
      </c>
      <c r="D479">
        <f ca="1">'uniforme cercle (rejet)'!O484</f>
        <v>0.87564843455213015</v>
      </c>
      <c r="E479">
        <f t="shared" ca="1" si="40"/>
        <v>0.84077543723124315</v>
      </c>
      <c r="F479">
        <f t="shared" ca="1" si="41"/>
        <v>0.2787905211641945</v>
      </c>
      <c r="G479">
        <f t="shared" ca="1" si="42"/>
        <v>0</v>
      </c>
      <c r="H479" t="e">
        <f t="shared" ca="1" si="43"/>
        <v>#N/A</v>
      </c>
      <c r="I479" t="e">
        <f t="shared" ca="1" si="44"/>
        <v>#N/A</v>
      </c>
    </row>
    <row r="480" spans="1:9" x14ac:dyDescent="0.2">
      <c r="A480">
        <f>'uniforme cercle (rejet)'!L485</f>
        <v>476</v>
      </c>
      <c r="B480">
        <f ca="1">'uniforme cercle (rejet)'!M485</f>
        <v>-0.12736904884580658</v>
      </c>
      <c r="C480">
        <f ca="1">'uniforme cercle (rejet)'!N485</f>
        <v>-0.15370928454944432</v>
      </c>
      <c r="D480">
        <f ca="1">'uniforme cercle (rejet)'!O485</f>
        <v>0.19962319194068487</v>
      </c>
      <c r="E480">
        <f t="shared" ca="1" si="40"/>
        <v>0.19875239558839511</v>
      </c>
      <c r="F480">
        <f t="shared" ca="1" si="41"/>
        <v>0.90605063443266709</v>
      </c>
      <c r="G480">
        <f t="shared" ca="1" si="42"/>
        <v>0</v>
      </c>
      <c r="H480" t="e">
        <f t="shared" ca="1" si="43"/>
        <v>#N/A</v>
      </c>
      <c r="I480" t="e">
        <f t="shared" ca="1" si="44"/>
        <v>#N/A</v>
      </c>
    </row>
    <row r="481" spans="1:9" x14ac:dyDescent="0.2">
      <c r="A481">
        <f>'uniforme cercle (rejet)'!L486</f>
        <v>477</v>
      </c>
      <c r="B481">
        <f ca="1">'uniforme cercle (rejet)'!M486</f>
        <v>0.71749593656407429</v>
      </c>
      <c r="C481">
        <f ca="1">'uniforme cercle (rejet)'!N486</f>
        <v>-0.16675981681693908</v>
      </c>
      <c r="D481">
        <f ca="1">'uniforme cercle (rejet)'!O486</f>
        <v>0.73662015685886384</v>
      </c>
      <c r="E481">
        <f t="shared" ca="1" si="40"/>
        <v>0.38942924491756575</v>
      </c>
      <c r="F481">
        <f t="shared" ca="1" si="41"/>
        <v>0.70133667788277121</v>
      </c>
      <c r="G481">
        <f t="shared" ca="1" si="42"/>
        <v>1</v>
      </c>
      <c r="H481">
        <f t="shared" ca="1" si="43"/>
        <v>0.71749593656407429</v>
      </c>
      <c r="I481">
        <f t="shared" ca="1" si="44"/>
        <v>-0.16675981681693908</v>
      </c>
    </row>
    <row r="482" spans="1:9" x14ac:dyDescent="0.2">
      <c r="A482">
        <f>'uniforme cercle (rejet)'!L487</f>
        <v>478</v>
      </c>
      <c r="B482">
        <f ca="1">'uniforme cercle (rejet)'!M487</f>
        <v>-0.34127868292088026</v>
      </c>
      <c r="C482">
        <f ca="1">'uniforme cercle (rejet)'!N487</f>
        <v>0.59854572604558665</v>
      </c>
      <c r="D482">
        <f ca="1">'uniforme cercle (rejet)'!O487</f>
        <v>0.68900517094115421</v>
      </c>
      <c r="E482">
        <f t="shared" ca="1" si="40"/>
        <v>0.18191527076929184</v>
      </c>
      <c r="F482">
        <f t="shared" ca="1" si="41"/>
        <v>0.84703074469522222</v>
      </c>
      <c r="G482">
        <f t="shared" ca="1" si="42"/>
        <v>0</v>
      </c>
      <c r="H482" t="e">
        <f t="shared" ca="1" si="43"/>
        <v>#N/A</v>
      </c>
      <c r="I482" t="e">
        <f t="shared" ca="1" si="44"/>
        <v>#N/A</v>
      </c>
    </row>
    <row r="483" spans="1:9" x14ac:dyDescent="0.2">
      <c r="A483">
        <f>'uniforme cercle (rejet)'!L488</f>
        <v>479</v>
      </c>
      <c r="B483">
        <f ca="1">'uniforme cercle (rejet)'!M488</f>
        <v>0.4540265054736432</v>
      </c>
      <c r="C483">
        <f ca="1">'uniforme cercle (rejet)'!N488</f>
        <v>0.34431026302557788</v>
      </c>
      <c r="D483">
        <f ca="1">'uniforme cercle (rejet)'!O488</f>
        <v>0.56981543055392136</v>
      </c>
      <c r="E483">
        <f t="shared" ref="E483:E504" ca="1" si="45">(B483+C483)^2/SQRT(2*(B483+C483)^2)</f>
        <v>0.56450934267635411</v>
      </c>
      <c r="F483">
        <f t="shared" ref="F483:F504" ca="1" si="46">SQRT((B483-0.5)^2+(C483-0.5)^2)</f>
        <v>0.16233562886233477</v>
      </c>
      <c r="G483">
        <f t="shared" ref="G483:G504" ca="1" si="47">IF(ABS(F483-E483)&lt;SQRT(2)/2/2,1,0)</f>
        <v>0</v>
      </c>
      <c r="H483" t="e">
        <f t="shared" ref="H483:H504" ca="1" si="48">IF($G483=1,B483,NA())</f>
        <v>#N/A</v>
      </c>
      <c r="I483" t="e">
        <f t="shared" ref="I483:I504" ca="1" si="49">IF($G483=1,C483,NA())</f>
        <v>#N/A</v>
      </c>
    </row>
    <row r="484" spans="1:9" x14ac:dyDescent="0.2">
      <c r="A484">
        <f>'uniforme cercle (rejet)'!L489</f>
        <v>480</v>
      </c>
      <c r="B484">
        <f ca="1">'uniforme cercle (rejet)'!M489</f>
        <v>-0.17755033673695575</v>
      </c>
      <c r="C484">
        <f ca="1">'uniforme cercle (rejet)'!N489</f>
        <v>0.77422721949396967</v>
      </c>
      <c r="D484">
        <f ca="1">'uniforme cercle (rejet)'!O489</f>
        <v>0.79432481358747054</v>
      </c>
      <c r="E484">
        <f t="shared" ca="1" si="45"/>
        <v>0.42191426997473508</v>
      </c>
      <c r="F484">
        <f t="shared" ca="1" si="46"/>
        <v>0.73094119238400834</v>
      </c>
      <c r="G484">
        <f t="shared" ca="1" si="47"/>
        <v>1</v>
      </c>
      <c r="H484">
        <f t="shared" ca="1" si="48"/>
        <v>-0.17755033673695575</v>
      </c>
      <c r="I484">
        <f t="shared" ca="1" si="49"/>
        <v>0.77422721949396967</v>
      </c>
    </row>
    <row r="485" spans="1:9" x14ac:dyDescent="0.2">
      <c r="A485">
        <f>'uniforme cercle (rejet)'!L490</f>
        <v>481</v>
      </c>
      <c r="B485">
        <f ca="1">'uniforme cercle (rejet)'!M490</f>
        <v>-0.16230264278329543</v>
      </c>
      <c r="C485">
        <f ca="1">'uniforme cercle (rejet)'!N490</f>
        <v>-0.22668300171670674</v>
      </c>
      <c r="D485">
        <f ca="1">'uniforme cercle (rejet)'!O490</f>
        <v>0.27879621791146747</v>
      </c>
      <c r="E485">
        <f t="shared" ca="1" si="45"/>
        <v>0.27505438701017115</v>
      </c>
      <c r="F485">
        <f t="shared" ca="1" si="46"/>
        <v>0.98321563027737746</v>
      </c>
      <c r="G485">
        <f t="shared" ca="1" si="47"/>
        <v>0</v>
      </c>
      <c r="H485" t="e">
        <f t="shared" ca="1" si="48"/>
        <v>#N/A</v>
      </c>
      <c r="I485" t="e">
        <f t="shared" ca="1" si="49"/>
        <v>#N/A</v>
      </c>
    </row>
    <row r="486" spans="1:9" x14ac:dyDescent="0.2">
      <c r="A486">
        <f>'uniforme cercle (rejet)'!L491</f>
        <v>482</v>
      </c>
      <c r="B486">
        <f ca="1">'uniforme cercle (rejet)'!M491</f>
        <v>0.46116116178480548</v>
      </c>
      <c r="C486">
        <f ca="1">'uniforme cercle (rejet)'!N491</f>
        <v>0.52298347951011559</v>
      </c>
      <c r="D486">
        <f ca="1">'uniforme cercle (rejet)'!O491</f>
        <v>0.69726704853966748</v>
      </c>
      <c r="E486">
        <f t="shared" ca="1" si="45"/>
        <v>0.695895349528041</v>
      </c>
      <c r="F486">
        <f t="shared" ca="1" si="46"/>
        <v>4.5129764948401374E-2</v>
      </c>
      <c r="G486">
        <f t="shared" ca="1" si="47"/>
        <v>0</v>
      </c>
      <c r="H486" t="e">
        <f t="shared" ca="1" si="48"/>
        <v>#N/A</v>
      </c>
      <c r="I486" t="e">
        <f t="shared" ca="1" si="49"/>
        <v>#N/A</v>
      </c>
    </row>
    <row r="487" spans="1:9" x14ac:dyDescent="0.2">
      <c r="A487">
        <f>'uniforme cercle (rejet)'!L492</f>
        <v>483</v>
      </c>
      <c r="B487">
        <f ca="1">'uniforme cercle (rejet)'!M492</f>
        <v>-8.9811442308215028E-2</v>
      </c>
      <c r="C487">
        <f ca="1">'uniforme cercle (rejet)'!N492</f>
        <v>0.14871650772663747</v>
      </c>
      <c r="D487">
        <f ca="1">'uniforme cercle (rejet)'!O492</f>
        <v>0.17373167483187646</v>
      </c>
      <c r="E487">
        <f t="shared" ca="1" si="45"/>
        <v>4.1652171203603705E-2</v>
      </c>
      <c r="F487">
        <f t="shared" ca="1" si="46"/>
        <v>0.68649663467599487</v>
      </c>
      <c r="G487">
        <f t="shared" ca="1" si="47"/>
        <v>0</v>
      </c>
      <c r="H487" t="e">
        <f t="shared" ca="1" si="48"/>
        <v>#N/A</v>
      </c>
      <c r="I487" t="e">
        <f t="shared" ca="1" si="49"/>
        <v>#N/A</v>
      </c>
    </row>
    <row r="488" spans="1:9" x14ac:dyDescent="0.2">
      <c r="A488">
        <f>'uniforme cercle (rejet)'!L493</f>
        <v>484</v>
      </c>
      <c r="B488">
        <f ca="1">'uniforme cercle (rejet)'!M493</f>
        <v>-0.33291715260129506</v>
      </c>
      <c r="C488">
        <f ca="1">'uniforme cercle (rejet)'!N493</f>
        <v>-0.9251601601782784</v>
      </c>
      <c r="D488">
        <f ca="1">'uniforme cercle (rejet)'!O493</f>
        <v>0.98323707846950714</v>
      </c>
      <c r="E488">
        <f t="shared" ca="1" si="45"/>
        <v>0.88959499912338558</v>
      </c>
      <c r="F488">
        <f t="shared" ca="1" si="46"/>
        <v>1.6507066563314106</v>
      </c>
      <c r="G488">
        <f t="shared" ca="1" si="47"/>
        <v>0</v>
      </c>
      <c r="H488" t="e">
        <f t="shared" ca="1" si="48"/>
        <v>#N/A</v>
      </c>
      <c r="I488" t="e">
        <f t="shared" ca="1" si="49"/>
        <v>#N/A</v>
      </c>
    </row>
    <row r="489" spans="1:9" x14ac:dyDescent="0.2">
      <c r="A489">
        <f>'uniforme cercle (rejet)'!L494</f>
        <v>485</v>
      </c>
      <c r="B489">
        <f ca="1">'uniforme cercle (rejet)'!M494</f>
        <v>-4.4646603539548746E-3</v>
      </c>
      <c r="C489">
        <f ca="1">'uniforme cercle (rejet)'!N494</f>
        <v>-3.8670598375567078E-2</v>
      </c>
      <c r="D489">
        <f ca="1">'uniforme cercle (rejet)'!O494</f>
        <v>3.8927475782544491E-2</v>
      </c>
      <c r="E489">
        <f t="shared" ca="1" si="45"/>
        <v>3.0501233955881193E-2</v>
      </c>
      <c r="F489">
        <f t="shared" ca="1" si="46"/>
        <v>0.73800447634165645</v>
      </c>
      <c r="G489">
        <f t="shared" ca="1" si="47"/>
        <v>0</v>
      </c>
      <c r="H489" t="e">
        <f t="shared" ca="1" si="48"/>
        <v>#N/A</v>
      </c>
      <c r="I489" t="e">
        <f t="shared" ca="1" si="49"/>
        <v>#N/A</v>
      </c>
    </row>
    <row r="490" spans="1:9" x14ac:dyDescent="0.2">
      <c r="A490">
        <f>'uniforme cercle (rejet)'!L495</f>
        <v>486</v>
      </c>
      <c r="B490">
        <f ca="1">'uniforme cercle (rejet)'!M495</f>
        <v>0.16010648895044</v>
      </c>
      <c r="C490">
        <f ca="1">'uniforme cercle (rejet)'!N495</f>
        <v>0.18953845051550222</v>
      </c>
      <c r="D490">
        <f ca="1">'uniforme cercle (rejet)'!O495</f>
        <v>0.24811068503362538</v>
      </c>
      <c r="E490">
        <f t="shared" ca="1" si="45"/>
        <v>0.24723630770392765</v>
      </c>
      <c r="F490">
        <f t="shared" ca="1" si="46"/>
        <v>0.46034114802167386</v>
      </c>
      <c r="G490">
        <f t="shared" ca="1" si="47"/>
        <v>1</v>
      </c>
      <c r="H490">
        <f t="shared" ca="1" si="48"/>
        <v>0.16010648895044</v>
      </c>
      <c r="I490">
        <f t="shared" ca="1" si="49"/>
        <v>0.18953845051550222</v>
      </c>
    </row>
    <row r="491" spans="1:9" x14ac:dyDescent="0.2">
      <c r="A491">
        <f>'uniforme cercle (rejet)'!L496</f>
        <v>487</v>
      </c>
      <c r="B491">
        <f ca="1">'uniforme cercle (rejet)'!M496</f>
        <v>0.50962499645402937</v>
      </c>
      <c r="C491">
        <f ca="1">'uniforme cercle (rejet)'!N496</f>
        <v>0.59964540867154437</v>
      </c>
      <c r="D491">
        <f ca="1">'uniforme cercle (rejet)'!O496</f>
        <v>0.78695123937359224</v>
      </c>
      <c r="E491">
        <f t="shared" ca="1" si="45"/>
        <v>0.78437262563384191</v>
      </c>
      <c r="F491">
        <f t="shared" ca="1" si="46"/>
        <v>0.10010918052835698</v>
      </c>
      <c r="G491">
        <f t="shared" ca="1" si="47"/>
        <v>0</v>
      </c>
      <c r="H491" t="e">
        <f t="shared" ca="1" si="48"/>
        <v>#N/A</v>
      </c>
      <c r="I491" t="e">
        <f t="shared" ca="1" si="49"/>
        <v>#N/A</v>
      </c>
    </row>
    <row r="492" spans="1:9" x14ac:dyDescent="0.2">
      <c r="A492">
        <f>'uniforme cercle (rejet)'!L497</f>
        <v>488</v>
      </c>
      <c r="B492">
        <f ca="1">'uniforme cercle (rejet)'!M497</f>
        <v>0.71343359814027796</v>
      </c>
      <c r="C492">
        <f ca="1">'uniforme cercle (rejet)'!N497</f>
        <v>-0.33590650395888355</v>
      </c>
      <c r="D492">
        <f ca="1">'uniforme cercle (rejet)'!O497</f>
        <v>0.78855607179024567</v>
      </c>
      <c r="E492">
        <f t="shared" ca="1" si="45"/>
        <v>0.26695196837731633</v>
      </c>
      <c r="F492">
        <f t="shared" ca="1" si="46"/>
        <v>0.86272451233048242</v>
      </c>
      <c r="G492">
        <f t="shared" ca="1" si="47"/>
        <v>0</v>
      </c>
      <c r="H492" t="e">
        <f t="shared" ca="1" si="48"/>
        <v>#N/A</v>
      </c>
      <c r="I492" t="e">
        <f t="shared" ca="1" si="49"/>
        <v>#N/A</v>
      </c>
    </row>
    <row r="493" spans="1:9" x14ac:dyDescent="0.2">
      <c r="A493">
        <f>'uniforme cercle (rejet)'!L498</f>
        <v>489</v>
      </c>
      <c r="B493">
        <f ca="1">'uniforme cercle (rejet)'!M498</f>
        <v>-0.24033675638038066</v>
      </c>
      <c r="C493">
        <f ca="1">'uniforme cercle (rejet)'!N498</f>
        <v>0.60328206188906508</v>
      </c>
      <c r="D493">
        <f ca="1">'uniforme cercle (rejet)'!O498</f>
        <v>0.64939279535929884</v>
      </c>
      <c r="E493">
        <f t="shared" ca="1" si="45"/>
        <v>0.25664108672501396</v>
      </c>
      <c r="F493">
        <f t="shared" ca="1" si="46"/>
        <v>0.74750631914110244</v>
      </c>
      <c r="G493">
        <f t="shared" ca="1" si="47"/>
        <v>0</v>
      </c>
      <c r="H493" t="e">
        <f t="shared" ca="1" si="48"/>
        <v>#N/A</v>
      </c>
      <c r="I493" t="e">
        <f t="shared" ca="1" si="49"/>
        <v>#N/A</v>
      </c>
    </row>
    <row r="494" spans="1:9" x14ac:dyDescent="0.2">
      <c r="A494">
        <f>'uniforme cercle (rejet)'!L499</f>
        <v>490</v>
      </c>
      <c r="B494">
        <f ca="1">'uniforme cercle (rejet)'!M499</f>
        <v>0.38666702072628789</v>
      </c>
      <c r="C494">
        <f ca="1">'uniforme cercle (rejet)'!N499</f>
        <v>0.25224552164500014</v>
      </c>
      <c r="D494">
        <f ca="1">'uniforme cercle (rejet)'!O499</f>
        <v>0.46166999914148826</v>
      </c>
      <c r="E494">
        <f t="shared" ca="1" si="45"/>
        <v>0.45177939129587513</v>
      </c>
      <c r="F494">
        <f t="shared" ca="1" si="46"/>
        <v>0.27244567483447735</v>
      </c>
      <c r="G494">
        <f t="shared" ca="1" si="47"/>
        <v>1</v>
      </c>
      <c r="H494">
        <f t="shared" ca="1" si="48"/>
        <v>0.38666702072628789</v>
      </c>
      <c r="I494">
        <f t="shared" ca="1" si="49"/>
        <v>0.25224552164500014</v>
      </c>
    </row>
    <row r="495" spans="1:9" x14ac:dyDescent="0.2">
      <c r="A495">
        <f>'uniforme cercle (rejet)'!L500</f>
        <v>491</v>
      </c>
      <c r="B495">
        <f ca="1">'uniforme cercle (rejet)'!M500</f>
        <v>-0.33717092938315041</v>
      </c>
      <c r="C495">
        <f ca="1">'uniforme cercle (rejet)'!N500</f>
        <v>-0.43534499132226556</v>
      </c>
      <c r="D495">
        <f ca="1">'uniforme cercle (rejet)'!O500</f>
        <v>0.55064461959641531</v>
      </c>
      <c r="E495">
        <f t="shared" ca="1" si="45"/>
        <v>0.54625124610536879</v>
      </c>
      <c r="F495">
        <f t="shared" ca="1" si="46"/>
        <v>1.2552790198979256</v>
      </c>
      <c r="G495">
        <f t="shared" ca="1" si="47"/>
        <v>0</v>
      </c>
      <c r="H495" t="e">
        <f t="shared" ca="1" si="48"/>
        <v>#N/A</v>
      </c>
      <c r="I495" t="e">
        <f t="shared" ca="1" si="49"/>
        <v>#N/A</v>
      </c>
    </row>
    <row r="496" spans="1:9" x14ac:dyDescent="0.2">
      <c r="A496">
        <f>'uniforme cercle (rejet)'!L501</f>
        <v>492</v>
      </c>
      <c r="B496">
        <f ca="1">'uniforme cercle (rejet)'!M501</f>
        <v>0.59371096160338621</v>
      </c>
      <c r="C496">
        <f ca="1">'uniforme cercle (rejet)'!N501</f>
        <v>6.3688799856957523E-2</v>
      </c>
      <c r="D496">
        <f ca="1">'uniforme cercle (rejet)'!O501</f>
        <v>0.597117215591074</v>
      </c>
      <c r="E496">
        <f t="shared" ca="1" si="45"/>
        <v>0.4648518292790278</v>
      </c>
      <c r="F496">
        <f t="shared" ca="1" si="46"/>
        <v>0.4462613670203745</v>
      </c>
      <c r="G496">
        <f t="shared" ca="1" si="47"/>
        <v>1</v>
      </c>
      <c r="H496">
        <f t="shared" ca="1" si="48"/>
        <v>0.59371096160338621</v>
      </c>
      <c r="I496">
        <f t="shared" ca="1" si="49"/>
        <v>6.3688799856957523E-2</v>
      </c>
    </row>
    <row r="497" spans="1:9" x14ac:dyDescent="0.2">
      <c r="A497">
        <f>'uniforme cercle (rejet)'!L502</f>
        <v>493</v>
      </c>
      <c r="B497">
        <f ca="1">'uniforme cercle (rejet)'!M502</f>
        <v>-0.73849165356191349</v>
      </c>
      <c r="C497">
        <f ca="1">'uniforme cercle (rejet)'!N502</f>
        <v>0.27622407349225253</v>
      </c>
      <c r="D497">
        <f ca="1">'uniforme cercle (rejet)'!O502</f>
        <v>0.78846031045149156</v>
      </c>
      <c r="E497">
        <f t="shared" ca="1" si="45"/>
        <v>0.32687254058995263</v>
      </c>
      <c r="F497">
        <f t="shared" ca="1" si="46"/>
        <v>1.2585456849979357</v>
      </c>
      <c r="G497">
        <f t="shared" ca="1" si="47"/>
        <v>0</v>
      </c>
      <c r="H497" t="e">
        <f t="shared" ca="1" si="48"/>
        <v>#N/A</v>
      </c>
      <c r="I497" t="e">
        <f t="shared" ca="1" si="49"/>
        <v>#N/A</v>
      </c>
    </row>
    <row r="498" spans="1:9" x14ac:dyDescent="0.2">
      <c r="A498">
        <f>'uniforme cercle (rejet)'!L503</f>
        <v>494</v>
      </c>
      <c r="B498">
        <f ca="1">'uniforme cercle (rejet)'!M503</f>
        <v>-0.58325324511702936</v>
      </c>
      <c r="C498">
        <f ca="1">'uniforme cercle (rejet)'!N503</f>
        <v>-8.1096273396693119E-2</v>
      </c>
      <c r="D498">
        <f ca="1">'uniforme cercle (rejet)'!O503</f>
        <v>0.58886412142223166</v>
      </c>
      <c r="E498">
        <f t="shared" ca="1" si="45"/>
        <v>0.46976604961907098</v>
      </c>
      <c r="F498">
        <f t="shared" ca="1" si="46"/>
        <v>1.2292723343556136</v>
      </c>
      <c r="G498">
        <f t="shared" ca="1" si="47"/>
        <v>0</v>
      </c>
      <c r="H498" t="e">
        <f t="shared" ca="1" si="48"/>
        <v>#N/A</v>
      </c>
      <c r="I498" t="e">
        <f t="shared" ca="1" si="49"/>
        <v>#N/A</v>
      </c>
    </row>
    <row r="499" spans="1:9" x14ac:dyDescent="0.2">
      <c r="A499">
        <f>'uniforme cercle (rejet)'!L504</f>
        <v>495</v>
      </c>
      <c r="B499">
        <f ca="1">'uniforme cercle (rejet)'!M504</f>
        <v>-9.7687800355038767E-2</v>
      </c>
      <c r="C499">
        <f ca="1">'uniforme cercle (rejet)'!N504</f>
        <v>-0.27406334581275971</v>
      </c>
      <c r="D499">
        <f ca="1">'uniforme cercle (rejet)'!O504</f>
        <v>0.29095295815009381</v>
      </c>
      <c r="E499">
        <f t="shared" ca="1" si="45"/>
        <v>0.26286775636912174</v>
      </c>
      <c r="F499">
        <f t="shared" ca="1" si="46"/>
        <v>0.97795949303848406</v>
      </c>
      <c r="G499">
        <f t="shared" ca="1" si="47"/>
        <v>0</v>
      </c>
      <c r="H499" t="e">
        <f t="shared" ca="1" si="48"/>
        <v>#N/A</v>
      </c>
      <c r="I499" t="e">
        <f t="shared" ca="1" si="49"/>
        <v>#N/A</v>
      </c>
    </row>
    <row r="500" spans="1:9" x14ac:dyDescent="0.2">
      <c r="A500">
        <f>'uniforme cercle (rejet)'!L505</f>
        <v>496</v>
      </c>
      <c r="B500">
        <f ca="1">'uniforme cercle (rejet)'!M505</f>
        <v>0.84911342432143244</v>
      </c>
      <c r="C500">
        <f ca="1">'uniforme cercle (rejet)'!N505</f>
        <v>-0.16247820044692984</v>
      </c>
      <c r="D500">
        <f ca="1">'uniforme cercle (rejet)'!O505</f>
        <v>0.86451881008069553</v>
      </c>
      <c r="E500">
        <f t="shared" ca="1" si="45"/>
        <v>0.48552442300320403</v>
      </c>
      <c r="F500">
        <f t="shared" ca="1" si="46"/>
        <v>0.74883746508093407</v>
      </c>
      <c r="G500">
        <f t="shared" ca="1" si="47"/>
        <v>1</v>
      </c>
      <c r="H500">
        <f t="shared" ca="1" si="48"/>
        <v>0.84911342432143244</v>
      </c>
      <c r="I500">
        <f t="shared" ca="1" si="49"/>
        <v>-0.16247820044692984</v>
      </c>
    </row>
    <row r="501" spans="1:9" x14ac:dyDescent="0.2">
      <c r="A501">
        <f>'uniforme cercle (rejet)'!L506</f>
        <v>497</v>
      </c>
      <c r="B501">
        <f ca="1">'uniforme cercle (rejet)'!M506</f>
        <v>3.3081564471577618E-2</v>
      </c>
      <c r="C501">
        <f ca="1">'uniforme cercle (rejet)'!N506</f>
        <v>-0.12489343492531035</v>
      </c>
      <c r="D501">
        <f ca="1">'uniforme cercle (rejet)'!O506</f>
        <v>0.12920046437737706</v>
      </c>
      <c r="E501">
        <f t="shared" ca="1" si="45"/>
        <v>6.4920796191255237E-2</v>
      </c>
      <c r="F501">
        <f t="shared" ca="1" si="46"/>
        <v>0.7800670679172802</v>
      </c>
      <c r="G501">
        <f t="shared" ca="1" si="47"/>
        <v>0</v>
      </c>
      <c r="H501" t="e">
        <f t="shared" ca="1" si="48"/>
        <v>#N/A</v>
      </c>
      <c r="I501" t="e">
        <f t="shared" ca="1" si="49"/>
        <v>#N/A</v>
      </c>
    </row>
    <row r="502" spans="1:9" x14ac:dyDescent="0.2">
      <c r="A502">
        <f>'uniforme cercle (rejet)'!L507</f>
        <v>498</v>
      </c>
      <c r="B502">
        <f ca="1">'uniforme cercle (rejet)'!M507</f>
        <v>-0.36610815443379741</v>
      </c>
      <c r="C502">
        <f ca="1">'uniforme cercle (rejet)'!N507</f>
        <v>-0.63711615883431838</v>
      </c>
      <c r="D502">
        <f ca="1">'uniforme cercle (rejet)'!O507</f>
        <v>0.73481438512778019</v>
      </c>
      <c r="E502">
        <f t="shared" ca="1" si="45"/>
        <v>0.70938671496310202</v>
      </c>
      <c r="F502">
        <f t="shared" ca="1" si="46"/>
        <v>1.4293972484438444</v>
      </c>
      <c r="G502">
        <f t="shared" ca="1" si="47"/>
        <v>0</v>
      </c>
      <c r="H502" t="e">
        <f t="shared" ca="1" si="48"/>
        <v>#N/A</v>
      </c>
      <c r="I502" t="e">
        <f t="shared" ca="1" si="49"/>
        <v>#N/A</v>
      </c>
    </row>
    <row r="503" spans="1:9" x14ac:dyDescent="0.2">
      <c r="A503">
        <f>'uniforme cercle (rejet)'!L508</f>
        <v>499</v>
      </c>
      <c r="B503">
        <f ca="1">'uniforme cercle (rejet)'!M508</f>
        <v>-0.99618228669047793</v>
      </c>
      <c r="C503">
        <f ca="1">'uniforme cercle (rejet)'!N508</f>
        <v>7.6112243017218972E-2</v>
      </c>
      <c r="D503">
        <f ca="1">'uniforme cercle (rejet)'!O508</f>
        <v>0.99908569294779803</v>
      </c>
      <c r="E503">
        <f t="shared" ca="1" si="45"/>
        <v>0.65058776704796428</v>
      </c>
      <c r="F503">
        <f t="shared" ca="1" si="46"/>
        <v>1.5550698587286169</v>
      </c>
      <c r="G503">
        <f t="shared" ca="1" si="47"/>
        <v>0</v>
      </c>
      <c r="H503" t="e">
        <f t="shared" ca="1" si="48"/>
        <v>#N/A</v>
      </c>
      <c r="I503" t="e">
        <f t="shared" ca="1" si="49"/>
        <v>#N/A</v>
      </c>
    </row>
    <row r="504" spans="1:9" x14ac:dyDescent="0.2">
      <c r="A504">
        <f>'uniforme cercle (rejet)'!L509</f>
        <v>500</v>
      </c>
      <c r="B504">
        <f ca="1">'uniforme cercle (rejet)'!M509</f>
        <v>-0.60522425644184752</v>
      </c>
      <c r="C504">
        <f ca="1">'uniforme cercle (rejet)'!N509</f>
        <v>0.21031972070129323</v>
      </c>
      <c r="D504">
        <f ca="1">'uniforme cercle (rejet)'!O509</f>
        <v>0.6407267635283056</v>
      </c>
      <c r="E504">
        <f t="shared" ca="1" si="45"/>
        <v>0.27923967514347126</v>
      </c>
      <c r="F504">
        <f t="shared" ca="1" si="46"/>
        <v>1.1425564849240546</v>
      </c>
      <c r="G504">
        <f t="shared" ca="1" si="47"/>
        <v>0</v>
      </c>
      <c r="H504" t="e">
        <f t="shared" ca="1" si="48"/>
        <v>#N/A</v>
      </c>
      <c r="I504" t="e">
        <f t="shared" ca="1" si="49"/>
        <v>#N/A</v>
      </c>
    </row>
  </sheetData>
  <pageMargins left="0.7" right="0.7" top="0.75" bottom="0.75" header="0.3" footer="0.3"/>
  <pageSetup scale="1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40C5-F007-0940-BF2E-14155566166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505"/>
  <sheetViews>
    <sheetView zoomScale="90" zoomScaleNormal="90" workbookViewId="0">
      <selection activeCell="AD2" sqref="AD2"/>
    </sheetView>
  </sheetViews>
  <sheetFormatPr baseColWidth="10" defaultColWidth="9.1640625" defaultRowHeight="15" x14ac:dyDescent="0.2"/>
  <cols>
    <col min="8" max="8" width="16.5" customWidth="1"/>
    <col min="9" max="9" width="12" bestFit="1" customWidth="1"/>
  </cols>
  <sheetData>
    <row r="1" spans="1:30" ht="19" x14ac:dyDescent="0.25">
      <c r="V1" s="6" t="s">
        <v>34</v>
      </c>
    </row>
    <row r="2" spans="1:30" ht="21" x14ac:dyDescent="0.25">
      <c r="A2" s="5" t="s">
        <v>12</v>
      </c>
      <c r="V2" s="5" t="s">
        <v>33</v>
      </c>
      <c r="AB2" s="7">
        <f ca="1">AVERAGE(AB6:AB505)</f>
        <v>0.22</v>
      </c>
      <c r="AC2" s="8" t="s">
        <v>35</v>
      </c>
      <c r="AD2" s="7">
        <f ca="1">_xlfn.NORM.INV(0.95,0,1)*STDEV(AB6:AB505)/SQRT(500)</f>
        <v>3.0502513340472718E-2</v>
      </c>
    </row>
    <row r="4" spans="1:30" ht="32" x14ac:dyDescent="0.2">
      <c r="A4" t="s">
        <v>13</v>
      </c>
      <c r="V4" s="3" t="s">
        <v>0</v>
      </c>
      <c r="W4" s="3" t="s">
        <v>9</v>
      </c>
      <c r="X4" s="3" t="s">
        <v>10</v>
      </c>
      <c r="Y4" s="3" t="s">
        <v>16</v>
      </c>
      <c r="Z4" s="3" t="s">
        <v>28</v>
      </c>
      <c r="AA4" s="3" t="s">
        <v>29</v>
      </c>
      <c r="AB4" s="3" t="s">
        <v>32</v>
      </c>
      <c r="AC4" s="3" t="s">
        <v>30</v>
      </c>
      <c r="AD4" s="3" t="s">
        <v>31</v>
      </c>
    </row>
    <row r="5" spans="1:30" x14ac:dyDescent="0.2">
      <c r="A5" t="s">
        <v>0</v>
      </c>
      <c r="B5" t="s">
        <v>14</v>
      </c>
      <c r="C5" t="s">
        <v>15</v>
      </c>
      <c r="D5" t="s">
        <v>9</v>
      </c>
      <c r="E5" t="s">
        <v>10</v>
      </c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">
      <c r="A6">
        <v>1</v>
      </c>
      <c r="B6">
        <f ca="1">RAND()</f>
        <v>0.62505179267440958</v>
      </c>
      <c r="C6">
        <f ca="1">RAND()*2*PI()</f>
        <v>1.497021902265729</v>
      </c>
      <c r="D6">
        <f ca="1">B6*COS(C6)</f>
        <v>4.6071018228331713E-2</v>
      </c>
      <c r="E6">
        <f ca="1">B6*SIN(C6)</f>
        <v>0.62335159003960028</v>
      </c>
      <c r="V6">
        <v>1</v>
      </c>
      <c r="W6">
        <f ca="1">D6</f>
        <v>4.6071018228331713E-2</v>
      </c>
      <c r="X6">
        <f ca="1">E6</f>
        <v>0.62335159003960028</v>
      </c>
      <c r="Y6">
        <f>'uniforme cercle (rejet)'!AJ10</f>
        <v>0</v>
      </c>
      <c r="Z6">
        <f ca="1">(W6+X6)^2/SQRT(2*(W6+X6)^2)</f>
        <v>0.47335326578584053</v>
      </c>
      <c r="AA6">
        <f ca="1">SQRT((W6-0.5)^2+(X6-0.5)^2)</f>
        <v>0.47039040727629766</v>
      </c>
      <c r="AB6">
        <f ca="1">IF(ABS(AA6-Z6)&lt;SQRT(2)/2/2,1,0)</f>
        <v>1</v>
      </c>
      <c r="AC6">
        <f ca="1">IF($AB6=1,W6,NA())</f>
        <v>4.6071018228331713E-2</v>
      </c>
      <c r="AD6">
        <f ca="1">IF($AB6=1,X6,NA())</f>
        <v>0.62335159003960028</v>
      </c>
    </row>
    <row r="7" spans="1:30" x14ac:dyDescent="0.2">
      <c r="A7">
        <f>1+A6</f>
        <v>2</v>
      </c>
      <c r="B7">
        <f ca="1">RAND()</f>
        <v>0.61004180426766275</v>
      </c>
      <c r="C7">
        <f ca="1">RAND()*2*PI()</f>
        <v>0.97793256334900613</v>
      </c>
      <c r="D7">
        <f ca="1">B7*COS(C7)</f>
        <v>0.34085375468982987</v>
      </c>
      <c r="E7">
        <f ca="1">B7*SIN(C7)</f>
        <v>0.50593450254750438</v>
      </c>
      <c r="V7">
        <v>2</v>
      </c>
      <c r="W7">
        <f t="shared" ref="W7:W70" ca="1" si="0">D7</f>
        <v>0.34085375468982987</v>
      </c>
      <c r="X7">
        <f t="shared" ref="X7:X70" ca="1" si="1">E7</f>
        <v>0.50593450254750438</v>
      </c>
      <c r="Y7">
        <f>'uniforme cercle (rejet)'!AJ11</f>
        <v>0</v>
      </c>
      <c r="Z7">
        <f t="shared" ref="Z7:Z70" ca="1" si="2">(W7+X7)^2/SQRT(2*(W7+X7)^2)</f>
        <v>0.59876971892165753</v>
      </c>
      <c r="AA7">
        <f t="shared" ref="AA7:AA70" ca="1" si="3">SQRT((W7-0.5)^2+(X7-0.5)^2)</f>
        <v>0.15925685453634697</v>
      </c>
      <c r="AB7">
        <f t="shared" ref="AB7:AB70" ca="1" si="4">IF(ABS(AA7-Z7)&lt;SQRT(2)/2/2,1,0)</f>
        <v>0</v>
      </c>
      <c r="AC7" t="e">
        <f t="shared" ref="AC7:AC70" ca="1" si="5">IF($AB7=1,W7,NA())</f>
        <v>#N/A</v>
      </c>
      <c r="AD7" t="e">
        <f t="shared" ref="AD7:AD70" ca="1" si="6">IF($AB7=1,X7,NA())</f>
        <v>#N/A</v>
      </c>
    </row>
    <row r="8" spans="1:30" x14ac:dyDescent="0.2">
      <c r="A8">
        <f t="shared" ref="A8:A29" si="7">1+A7</f>
        <v>3</v>
      </c>
      <c r="B8">
        <f t="shared" ref="B8:B71" ca="1" si="8">RAND()</f>
        <v>0.34166623132071694</v>
      </c>
      <c r="C8">
        <f t="shared" ref="C8:C71" ca="1" si="9">RAND()*2*PI()</f>
        <v>3.4429050674177142</v>
      </c>
      <c r="D8">
        <f t="shared" ref="D8:D29" ca="1" si="10">B8*COS(C8)</f>
        <v>-0.32627342334176751</v>
      </c>
      <c r="E8">
        <f t="shared" ref="E8:E29" ca="1" si="11">B8*SIN(C8)</f>
        <v>-0.10139756824374746</v>
      </c>
      <c r="V8">
        <v>3</v>
      </c>
      <c r="W8">
        <f t="shared" ca="1" si="0"/>
        <v>-0.32627342334176751</v>
      </c>
      <c r="X8">
        <f t="shared" ca="1" si="1"/>
        <v>-0.10139756824374746</v>
      </c>
      <c r="Y8">
        <f>'uniforme cercle (rejet)'!AJ12</f>
        <v>0</v>
      </c>
      <c r="Z8">
        <f t="shared" ca="1" si="2"/>
        <v>0.30240905826689257</v>
      </c>
      <c r="AA8">
        <f t="shared" ca="1" si="3"/>
        <v>1.0219622327710631</v>
      </c>
      <c r="AB8">
        <f t="shared" ca="1" si="4"/>
        <v>0</v>
      </c>
      <c r="AC8" t="e">
        <f t="shared" ca="1" si="5"/>
        <v>#N/A</v>
      </c>
      <c r="AD8" t="e">
        <f t="shared" ca="1" si="6"/>
        <v>#N/A</v>
      </c>
    </row>
    <row r="9" spans="1:30" x14ac:dyDescent="0.2">
      <c r="A9">
        <f t="shared" si="7"/>
        <v>4</v>
      </c>
      <c r="B9">
        <f t="shared" ca="1" si="8"/>
        <v>0.50095841344908509</v>
      </c>
      <c r="C9">
        <f t="shared" ca="1" si="9"/>
        <v>5.8886558788207495</v>
      </c>
      <c r="D9">
        <f t="shared" ca="1" si="10"/>
        <v>0.46247355676426732</v>
      </c>
      <c r="E9">
        <f t="shared" ca="1" si="11"/>
        <v>-0.19255529413452255</v>
      </c>
      <c r="V9">
        <v>4</v>
      </c>
      <c r="W9">
        <f t="shared" ca="1" si="0"/>
        <v>0.46247355676426732</v>
      </c>
      <c r="X9">
        <f t="shared" ca="1" si="1"/>
        <v>-0.19255529413452255</v>
      </c>
      <c r="Y9">
        <f>'uniforme cercle (rejet)'!AJ13</f>
        <v>0</v>
      </c>
      <c r="Z9">
        <f t="shared" ca="1" si="2"/>
        <v>0.19086103387158401</v>
      </c>
      <c r="AA9">
        <f t="shared" ca="1" si="3"/>
        <v>0.69357124318679741</v>
      </c>
      <c r="AB9">
        <f t="shared" ca="1" si="4"/>
        <v>0</v>
      </c>
      <c r="AC9" t="e">
        <f t="shared" ca="1" si="5"/>
        <v>#N/A</v>
      </c>
      <c r="AD9" t="e">
        <f t="shared" ca="1" si="6"/>
        <v>#N/A</v>
      </c>
    </row>
    <row r="10" spans="1:30" x14ac:dyDescent="0.2">
      <c r="A10">
        <f t="shared" si="7"/>
        <v>5</v>
      </c>
      <c r="B10">
        <f t="shared" ca="1" si="8"/>
        <v>0.28993058532677585</v>
      </c>
      <c r="C10">
        <f t="shared" ca="1" si="9"/>
        <v>3.9602143449591298</v>
      </c>
      <c r="D10">
        <f t="shared" ca="1" si="10"/>
        <v>-0.19808878196192245</v>
      </c>
      <c r="E10">
        <f t="shared" ca="1" si="11"/>
        <v>-0.21170871207574052</v>
      </c>
      <c r="V10">
        <v>5</v>
      </c>
      <c r="W10">
        <f t="shared" ca="1" si="0"/>
        <v>-0.19808878196192245</v>
      </c>
      <c r="X10">
        <f t="shared" ca="1" si="1"/>
        <v>-0.21170871207574052</v>
      </c>
      <c r="Y10">
        <f>'uniforme cercle (rejet)'!AJ14</f>
        <v>0</v>
      </c>
      <c r="Z10">
        <f t="shared" ca="1" si="2"/>
        <v>0.28977058694728525</v>
      </c>
      <c r="AA10">
        <f t="shared" ca="1" si="3"/>
        <v>0.99692388794009235</v>
      </c>
      <c r="AB10">
        <f t="shared" ca="1" si="4"/>
        <v>0</v>
      </c>
      <c r="AC10" t="e">
        <f t="shared" ca="1" si="5"/>
        <v>#N/A</v>
      </c>
      <c r="AD10" t="e">
        <f t="shared" ca="1" si="6"/>
        <v>#N/A</v>
      </c>
    </row>
    <row r="11" spans="1:30" x14ac:dyDescent="0.2">
      <c r="A11">
        <f t="shared" si="7"/>
        <v>6</v>
      </c>
      <c r="B11">
        <f t="shared" ca="1" si="8"/>
        <v>0.64619822678086014</v>
      </c>
      <c r="C11">
        <f t="shared" ca="1" si="9"/>
        <v>6.2257016564199121</v>
      </c>
      <c r="D11">
        <f t="shared" ca="1" si="10"/>
        <v>0.64513088168689781</v>
      </c>
      <c r="E11">
        <f t="shared" ca="1" si="11"/>
        <v>-3.712537930599355E-2</v>
      </c>
      <c r="V11">
        <v>6</v>
      </c>
      <c r="W11">
        <f t="shared" ca="1" si="0"/>
        <v>0.64513088168689781</v>
      </c>
      <c r="X11">
        <f t="shared" ca="1" si="1"/>
        <v>-3.712537930599355E-2</v>
      </c>
      <c r="Y11">
        <f>'uniforme cercle (rejet)'!AJ15</f>
        <v>0</v>
      </c>
      <c r="Z11">
        <f t="shared" ca="1" si="2"/>
        <v>0.42992481373227098</v>
      </c>
      <c r="AA11">
        <f t="shared" ca="1" si="3"/>
        <v>0.55638713672570084</v>
      </c>
      <c r="AB11">
        <f t="shared" ca="1" si="4"/>
        <v>1</v>
      </c>
      <c r="AC11">
        <f t="shared" ca="1" si="5"/>
        <v>0.64513088168689781</v>
      </c>
      <c r="AD11">
        <f t="shared" ca="1" si="6"/>
        <v>-3.712537930599355E-2</v>
      </c>
    </row>
    <row r="12" spans="1:30" x14ac:dyDescent="0.2">
      <c r="A12">
        <f t="shared" si="7"/>
        <v>7</v>
      </c>
      <c r="B12">
        <f t="shared" ca="1" si="8"/>
        <v>5.522130106999712E-2</v>
      </c>
      <c r="C12">
        <f t="shared" ca="1" si="9"/>
        <v>1.3222243491708172</v>
      </c>
      <c r="D12">
        <f t="shared" ca="1" si="10"/>
        <v>1.3585548843291896E-2</v>
      </c>
      <c r="E12">
        <f t="shared" ca="1" si="11"/>
        <v>5.3524059585291134E-2</v>
      </c>
      <c r="V12">
        <v>7</v>
      </c>
      <c r="W12">
        <f t="shared" ca="1" si="0"/>
        <v>1.3585548843291896E-2</v>
      </c>
      <c r="X12">
        <f t="shared" ca="1" si="1"/>
        <v>5.3524059585291134E-2</v>
      </c>
      <c r="Y12">
        <f>'uniforme cercle (rejet)'!AJ16</f>
        <v>0</v>
      </c>
      <c r="Z12">
        <f t="shared" ca="1" si="2"/>
        <v>4.7453659202624947E-2</v>
      </c>
      <c r="AA12">
        <f t="shared" ca="1" si="3"/>
        <v>0.66025736168806193</v>
      </c>
      <c r="AB12">
        <f t="shared" ca="1" si="4"/>
        <v>0</v>
      </c>
      <c r="AC12" t="e">
        <f t="shared" ca="1" si="5"/>
        <v>#N/A</v>
      </c>
      <c r="AD12" t="e">
        <f t="shared" ca="1" si="6"/>
        <v>#N/A</v>
      </c>
    </row>
    <row r="13" spans="1:30" x14ac:dyDescent="0.2">
      <c r="A13">
        <f t="shared" si="7"/>
        <v>8</v>
      </c>
      <c r="B13">
        <f t="shared" ca="1" si="8"/>
        <v>0.27683319082341906</v>
      </c>
      <c r="C13">
        <f t="shared" ca="1" si="9"/>
        <v>0.9127591136000146</v>
      </c>
      <c r="D13">
        <f t="shared" ca="1" si="10"/>
        <v>0.16930151404703639</v>
      </c>
      <c r="E13">
        <f t="shared" ca="1" si="11"/>
        <v>0.21902879464320826</v>
      </c>
      <c r="V13">
        <v>8</v>
      </c>
      <c r="W13">
        <f t="shared" ca="1" si="0"/>
        <v>0.16930151404703639</v>
      </c>
      <c r="X13">
        <f t="shared" ca="1" si="1"/>
        <v>0.21902879464320826</v>
      </c>
      <c r="Y13">
        <f>'uniforme cercle (rejet)'!AJ17</f>
        <v>0</v>
      </c>
      <c r="Z13">
        <f t="shared" ca="1" si="2"/>
        <v>0.27459099461513725</v>
      </c>
      <c r="AA13">
        <f t="shared" ca="1" si="3"/>
        <v>0.43394274605209254</v>
      </c>
      <c r="AB13">
        <f t="shared" ca="1" si="4"/>
        <v>1</v>
      </c>
      <c r="AC13">
        <f t="shared" ca="1" si="5"/>
        <v>0.16930151404703639</v>
      </c>
      <c r="AD13">
        <f t="shared" ca="1" si="6"/>
        <v>0.21902879464320826</v>
      </c>
    </row>
    <row r="14" spans="1:30" x14ac:dyDescent="0.2">
      <c r="A14">
        <f t="shared" si="7"/>
        <v>9</v>
      </c>
      <c r="B14">
        <f t="shared" ca="1" si="8"/>
        <v>0.70460720903118279</v>
      </c>
      <c r="C14">
        <f t="shared" ca="1" si="9"/>
        <v>4.6168915156780086</v>
      </c>
      <c r="D14">
        <f t="shared" ca="1" si="10"/>
        <v>-6.7185973262520779E-2</v>
      </c>
      <c r="E14">
        <f t="shared" ca="1" si="11"/>
        <v>-0.70139672369884987</v>
      </c>
      <c r="V14">
        <v>9</v>
      </c>
      <c r="W14">
        <f t="shared" ca="1" si="0"/>
        <v>-6.7185973262520779E-2</v>
      </c>
      <c r="X14">
        <f t="shared" ca="1" si="1"/>
        <v>-0.70139672369884987</v>
      </c>
      <c r="Y14">
        <f>'uniforme cercle (rejet)'!AJ18</f>
        <v>0</v>
      </c>
      <c r="Z14">
        <f t="shared" ca="1" si="2"/>
        <v>0.54347003692403051</v>
      </c>
      <c r="AA14">
        <f t="shared" ca="1" si="3"/>
        <v>1.3285533545853865</v>
      </c>
      <c r="AB14">
        <f t="shared" ca="1" si="4"/>
        <v>0</v>
      </c>
      <c r="AC14" t="e">
        <f t="shared" ca="1" si="5"/>
        <v>#N/A</v>
      </c>
      <c r="AD14" t="e">
        <f t="shared" ca="1" si="6"/>
        <v>#N/A</v>
      </c>
    </row>
    <row r="15" spans="1:30" x14ac:dyDescent="0.2">
      <c r="A15">
        <f t="shared" si="7"/>
        <v>10</v>
      </c>
      <c r="B15">
        <f t="shared" ca="1" si="8"/>
        <v>0.48700706177639541</v>
      </c>
      <c r="C15">
        <f t="shared" ca="1" si="9"/>
        <v>4.9632192990094719</v>
      </c>
      <c r="D15">
        <f t="shared" ca="1" si="10"/>
        <v>0.12087923380721632</v>
      </c>
      <c r="E15">
        <f t="shared" ca="1" si="11"/>
        <v>-0.47176698597322192</v>
      </c>
      <c r="V15">
        <v>10</v>
      </c>
      <c r="W15">
        <f t="shared" ca="1" si="0"/>
        <v>0.12087923380721632</v>
      </c>
      <c r="X15">
        <f t="shared" ca="1" si="1"/>
        <v>-0.47176698597322192</v>
      </c>
      <c r="Y15">
        <f>'uniforme cercle (rejet)'!AJ19</f>
        <v>0</v>
      </c>
      <c r="Z15">
        <f t="shared" ca="1" si="2"/>
        <v>0.24811510899188724</v>
      </c>
      <c r="AA15">
        <f t="shared" ca="1" si="3"/>
        <v>1.0431028858104474</v>
      </c>
      <c r="AB15">
        <f t="shared" ca="1" si="4"/>
        <v>0</v>
      </c>
      <c r="AC15" t="e">
        <f t="shared" ca="1" si="5"/>
        <v>#N/A</v>
      </c>
      <c r="AD15" t="e">
        <f t="shared" ca="1" si="6"/>
        <v>#N/A</v>
      </c>
    </row>
    <row r="16" spans="1:30" x14ac:dyDescent="0.2">
      <c r="A16">
        <f t="shared" si="7"/>
        <v>11</v>
      </c>
      <c r="B16">
        <f t="shared" ca="1" si="8"/>
        <v>0.63828116768632592</v>
      </c>
      <c r="C16">
        <f t="shared" ca="1" si="9"/>
        <v>5.436276036731444</v>
      </c>
      <c r="D16">
        <f t="shared" ca="1" si="10"/>
        <v>0.42273489038491241</v>
      </c>
      <c r="E16">
        <f t="shared" ca="1" si="11"/>
        <v>-0.47822386125566324</v>
      </c>
      <c r="V16">
        <v>11</v>
      </c>
      <c r="W16">
        <f t="shared" ca="1" si="0"/>
        <v>0.42273489038491241</v>
      </c>
      <c r="X16">
        <f t="shared" ca="1" si="1"/>
        <v>-0.47822386125566324</v>
      </c>
      <c r="Y16">
        <f>'uniforme cercle (rejet)'!AJ20</f>
        <v>0</v>
      </c>
      <c r="Z16">
        <f t="shared" ca="1" si="2"/>
        <v>3.9236627583770722E-2</v>
      </c>
      <c r="AA16">
        <f t="shared" ca="1" si="3"/>
        <v>0.98127051310725255</v>
      </c>
      <c r="AB16">
        <f t="shared" ca="1" si="4"/>
        <v>0</v>
      </c>
      <c r="AC16" t="e">
        <f t="shared" ca="1" si="5"/>
        <v>#N/A</v>
      </c>
      <c r="AD16" t="e">
        <f t="shared" ca="1" si="6"/>
        <v>#N/A</v>
      </c>
    </row>
    <row r="17" spans="1:30" x14ac:dyDescent="0.2">
      <c r="A17">
        <f t="shared" si="7"/>
        <v>12</v>
      </c>
      <c r="B17">
        <f t="shared" ca="1" si="8"/>
        <v>0.57211982272148354</v>
      </c>
      <c r="C17">
        <f t="shared" ca="1" si="9"/>
        <v>1.3663780698708348</v>
      </c>
      <c r="D17">
        <f t="shared" ca="1" si="10"/>
        <v>0.11613893006661681</v>
      </c>
      <c r="E17">
        <f t="shared" ca="1" si="11"/>
        <v>0.56020785470559342</v>
      </c>
      <c r="V17">
        <v>12</v>
      </c>
      <c r="W17">
        <f t="shared" ca="1" si="0"/>
        <v>0.11613893006661681</v>
      </c>
      <c r="X17">
        <f t="shared" ca="1" si="1"/>
        <v>0.56020785470559342</v>
      </c>
      <c r="Y17">
        <f>'uniforme cercle (rejet)'!AJ21</f>
        <v>0</v>
      </c>
      <c r="Z17">
        <f t="shared" ca="1" si="2"/>
        <v>0.47824939794614818</v>
      </c>
      <c r="AA17">
        <f t="shared" ca="1" si="3"/>
        <v>0.38855412335819006</v>
      </c>
      <c r="AB17">
        <f t="shared" ca="1" si="4"/>
        <v>1</v>
      </c>
      <c r="AC17">
        <f t="shared" ca="1" si="5"/>
        <v>0.11613893006661681</v>
      </c>
      <c r="AD17">
        <f t="shared" ca="1" si="6"/>
        <v>0.56020785470559342</v>
      </c>
    </row>
    <row r="18" spans="1:30" x14ac:dyDescent="0.2">
      <c r="A18">
        <f t="shared" si="7"/>
        <v>13</v>
      </c>
      <c r="B18">
        <f t="shared" ca="1" si="8"/>
        <v>3.5106746735129812E-2</v>
      </c>
      <c r="C18">
        <f t="shared" ca="1" si="9"/>
        <v>0.1609779191343651</v>
      </c>
      <c r="D18">
        <f t="shared" ca="1" si="10"/>
        <v>3.4652851993549089E-2</v>
      </c>
      <c r="E18">
        <f t="shared" ca="1" si="11"/>
        <v>5.6270343021638716E-3</v>
      </c>
      <c r="V18">
        <v>13</v>
      </c>
      <c r="W18">
        <f t="shared" ca="1" si="0"/>
        <v>3.4652851993549089E-2</v>
      </c>
      <c r="X18">
        <f t="shared" ca="1" si="1"/>
        <v>5.6270343021638716E-3</v>
      </c>
      <c r="Y18">
        <f>'uniforme cercle (rejet)'!AJ22</f>
        <v>0</v>
      </c>
      <c r="Z18">
        <f t="shared" ca="1" si="2"/>
        <v>2.8482180745121721E-2</v>
      </c>
      <c r="AA18">
        <f t="shared" ca="1" si="3"/>
        <v>0.67893489921391692</v>
      </c>
      <c r="AB18">
        <f t="shared" ca="1" si="4"/>
        <v>0</v>
      </c>
      <c r="AC18" t="e">
        <f t="shared" ca="1" si="5"/>
        <v>#N/A</v>
      </c>
      <c r="AD18" t="e">
        <f t="shared" ca="1" si="6"/>
        <v>#N/A</v>
      </c>
    </row>
    <row r="19" spans="1:30" x14ac:dyDescent="0.2">
      <c r="A19">
        <f t="shared" si="7"/>
        <v>14</v>
      </c>
      <c r="B19">
        <f t="shared" ca="1" si="8"/>
        <v>0.16521873132404663</v>
      </c>
      <c r="C19">
        <f t="shared" ca="1" si="9"/>
        <v>5.375865803144495</v>
      </c>
      <c r="D19">
        <f t="shared" ca="1" si="10"/>
        <v>0.10175157543167272</v>
      </c>
      <c r="E19">
        <f t="shared" ca="1" si="11"/>
        <v>-0.13016852952038799</v>
      </c>
      <c r="V19">
        <v>14</v>
      </c>
      <c r="W19">
        <f t="shared" ca="1" si="0"/>
        <v>0.10175157543167272</v>
      </c>
      <c r="X19">
        <f t="shared" ca="1" si="1"/>
        <v>-0.13016852952038799</v>
      </c>
      <c r="Y19">
        <f>'uniforme cercle (rejet)'!AJ23</f>
        <v>0</v>
      </c>
      <c r="Z19">
        <f t="shared" ca="1" si="2"/>
        <v>2.009382093679735E-2</v>
      </c>
      <c r="AA19">
        <f t="shared" ca="1" si="3"/>
        <v>0.74546239561029692</v>
      </c>
      <c r="AB19">
        <f t="shared" ca="1" si="4"/>
        <v>0</v>
      </c>
      <c r="AC19" t="e">
        <f t="shared" ca="1" si="5"/>
        <v>#N/A</v>
      </c>
      <c r="AD19" t="e">
        <f t="shared" ca="1" si="6"/>
        <v>#N/A</v>
      </c>
    </row>
    <row r="20" spans="1:30" x14ac:dyDescent="0.2">
      <c r="A20">
        <f t="shared" si="7"/>
        <v>15</v>
      </c>
      <c r="B20">
        <f t="shared" ca="1" si="8"/>
        <v>0.26567449363077578</v>
      </c>
      <c r="C20">
        <f t="shared" ca="1" si="9"/>
        <v>0.54951318880371247</v>
      </c>
      <c r="D20">
        <f t="shared" ca="1" si="10"/>
        <v>0.22656159473907919</v>
      </c>
      <c r="E20">
        <f t="shared" ca="1" si="11"/>
        <v>0.13875438859817865</v>
      </c>
      <c r="V20">
        <v>15</v>
      </c>
      <c r="W20">
        <f t="shared" ca="1" si="0"/>
        <v>0.22656159473907919</v>
      </c>
      <c r="X20">
        <f t="shared" ca="1" si="1"/>
        <v>0.13875438859817865</v>
      </c>
      <c r="Y20">
        <f>'uniforme cercle (rejet)'!AJ24</f>
        <v>0</v>
      </c>
      <c r="Z20">
        <f t="shared" ca="1" si="2"/>
        <v>0.25831740909360679</v>
      </c>
      <c r="AA20">
        <f t="shared" ca="1" si="3"/>
        <v>0.4530639615205686</v>
      </c>
      <c r="AB20">
        <f t="shared" ca="1" si="4"/>
        <v>1</v>
      </c>
      <c r="AC20">
        <f t="shared" ca="1" si="5"/>
        <v>0.22656159473907919</v>
      </c>
      <c r="AD20">
        <f t="shared" ca="1" si="6"/>
        <v>0.13875438859817865</v>
      </c>
    </row>
    <row r="21" spans="1:30" x14ac:dyDescent="0.2">
      <c r="A21">
        <f t="shared" si="7"/>
        <v>16</v>
      </c>
      <c r="B21">
        <f t="shared" ca="1" si="8"/>
        <v>0.60970059890782569</v>
      </c>
      <c r="C21">
        <f t="shared" ca="1" si="9"/>
        <v>0.59924521897580685</v>
      </c>
      <c r="D21">
        <f t="shared" ca="1" si="10"/>
        <v>0.50346731841812764</v>
      </c>
      <c r="E21">
        <f t="shared" ca="1" si="11"/>
        <v>0.34388294460967539</v>
      </c>
      <c r="V21">
        <v>16</v>
      </c>
      <c r="W21">
        <f t="shared" ca="1" si="0"/>
        <v>0.50346731841812764</v>
      </c>
      <c r="X21">
        <f t="shared" ca="1" si="1"/>
        <v>0.34388294460967539</v>
      </c>
      <c r="Y21">
        <f>'uniforme cercle (rejet)'!AJ25</f>
        <v>0</v>
      </c>
      <c r="Z21">
        <f t="shared" ca="1" si="2"/>
        <v>0.59916711702716419</v>
      </c>
      <c r="AA21">
        <f t="shared" ca="1" si="3"/>
        <v>0.15615555475473286</v>
      </c>
      <c r="AB21">
        <f t="shared" ca="1" si="4"/>
        <v>0</v>
      </c>
      <c r="AC21" t="e">
        <f t="shared" ca="1" si="5"/>
        <v>#N/A</v>
      </c>
      <c r="AD21" t="e">
        <f t="shared" ca="1" si="6"/>
        <v>#N/A</v>
      </c>
    </row>
    <row r="22" spans="1:30" x14ac:dyDescent="0.2">
      <c r="A22">
        <f t="shared" si="7"/>
        <v>17</v>
      </c>
      <c r="B22">
        <f t="shared" ca="1" si="8"/>
        <v>0.49752492193119835</v>
      </c>
      <c r="C22">
        <f t="shared" ca="1" si="9"/>
        <v>1.5180188767473288</v>
      </c>
      <c r="D22">
        <f t="shared" ca="1" si="10"/>
        <v>2.6245908269297187E-2</v>
      </c>
      <c r="E22">
        <f t="shared" ca="1" si="11"/>
        <v>0.49683216506358024</v>
      </c>
      <c r="V22">
        <v>17</v>
      </c>
      <c r="W22">
        <f t="shared" ca="1" si="0"/>
        <v>2.6245908269297187E-2</v>
      </c>
      <c r="X22">
        <f t="shared" ca="1" si="1"/>
        <v>0.49683216506358024</v>
      </c>
      <c r="Y22">
        <f>'uniforme cercle (rejet)'!AJ26</f>
        <v>0</v>
      </c>
      <c r="Z22">
        <f t="shared" ca="1" si="2"/>
        <v>0.36987205274367185</v>
      </c>
      <c r="AA22">
        <f t="shared" ca="1" si="3"/>
        <v>0.47376468273792594</v>
      </c>
      <c r="AB22">
        <f t="shared" ca="1" si="4"/>
        <v>1</v>
      </c>
      <c r="AC22">
        <f t="shared" ca="1" si="5"/>
        <v>2.6245908269297187E-2</v>
      </c>
      <c r="AD22">
        <f t="shared" ca="1" si="6"/>
        <v>0.49683216506358024</v>
      </c>
    </row>
    <row r="23" spans="1:30" x14ac:dyDescent="0.2">
      <c r="A23">
        <f t="shared" si="7"/>
        <v>18</v>
      </c>
      <c r="B23">
        <f t="shared" ca="1" si="8"/>
        <v>0.75471226271655678</v>
      </c>
      <c r="C23">
        <f t="shared" ca="1" si="9"/>
        <v>2.369646322443149</v>
      </c>
      <c r="D23">
        <f t="shared" ca="1" si="10"/>
        <v>-0.54079239331801443</v>
      </c>
      <c r="E23">
        <f t="shared" ca="1" si="11"/>
        <v>0.52643535863780933</v>
      </c>
      <c r="V23">
        <v>18</v>
      </c>
      <c r="W23">
        <f t="shared" ca="1" si="0"/>
        <v>-0.54079239331801443</v>
      </c>
      <c r="X23">
        <f t="shared" ca="1" si="1"/>
        <v>0.52643535863780933</v>
      </c>
      <c r="Y23">
        <f>'uniforme cercle (rejet)'!AJ27</f>
        <v>0</v>
      </c>
      <c r="Z23">
        <f t="shared" ca="1" si="2"/>
        <v>1.0151956580103465E-2</v>
      </c>
      <c r="AA23">
        <f t="shared" ca="1" si="3"/>
        <v>1.0411280584899005</v>
      </c>
      <c r="AB23">
        <f t="shared" ca="1" si="4"/>
        <v>0</v>
      </c>
      <c r="AC23" t="e">
        <f t="shared" ca="1" si="5"/>
        <v>#N/A</v>
      </c>
      <c r="AD23" t="e">
        <f t="shared" ca="1" si="6"/>
        <v>#N/A</v>
      </c>
    </row>
    <row r="24" spans="1:30" x14ac:dyDescent="0.2">
      <c r="A24">
        <f t="shared" si="7"/>
        <v>19</v>
      </c>
      <c r="B24">
        <f t="shared" ca="1" si="8"/>
        <v>0.19778828408373339</v>
      </c>
      <c r="C24">
        <f t="shared" ca="1" si="9"/>
        <v>0.60499925655876408</v>
      </c>
      <c r="D24">
        <f t="shared" ca="1" si="10"/>
        <v>0.16268136217896645</v>
      </c>
      <c r="E24">
        <f t="shared" ca="1" si="11"/>
        <v>0.11249435417114748</v>
      </c>
      <c r="V24">
        <v>19</v>
      </c>
      <c r="W24">
        <f t="shared" ca="1" si="0"/>
        <v>0.16268136217896645</v>
      </c>
      <c r="X24">
        <f t="shared" ca="1" si="1"/>
        <v>0.11249435417114748</v>
      </c>
      <c r="Y24">
        <f>'uniforme cercle (rejet)'!AJ28</f>
        <v>0</v>
      </c>
      <c r="Z24">
        <f t="shared" ca="1" si="2"/>
        <v>0.19457861504903151</v>
      </c>
      <c r="AA24">
        <f t="shared" ca="1" si="3"/>
        <v>0.51375528120952074</v>
      </c>
      <c r="AB24">
        <f t="shared" ca="1" si="4"/>
        <v>1</v>
      </c>
      <c r="AC24">
        <f t="shared" ca="1" si="5"/>
        <v>0.16268136217896645</v>
      </c>
      <c r="AD24">
        <f t="shared" ca="1" si="6"/>
        <v>0.11249435417114748</v>
      </c>
    </row>
    <row r="25" spans="1:30" x14ac:dyDescent="0.2">
      <c r="A25">
        <f t="shared" si="7"/>
        <v>20</v>
      </c>
      <c r="B25">
        <f t="shared" ca="1" si="8"/>
        <v>0.32635464648263601</v>
      </c>
      <c r="C25">
        <f t="shared" ca="1" si="9"/>
        <v>6.8129924669903544E-2</v>
      </c>
      <c r="D25">
        <f t="shared" ca="1" si="10"/>
        <v>0.32559752141155052</v>
      </c>
      <c r="E25">
        <f t="shared" ca="1" si="11"/>
        <v>2.221732052839058E-2</v>
      </c>
      <c r="V25">
        <v>20</v>
      </c>
      <c r="W25">
        <f t="shared" ca="1" si="0"/>
        <v>0.32559752141155052</v>
      </c>
      <c r="X25">
        <f t="shared" ca="1" si="1"/>
        <v>2.221732052839058E-2</v>
      </c>
      <c r="Y25">
        <f>'uniforme cercle (rejet)'!AJ29</f>
        <v>0</v>
      </c>
      <c r="Z25">
        <f t="shared" ca="1" si="2"/>
        <v>0.24594223333305953</v>
      </c>
      <c r="AA25">
        <f t="shared" ca="1" si="3"/>
        <v>0.50861823929236483</v>
      </c>
      <c r="AB25">
        <f t="shared" ca="1" si="4"/>
        <v>1</v>
      </c>
      <c r="AC25">
        <f t="shared" ca="1" si="5"/>
        <v>0.32559752141155052</v>
      </c>
      <c r="AD25">
        <f t="shared" ca="1" si="6"/>
        <v>2.221732052839058E-2</v>
      </c>
    </row>
    <row r="26" spans="1:30" x14ac:dyDescent="0.2">
      <c r="A26">
        <f t="shared" si="7"/>
        <v>21</v>
      </c>
      <c r="B26">
        <f t="shared" ca="1" si="8"/>
        <v>0.46557450370223574</v>
      </c>
      <c r="C26">
        <f t="shared" ca="1" si="9"/>
        <v>2.5581209774414035</v>
      </c>
      <c r="D26">
        <f t="shared" ca="1" si="10"/>
        <v>-0.38854755385104556</v>
      </c>
      <c r="E26">
        <f t="shared" ca="1" si="11"/>
        <v>0.25649642666897321</v>
      </c>
      <c r="V26">
        <v>21</v>
      </c>
      <c r="W26">
        <f t="shared" ca="1" si="0"/>
        <v>-0.38854755385104556</v>
      </c>
      <c r="X26">
        <f t="shared" ca="1" si="1"/>
        <v>0.25649642666897321</v>
      </c>
      <c r="Y26">
        <f>'uniforme cercle (rejet)'!AJ30</f>
        <v>0</v>
      </c>
      <c r="Z26">
        <f t="shared" ca="1" si="2"/>
        <v>9.3374247493770601E-2</v>
      </c>
      <c r="AA26">
        <f t="shared" ca="1" si="3"/>
        <v>0.92130925626504778</v>
      </c>
      <c r="AB26">
        <f t="shared" ca="1" si="4"/>
        <v>0</v>
      </c>
      <c r="AC26" t="e">
        <f t="shared" ca="1" si="5"/>
        <v>#N/A</v>
      </c>
      <c r="AD26" t="e">
        <f t="shared" ca="1" si="6"/>
        <v>#N/A</v>
      </c>
    </row>
    <row r="27" spans="1:30" x14ac:dyDescent="0.2">
      <c r="A27">
        <f t="shared" si="7"/>
        <v>22</v>
      </c>
      <c r="B27">
        <f t="shared" ca="1" si="8"/>
        <v>0.14269756099975617</v>
      </c>
      <c r="C27">
        <f t="shared" ca="1" si="9"/>
        <v>2.6870607543135385</v>
      </c>
      <c r="D27">
        <f t="shared" ca="1" si="10"/>
        <v>-0.12820899850804993</v>
      </c>
      <c r="E27">
        <f t="shared" ca="1" si="11"/>
        <v>6.2650192472505487E-2</v>
      </c>
      <c r="V27">
        <v>22</v>
      </c>
      <c r="W27">
        <f t="shared" ca="1" si="0"/>
        <v>-0.12820899850804993</v>
      </c>
      <c r="X27">
        <f t="shared" ca="1" si="1"/>
        <v>6.2650192472505487E-2</v>
      </c>
      <c r="Y27">
        <f>'uniforme cercle (rejet)'!AJ31</f>
        <v>0</v>
      </c>
      <c r="Z27">
        <f t="shared" ca="1" si="2"/>
        <v>4.635707631422703E-2</v>
      </c>
      <c r="AA27">
        <f t="shared" ca="1" si="3"/>
        <v>0.76545502803941634</v>
      </c>
      <c r="AB27">
        <f t="shared" ca="1" si="4"/>
        <v>0</v>
      </c>
      <c r="AC27" t="e">
        <f t="shared" ca="1" si="5"/>
        <v>#N/A</v>
      </c>
      <c r="AD27" t="e">
        <f t="shared" ca="1" si="6"/>
        <v>#N/A</v>
      </c>
    </row>
    <row r="28" spans="1:30" x14ac:dyDescent="0.2">
      <c r="A28">
        <f t="shared" si="7"/>
        <v>23</v>
      </c>
      <c r="B28">
        <f t="shared" ca="1" si="8"/>
        <v>0.15310589489248994</v>
      </c>
      <c r="C28">
        <f t="shared" ca="1" si="9"/>
        <v>2.5147963824477562</v>
      </c>
      <c r="D28">
        <f t="shared" ca="1" si="10"/>
        <v>-0.12400212063444564</v>
      </c>
      <c r="E28">
        <f t="shared" ca="1" si="11"/>
        <v>8.9804727765249462E-2</v>
      </c>
      <c r="V28">
        <v>23</v>
      </c>
      <c r="W28">
        <f t="shared" ca="1" si="0"/>
        <v>-0.12400212063444564</v>
      </c>
      <c r="X28">
        <f t="shared" ca="1" si="1"/>
        <v>8.9804727765249462E-2</v>
      </c>
      <c r="Y28">
        <f>'uniforme cercle (rejet)'!AJ32</f>
        <v>0</v>
      </c>
      <c r="Z28">
        <f t="shared" ca="1" si="2"/>
        <v>2.4181208396709102E-2</v>
      </c>
      <c r="AA28">
        <f t="shared" ca="1" si="3"/>
        <v>0.74675217302665164</v>
      </c>
      <c r="AB28">
        <f t="shared" ca="1" si="4"/>
        <v>0</v>
      </c>
      <c r="AC28" t="e">
        <f t="shared" ca="1" si="5"/>
        <v>#N/A</v>
      </c>
      <c r="AD28" t="e">
        <f t="shared" ca="1" si="6"/>
        <v>#N/A</v>
      </c>
    </row>
    <row r="29" spans="1:30" x14ac:dyDescent="0.2">
      <c r="A29">
        <f t="shared" si="7"/>
        <v>24</v>
      </c>
      <c r="B29">
        <f t="shared" ca="1" si="8"/>
        <v>0.43033495066813932</v>
      </c>
      <c r="C29">
        <f t="shared" ca="1" si="9"/>
        <v>4.9691217703410517</v>
      </c>
      <c r="D29">
        <f t="shared" ca="1" si="10"/>
        <v>0.1092714193999844</v>
      </c>
      <c r="E29">
        <f t="shared" ca="1" si="11"/>
        <v>-0.41623061716897114</v>
      </c>
      <c r="V29">
        <v>24</v>
      </c>
      <c r="W29">
        <f t="shared" ca="1" si="0"/>
        <v>0.1092714193999844</v>
      </c>
      <c r="X29">
        <f t="shared" ca="1" si="1"/>
        <v>-0.41623061716897114</v>
      </c>
      <c r="Y29">
        <f>'uniforme cercle (rejet)'!AJ33</f>
        <v>0</v>
      </c>
      <c r="Z29">
        <f t="shared" ca="1" si="2"/>
        <v>0.21705293029003306</v>
      </c>
      <c r="AA29">
        <f t="shared" ca="1" si="3"/>
        <v>0.99606594537487159</v>
      </c>
      <c r="AB29">
        <f t="shared" ca="1" si="4"/>
        <v>0</v>
      </c>
      <c r="AC29" t="e">
        <f t="shared" ca="1" si="5"/>
        <v>#N/A</v>
      </c>
      <c r="AD29" t="e">
        <f t="shared" ca="1" si="6"/>
        <v>#N/A</v>
      </c>
    </row>
    <row r="30" spans="1:30" x14ac:dyDescent="0.2">
      <c r="A30">
        <f t="shared" ref="A30:A93" si="12">1+A29</f>
        <v>25</v>
      </c>
      <c r="B30">
        <f t="shared" ca="1" si="8"/>
        <v>0.6323240721000386</v>
      </c>
      <c r="C30">
        <f t="shared" ca="1" si="9"/>
        <v>1.1796783100543875</v>
      </c>
      <c r="D30">
        <f t="shared" ref="D30:D93" ca="1" si="13">B30*COS(C30)</f>
        <v>0.24105599987359078</v>
      </c>
      <c r="E30">
        <f t="shared" ref="E30:E93" ca="1" si="14">B30*SIN(C30)</f>
        <v>0.58457312381097215</v>
      </c>
      <c r="H30" t="s">
        <v>17</v>
      </c>
      <c r="V30">
        <v>25</v>
      </c>
      <c r="W30">
        <f t="shared" ca="1" si="0"/>
        <v>0.24105599987359078</v>
      </c>
      <c r="X30">
        <f t="shared" ca="1" si="1"/>
        <v>0.58457312381097215</v>
      </c>
      <c r="Y30">
        <f>'uniforme cercle (rejet)'!AJ34</f>
        <v>0</v>
      </c>
      <c r="Z30">
        <f t="shared" ca="1" si="2"/>
        <v>0.58380795210246117</v>
      </c>
      <c r="AA30">
        <f t="shared" ca="1" si="3"/>
        <v>0.27240522842378018</v>
      </c>
      <c r="AB30">
        <f t="shared" ca="1" si="4"/>
        <v>1</v>
      </c>
      <c r="AC30">
        <f t="shared" ca="1" si="5"/>
        <v>0.24105599987359078</v>
      </c>
      <c r="AD30">
        <f t="shared" ca="1" si="6"/>
        <v>0.58457312381097215</v>
      </c>
    </row>
    <row r="31" spans="1:30" x14ac:dyDescent="0.2">
      <c r="A31">
        <f t="shared" si="12"/>
        <v>26</v>
      </c>
      <c r="B31">
        <f t="shared" ca="1" si="8"/>
        <v>0.61858995395128125</v>
      </c>
      <c r="C31">
        <f t="shared" ca="1" si="9"/>
        <v>4.6495313915046381</v>
      </c>
      <c r="D31">
        <f t="shared" ca="1" si="13"/>
        <v>-3.8857473069483471E-2</v>
      </c>
      <c r="E31">
        <f t="shared" ca="1" si="14"/>
        <v>-0.61736830815656762</v>
      </c>
      <c r="H31" t="s">
        <v>18</v>
      </c>
      <c r="I31">
        <v>0</v>
      </c>
      <c r="V31">
        <v>26</v>
      </c>
      <c r="W31">
        <f t="shared" ca="1" si="0"/>
        <v>-3.8857473069483471E-2</v>
      </c>
      <c r="X31">
        <f t="shared" ca="1" si="1"/>
        <v>-0.61736830815656762</v>
      </c>
      <c r="Y31">
        <f>'uniforme cercle (rejet)'!AJ35</f>
        <v>0</v>
      </c>
      <c r="Z31">
        <f t="shared" ca="1" si="2"/>
        <v>0.46402169989438052</v>
      </c>
      <c r="AA31">
        <f t="shared" ca="1" si="3"/>
        <v>1.2405157445012536</v>
      </c>
      <c r="AB31">
        <f t="shared" ca="1" si="4"/>
        <v>0</v>
      </c>
      <c r="AC31" t="e">
        <f t="shared" ca="1" si="5"/>
        <v>#N/A</v>
      </c>
      <c r="AD31" t="e">
        <f t="shared" ca="1" si="6"/>
        <v>#N/A</v>
      </c>
    </row>
    <row r="32" spans="1:30" x14ac:dyDescent="0.2">
      <c r="A32">
        <f t="shared" si="12"/>
        <v>27</v>
      </c>
      <c r="B32">
        <f t="shared" ca="1" si="8"/>
        <v>0.86768171103818936</v>
      </c>
      <c r="C32">
        <f t="shared" ca="1" si="9"/>
        <v>5.088768488404507</v>
      </c>
      <c r="D32">
        <f t="shared" ca="1" si="13"/>
        <v>0.31892146530709048</v>
      </c>
      <c r="E32">
        <f t="shared" ca="1" si="14"/>
        <v>-0.80694525876080236</v>
      </c>
      <c r="H32" t="s">
        <v>19</v>
      </c>
      <c r="I32">
        <v>1</v>
      </c>
      <c r="V32">
        <v>27</v>
      </c>
      <c r="W32">
        <f t="shared" ca="1" si="0"/>
        <v>0.31892146530709048</v>
      </c>
      <c r="X32">
        <f t="shared" ca="1" si="1"/>
        <v>-0.80694525876080236</v>
      </c>
      <c r="Y32">
        <f>'uniforme cercle (rejet)'!AJ36</f>
        <v>0</v>
      </c>
      <c r="Z32">
        <f t="shared" ca="1" si="2"/>
        <v>0.34508493373150267</v>
      </c>
      <c r="AA32">
        <f t="shared" ca="1" si="3"/>
        <v>1.3194299318735618</v>
      </c>
      <c r="AB32">
        <f t="shared" ca="1" si="4"/>
        <v>0</v>
      </c>
      <c r="AC32" t="e">
        <f t="shared" ca="1" si="5"/>
        <v>#N/A</v>
      </c>
      <c r="AD32" t="e">
        <f t="shared" ca="1" si="6"/>
        <v>#N/A</v>
      </c>
    </row>
    <row r="33" spans="1:30" x14ac:dyDescent="0.2">
      <c r="A33">
        <f t="shared" si="12"/>
        <v>28</v>
      </c>
      <c r="B33">
        <f t="shared" ca="1" si="8"/>
        <v>0.62379844370330007</v>
      </c>
      <c r="C33">
        <f t="shared" ca="1" si="9"/>
        <v>0.16170600235833638</v>
      </c>
      <c r="D33">
        <f t="shared" ca="1" si="13"/>
        <v>0.61566040017005708</v>
      </c>
      <c r="E33">
        <f t="shared" ca="1" si="14"/>
        <v>0.10043291307686147</v>
      </c>
      <c r="H33" t="s">
        <v>20</v>
      </c>
      <c r="I33">
        <v>11</v>
      </c>
      <c r="V33">
        <v>28</v>
      </c>
      <c r="W33">
        <f t="shared" ca="1" si="0"/>
        <v>0.61566040017005708</v>
      </c>
      <c r="X33">
        <f t="shared" ca="1" si="1"/>
        <v>0.10043291307686147</v>
      </c>
      <c r="Y33">
        <f>'uniforme cercle (rejet)'!AJ37</f>
        <v>0</v>
      </c>
      <c r="Z33">
        <f t="shared" ca="1" si="2"/>
        <v>0.50635443775923872</v>
      </c>
      <c r="AA33">
        <f t="shared" ca="1" si="3"/>
        <v>0.41597017335349978</v>
      </c>
      <c r="AB33">
        <f t="shared" ca="1" si="4"/>
        <v>1</v>
      </c>
      <c r="AC33">
        <f t="shared" ca="1" si="5"/>
        <v>0.61566040017005708</v>
      </c>
      <c r="AD33">
        <f t="shared" ca="1" si="6"/>
        <v>0.10043291307686147</v>
      </c>
    </row>
    <row r="34" spans="1:30" x14ac:dyDescent="0.2">
      <c r="A34">
        <f t="shared" si="12"/>
        <v>29</v>
      </c>
      <c r="B34">
        <f t="shared" ca="1" si="8"/>
        <v>0.86113198955735148</v>
      </c>
      <c r="C34">
        <f t="shared" ca="1" si="9"/>
        <v>5.2659780848689577</v>
      </c>
      <c r="D34">
        <f t="shared" ca="1" si="13"/>
        <v>0.45273467997835992</v>
      </c>
      <c r="E34">
        <f t="shared" ca="1" si="14"/>
        <v>-0.7325159472556857</v>
      </c>
      <c r="H34" t="s">
        <v>21</v>
      </c>
      <c r="I34" t="s">
        <v>22</v>
      </c>
      <c r="J34" t="s">
        <v>23</v>
      </c>
      <c r="K34" t="s">
        <v>24</v>
      </c>
      <c r="V34">
        <v>29</v>
      </c>
      <c r="W34">
        <f t="shared" ca="1" si="0"/>
        <v>0.45273467997835992</v>
      </c>
      <c r="X34">
        <f t="shared" ca="1" si="1"/>
        <v>-0.7325159472556857</v>
      </c>
      <c r="Y34">
        <f>'uniforme cercle (rejet)'!AJ38</f>
        <v>0</v>
      </c>
      <c r="Z34">
        <f t="shared" ca="1" si="2"/>
        <v>0.19783523134076295</v>
      </c>
      <c r="AA34">
        <f t="shared" ca="1" si="3"/>
        <v>1.2334218948584981</v>
      </c>
      <c r="AB34">
        <f t="shared" ca="1" si="4"/>
        <v>0</v>
      </c>
      <c r="AC34" t="e">
        <f t="shared" ca="1" si="5"/>
        <v>#N/A</v>
      </c>
      <c r="AD34" t="e">
        <f t="shared" ca="1" si="6"/>
        <v>#N/A</v>
      </c>
    </row>
    <row r="35" spans="1:30" x14ac:dyDescent="0.2">
      <c r="A35">
        <f t="shared" si="12"/>
        <v>30</v>
      </c>
      <c r="B35">
        <f t="shared" ca="1" si="8"/>
        <v>0.50808409609511263</v>
      </c>
      <c r="C35">
        <f t="shared" ca="1" si="9"/>
        <v>2.5486183460899219</v>
      </c>
      <c r="D35">
        <f t="shared" ca="1" si="13"/>
        <v>-0.42134510579435447</v>
      </c>
      <c r="E35">
        <f t="shared" ca="1" si="14"/>
        <v>0.28393265139453738</v>
      </c>
      <c r="H35">
        <v>0</v>
      </c>
      <c r="I35">
        <f>I$31+H35/(I$33-1)*(I$32-I$31)</f>
        <v>0</v>
      </c>
      <c r="J35">
        <f t="shared" ref="J35:J45" ca="1" si="15">COUNTIF(echantillon,"&lt;="&amp;I35)/COUNT(echantillon)</f>
        <v>0</v>
      </c>
      <c r="K35">
        <f ca="1">J35-0</f>
        <v>0</v>
      </c>
      <c r="V35">
        <v>30</v>
      </c>
      <c r="W35">
        <f t="shared" ca="1" si="0"/>
        <v>-0.42134510579435447</v>
      </c>
      <c r="X35">
        <f t="shared" ca="1" si="1"/>
        <v>0.28393265139453738</v>
      </c>
      <c r="Y35">
        <f>'uniforme cercle (rejet)'!AJ39</f>
        <v>0</v>
      </c>
      <c r="Z35">
        <f t="shared" ca="1" si="2"/>
        <v>9.7165278325597904E-2</v>
      </c>
      <c r="AA35">
        <f t="shared" ca="1" si="3"/>
        <v>0.9463413248424718</v>
      </c>
      <c r="AB35">
        <f t="shared" ca="1" si="4"/>
        <v>0</v>
      </c>
      <c r="AC35" t="e">
        <f t="shared" ca="1" si="5"/>
        <v>#N/A</v>
      </c>
      <c r="AD35" t="e">
        <f t="shared" ca="1" si="6"/>
        <v>#N/A</v>
      </c>
    </row>
    <row r="36" spans="1:30" x14ac:dyDescent="0.2">
      <c r="A36">
        <f t="shared" si="12"/>
        <v>31</v>
      </c>
      <c r="B36">
        <f t="shared" ca="1" si="8"/>
        <v>5.7703908932310588E-3</v>
      </c>
      <c r="C36">
        <f t="shared" ca="1" si="9"/>
        <v>6.0625426360122585</v>
      </c>
      <c r="D36">
        <f t="shared" ca="1" si="13"/>
        <v>5.6304992947927013E-3</v>
      </c>
      <c r="E36">
        <f t="shared" ca="1" si="14"/>
        <v>-1.2628890497675673E-3</v>
      </c>
      <c r="H36">
        <f>H35+1</f>
        <v>1</v>
      </c>
      <c r="I36">
        <f t="shared" ref="I36:I45" si="16">I$31+H36/(I$33-1)*(I$32-I$31)</f>
        <v>0.1</v>
      </c>
      <c r="J36">
        <f t="shared" ca="1" si="15"/>
        <v>7.3999999999999996E-2</v>
      </c>
      <c r="K36">
        <f ca="1">J36-J35</f>
        <v>7.3999999999999996E-2</v>
      </c>
      <c r="V36">
        <v>31</v>
      </c>
      <c r="W36">
        <f t="shared" ca="1" si="0"/>
        <v>5.6304992947927013E-3</v>
      </c>
      <c r="X36">
        <f t="shared" ca="1" si="1"/>
        <v>-1.2628890497675673E-3</v>
      </c>
      <c r="Y36">
        <f>'uniforme cercle (rejet)'!AJ40</f>
        <v>0</v>
      </c>
      <c r="Z36">
        <f t="shared" ca="1" si="2"/>
        <v>3.0883668218371109E-3</v>
      </c>
      <c r="AA36">
        <f t="shared" ca="1" si="3"/>
        <v>0.70403528829600259</v>
      </c>
      <c r="AB36">
        <f t="shared" ca="1" si="4"/>
        <v>0</v>
      </c>
      <c r="AC36" t="e">
        <f t="shared" ca="1" si="5"/>
        <v>#N/A</v>
      </c>
      <c r="AD36" t="e">
        <f t="shared" ca="1" si="6"/>
        <v>#N/A</v>
      </c>
    </row>
    <row r="37" spans="1:30" x14ac:dyDescent="0.2">
      <c r="A37">
        <f t="shared" si="12"/>
        <v>32</v>
      </c>
      <c r="B37">
        <f t="shared" ca="1" si="8"/>
        <v>0.32268243884794301</v>
      </c>
      <c r="C37">
        <f t="shared" ca="1" si="9"/>
        <v>5.6724028430796158</v>
      </c>
      <c r="D37">
        <f t="shared" ca="1" si="13"/>
        <v>0.26434129861488753</v>
      </c>
      <c r="E37">
        <f t="shared" ca="1" si="14"/>
        <v>-0.18506116336890172</v>
      </c>
      <c r="H37">
        <f t="shared" ref="H37:H45" si="17">H36+1</f>
        <v>2</v>
      </c>
      <c r="I37">
        <f t="shared" si="16"/>
        <v>0.2</v>
      </c>
      <c r="J37">
        <f t="shared" ca="1" si="15"/>
        <v>0.16800000000000001</v>
      </c>
      <c r="K37">
        <f t="shared" ref="K37:K45" ca="1" si="18">J37-J36</f>
        <v>9.4000000000000014E-2</v>
      </c>
      <c r="V37">
        <v>32</v>
      </c>
      <c r="W37">
        <f t="shared" ca="1" si="0"/>
        <v>0.26434129861488753</v>
      </c>
      <c r="X37">
        <f t="shared" ca="1" si="1"/>
        <v>-0.18506116336890172</v>
      </c>
      <c r="Y37">
        <f>'uniforme cercle (rejet)'!AJ41</f>
        <v>0</v>
      </c>
      <c r="Z37">
        <f t="shared" ca="1" si="2"/>
        <v>5.6059521245823189E-2</v>
      </c>
      <c r="AA37">
        <f t="shared" ca="1" si="3"/>
        <v>0.72446105560952734</v>
      </c>
      <c r="AB37">
        <f t="shared" ca="1" si="4"/>
        <v>0</v>
      </c>
      <c r="AC37" t="e">
        <f t="shared" ca="1" si="5"/>
        <v>#N/A</v>
      </c>
      <c r="AD37" t="e">
        <f t="shared" ca="1" si="6"/>
        <v>#N/A</v>
      </c>
    </row>
    <row r="38" spans="1:30" x14ac:dyDescent="0.2">
      <c r="A38">
        <f t="shared" si="12"/>
        <v>33</v>
      </c>
      <c r="B38">
        <f t="shared" ca="1" si="8"/>
        <v>0.78453004251713498</v>
      </c>
      <c r="C38">
        <f t="shared" ca="1" si="9"/>
        <v>2.0158214248038209</v>
      </c>
      <c r="D38">
        <f t="shared" ca="1" si="13"/>
        <v>-0.33772491156012335</v>
      </c>
      <c r="E38">
        <f t="shared" ca="1" si="14"/>
        <v>0.7081167076998286</v>
      </c>
      <c r="H38">
        <f t="shared" si="17"/>
        <v>3</v>
      </c>
      <c r="I38">
        <f t="shared" si="16"/>
        <v>0.3</v>
      </c>
      <c r="J38">
        <f t="shared" ca="1" si="15"/>
        <v>0.25600000000000001</v>
      </c>
      <c r="K38">
        <f t="shared" ca="1" si="18"/>
        <v>8.7999999999999995E-2</v>
      </c>
      <c r="V38">
        <v>33</v>
      </c>
      <c r="W38">
        <f t="shared" ca="1" si="0"/>
        <v>-0.33772491156012335</v>
      </c>
      <c r="X38">
        <f t="shared" ca="1" si="1"/>
        <v>0.7081167076998286</v>
      </c>
      <c r="Y38">
        <f>'uniforme cercle (rejet)'!AJ42</f>
        <v>0</v>
      </c>
      <c r="Z38">
        <f t="shared" ca="1" si="2"/>
        <v>0.26190655074625091</v>
      </c>
      <c r="AA38">
        <f t="shared" ca="1" si="3"/>
        <v>0.86318919795849636</v>
      </c>
      <c r="AB38">
        <f t="shared" ca="1" si="4"/>
        <v>0</v>
      </c>
      <c r="AC38" t="e">
        <f t="shared" ca="1" si="5"/>
        <v>#N/A</v>
      </c>
      <c r="AD38" t="e">
        <f t="shared" ca="1" si="6"/>
        <v>#N/A</v>
      </c>
    </row>
    <row r="39" spans="1:30" x14ac:dyDescent="0.2">
      <c r="A39">
        <f t="shared" si="12"/>
        <v>34</v>
      </c>
      <c r="B39">
        <f t="shared" ca="1" si="8"/>
        <v>0.23755413234603084</v>
      </c>
      <c r="C39">
        <f t="shared" ca="1" si="9"/>
        <v>5.7472735516254811</v>
      </c>
      <c r="D39">
        <f t="shared" ca="1" si="13"/>
        <v>0.20424985575167487</v>
      </c>
      <c r="E39">
        <f t="shared" ca="1" si="14"/>
        <v>-0.12130112208918575</v>
      </c>
      <c r="H39">
        <f t="shared" si="17"/>
        <v>4</v>
      </c>
      <c r="I39">
        <f t="shared" si="16"/>
        <v>0.4</v>
      </c>
      <c r="J39">
        <f t="shared" ca="1" si="15"/>
        <v>0.34599999999999997</v>
      </c>
      <c r="K39">
        <f t="shared" ca="1" si="18"/>
        <v>8.9999999999999969E-2</v>
      </c>
      <c r="V39">
        <v>34</v>
      </c>
      <c r="W39">
        <f t="shared" ca="1" si="0"/>
        <v>0.20424985575167487</v>
      </c>
      <c r="X39">
        <f t="shared" ca="1" si="1"/>
        <v>-0.12130112208918575</v>
      </c>
      <c r="Y39">
        <f>'uniforme cercle (rejet)'!AJ43</f>
        <v>0</v>
      </c>
      <c r="Z39">
        <f t="shared" ca="1" si="2"/>
        <v>5.8653612063582904E-2</v>
      </c>
      <c r="AA39">
        <f t="shared" ca="1" si="3"/>
        <v>0.68810117870280274</v>
      </c>
      <c r="AB39">
        <f t="shared" ca="1" si="4"/>
        <v>0</v>
      </c>
      <c r="AC39" t="e">
        <f t="shared" ca="1" si="5"/>
        <v>#N/A</v>
      </c>
      <c r="AD39" t="e">
        <f t="shared" ca="1" si="6"/>
        <v>#N/A</v>
      </c>
    </row>
    <row r="40" spans="1:30" x14ac:dyDescent="0.2">
      <c r="A40">
        <f t="shared" si="12"/>
        <v>35</v>
      </c>
      <c r="B40">
        <f t="shared" ca="1" si="8"/>
        <v>0.67928748411352979</v>
      </c>
      <c r="C40">
        <f t="shared" ca="1" si="9"/>
        <v>5.9812522195511324</v>
      </c>
      <c r="D40">
        <f t="shared" ca="1" si="13"/>
        <v>0.64855885376507882</v>
      </c>
      <c r="E40">
        <f t="shared" ca="1" si="14"/>
        <v>-0.20199727541780377</v>
      </c>
      <c r="H40">
        <f t="shared" si="17"/>
        <v>5</v>
      </c>
      <c r="I40">
        <f t="shared" si="16"/>
        <v>0.5</v>
      </c>
      <c r="J40">
        <f t="shared" ca="1" si="15"/>
        <v>0.47</v>
      </c>
      <c r="K40">
        <f t="shared" ca="1" si="18"/>
        <v>0.124</v>
      </c>
      <c r="V40">
        <v>35</v>
      </c>
      <c r="W40">
        <f t="shared" ca="1" si="0"/>
        <v>0.64855885376507882</v>
      </c>
      <c r="X40">
        <f t="shared" ca="1" si="1"/>
        <v>-0.20199727541780377</v>
      </c>
      <c r="Y40">
        <f>'uniforme cercle (rejet)'!AJ44</f>
        <v>0</v>
      </c>
      <c r="Z40">
        <f t="shared" ca="1" si="2"/>
        <v>0.31576672026672592</v>
      </c>
      <c r="AA40">
        <f t="shared" ca="1" si="3"/>
        <v>0.7175443594134191</v>
      </c>
      <c r="AB40">
        <f t="shared" ca="1" si="4"/>
        <v>0</v>
      </c>
      <c r="AC40" t="e">
        <f t="shared" ca="1" si="5"/>
        <v>#N/A</v>
      </c>
      <c r="AD40" t="e">
        <f t="shared" ca="1" si="6"/>
        <v>#N/A</v>
      </c>
    </row>
    <row r="41" spans="1:30" x14ac:dyDescent="0.2">
      <c r="A41">
        <f t="shared" si="12"/>
        <v>36</v>
      </c>
      <c r="B41">
        <f t="shared" ca="1" si="8"/>
        <v>0.80147046713367165</v>
      </c>
      <c r="C41">
        <f t="shared" ca="1" si="9"/>
        <v>4.0848355658264994</v>
      </c>
      <c r="D41">
        <f t="shared" ca="1" si="13"/>
        <v>-0.47059627910002055</v>
      </c>
      <c r="E41">
        <f t="shared" ca="1" si="14"/>
        <v>-0.64876347907745346</v>
      </c>
      <c r="H41">
        <f t="shared" si="17"/>
        <v>6</v>
      </c>
      <c r="I41">
        <f t="shared" si="16"/>
        <v>0.6</v>
      </c>
      <c r="J41">
        <f t="shared" ca="1" si="15"/>
        <v>0.58399999999999996</v>
      </c>
      <c r="K41">
        <f t="shared" ca="1" si="18"/>
        <v>0.11399999999999999</v>
      </c>
      <c r="V41">
        <v>36</v>
      </c>
      <c r="W41">
        <f t="shared" ca="1" si="0"/>
        <v>-0.47059627910002055</v>
      </c>
      <c r="X41">
        <f t="shared" ca="1" si="1"/>
        <v>-0.64876347907745346</v>
      </c>
      <c r="Y41">
        <f>'uniforme cercle (rejet)'!AJ45</f>
        <v>0</v>
      </c>
      <c r="Z41">
        <f t="shared" ca="1" si="2"/>
        <v>0.79150687559462585</v>
      </c>
      <c r="AA41">
        <f t="shared" ca="1" si="3"/>
        <v>1.5038998197569344</v>
      </c>
      <c r="AB41">
        <f t="shared" ca="1" si="4"/>
        <v>0</v>
      </c>
      <c r="AC41" t="e">
        <f t="shared" ca="1" si="5"/>
        <v>#N/A</v>
      </c>
      <c r="AD41" t="e">
        <f t="shared" ca="1" si="6"/>
        <v>#N/A</v>
      </c>
    </row>
    <row r="42" spans="1:30" x14ac:dyDescent="0.2">
      <c r="A42">
        <f t="shared" si="12"/>
        <v>37</v>
      </c>
      <c r="B42">
        <f t="shared" ca="1" si="8"/>
        <v>3.8153376136069839E-2</v>
      </c>
      <c r="C42">
        <f t="shared" ca="1" si="9"/>
        <v>2.5262525551775674</v>
      </c>
      <c r="D42">
        <f t="shared" ca="1" si="13"/>
        <v>-3.1155176177845495E-2</v>
      </c>
      <c r="E42">
        <f t="shared" ca="1" si="14"/>
        <v>2.2023512615108248E-2</v>
      </c>
      <c r="H42">
        <f t="shared" si="17"/>
        <v>7</v>
      </c>
      <c r="I42">
        <f t="shared" si="16"/>
        <v>0.7</v>
      </c>
      <c r="J42">
        <f t="shared" ca="1" si="15"/>
        <v>0.67600000000000005</v>
      </c>
      <c r="K42">
        <f t="shared" ca="1" si="18"/>
        <v>9.2000000000000082E-2</v>
      </c>
      <c r="V42">
        <v>37</v>
      </c>
      <c r="W42">
        <f t="shared" ca="1" si="0"/>
        <v>-3.1155176177845495E-2</v>
      </c>
      <c r="X42">
        <f t="shared" ca="1" si="1"/>
        <v>2.2023512615108248E-2</v>
      </c>
      <c r="Y42">
        <f>'uniforme cercle (rejet)'!AJ46</f>
        <v>0</v>
      </c>
      <c r="Z42">
        <f t="shared" ca="1" si="2"/>
        <v>6.4570612287256166E-3</v>
      </c>
      <c r="AA42">
        <f t="shared" ca="1" si="3"/>
        <v>0.71455394734989575</v>
      </c>
      <c r="AB42">
        <f t="shared" ca="1" si="4"/>
        <v>0</v>
      </c>
      <c r="AC42" t="e">
        <f t="shared" ca="1" si="5"/>
        <v>#N/A</v>
      </c>
      <c r="AD42" t="e">
        <f t="shared" ca="1" si="6"/>
        <v>#N/A</v>
      </c>
    </row>
    <row r="43" spans="1:30" x14ac:dyDescent="0.2">
      <c r="A43">
        <f t="shared" si="12"/>
        <v>38</v>
      </c>
      <c r="B43">
        <f t="shared" ca="1" si="8"/>
        <v>9.0767352465885187E-2</v>
      </c>
      <c r="C43">
        <f t="shared" ca="1" si="9"/>
        <v>5.3889488408054467</v>
      </c>
      <c r="D43">
        <f t="shared" ca="1" si="13"/>
        <v>5.6830741878443891E-2</v>
      </c>
      <c r="E43">
        <f t="shared" ca="1" si="14"/>
        <v>-7.0774141119563705E-2</v>
      </c>
      <c r="H43">
        <f t="shared" si="17"/>
        <v>8</v>
      </c>
      <c r="I43">
        <f t="shared" si="16"/>
        <v>0.8</v>
      </c>
      <c r="J43">
        <f t="shared" ca="1" si="15"/>
        <v>0.77400000000000002</v>
      </c>
      <c r="K43">
        <f t="shared" ca="1" si="18"/>
        <v>9.7999999999999976E-2</v>
      </c>
      <c r="V43">
        <v>38</v>
      </c>
      <c r="W43">
        <f t="shared" ca="1" si="0"/>
        <v>5.6830741878443891E-2</v>
      </c>
      <c r="X43">
        <f t="shared" ca="1" si="1"/>
        <v>-7.0774141119563705E-2</v>
      </c>
      <c r="Y43">
        <f>'uniforme cercle (rejet)'!AJ47</f>
        <v>0</v>
      </c>
      <c r="Z43">
        <f t="shared" ca="1" si="2"/>
        <v>9.8594721561871823E-3</v>
      </c>
      <c r="AA43">
        <f t="shared" ca="1" si="3"/>
        <v>0.72262169322183101</v>
      </c>
      <c r="AB43">
        <f t="shared" ca="1" si="4"/>
        <v>0</v>
      </c>
      <c r="AC43" t="e">
        <f t="shared" ca="1" si="5"/>
        <v>#N/A</v>
      </c>
      <c r="AD43" t="e">
        <f t="shared" ca="1" si="6"/>
        <v>#N/A</v>
      </c>
    </row>
    <row r="44" spans="1:30" x14ac:dyDescent="0.2">
      <c r="A44">
        <f t="shared" si="12"/>
        <v>39</v>
      </c>
      <c r="B44">
        <f t="shared" ca="1" si="8"/>
        <v>0.93168961714108545</v>
      </c>
      <c r="C44">
        <f t="shared" ca="1" si="9"/>
        <v>0.69839524137729891</v>
      </c>
      <c r="D44">
        <f t="shared" ca="1" si="13"/>
        <v>0.71355780034128824</v>
      </c>
      <c r="E44">
        <f t="shared" ca="1" si="14"/>
        <v>0.59906661420964258</v>
      </c>
      <c r="H44">
        <f t="shared" si="17"/>
        <v>9</v>
      </c>
      <c r="I44">
        <f t="shared" si="16"/>
        <v>0.9</v>
      </c>
      <c r="J44">
        <f t="shared" ca="1" si="15"/>
        <v>0.89800000000000002</v>
      </c>
      <c r="K44">
        <f t="shared" ca="1" si="18"/>
        <v>0.124</v>
      </c>
      <c r="V44">
        <v>39</v>
      </c>
      <c r="W44">
        <f t="shared" ca="1" si="0"/>
        <v>0.71355780034128824</v>
      </c>
      <c r="X44">
        <f t="shared" ca="1" si="1"/>
        <v>0.59906661420964258</v>
      </c>
      <c r="Y44">
        <f>'uniforme cercle (rejet)'!AJ48</f>
        <v>0</v>
      </c>
      <c r="Z44">
        <f t="shared" ca="1" si="2"/>
        <v>0.92816562467998509</v>
      </c>
      <c r="AA44">
        <f t="shared" ca="1" si="3"/>
        <v>0.23541692406785816</v>
      </c>
      <c r="AB44">
        <f t="shared" ca="1" si="4"/>
        <v>0</v>
      </c>
      <c r="AC44" t="e">
        <f t="shared" ca="1" si="5"/>
        <v>#N/A</v>
      </c>
      <c r="AD44" t="e">
        <f t="shared" ca="1" si="6"/>
        <v>#N/A</v>
      </c>
    </row>
    <row r="45" spans="1:30" x14ac:dyDescent="0.2">
      <c r="A45">
        <f t="shared" si="12"/>
        <v>40</v>
      </c>
      <c r="B45">
        <f t="shared" ca="1" si="8"/>
        <v>0.93421329804627351</v>
      </c>
      <c r="C45">
        <f t="shared" ca="1" si="9"/>
        <v>0.32123240995082242</v>
      </c>
      <c r="D45">
        <f t="shared" ca="1" si="13"/>
        <v>0.88642550609613546</v>
      </c>
      <c r="E45">
        <f t="shared" ca="1" si="14"/>
        <v>0.29496492738748714</v>
      </c>
      <c r="H45">
        <f t="shared" si="17"/>
        <v>10</v>
      </c>
      <c r="I45">
        <f t="shared" si="16"/>
        <v>1</v>
      </c>
      <c r="J45">
        <f t="shared" ca="1" si="15"/>
        <v>1</v>
      </c>
      <c r="K45">
        <f t="shared" ca="1" si="18"/>
        <v>0.10199999999999998</v>
      </c>
      <c r="V45">
        <v>40</v>
      </c>
      <c r="W45">
        <f t="shared" ca="1" si="0"/>
        <v>0.88642550609613546</v>
      </c>
      <c r="X45">
        <f t="shared" ca="1" si="1"/>
        <v>0.29496492738748714</v>
      </c>
      <c r="Y45">
        <f>'uniforme cercle (rejet)'!AJ49</f>
        <v>0</v>
      </c>
      <c r="Z45">
        <f t="shared" ca="1" si="2"/>
        <v>0.83536918674518446</v>
      </c>
      <c r="AA45">
        <f t="shared" ca="1" si="3"/>
        <v>0.43745177192791534</v>
      </c>
      <c r="AB45">
        <f t="shared" ca="1" si="4"/>
        <v>0</v>
      </c>
      <c r="AC45" t="e">
        <f t="shared" ca="1" si="5"/>
        <v>#N/A</v>
      </c>
      <c r="AD45" t="e">
        <f t="shared" ca="1" si="6"/>
        <v>#N/A</v>
      </c>
    </row>
    <row r="46" spans="1:30" x14ac:dyDescent="0.2">
      <c r="A46">
        <f t="shared" si="12"/>
        <v>41</v>
      </c>
      <c r="B46">
        <f t="shared" ca="1" si="8"/>
        <v>0.51261149306590525</v>
      </c>
      <c r="C46">
        <f t="shared" ca="1" si="9"/>
        <v>0.37970146179869746</v>
      </c>
      <c r="D46">
        <f t="shared" ca="1" si="13"/>
        <v>0.47610090767087465</v>
      </c>
      <c r="E46">
        <f t="shared" ca="1" si="14"/>
        <v>0.18999596979469302</v>
      </c>
      <c r="V46">
        <v>41</v>
      </c>
      <c r="W46">
        <f t="shared" ca="1" si="0"/>
        <v>0.47610090767087465</v>
      </c>
      <c r="X46">
        <f t="shared" ca="1" si="1"/>
        <v>0.18999596979469302</v>
      </c>
      <c r="Y46">
        <f>'uniforme cercle (rejet)'!AJ50</f>
        <v>0</v>
      </c>
      <c r="Z46">
        <f t="shared" ca="1" si="2"/>
        <v>0.47100161898308773</v>
      </c>
      <c r="AA46">
        <f t="shared" ca="1" si="3"/>
        <v>0.31092388997580894</v>
      </c>
      <c r="AB46">
        <f t="shared" ca="1" si="4"/>
        <v>1</v>
      </c>
      <c r="AC46">
        <f t="shared" ca="1" si="5"/>
        <v>0.47610090767087465</v>
      </c>
      <c r="AD46">
        <f t="shared" ca="1" si="6"/>
        <v>0.18999596979469302</v>
      </c>
    </row>
    <row r="47" spans="1:30" x14ac:dyDescent="0.2">
      <c r="A47">
        <f t="shared" si="12"/>
        <v>42</v>
      </c>
      <c r="B47">
        <f t="shared" ca="1" si="8"/>
        <v>0.5070830363341593</v>
      </c>
      <c r="C47">
        <f t="shared" ca="1" si="9"/>
        <v>6.1429919804598923</v>
      </c>
      <c r="D47">
        <f t="shared" ca="1" si="13"/>
        <v>0.50210804481448967</v>
      </c>
      <c r="E47">
        <f t="shared" ca="1" si="14"/>
        <v>-7.0857018498104871E-2</v>
      </c>
      <c r="V47">
        <v>42</v>
      </c>
      <c r="W47">
        <f t="shared" ca="1" si="0"/>
        <v>0.50210804481448967</v>
      </c>
      <c r="X47">
        <f t="shared" ca="1" si="1"/>
        <v>-7.0857018498104871E-2</v>
      </c>
      <c r="Y47">
        <f>'uniforme cercle (rejet)'!AJ51</f>
        <v>0</v>
      </c>
      <c r="Z47">
        <f t="shared" ca="1" si="2"/>
        <v>0.30494052510197395</v>
      </c>
      <c r="AA47">
        <f t="shared" ca="1" si="3"/>
        <v>0.57086091074926959</v>
      </c>
      <c r="AB47">
        <f t="shared" ca="1" si="4"/>
        <v>1</v>
      </c>
      <c r="AC47">
        <f t="shared" ca="1" si="5"/>
        <v>0.50210804481448967</v>
      </c>
      <c r="AD47">
        <f t="shared" ca="1" si="6"/>
        <v>-7.0857018498104871E-2</v>
      </c>
    </row>
    <row r="48" spans="1:30" x14ac:dyDescent="0.2">
      <c r="A48">
        <f t="shared" si="12"/>
        <v>43</v>
      </c>
      <c r="B48">
        <f t="shared" ca="1" si="8"/>
        <v>0.66731926315841195</v>
      </c>
      <c r="C48">
        <f t="shared" ca="1" si="9"/>
        <v>3.016169592650813</v>
      </c>
      <c r="D48">
        <f t="shared" ca="1" si="13"/>
        <v>-0.66207735919032207</v>
      </c>
      <c r="E48">
        <f t="shared" ca="1" si="14"/>
        <v>8.3477957748468473E-2</v>
      </c>
      <c r="V48">
        <v>43</v>
      </c>
      <c r="W48">
        <f t="shared" ca="1" si="0"/>
        <v>-0.66207735919032207</v>
      </c>
      <c r="X48">
        <f t="shared" ca="1" si="1"/>
        <v>8.3477957748468473E-2</v>
      </c>
      <c r="Y48">
        <f>'uniforme cercle (rejet)'!AJ52</f>
        <v>0</v>
      </c>
      <c r="Z48">
        <f t="shared" ca="1" si="2"/>
        <v>0.40913156035001214</v>
      </c>
      <c r="AA48">
        <f t="shared" ca="1" si="3"/>
        <v>1.2344692788498786</v>
      </c>
      <c r="AB48">
        <f t="shared" ca="1" si="4"/>
        <v>0</v>
      </c>
      <c r="AC48" t="e">
        <f t="shared" ca="1" si="5"/>
        <v>#N/A</v>
      </c>
      <c r="AD48" t="e">
        <f t="shared" ca="1" si="6"/>
        <v>#N/A</v>
      </c>
    </row>
    <row r="49" spans="1:30" x14ac:dyDescent="0.2">
      <c r="A49">
        <f t="shared" si="12"/>
        <v>44</v>
      </c>
      <c r="B49">
        <f t="shared" ca="1" si="8"/>
        <v>0.83537537913870752</v>
      </c>
      <c r="C49">
        <f t="shared" ca="1" si="9"/>
        <v>2.6113880367191613</v>
      </c>
      <c r="D49">
        <f t="shared" ca="1" si="13"/>
        <v>-0.72068135679440948</v>
      </c>
      <c r="E49">
        <f t="shared" ca="1" si="14"/>
        <v>0.42245757898291803</v>
      </c>
      <c r="V49">
        <v>44</v>
      </c>
      <c r="W49">
        <f t="shared" ca="1" si="0"/>
        <v>-0.72068135679440948</v>
      </c>
      <c r="X49">
        <f t="shared" ca="1" si="1"/>
        <v>0.42245757898291803</v>
      </c>
      <c r="Y49">
        <f>'uniforme cercle (rejet)'!AJ53</f>
        <v>0</v>
      </c>
      <c r="Z49">
        <f t="shared" ca="1" si="2"/>
        <v>0.21087605560157585</v>
      </c>
      <c r="AA49">
        <f t="shared" ca="1" si="3"/>
        <v>1.2231417750541558</v>
      </c>
      <c r="AB49">
        <f t="shared" ca="1" si="4"/>
        <v>0</v>
      </c>
      <c r="AC49" t="e">
        <f t="shared" ca="1" si="5"/>
        <v>#N/A</v>
      </c>
      <c r="AD49" t="e">
        <f t="shared" ca="1" si="6"/>
        <v>#N/A</v>
      </c>
    </row>
    <row r="50" spans="1:30" x14ac:dyDescent="0.2">
      <c r="A50">
        <f t="shared" si="12"/>
        <v>45</v>
      </c>
      <c r="B50">
        <f t="shared" ca="1" si="8"/>
        <v>0.42681197115184144</v>
      </c>
      <c r="C50">
        <f t="shared" ca="1" si="9"/>
        <v>5.9073809129610195</v>
      </c>
      <c r="D50">
        <f t="shared" ca="1" si="13"/>
        <v>0.39702591325914366</v>
      </c>
      <c r="E50">
        <f t="shared" ca="1" si="14"/>
        <v>-0.15664891611263462</v>
      </c>
      <c r="V50">
        <v>45</v>
      </c>
      <c r="W50">
        <f t="shared" ca="1" si="0"/>
        <v>0.39702591325914366</v>
      </c>
      <c r="X50">
        <f t="shared" ca="1" si="1"/>
        <v>-0.15664891611263462</v>
      </c>
      <c r="Y50">
        <f>'uniforme cercle (rejet)'!AJ54</f>
        <v>0</v>
      </c>
      <c r="Z50">
        <f t="shared" ca="1" si="2"/>
        <v>0.16997220472355593</v>
      </c>
      <c r="AA50">
        <f t="shared" ca="1" si="3"/>
        <v>0.66467395132652174</v>
      </c>
      <c r="AB50">
        <f t="shared" ca="1" si="4"/>
        <v>0</v>
      </c>
      <c r="AC50" t="e">
        <f t="shared" ca="1" si="5"/>
        <v>#N/A</v>
      </c>
      <c r="AD50" t="e">
        <f t="shared" ca="1" si="6"/>
        <v>#N/A</v>
      </c>
    </row>
    <row r="51" spans="1:30" x14ac:dyDescent="0.2">
      <c r="A51">
        <f t="shared" si="12"/>
        <v>46</v>
      </c>
      <c r="B51">
        <f t="shared" ca="1" si="8"/>
        <v>0.89519903002796419</v>
      </c>
      <c r="C51">
        <f t="shared" ca="1" si="9"/>
        <v>0.27168570895668837</v>
      </c>
      <c r="D51">
        <f t="shared" ca="1" si="13"/>
        <v>0.86236303621448585</v>
      </c>
      <c r="E51">
        <f t="shared" ca="1" si="14"/>
        <v>0.24023175713036202</v>
      </c>
      <c r="V51">
        <v>46</v>
      </c>
      <c r="W51">
        <f t="shared" ca="1" si="0"/>
        <v>0.86236303621448585</v>
      </c>
      <c r="X51">
        <f t="shared" ca="1" si="1"/>
        <v>0.24023175713036202</v>
      </c>
      <c r="Y51">
        <f>'uniforme cercle (rejet)'!AJ55</f>
        <v>0</v>
      </c>
      <c r="Z51">
        <f t="shared" ca="1" si="2"/>
        <v>0.77965225527512194</v>
      </c>
      <c r="AA51">
        <f t="shared" ca="1" si="3"/>
        <v>0.44585480822590667</v>
      </c>
      <c r="AB51">
        <f t="shared" ca="1" si="4"/>
        <v>1</v>
      </c>
      <c r="AC51">
        <f t="shared" ca="1" si="5"/>
        <v>0.86236303621448585</v>
      </c>
      <c r="AD51">
        <f t="shared" ca="1" si="6"/>
        <v>0.24023175713036202</v>
      </c>
    </row>
    <row r="52" spans="1:30" x14ac:dyDescent="0.2">
      <c r="A52">
        <f t="shared" si="12"/>
        <v>47</v>
      </c>
      <c r="B52">
        <f t="shared" ca="1" si="8"/>
        <v>4.4369029331978838E-2</v>
      </c>
      <c r="C52">
        <f t="shared" ca="1" si="9"/>
        <v>3.323188006484509</v>
      </c>
      <c r="D52">
        <f t="shared" ca="1" si="13"/>
        <v>-4.3639461642319723E-2</v>
      </c>
      <c r="E52">
        <f t="shared" ca="1" si="14"/>
        <v>-8.012998903687946E-3</v>
      </c>
      <c r="V52">
        <v>47</v>
      </c>
      <c r="W52">
        <f t="shared" ca="1" si="0"/>
        <v>-4.3639461642319723E-2</v>
      </c>
      <c r="X52">
        <f t="shared" ca="1" si="1"/>
        <v>-8.012998903687946E-3</v>
      </c>
      <c r="Y52">
        <f>'uniforme cercle (rejet)'!AJ56</f>
        <v>0</v>
      </c>
      <c r="Z52">
        <f t="shared" ca="1" si="2"/>
        <v>3.6523805117052624E-2</v>
      </c>
      <c r="AA52">
        <f t="shared" ca="1" si="3"/>
        <v>0.74405716938274946</v>
      </c>
      <c r="AB52">
        <f t="shared" ca="1" si="4"/>
        <v>0</v>
      </c>
      <c r="AC52" t="e">
        <f t="shared" ca="1" si="5"/>
        <v>#N/A</v>
      </c>
      <c r="AD52" t="e">
        <f t="shared" ca="1" si="6"/>
        <v>#N/A</v>
      </c>
    </row>
    <row r="53" spans="1:30" x14ac:dyDescent="0.2">
      <c r="A53">
        <f t="shared" si="12"/>
        <v>48</v>
      </c>
      <c r="B53">
        <f t="shared" ca="1" si="8"/>
        <v>0.60084537696094709</v>
      </c>
      <c r="C53">
        <f t="shared" ca="1" si="9"/>
        <v>0.2651811289658414</v>
      </c>
      <c r="D53">
        <f t="shared" ca="1" si="13"/>
        <v>0.57984285426519011</v>
      </c>
      <c r="E53">
        <f t="shared" ca="1" si="14"/>
        <v>0.15747200186998336</v>
      </c>
      <c r="V53">
        <v>48</v>
      </c>
      <c r="W53">
        <f t="shared" ca="1" si="0"/>
        <v>0.57984285426519011</v>
      </c>
      <c r="X53">
        <f t="shared" ca="1" si="1"/>
        <v>0.15747200186998336</v>
      </c>
      <c r="Y53">
        <f>'uniforme cercle (rejet)'!AJ57</f>
        <v>0</v>
      </c>
      <c r="Z53">
        <f t="shared" ca="1" si="2"/>
        <v>0.52136033464276477</v>
      </c>
      <c r="AA53">
        <f t="shared" ca="1" si="3"/>
        <v>0.35171054985622635</v>
      </c>
      <c r="AB53">
        <f t="shared" ca="1" si="4"/>
        <v>1</v>
      </c>
      <c r="AC53">
        <f t="shared" ca="1" si="5"/>
        <v>0.57984285426519011</v>
      </c>
      <c r="AD53">
        <f t="shared" ca="1" si="6"/>
        <v>0.15747200186998336</v>
      </c>
    </row>
    <row r="54" spans="1:30" x14ac:dyDescent="0.2">
      <c r="A54">
        <f t="shared" si="12"/>
        <v>49</v>
      </c>
      <c r="B54">
        <f t="shared" ca="1" si="8"/>
        <v>1.9489617794294811E-2</v>
      </c>
      <c r="C54">
        <f t="shared" ca="1" si="9"/>
        <v>2.2657768949906334</v>
      </c>
      <c r="D54">
        <f t="shared" ca="1" si="13"/>
        <v>-1.2480576579038855E-2</v>
      </c>
      <c r="E54">
        <f t="shared" ca="1" si="14"/>
        <v>1.496931561636803E-2</v>
      </c>
      <c r="V54">
        <v>49</v>
      </c>
      <c r="W54">
        <f t="shared" ca="1" si="0"/>
        <v>-1.2480576579038855E-2</v>
      </c>
      <c r="X54">
        <f t="shared" ca="1" si="1"/>
        <v>1.496931561636803E-2</v>
      </c>
      <c r="Y54">
        <f>'uniforme cercle (rejet)'!AJ58</f>
        <v>0</v>
      </c>
      <c r="Z54">
        <f t="shared" ca="1" si="2"/>
        <v>1.7598042498991396E-3</v>
      </c>
      <c r="AA54">
        <f t="shared" ca="1" si="3"/>
        <v>0.70561399232472599</v>
      </c>
      <c r="AB54">
        <f t="shared" ca="1" si="4"/>
        <v>0</v>
      </c>
      <c r="AC54" t="e">
        <f t="shared" ca="1" si="5"/>
        <v>#N/A</v>
      </c>
      <c r="AD54" t="e">
        <f t="shared" ca="1" si="6"/>
        <v>#N/A</v>
      </c>
    </row>
    <row r="55" spans="1:30" x14ac:dyDescent="0.2">
      <c r="A55">
        <f t="shared" si="12"/>
        <v>50</v>
      </c>
      <c r="B55">
        <f t="shared" ca="1" si="8"/>
        <v>0.96261791299839028</v>
      </c>
      <c r="C55">
        <f t="shared" ca="1" si="9"/>
        <v>3.3054174987492981</v>
      </c>
      <c r="D55">
        <f t="shared" ca="1" si="13"/>
        <v>-0.94972912922881947</v>
      </c>
      <c r="E55">
        <f t="shared" ca="1" si="14"/>
        <v>-0.15699626594172497</v>
      </c>
      <c r="V55">
        <v>50</v>
      </c>
      <c r="W55">
        <f t="shared" ca="1" si="0"/>
        <v>-0.94972912922881947</v>
      </c>
      <c r="X55">
        <f t="shared" ca="1" si="1"/>
        <v>-0.15699626594172497</v>
      </c>
      <c r="Y55">
        <f>'uniforme cercle (rejet)'!AJ59</f>
        <v>0</v>
      </c>
      <c r="Z55">
        <f t="shared" ca="1" si="2"/>
        <v>0.78257303183645355</v>
      </c>
      <c r="AA55">
        <f t="shared" ca="1" si="3"/>
        <v>1.5916528018371094</v>
      </c>
      <c r="AB55">
        <f t="shared" ca="1" si="4"/>
        <v>0</v>
      </c>
      <c r="AC55" t="e">
        <f t="shared" ca="1" si="5"/>
        <v>#N/A</v>
      </c>
      <c r="AD55" t="e">
        <f t="shared" ca="1" si="6"/>
        <v>#N/A</v>
      </c>
    </row>
    <row r="56" spans="1:30" x14ac:dyDescent="0.2">
      <c r="A56">
        <f t="shared" si="12"/>
        <v>51</v>
      </c>
      <c r="B56">
        <f t="shared" ca="1" si="8"/>
        <v>0.12464187503063107</v>
      </c>
      <c r="C56">
        <f t="shared" ca="1" si="9"/>
        <v>3.2153179653832091</v>
      </c>
      <c r="D56">
        <f t="shared" ca="1" si="13"/>
        <v>-0.1243032878661425</v>
      </c>
      <c r="E56">
        <f t="shared" ca="1" si="14"/>
        <v>-9.180938776528284E-3</v>
      </c>
      <c r="V56">
        <v>51</v>
      </c>
      <c r="W56">
        <f t="shared" ca="1" si="0"/>
        <v>-0.1243032878661425</v>
      </c>
      <c r="X56">
        <f t="shared" ca="1" si="1"/>
        <v>-9.180938776528284E-3</v>
      </c>
      <c r="Y56">
        <f>'uniforme cercle (rejet)'!AJ60</f>
        <v>0</v>
      </c>
      <c r="Z56">
        <f t="shared" ca="1" si="2"/>
        <v>9.4387601840474525E-2</v>
      </c>
      <c r="AA56">
        <f t="shared" ca="1" si="3"/>
        <v>0.80561766592709616</v>
      </c>
      <c r="AB56">
        <f t="shared" ca="1" si="4"/>
        <v>0</v>
      </c>
      <c r="AC56" t="e">
        <f t="shared" ca="1" si="5"/>
        <v>#N/A</v>
      </c>
      <c r="AD56" t="e">
        <f t="shared" ca="1" si="6"/>
        <v>#N/A</v>
      </c>
    </row>
    <row r="57" spans="1:30" x14ac:dyDescent="0.2">
      <c r="A57">
        <f t="shared" si="12"/>
        <v>52</v>
      </c>
      <c r="B57">
        <f t="shared" ca="1" si="8"/>
        <v>0.56508900631266323</v>
      </c>
      <c r="C57">
        <f t="shared" ca="1" si="9"/>
        <v>3.2918004873808977</v>
      </c>
      <c r="D57">
        <f t="shared" ca="1" si="13"/>
        <v>-0.55872610313399884</v>
      </c>
      <c r="E57">
        <f t="shared" ca="1" si="14"/>
        <v>-8.4561969774415949E-2</v>
      </c>
      <c r="V57">
        <v>52</v>
      </c>
      <c r="W57">
        <f t="shared" ca="1" si="0"/>
        <v>-0.55872610313399884</v>
      </c>
      <c r="X57">
        <f t="shared" ca="1" si="1"/>
        <v>-8.4561969774415949E-2</v>
      </c>
      <c r="Y57">
        <f>'uniforme cercle (rejet)'!AJ61</f>
        <v>0</v>
      </c>
      <c r="Z57">
        <f t="shared" ca="1" si="2"/>
        <v>0.45487335860996631</v>
      </c>
      <c r="AA57">
        <f t="shared" ca="1" si="3"/>
        <v>1.2093856531164273</v>
      </c>
      <c r="AB57">
        <f t="shared" ca="1" si="4"/>
        <v>0</v>
      </c>
      <c r="AC57" t="e">
        <f t="shared" ca="1" si="5"/>
        <v>#N/A</v>
      </c>
      <c r="AD57" t="e">
        <f t="shared" ca="1" si="6"/>
        <v>#N/A</v>
      </c>
    </row>
    <row r="58" spans="1:30" x14ac:dyDescent="0.2">
      <c r="A58">
        <f t="shared" si="12"/>
        <v>53</v>
      </c>
      <c r="B58">
        <f t="shared" ca="1" si="8"/>
        <v>0.63598861738188761</v>
      </c>
      <c r="C58">
        <f t="shared" ca="1" si="9"/>
        <v>3.6179788473904848</v>
      </c>
      <c r="D58">
        <f t="shared" ca="1" si="13"/>
        <v>-0.56517631404568291</v>
      </c>
      <c r="E58">
        <f t="shared" ca="1" si="14"/>
        <v>-0.29164577055232715</v>
      </c>
      <c r="V58">
        <v>53</v>
      </c>
      <c r="W58">
        <f t="shared" ca="1" si="0"/>
        <v>-0.56517631404568291</v>
      </c>
      <c r="X58">
        <f t="shared" ca="1" si="1"/>
        <v>-0.29164577055232715</v>
      </c>
      <c r="Y58">
        <f>'uniforme cercle (rejet)'!AJ62</f>
        <v>0</v>
      </c>
      <c r="Z58">
        <f t="shared" ca="1" si="2"/>
        <v>0.60586470628964662</v>
      </c>
      <c r="AA58">
        <f t="shared" ca="1" si="3"/>
        <v>1.3271411402097877</v>
      </c>
      <c r="AB58">
        <f t="shared" ca="1" si="4"/>
        <v>0</v>
      </c>
      <c r="AC58" t="e">
        <f t="shared" ca="1" si="5"/>
        <v>#N/A</v>
      </c>
      <c r="AD58" t="e">
        <f t="shared" ca="1" si="6"/>
        <v>#N/A</v>
      </c>
    </row>
    <row r="59" spans="1:30" x14ac:dyDescent="0.2">
      <c r="A59">
        <f t="shared" si="12"/>
        <v>54</v>
      </c>
      <c r="B59">
        <f t="shared" ca="1" si="8"/>
        <v>0.15751402156744865</v>
      </c>
      <c r="C59">
        <f t="shared" ca="1" si="9"/>
        <v>2.1796501269090145</v>
      </c>
      <c r="D59">
        <f t="shared" ca="1" si="13"/>
        <v>-9.00866168778338E-2</v>
      </c>
      <c r="E59">
        <f t="shared" ca="1" si="14"/>
        <v>0.12920939768398065</v>
      </c>
      <c r="V59">
        <v>54</v>
      </c>
      <c r="W59">
        <f t="shared" ca="1" si="0"/>
        <v>-9.00866168778338E-2</v>
      </c>
      <c r="X59">
        <f t="shared" ca="1" si="1"/>
        <v>0.12920939768398065</v>
      </c>
      <c r="Y59">
        <f>'uniforme cercle (rejet)'!AJ63</f>
        <v>0</v>
      </c>
      <c r="Z59">
        <f t="shared" ca="1" si="2"/>
        <v>2.7663983606901345E-2</v>
      </c>
      <c r="AA59">
        <f t="shared" ca="1" si="3"/>
        <v>0.69691311236351683</v>
      </c>
      <c r="AB59">
        <f t="shared" ca="1" si="4"/>
        <v>0</v>
      </c>
      <c r="AC59" t="e">
        <f t="shared" ca="1" si="5"/>
        <v>#N/A</v>
      </c>
      <c r="AD59" t="e">
        <f t="shared" ca="1" si="6"/>
        <v>#N/A</v>
      </c>
    </row>
    <row r="60" spans="1:30" x14ac:dyDescent="0.2">
      <c r="A60">
        <f t="shared" si="12"/>
        <v>55</v>
      </c>
      <c r="B60">
        <f t="shared" ca="1" si="8"/>
        <v>0.2555841413558162</v>
      </c>
      <c r="C60">
        <f t="shared" ca="1" si="9"/>
        <v>2.052231332686405</v>
      </c>
      <c r="D60">
        <f t="shared" ca="1" si="13"/>
        <v>-0.11834863091561697</v>
      </c>
      <c r="E60">
        <f t="shared" ca="1" si="14"/>
        <v>0.22653223804348224</v>
      </c>
      <c r="V60">
        <v>55</v>
      </c>
      <c r="W60">
        <f t="shared" ca="1" si="0"/>
        <v>-0.11834863091561697</v>
      </c>
      <c r="X60">
        <f t="shared" ca="1" si="1"/>
        <v>0.22653223804348224</v>
      </c>
      <c r="Y60">
        <f>'uniforme cercle (rejet)'!AJ64</f>
        <v>0</v>
      </c>
      <c r="Z60">
        <f t="shared" ca="1" si="2"/>
        <v>7.6497362213334863E-2</v>
      </c>
      <c r="AA60">
        <f t="shared" ca="1" si="3"/>
        <v>0.67612102924308204</v>
      </c>
      <c r="AB60">
        <f t="shared" ca="1" si="4"/>
        <v>0</v>
      </c>
      <c r="AC60" t="e">
        <f t="shared" ca="1" si="5"/>
        <v>#N/A</v>
      </c>
      <c r="AD60" t="e">
        <f t="shared" ca="1" si="6"/>
        <v>#N/A</v>
      </c>
    </row>
    <row r="61" spans="1:30" x14ac:dyDescent="0.2">
      <c r="A61">
        <f t="shared" si="12"/>
        <v>56</v>
      </c>
      <c r="B61">
        <f t="shared" ca="1" si="8"/>
        <v>0.75007248131372328</v>
      </c>
      <c r="C61">
        <f t="shared" ca="1" si="9"/>
        <v>2.7065845301187225E-3</v>
      </c>
      <c r="D61">
        <f t="shared" ca="1" si="13"/>
        <v>0.75006973394998389</v>
      </c>
      <c r="E61">
        <f t="shared" ca="1" si="14"/>
        <v>2.0301320957334841E-3</v>
      </c>
      <c r="V61">
        <v>56</v>
      </c>
      <c r="W61">
        <f t="shared" ca="1" si="0"/>
        <v>0.75006973394998389</v>
      </c>
      <c r="X61">
        <f t="shared" ca="1" si="1"/>
        <v>2.0301320957334841E-3</v>
      </c>
      <c r="Y61">
        <f>'uniforme cercle (rejet)'!AJ65</f>
        <v>0</v>
      </c>
      <c r="Z61">
        <f t="shared" ca="1" si="2"/>
        <v>0.53181491541042081</v>
      </c>
      <c r="AA61">
        <f t="shared" ca="1" si="3"/>
        <v>0.55723321973695028</v>
      </c>
      <c r="AB61">
        <f t="shared" ca="1" si="4"/>
        <v>1</v>
      </c>
      <c r="AC61">
        <f t="shared" ca="1" si="5"/>
        <v>0.75006973394998389</v>
      </c>
      <c r="AD61">
        <f t="shared" ca="1" si="6"/>
        <v>2.0301320957334841E-3</v>
      </c>
    </row>
    <row r="62" spans="1:30" x14ac:dyDescent="0.2">
      <c r="A62">
        <f t="shared" si="12"/>
        <v>57</v>
      </c>
      <c r="B62">
        <f t="shared" ca="1" si="8"/>
        <v>0.99998849385442889</v>
      </c>
      <c r="C62">
        <f t="shared" ca="1" si="9"/>
        <v>0.7492267481523055</v>
      </c>
      <c r="D62">
        <f t="shared" ca="1" si="13"/>
        <v>0.73220730352606711</v>
      </c>
      <c r="E62">
        <f t="shared" ca="1" si="14"/>
        <v>0.68106494000523543</v>
      </c>
      <c r="V62">
        <v>57</v>
      </c>
      <c r="W62">
        <f t="shared" ca="1" si="0"/>
        <v>0.73220730352606711</v>
      </c>
      <c r="X62">
        <f t="shared" ca="1" si="1"/>
        <v>0.68106494000523543</v>
      </c>
      <c r="Y62">
        <f>'uniforme cercle (rejet)'!AJ66</f>
        <v>0</v>
      </c>
      <c r="Z62">
        <f t="shared" ca="1" si="2"/>
        <v>0.99933438706370981</v>
      </c>
      <c r="AA62">
        <f t="shared" ca="1" si="3"/>
        <v>0.29445669343716158</v>
      </c>
      <c r="AB62">
        <f t="shared" ca="1" si="4"/>
        <v>0</v>
      </c>
      <c r="AC62" t="e">
        <f t="shared" ca="1" si="5"/>
        <v>#N/A</v>
      </c>
      <c r="AD62" t="e">
        <f t="shared" ca="1" si="6"/>
        <v>#N/A</v>
      </c>
    </row>
    <row r="63" spans="1:30" x14ac:dyDescent="0.2">
      <c r="A63">
        <f t="shared" si="12"/>
        <v>58</v>
      </c>
      <c r="B63">
        <f t="shared" ca="1" si="8"/>
        <v>0.85967405972370448</v>
      </c>
      <c r="C63">
        <f t="shared" ca="1" si="9"/>
        <v>0.19086395654377553</v>
      </c>
      <c r="D63">
        <f t="shared" ca="1" si="13"/>
        <v>0.84406298294811666</v>
      </c>
      <c r="E63">
        <f t="shared" ca="1" si="14"/>
        <v>0.16308638747167953</v>
      </c>
      <c r="V63">
        <v>58</v>
      </c>
      <c r="W63">
        <f t="shared" ca="1" si="0"/>
        <v>0.84406298294811666</v>
      </c>
      <c r="X63">
        <f t="shared" ca="1" si="1"/>
        <v>0.16308638747167953</v>
      </c>
      <c r="Y63">
        <f>'uniforme cercle (rejet)'!AJ67</f>
        <v>0</v>
      </c>
      <c r="Z63">
        <f t="shared" ca="1" si="2"/>
        <v>0.71216214949159995</v>
      </c>
      <c r="AA63">
        <f t="shared" ca="1" si="3"/>
        <v>0.48154970516244661</v>
      </c>
      <c r="AB63">
        <f t="shared" ca="1" si="4"/>
        <v>1</v>
      </c>
      <c r="AC63">
        <f t="shared" ca="1" si="5"/>
        <v>0.84406298294811666</v>
      </c>
      <c r="AD63">
        <f t="shared" ca="1" si="6"/>
        <v>0.16308638747167953</v>
      </c>
    </row>
    <row r="64" spans="1:30" x14ac:dyDescent="0.2">
      <c r="A64">
        <f t="shared" si="12"/>
        <v>59</v>
      </c>
      <c r="B64">
        <f t="shared" ca="1" si="8"/>
        <v>0.27315646327953547</v>
      </c>
      <c r="C64">
        <f t="shared" ca="1" si="9"/>
        <v>5.6173130578297146</v>
      </c>
      <c r="D64">
        <f t="shared" ca="1" si="13"/>
        <v>0.21480430332327333</v>
      </c>
      <c r="E64">
        <f t="shared" ca="1" si="14"/>
        <v>-0.16874111741122078</v>
      </c>
      <c r="V64">
        <v>59</v>
      </c>
      <c r="W64">
        <f t="shared" ca="1" si="0"/>
        <v>0.21480430332327333</v>
      </c>
      <c r="X64">
        <f t="shared" ca="1" si="1"/>
        <v>-0.16874111741122078</v>
      </c>
      <c r="Y64">
        <f>'uniforme cercle (rejet)'!AJ68</f>
        <v>0</v>
      </c>
      <c r="Z64">
        <f t="shared" ca="1" si="2"/>
        <v>3.2571591121468998E-2</v>
      </c>
      <c r="AA64">
        <f t="shared" ca="1" si="3"/>
        <v>0.72701531450123635</v>
      </c>
      <c r="AB64">
        <f t="shared" ca="1" si="4"/>
        <v>0</v>
      </c>
      <c r="AC64" t="e">
        <f t="shared" ca="1" si="5"/>
        <v>#N/A</v>
      </c>
      <c r="AD64" t="e">
        <f t="shared" ca="1" si="6"/>
        <v>#N/A</v>
      </c>
    </row>
    <row r="65" spans="1:30" x14ac:dyDescent="0.2">
      <c r="A65">
        <f t="shared" si="12"/>
        <v>60</v>
      </c>
      <c r="B65">
        <f t="shared" ca="1" si="8"/>
        <v>0.65378498505407945</v>
      </c>
      <c r="C65">
        <f t="shared" ca="1" si="9"/>
        <v>5.5254052479823326</v>
      </c>
      <c r="D65">
        <f t="shared" ca="1" si="13"/>
        <v>0.47488560769813837</v>
      </c>
      <c r="E65">
        <f t="shared" ca="1" si="14"/>
        <v>-0.44935338686086773</v>
      </c>
      <c r="V65">
        <v>60</v>
      </c>
      <c r="W65">
        <f t="shared" ca="1" si="0"/>
        <v>0.47488560769813837</v>
      </c>
      <c r="X65">
        <f t="shared" ca="1" si="1"/>
        <v>-0.44935338686086773</v>
      </c>
      <c r="Y65">
        <f>'uniforme cercle (rejet)'!AJ69</f>
        <v>0</v>
      </c>
      <c r="Z65">
        <f t="shared" ca="1" si="2"/>
        <v>1.8054006492786538E-2</v>
      </c>
      <c r="AA65">
        <f t="shared" ca="1" si="3"/>
        <v>0.94968551944572266</v>
      </c>
      <c r="AB65">
        <f t="shared" ca="1" si="4"/>
        <v>0</v>
      </c>
      <c r="AC65" t="e">
        <f t="shared" ca="1" si="5"/>
        <v>#N/A</v>
      </c>
      <c r="AD65" t="e">
        <f t="shared" ca="1" si="6"/>
        <v>#N/A</v>
      </c>
    </row>
    <row r="66" spans="1:30" x14ac:dyDescent="0.2">
      <c r="A66">
        <f t="shared" si="12"/>
        <v>61</v>
      </c>
      <c r="B66">
        <f t="shared" ca="1" si="8"/>
        <v>0.39284662392765379</v>
      </c>
      <c r="C66">
        <f t="shared" ca="1" si="9"/>
        <v>0.84225732099274786</v>
      </c>
      <c r="D66">
        <f t="shared" ca="1" si="13"/>
        <v>0.26154951492416845</v>
      </c>
      <c r="E66">
        <f t="shared" ca="1" si="14"/>
        <v>0.29312168322095805</v>
      </c>
      <c r="V66">
        <v>61</v>
      </c>
      <c r="W66">
        <f t="shared" ca="1" si="0"/>
        <v>0.26154951492416845</v>
      </c>
      <c r="X66">
        <f t="shared" ca="1" si="1"/>
        <v>0.29312168322095805</v>
      </c>
      <c r="Y66">
        <f>'uniforme cercle (rejet)'!AJ70</f>
        <v>0</v>
      </c>
      <c r="Z66">
        <f t="shared" ca="1" si="2"/>
        <v>0.39221176553728604</v>
      </c>
      <c r="AA66">
        <f t="shared" ca="1" si="3"/>
        <v>0.31568540002069939</v>
      </c>
      <c r="AB66">
        <f t="shared" ca="1" si="4"/>
        <v>1</v>
      </c>
      <c r="AC66">
        <f t="shared" ca="1" si="5"/>
        <v>0.26154951492416845</v>
      </c>
      <c r="AD66">
        <f t="shared" ca="1" si="6"/>
        <v>0.29312168322095805</v>
      </c>
    </row>
    <row r="67" spans="1:30" x14ac:dyDescent="0.2">
      <c r="A67">
        <f t="shared" si="12"/>
        <v>62</v>
      </c>
      <c r="B67">
        <f t="shared" ca="1" si="8"/>
        <v>0.13958907631791928</v>
      </c>
      <c r="C67">
        <f t="shared" ca="1" si="9"/>
        <v>2.3151532530376362</v>
      </c>
      <c r="D67">
        <f t="shared" ca="1" si="13"/>
        <v>-9.457145327386951E-2</v>
      </c>
      <c r="E67">
        <f t="shared" ca="1" si="14"/>
        <v>0.10267107895097921</v>
      </c>
      <c r="V67">
        <v>62</v>
      </c>
      <c r="W67">
        <f t="shared" ca="1" si="0"/>
        <v>-9.457145327386951E-2</v>
      </c>
      <c r="X67">
        <f t="shared" ca="1" si="1"/>
        <v>0.10267107895097921</v>
      </c>
      <c r="Y67">
        <f>'uniforme cercle (rejet)'!AJ71</f>
        <v>0</v>
      </c>
      <c r="Z67">
        <f t="shared" ca="1" si="2"/>
        <v>5.7273002413569503E-3</v>
      </c>
      <c r="AA67">
        <f t="shared" ca="1" si="3"/>
        <v>0.71511221815193471</v>
      </c>
      <c r="AB67">
        <f t="shared" ca="1" si="4"/>
        <v>0</v>
      </c>
      <c r="AC67" t="e">
        <f t="shared" ca="1" si="5"/>
        <v>#N/A</v>
      </c>
      <c r="AD67" t="e">
        <f t="shared" ca="1" si="6"/>
        <v>#N/A</v>
      </c>
    </row>
    <row r="68" spans="1:30" x14ac:dyDescent="0.2">
      <c r="A68">
        <f t="shared" si="12"/>
        <v>63</v>
      </c>
      <c r="B68">
        <f t="shared" ca="1" si="8"/>
        <v>0.8039208157937664</v>
      </c>
      <c r="C68">
        <f t="shared" ca="1" si="9"/>
        <v>0.22584728663500803</v>
      </c>
      <c r="D68">
        <f t="shared" ca="1" si="13"/>
        <v>0.78350502330972038</v>
      </c>
      <c r="E68">
        <f t="shared" ca="1" si="14"/>
        <v>0.18002376652805963</v>
      </c>
      <c r="V68">
        <v>63</v>
      </c>
      <c r="W68">
        <f t="shared" ca="1" si="0"/>
        <v>0.78350502330972038</v>
      </c>
      <c r="X68">
        <f t="shared" ca="1" si="1"/>
        <v>0.18002376652805963</v>
      </c>
      <c r="Y68">
        <f>'uniforme cercle (rejet)'!AJ72</f>
        <v>0</v>
      </c>
      <c r="Z68">
        <f t="shared" ca="1" si="2"/>
        <v>0.68131774116276211</v>
      </c>
      <c r="AA68">
        <f t="shared" ca="1" si="3"/>
        <v>0.42750425521710866</v>
      </c>
      <c r="AB68">
        <f t="shared" ca="1" si="4"/>
        <v>1</v>
      </c>
      <c r="AC68">
        <f t="shared" ca="1" si="5"/>
        <v>0.78350502330972038</v>
      </c>
      <c r="AD68">
        <f t="shared" ca="1" si="6"/>
        <v>0.18002376652805963</v>
      </c>
    </row>
    <row r="69" spans="1:30" x14ac:dyDescent="0.2">
      <c r="A69">
        <f t="shared" si="12"/>
        <v>64</v>
      </c>
      <c r="B69">
        <f t="shared" ca="1" si="8"/>
        <v>0.77035140469254482</v>
      </c>
      <c r="C69">
        <f t="shared" ca="1" si="9"/>
        <v>2.4347474461117207</v>
      </c>
      <c r="D69">
        <f t="shared" ca="1" si="13"/>
        <v>-0.58578637745995776</v>
      </c>
      <c r="E69">
        <f t="shared" ca="1" si="14"/>
        <v>0.50029551936242322</v>
      </c>
      <c r="V69">
        <v>64</v>
      </c>
      <c r="W69">
        <f t="shared" ca="1" si="0"/>
        <v>-0.58578637745995776</v>
      </c>
      <c r="X69">
        <f t="shared" ca="1" si="1"/>
        <v>0.50029551936242322</v>
      </c>
      <c r="Y69">
        <f>'uniforme cercle (rejet)'!AJ73</f>
        <v>0</v>
      </c>
      <c r="Z69">
        <f t="shared" ca="1" si="2"/>
        <v>6.0451165490223543E-2</v>
      </c>
      <c r="AA69">
        <f t="shared" ca="1" si="3"/>
        <v>1.0857864176758296</v>
      </c>
      <c r="AB69">
        <f t="shared" ca="1" si="4"/>
        <v>0</v>
      </c>
      <c r="AC69" t="e">
        <f t="shared" ca="1" si="5"/>
        <v>#N/A</v>
      </c>
      <c r="AD69" t="e">
        <f t="shared" ca="1" si="6"/>
        <v>#N/A</v>
      </c>
    </row>
    <row r="70" spans="1:30" x14ac:dyDescent="0.2">
      <c r="A70">
        <f t="shared" si="12"/>
        <v>65</v>
      </c>
      <c r="B70">
        <f t="shared" ca="1" si="8"/>
        <v>0.51203954188005529</v>
      </c>
      <c r="C70">
        <f t="shared" ca="1" si="9"/>
        <v>1.7063363680676991</v>
      </c>
      <c r="D70">
        <f t="shared" ca="1" si="13"/>
        <v>-6.9189557626361656E-2</v>
      </c>
      <c r="E70">
        <f t="shared" ca="1" si="14"/>
        <v>0.50734337244533445</v>
      </c>
      <c r="V70">
        <v>65</v>
      </c>
      <c r="W70">
        <f t="shared" ca="1" si="0"/>
        <v>-6.9189557626361656E-2</v>
      </c>
      <c r="X70">
        <f t="shared" ca="1" si="1"/>
        <v>0.50734337244533445</v>
      </c>
      <c r="Y70">
        <f>'uniforme cercle (rejet)'!AJ74</f>
        <v>0</v>
      </c>
      <c r="Z70">
        <f t="shared" ca="1" si="2"/>
        <v>0.30982153366125048</v>
      </c>
      <c r="AA70">
        <f t="shared" ca="1" si="3"/>
        <v>0.56923692574337115</v>
      </c>
      <c r="AB70">
        <f t="shared" ca="1" si="4"/>
        <v>1</v>
      </c>
      <c r="AC70">
        <f t="shared" ca="1" si="5"/>
        <v>-6.9189557626361656E-2</v>
      </c>
      <c r="AD70">
        <f t="shared" ca="1" si="6"/>
        <v>0.50734337244533445</v>
      </c>
    </row>
    <row r="71" spans="1:30" x14ac:dyDescent="0.2">
      <c r="A71">
        <f t="shared" si="12"/>
        <v>66</v>
      </c>
      <c r="B71">
        <f t="shared" ca="1" si="8"/>
        <v>9.2708587358925731E-2</v>
      </c>
      <c r="C71">
        <f t="shared" ca="1" si="9"/>
        <v>3.0174370005591649</v>
      </c>
      <c r="D71">
        <f t="shared" ca="1" si="13"/>
        <v>-9.1994970634908274E-2</v>
      </c>
      <c r="E71">
        <f t="shared" ca="1" si="14"/>
        <v>1.1480746838508721E-2</v>
      </c>
      <c r="V71">
        <v>66</v>
      </c>
      <c r="W71">
        <f t="shared" ref="W71:W134" ca="1" si="19">D71</f>
        <v>-9.1994970634908274E-2</v>
      </c>
      <c r="X71">
        <f t="shared" ref="X71:X134" ca="1" si="20">E71</f>
        <v>1.1480746838508721E-2</v>
      </c>
      <c r="Y71">
        <f>'uniforme cercle (rejet)'!AJ75</f>
        <v>0</v>
      </c>
      <c r="Z71">
        <f t="shared" ref="Z71:Z134" ca="1" si="21">(W71+X71)^2/SQRT(2*(W71+X71)^2)</f>
        <v>5.6932153628405417E-2</v>
      </c>
      <c r="AA71">
        <f t="shared" ref="AA71:AA134" ca="1" si="22">SQRT((W71-0.5)^2+(X71-0.5)^2)</f>
        <v>0.76753443308198688</v>
      </c>
      <c r="AB71">
        <f t="shared" ref="AB71:AB134" ca="1" si="23">IF(ABS(AA71-Z71)&lt;SQRT(2)/2/2,1,0)</f>
        <v>0</v>
      </c>
      <c r="AC71" t="e">
        <f t="shared" ref="AC71:AC134" ca="1" si="24">IF($AB71=1,W71,NA())</f>
        <v>#N/A</v>
      </c>
      <c r="AD71" t="e">
        <f t="shared" ref="AD71:AD134" ca="1" si="25">IF($AB71=1,X71,NA())</f>
        <v>#N/A</v>
      </c>
    </row>
    <row r="72" spans="1:30" x14ac:dyDescent="0.2">
      <c r="A72">
        <f t="shared" si="12"/>
        <v>67</v>
      </c>
      <c r="B72">
        <f t="shared" ref="B72:B135" ca="1" si="26">RAND()</f>
        <v>0.83607279327890249</v>
      </c>
      <c r="C72">
        <f t="shared" ref="C72:C135" ca="1" si="27">RAND()*2*PI()</f>
        <v>4.0900282924935931</v>
      </c>
      <c r="D72">
        <f t="shared" ca="1" si="13"/>
        <v>-0.48739269210327701</v>
      </c>
      <c r="E72">
        <f t="shared" ca="1" si="14"/>
        <v>-0.67931294654636654</v>
      </c>
      <c r="V72">
        <v>67</v>
      </c>
      <c r="W72">
        <f t="shared" ca="1" si="19"/>
        <v>-0.48739269210327701</v>
      </c>
      <c r="X72">
        <f t="shared" ca="1" si="20"/>
        <v>-0.67931294654636654</v>
      </c>
      <c r="Y72">
        <f>'uniforme cercle (rejet)'!AJ76</f>
        <v>0</v>
      </c>
      <c r="Z72">
        <f t="shared" ca="1" si="21"/>
        <v>0.8249854687377447</v>
      </c>
      <c r="AA72">
        <f t="shared" ca="1" si="22"/>
        <v>1.5380908147150576</v>
      </c>
      <c r="AB72">
        <f t="shared" ca="1" si="23"/>
        <v>0</v>
      </c>
      <c r="AC72" t="e">
        <f t="shared" ca="1" si="24"/>
        <v>#N/A</v>
      </c>
      <c r="AD72" t="e">
        <f t="shared" ca="1" si="25"/>
        <v>#N/A</v>
      </c>
    </row>
    <row r="73" spans="1:30" x14ac:dyDescent="0.2">
      <c r="A73">
        <f t="shared" si="12"/>
        <v>68</v>
      </c>
      <c r="B73">
        <f t="shared" ca="1" si="26"/>
        <v>0.13313597111095576</v>
      </c>
      <c r="C73">
        <f t="shared" ca="1" si="27"/>
        <v>3.164878649042032</v>
      </c>
      <c r="D73">
        <f t="shared" ca="1" si="13"/>
        <v>-0.13309987707828896</v>
      </c>
      <c r="E73">
        <f t="shared" ca="1" si="14"/>
        <v>-3.0999234509283529E-3</v>
      </c>
      <c r="V73">
        <v>68</v>
      </c>
      <c r="W73">
        <f t="shared" ca="1" si="19"/>
        <v>-0.13309987707828896</v>
      </c>
      <c r="X73">
        <f t="shared" ca="1" si="20"/>
        <v>-3.0999234509283529E-3</v>
      </c>
      <c r="Y73">
        <f>'uniforme cercle (rejet)'!AJ77</f>
        <v>0</v>
      </c>
      <c r="Z73">
        <f t="shared" ca="1" si="21"/>
        <v>9.6307802550464686E-2</v>
      </c>
      <c r="AA73">
        <f t="shared" ca="1" si="22"/>
        <v>0.80865628503887521</v>
      </c>
      <c r="AB73">
        <f t="shared" ca="1" si="23"/>
        <v>0</v>
      </c>
      <c r="AC73" t="e">
        <f t="shared" ca="1" si="24"/>
        <v>#N/A</v>
      </c>
      <c r="AD73" t="e">
        <f t="shared" ca="1" si="25"/>
        <v>#N/A</v>
      </c>
    </row>
    <row r="74" spans="1:30" x14ac:dyDescent="0.2">
      <c r="A74">
        <f t="shared" si="12"/>
        <v>69</v>
      </c>
      <c r="B74">
        <f t="shared" ca="1" si="26"/>
        <v>0.54930048138552778</v>
      </c>
      <c r="C74">
        <f t="shared" ca="1" si="27"/>
        <v>5.7639079584936841</v>
      </c>
      <c r="D74">
        <f t="shared" ca="1" si="13"/>
        <v>0.47689060658435556</v>
      </c>
      <c r="E74">
        <f t="shared" ca="1" si="14"/>
        <v>-0.27259194449208868</v>
      </c>
      <c r="V74">
        <v>69</v>
      </c>
      <c r="W74">
        <f t="shared" ca="1" si="19"/>
        <v>0.47689060658435556</v>
      </c>
      <c r="X74">
        <f t="shared" ca="1" si="20"/>
        <v>-0.27259194449208868</v>
      </c>
      <c r="Y74">
        <f>'uniforme cercle (rejet)'!AJ78</f>
        <v>0</v>
      </c>
      <c r="Z74">
        <f t="shared" ca="1" si="21"/>
        <v>0.14446096935278097</v>
      </c>
      <c r="AA74">
        <f t="shared" ca="1" si="22"/>
        <v>0.77293748567274556</v>
      </c>
      <c r="AB74">
        <f t="shared" ca="1" si="23"/>
        <v>0</v>
      </c>
      <c r="AC74" t="e">
        <f t="shared" ca="1" si="24"/>
        <v>#N/A</v>
      </c>
      <c r="AD74" t="e">
        <f t="shared" ca="1" si="25"/>
        <v>#N/A</v>
      </c>
    </row>
    <row r="75" spans="1:30" x14ac:dyDescent="0.2">
      <c r="A75">
        <f t="shared" si="12"/>
        <v>70</v>
      </c>
      <c r="B75">
        <f t="shared" ca="1" si="26"/>
        <v>0.28228693160391605</v>
      </c>
      <c r="C75">
        <f t="shared" ca="1" si="27"/>
        <v>3.6660408297654712</v>
      </c>
      <c r="D75">
        <f t="shared" ca="1" si="13"/>
        <v>-0.24434767840900215</v>
      </c>
      <c r="E75">
        <f t="shared" ca="1" si="14"/>
        <v>-0.14135106582719792</v>
      </c>
      <c r="V75">
        <v>70</v>
      </c>
      <c r="W75">
        <f t="shared" ca="1" si="19"/>
        <v>-0.24434767840900215</v>
      </c>
      <c r="X75">
        <f t="shared" ca="1" si="20"/>
        <v>-0.14135106582719792</v>
      </c>
      <c r="Y75">
        <f>'uniforme cercle (rejet)'!AJ79</f>
        <v>0</v>
      </c>
      <c r="Z75">
        <f t="shared" ca="1" si="21"/>
        <v>0.27273019754455291</v>
      </c>
      <c r="AA75">
        <f t="shared" ca="1" si="22"/>
        <v>0.98253990045725581</v>
      </c>
      <c r="AB75">
        <f t="shared" ca="1" si="23"/>
        <v>0</v>
      </c>
      <c r="AC75" t="e">
        <f t="shared" ca="1" si="24"/>
        <v>#N/A</v>
      </c>
      <c r="AD75" t="e">
        <f t="shared" ca="1" si="25"/>
        <v>#N/A</v>
      </c>
    </row>
    <row r="76" spans="1:30" x14ac:dyDescent="0.2">
      <c r="A76">
        <f t="shared" si="12"/>
        <v>71</v>
      </c>
      <c r="B76">
        <f t="shared" ca="1" si="26"/>
        <v>0.61519715473577452</v>
      </c>
      <c r="C76">
        <f t="shared" ca="1" si="27"/>
        <v>3.9772096598352555</v>
      </c>
      <c r="D76">
        <f t="shared" ca="1" si="13"/>
        <v>-0.41262514042556714</v>
      </c>
      <c r="E76">
        <f t="shared" ca="1" si="14"/>
        <v>-0.45629818395844346</v>
      </c>
      <c r="V76">
        <v>71</v>
      </c>
      <c r="W76">
        <f t="shared" ca="1" si="19"/>
        <v>-0.41262514042556714</v>
      </c>
      <c r="X76">
        <f t="shared" ca="1" si="20"/>
        <v>-0.45629818395844346</v>
      </c>
      <c r="Y76">
        <f>'uniforme cercle (rejet)'!AJ80</f>
        <v>0</v>
      </c>
      <c r="Z76">
        <f t="shared" ca="1" si="21"/>
        <v>0.61442157500309202</v>
      </c>
      <c r="AA76">
        <f t="shared" ca="1" si="22"/>
        <v>1.3218891268101887</v>
      </c>
      <c r="AB76">
        <f t="shared" ca="1" si="23"/>
        <v>0</v>
      </c>
      <c r="AC76" t="e">
        <f t="shared" ca="1" si="24"/>
        <v>#N/A</v>
      </c>
      <c r="AD76" t="e">
        <f t="shared" ca="1" si="25"/>
        <v>#N/A</v>
      </c>
    </row>
    <row r="77" spans="1:30" x14ac:dyDescent="0.2">
      <c r="A77">
        <f t="shared" si="12"/>
        <v>72</v>
      </c>
      <c r="B77">
        <f t="shared" ca="1" si="26"/>
        <v>2.8590354279108499E-2</v>
      </c>
      <c r="C77">
        <f t="shared" ca="1" si="27"/>
        <v>4.9114491833672274</v>
      </c>
      <c r="D77">
        <f t="shared" ca="1" si="13"/>
        <v>5.6536905113739261E-3</v>
      </c>
      <c r="E77">
        <f t="shared" ca="1" si="14"/>
        <v>-2.8025776374732924E-2</v>
      </c>
      <c r="V77">
        <v>72</v>
      </c>
      <c r="W77">
        <f t="shared" ca="1" si="19"/>
        <v>5.6536905113739261E-3</v>
      </c>
      <c r="X77">
        <f t="shared" ca="1" si="20"/>
        <v>-2.8025776374732924E-2</v>
      </c>
      <c r="Y77">
        <f>'uniforme cercle (rejet)'!AJ81</f>
        <v>0</v>
      </c>
      <c r="Z77">
        <f t="shared" ca="1" si="21"/>
        <v>1.5819453623268847E-2</v>
      </c>
      <c r="AA77">
        <f t="shared" ca="1" si="22"/>
        <v>0.72331839062833447</v>
      </c>
      <c r="AB77">
        <f t="shared" ca="1" si="23"/>
        <v>0</v>
      </c>
      <c r="AC77" t="e">
        <f t="shared" ca="1" si="24"/>
        <v>#N/A</v>
      </c>
      <c r="AD77" t="e">
        <f t="shared" ca="1" si="25"/>
        <v>#N/A</v>
      </c>
    </row>
    <row r="78" spans="1:30" x14ac:dyDescent="0.2">
      <c r="A78">
        <f t="shared" si="12"/>
        <v>73</v>
      </c>
      <c r="B78">
        <f t="shared" ca="1" si="26"/>
        <v>2.4537711771888682E-2</v>
      </c>
      <c r="C78">
        <f t="shared" ca="1" si="27"/>
        <v>0.33730554886619063</v>
      </c>
      <c r="D78">
        <f t="shared" ca="1" si="13"/>
        <v>2.3155006974959636E-2</v>
      </c>
      <c r="E78">
        <f t="shared" ca="1" si="14"/>
        <v>8.1206496655042912E-3</v>
      </c>
      <c r="V78">
        <v>73</v>
      </c>
      <c r="W78">
        <f t="shared" ca="1" si="19"/>
        <v>2.3155006974959636E-2</v>
      </c>
      <c r="X78">
        <f t="shared" ca="1" si="20"/>
        <v>8.1206496655042912E-3</v>
      </c>
      <c r="Y78">
        <f>'uniforme cercle (rejet)'!AJ82</f>
        <v>0</v>
      </c>
      <c r="Z78">
        <f t="shared" ca="1" si="21"/>
        <v>2.2115228896534122E-2</v>
      </c>
      <c r="AA78">
        <f t="shared" ca="1" si="22"/>
        <v>0.68507404173456776</v>
      </c>
      <c r="AB78">
        <f t="shared" ca="1" si="23"/>
        <v>0</v>
      </c>
      <c r="AC78" t="e">
        <f t="shared" ca="1" si="24"/>
        <v>#N/A</v>
      </c>
      <c r="AD78" t="e">
        <f t="shared" ca="1" si="25"/>
        <v>#N/A</v>
      </c>
    </row>
    <row r="79" spans="1:30" x14ac:dyDescent="0.2">
      <c r="A79">
        <f t="shared" si="12"/>
        <v>74</v>
      </c>
      <c r="B79">
        <f t="shared" ca="1" si="26"/>
        <v>0.38208327993061963</v>
      </c>
      <c r="C79">
        <f t="shared" ca="1" si="27"/>
        <v>2.1565997505737542</v>
      </c>
      <c r="D79">
        <f t="shared" ca="1" si="13"/>
        <v>-0.21124201164881853</v>
      </c>
      <c r="E79">
        <f t="shared" ca="1" si="14"/>
        <v>0.31837783421133553</v>
      </c>
      <c r="V79">
        <v>74</v>
      </c>
      <c r="W79">
        <f t="shared" ca="1" si="19"/>
        <v>-0.21124201164881853</v>
      </c>
      <c r="X79">
        <f t="shared" ca="1" si="20"/>
        <v>0.31837783421133553</v>
      </c>
      <c r="Y79">
        <f>'uniforme cercle (rejet)'!AJ83</f>
        <v>0</v>
      </c>
      <c r="Z79">
        <f t="shared" ca="1" si="21"/>
        <v>7.5756466641954498E-2</v>
      </c>
      <c r="AA79">
        <f t="shared" ca="1" si="22"/>
        <v>0.73406526292968211</v>
      </c>
      <c r="AB79">
        <f t="shared" ca="1" si="23"/>
        <v>0</v>
      </c>
      <c r="AC79" t="e">
        <f t="shared" ca="1" si="24"/>
        <v>#N/A</v>
      </c>
      <c r="AD79" t="e">
        <f t="shared" ca="1" si="25"/>
        <v>#N/A</v>
      </c>
    </row>
    <row r="80" spans="1:30" x14ac:dyDescent="0.2">
      <c r="A80">
        <f t="shared" si="12"/>
        <v>75</v>
      </c>
      <c r="B80">
        <f t="shared" ca="1" si="26"/>
        <v>0.26400745451461105</v>
      </c>
      <c r="C80">
        <f t="shared" ca="1" si="27"/>
        <v>1.751044754777501</v>
      </c>
      <c r="D80">
        <f t="shared" ca="1" si="13"/>
        <v>-4.7329667701998597E-2</v>
      </c>
      <c r="E80">
        <f t="shared" ca="1" si="14"/>
        <v>0.25973031897432153</v>
      </c>
      <c r="V80">
        <v>75</v>
      </c>
      <c r="W80">
        <f t="shared" ca="1" si="19"/>
        <v>-4.7329667701998597E-2</v>
      </c>
      <c r="X80">
        <f t="shared" ca="1" si="20"/>
        <v>0.25973031897432153</v>
      </c>
      <c r="Y80">
        <f>'uniforme cercle (rejet)'!AJ84</f>
        <v>0</v>
      </c>
      <c r="Z80">
        <f t="shared" ca="1" si="21"/>
        <v>0.15018994084309864</v>
      </c>
      <c r="AA80">
        <f t="shared" ca="1" si="22"/>
        <v>0.59774516707955194</v>
      </c>
      <c r="AB80">
        <f t="shared" ca="1" si="23"/>
        <v>0</v>
      </c>
      <c r="AC80" t="e">
        <f t="shared" ca="1" si="24"/>
        <v>#N/A</v>
      </c>
      <c r="AD80" t="e">
        <f t="shared" ca="1" si="25"/>
        <v>#N/A</v>
      </c>
    </row>
    <row r="81" spans="1:30" x14ac:dyDescent="0.2">
      <c r="A81">
        <f t="shared" si="12"/>
        <v>76</v>
      </c>
      <c r="B81">
        <f t="shared" ca="1" si="26"/>
        <v>0.46680454507341529</v>
      </c>
      <c r="C81">
        <f t="shared" ca="1" si="27"/>
        <v>4.2319795884508506</v>
      </c>
      <c r="D81">
        <f t="shared" ca="1" si="13"/>
        <v>-0.21573010995951616</v>
      </c>
      <c r="E81">
        <f t="shared" ca="1" si="14"/>
        <v>-0.41396497793660431</v>
      </c>
      <c r="V81">
        <v>76</v>
      </c>
      <c r="W81">
        <f t="shared" ca="1" si="19"/>
        <v>-0.21573010995951616</v>
      </c>
      <c r="X81">
        <f t="shared" ca="1" si="20"/>
        <v>-0.41396497793660431</v>
      </c>
      <c r="Y81">
        <f>'uniforme cercle (rejet)'!AJ85</f>
        <v>0</v>
      </c>
      <c r="Z81">
        <f t="shared" ca="1" si="21"/>
        <v>0.44526166673120593</v>
      </c>
      <c r="AA81">
        <f t="shared" ca="1" si="22"/>
        <v>1.160862425611803</v>
      </c>
      <c r="AB81">
        <f t="shared" ca="1" si="23"/>
        <v>0</v>
      </c>
      <c r="AC81" t="e">
        <f t="shared" ca="1" si="24"/>
        <v>#N/A</v>
      </c>
      <c r="AD81" t="e">
        <f t="shared" ca="1" si="25"/>
        <v>#N/A</v>
      </c>
    </row>
    <row r="82" spans="1:30" x14ac:dyDescent="0.2">
      <c r="A82">
        <f t="shared" si="12"/>
        <v>77</v>
      </c>
      <c r="B82">
        <f t="shared" ca="1" si="26"/>
        <v>0.11516263149199601</v>
      </c>
      <c r="C82">
        <f t="shared" ca="1" si="27"/>
        <v>5.8947903357045197</v>
      </c>
      <c r="D82">
        <f t="shared" ca="1" si="13"/>
        <v>0.10658509776010587</v>
      </c>
      <c r="E82">
        <f t="shared" ca="1" si="14"/>
        <v>-4.3612482474974387E-2</v>
      </c>
      <c r="V82">
        <v>77</v>
      </c>
      <c r="W82">
        <f t="shared" ca="1" si="19"/>
        <v>0.10658509776010587</v>
      </c>
      <c r="X82">
        <f t="shared" ca="1" si="20"/>
        <v>-4.3612482474974387E-2</v>
      </c>
      <c r="Y82">
        <f>'uniforme cercle (rejet)'!AJ86</f>
        <v>0</v>
      </c>
      <c r="Z82">
        <f t="shared" ca="1" si="21"/>
        <v>4.4528363297168104E-2</v>
      </c>
      <c r="AA82">
        <f t="shared" ca="1" si="22"/>
        <v>0.67103637487622814</v>
      </c>
      <c r="AB82">
        <f t="shared" ca="1" si="23"/>
        <v>0</v>
      </c>
      <c r="AC82" t="e">
        <f t="shared" ca="1" si="24"/>
        <v>#N/A</v>
      </c>
      <c r="AD82" t="e">
        <f t="shared" ca="1" si="25"/>
        <v>#N/A</v>
      </c>
    </row>
    <row r="83" spans="1:30" x14ac:dyDescent="0.2">
      <c r="A83">
        <f t="shared" si="12"/>
        <v>78</v>
      </c>
      <c r="B83">
        <f t="shared" ca="1" si="26"/>
        <v>0.84911193940729124</v>
      </c>
      <c r="C83">
        <f t="shared" ca="1" si="27"/>
        <v>6.1526880892552374</v>
      </c>
      <c r="D83">
        <f t="shared" ca="1" si="13"/>
        <v>0.8418922078261144</v>
      </c>
      <c r="E83">
        <f t="shared" ca="1" si="14"/>
        <v>-0.11049251579035575</v>
      </c>
      <c r="V83">
        <v>78</v>
      </c>
      <c r="W83">
        <f t="shared" ca="1" si="19"/>
        <v>0.8418922078261144</v>
      </c>
      <c r="X83">
        <f t="shared" ca="1" si="20"/>
        <v>-0.11049251579035575</v>
      </c>
      <c r="Y83">
        <f>'uniforme cercle (rejet)'!AJ87</f>
        <v>0</v>
      </c>
      <c r="Z83">
        <f t="shared" ca="1" si="21"/>
        <v>0.51717768199623748</v>
      </c>
      <c r="AA83">
        <f t="shared" ca="1" si="22"/>
        <v>0.69970807742104335</v>
      </c>
      <c r="AB83">
        <f t="shared" ca="1" si="23"/>
        <v>1</v>
      </c>
      <c r="AC83">
        <f t="shared" ca="1" si="24"/>
        <v>0.8418922078261144</v>
      </c>
      <c r="AD83">
        <f t="shared" ca="1" si="25"/>
        <v>-0.11049251579035575</v>
      </c>
    </row>
    <row r="84" spans="1:30" x14ac:dyDescent="0.2">
      <c r="A84">
        <f t="shared" si="12"/>
        <v>79</v>
      </c>
      <c r="B84">
        <f t="shared" ca="1" si="26"/>
        <v>0.77524622845382885</v>
      </c>
      <c r="C84">
        <f t="shared" ca="1" si="27"/>
        <v>0.5791098143554525</v>
      </c>
      <c r="D84">
        <f t="shared" ca="1" si="13"/>
        <v>0.64884245608571112</v>
      </c>
      <c r="E84">
        <f t="shared" ca="1" si="14"/>
        <v>0.42427606804125578</v>
      </c>
      <c r="V84">
        <v>79</v>
      </c>
      <c r="W84">
        <f t="shared" ca="1" si="19"/>
        <v>0.64884245608571112</v>
      </c>
      <c r="X84">
        <f t="shared" ca="1" si="20"/>
        <v>0.42427606804125578</v>
      </c>
      <c r="Y84">
        <f>'uniforme cercle (rejet)'!AJ88</f>
        <v>0</v>
      </c>
      <c r="Z84">
        <f t="shared" ca="1" si="21"/>
        <v>0.7588093854270781</v>
      </c>
      <c r="AA84">
        <f t="shared" ca="1" si="22"/>
        <v>0.16699757664385242</v>
      </c>
      <c r="AB84">
        <f t="shared" ca="1" si="23"/>
        <v>0</v>
      </c>
      <c r="AC84" t="e">
        <f t="shared" ca="1" si="24"/>
        <v>#N/A</v>
      </c>
      <c r="AD84" t="e">
        <f t="shared" ca="1" si="25"/>
        <v>#N/A</v>
      </c>
    </row>
    <row r="85" spans="1:30" x14ac:dyDescent="0.2">
      <c r="A85">
        <f t="shared" si="12"/>
        <v>80</v>
      </c>
      <c r="B85">
        <f t="shared" ca="1" si="26"/>
        <v>0.73153631370321881</v>
      </c>
      <c r="C85">
        <f t="shared" ca="1" si="27"/>
        <v>0.67772150332040182</v>
      </c>
      <c r="D85">
        <f t="shared" ca="1" si="13"/>
        <v>0.56986927700781342</v>
      </c>
      <c r="E85">
        <f t="shared" ca="1" si="14"/>
        <v>0.45868767738962224</v>
      </c>
      <c r="V85">
        <v>80</v>
      </c>
      <c r="W85">
        <f t="shared" ca="1" si="19"/>
        <v>0.56986927700781342</v>
      </c>
      <c r="X85">
        <f t="shared" ca="1" si="20"/>
        <v>0.45868767738962224</v>
      </c>
      <c r="Y85">
        <f>'uniforme cercle (rejet)'!AJ89</f>
        <v>0</v>
      </c>
      <c r="Z85">
        <f t="shared" ca="1" si="21"/>
        <v>0.72729959729100935</v>
      </c>
      <c r="AA85">
        <f t="shared" ca="1" si="22"/>
        <v>8.1169106617348538E-2</v>
      </c>
      <c r="AB85">
        <f t="shared" ca="1" si="23"/>
        <v>0</v>
      </c>
      <c r="AC85" t="e">
        <f t="shared" ca="1" si="24"/>
        <v>#N/A</v>
      </c>
      <c r="AD85" t="e">
        <f t="shared" ca="1" si="25"/>
        <v>#N/A</v>
      </c>
    </row>
    <row r="86" spans="1:30" x14ac:dyDescent="0.2">
      <c r="A86">
        <f t="shared" si="12"/>
        <v>81</v>
      </c>
      <c r="B86">
        <f t="shared" ca="1" si="26"/>
        <v>2.902597777623428E-2</v>
      </c>
      <c r="C86">
        <f t="shared" ca="1" si="27"/>
        <v>4.1810671494913478</v>
      </c>
      <c r="D86">
        <f t="shared" ca="1" si="13"/>
        <v>-1.4706690391640262E-2</v>
      </c>
      <c r="E86">
        <f t="shared" ca="1" si="14"/>
        <v>-2.5024400963677078E-2</v>
      </c>
      <c r="V86">
        <v>81</v>
      </c>
      <c r="W86">
        <f t="shared" ca="1" si="19"/>
        <v>-1.4706690391640262E-2</v>
      </c>
      <c r="X86">
        <f t="shared" ca="1" si="20"/>
        <v>-2.5024400963677078E-2</v>
      </c>
      <c r="Y86">
        <f>'uniforme cercle (rejet)'!AJ90</f>
        <v>0</v>
      </c>
      <c r="Z86">
        <f t="shared" ca="1" si="21"/>
        <v>2.8094124121287107E-2</v>
      </c>
      <c r="AA86">
        <f t="shared" ca="1" si="22"/>
        <v>0.73523710375713758</v>
      </c>
      <c r="AB86">
        <f t="shared" ca="1" si="23"/>
        <v>0</v>
      </c>
      <c r="AC86" t="e">
        <f t="shared" ca="1" si="24"/>
        <v>#N/A</v>
      </c>
      <c r="AD86" t="e">
        <f t="shared" ca="1" si="25"/>
        <v>#N/A</v>
      </c>
    </row>
    <row r="87" spans="1:30" x14ac:dyDescent="0.2">
      <c r="A87">
        <f t="shared" si="12"/>
        <v>82</v>
      </c>
      <c r="B87">
        <f t="shared" ca="1" si="26"/>
        <v>0.69974920687110043</v>
      </c>
      <c r="C87">
        <f t="shared" ca="1" si="27"/>
        <v>4.5307340050920102</v>
      </c>
      <c r="D87">
        <f t="shared" ca="1" si="13"/>
        <v>-0.12641498748121444</v>
      </c>
      <c r="E87">
        <f t="shared" ca="1" si="14"/>
        <v>-0.68823557264708324</v>
      </c>
      <c r="V87">
        <v>82</v>
      </c>
      <c r="W87">
        <f t="shared" ca="1" si="19"/>
        <v>-0.12641498748121444</v>
      </c>
      <c r="X87">
        <f t="shared" ca="1" si="20"/>
        <v>-0.68823557264708324</v>
      </c>
      <c r="Y87">
        <f>'uniforme cercle (rejet)'!AJ91</f>
        <v>0</v>
      </c>
      <c r="Z87">
        <f t="shared" ca="1" si="21"/>
        <v>0.57604493536413848</v>
      </c>
      <c r="AA87">
        <f t="shared" ca="1" si="22"/>
        <v>1.3432421645574679</v>
      </c>
      <c r="AB87">
        <f t="shared" ca="1" si="23"/>
        <v>0</v>
      </c>
      <c r="AC87" t="e">
        <f t="shared" ca="1" si="24"/>
        <v>#N/A</v>
      </c>
      <c r="AD87" t="e">
        <f t="shared" ca="1" si="25"/>
        <v>#N/A</v>
      </c>
    </row>
    <row r="88" spans="1:30" x14ac:dyDescent="0.2">
      <c r="A88">
        <f t="shared" si="12"/>
        <v>83</v>
      </c>
      <c r="B88">
        <f t="shared" ca="1" si="26"/>
        <v>0.75660321251158569</v>
      </c>
      <c r="C88">
        <f t="shared" ca="1" si="27"/>
        <v>2.3326429676144267</v>
      </c>
      <c r="D88">
        <f t="shared" ca="1" si="13"/>
        <v>-0.52225201152879197</v>
      </c>
      <c r="E88">
        <f t="shared" ca="1" si="14"/>
        <v>0.54744977636033643</v>
      </c>
      <c r="V88">
        <v>83</v>
      </c>
      <c r="W88">
        <f t="shared" ca="1" si="19"/>
        <v>-0.52225201152879197</v>
      </c>
      <c r="X88">
        <f t="shared" ca="1" si="20"/>
        <v>0.54744977636033643</v>
      </c>
      <c r="Y88">
        <f>'uniforme cercle (rejet)'!AJ92</f>
        <v>0</v>
      </c>
      <c r="Z88">
        <f t="shared" ca="1" si="21"/>
        <v>1.7817510383128985E-2</v>
      </c>
      <c r="AA88">
        <f t="shared" ca="1" si="22"/>
        <v>1.0233526549295251</v>
      </c>
      <c r="AB88">
        <f t="shared" ca="1" si="23"/>
        <v>0</v>
      </c>
      <c r="AC88" t="e">
        <f t="shared" ca="1" si="24"/>
        <v>#N/A</v>
      </c>
      <c r="AD88" t="e">
        <f t="shared" ca="1" si="25"/>
        <v>#N/A</v>
      </c>
    </row>
    <row r="89" spans="1:30" x14ac:dyDescent="0.2">
      <c r="A89">
        <f t="shared" si="12"/>
        <v>84</v>
      </c>
      <c r="B89">
        <f t="shared" ca="1" si="26"/>
        <v>0.38739761293043884</v>
      </c>
      <c r="C89">
        <f t="shared" ca="1" si="27"/>
        <v>0.30794712461504908</v>
      </c>
      <c r="D89">
        <f t="shared" ca="1" si="13"/>
        <v>0.36917358085765228</v>
      </c>
      <c r="E89">
        <f t="shared" ca="1" si="14"/>
        <v>0.11742136816159389</v>
      </c>
      <c r="V89">
        <v>84</v>
      </c>
      <c r="W89">
        <f t="shared" ca="1" si="19"/>
        <v>0.36917358085765228</v>
      </c>
      <c r="X89">
        <f t="shared" ca="1" si="20"/>
        <v>0.11742136816159389</v>
      </c>
      <c r="Y89">
        <f>'uniforme cercle (rejet)'!AJ93</f>
        <v>0</v>
      </c>
      <c r="Z89">
        <f t="shared" ca="1" si="21"/>
        <v>0.34407458814263137</v>
      </c>
      <c r="AA89">
        <f t="shared" ca="1" si="22"/>
        <v>0.40432902627063017</v>
      </c>
      <c r="AB89">
        <f t="shared" ca="1" si="23"/>
        <v>1</v>
      </c>
      <c r="AC89">
        <f t="shared" ca="1" si="24"/>
        <v>0.36917358085765228</v>
      </c>
      <c r="AD89">
        <f t="shared" ca="1" si="25"/>
        <v>0.11742136816159389</v>
      </c>
    </row>
    <row r="90" spans="1:30" x14ac:dyDescent="0.2">
      <c r="A90">
        <f t="shared" si="12"/>
        <v>85</v>
      </c>
      <c r="B90">
        <f t="shared" ca="1" si="26"/>
        <v>0.17303885608423342</v>
      </c>
      <c r="C90">
        <f t="shared" ca="1" si="27"/>
        <v>1.9069834850353802</v>
      </c>
      <c r="D90">
        <f t="shared" ca="1" si="13"/>
        <v>-5.7083805955837501E-2</v>
      </c>
      <c r="E90">
        <f t="shared" ca="1" si="14"/>
        <v>0.16335202726791098</v>
      </c>
      <c r="V90">
        <v>85</v>
      </c>
      <c r="W90">
        <f t="shared" ca="1" si="19"/>
        <v>-5.7083805955837501E-2</v>
      </c>
      <c r="X90">
        <f t="shared" ca="1" si="20"/>
        <v>0.16335202726791098</v>
      </c>
      <c r="Y90">
        <f>'uniforme cercle (rejet)'!AJ94</f>
        <v>0</v>
      </c>
      <c r="Z90">
        <f t="shared" ca="1" si="21"/>
        <v>7.5142979914399943E-2</v>
      </c>
      <c r="AA90">
        <f t="shared" ca="1" si="22"/>
        <v>0.65090262282684541</v>
      </c>
      <c r="AB90">
        <f t="shared" ca="1" si="23"/>
        <v>0</v>
      </c>
      <c r="AC90" t="e">
        <f t="shared" ca="1" si="24"/>
        <v>#N/A</v>
      </c>
      <c r="AD90" t="e">
        <f t="shared" ca="1" si="25"/>
        <v>#N/A</v>
      </c>
    </row>
    <row r="91" spans="1:30" x14ac:dyDescent="0.2">
      <c r="A91">
        <f t="shared" si="12"/>
        <v>86</v>
      </c>
      <c r="B91">
        <f t="shared" ca="1" si="26"/>
        <v>0.20585846947856334</v>
      </c>
      <c r="C91">
        <f t="shared" ca="1" si="27"/>
        <v>5.0438213278258468</v>
      </c>
      <c r="D91">
        <f t="shared" ca="1" si="13"/>
        <v>6.6985884197950887E-2</v>
      </c>
      <c r="E91">
        <f t="shared" ca="1" si="14"/>
        <v>-0.19465508155266667</v>
      </c>
      <c r="V91">
        <v>86</v>
      </c>
      <c r="W91">
        <f t="shared" ca="1" si="19"/>
        <v>6.6985884197950887E-2</v>
      </c>
      <c r="X91">
        <f t="shared" ca="1" si="20"/>
        <v>-0.19465508155266667</v>
      </c>
      <c r="Y91">
        <f>'uniforme cercle (rejet)'!AJ95</f>
        <v>0</v>
      </c>
      <c r="Z91">
        <f t="shared" ca="1" si="21"/>
        <v>9.0275755198163152E-2</v>
      </c>
      <c r="AA91">
        <f t="shared" ca="1" si="22"/>
        <v>0.81856392958080704</v>
      </c>
      <c r="AB91">
        <f t="shared" ca="1" si="23"/>
        <v>0</v>
      </c>
      <c r="AC91" t="e">
        <f t="shared" ca="1" si="24"/>
        <v>#N/A</v>
      </c>
      <c r="AD91" t="e">
        <f t="shared" ca="1" si="25"/>
        <v>#N/A</v>
      </c>
    </row>
    <row r="92" spans="1:30" x14ac:dyDescent="0.2">
      <c r="A92">
        <f t="shared" si="12"/>
        <v>87</v>
      </c>
      <c r="B92">
        <f t="shared" ca="1" si="26"/>
        <v>0.72260168994282004</v>
      </c>
      <c r="C92">
        <f t="shared" ca="1" si="27"/>
        <v>3.4742644124653639</v>
      </c>
      <c r="D92">
        <f t="shared" ca="1" si="13"/>
        <v>-0.68298375389087895</v>
      </c>
      <c r="E92">
        <f t="shared" ca="1" si="14"/>
        <v>-0.23597964791342205</v>
      </c>
      <c r="V92">
        <v>87</v>
      </c>
      <c r="W92">
        <f t="shared" ca="1" si="19"/>
        <v>-0.68298375389087895</v>
      </c>
      <c r="X92">
        <f t="shared" ca="1" si="20"/>
        <v>-0.23597964791342205</v>
      </c>
      <c r="Y92">
        <f>'uniforme cercle (rejet)'!AJ96</f>
        <v>0</v>
      </c>
      <c r="Z92">
        <f t="shared" ca="1" si="21"/>
        <v>0.64980525307807924</v>
      </c>
      <c r="AA92">
        <f t="shared" ca="1" si="22"/>
        <v>1.3932396075738447</v>
      </c>
      <c r="AB92">
        <f t="shared" ca="1" si="23"/>
        <v>0</v>
      </c>
      <c r="AC92" t="e">
        <f t="shared" ca="1" si="24"/>
        <v>#N/A</v>
      </c>
      <c r="AD92" t="e">
        <f t="shared" ca="1" si="25"/>
        <v>#N/A</v>
      </c>
    </row>
    <row r="93" spans="1:30" x14ac:dyDescent="0.2">
      <c r="A93">
        <f t="shared" si="12"/>
        <v>88</v>
      </c>
      <c r="B93">
        <f t="shared" ca="1" si="26"/>
        <v>0.12797822314857343</v>
      </c>
      <c r="C93">
        <f t="shared" ca="1" si="27"/>
        <v>1.0363025400431354</v>
      </c>
      <c r="D93">
        <f t="shared" ca="1" si="13"/>
        <v>6.5192810079745978E-2</v>
      </c>
      <c r="E93">
        <f t="shared" ca="1" si="14"/>
        <v>0.11012866617812198</v>
      </c>
      <c r="V93">
        <v>88</v>
      </c>
      <c r="W93">
        <f t="shared" ca="1" si="19"/>
        <v>6.5192810079745978E-2</v>
      </c>
      <c r="X93">
        <f t="shared" ca="1" si="20"/>
        <v>0.11012866617812198</v>
      </c>
      <c r="Y93">
        <f>'uniforme cercle (rejet)'!AJ97</f>
        <v>0</v>
      </c>
      <c r="Z93">
        <f t="shared" ca="1" si="21"/>
        <v>0.12397100474957473</v>
      </c>
      <c r="AA93">
        <f t="shared" ca="1" si="22"/>
        <v>0.58400081279258342</v>
      </c>
      <c r="AB93">
        <f t="shared" ca="1" si="23"/>
        <v>0</v>
      </c>
      <c r="AC93" t="e">
        <f t="shared" ca="1" si="24"/>
        <v>#N/A</v>
      </c>
      <c r="AD93" t="e">
        <f t="shared" ca="1" si="25"/>
        <v>#N/A</v>
      </c>
    </row>
    <row r="94" spans="1:30" x14ac:dyDescent="0.2">
      <c r="A94">
        <f t="shared" ref="A94:A157" si="28">1+A93</f>
        <v>89</v>
      </c>
      <c r="B94">
        <f t="shared" ca="1" si="26"/>
        <v>0.19715831323564581</v>
      </c>
      <c r="C94">
        <f t="shared" ca="1" si="27"/>
        <v>3.9643892044352471</v>
      </c>
      <c r="D94">
        <f t="shared" ref="D94:D157" ca="1" si="29">B94*COS(C94)</f>
        <v>-0.13410193010540844</v>
      </c>
      <c r="E94">
        <f t="shared" ref="E94:E157" ca="1" si="30">B94*SIN(C94)</f>
        <v>-0.14452706604622259</v>
      </c>
      <c r="V94">
        <v>89</v>
      </c>
      <c r="W94">
        <f t="shared" ca="1" si="19"/>
        <v>-0.13410193010540844</v>
      </c>
      <c r="X94">
        <f t="shared" ca="1" si="20"/>
        <v>-0.14452706604622259</v>
      </c>
      <c r="Y94">
        <f>'uniforme cercle (rejet)'!AJ98</f>
        <v>0</v>
      </c>
      <c r="Z94">
        <f t="shared" ca="1" si="21"/>
        <v>0.19702045261401879</v>
      </c>
      <c r="AA94">
        <f t="shared" ca="1" si="22"/>
        <v>0.90415728533787532</v>
      </c>
      <c r="AB94">
        <f t="shared" ca="1" si="23"/>
        <v>0</v>
      </c>
      <c r="AC94" t="e">
        <f t="shared" ca="1" si="24"/>
        <v>#N/A</v>
      </c>
      <c r="AD94" t="e">
        <f t="shared" ca="1" si="25"/>
        <v>#N/A</v>
      </c>
    </row>
    <row r="95" spans="1:30" x14ac:dyDescent="0.2">
      <c r="A95">
        <f t="shared" si="28"/>
        <v>90</v>
      </c>
      <c r="B95">
        <f t="shared" ca="1" si="26"/>
        <v>0.89931249659936674</v>
      </c>
      <c r="C95">
        <f t="shared" ca="1" si="27"/>
        <v>1.4757282226266728</v>
      </c>
      <c r="D95">
        <f t="shared" ca="1" si="29"/>
        <v>8.5367207707791409E-2</v>
      </c>
      <c r="E95">
        <f t="shared" ca="1" si="30"/>
        <v>0.89525158831914997</v>
      </c>
      <c r="V95">
        <v>90</v>
      </c>
      <c r="W95">
        <f t="shared" ca="1" si="19"/>
        <v>8.5367207707791409E-2</v>
      </c>
      <c r="X95">
        <f t="shared" ca="1" si="20"/>
        <v>0.89525158831914997</v>
      </c>
      <c r="Y95">
        <f>'uniforme cercle (rejet)'!AJ99</f>
        <v>0</v>
      </c>
      <c r="Z95">
        <f t="shared" ca="1" si="21"/>
        <v>0.69340220042963818</v>
      </c>
      <c r="AA95">
        <f t="shared" ca="1" si="22"/>
        <v>0.57283869502054818</v>
      </c>
      <c r="AB95">
        <f t="shared" ca="1" si="23"/>
        <v>1</v>
      </c>
      <c r="AC95">
        <f t="shared" ca="1" si="24"/>
        <v>8.5367207707791409E-2</v>
      </c>
      <c r="AD95">
        <f t="shared" ca="1" si="25"/>
        <v>0.89525158831914997</v>
      </c>
    </row>
    <row r="96" spans="1:30" x14ac:dyDescent="0.2">
      <c r="A96">
        <f t="shared" si="28"/>
        <v>91</v>
      </c>
      <c r="B96">
        <f t="shared" ca="1" si="26"/>
        <v>0.77370473745614377</v>
      </c>
      <c r="C96">
        <f t="shared" ca="1" si="27"/>
        <v>2.8170816031588945E-2</v>
      </c>
      <c r="D96">
        <f t="shared" ca="1" si="29"/>
        <v>0.7733977537011304</v>
      </c>
      <c r="E96">
        <f t="shared" ca="1" si="30"/>
        <v>2.1793011084425801E-2</v>
      </c>
      <c r="V96">
        <v>91</v>
      </c>
      <c r="W96">
        <f t="shared" ca="1" si="19"/>
        <v>0.7733977537011304</v>
      </c>
      <c r="X96">
        <f t="shared" ca="1" si="20"/>
        <v>2.1793011084425801E-2</v>
      </c>
      <c r="Y96">
        <f>'uniforme cercle (rejet)'!AJ100</f>
        <v>0</v>
      </c>
      <c r="Z96">
        <f t="shared" ca="1" si="21"/>
        <v>0.56228478211678368</v>
      </c>
      <c r="AA96">
        <f t="shared" ca="1" si="22"/>
        <v>0.55084322268366348</v>
      </c>
      <c r="AB96">
        <f t="shared" ca="1" si="23"/>
        <v>1</v>
      </c>
      <c r="AC96">
        <f t="shared" ca="1" si="24"/>
        <v>0.7733977537011304</v>
      </c>
      <c r="AD96">
        <f t="shared" ca="1" si="25"/>
        <v>2.1793011084425801E-2</v>
      </c>
    </row>
    <row r="97" spans="1:30" x14ac:dyDescent="0.2">
      <c r="A97">
        <f t="shared" si="28"/>
        <v>92</v>
      </c>
      <c r="B97">
        <f t="shared" ca="1" si="26"/>
        <v>0.45441453779823815</v>
      </c>
      <c r="C97">
        <f t="shared" ca="1" si="27"/>
        <v>1.2930459329199329</v>
      </c>
      <c r="D97">
        <f t="shared" ca="1" si="29"/>
        <v>0.12459726487163629</v>
      </c>
      <c r="E97">
        <f t="shared" ca="1" si="30"/>
        <v>0.43699896309819058</v>
      </c>
      <c r="V97">
        <v>92</v>
      </c>
      <c r="W97">
        <f t="shared" ca="1" si="19"/>
        <v>0.12459726487163629</v>
      </c>
      <c r="X97">
        <f t="shared" ca="1" si="20"/>
        <v>0.43699896309819058</v>
      </c>
      <c r="Y97">
        <f>'uniforme cercle (rejet)'!AJ101</f>
        <v>0</v>
      </c>
      <c r="Z97">
        <f t="shared" ca="1" si="21"/>
        <v>0.39710850108625084</v>
      </c>
      <c r="AA97">
        <f t="shared" ca="1" si="22"/>
        <v>0.38065252421671858</v>
      </c>
      <c r="AB97">
        <f t="shared" ca="1" si="23"/>
        <v>1</v>
      </c>
      <c r="AC97">
        <f t="shared" ca="1" si="24"/>
        <v>0.12459726487163629</v>
      </c>
      <c r="AD97">
        <f t="shared" ca="1" si="25"/>
        <v>0.43699896309819058</v>
      </c>
    </row>
    <row r="98" spans="1:30" x14ac:dyDescent="0.2">
      <c r="A98">
        <f t="shared" si="28"/>
        <v>93</v>
      </c>
      <c r="B98">
        <f t="shared" ca="1" si="26"/>
        <v>0.88080033196565632</v>
      </c>
      <c r="C98">
        <f t="shared" ca="1" si="27"/>
        <v>5.1796248469793733</v>
      </c>
      <c r="D98">
        <f t="shared" ca="1" si="29"/>
        <v>0.39673021298113065</v>
      </c>
      <c r="E98">
        <f t="shared" ca="1" si="30"/>
        <v>-0.78639326224145456</v>
      </c>
      <c r="V98">
        <v>93</v>
      </c>
      <c r="W98">
        <f t="shared" ca="1" si="19"/>
        <v>0.39673021298113065</v>
      </c>
      <c r="X98">
        <f t="shared" ca="1" si="20"/>
        <v>-0.78639326224145456</v>
      </c>
      <c r="Y98">
        <f>'uniforme cercle (rejet)'!AJ102</f>
        <v>0</v>
      </c>
      <c r="Z98">
        <f t="shared" ca="1" si="21"/>
        <v>0.27553338450980275</v>
      </c>
      <c r="AA98">
        <f t="shared" ca="1" si="22"/>
        <v>1.2905317795587734</v>
      </c>
      <c r="AB98">
        <f t="shared" ca="1" si="23"/>
        <v>0</v>
      </c>
      <c r="AC98" t="e">
        <f t="shared" ca="1" si="24"/>
        <v>#N/A</v>
      </c>
      <c r="AD98" t="e">
        <f t="shared" ca="1" si="25"/>
        <v>#N/A</v>
      </c>
    </row>
    <row r="99" spans="1:30" x14ac:dyDescent="0.2">
      <c r="A99">
        <f t="shared" si="28"/>
        <v>94</v>
      </c>
      <c r="B99">
        <f t="shared" ca="1" si="26"/>
        <v>0.7122943384588506</v>
      </c>
      <c r="C99">
        <f t="shared" ca="1" si="27"/>
        <v>3.839396267021133</v>
      </c>
      <c r="D99">
        <f t="shared" ca="1" si="29"/>
        <v>-0.54579930657653986</v>
      </c>
      <c r="E99">
        <f t="shared" ca="1" si="30"/>
        <v>-0.45767492998972525</v>
      </c>
      <c r="V99">
        <v>94</v>
      </c>
      <c r="W99">
        <f t="shared" ca="1" si="19"/>
        <v>-0.54579930657653986</v>
      </c>
      <c r="X99">
        <f t="shared" ca="1" si="20"/>
        <v>-0.45767492998972525</v>
      </c>
      <c r="Y99">
        <f>'uniforme cercle (rejet)'!AJ103</f>
        <v>0</v>
      </c>
      <c r="Z99">
        <f t="shared" ca="1" si="21"/>
        <v>0.70956343742199979</v>
      </c>
      <c r="AA99">
        <f t="shared" ca="1" si="22"/>
        <v>1.41804000689924</v>
      </c>
      <c r="AB99">
        <f t="shared" ca="1" si="23"/>
        <v>0</v>
      </c>
      <c r="AC99" t="e">
        <f t="shared" ca="1" si="24"/>
        <v>#N/A</v>
      </c>
      <c r="AD99" t="e">
        <f t="shared" ca="1" si="25"/>
        <v>#N/A</v>
      </c>
    </row>
    <row r="100" spans="1:30" x14ac:dyDescent="0.2">
      <c r="A100">
        <f t="shared" si="28"/>
        <v>95</v>
      </c>
      <c r="B100">
        <f t="shared" ca="1" si="26"/>
        <v>2.6170778026708974E-2</v>
      </c>
      <c r="C100">
        <f t="shared" ca="1" si="27"/>
        <v>2.1555364548626588</v>
      </c>
      <c r="D100">
        <f t="shared" ca="1" si="29"/>
        <v>-1.4445816855407873E-2</v>
      </c>
      <c r="E100">
        <f t="shared" ca="1" si="30"/>
        <v>2.1822648737109963E-2</v>
      </c>
      <c r="V100">
        <v>95</v>
      </c>
      <c r="W100">
        <f t="shared" ca="1" si="19"/>
        <v>-1.4445816855407873E-2</v>
      </c>
      <c r="X100">
        <f t="shared" ca="1" si="20"/>
        <v>2.1822648737109963E-2</v>
      </c>
      <c r="Y100">
        <f>'uniforme cercle (rejet)'!AJ104</f>
        <v>0</v>
      </c>
      <c r="Z100">
        <f t="shared" ca="1" si="21"/>
        <v>5.2162078472246676E-3</v>
      </c>
      <c r="AA100">
        <f t="shared" ca="1" si="22"/>
        <v>0.70235893796606674</v>
      </c>
      <c r="AB100">
        <f t="shared" ca="1" si="23"/>
        <v>0</v>
      </c>
      <c r="AC100" t="e">
        <f t="shared" ca="1" si="24"/>
        <v>#N/A</v>
      </c>
      <c r="AD100" t="e">
        <f t="shared" ca="1" si="25"/>
        <v>#N/A</v>
      </c>
    </row>
    <row r="101" spans="1:30" x14ac:dyDescent="0.2">
      <c r="A101">
        <f t="shared" si="28"/>
        <v>96</v>
      </c>
      <c r="B101">
        <f t="shared" ca="1" si="26"/>
        <v>0.45838992814758173</v>
      </c>
      <c r="C101">
        <f t="shared" ca="1" si="27"/>
        <v>5.2474243417710529</v>
      </c>
      <c r="D101">
        <f t="shared" ca="1" si="29"/>
        <v>0.23371994163946708</v>
      </c>
      <c r="E101">
        <f t="shared" ca="1" si="30"/>
        <v>-0.39433021074625929</v>
      </c>
      <c r="V101">
        <v>96</v>
      </c>
      <c r="W101">
        <f t="shared" ca="1" si="19"/>
        <v>0.23371994163946708</v>
      </c>
      <c r="X101">
        <f t="shared" ca="1" si="20"/>
        <v>-0.39433021074625929</v>
      </c>
      <c r="Y101">
        <f>'uniforme cercle (rejet)'!AJ105</f>
        <v>0</v>
      </c>
      <c r="Z101">
        <f t="shared" ca="1" si="21"/>
        <v>0.11356861041360904</v>
      </c>
      <c r="AA101">
        <f t="shared" ca="1" si="22"/>
        <v>0.93312999916085504</v>
      </c>
      <c r="AB101">
        <f t="shared" ca="1" si="23"/>
        <v>0</v>
      </c>
      <c r="AC101" t="e">
        <f t="shared" ca="1" si="24"/>
        <v>#N/A</v>
      </c>
      <c r="AD101" t="e">
        <f t="shared" ca="1" si="25"/>
        <v>#N/A</v>
      </c>
    </row>
    <row r="102" spans="1:30" x14ac:dyDescent="0.2">
      <c r="A102">
        <f t="shared" si="28"/>
        <v>97</v>
      </c>
      <c r="B102">
        <f t="shared" ca="1" si="26"/>
        <v>0.7919291376583818</v>
      </c>
      <c r="C102">
        <f t="shared" ca="1" si="27"/>
        <v>4.9792093409430151</v>
      </c>
      <c r="D102">
        <f t="shared" ca="1" si="29"/>
        <v>0.20880451048389467</v>
      </c>
      <c r="E102">
        <f t="shared" ca="1" si="30"/>
        <v>-0.76390603838032944</v>
      </c>
      <c r="V102">
        <v>97</v>
      </c>
      <c r="W102">
        <f t="shared" ca="1" si="19"/>
        <v>0.20880451048389467</v>
      </c>
      <c r="X102">
        <f t="shared" ca="1" si="20"/>
        <v>-0.76390603838032944</v>
      </c>
      <c r="Y102">
        <f>'uniforme cercle (rejet)'!AJ106</f>
        <v>0</v>
      </c>
      <c r="Z102">
        <f t="shared" ca="1" si="21"/>
        <v>0.39251605462258249</v>
      </c>
      <c r="AA102">
        <f t="shared" ca="1" si="22"/>
        <v>1.2970170727360466</v>
      </c>
      <c r="AB102">
        <f t="shared" ca="1" si="23"/>
        <v>0</v>
      </c>
      <c r="AC102" t="e">
        <f t="shared" ca="1" si="24"/>
        <v>#N/A</v>
      </c>
      <c r="AD102" t="e">
        <f t="shared" ca="1" si="25"/>
        <v>#N/A</v>
      </c>
    </row>
    <row r="103" spans="1:30" x14ac:dyDescent="0.2">
      <c r="A103">
        <f t="shared" si="28"/>
        <v>98</v>
      </c>
      <c r="B103">
        <f t="shared" ca="1" si="26"/>
        <v>0.55004610026481193</v>
      </c>
      <c r="C103">
        <f t="shared" ca="1" si="27"/>
        <v>4.3143038404891785</v>
      </c>
      <c r="D103">
        <f t="shared" ca="1" si="29"/>
        <v>-0.21322753052226878</v>
      </c>
      <c r="E103">
        <f t="shared" ca="1" si="30"/>
        <v>-0.50703523806921191</v>
      </c>
      <c r="V103">
        <v>98</v>
      </c>
      <c r="W103">
        <f t="shared" ca="1" si="19"/>
        <v>-0.21322753052226878</v>
      </c>
      <c r="X103">
        <f t="shared" ca="1" si="20"/>
        <v>-0.50703523806921191</v>
      </c>
      <c r="Y103">
        <f>'uniforme cercle (rejet)'!AJ107</f>
        <v>0</v>
      </c>
      <c r="Z103">
        <f t="shared" ca="1" si="21"/>
        <v>0.50930268790723299</v>
      </c>
      <c r="AA103">
        <f t="shared" ca="1" si="22"/>
        <v>1.2340232903020949</v>
      </c>
      <c r="AB103">
        <f t="shared" ca="1" si="23"/>
        <v>0</v>
      </c>
      <c r="AC103" t="e">
        <f t="shared" ca="1" si="24"/>
        <v>#N/A</v>
      </c>
      <c r="AD103" t="e">
        <f t="shared" ca="1" si="25"/>
        <v>#N/A</v>
      </c>
    </row>
    <row r="104" spans="1:30" x14ac:dyDescent="0.2">
      <c r="A104">
        <f t="shared" si="28"/>
        <v>99</v>
      </c>
      <c r="B104">
        <f t="shared" ca="1" si="26"/>
        <v>7.343009031640535E-2</v>
      </c>
      <c r="C104">
        <f t="shared" ca="1" si="27"/>
        <v>3.7193661409557346</v>
      </c>
      <c r="D104">
        <f t="shared" ca="1" si="29"/>
        <v>-6.1510973701885567E-2</v>
      </c>
      <c r="E104">
        <f t="shared" ca="1" si="30"/>
        <v>-4.0104591733633059E-2</v>
      </c>
      <c r="V104">
        <v>99</v>
      </c>
      <c r="W104">
        <f t="shared" ca="1" si="19"/>
        <v>-6.1510973701885567E-2</v>
      </c>
      <c r="X104">
        <f t="shared" ca="1" si="20"/>
        <v>-4.0104591733633059E-2</v>
      </c>
      <c r="Y104">
        <f>'uniforme cercle (rejet)'!AJ108</f>
        <v>0</v>
      </c>
      <c r="Z104">
        <f t="shared" ca="1" si="21"/>
        <v>7.1853055393560572E-2</v>
      </c>
      <c r="AA104">
        <f t="shared" ca="1" si="22"/>
        <v>0.77910688843020381</v>
      </c>
      <c r="AB104">
        <f t="shared" ca="1" si="23"/>
        <v>0</v>
      </c>
      <c r="AC104" t="e">
        <f t="shared" ca="1" si="24"/>
        <v>#N/A</v>
      </c>
      <c r="AD104" t="e">
        <f t="shared" ca="1" si="25"/>
        <v>#N/A</v>
      </c>
    </row>
    <row r="105" spans="1:30" x14ac:dyDescent="0.2">
      <c r="A105">
        <f t="shared" si="28"/>
        <v>100</v>
      </c>
      <c r="B105">
        <f t="shared" ca="1" si="26"/>
        <v>0.94073369891011427</v>
      </c>
      <c r="C105">
        <f t="shared" ca="1" si="27"/>
        <v>4.6893323992622271</v>
      </c>
      <c r="D105">
        <f t="shared" ca="1" si="29"/>
        <v>-2.1688181130075878E-2</v>
      </c>
      <c r="E105">
        <f t="shared" ca="1" si="30"/>
        <v>-0.94048366017936469</v>
      </c>
      <c r="V105">
        <v>100</v>
      </c>
      <c r="W105">
        <f t="shared" ca="1" si="19"/>
        <v>-2.1688181130075878E-2</v>
      </c>
      <c r="X105">
        <f t="shared" ca="1" si="20"/>
        <v>-0.94048366017936469</v>
      </c>
      <c r="Y105">
        <f>'uniforme cercle (rejet)'!AJ109</f>
        <v>0</v>
      </c>
      <c r="Z105">
        <f t="shared" ca="1" si="21"/>
        <v>0.68035823365665204</v>
      </c>
      <c r="AA105">
        <f t="shared" ca="1" si="22"/>
        <v>1.5320416879362475</v>
      </c>
      <c r="AB105">
        <f t="shared" ca="1" si="23"/>
        <v>0</v>
      </c>
      <c r="AC105" t="e">
        <f t="shared" ca="1" si="24"/>
        <v>#N/A</v>
      </c>
      <c r="AD105" t="e">
        <f t="shared" ca="1" si="25"/>
        <v>#N/A</v>
      </c>
    </row>
    <row r="106" spans="1:30" x14ac:dyDescent="0.2">
      <c r="A106">
        <f t="shared" si="28"/>
        <v>101</v>
      </c>
      <c r="B106">
        <f t="shared" ca="1" si="26"/>
        <v>0.12389614646516089</v>
      </c>
      <c r="C106">
        <f t="shared" ca="1" si="27"/>
        <v>1.2598503647998509</v>
      </c>
      <c r="D106">
        <f t="shared" ca="1" si="29"/>
        <v>3.7907187064459572E-2</v>
      </c>
      <c r="E106">
        <f t="shared" ca="1" si="30"/>
        <v>0.11795465348080451</v>
      </c>
      <c r="V106">
        <v>101</v>
      </c>
      <c r="W106">
        <f t="shared" ca="1" si="19"/>
        <v>3.7907187064459572E-2</v>
      </c>
      <c r="X106">
        <f t="shared" ca="1" si="20"/>
        <v>0.11795465348080451</v>
      </c>
      <c r="Y106">
        <f>'uniforme cercle (rejet)'!AJ110</f>
        <v>0</v>
      </c>
      <c r="Z106">
        <f t="shared" ca="1" si="21"/>
        <v>0.11021096437777261</v>
      </c>
      <c r="AA106">
        <f t="shared" ca="1" si="22"/>
        <v>0.59957352723719592</v>
      </c>
      <c r="AB106">
        <f t="shared" ca="1" si="23"/>
        <v>0</v>
      </c>
      <c r="AC106" t="e">
        <f t="shared" ca="1" si="24"/>
        <v>#N/A</v>
      </c>
      <c r="AD106" t="e">
        <f t="shared" ca="1" si="25"/>
        <v>#N/A</v>
      </c>
    </row>
    <row r="107" spans="1:30" x14ac:dyDescent="0.2">
      <c r="A107">
        <f t="shared" si="28"/>
        <v>102</v>
      </c>
      <c r="B107">
        <f t="shared" ca="1" si="26"/>
        <v>0.71260382618704254</v>
      </c>
      <c r="C107">
        <f t="shared" ca="1" si="27"/>
        <v>1.138254002745297</v>
      </c>
      <c r="D107">
        <f t="shared" ca="1" si="29"/>
        <v>0.29870951287969377</v>
      </c>
      <c r="E107">
        <f t="shared" ca="1" si="30"/>
        <v>0.64697514636312636</v>
      </c>
      <c r="V107">
        <v>102</v>
      </c>
      <c r="W107">
        <f t="shared" ca="1" si="19"/>
        <v>0.29870951287969377</v>
      </c>
      <c r="X107">
        <f t="shared" ca="1" si="20"/>
        <v>0.64697514636312636</v>
      </c>
      <c r="Y107">
        <f>'uniforme cercle (rejet)'!AJ111</f>
        <v>0</v>
      </c>
      <c r="Z107">
        <f t="shared" ca="1" si="21"/>
        <v>0.66870003541468748</v>
      </c>
      <c r="AA107">
        <f t="shared" ca="1" si="22"/>
        <v>0.24923794625536574</v>
      </c>
      <c r="AB107">
        <f t="shared" ca="1" si="23"/>
        <v>0</v>
      </c>
      <c r="AC107" t="e">
        <f t="shared" ca="1" si="24"/>
        <v>#N/A</v>
      </c>
      <c r="AD107" t="e">
        <f t="shared" ca="1" si="25"/>
        <v>#N/A</v>
      </c>
    </row>
    <row r="108" spans="1:30" x14ac:dyDescent="0.2">
      <c r="A108">
        <f t="shared" si="28"/>
        <v>103</v>
      </c>
      <c r="B108">
        <f t="shared" ca="1" si="26"/>
        <v>0.83940169229757078</v>
      </c>
      <c r="C108">
        <f t="shared" ca="1" si="27"/>
        <v>3.9479600518526747</v>
      </c>
      <c r="D108">
        <f t="shared" ca="1" si="29"/>
        <v>-0.58097083313995312</v>
      </c>
      <c r="E108">
        <f t="shared" ca="1" si="30"/>
        <v>-0.60586144626696159</v>
      </c>
      <c r="V108">
        <v>103</v>
      </c>
      <c r="W108">
        <f t="shared" ca="1" si="19"/>
        <v>-0.58097083313995312</v>
      </c>
      <c r="X108">
        <f t="shared" ca="1" si="20"/>
        <v>-0.60586144626696159</v>
      </c>
      <c r="Y108">
        <f>'uniforme cercle (rejet)'!AJ112</f>
        <v>0</v>
      </c>
      <c r="Z108">
        <f t="shared" ca="1" si="21"/>
        <v>0.83921715289971666</v>
      </c>
      <c r="AA108">
        <f t="shared" ca="1" si="22"/>
        <v>1.546424094625708</v>
      </c>
      <c r="AB108">
        <f t="shared" ca="1" si="23"/>
        <v>0</v>
      </c>
      <c r="AC108" t="e">
        <f t="shared" ca="1" si="24"/>
        <v>#N/A</v>
      </c>
      <c r="AD108" t="e">
        <f t="shared" ca="1" si="25"/>
        <v>#N/A</v>
      </c>
    </row>
    <row r="109" spans="1:30" x14ac:dyDescent="0.2">
      <c r="A109">
        <f t="shared" si="28"/>
        <v>104</v>
      </c>
      <c r="B109">
        <f t="shared" ca="1" si="26"/>
        <v>0.83369159738609167</v>
      </c>
      <c r="C109">
        <f t="shared" ca="1" si="27"/>
        <v>5.6566358218340076</v>
      </c>
      <c r="D109">
        <f t="shared" ca="1" si="29"/>
        <v>0.67533650269594514</v>
      </c>
      <c r="E109">
        <f t="shared" ca="1" si="30"/>
        <v>-0.48883769052578468</v>
      </c>
      <c r="V109">
        <v>104</v>
      </c>
      <c r="W109">
        <f t="shared" ca="1" si="19"/>
        <v>0.67533650269594514</v>
      </c>
      <c r="X109">
        <f t="shared" ca="1" si="20"/>
        <v>-0.48883769052578468</v>
      </c>
      <c r="Y109">
        <f>'uniforme cercle (rejet)'!AJ113</f>
        <v>0</v>
      </c>
      <c r="Z109">
        <f t="shared" ca="1" si="21"/>
        <v>0.13187457476875669</v>
      </c>
      <c r="AA109">
        <f t="shared" ca="1" si="22"/>
        <v>1.0042623498777661</v>
      </c>
      <c r="AB109">
        <f t="shared" ca="1" si="23"/>
        <v>0</v>
      </c>
      <c r="AC109" t="e">
        <f t="shared" ca="1" si="24"/>
        <v>#N/A</v>
      </c>
      <c r="AD109" t="e">
        <f t="shared" ca="1" si="25"/>
        <v>#N/A</v>
      </c>
    </row>
    <row r="110" spans="1:30" x14ac:dyDescent="0.2">
      <c r="A110">
        <f t="shared" si="28"/>
        <v>105</v>
      </c>
      <c r="B110">
        <f t="shared" ca="1" si="26"/>
        <v>0.99439635505012802</v>
      </c>
      <c r="C110">
        <f t="shared" ca="1" si="27"/>
        <v>5.5046502349108293</v>
      </c>
      <c r="D110">
        <f t="shared" ca="1" si="29"/>
        <v>0.70795355239755764</v>
      </c>
      <c r="E110">
        <f t="shared" ca="1" si="30"/>
        <v>-0.69830213989694956</v>
      </c>
      <c r="V110">
        <v>105</v>
      </c>
      <c r="W110">
        <f t="shared" ca="1" si="19"/>
        <v>0.70795355239755764</v>
      </c>
      <c r="X110">
        <f t="shared" ca="1" si="20"/>
        <v>-0.69830213989694956</v>
      </c>
      <c r="Y110">
        <f>'uniforme cercle (rejet)'!AJ114</f>
        <v>0</v>
      </c>
      <c r="Z110">
        <f t="shared" ca="1" si="21"/>
        <v>6.8245792272085878E-3</v>
      </c>
      <c r="AA110">
        <f t="shared" ca="1" si="22"/>
        <v>1.2162124396816423</v>
      </c>
      <c r="AB110">
        <f t="shared" ca="1" si="23"/>
        <v>0</v>
      </c>
      <c r="AC110" t="e">
        <f t="shared" ca="1" si="24"/>
        <v>#N/A</v>
      </c>
      <c r="AD110" t="e">
        <f t="shared" ca="1" si="25"/>
        <v>#N/A</v>
      </c>
    </row>
    <row r="111" spans="1:30" x14ac:dyDescent="0.2">
      <c r="A111">
        <f t="shared" si="28"/>
        <v>106</v>
      </c>
      <c r="B111">
        <f t="shared" ca="1" si="26"/>
        <v>0.14088512018317068</v>
      </c>
      <c r="C111">
        <f t="shared" ca="1" si="27"/>
        <v>2.4532413252700578</v>
      </c>
      <c r="D111">
        <f t="shared" ca="1" si="29"/>
        <v>-0.10880479037216653</v>
      </c>
      <c r="E111">
        <f t="shared" ca="1" si="30"/>
        <v>8.9499355757990479E-2</v>
      </c>
      <c r="V111">
        <v>106</v>
      </c>
      <c r="W111">
        <f t="shared" ca="1" si="19"/>
        <v>-0.10880479037216653</v>
      </c>
      <c r="X111">
        <f t="shared" ca="1" si="20"/>
        <v>8.9499355757990479E-2</v>
      </c>
      <c r="Y111">
        <f>'uniforme cercle (rejet)'!AJ115</f>
        <v>0</v>
      </c>
      <c r="Z111">
        <f t="shared" ca="1" si="21"/>
        <v>1.3651003729437387E-2</v>
      </c>
      <c r="AA111">
        <f t="shared" ca="1" si="22"/>
        <v>0.73427110232066362</v>
      </c>
      <c r="AB111">
        <f t="shared" ca="1" si="23"/>
        <v>0</v>
      </c>
      <c r="AC111" t="e">
        <f t="shared" ca="1" si="24"/>
        <v>#N/A</v>
      </c>
      <c r="AD111" t="e">
        <f t="shared" ca="1" si="25"/>
        <v>#N/A</v>
      </c>
    </row>
    <row r="112" spans="1:30" x14ac:dyDescent="0.2">
      <c r="A112">
        <f t="shared" si="28"/>
        <v>107</v>
      </c>
      <c r="B112">
        <f t="shared" ca="1" si="26"/>
        <v>0.17792060183315017</v>
      </c>
      <c r="C112">
        <f t="shared" ca="1" si="27"/>
        <v>4.7777250558769691</v>
      </c>
      <c r="D112">
        <f t="shared" ca="1" si="29"/>
        <v>1.1616365093227681E-2</v>
      </c>
      <c r="E112">
        <f t="shared" ca="1" si="30"/>
        <v>-0.17754098292701659</v>
      </c>
      <c r="V112">
        <v>107</v>
      </c>
      <c r="W112">
        <f t="shared" ca="1" si="19"/>
        <v>1.1616365093227681E-2</v>
      </c>
      <c r="X112">
        <f t="shared" ca="1" si="20"/>
        <v>-0.17754098292701659</v>
      </c>
      <c r="Y112">
        <f>'uniforme cercle (rejet)'!AJ116</f>
        <v>0</v>
      </c>
      <c r="Z112">
        <f t="shared" ca="1" si="21"/>
        <v>0.11732642243605848</v>
      </c>
      <c r="AA112">
        <f t="shared" ca="1" si="22"/>
        <v>0.83521276234888753</v>
      </c>
      <c r="AB112">
        <f t="shared" ca="1" si="23"/>
        <v>0</v>
      </c>
      <c r="AC112" t="e">
        <f t="shared" ca="1" si="24"/>
        <v>#N/A</v>
      </c>
      <c r="AD112" t="e">
        <f t="shared" ca="1" si="25"/>
        <v>#N/A</v>
      </c>
    </row>
    <row r="113" spans="1:30" x14ac:dyDescent="0.2">
      <c r="A113">
        <f t="shared" si="28"/>
        <v>108</v>
      </c>
      <c r="B113">
        <f t="shared" ca="1" si="26"/>
        <v>0.5201198774201039</v>
      </c>
      <c r="C113">
        <f t="shared" ca="1" si="27"/>
        <v>1.2778765583153686</v>
      </c>
      <c r="D113">
        <f t="shared" ca="1" si="29"/>
        <v>0.15018401777561263</v>
      </c>
      <c r="E113">
        <f t="shared" ca="1" si="30"/>
        <v>0.49796530771960251</v>
      </c>
      <c r="V113">
        <v>108</v>
      </c>
      <c r="W113">
        <f t="shared" ca="1" si="19"/>
        <v>0.15018401777561263</v>
      </c>
      <c r="X113">
        <f t="shared" ca="1" si="20"/>
        <v>0.49796530771960251</v>
      </c>
      <c r="Y113">
        <f>'uniforme cercle (rejet)'!AJ117</f>
        <v>0</v>
      </c>
      <c r="Z113">
        <f t="shared" ca="1" si="21"/>
        <v>0.45831078327915348</v>
      </c>
      <c r="AA113">
        <f t="shared" ca="1" si="22"/>
        <v>0.34982189953216025</v>
      </c>
      <c r="AB113">
        <f t="shared" ca="1" si="23"/>
        <v>1</v>
      </c>
      <c r="AC113">
        <f t="shared" ca="1" si="24"/>
        <v>0.15018401777561263</v>
      </c>
      <c r="AD113">
        <f t="shared" ca="1" si="25"/>
        <v>0.49796530771960251</v>
      </c>
    </row>
    <row r="114" spans="1:30" x14ac:dyDescent="0.2">
      <c r="A114">
        <f t="shared" si="28"/>
        <v>109</v>
      </c>
      <c r="B114">
        <f t="shared" ca="1" si="26"/>
        <v>0.49456138355582868</v>
      </c>
      <c r="C114">
        <f t="shared" ca="1" si="27"/>
        <v>0.37599058258390711</v>
      </c>
      <c r="D114">
        <f t="shared" ca="1" si="29"/>
        <v>0.46001347281043731</v>
      </c>
      <c r="E114">
        <f t="shared" ca="1" si="30"/>
        <v>0.18160001910114582</v>
      </c>
      <c r="V114">
        <v>109</v>
      </c>
      <c r="W114">
        <f t="shared" ca="1" si="19"/>
        <v>0.46001347281043731</v>
      </c>
      <c r="X114">
        <f t="shared" ca="1" si="20"/>
        <v>0.18160001910114582</v>
      </c>
      <c r="Y114">
        <f>'uniforme cercle (rejet)'!AJ118</f>
        <v>0</v>
      </c>
      <c r="Z114">
        <f t="shared" ca="1" si="21"/>
        <v>0.45368925103146052</v>
      </c>
      <c r="AA114">
        <f t="shared" ca="1" si="22"/>
        <v>0.3209010286569246</v>
      </c>
      <c r="AB114">
        <f t="shared" ca="1" si="23"/>
        <v>1</v>
      </c>
      <c r="AC114">
        <f t="shared" ca="1" si="24"/>
        <v>0.46001347281043731</v>
      </c>
      <c r="AD114">
        <f t="shared" ca="1" si="25"/>
        <v>0.18160001910114582</v>
      </c>
    </row>
    <row r="115" spans="1:30" x14ac:dyDescent="0.2">
      <c r="A115">
        <f t="shared" si="28"/>
        <v>110</v>
      </c>
      <c r="B115">
        <f t="shared" ca="1" si="26"/>
        <v>0.94085947366273803</v>
      </c>
      <c r="C115">
        <f t="shared" ca="1" si="27"/>
        <v>0.59041249943097063</v>
      </c>
      <c r="D115">
        <f t="shared" ca="1" si="29"/>
        <v>0.78158241753845226</v>
      </c>
      <c r="E115">
        <f t="shared" ca="1" si="30"/>
        <v>0.52377998603962794</v>
      </c>
      <c r="V115">
        <v>110</v>
      </c>
      <c r="W115">
        <f t="shared" ca="1" si="19"/>
        <v>0.78158241753845226</v>
      </c>
      <c r="X115">
        <f t="shared" ca="1" si="20"/>
        <v>0.52377998603962794</v>
      </c>
      <c r="Y115">
        <f>'uniforme cercle (rejet)'!AJ119</f>
        <v>0</v>
      </c>
      <c r="Z115">
        <f t="shared" ca="1" si="21"/>
        <v>0.92303060747603127</v>
      </c>
      <c r="AA115">
        <f t="shared" ca="1" si="22"/>
        <v>0.2825847582635061</v>
      </c>
      <c r="AB115">
        <f t="shared" ca="1" si="23"/>
        <v>0</v>
      </c>
      <c r="AC115" t="e">
        <f t="shared" ca="1" si="24"/>
        <v>#N/A</v>
      </c>
      <c r="AD115" t="e">
        <f t="shared" ca="1" si="25"/>
        <v>#N/A</v>
      </c>
    </row>
    <row r="116" spans="1:30" x14ac:dyDescent="0.2">
      <c r="A116">
        <f t="shared" si="28"/>
        <v>111</v>
      </c>
      <c r="B116">
        <f t="shared" ca="1" si="26"/>
        <v>0.85431549074260582</v>
      </c>
      <c r="C116">
        <f t="shared" ca="1" si="27"/>
        <v>3.9901299864098578</v>
      </c>
      <c r="D116">
        <f t="shared" ca="1" si="29"/>
        <v>-0.56477200608211808</v>
      </c>
      <c r="E116">
        <f t="shared" ca="1" si="30"/>
        <v>-0.64100510050136061</v>
      </c>
      <c r="V116">
        <v>111</v>
      </c>
      <c r="W116">
        <f t="shared" ca="1" si="19"/>
        <v>-0.56477200608211808</v>
      </c>
      <c r="X116">
        <f t="shared" ca="1" si="20"/>
        <v>-0.64100510050136061</v>
      </c>
      <c r="Y116">
        <f>'uniforme cercle (rejet)'!AJ120</f>
        <v>0</v>
      </c>
      <c r="Z116">
        <f t="shared" ca="1" si="21"/>
        <v>0.85261316866467241</v>
      </c>
      <c r="AA116">
        <f t="shared" ca="1" si="22"/>
        <v>1.5606511667590097</v>
      </c>
      <c r="AB116">
        <f t="shared" ca="1" si="23"/>
        <v>0</v>
      </c>
      <c r="AC116" t="e">
        <f t="shared" ca="1" si="24"/>
        <v>#N/A</v>
      </c>
      <c r="AD116" t="e">
        <f t="shared" ca="1" si="25"/>
        <v>#N/A</v>
      </c>
    </row>
    <row r="117" spans="1:30" x14ac:dyDescent="0.2">
      <c r="A117">
        <f t="shared" si="28"/>
        <v>112</v>
      </c>
      <c r="B117">
        <f t="shared" ca="1" si="26"/>
        <v>0.88026887159398048</v>
      </c>
      <c r="C117">
        <f t="shared" ca="1" si="27"/>
        <v>5.6845382954204</v>
      </c>
      <c r="D117">
        <f t="shared" ca="1" si="29"/>
        <v>0.72718907072209904</v>
      </c>
      <c r="E117">
        <f t="shared" ca="1" si="30"/>
        <v>-0.49605376898040976</v>
      </c>
      <c r="V117">
        <v>112</v>
      </c>
      <c r="W117">
        <f t="shared" ca="1" si="19"/>
        <v>0.72718907072209904</v>
      </c>
      <c r="X117">
        <f t="shared" ca="1" si="20"/>
        <v>-0.49605376898040976</v>
      </c>
      <c r="Y117">
        <f>'uniforme cercle (rejet)'!AJ121</f>
        <v>0</v>
      </c>
      <c r="Z117">
        <f t="shared" ca="1" si="21"/>
        <v>0.16343733923314732</v>
      </c>
      <c r="AA117">
        <f t="shared" ca="1" si="22"/>
        <v>1.0216349566041927</v>
      </c>
      <c r="AB117">
        <f t="shared" ca="1" si="23"/>
        <v>0</v>
      </c>
      <c r="AC117" t="e">
        <f t="shared" ca="1" si="24"/>
        <v>#N/A</v>
      </c>
      <c r="AD117" t="e">
        <f t="shared" ca="1" si="25"/>
        <v>#N/A</v>
      </c>
    </row>
    <row r="118" spans="1:30" x14ac:dyDescent="0.2">
      <c r="A118">
        <f t="shared" si="28"/>
        <v>113</v>
      </c>
      <c r="B118">
        <f t="shared" ca="1" si="26"/>
        <v>0.43008464904697308</v>
      </c>
      <c r="C118">
        <f t="shared" ca="1" si="27"/>
        <v>5.3005833204851251</v>
      </c>
      <c r="D118">
        <f t="shared" ca="1" si="29"/>
        <v>0.23863664815436386</v>
      </c>
      <c r="E118">
        <f t="shared" ca="1" si="30"/>
        <v>-0.35780631003869728</v>
      </c>
      <c r="V118">
        <v>113</v>
      </c>
      <c r="W118">
        <f t="shared" ca="1" si="19"/>
        <v>0.23863664815436386</v>
      </c>
      <c r="X118">
        <f t="shared" ca="1" si="20"/>
        <v>-0.35780631003869728</v>
      </c>
      <c r="Y118">
        <f>'uniforme cercle (rejet)'!AJ122</f>
        <v>0</v>
      </c>
      <c r="Z118">
        <f t="shared" ca="1" si="21"/>
        <v>8.4265676030120196E-2</v>
      </c>
      <c r="AA118">
        <f t="shared" ca="1" si="22"/>
        <v>0.89673991058176472</v>
      </c>
      <c r="AB118">
        <f t="shared" ca="1" si="23"/>
        <v>0</v>
      </c>
      <c r="AC118" t="e">
        <f t="shared" ca="1" si="24"/>
        <v>#N/A</v>
      </c>
      <c r="AD118" t="e">
        <f t="shared" ca="1" si="25"/>
        <v>#N/A</v>
      </c>
    </row>
    <row r="119" spans="1:30" x14ac:dyDescent="0.2">
      <c r="A119">
        <f t="shared" si="28"/>
        <v>114</v>
      </c>
      <c r="B119">
        <f t="shared" ca="1" si="26"/>
        <v>0.84232371757365376</v>
      </c>
      <c r="C119">
        <f t="shared" ca="1" si="27"/>
        <v>1.5596755976938577</v>
      </c>
      <c r="D119">
        <f t="shared" ca="1" si="29"/>
        <v>9.3670608040347138E-3</v>
      </c>
      <c r="E119">
        <f t="shared" ca="1" si="30"/>
        <v>0.84227163276403538</v>
      </c>
      <c r="V119">
        <v>114</v>
      </c>
      <c r="W119">
        <f t="shared" ca="1" si="19"/>
        <v>9.3670608040347138E-3</v>
      </c>
      <c r="X119">
        <f t="shared" ca="1" si="20"/>
        <v>0.84227163276403538</v>
      </c>
      <c r="Y119">
        <f>'uniforme cercle (rejet)'!AJ123</f>
        <v>0</v>
      </c>
      <c r="Z119">
        <f t="shared" ca="1" si="21"/>
        <v>0.60219949534283446</v>
      </c>
      <c r="AA119">
        <f t="shared" ca="1" si="22"/>
        <v>0.5982228277314654</v>
      </c>
      <c r="AB119">
        <f t="shared" ca="1" si="23"/>
        <v>1</v>
      </c>
      <c r="AC119">
        <f t="shared" ca="1" si="24"/>
        <v>9.3670608040347138E-3</v>
      </c>
      <c r="AD119">
        <f t="shared" ca="1" si="25"/>
        <v>0.84227163276403538</v>
      </c>
    </row>
    <row r="120" spans="1:30" x14ac:dyDescent="0.2">
      <c r="A120">
        <f t="shared" si="28"/>
        <v>115</v>
      </c>
      <c r="B120">
        <f t="shared" ca="1" si="26"/>
        <v>0.9460540346268661</v>
      </c>
      <c r="C120">
        <f t="shared" ca="1" si="27"/>
        <v>8.7875942787444851E-3</v>
      </c>
      <c r="D120">
        <f t="shared" ca="1" si="29"/>
        <v>0.94601750685795549</v>
      </c>
      <c r="E120">
        <f t="shared" ca="1" si="30"/>
        <v>8.313432024723736E-3</v>
      </c>
      <c r="V120">
        <v>115</v>
      </c>
      <c r="W120">
        <f t="shared" ca="1" si="19"/>
        <v>0.94601750685795549</v>
      </c>
      <c r="X120">
        <f t="shared" ca="1" si="20"/>
        <v>8.313432024723736E-3</v>
      </c>
      <c r="Y120">
        <f>'uniforme cercle (rejet)'!AJ124</f>
        <v>0</v>
      </c>
      <c r="Z120">
        <f t="shared" ca="1" si="21"/>
        <v>0.67481387838006723</v>
      </c>
      <c r="AA120">
        <f t="shared" ca="1" si="22"/>
        <v>0.66384282593931254</v>
      </c>
      <c r="AB120">
        <f t="shared" ca="1" si="23"/>
        <v>1</v>
      </c>
      <c r="AC120">
        <f t="shared" ca="1" si="24"/>
        <v>0.94601750685795549</v>
      </c>
      <c r="AD120">
        <f t="shared" ca="1" si="25"/>
        <v>8.313432024723736E-3</v>
      </c>
    </row>
    <row r="121" spans="1:30" x14ac:dyDescent="0.2">
      <c r="A121">
        <f t="shared" si="28"/>
        <v>116</v>
      </c>
      <c r="B121">
        <f t="shared" ca="1" si="26"/>
        <v>3.0530323373752721E-2</v>
      </c>
      <c r="C121">
        <f t="shared" ca="1" si="27"/>
        <v>5.9385929581565007</v>
      </c>
      <c r="D121">
        <f t="shared" ca="1" si="29"/>
        <v>2.8735544599631419E-2</v>
      </c>
      <c r="E121">
        <f t="shared" ca="1" si="30"/>
        <v>-1.0313540704748558E-2</v>
      </c>
      <c r="V121">
        <v>116</v>
      </c>
      <c r="W121">
        <f t="shared" ca="1" si="19"/>
        <v>2.8735544599631419E-2</v>
      </c>
      <c r="X121">
        <f t="shared" ca="1" si="20"/>
        <v>-1.0313540704748558E-2</v>
      </c>
      <c r="Y121">
        <f>'uniforme cercle (rejet)'!AJ125</f>
        <v>0</v>
      </c>
      <c r="Z121">
        <f t="shared" ca="1" si="21"/>
        <v>1.3026323877116662E-2</v>
      </c>
      <c r="AA121">
        <f t="shared" ca="1" si="22"/>
        <v>0.69462946723445518</v>
      </c>
      <c r="AB121">
        <f t="shared" ca="1" si="23"/>
        <v>0</v>
      </c>
      <c r="AC121" t="e">
        <f t="shared" ca="1" si="24"/>
        <v>#N/A</v>
      </c>
      <c r="AD121" t="e">
        <f t="shared" ca="1" si="25"/>
        <v>#N/A</v>
      </c>
    </row>
    <row r="122" spans="1:30" x14ac:dyDescent="0.2">
      <c r="A122">
        <f t="shared" si="28"/>
        <v>117</v>
      </c>
      <c r="B122">
        <f t="shared" ca="1" si="26"/>
        <v>0.80476978541722166</v>
      </c>
      <c r="C122">
        <f t="shared" ca="1" si="27"/>
        <v>1.909395854278003</v>
      </c>
      <c r="D122">
        <f t="shared" ca="1" si="29"/>
        <v>-0.2673175335820322</v>
      </c>
      <c r="E122">
        <f t="shared" ca="1" si="30"/>
        <v>0.75907558501120298</v>
      </c>
      <c r="V122">
        <v>117</v>
      </c>
      <c r="W122">
        <f t="shared" ca="1" si="19"/>
        <v>-0.2673175335820322</v>
      </c>
      <c r="X122">
        <f t="shared" ca="1" si="20"/>
        <v>0.75907558501120298</v>
      </c>
      <c r="Y122">
        <f>'uniforme cercle (rejet)'!AJ126</f>
        <v>0</v>
      </c>
      <c r="Z122">
        <f t="shared" ca="1" si="21"/>
        <v>0.34772545286864964</v>
      </c>
      <c r="AA122">
        <f t="shared" ca="1" si="22"/>
        <v>0.80987428412767259</v>
      </c>
      <c r="AB122">
        <f t="shared" ca="1" si="23"/>
        <v>0</v>
      </c>
      <c r="AC122" t="e">
        <f t="shared" ca="1" si="24"/>
        <v>#N/A</v>
      </c>
      <c r="AD122" t="e">
        <f t="shared" ca="1" si="25"/>
        <v>#N/A</v>
      </c>
    </row>
    <row r="123" spans="1:30" x14ac:dyDescent="0.2">
      <c r="A123">
        <f t="shared" si="28"/>
        <v>118</v>
      </c>
      <c r="B123">
        <f t="shared" ca="1" si="26"/>
        <v>0.95271685391884153</v>
      </c>
      <c r="C123">
        <f t="shared" ca="1" si="27"/>
        <v>0.8512256507909034</v>
      </c>
      <c r="D123">
        <f t="shared" ca="1" si="29"/>
        <v>0.62789932557513428</v>
      </c>
      <c r="E123">
        <f t="shared" ca="1" si="30"/>
        <v>0.71652762729939923</v>
      </c>
      <c r="V123">
        <v>118</v>
      </c>
      <c r="W123">
        <f t="shared" ca="1" si="19"/>
        <v>0.62789932557513428</v>
      </c>
      <c r="X123">
        <f t="shared" ca="1" si="20"/>
        <v>0.71652762729939923</v>
      </c>
      <c r="Y123">
        <f>'uniforme cercle (rejet)'!AJ127</f>
        <v>0</v>
      </c>
      <c r="Z123">
        <f t="shared" ca="1" si="21"/>
        <v>0.95065341518754953</v>
      </c>
      <c r="AA123">
        <f t="shared" ca="1" si="22"/>
        <v>0.25148051786665648</v>
      </c>
      <c r="AB123">
        <f t="shared" ca="1" si="23"/>
        <v>0</v>
      </c>
      <c r="AC123" t="e">
        <f t="shared" ca="1" si="24"/>
        <v>#N/A</v>
      </c>
      <c r="AD123" t="e">
        <f t="shared" ca="1" si="25"/>
        <v>#N/A</v>
      </c>
    </row>
    <row r="124" spans="1:30" x14ac:dyDescent="0.2">
      <c r="A124">
        <f t="shared" si="28"/>
        <v>119</v>
      </c>
      <c r="B124">
        <f t="shared" ca="1" si="26"/>
        <v>0.43156875010568352</v>
      </c>
      <c r="C124">
        <f t="shared" ca="1" si="27"/>
        <v>1.5899724244717264</v>
      </c>
      <c r="D124">
        <f t="shared" ca="1" si="29"/>
        <v>-8.2752973153925047E-3</v>
      </c>
      <c r="E124">
        <f t="shared" ca="1" si="30"/>
        <v>0.43148940371940048</v>
      </c>
      <c r="V124">
        <v>119</v>
      </c>
      <c r="W124">
        <f t="shared" ca="1" si="19"/>
        <v>-8.2752973153925047E-3</v>
      </c>
      <c r="X124">
        <f t="shared" ca="1" si="20"/>
        <v>0.43148940371940048</v>
      </c>
      <c r="Y124">
        <f>'uniforme cercle (rejet)'!AJ128</f>
        <v>0</v>
      </c>
      <c r="Z124">
        <f t="shared" ca="1" si="21"/>
        <v>0.29925756453207908</v>
      </c>
      <c r="AA124">
        <f t="shared" ca="1" si="22"/>
        <v>0.51287179651816883</v>
      </c>
      <c r="AB124">
        <f t="shared" ca="1" si="23"/>
        <v>1</v>
      </c>
      <c r="AC124">
        <f t="shared" ca="1" si="24"/>
        <v>-8.2752973153925047E-3</v>
      </c>
      <c r="AD124">
        <f t="shared" ca="1" si="25"/>
        <v>0.43148940371940048</v>
      </c>
    </row>
    <row r="125" spans="1:30" x14ac:dyDescent="0.2">
      <c r="A125">
        <f t="shared" si="28"/>
        <v>120</v>
      </c>
      <c r="B125">
        <f t="shared" ca="1" si="26"/>
        <v>0.7097491505957424</v>
      </c>
      <c r="C125">
        <f t="shared" ca="1" si="27"/>
        <v>0.26535247191574551</v>
      </c>
      <c r="D125">
        <f t="shared" ca="1" si="29"/>
        <v>0.68490801923652489</v>
      </c>
      <c r="E125">
        <f t="shared" ca="1" si="30"/>
        <v>0.18613130300107475</v>
      </c>
      <c r="V125">
        <v>120</v>
      </c>
      <c r="W125">
        <f t="shared" ca="1" si="19"/>
        <v>0.68490801923652489</v>
      </c>
      <c r="X125">
        <f t="shared" ca="1" si="20"/>
        <v>0.18613130300107475</v>
      </c>
      <c r="Y125">
        <f>'uniforme cercle (rejet)'!AJ129</f>
        <v>0</v>
      </c>
      <c r="Z125">
        <f t="shared" ca="1" si="21"/>
        <v>0.61591781143434099</v>
      </c>
      <c r="AA125">
        <f t="shared" ca="1" si="22"/>
        <v>0.36428633591417925</v>
      </c>
      <c r="AB125">
        <f t="shared" ca="1" si="23"/>
        <v>1</v>
      </c>
      <c r="AC125">
        <f t="shared" ca="1" si="24"/>
        <v>0.68490801923652489</v>
      </c>
      <c r="AD125">
        <f t="shared" ca="1" si="25"/>
        <v>0.18613130300107475</v>
      </c>
    </row>
    <row r="126" spans="1:30" x14ac:dyDescent="0.2">
      <c r="A126">
        <f t="shared" si="28"/>
        <v>121</v>
      </c>
      <c r="B126">
        <f t="shared" ca="1" si="26"/>
        <v>0.63366984777427526</v>
      </c>
      <c r="C126">
        <f t="shared" ca="1" si="27"/>
        <v>0.11495608826044189</v>
      </c>
      <c r="D126">
        <f t="shared" ca="1" si="29"/>
        <v>0.62948751403842684</v>
      </c>
      <c r="E126">
        <f t="shared" ca="1" si="30"/>
        <v>7.2683874745328503E-2</v>
      </c>
      <c r="V126">
        <v>121</v>
      </c>
      <c r="W126">
        <f t="shared" ca="1" si="19"/>
        <v>0.62948751403842684</v>
      </c>
      <c r="X126">
        <f t="shared" ca="1" si="20"/>
        <v>7.2683874745328503E-2</v>
      </c>
      <c r="Y126">
        <f>'uniforme cercle (rejet)'!AJ130</f>
        <v>0</v>
      </c>
      <c r="Z126">
        <f t="shared" ca="1" si="21"/>
        <v>0.49651015056416908</v>
      </c>
      <c r="AA126">
        <f t="shared" ca="1" si="22"/>
        <v>0.44650429694966864</v>
      </c>
      <c r="AB126">
        <f t="shared" ca="1" si="23"/>
        <v>1</v>
      </c>
      <c r="AC126">
        <f t="shared" ca="1" si="24"/>
        <v>0.62948751403842684</v>
      </c>
      <c r="AD126">
        <f t="shared" ca="1" si="25"/>
        <v>7.2683874745328503E-2</v>
      </c>
    </row>
    <row r="127" spans="1:30" x14ac:dyDescent="0.2">
      <c r="A127">
        <f t="shared" si="28"/>
        <v>122</v>
      </c>
      <c r="B127">
        <f t="shared" ca="1" si="26"/>
        <v>0.21837133450312518</v>
      </c>
      <c r="C127">
        <f t="shared" ca="1" si="27"/>
        <v>3.5742347649490296</v>
      </c>
      <c r="D127">
        <f t="shared" ca="1" si="29"/>
        <v>-0.19825085288751776</v>
      </c>
      <c r="E127">
        <f t="shared" ca="1" si="30"/>
        <v>-9.1556753230155469E-2</v>
      </c>
      <c r="V127">
        <v>122</v>
      </c>
      <c r="W127">
        <f t="shared" ca="1" si="19"/>
        <v>-0.19825085288751776</v>
      </c>
      <c r="X127">
        <f t="shared" ca="1" si="20"/>
        <v>-9.1556753230155469E-2</v>
      </c>
      <c r="Y127">
        <f>'uniforme cercle (rejet)'!AJ131</f>
        <v>0</v>
      </c>
      <c r="Z127">
        <f t="shared" ca="1" si="21"/>
        <v>0.20492492352524669</v>
      </c>
      <c r="AA127">
        <f t="shared" ca="1" si="22"/>
        <v>0.91514678923675896</v>
      </c>
      <c r="AB127">
        <f t="shared" ca="1" si="23"/>
        <v>0</v>
      </c>
      <c r="AC127" t="e">
        <f t="shared" ca="1" si="24"/>
        <v>#N/A</v>
      </c>
      <c r="AD127" t="e">
        <f t="shared" ca="1" si="25"/>
        <v>#N/A</v>
      </c>
    </row>
    <row r="128" spans="1:30" x14ac:dyDescent="0.2">
      <c r="A128">
        <f t="shared" si="28"/>
        <v>123</v>
      </c>
      <c r="B128">
        <f t="shared" ca="1" si="26"/>
        <v>0.90698232332615325</v>
      </c>
      <c r="C128">
        <f t="shared" ca="1" si="27"/>
        <v>4.2366721714075002</v>
      </c>
      <c r="D128">
        <f t="shared" ca="1" si="29"/>
        <v>-0.41537593936310929</v>
      </c>
      <c r="E128">
        <f t="shared" ca="1" si="30"/>
        <v>-0.80627524073626455</v>
      </c>
      <c r="V128">
        <v>123</v>
      </c>
      <c r="W128">
        <f t="shared" ca="1" si="19"/>
        <v>-0.41537593936310929</v>
      </c>
      <c r="X128">
        <f t="shared" ca="1" si="20"/>
        <v>-0.80627524073626455</v>
      </c>
      <c r="Y128">
        <f>'uniforme cercle (rejet)'!AJ132</f>
        <v>0</v>
      </c>
      <c r="Z128">
        <f t="shared" ca="1" si="21"/>
        <v>0.86383783369281553</v>
      </c>
      <c r="AA128">
        <f t="shared" ca="1" si="22"/>
        <v>1.5950762097547191</v>
      </c>
      <c r="AB128">
        <f t="shared" ca="1" si="23"/>
        <v>0</v>
      </c>
      <c r="AC128" t="e">
        <f t="shared" ca="1" si="24"/>
        <v>#N/A</v>
      </c>
      <c r="AD128" t="e">
        <f t="shared" ca="1" si="25"/>
        <v>#N/A</v>
      </c>
    </row>
    <row r="129" spans="1:30" x14ac:dyDescent="0.2">
      <c r="A129">
        <f t="shared" si="28"/>
        <v>124</v>
      </c>
      <c r="B129">
        <f t="shared" ca="1" si="26"/>
        <v>0.58788545096128775</v>
      </c>
      <c r="C129">
        <f t="shared" ca="1" si="27"/>
        <v>5.1896756759325013</v>
      </c>
      <c r="D129">
        <f t="shared" ca="1" si="29"/>
        <v>0.27005740486562219</v>
      </c>
      <c r="E129">
        <f t="shared" ca="1" si="30"/>
        <v>-0.52218607940963158</v>
      </c>
      <c r="V129">
        <v>124</v>
      </c>
      <c r="W129">
        <f t="shared" ca="1" si="19"/>
        <v>0.27005740486562219</v>
      </c>
      <c r="X129">
        <f t="shared" ca="1" si="20"/>
        <v>-0.52218607940963158</v>
      </c>
      <c r="Y129">
        <f>'uniforme cercle (rejet)'!AJ133</f>
        <v>0</v>
      </c>
      <c r="Z129">
        <f t="shared" ca="1" si="21"/>
        <v>0.17828189550164508</v>
      </c>
      <c r="AA129">
        <f t="shared" ca="1" si="22"/>
        <v>1.0477299165319114</v>
      </c>
      <c r="AB129">
        <f t="shared" ca="1" si="23"/>
        <v>0</v>
      </c>
      <c r="AC129" t="e">
        <f t="shared" ca="1" si="24"/>
        <v>#N/A</v>
      </c>
      <c r="AD129" t="e">
        <f t="shared" ca="1" si="25"/>
        <v>#N/A</v>
      </c>
    </row>
    <row r="130" spans="1:30" x14ac:dyDescent="0.2">
      <c r="A130">
        <f t="shared" si="28"/>
        <v>125</v>
      </c>
      <c r="B130">
        <f t="shared" ca="1" si="26"/>
        <v>0.19849577956415632</v>
      </c>
      <c r="C130">
        <f t="shared" ca="1" si="27"/>
        <v>4.9985175441655842</v>
      </c>
      <c r="D130">
        <f t="shared" ca="1" si="29"/>
        <v>5.6023510635683033E-2</v>
      </c>
      <c r="E130">
        <f t="shared" ca="1" si="30"/>
        <v>-0.19042568303891061</v>
      </c>
      <c r="V130">
        <v>125</v>
      </c>
      <c r="W130">
        <f t="shared" ca="1" si="19"/>
        <v>5.6023510635683033E-2</v>
      </c>
      <c r="X130">
        <f t="shared" ca="1" si="20"/>
        <v>-0.19042568303891061</v>
      </c>
      <c r="Y130">
        <f>'uniforme cercle (rejet)'!AJ134</f>
        <v>0</v>
      </c>
      <c r="Z130">
        <f t="shared" ca="1" si="21"/>
        <v>9.5036687512525683E-2</v>
      </c>
      <c r="AA130">
        <f t="shared" ca="1" si="22"/>
        <v>0.82085488785047134</v>
      </c>
      <c r="AB130">
        <f t="shared" ca="1" si="23"/>
        <v>0</v>
      </c>
      <c r="AC130" t="e">
        <f t="shared" ca="1" si="24"/>
        <v>#N/A</v>
      </c>
      <c r="AD130" t="e">
        <f t="shared" ca="1" si="25"/>
        <v>#N/A</v>
      </c>
    </row>
    <row r="131" spans="1:30" x14ac:dyDescent="0.2">
      <c r="A131">
        <f t="shared" si="28"/>
        <v>126</v>
      </c>
      <c r="B131">
        <f t="shared" ca="1" si="26"/>
        <v>0.84820759872613549</v>
      </c>
      <c r="C131">
        <f t="shared" ca="1" si="27"/>
        <v>3.9888340756413108</v>
      </c>
      <c r="D131">
        <f t="shared" ca="1" si="29"/>
        <v>-0.56155846819767885</v>
      </c>
      <c r="E131">
        <f t="shared" ca="1" si="30"/>
        <v>-0.6356950663110682</v>
      </c>
      <c r="V131">
        <v>126</v>
      </c>
      <c r="W131">
        <f t="shared" ca="1" si="19"/>
        <v>-0.56155846819767885</v>
      </c>
      <c r="X131">
        <f t="shared" ca="1" si="20"/>
        <v>-0.6356950663110682</v>
      </c>
      <c r="Y131">
        <f>'uniforme cercle (rejet)'!AJ135</f>
        <v>0</v>
      </c>
      <c r="Z131">
        <f t="shared" ca="1" si="21"/>
        <v>0.8465860930506971</v>
      </c>
      <c r="AA131">
        <f t="shared" ca="1" si="22"/>
        <v>1.5545770051835657</v>
      </c>
      <c r="AB131">
        <f t="shared" ca="1" si="23"/>
        <v>0</v>
      </c>
      <c r="AC131" t="e">
        <f t="shared" ca="1" si="24"/>
        <v>#N/A</v>
      </c>
      <c r="AD131" t="e">
        <f t="shared" ca="1" si="25"/>
        <v>#N/A</v>
      </c>
    </row>
    <row r="132" spans="1:30" x14ac:dyDescent="0.2">
      <c r="A132">
        <f t="shared" si="28"/>
        <v>127</v>
      </c>
      <c r="B132">
        <f t="shared" ca="1" si="26"/>
        <v>0.47479159596684561</v>
      </c>
      <c r="C132">
        <f t="shared" ca="1" si="27"/>
        <v>2.1440339432011668</v>
      </c>
      <c r="D132">
        <f t="shared" ca="1" si="29"/>
        <v>-0.25750558089869785</v>
      </c>
      <c r="E132">
        <f t="shared" ca="1" si="30"/>
        <v>0.39889589544988868</v>
      </c>
      <c r="V132">
        <v>127</v>
      </c>
      <c r="W132">
        <f t="shared" ca="1" si="19"/>
        <v>-0.25750558089869785</v>
      </c>
      <c r="X132">
        <f t="shared" ca="1" si="20"/>
        <v>0.39889589544988868</v>
      </c>
      <c r="Y132">
        <f>'uniforme cercle (rejet)'!AJ136</f>
        <v>0</v>
      </c>
      <c r="Z132">
        <f t="shared" ca="1" si="21"/>
        <v>9.9978050213246017E-2</v>
      </c>
      <c r="AA132">
        <f t="shared" ca="1" si="22"/>
        <v>0.76422296815101909</v>
      </c>
      <c r="AB132">
        <f t="shared" ca="1" si="23"/>
        <v>0</v>
      </c>
      <c r="AC132" t="e">
        <f t="shared" ca="1" si="24"/>
        <v>#N/A</v>
      </c>
      <c r="AD132" t="e">
        <f t="shared" ca="1" si="25"/>
        <v>#N/A</v>
      </c>
    </row>
    <row r="133" spans="1:30" x14ac:dyDescent="0.2">
      <c r="A133">
        <f t="shared" si="28"/>
        <v>128</v>
      </c>
      <c r="B133">
        <f t="shared" ca="1" si="26"/>
        <v>0.31043517748887361</v>
      </c>
      <c r="C133">
        <f t="shared" ca="1" si="27"/>
        <v>4.6362544210489434</v>
      </c>
      <c r="D133">
        <f t="shared" ca="1" si="29"/>
        <v>-2.3612018940567255E-2</v>
      </c>
      <c r="E133">
        <f t="shared" ca="1" si="30"/>
        <v>-0.3095358977309397</v>
      </c>
      <c r="V133">
        <v>128</v>
      </c>
      <c r="W133">
        <f t="shared" ca="1" si="19"/>
        <v>-2.3612018940567255E-2</v>
      </c>
      <c r="X133">
        <f t="shared" ca="1" si="20"/>
        <v>-0.3095358977309397</v>
      </c>
      <c r="Y133">
        <f>'uniforme cercle (rejet)'!AJ137</f>
        <v>0</v>
      </c>
      <c r="Z133">
        <f t="shared" ca="1" si="21"/>
        <v>0.23557115101659343</v>
      </c>
      <c r="AA133">
        <f t="shared" ca="1" si="22"/>
        <v>0.96411509483777691</v>
      </c>
      <c r="AB133">
        <f t="shared" ca="1" si="23"/>
        <v>0</v>
      </c>
      <c r="AC133" t="e">
        <f t="shared" ca="1" si="24"/>
        <v>#N/A</v>
      </c>
      <c r="AD133" t="e">
        <f t="shared" ca="1" si="25"/>
        <v>#N/A</v>
      </c>
    </row>
    <row r="134" spans="1:30" x14ac:dyDescent="0.2">
      <c r="A134">
        <f t="shared" si="28"/>
        <v>129</v>
      </c>
      <c r="B134">
        <f t="shared" ca="1" si="26"/>
        <v>3.213023880937893E-2</v>
      </c>
      <c r="C134">
        <f t="shared" ca="1" si="27"/>
        <v>0.68195138156793211</v>
      </c>
      <c r="D134">
        <f t="shared" ca="1" si="29"/>
        <v>2.4944125314030251E-2</v>
      </c>
      <c r="E134">
        <f t="shared" ca="1" si="30"/>
        <v>2.0251984057510889E-2</v>
      </c>
      <c r="V134">
        <v>129</v>
      </c>
      <c r="W134">
        <f t="shared" ca="1" si="19"/>
        <v>2.4944125314030251E-2</v>
      </c>
      <c r="X134">
        <f t="shared" ca="1" si="20"/>
        <v>2.0251984057510889E-2</v>
      </c>
      <c r="Y134">
        <f>'uniforme cercle (rejet)'!AJ138</f>
        <v>0</v>
      </c>
      <c r="Z134">
        <f t="shared" ca="1" si="21"/>
        <v>3.1958475419865615E-2</v>
      </c>
      <c r="AA134">
        <f t="shared" ca="1" si="22"/>
        <v>0.67515645807057689</v>
      </c>
      <c r="AB134">
        <f t="shared" ca="1" si="23"/>
        <v>0</v>
      </c>
      <c r="AC134" t="e">
        <f t="shared" ca="1" si="24"/>
        <v>#N/A</v>
      </c>
      <c r="AD134" t="e">
        <f t="shared" ca="1" si="25"/>
        <v>#N/A</v>
      </c>
    </row>
    <row r="135" spans="1:30" x14ac:dyDescent="0.2">
      <c r="A135">
        <f t="shared" si="28"/>
        <v>130</v>
      </c>
      <c r="B135">
        <f t="shared" ca="1" si="26"/>
        <v>0.87342186645146946</v>
      </c>
      <c r="C135">
        <f t="shared" ca="1" si="27"/>
        <v>3.4316480464786472</v>
      </c>
      <c r="D135">
        <f t="shared" ca="1" si="29"/>
        <v>-0.83693731822430606</v>
      </c>
      <c r="E135">
        <f t="shared" ca="1" si="30"/>
        <v>-0.24980328692608331</v>
      </c>
      <c r="V135">
        <v>130</v>
      </c>
      <c r="W135">
        <f t="shared" ref="W135:W198" ca="1" si="31">D135</f>
        <v>-0.83693731822430606</v>
      </c>
      <c r="X135">
        <f t="shared" ref="X135:X198" ca="1" si="32">E135</f>
        <v>-0.24980328692608331</v>
      </c>
      <c r="Y135">
        <f>'uniforme cercle (rejet)'!AJ139</f>
        <v>0</v>
      </c>
      <c r="Z135">
        <f t="shared" ref="Z135:Z198" ca="1" si="33">(W135+X135)^2/SQRT(2*(W135+X135)^2)</f>
        <v>0.76844165129261255</v>
      </c>
      <c r="AA135">
        <f t="shared" ref="AA135:AA198" ca="1" si="34">SQRT((W135-0.5)^2+(X135-0.5)^2)</f>
        <v>1.5328425757219684</v>
      </c>
      <c r="AB135">
        <f t="shared" ref="AB135:AB198" ca="1" si="35">IF(ABS(AA135-Z135)&lt;SQRT(2)/2/2,1,0)</f>
        <v>0</v>
      </c>
      <c r="AC135" t="e">
        <f t="shared" ref="AC135:AC198" ca="1" si="36">IF($AB135=1,W135,NA())</f>
        <v>#N/A</v>
      </c>
      <c r="AD135" t="e">
        <f t="shared" ref="AD135:AD198" ca="1" si="37">IF($AB135=1,X135,NA())</f>
        <v>#N/A</v>
      </c>
    </row>
    <row r="136" spans="1:30" x14ac:dyDescent="0.2">
      <c r="A136">
        <f t="shared" si="28"/>
        <v>131</v>
      </c>
      <c r="B136">
        <f t="shared" ref="B136:B199" ca="1" si="38">RAND()</f>
        <v>0.34658384689149702</v>
      </c>
      <c r="C136">
        <f t="shared" ref="C136:C199" ca="1" si="39">RAND()*2*PI()</f>
        <v>5.8193217363188374</v>
      </c>
      <c r="D136">
        <f t="shared" ca="1" si="29"/>
        <v>0.30996053595017964</v>
      </c>
      <c r="E136">
        <f t="shared" ca="1" si="30"/>
        <v>-0.15506395157994018</v>
      </c>
      <c r="V136">
        <v>131</v>
      </c>
      <c r="W136">
        <f t="shared" ca="1" si="31"/>
        <v>0.30996053595017964</v>
      </c>
      <c r="X136">
        <f t="shared" ca="1" si="32"/>
        <v>-0.15506395157994018</v>
      </c>
      <c r="Y136">
        <f>'uniforme cercle (rejet)'!AJ140</f>
        <v>0</v>
      </c>
      <c r="Z136">
        <f t="shared" ca="1" si="33"/>
        <v>0.10952842519083052</v>
      </c>
      <c r="AA136">
        <f t="shared" ca="1" si="34"/>
        <v>0.68207314751122483</v>
      </c>
      <c r="AB136">
        <f t="shared" ca="1" si="35"/>
        <v>0</v>
      </c>
      <c r="AC136" t="e">
        <f t="shared" ca="1" si="36"/>
        <v>#N/A</v>
      </c>
      <c r="AD136" t="e">
        <f t="shared" ca="1" si="37"/>
        <v>#N/A</v>
      </c>
    </row>
    <row r="137" spans="1:30" x14ac:dyDescent="0.2">
      <c r="A137">
        <f t="shared" si="28"/>
        <v>132</v>
      </c>
      <c r="B137">
        <f t="shared" ca="1" si="38"/>
        <v>0.80113402942801626</v>
      </c>
      <c r="C137">
        <f t="shared" ca="1" si="39"/>
        <v>2.2605373781115032</v>
      </c>
      <c r="D137">
        <f t="shared" ca="1" si="29"/>
        <v>-0.50979158358607157</v>
      </c>
      <c r="E137">
        <f t="shared" ca="1" si="30"/>
        <v>0.61800345825276337</v>
      </c>
      <c r="V137">
        <v>132</v>
      </c>
      <c r="W137">
        <f t="shared" ca="1" si="31"/>
        <v>-0.50979158358607157</v>
      </c>
      <c r="X137">
        <f t="shared" ca="1" si="32"/>
        <v>0.61800345825276337</v>
      </c>
      <c r="Y137">
        <f>'uniforme cercle (rejet)'!AJ141</f>
        <v>0</v>
      </c>
      <c r="Z137">
        <f t="shared" ca="1" si="33"/>
        <v>7.6517350381726551E-2</v>
      </c>
      <c r="AA137">
        <f t="shared" ca="1" si="34"/>
        <v>1.0166630997734096</v>
      </c>
      <c r="AB137">
        <f t="shared" ca="1" si="35"/>
        <v>0</v>
      </c>
      <c r="AC137" t="e">
        <f t="shared" ca="1" si="36"/>
        <v>#N/A</v>
      </c>
      <c r="AD137" t="e">
        <f t="shared" ca="1" si="37"/>
        <v>#N/A</v>
      </c>
    </row>
    <row r="138" spans="1:30" x14ac:dyDescent="0.2">
      <c r="A138">
        <f t="shared" si="28"/>
        <v>133</v>
      </c>
      <c r="B138">
        <f t="shared" ca="1" si="38"/>
        <v>0.50016905797219302</v>
      </c>
      <c r="C138">
        <f t="shared" ca="1" si="39"/>
        <v>4.1271335603740784</v>
      </c>
      <c r="D138">
        <f t="shared" ca="1" si="29"/>
        <v>-0.27629954523770478</v>
      </c>
      <c r="E138">
        <f t="shared" ca="1" si="30"/>
        <v>-0.41692642978615363</v>
      </c>
      <c r="V138">
        <v>133</v>
      </c>
      <c r="W138">
        <f t="shared" ca="1" si="31"/>
        <v>-0.27629954523770478</v>
      </c>
      <c r="X138">
        <f t="shared" ca="1" si="32"/>
        <v>-0.41692642978615363</v>
      </c>
      <c r="Y138">
        <f>'uniforme cercle (rejet)'!AJ142</f>
        <v>0</v>
      </c>
      <c r="Z138">
        <f t="shared" ca="1" si="33"/>
        <v>0.49018478783402647</v>
      </c>
      <c r="AA138">
        <f t="shared" ca="1" si="34"/>
        <v>1.2014137761723267</v>
      </c>
      <c r="AB138">
        <f t="shared" ca="1" si="35"/>
        <v>0</v>
      </c>
      <c r="AC138" t="e">
        <f t="shared" ca="1" si="36"/>
        <v>#N/A</v>
      </c>
      <c r="AD138" t="e">
        <f t="shared" ca="1" si="37"/>
        <v>#N/A</v>
      </c>
    </row>
    <row r="139" spans="1:30" x14ac:dyDescent="0.2">
      <c r="A139">
        <f t="shared" si="28"/>
        <v>134</v>
      </c>
      <c r="B139">
        <f t="shared" ca="1" si="38"/>
        <v>0.27704233469342632</v>
      </c>
      <c r="C139">
        <f t="shared" ca="1" si="39"/>
        <v>4.6410018671752882</v>
      </c>
      <c r="D139">
        <f t="shared" ca="1" si="29"/>
        <v>-1.9760458915115478E-2</v>
      </c>
      <c r="E139">
        <f t="shared" ca="1" si="30"/>
        <v>-0.27633671394848802</v>
      </c>
      <c r="V139">
        <v>134</v>
      </c>
      <c r="W139">
        <f t="shared" ca="1" si="31"/>
        <v>-1.9760458915115478E-2</v>
      </c>
      <c r="X139">
        <f t="shared" ca="1" si="32"/>
        <v>-0.27633671394848802</v>
      </c>
      <c r="Y139">
        <f>'uniforme cercle (rejet)'!AJ143</f>
        <v>0</v>
      </c>
      <c r="Z139">
        <f t="shared" ca="1" si="33"/>
        <v>0.2093723188220194</v>
      </c>
      <c r="AA139">
        <f t="shared" ca="1" si="34"/>
        <v>0.93426421748667432</v>
      </c>
      <c r="AB139">
        <f t="shared" ca="1" si="35"/>
        <v>0</v>
      </c>
      <c r="AC139" t="e">
        <f t="shared" ca="1" si="36"/>
        <v>#N/A</v>
      </c>
      <c r="AD139" t="e">
        <f t="shared" ca="1" si="37"/>
        <v>#N/A</v>
      </c>
    </row>
    <row r="140" spans="1:30" x14ac:dyDescent="0.2">
      <c r="A140">
        <f t="shared" si="28"/>
        <v>135</v>
      </c>
      <c r="B140">
        <f t="shared" ca="1" si="38"/>
        <v>0.46170107314607856</v>
      </c>
      <c r="C140">
        <f t="shared" ca="1" si="39"/>
        <v>0.30214074265791951</v>
      </c>
      <c r="D140">
        <f t="shared" ca="1" si="29"/>
        <v>0.44078678458019116</v>
      </c>
      <c r="E140">
        <f t="shared" ca="1" si="30"/>
        <v>0.13738592170850969</v>
      </c>
      <c r="V140">
        <v>135</v>
      </c>
      <c r="W140">
        <f t="shared" ca="1" si="31"/>
        <v>0.44078678458019116</v>
      </c>
      <c r="X140">
        <f t="shared" ca="1" si="32"/>
        <v>0.13738592170850969</v>
      </c>
      <c r="Y140">
        <f>'uniforme cercle (rejet)'!AJ144</f>
        <v>0</v>
      </c>
      <c r="Z140">
        <f t="shared" ca="1" si="33"/>
        <v>0.40882984131371841</v>
      </c>
      <c r="AA140">
        <f t="shared" ca="1" si="34"/>
        <v>0.36741689489670959</v>
      </c>
      <c r="AB140">
        <f t="shared" ca="1" si="35"/>
        <v>1</v>
      </c>
      <c r="AC140">
        <f t="shared" ca="1" si="36"/>
        <v>0.44078678458019116</v>
      </c>
      <c r="AD140">
        <f t="shared" ca="1" si="37"/>
        <v>0.13738592170850969</v>
      </c>
    </row>
    <row r="141" spans="1:30" x14ac:dyDescent="0.2">
      <c r="A141">
        <f t="shared" si="28"/>
        <v>136</v>
      </c>
      <c r="B141">
        <f t="shared" ca="1" si="38"/>
        <v>0.13402566705275154</v>
      </c>
      <c r="C141">
        <f t="shared" ca="1" si="39"/>
        <v>4.1187890061882192E-2</v>
      </c>
      <c r="D141">
        <f t="shared" ca="1" si="29"/>
        <v>0.13391199971867127</v>
      </c>
      <c r="E141">
        <f t="shared" ca="1" si="30"/>
        <v>5.5186737792331927E-3</v>
      </c>
      <c r="V141">
        <v>136</v>
      </c>
      <c r="W141">
        <f t="shared" ca="1" si="31"/>
        <v>0.13391199971867127</v>
      </c>
      <c r="X141">
        <f t="shared" ca="1" si="32"/>
        <v>5.5186737792331927E-3</v>
      </c>
      <c r="Y141">
        <f>'uniforme cercle (rejet)'!AJ145</f>
        <v>0</v>
      </c>
      <c r="Z141">
        <f t="shared" ca="1" si="33"/>
        <v>9.8592374735775673E-2</v>
      </c>
      <c r="AA141">
        <f t="shared" ca="1" si="34"/>
        <v>0.61524971022425567</v>
      </c>
      <c r="AB141">
        <f t="shared" ca="1" si="35"/>
        <v>0</v>
      </c>
      <c r="AC141" t="e">
        <f t="shared" ca="1" si="36"/>
        <v>#N/A</v>
      </c>
      <c r="AD141" t="e">
        <f t="shared" ca="1" si="37"/>
        <v>#N/A</v>
      </c>
    </row>
    <row r="142" spans="1:30" x14ac:dyDescent="0.2">
      <c r="A142">
        <f t="shared" si="28"/>
        <v>137</v>
      </c>
      <c r="B142">
        <f t="shared" ca="1" si="38"/>
        <v>0.74729347289181736</v>
      </c>
      <c r="C142">
        <f t="shared" ca="1" si="39"/>
        <v>2.8573875994411946</v>
      </c>
      <c r="D142">
        <f t="shared" ca="1" si="29"/>
        <v>-0.71731568639064691</v>
      </c>
      <c r="E142">
        <f t="shared" ca="1" si="30"/>
        <v>0.20953696734616659</v>
      </c>
      <c r="V142">
        <v>137</v>
      </c>
      <c r="W142">
        <f t="shared" ca="1" si="31"/>
        <v>-0.71731568639064691</v>
      </c>
      <c r="X142">
        <f t="shared" ca="1" si="32"/>
        <v>0.20953696734616659</v>
      </c>
      <c r="Y142">
        <f>'uniforme cercle (rejet)'!AJ146</f>
        <v>0</v>
      </c>
      <c r="Z142">
        <f t="shared" ca="1" si="33"/>
        <v>0.35905377557857077</v>
      </c>
      <c r="AA142">
        <f t="shared" ca="1" si="34"/>
        <v>1.2514896138886626</v>
      </c>
      <c r="AB142">
        <f t="shared" ca="1" si="35"/>
        <v>0</v>
      </c>
      <c r="AC142" t="e">
        <f t="shared" ca="1" si="36"/>
        <v>#N/A</v>
      </c>
      <c r="AD142" t="e">
        <f t="shared" ca="1" si="37"/>
        <v>#N/A</v>
      </c>
    </row>
    <row r="143" spans="1:30" x14ac:dyDescent="0.2">
      <c r="A143">
        <f t="shared" si="28"/>
        <v>138</v>
      </c>
      <c r="B143">
        <f t="shared" ca="1" si="38"/>
        <v>0.78117534341084727</v>
      </c>
      <c r="C143">
        <f t="shared" ca="1" si="39"/>
        <v>5.1291892702815556</v>
      </c>
      <c r="D143">
        <f t="shared" ca="1" si="29"/>
        <v>0.31624848781904569</v>
      </c>
      <c r="E143">
        <f t="shared" ca="1" si="30"/>
        <v>-0.71429812480869781</v>
      </c>
      <c r="V143">
        <v>138</v>
      </c>
      <c r="W143">
        <f t="shared" ca="1" si="31"/>
        <v>0.31624848781904569</v>
      </c>
      <c r="X143">
        <f t="shared" ca="1" si="32"/>
        <v>-0.71429812480869781</v>
      </c>
      <c r="Y143">
        <f>'uniforme cercle (rejet)'!AJ147</f>
        <v>0</v>
      </c>
      <c r="Z143">
        <f t="shared" ca="1" si="33"/>
        <v>0.28146359756422662</v>
      </c>
      <c r="AA143">
        <f t="shared" ca="1" si="34"/>
        <v>1.2281223693682595</v>
      </c>
      <c r="AB143">
        <f t="shared" ca="1" si="35"/>
        <v>0</v>
      </c>
      <c r="AC143" t="e">
        <f t="shared" ca="1" si="36"/>
        <v>#N/A</v>
      </c>
      <c r="AD143" t="e">
        <f t="shared" ca="1" si="37"/>
        <v>#N/A</v>
      </c>
    </row>
    <row r="144" spans="1:30" x14ac:dyDescent="0.2">
      <c r="A144">
        <f t="shared" si="28"/>
        <v>139</v>
      </c>
      <c r="B144">
        <f t="shared" ca="1" si="38"/>
        <v>0.42460022599280345</v>
      </c>
      <c r="C144">
        <f t="shared" ca="1" si="39"/>
        <v>4.8330221996799052</v>
      </c>
      <c r="D144">
        <f t="shared" ca="1" si="29"/>
        <v>5.1096751609928992E-2</v>
      </c>
      <c r="E144">
        <f t="shared" ca="1" si="30"/>
        <v>-0.42151450021090969</v>
      </c>
      <c r="V144">
        <v>139</v>
      </c>
      <c r="W144">
        <f t="shared" ca="1" si="31"/>
        <v>5.1096751609928992E-2</v>
      </c>
      <c r="X144">
        <f t="shared" ca="1" si="32"/>
        <v>-0.42151450021090969</v>
      </c>
      <c r="Y144">
        <f>'uniforme cercle (rejet)'!AJ148</f>
        <v>0</v>
      </c>
      <c r="Z144">
        <f t="shared" ca="1" si="33"/>
        <v>0.2619249019076072</v>
      </c>
      <c r="AA144">
        <f t="shared" ca="1" si="34"/>
        <v>1.0250380971037714</v>
      </c>
      <c r="AB144">
        <f t="shared" ca="1" si="35"/>
        <v>0</v>
      </c>
      <c r="AC144" t="e">
        <f t="shared" ca="1" si="36"/>
        <v>#N/A</v>
      </c>
      <c r="AD144" t="e">
        <f t="shared" ca="1" si="37"/>
        <v>#N/A</v>
      </c>
    </row>
    <row r="145" spans="1:30" x14ac:dyDescent="0.2">
      <c r="A145">
        <f t="shared" si="28"/>
        <v>140</v>
      </c>
      <c r="B145">
        <f t="shared" ca="1" si="38"/>
        <v>0.96578227917540316</v>
      </c>
      <c r="C145">
        <f t="shared" ca="1" si="39"/>
        <v>3.0995194432431754</v>
      </c>
      <c r="D145">
        <f t="shared" ca="1" si="29"/>
        <v>-0.96492761308171449</v>
      </c>
      <c r="E145">
        <f t="shared" ca="1" si="30"/>
        <v>4.0621574091379356E-2</v>
      </c>
      <c r="V145">
        <v>140</v>
      </c>
      <c r="W145">
        <f t="shared" ca="1" si="31"/>
        <v>-0.96492761308171449</v>
      </c>
      <c r="X145">
        <f t="shared" ca="1" si="32"/>
        <v>4.0621574091379356E-2</v>
      </c>
      <c r="Y145">
        <f>'uniforme cercle (rejet)'!AJ149</f>
        <v>0</v>
      </c>
      <c r="Z145">
        <f t="shared" ca="1" si="33"/>
        <v>0.65358306806174338</v>
      </c>
      <c r="AA145">
        <f t="shared" ca="1" si="34"/>
        <v>1.5352659215131337</v>
      </c>
      <c r="AB145">
        <f t="shared" ca="1" si="35"/>
        <v>0</v>
      </c>
      <c r="AC145" t="e">
        <f t="shared" ca="1" si="36"/>
        <v>#N/A</v>
      </c>
      <c r="AD145" t="e">
        <f t="shared" ca="1" si="37"/>
        <v>#N/A</v>
      </c>
    </row>
    <row r="146" spans="1:30" x14ac:dyDescent="0.2">
      <c r="A146">
        <f t="shared" si="28"/>
        <v>141</v>
      </c>
      <c r="B146">
        <f t="shared" ca="1" si="38"/>
        <v>0.20859672672218466</v>
      </c>
      <c r="C146">
        <f t="shared" ca="1" si="39"/>
        <v>5.3801396089463251</v>
      </c>
      <c r="D146">
        <f t="shared" ca="1" si="29"/>
        <v>0.12916753868787179</v>
      </c>
      <c r="E146">
        <f t="shared" ca="1" si="30"/>
        <v>-0.16379359373469687</v>
      </c>
      <c r="V146">
        <v>141</v>
      </c>
      <c r="W146">
        <f t="shared" ca="1" si="31"/>
        <v>0.12916753868787179</v>
      </c>
      <c r="X146">
        <f t="shared" ca="1" si="32"/>
        <v>-0.16379359373469687</v>
      </c>
      <c r="Y146">
        <f>'uniforme cercle (rejet)'!AJ150</f>
        <v>0</v>
      </c>
      <c r="Z146">
        <f t="shared" ca="1" si="33"/>
        <v>2.4484318329348699E-2</v>
      </c>
      <c r="AA146">
        <f t="shared" ca="1" si="34"/>
        <v>0.76035429205472027</v>
      </c>
      <c r="AB146">
        <f t="shared" ca="1" si="35"/>
        <v>0</v>
      </c>
      <c r="AC146" t="e">
        <f t="shared" ca="1" si="36"/>
        <v>#N/A</v>
      </c>
      <c r="AD146" t="e">
        <f t="shared" ca="1" si="37"/>
        <v>#N/A</v>
      </c>
    </row>
    <row r="147" spans="1:30" x14ac:dyDescent="0.2">
      <c r="A147">
        <f t="shared" si="28"/>
        <v>142</v>
      </c>
      <c r="B147">
        <f t="shared" ca="1" si="38"/>
        <v>0.45424487824577287</v>
      </c>
      <c r="C147">
        <f t="shared" ca="1" si="39"/>
        <v>4.5942374691371475</v>
      </c>
      <c r="D147">
        <f t="shared" ca="1" si="29"/>
        <v>-5.3544936395357824E-2</v>
      </c>
      <c r="E147">
        <f t="shared" ca="1" si="30"/>
        <v>-0.45107798571747448</v>
      </c>
      <c r="V147">
        <v>142</v>
      </c>
      <c r="W147">
        <f t="shared" ca="1" si="31"/>
        <v>-5.3544936395357824E-2</v>
      </c>
      <c r="X147">
        <f t="shared" ca="1" si="32"/>
        <v>-0.45107798571747448</v>
      </c>
      <c r="Y147">
        <f>'uniforme cercle (rejet)'!AJ151</f>
        <v>0</v>
      </c>
      <c r="Z147">
        <f t="shared" ca="1" si="33"/>
        <v>0.35682229016815475</v>
      </c>
      <c r="AA147">
        <f t="shared" ca="1" si="34"/>
        <v>1.1004368821178929</v>
      </c>
      <c r="AB147">
        <f t="shared" ca="1" si="35"/>
        <v>0</v>
      </c>
      <c r="AC147" t="e">
        <f t="shared" ca="1" si="36"/>
        <v>#N/A</v>
      </c>
      <c r="AD147" t="e">
        <f t="shared" ca="1" si="37"/>
        <v>#N/A</v>
      </c>
    </row>
    <row r="148" spans="1:30" x14ac:dyDescent="0.2">
      <c r="A148">
        <f t="shared" si="28"/>
        <v>143</v>
      </c>
      <c r="B148">
        <f t="shared" ca="1" si="38"/>
        <v>0.90376334857277629</v>
      </c>
      <c r="C148">
        <f t="shared" ca="1" si="39"/>
        <v>3.0869031762780788</v>
      </c>
      <c r="D148">
        <f t="shared" ca="1" si="29"/>
        <v>-0.90241213491551753</v>
      </c>
      <c r="E148">
        <f t="shared" ca="1" si="30"/>
        <v>4.9401710301317868E-2</v>
      </c>
      <c r="V148">
        <v>143</v>
      </c>
      <c r="W148">
        <f t="shared" ca="1" si="31"/>
        <v>-0.90241213491551753</v>
      </c>
      <c r="X148">
        <f t="shared" ca="1" si="32"/>
        <v>4.9401710301317868E-2</v>
      </c>
      <c r="Y148">
        <f>'uniforme cercle (rejet)'!AJ152</f>
        <v>0</v>
      </c>
      <c r="Z148">
        <f t="shared" ca="1" si="33"/>
        <v>0.6031694556675169</v>
      </c>
      <c r="AA148">
        <f t="shared" ca="1" si="34"/>
        <v>1.4730236301015938</v>
      </c>
      <c r="AB148">
        <f t="shared" ca="1" si="35"/>
        <v>0</v>
      </c>
      <c r="AC148" t="e">
        <f t="shared" ca="1" si="36"/>
        <v>#N/A</v>
      </c>
      <c r="AD148" t="e">
        <f t="shared" ca="1" si="37"/>
        <v>#N/A</v>
      </c>
    </row>
    <row r="149" spans="1:30" x14ac:dyDescent="0.2">
      <c r="A149">
        <f t="shared" si="28"/>
        <v>144</v>
      </c>
      <c r="B149">
        <f t="shared" ca="1" si="38"/>
        <v>1.9613415645298282E-2</v>
      </c>
      <c r="C149">
        <f t="shared" ca="1" si="39"/>
        <v>5.9402019295116988</v>
      </c>
      <c r="D149">
        <f t="shared" ca="1" si="29"/>
        <v>1.8471043108048559E-2</v>
      </c>
      <c r="E149">
        <f t="shared" ca="1" si="30"/>
        <v>-6.5959563200375416E-3</v>
      </c>
      <c r="V149">
        <v>144</v>
      </c>
      <c r="W149">
        <f t="shared" ca="1" si="31"/>
        <v>1.8471043108048559E-2</v>
      </c>
      <c r="X149">
        <f t="shared" ca="1" si="32"/>
        <v>-6.5959563200375416E-3</v>
      </c>
      <c r="Y149">
        <f>'uniforme cercle (rejet)'!AJ153</f>
        <v>0</v>
      </c>
      <c r="Z149">
        <f t="shared" ca="1" si="33"/>
        <v>8.3969543949813669E-3</v>
      </c>
      <c r="AA149">
        <f t="shared" ca="1" si="34"/>
        <v>0.69893461731786066</v>
      </c>
      <c r="AB149">
        <f t="shared" ca="1" si="35"/>
        <v>0</v>
      </c>
      <c r="AC149" t="e">
        <f t="shared" ca="1" si="36"/>
        <v>#N/A</v>
      </c>
      <c r="AD149" t="e">
        <f t="shared" ca="1" si="37"/>
        <v>#N/A</v>
      </c>
    </row>
    <row r="150" spans="1:30" x14ac:dyDescent="0.2">
      <c r="A150">
        <f t="shared" si="28"/>
        <v>145</v>
      </c>
      <c r="B150">
        <f t="shared" ca="1" si="38"/>
        <v>0.97931953275855543</v>
      </c>
      <c r="C150">
        <f t="shared" ca="1" si="39"/>
        <v>5.8136159001063072</v>
      </c>
      <c r="D150">
        <f t="shared" ca="1" si="29"/>
        <v>0.87332113520904375</v>
      </c>
      <c r="E150">
        <f t="shared" ca="1" si="30"/>
        <v>-0.44314438057998928</v>
      </c>
      <c r="V150">
        <v>145</v>
      </c>
      <c r="W150">
        <f t="shared" ca="1" si="31"/>
        <v>0.87332113520904375</v>
      </c>
      <c r="X150">
        <f t="shared" ca="1" si="32"/>
        <v>-0.44314438057998928</v>
      </c>
      <c r="Y150">
        <f>'uniforme cercle (rejet)'!AJ154</f>
        <v>0</v>
      </c>
      <c r="Z150">
        <f t="shared" ca="1" si="33"/>
        <v>0.30418090030702594</v>
      </c>
      <c r="AA150">
        <f t="shared" ca="1" si="34"/>
        <v>1.014342147706276</v>
      </c>
      <c r="AB150">
        <f t="shared" ca="1" si="35"/>
        <v>0</v>
      </c>
      <c r="AC150" t="e">
        <f t="shared" ca="1" si="36"/>
        <v>#N/A</v>
      </c>
      <c r="AD150" t="e">
        <f t="shared" ca="1" si="37"/>
        <v>#N/A</v>
      </c>
    </row>
    <row r="151" spans="1:30" x14ac:dyDescent="0.2">
      <c r="A151">
        <f t="shared" si="28"/>
        <v>146</v>
      </c>
      <c r="B151">
        <f t="shared" ca="1" si="38"/>
        <v>0.57681656475324228</v>
      </c>
      <c r="C151">
        <f t="shared" ca="1" si="39"/>
        <v>1.5906191402194523</v>
      </c>
      <c r="D151">
        <f t="shared" ca="1" si="29"/>
        <v>-1.143337832952899E-2</v>
      </c>
      <c r="E151">
        <f t="shared" ca="1" si="30"/>
        <v>0.57670324017964836</v>
      </c>
      <c r="V151">
        <v>146</v>
      </c>
      <c r="W151">
        <f t="shared" ca="1" si="31"/>
        <v>-1.143337832952899E-2</v>
      </c>
      <c r="X151">
        <f t="shared" ca="1" si="32"/>
        <v>0.57670324017964836</v>
      </c>
      <c r="Y151">
        <f>'uniforme cercle (rejet)'!AJ155</f>
        <v>0</v>
      </c>
      <c r="Z151">
        <f t="shared" ca="1" si="33"/>
        <v>0.39970615251460234</v>
      </c>
      <c r="AA151">
        <f t="shared" ca="1" si="34"/>
        <v>0.51715325342069729</v>
      </c>
      <c r="AB151">
        <f t="shared" ca="1" si="35"/>
        <v>1</v>
      </c>
      <c r="AC151">
        <f t="shared" ca="1" si="36"/>
        <v>-1.143337832952899E-2</v>
      </c>
      <c r="AD151">
        <f t="shared" ca="1" si="37"/>
        <v>0.57670324017964836</v>
      </c>
    </row>
    <row r="152" spans="1:30" x14ac:dyDescent="0.2">
      <c r="A152">
        <f t="shared" si="28"/>
        <v>147</v>
      </c>
      <c r="B152">
        <f t="shared" ca="1" si="38"/>
        <v>0.44669925224681439</v>
      </c>
      <c r="C152">
        <f t="shared" ca="1" si="39"/>
        <v>2.5368944137920937</v>
      </c>
      <c r="D152">
        <f t="shared" ca="1" si="29"/>
        <v>-0.36748772213966896</v>
      </c>
      <c r="E152">
        <f t="shared" ca="1" si="30"/>
        <v>0.2539547125659623</v>
      </c>
      <c r="V152">
        <v>147</v>
      </c>
      <c r="W152">
        <f t="shared" ca="1" si="31"/>
        <v>-0.36748772213966896</v>
      </c>
      <c r="X152">
        <f t="shared" ca="1" si="32"/>
        <v>0.2539547125659623</v>
      </c>
      <c r="Y152">
        <f>'uniforme cercle (rejet)'!AJ156</f>
        <v>0</v>
      </c>
      <c r="Z152">
        <f t="shared" ca="1" si="33"/>
        <v>8.0279960958085192E-2</v>
      </c>
      <c r="AA152">
        <f t="shared" ca="1" si="34"/>
        <v>0.90170573444531765</v>
      </c>
      <c r="AB152">
        <f t="shared" ca="1" si="35"/>
        <v>0</v>
      </c>
      <c r="AC152" t="e">
        <f t="shared" ca="1" si="36"/>
        <v>#N/A</v>
      </c>
      <c r="AD152" t="e">
        <f t="shared" ca="1" si="37"/>
        <v>#N/A</v>
      </c>
    </row>
    <row r="153" spans="1:30" x14ac:dyDescent="0.2">
      <c r="A153">
        <f t="shared" si="28"/>
        <v>148</v>
      </c>
      <c r="B153">
        <f t="shared" ca="1" si="38"/>
        <v>0.34884585062507711</v>
      </c>
      <c r="C153">
        <f t="shared" ca="1" si="39"/>
        <v>4.2924118131623024</v>
      </c>
      <c r="D153">
        <f t="shared" ca="1" si="29"/>
        <v>-0.14223826919902216</v>
      </c>
      <c r="E153">
        <f t="shared" ca="1" si="30"/>
        <v>-0.31853053585739644</v>
      </c>
      <c r="V153">
        <v>148</v>
      </c>
      <c r="W153">
        <f t="shared" ca="1" si="31"/>
        <v>-0.14223826919902216</v>
      </c>
      <c r="X153">
        <f t="shared" ca="1" si="32"/>
        <v>-0.31853053585739644</v>
      </c>
      <c r="Y153">
        <f>'uniforme cercle (rejet)'!AJ157</f>
        <v>0</v>
      </c>
      <c r="Z153">
        <f t="shared" ca="1" si="33"/>
        <v>0.32581274661461596</v>
      </c>
      <c r="AA153">
        <f t="shared" ca="1" si="34"/>
        <v>1.0404144523000207</v>
      </c>
      <c r="AB153">
        <f t="shared" ca="1" si="35"/>
        <v>0</v>
      </c>
      <c r="AC153" t="e">
        <f t="shared" ca="1" si="36"/>
        <v>#N/A</v>
      </c>
      <c r="AD153" t="e">
        <f t="shared" ca="1" si="37"/>
        <v>#N/A</v>
      </c>
    </row>
    <row r="154" spans="1:30" x14ac:dyDescent="0.2">
      <c r="A154">
        <f t="shared" si="28"/>
        <v>149</v>
      </c>
      <c r="B154">
        <f t="shared" ca="1" si="38"/>
        <v>0.17306451302613157</v>
      </c>
      <c r="C154">
        <f t="shared" ca="1" si="39"/>
        <v>4.7287290549681975</v>
      </c>
      <c r="D154">
        <f t="shared" ca="1" si="29"/>
        <v>2.8277612122366157E-3</v>
      </c>
      <c r="E154">
        <f t="shared" ca="1" si="30"/>
        <v>-0.17304140959752562</v>
      </c>
      <c r="V154">
        <v>149</v>
      </c>
      <c r="W154">
        <f t="shared" ca="1" si="31"/>
        <v>2.8277612122366157E-3</v>
      </c>
      <c r="X154">
        <f t="shared" ca="1" si="32"/>
        <v>-0.17304140959752562</v>
      </c>
      <c r="Y154">
        <f>'uniforme cercle (rejet)'!AJ158</f>
        <v>0</v>
      </c>
      <c r="Z154">
        <f t="shared" ca="1" si="33"/>
        <v>0.12035922502374048</v>
      </c>
      <c r="AA154">
        <f t="shared" ca="1" si="34"/>
        <v>0.83675861158058074</v>
      </c>
      <c r="AB154">
        <f t="shared" ca="1" si="35"/>
        <v>0</v>
      </c>
      <c r="AC154" t="e">
        <f t="shared" ca="1" si="36"/>
        <v>#N/A</v>
      </c>
      <c r="AD154" t="e">
        <f t="shared" ca="1" si="37"/>
        <v>#N/A</v>
      </c>
    </row>
    <row r="155" spans="1:30" x14ac:dyDescent="0.2">
      <c r="A155">
        <f t="shared" si="28"/>
        <v>150</v>
      </c>
      <c r="B155">
        <f t="shared" ca="1" si="38"/>
        <v>0.9039098822117978</v>
      </c>
      <c r="C155">
        <f t="shared" ca="1" si="39"/>
        <v>4.8463585406279162</v>
      </c>
      <c r="D155">
        <f t="shared" ca="1" si="29"/>
        <v>0.12073449778998768</v>
      </c>
      <c r="E155">
        <f t="shared" ca="1" si="30"/>
        <v>-0.89581039076556013</v>
      </c>
      <c r="V155">
        <v>150</v>
      </c>
      <c r="W155">
        <f t="shared" ca="1" si="31"/>
        <v>0.12073449778998768</v>
      </c>
      <c r="X155">
        <f t="shared" ca="1" si="32"/>
        <v>-0.89581039076556013</v>
      </c>
      <c r="Y155">
        <f>'uniforme cercle (rejet)'!AJ159</f>
        <v>0</v>
      </c>
      <c r="Z155">
        <f t="shared" ca="1" si="33"/>
        <v>0.5480614198572461</v>
      </c>
      <c r="AA155">
        <f t="shared" ca="1" si="34"/>
        <v>1.4464193610899014</v>
      </c>
      <c r="AB155">
        <f t="shared" ca="1" si="35"/>
        <v>0</v>
      </c>
      <c r="AC155" t="e">
        <f t="shared" ca="1" si="36"/>
        <v>#N/A</v>
      </c>
      <c r="AD155" t="e">
        <f t="shared" ca="1" si="37"/>
        <v>#N/A</v>
      </c>
    </row>
    <row r="156" spans="1:30" x14ac:dyDescent="0.2">
      <c r="A156">
        <f t="shared" si="28"/>
        <v>151</v>
      </c>
      <c r="B156">
        <f t="shared" ca="1" si="38"/>
        <v>0.5960936588903557</v>
      </c>
      <c r="C156">
        <f t="shared" ca="1" si="39"/>
        <v>1.8647227257281231</v>
      </c>
      <c r="D156">
        <f t="shared" ca="1" si="29"/>
        <v>-0.17269575969005074</v>
      </c>
      <c r="E156">
        <f t="shared" ca="1" si="30"/>
        <v>0.57052942496804493</v>
      </c>
      <c r="V156">
        <v>151</v>
      </c>
      <c r="W156">
        <f t="shared" ca="1" si="31"/>
        <v>-0.17269575969005074</v>
      </c>
      <c r="X156">
        <f t="shared" ca="1" si="32"/>
        <v>0.57052942496804493</v>
      </c>
      <c r="Y156">
        <f>'uniforme cercle (rejet)'!AJ160</f>
        <v>0</v>
      </c>
      <c r="Z156">
        <f t="shared" ca="1" si="33"/>
        <v>0.28131088250236885</v>
      </c>
      <c r="AA156">
        <f t="shared" ca="1" si="34"/>
        <v>0.67638301641251863</v>
      </c>
      <c r="AB156">
        <f t="shared" ca="1" si="35"/>
        <v>0</v>
      </c>
      <c r="AC156" t="e">
        <f t="shared" ca="1" si="36"/>
        <v>#N/A</v>
      </c>
      <c r="AD156" t="e">
        <f t="shared" ca="1" si="37"/>
        <v>#N/A</v>
      </c>
    </row>
    <row r="157" spans="1:30" x14ac:dyDescent="0.2">
      <c r="A157">
        <f t="shared" si="28"/>
        <v>152</v>
      </c>
      <c r="B157">
        <f t="shared" ca="1" si="38"/>
        <v>0.318949878173448</v>
      </c>
      <c r="C157">
        <f t="shared" ca="1" si="39"/>
        <v>5.4418128149476912</v>
      </c>
      <c r="D157">
        <f t="shared" ca="1" si="29"/>
        <v>0.2125610144132373</v>
      </c>
      <c r="E157">
        <f t="shared" ca="1" si="30"/>
        <v>-0.23779579461898151</v>
      </c>
      <c r="V157">
        <v>152</v>
      </c>
      <c r="W157">
        <f t="shared" ca="1" si="31"/>
        <v>0.2125610144132373</v>
      </c>
      <c r="X157">
        <f t="shared" ca="1" si="32"/>
        <v>-0.23779579461898151</v>
      </c>
      <c r="Y157">
        <f>'uniforme cercle (rejet)'!AJ161</f>
        <v>0</v>
      </c>
      <c r="Z157">
        <f t="shared" ca="1" si="33"/>
        <v>1.7843684205233794E-2</v>
      </c>
      <c r="AA157">
        <f t="shared" ca="1" si="34"/>
        <v>0.79181046026975521</v>
      </c>
      <c r="AB157">
        <f t="shared" ca="1" si="35"/>
        <v>0</v>
      </c>
      <c r="AC157" t="e">
        <f t="shared" ca="1" si="36"/>
        <v>#N/A</v>
      </c>
      <c r="AD157" t="e">
        <f t="shared" ca="1" si="37"/>
        <v>#N/A</v>
      </c>
    </row>
    <row r="158" spans="1:30" x14ac:dyDescent="0.2">
      <c r="A158">
        <f t="shared" ref="A158:A221" si="40">1+A157</f>
        <v>153</v>
      </c>
      <c r="B158">
        <f t="shared" ca="1" si="38"/>
        <v>0.62179666506157971</v>
      </c>
      <c r="C158">
        <f t="shared" ca="1" si="39"/>
        <v>6.0866088273118599</v>
      </c>
      <c r="D158">
        <f t="shared" ref="D158:D205" ca="1" si="41">B158*COS(C158)</f>
        <v>0.60982147161177014</v>
      </c>
      <c r="E158">
        <f t="shared" ref="E158:E205" ca="1" si="42">B158*SIN(C158)</f>
        <v>-0.12144490702766186</v>
      </c>
      <c r="V158">
        <v>153</v>
      </c>
      <c r="W158">
        <f t="shared" ca="1" si="31"/>
        <v>0.60982147161177014</v>
      </c>
      <c r="X158">
        <f t="shared" ca="1" si="32"/>
        <v>-0.12144490702766186</v>
      </c>
      <c r="Y158">
        <f>'uniforme cercle (rejet)'!AJ162</f>
        <v>0</v>
      </c>
      <c r="Z158">
        <f t="shared" ca="1" si="33"/>
        <v>0.34533438059001281</v>
      </c>
      <c r="AA158">
        <f t="shared" ca="1" si="34"/>
        <v>0.63107410666069497</v>
      </c>
      <c r="AB158">
        <f t="shared" ca="1" si="35"/>
        <v>1</v>
      </c>
      <c r="AC158">
        <f t="shared" ca="1" si="36"/>
        <v>0.60982147161177014</v>
      </c>
      <c r="AD158">
        <f t="shared" ca="1" si="37"/>
        <v>-0.12144490702766186</v>
      </c>
    </row>
    <row r="159" spans="1:30" x14ac:dyDescent="0.2">
      <c r="A159">
        <f t="shared" si="40"/>
        <v>154</v>
      </c>
      <c r="B159">
        <f t="shared" ca="1" si="38"/>
        <v>0.72490854488151113</v>
      </c>
      <c r="C159">
        <f t="shared" ca="1" si="39"/>
        <v>1.2967107218639278</v>
      </c>
      <c r="D159">
        <f t="shared" ca="1" si="41"/>
        <v>0.19620866649521004</v>
      </c>
      <c r="E159">
        <f t="shared" ca="1" si="42"/>
        <v>0.69784995352468238</v>
      </c>
      <c r="V159">
        <v>154</v>
      </c>
      <c r="W159">
        <f t="shared" ca="1" si="31"/>
        <v>0.19620866649521004</v>
      </c>
      <c r="X159">
        <f t="shared" ca="1" si="32"/>
        <v>0.69784995352468238</v>
      </c>
      <c r="Y159">
        <f>'uniforme cercle (rejet)'!AJ163</f>
        <v>0</v>
      </c>
      <c r="Z159">
        <f t="shared" ca="1" si="33"/>
        <v>0.63219491299435282</v>
      </c>
      <c r="AA159">
        <f t="shared" ca="1" si="34"/>
        <v>0.36253796824930967</v>
      </c>
      <c r="AB159">
        <f t="shared" ca="1" si="35"/>
        <v>1</v>
      </c>
      <c r="AC159">
        <f t="shared" ca="1" si="36"/>
        <v>0.19620866649521004</v>
      </c>
      <c r="AD159">
        <f t="shared" ca="1" si="37"/>
        <v>0.69784995352468238</v>
      </c>
    </row>
    <row r="160" spans="1:30" x14ac:dyDescent="0.2">
      <c r="A160">
        <f t="shared" si="40"/>
        <v>155</v>
      </c>
      <c r="B160">
        <f t="shared" ca="1" si="38"/>
        <v>0.14543256431789708</v>
      </c>
      <c r="C160">
        <f t="shared" ca="1" si="39"/>
        <v>0.83272141474853434</v>
      </c>
      <c r="D160">
        <f t="shared" ca="1" si="41"/>
        <v>9.7856489099557714E-2</v>
      </c>
      <c r="E160">
        <f t="shared" ca="1" si="42"/>
        <v>0.10758595775094172</v>
      </c>
      <c r="V160">
        <v>155</v>
      </c>
      <c r="W160">
        <f t="shared" ca="1" si="31"/>
        <v>9.7856489099557714E-2</v>
      </c>
      <c r="X160">
        <f t="shared" ca="1" si="32"/>
        <v>0.10758595775094172</v>
      </c>
      <c r="Y160">
        <f>'uniforme cercle (rejet)'!AJ164</f>
        <v>0</v>
      </c>
      <c r="Z160">
        <f t="shared" ca="1" si="33"/>
        <v>0.14526974731154502</v>
      </c>
      <c r="AA160">
        <f t="shared" ca="1" si="34"/>
        <v>0.5618791541902759</v>
      </c>
      <c r="AB160">
        <f t="shared" ca="1" si="35"/>
        <v>0</v>
      </c>
      <c r="AC160" t="e">
        <f t="shared" ca="1" si="36"/>
        <v>#N/A</v>
      </c>
      <c r="AD160" t="e">
        <f t="shared" ca="1" si="37"/>
        <v>#N/A</v>
      </c>
    </row>
    <row r="161" spans="1:30" x14ac:dyDescent="0.2">
      <c r="A161">
        <f t="shared" si="40"/>
        <v>156</v>
      </c>
      <c r="B161">
        <f t="shared" ca="1" si="38"/>
        <v>0.43686823165763777</v>
      </c>
      <c r="C161">
        <f t="shared" ca="1" si="39"/>
        <v>0.63024355153890188</v>
      </c>
      <c r="D161">
        <f t="shared" ca="1" si="41"/>
        <v>0.35293885325704399</v>
      </c>
      <c r="E161">
        <f t="shared" ca="1" si="42"/>
        <v>0.25746459502866453</v>
      </c>
      <c r="V161">
        <v>156</v>
      </c>
      <c r="W161">
        <f t="shared" ca="1" si="31"/>
        <v>0.35293885325704399</v>
      </c>
      <c r="X161">
        <f t="shared" ca="1" si="32"/>
        <v>0.25746459502866453</v>
      </c>
      <c r="Y161">
        <f>'uniforme cercle (rejet)'!AJ165</f>
        <v>0</v>
      </c>
      <c r="Z161">
        <f t="shared" ca="1" si="33"/>
        <v>0.43162041754247665</v>
      </c>
      <c r="AA161">
        <f t="shared" ca="1" si="34"/>
        <v>0.28363780345003897</v>
      </c>
      <c r="AB161">
        <f t="shared" ca="1" si="35"/>
        <v>1</v>
      </c>
      <c r="AC161">
        <f t="shared" ca="1" si="36"/>
        <v>0.35293885325704399</v>
      </c>
      <c r="AD161">
        <f t="shared" ca="1" si="37"/>
        <v>0.25746459502866453</v>
      </c>
    </row>
    <row r="162" spans="1:30" x14ac:dyDescent="0.2">
      <c r="A162">
        <f t="shared" si="40"/>
        <v>157</v>
      </c>
      <c r="B162">
        <f t="shared" ca="1" si="38"/>
        <v>0.40102337150772627</v>
      </c>
      <c r="C162">
        <f t="shared" ca="1" si="39"/>
        <v>0.33700883501451145</v>
      </c>
      <c r="D162">
        <f t="shared" ca="1" si="41"/>
        <v>0.37846498937912909</v>
      </c>
      <c r="E162">
        <f t="shared" ca="1" si="42"/>
        <v>0.13260466171926064</v>
      </c>
      <c r="V162">
        <v>157</v>
      </c>
      <c r="W162">
        <f t="shared" ca="1" si="31"/>
        <v>0.37846498937912909</v>
      </c>
      <c r="X162">
        <f t="shared" ca="1" si="32"/>
        <v>0.13260466171926064</v>
      </c>
      <c r="Y162">
        <f>'uniforme cercle (rejet)'!AJ166</f>
        <v>0</v>
      </c>
      <c r="Z162">
        <f t="shared" ca="1" si="33"/>
        <v>0.36138081595031424</v>
      </c>
      <c r="AA162">
        <f t="shared" ca="1" si="34"/>
        <v>0.3869755720934257</v>
      </c>
      <c r="AB162">
        <f t="shared" ca="1" si="35"/>
        <v>1</v>
      </c>
      <c r="AC162">
        <f t="shared" ca="1" si="36"/>
        <v>0.37846498937912909</v>
      </c>
      <c r="AD162">
        <f t="shared" ca="1" si="37"/>
        <v>0.13260466171926064</v>
      </c>
    </row>
    <row r="163" spans="1:30" x14ac:dyDescent="0.2">
      <c r="A163">
        <f t="shared" si="40"/>
        <v>158</v>
      </c>
      <c r="B163">
        <f t="shared" ca="1" si="38"/>
        <v>0.92725975719586384</v>
      </c>
      <c r="C163">
        <f t="shared" ca="1" si="39"/>
        <v>2.8659818714879273</v>
      </c>
      <c r="D163">
        <f t="shared" ca="1" si="41"/>
        <v>-0.89226419701853033</v>
      </c>
      <c r="E163">
        <f t="shared" ca="1" si="42"/>
        <v>0.25233957286523589</v>
      </c>
      <c r="V163">
        <v>158</v>
      </c>
      <c r="W163">
        <f t="shared" ca="1" si="31"/>
        <v>-0.89226419701853033</v>
      </c>
      <c r="X163">
        <f t="shared" ca="1" si="32"/>
        <v>0.25233957286523589</v>
      </c>
      <c r="Y163">
        <f>'uniforme cercle (rejet)'!AJ167</f>
        <v>0</v>
      </c>
      <c r="Z163">
        <f t="shared" ca="1" si="33"/>
        <v>0.4524950411870472</v>
      </c>
      <c r="AA163">
        <f t="shared" ca="1" si="34"/>
        <v>1.4141199671414821</v>
      </c>
      <c r="AB163">
        <f t="shared" ca="1" si="35"/>
        <v>0</v>
      </c>
      <c r="AC163" t="e">
        <f t="shared" ca="1" si="36"/>
        <v>#N/A</v>
      </c>
      <c r="AD163" t="e">
        <f t="shared" ca="1" si="37"/>
        <v>#N/A</v>
      </c>
    </row>
    <row r="164" spans="1:30" x14ac:dyDescent="0.2">
      <c r="A164">
        <f t="shared" si="40"/>
        <v>159</v>
      </c>
      <c r="B164">
        <f t="shared" ca="1" si="38"/>
        <v>0.11060882952179096</v>
      </c>
      <c r="C164">
        <f t="shared" ca="1" si="39"/>
        <v>0.62719738616579968</v>
      </c>
      <c r="D164">
        <f t="shared" ca="1" si="41"/>
        <v>8.9557256915993047E-2</v>
      </c>
      <c r="E164">
        <f t="shared" ca="1" si="42"/>
        <v>6.4913872953810348E-2</v>
      </c>
      <c r="V164">
        <v>159</v>
      </c>
      <c r="W164">
        <f t="shared" ca="1" si="31"/>
        <v>8.9557256915993047E-2</v>
      </c>
      <c r="X164">
        <f t="shared" ca="1" si="32"/>
        <v>6.4913872953810348E-2</v>
      </c>
      <c r="Y164">
        <f>'uniforme cercle (rejet)'!AJ168</f>
        <v>0</v>
      </c>
      <c r="Z164">
        <f t="shared" ca="1" si="33"/>
        <v>0.10922758342848582</v>
      </c>
      <c r="AA164">
        <f t="shared" ca="1" si="34"/>
        <v>0.59813308159503864</v>
      </c>
      <c r="AB164">
        <f t="shared" ca="1" si="35"/>
        <v>0</v>
      </c>
      <c r="AC164" t="e">
        <f t="shared" ca="1" si="36"/>
        <v>#N/A</v>
      </c>
      <c r="AD164" t="e">
        <f t="shared" ca="1" si="37"/>
        <v>#N/A</v>
      </c>
    </row>
    <row r="165" spans="1:30" x14ac:dyDescent="0.2">
      <c r="A165">
        <f t="shared" si="40"/>
        <v>160</v>
      </c>
      <c r="B165">
        <f t="shared" ca="1" si="38"/>
        <v>0.29643841904695956</v>
      </c>
      <c r="C165">
        <f t="shared" ca="1" si="39"/>
        <v>1.8475801024431142</v>
      </c>
      <c r="D165">
        <f t="shared" ca="1" si="41"/>
        <v>-8.1005727196523172E-2</v>
      </c>
      <c r="E165">
        <f t="shared" ca="1" si="42"/>
        <v>0.28515576173106388</v>
      </c>
      <c r="V165">
        <v>160</v>
      </c>
      <c r="W165">
        <f t="shared" ca="1" si="31"/>
        <v>-8.1005727196523172E-2</v>
      </c>
      <c r="X165">
        <f t="shared" ca="1" si="32"/>
        <v>0.28515576173106388</v>
      </c>
      <c r="Y165">
        <f>'uniforme cercle (rejet)'!AJ169</f>
        <v>0</v>
      </c>
      <c r="Z165">
        <f t="shared" ca="1" si="33"/>
        <v>0.14435587379884163</v>
      </c>
      <c r="AA165">
        <f t="shared" ca="1" si="34"/>
        <v>0.61945597240846761</v>
      </c>
      <c r="AB165">
        <f t="shared" ca="1" si="35"/>
        <v>0</v>
      </c>
      <c r="AC165" t="e">
        <f t="shared" ca="1" si="36"/>
        <v>#N/A</v>
      </c>
      <c r="AD165" t="e">
        <f t="shared" ca="1" si="37"/>
        <v>#N/A</v>
      </c>
    </row>
    <row r="166" spans="1:30" x14ac:dyDescent="0.2">
      <c r="A166">
        <f t="shared" si="40"/>
        <v>161</v>
      </c>
      <c r="B166">
        <f t="shared" ca="1" si="38"/>
        <v>0.33767672792057513</v>
      </c>
      <c r="C166">
        <f t="shared" ca="1" si="39"/>
        <v>3.6127866253108549</v>
      </c>
      <c r="D166">
        <f t="shared" ca="1" si="41"/>
        <v>-0.3008790546356741</v>
      </c>
      <c r="E166">
        <f t="shared" ca="1" si="42"/>
        <v>-0.15328850922586842</v>
      </c>
      <c r="V166">
        <v>161</v>
      </c>
      <c r="W166">
        <f t="shared" ca="1" si="31"/>
        <v>-0.3008790546356741</v>
      </c>
      <c r="X166">
        <f t="shared" ca="1" si="32"/>
        <v>-0.15328850922586842</v>
      </c>
      <c r="Y166">
        <f>'uniforme cercle (rejet)'!AJ170</f>
        <v>0</v>
      </c>
      <c r="Z166">
        <f t="shared" ca="1" si="33"/>
        <v>0.32114496420147115</v>
      </c>
      <c r="AA166">
        <f t="shared" ca="1" si="34"/>
        <v>1.033534293790336</v>
      </c>
      <c r="AB166">
        <f t="shared" ca="1" si="35"/>
        <v>0</v>
      </c>
      <c r="AC166" t="e">
        <f t="shared" ca="1" si="36"/>
        <v>#N/A</v>
      </c>
      <c r="AD166" t="e">
        <f t="shared" ca="1" si="37"/>
        <v>#N/A</v>
      </c>
    </row>
    <row r="167" spans="1:30" x14ac:dyDescent="0.2">
      <c r="A167">
        <f t="shared" si="40"/>
        <v>162</v>
      </c>
      <c r="B167">
        <f t="shared" ca="1" si="38"/>
        <v>0.48708085235908016</v>
      </c>
      <c r="C167">
        <f t="shared" ca="1" si="39"/>
        <v>4.3603635219923813</v>
      </c>
      <c r="D167">
        <f t="shared" ca="1" si="41"/>
        <v>-0.16794536252027725</v>
      </c>
      <c r="E167">
        <f t="shared" ca="1" si="42"/>
        <v>-0.45721123339522263</v>
      </c>
      <c r="V167">
        <v>162</v>
      </c>
      <c r="W167">
        <f t="shared" ca="1" si="31"/>
        <v>-0.16794536252027725</v>
      </c>
      <c r="X167">
        <f t="shared" ca="1" si="32"/>
        <v>-0.45721123339522263</v>
      </c>
      <c r="Y167">
        <f>'uniforme cercle (rejet)'!AJ171</f>
        <v>0</v>
      </c>
      <c r="Z167">
        <f t="shared" ca="1" si="33"/>
        <v>0.44205246827534828</v>
      </c>
      <c r="AA167">
        <f t="shared" ca="1" si="34"/>
        <v>1.1672207814506852</v>
      </c>
      <c r="AB167">
        <f t="shared" ca="1" si="35"/>
        <v>0</v>
      </c>
      <c r="AC167" t="e">
        <f t="shared" ca="1" si="36"/>
        <v>#N/A</v>
      </c>
      <c r="AD167" t="e">
        <f t="shared" ca="1" si="37"/>
        <v>#N/A</v>
      </c>
    </row>
    <row r="168" spans="1:30" x14ac:dyDescent="0.2">
      <c r="A168">
        <f t="shared" si="40"/>
        <v>163</v>
      </c>
      <c r="B168">
        <f t="shared" ca="1" si="38"/>
        <v>0.43861941902285895</v>
      </c>
      <c r="C168">
        <f t="shared" ca="1" si="39"/>
        <v>0.80012368919389687</v>
      </c>
      <c r="D168">
        <f t="shared" ca="1" si="41"/>
        <v>0.30555017139700247</v>
      </c>
      <c r="E168">
        <f t="shared" ca="1" si="42"/>
        <v>0.31468410748433534</v>
      </c>
      <c r="V168">
        <v>163</v>
      </c>
      <c r="W168">
        <f t="shared" ca="1" si="31"/>
        <v>0.30555017139700247</v>
      </c>
      <c r="X168">
        <f t="shared" ca="1" si="32"/>
        <v>0.31468410748433534</v>
      </c>
      <c r="Y168">
        <f>'uniforme cercle (rejet)'!AJ172</f>
        <v>0</v>
      </c>
      <c r="Z168">
        <f t="shared" ca="1" si="33"/>
        <v>0.43857186452134223</v>
      </c>
      <c r="AA168">
        <f t="shared" ca="1" si="34"/>
        <v>0.26861257577152359</v>
      </c>
      <c r="AB168">
        <f t="shared" ca="1" si="35"/>
        <v>1</v>
      </c>
      <c r="AC168">
        <f t="shared" ca="1" si="36"/>
        <v>0.30555017139700247</v>
      </c>
      <c r="AD168">
        <f t="shared" ca="1" si="37"/>
        <v>0.31468410748433534</v>
      </c>
    </row>
    <row r="169" spans="1:30" x14ac:dyDescent="0.2">
      <c r="A169">
        <f t="shared" si="40"/>
        <v>164</v>
      </c>
      <c r="B169">
        <f t="shared" ca="1" si="38"/>
        <v>0.74086237069158001</v>
      </c>
      <c r="C169">
        <f t="shared" ca="1" si="39"/>
        <v>5.3284947387982884</v>
      </c>
      <c r="D169">
        <f t="shared" ca="1" si="41"/>
        <v>0.4281157100504604</v>
      </c>
      <c r="E169">
        <f t="shared" ca="1" si="42"/>
        <v>-0.60464368938635116</v>
      </c>
      <c r="V169">
        <v>164</v>
      </c>
      <c r="W169">
        <f t="shared" ca="1" si="31"/>
        <v>0.4281157100504604</v>
      </c>
      <c r="X169">
        <f t="shared" ca="1" si="32"/>
        <v>-0.60464368938635116</v>
      </c>
      <c r="Y169">
        <f>'uniforme cercle (rejet)'!AJ173</f>
        <v>0</v>
      </c>
      <c r="Z169">
        <f t="shared" ca="1" si="33"/>
        <v>0.12482413125756708</v>
      </c>
      <c r="AA169">
        <f t="shared" ca="1" si="34"/>
        <v>1.106980140581862</v>
      </c>
      <c r="AB169">
        <f t="shared" ca="1" si="35"/>
        <v>0</v>
      </c>
      <c r="AC169" t="e">
        <f t="shared" ca="1" si="36"/>
        <v>#N/A</v>
      </c>
      <c r="AD169" t="e">
        <f t="shared" ca="1" si="37"/>
        <v>#N/A</v>
      </c>
    </row>
    <row r="170" spans="1:30" x14ac:dyDescent="0.2">
      <c r="A170">
        <f t="shared" si="40"/>
        <v>165</v>
      </c>
      <c r="B170">
        <f t="shared" ca="1" si="38"/>
        <v>0.97088151390179067</v>
      </c>
      <c r="C170">
        <f t="shared" ca="1" si="39"/>
        <v>3.3267104539363714</v>
      </c>
      <c r="D170">
        <f t="shared" ca="1" si="41"/>
        <v>-0.95429359046146944</v>
      </c>
      <c r="E170">
        <f t="shared" ca="1" si="42"/>
        <v>-0.17870270630404658</v>
      </c>
      <c r="V170">
        <v>165</v>
      </c>
      <c r="W170">
        <f t="shared" ca="1" si="31"/>
        <v>-0.95429359046146944</v>
      </c>
      <c r="X170">
        <f t="shared" ca="1" si="32"/>
        <v>-0.17870270630404658</v>
      </c>
      <c r="Y170">
        <f>'uniforme cercle (rejet)'!AJ174</f>
        <v>0</v>
      </c>
      <c r="Z170">
        <f t="shared" ca="1" si="33"/>
        <v>0.80114936450214247</v>
      </c>
      <c r="AA170">
        <f t="shared" ca="1" si="34"/>
        <v>1.6048698423242145</v>
      </c>
      <c r="AB170">
        <f t="shared" ca="1" si="35"/>
        <v>0</v>
      </c>
      <c r="AC170" t="e">
        <f t="shared" ca="1" si="36"/>
        <v>#N/A</v>
      </c>
      <c r="AD170" t="e">
        <f t="shared" ca="1" si="37"/>
        <v>#N/A</v>
      </c>
    </row>
    <row r="171" spans="1:30" x14ac:dyDescent="0.2">
      <c r="A171">
        <f t="shared" si="40"/>
        <v>166</v>
      </c>
      <c r="B171">
        <f t="shared" ca="1" si="38"/>
        <v>0.37666104765506436</v>
      </c>
      <c r="C171">
        <f t="shared" ca="1" si="39"/>
        <v>0.47763845864765914</v>
      </c>
      <c r="D171">
        <f t="shared" ca="1" si="41"/>
        <v>0.33450625776206927</v>
      </c>
      <c r="E171">
        <f t="shared" ca="1" si="42"/>
        <v>0.1731447612220097</v>
      </c>
      <c r="V171">
        <v>166</v>
      </c>
      <c r="W171">
        <f t="shared" ca="1" si="31"/>
        <v>0.33450625776206927</v>
      </c>
      <c r="X171">
        <f t="shared" ca="1" si="32"/>
        <v>0.1731447612220097</v>
      </c>
      <c r="Y171">
        <f>'uniforme cercle (rejet)'!AJ175</f>
        <v>0</v>
      </c>
      <c r="Z171">
        <f t="shared" ca="1" si="33"/>
        <v>0.35896347799990297</v>
      </c>
      <c r="AA171">
        <f t="shared" ca="1" si="34"/>
        <v>0.36636392540277718</v>
      </c>
      <c r="AB171">
        <f t="shared" ca="1" si="35"/>
        <v>1</v>
      </c>
      <c r="AC171">
        <f t="shared" ca="1" si="36"/>
        <v>0.33450625776206927</v>
      </c>
      <c r="AD171">
        <f t="shared" ca="1" si="37"/>
        <v>0.1731447612220097</v>
      </c>
    </row>
    <row r="172" spans="1:30" x14ac:dyDescent="0.2">
      <c r="A172">
        <f t="shared" si="40"/>
        <v>167</v>
      </c>
      <c r="B172">
        <f t="shared" ca="1" si="38"/>
        <v>0.5609380594982043</v>
      </c>
      <c r="C172">
        <f t="shared" ca="1" si="39"/>
        <v>5.1362238218809253</v>
      </c>
      <c r="D172">
        <f t="shared" ca="1" si="41"/>
        <v>0.230690824050616</v>
      </c>
      <c r="E172">
        <f t="shared" ca="1" si="42"/>
        <v>-0.51130543737814749</v>
      </c>
      <c r="V172">
        <v>167</v>
      </c>
      <c r="W172">
        <f t="shared" ca="1" si="31"/>
        <v>0.230690824050616</v>
      </c>
      <c r="X172">
        <f t="shared" ca="1" si="32"/>
        <v>-0.51130543737814749</v>
      </c>
      <c r="Y172">
        <f>'uniforme cercle (rejet)'!AJ176</f>
        <v>0</v>
      </c>
      <c r="Z172">
        <f t="shared" ca="1" si="33"/>
        <v>0.19842449598393844</v>
      </c>
      <c r="AA172">
        <f t="shared" ca="1" si="34"/>
        <v>1.046549626114855</v>
      </c>
      <c r="AB172">
        <f t="shared" ca="1" si="35"/>
        <v>0</v>
      </c>
      <c r="AC172" t="e">
        <f t="shared" ca="1" si="36"/>
        <v>#N/A</v>
      </c>
      <c r="AD172" t="e">
        <f t="shared" ca="1" si="37"/>
        <v>#N/A</v>
      </c>
    </row>
    <row r="173" spans="1:30" x14ac:dyDescent="0.2">
      <c r="A173">
        <f t="shared" si="40"/>
        <v>168</v>
      </c>
      <c r="B173">
        <f t="shared" ca="1" si="38"/>
        <v>0.76319950421127147</v>
      </c>
      <c r="C173">
        <f t="shared" ca="1" si="39"/>
        <v>4.2830207692164342</v>
      </c>
      <c r="D173">
        <f t="shared" ca="1" si="41"/>
        <v>-0.31771724032195936</v>
      </c>
      <c r="E173">
        <f t="shared" ca="1" si="42"/>
        <v>-0.69392307817980003</v>
      </c>
      <c r="V173">
        <v>168</v>
      </c>
      <c r="W173">
        <f t="shared" ca="1" si="31"/>
        <v>-0.31771724032195936</v>
      </c>
      <c r="X173">
        <f t="shared" ca="1" si="32"/>
        <v>-0.69392307817980003</v>
      </c>
      <c r="Y173">
        <f>'uniforme cercle (rejet)'!AJ177</f>
        <v>0</v>
      </c>
      <c r="Z173">
        <f t="shared" ca="1" si="33"/>
        <v>0.71533772933431283</v>
      </c>
      <c r="AA173">
        <f t="shared" ca="1" si="34"/>
        <v>1.4471053181196212</v>
      </c>
      <c r="AB173">
        <f t="shared" ca="1" si="35"/>
        <v>0</v>
      </c>
      <c r="AC173" t="e">
        <f t="shared" ca="1" si="36"/>
        <v>#N/A</v>
      </c>
      <c r="AD173" t="e">
        <f t="shared" ca="1" si="37"/>
        <v>#N/A</v>
      </c>
    </row>
    <row r="174" spans="1:30" x14ac:dyDescent="0.2">
      <c r="A174">
        <f t="shared" si="40"/>
        <v>169</v>
      </c>
      <c r="B174">
        <f t="shared" ca="1" si="38"/>
        <v>5.2987413213468115E-2</v>
      </c>
      <c r="C174">
        <f t="shared" ca="1" si="39"/>
        <v>5.2903865231968066</v>
      </c>
      <c r="D174">
        <f t="shared" ca="1" si="41"/>
        <v>2.8949559737862094E-2</v>
      </c>
      <c r="E174">
        <f t="shared" ca="1" si="42"/>
        <v>-4.438005126223684E-2</v>
      </c>
      <c r="V174">
        <v>169</v>
      </c>
      <c r="W174">
        <f t="shared" ca="1" si="31"/>
        <v>2.8949559737862094E-2</v>
      </c>
      <c r="X174">
        <f t="shared" ca="1" si="32"/>
        <v>-4.438005126223684E-2</v>
      </c>
      <c r="Y174">
        <f>'uniforme cercle (rejet)'!AJ178</f>
        <v>0</v>
      </c>
      <c r="Z174">
        <f t="shared" ca="1" si="33"/>
        <v>1.091100519392693E-2</v>
      </c>
      <c r="AA174">
        <f t="shared" ca="1" si="34"/>
        <v>0.71988760059014045</v>
      </c>
      <c r="AB174">
        <f t="shared" ca="1" si="35"/>
        <v>0</v>
      </c>
      <c r="AC174" t="e">
        <f t="shared" ca="1" si="36"/>
        <v>#N/A</v>
      </c>
      <c r="AD174" t="e">
        <f t="shared" ca="1" si="37"/>
        <v>#N/A</v>
      </c>
    </row>
    <row r="175" spans="1:30" x14ac:dyDescent="0.2">
      <c r="A175">
        <f t="shared" si="40"/>
        <v>170</v>
      </c>
      <c r="B175">
        <f t="shared" ca="1" si="38"/>
        <v>0.36183346230161906</v>
      </c>
      <c r="C175">
        <f t="shared" ca="1" si="39"/>
        <v>1.5753774888580849</v>
      </c>
      <c r="D175">
        <f t="shared" ca="1" si="41"/>
        <v>-1.6576119326111199E-3</v>
      </c>
      <c r="E175">
        <f t="shared" ca="1" si="42"/>
        <v>0.36182966540052797</v>
      </c>
      <c r="V175">
        <v>170</v>
      </c>
      <c r="W175">
        <f t="shared" ca="1" si="31"/>
        <v>-1.6576119326111199E-3</v>
      </c>
      <c r="X175">
        <f t="shared" ca="1" si="32"/>
        <v>0.36182966540052797</v>
      </c>
      <c r="Y175">
        <f>'uniforme cercle (rejet)'!AJ179</f>
        <v>0</v>
      </c>
      <c r="Z175">
        <f t="shared" ca="1" si="33"/>
        <v>0.25468010140104774</v>
      </c>
      <c r="AA175">
        <f t="shared" ca="1" si="34"/>
        <v>0.52033777584686314</v>
      </c>
      <c r="AB175">
        <f t="shared" ca="1" si="35"/>
        <v>1</v>
      </c>
      <c r="AC175">
        <f t="shared" ca="1" si="36"/>
        <v>-1.6576119326111199E-3</v>
      </c>
      <c r="AD175">
        <f t="shared" ca="1" si="37"/>
        <v>0.36182966540052797</v>
      </c>
    </row>
    <row r="176" spans="1:30" x14ac:dyDescent="0.2">
      <c r="A176">
        <f t="shared" si="40"/>
        <v>171</v>
      </c>
      <c r="B176">
        <f t="shared" ca="1" si="38"/>
        <v>0.79415146348569354</v>
      </c>
      <c r="C176">
        <f t="shared" ca="1" si="39"/>
        <v>4.4585416166491854</v>
      </c>
      <c r="D176">
        <f t="shared" ca="1" si="41"/>
        <v>-0.19943515975117862</v>
      </c>
      <c r="E176">
        <f t="shared" ca="1" si="42"/>
        <v>-0.76870160921614494</v>
      </c>
      <c r="V176">
        <v>171</v>
      </c>
      <c r="W176">
        <f t="shared" ca="1" si="31"/>
        <v>-0.19943515975117862</v>
      </c>
      <c r="X176">
        <f t="shared" ca="1" si="32"/>
        <v>-0.76870160921614494</v>
      </c>
      <c r="Y176">
        <f>'uniforme cercle (rejet)'!AJ180</f>
        <v>0</v>
      </c>
      <c r="Z176">
        <f t="shared" ca="1" si="33"/>
        <v>0.68457607445282842</v>
      </c>
      <c r="AA176">
        <f t="shared" ca="1" si="34"/>
        <v>1.4487281718541241</v>
      </c>
      <c r="AB176">
        <f t="shared" ca="1" si="35"/>
        <v>0</v>
      </c>
      <c r="AC176" t="e">
        <f t="shared" ca="1" si="36"/>
        <v>#N/A</v>
      </c>
      <c r="AD176" t="e">
        <f t="shared" ca="1" si="37"/>
        <v>#N/A</v>
      </c>
    </row>
    <row r="177" spans="1:30" x14ac:dyDescent="0.2">
      <c r="A177">
        <f t="shared" si="40"/>
        <v>172</v>
      </c>
      <c r="B177">
        <f t="shared" ca="1" si="38"/>
        <v>0.8373551161663364</v>
      </c>
      <c r="C177">
        <f t="shared" ca="1" si="39"/>
        <v>5.4056391530925394</v>
      </c>
      <c r="D177">
        <f t="shared" ca="1" si="41"/>
        <v>0.5351038308492132</v>
      </c>
      <c r="E177">
        <f t="shared" ca="1" si="42"/>
        <v>-0.64407102153445428</v>
      </c>
      <c r="V177">
        <v>172</v>
      </c>
      <c r="W177">
        <f t="shared" ca="1" si="31"/>
        <v>0.5351038308492132</v>
      </c>
      <c r="X177">
        <f t="shared" ca="1" si="32"/>
        <v>-0.64407102153445428</v>
      </c>
      <c r="Y177">
        <f>'uniforme cercle (rejet)'!AJ181</f>
        <v>0</v>
      </c>
      <c r="Z177">
        <f t="shared" ca="1" si="33"/>
        <v>7.7051439460381552E-2</v>
      </c>
      <c r="AA177">
        <f t="shared" ca="1" si="34"/>
        <v>1.1446094448567075</v>
      </c>
      <c r="AB177">
        <f t="shared" ca="1" si="35"/>
        <v>0</v>
      </c>
      <c r="AC177" t="e">
        <f t="shared" ca="1" si="36"/>
        <v>#N/A</v>
      </c>
      <c r="AD177" t="e">
        <f t="shared" ca="1" si="37"/>
        <v>#N/A</v>
      </c>
    </row>
    <row r="178" spans="1:30" x14ac:dyDescent="0.2">
      <c r="A178">
        <f t="shared" si="40"/>
        <v>173</v>
      </c>
      <c r="B178">
        <f t="shared" ca="1" si="38"/>
        <v>0.44729945634775292</v>
      </c>
      <c r="C178">
        <f t="shared" ca="1" si="39"/>
        <v>3.0758140221392161</v>
      </c>
      <c r="D178">
        <f t="shared" ca="1" si="41"/>
        <v>-0.44633211123234917</v>
      </c>
      <c r="E178">
        <f t="shared" ca="1" si="42"/>
        <v>2.9401532814960721E-2</v>
      </c>
      <c r="V178">
        <v>173</v>
      </c>
      <c r="W178">
        <f t="shared" ca="1" si="31"/>
        <v>-0.44633211123234917</v>
      </c>
      <c r="X178">
        <f t="shared" ca="1" si="32"/>
        <v>2.9401532814960721E-2</v>
      </c>
      <c r="Y178">
        <f>'uniforme cercle (rejet)'!AJ182</f>
        <v>0</v>
      </c>
      <c r="Z178">
        <f t="shared" ca="1" si="33"/>
        <v>0.29481443928296502</v>
      </c>
      <c r="AA178">
        <f t="shared" ca="1" si="34"/>
        <v>1.0568856996224254</v>
      </c>
      <c r="AB178">
        <f t="shared" ca="1" si="35"/>
        <v>0</v>
      </c>
      <c r="AC178" t="e">
        <f t="shared" ca="1" si="36"/>
        <v>#N/A</v>
      </c>
      <c r="AD178" t="e">
        <f t="shared" ca="1" si="37"/>
        <v>#N/A</v>
      </c>
    </row>
    <row r="179" spans="1:30" x14ac:dyDescent="0.2">
      <c r="A179">
        <f t="shared" si="40"/>
        <v>174</v>
      </c>
      <c r="B179">
        <f t="shared" ca="1" si="38"/>
        <v>0.30646098895576157</v>
      </c>
      <c r="C179">
        <f t="shared" ca="1" si="39"/>
        <v>4.5585263714013768</v>
      </c>
      <c r="D179">
        <f t="shared" ca="1" si="41"/>
        <v>-4.696706017233615E-2</v>
      </c>
      <c r="E179">
        <f t="shared" ca="1" si="42"/>
        <v>-0.30284060660768658</v>
      </c>
      <c r="V179">
        <v>174</v>
      </c>
      <c r="W179">
        <f t="shared" ca="1" si="31"/>
        <v>-4.696706017233615E-2</v>
      </c>
      <c r="X179">
        <f t="shared" ca="1" si="32"/>
        <v>-0.30284060660768658</v>
      </c>
      <c r="Y179">
        <f>'uniforme cercle (rejet)'!AJ183</f>
        <v>0</v>
      </c>
      <c r="Z179">
        <f t="shared" ca="1" si="33"/>
        <v>0.24735137329119827</v>
      </c>
      <c r="AA179">
        <f t="shared" ca="1" si="34"/>
        <v>0.97145561119989732</v>
      </c>
      <c r="AB179">
        <f t="shared" ca="1" si="35"/>
        <v>0</v>
      </c>
      <c r="AC179" t="e">
        <f t="shared" ca="1" si="36"/>
        <v>#N/A</v>
      </c>
      <c r="AD179" t="e">
        <f t="shared" ca="1" si="37"/>
        <v>#N/A</v>
      </c>
    </row>
    <row r="180" spans="1:30" x14ac:dyDescent="0.2">
      <c r="A180">
        <f t="shared" si="40"/>
        <v>175</v>
      </c>
      <c r="B180">
        <f t="shared" ca="1" si="38"/>
        <v>0.97595101297223297</v>
      </c>
      <c r="C180">
        <f t="shared" ca="1" si="39"/>
        <v>1.694452109989363</v>
      </c>
      <c r="D180">
        <f t="shared" ca="1" si="41"/>
        <v>-0.12037466884904859</v>
      </c>
      <c r="E180">
        <f t="shared" ca="1" si="42"/>
        <v>0.96849900300465441</v>
      </c>
      <c r="V180">
        <v>175</v>
      </c>
      <c r="W180">
        <f t="shared" ca="1" si="31"/>
        <v>-0.12037466884904859</v>
      </c>
      <c r="X180">
        <f t="shared" ca="1" si="32"/>
        <v>0.96849900300465441</v>
      </c>
      <c r="Y180">
        <f>'uniforme cercle (rejet)'!AJ184</f>
        <v>0</v>
      </c>
      <c r="Z180">
        <f t="shared" ca="1" si="33"/>
        <v>0.59971446797075423</v>
      </c>
      <c r="AA180">
        <f t="shared" ca="1" si="34"/>
        <v>0.77740339950756709</v>
      </c>
      <c r="AB180">
        <f t="shared" ca="1" si="35"/>
        <v>1</v>
      </c>
      <c r="AC180">
        <f t="shared" ca="1" si="36"/>
        <v>-0.12037466884904859</v>
      </c>
      <c r="AD180">
        <f t="shared" ca="1" si="37"/>
        <v>0.96849900300465441</v>
      </c>
    </row>
    <row r="181" spans="1:30" x14ac:dyDescent="0.2">
      <c r="A181">
        <f t="shared" si="40"/>
        <v>176</v>
      </c>
      <c r="B181">
        <f t="shared" ca="1" si="38"/>
        <v>0.38578091276601867</v>
      </c>
      <c r="C181">
        <f t="shared" ca="1" si="39"/>
        <v>5.7968158974276207</v>
      </c>
      <c r="D181">
        <f t="shared" ca="1" si="41"/>
        <v>0.34104409522320961</v>
      </c>
      <c r="E181">
        <f t="shared" ca="1" si="42"/>
        <v>-0.18032148448802446</v>
      </c>
      <c r="V181">
        <v>176</v>
      </c>
      <c r="W181">
        <f t="shared" ca="1" si="31"/>
        <v>0.34104409522320961</v>
      </c>
      <c r="X181">
        <f t="shared" ca="1" si="32"/>
        <v>-0.18032148448802446</v>
      </c>
      <c r="Y181">
        <f>'uniforme cercle (rejet)'!AJ185</f>
        <v>0</v>
      </c>
      <c r="Z181">
        <f t="shared" ca="1" si="33"/>
        <v>0.11364804794085522</v>
      </c>
      <c r="AA181">
        <f t="shared" ca="1" si="34"/>
        <v>0.69864461775597853</v>
      </c>
      <c r="AB181">
        <f t="shared" ca="1" si="35"/>
        <v>0</v>
      </c>
      <c r="AC181" t="e">
        <f t="shared" ca="1" si="36"/>
        <v>#N/A</v>
      </c>
      <c r="AD181" t="e">
        <f t="shared" ca="1" si="37"/>
        <v>#N/A</v>
      </c>
    </row>
    <row r="182" spans="1:30" x14ac:dyDescent="0.2">
      <c r="A182">
        <f t="shared" si="40"/>
        <v>177</v>
      </c>
      <c r="B182">
        <f t="shared" ca="1" si="38"/>
        <v>0.91547267621111583</v>
      </c>
      <c r="C182">
        <f t="shared" ca="1" si="39"/>
        <v>0.88115788575413079</v>
      </c>
      <c r="D182">
        <f t="shared" ca="1" si="41"/>
        <v>0.58247707924774472</v>
      </c>
      <c r="E182">
        <f t="shared" ca="1" si="42"/>
        <v>0.70626529933174487</v>
      </c>
      <c r="V182">
        <v>177</v>
      </c>
      <c r="W182">
        <f t="shared" ca="1" si="31"/>
        <v>0.58247707924774472</v>
      </c>
      <c r="X182">
        <f t="shared" ca="1" si="32"/>
        <v>0.70626529933174487</v>
      </c>
      <c r="Y182">
        <f>'uniforme cercle (rejet)'!AJ186</f>
        <v>0</v>
      </c>
      <c r="Z182">
        <f t="shared" ca="1" si="33"/>
        <v>0.91127847509603799</v>
      </c>
      <c r="AA182">
        <f t="shared" ca="1" si="34"/>
        <v>0.22214374244991256</v>
      </c>
      <c r="AB182">
        <f t="shared" ca="1" si="35"/>
        <v>0</v>
      </c>
      <c r="AC182" t="e">
        <f t="shared" ca="1" si="36"/>
        <v>#N/A</v>
      </c>
      <c r="AD182" t="e">
        <f t="shared" ca="1" si="37"/>
        <v>#N/A</v>
      </c>
    </row>
    <row r="183" spans="1:30" x14ac:dyDescent="0.2">
      <c r="A183">
        <f t="shared" si="40"/>
        <v>178</v>
      </c>
      <c r="B183">
        <f t="shared" ca="1" si="38"/>
        <v>0.88049311127038832</v>
      </c>
      <c r="C183">
        <f t="shared" ca="1" si="39"/>
        <v>0.3775436431125534</v>
      </c>
      <c r="D183">
        <f t="shared" ca="1" si="41"/>
        <v>0.81848257544196679</v>
      </c>
      <c r="E183">
        <f t="shared" ca="1" si="42"/>
        <v>0.32458341407486235</v>
      </c>
      <c r="V183">
        <v>178</v>
      </c>
      <c r="W183">
        <f t="shared" ca="1" si="31"/>
        <v>0.81848257544196679</v>
      </c>
      <c r="X183">
        <f t="shared" ca="1" si="32"/>
        <v>0.32458341407486235</v>
      </c>
      <c r="Y183">
        <f>'uniforme cercle (rejet)'!AJ187</f>
        <v>0</v>
      </c>
      <c r="Z183">
        <f t="shared" ca="1" si="33"/>
        <v>0.80826971253106095</v>
      </c>
      <c r="AA183">
        <f t="shared" ca="1" si="34"/>
        <v>0.36359610762187661</v>
      </c>
      <c r="AB183">
        <f t="shared" ca="1" si="35"/>
        <v>0</v>
      </c>
      <c r="AC183" t="e">
        <f t="shared" ca="1" si="36"/>
        <v>#N/A</v>
      </c>
      <c r="AD183" t="e">
        <f t="shared" ca="1" si="37"/>
        <v>#N/A</v>
      </c>
    </row>
    <row r="184" spans="1:30" x14ac:dyDescent="0.2">
      <c r="A184">
        <f t="shared" si="40"/>
        <v>179</v>
      </c>
      <c r="B184">
        <f t="shared" ca="1" si="38"/>
        <v>0.73600996652886763</v>
      </c>
      <c r="C184">
        <f t="shared" ca="1" si="39"/>
        <v>5.844046599682124</v>
      </c>
      <c r="D184">
        <f t="shared" ca="1" si="41"/>
        <v>0.66617600582582404</v>
      </c>
      <c r="E184">
        <f t="shared" ca="1" si="42"/>
        <v>-0.3129220351649537</v>
      </c>
      <c r="V184">
        <v>179</v>
      </c>
      <c r="W184">
        <f t="shared" ca="1" si="31"/>
        <v>0.66617600582582404</v>
      </c>
      <c r="X184">
        <f t="shared" ca="1" si="32"/>
        <v>-0.3129220351649537</v>
      </c>
      <c r="Y184">
        <f>'uniforme cercle (rejet)'!AJ188</f>
        <v>0</v>
      </c>
      <c r="Z184">
        <f t="shared" ca="1" si="33"/>
        <v>0.24978827813537513</v>
      </c>
      <c r="AA184">
        <f t="shared" ca="1" si="34"/>
        <v>0.82973290893452856</v>
      </c>
      <c r="AB184">
        <f t="shared" ca="1" si="35"/>
        <v>0</v>
      </c>
      <c r="AC184" t="e">
        <f t="shared" ca="1" si="36"/>
        <v>#N/A</v>
      </c>
      <c r="AD184" t="e">
        <f t="shared" ca="1" si="37"/>
        <v>#N/A</v>
      </c>
    </row>
    <row r="185" spans="1:30" x14ac:dyDescent="0.2">
      <c r="A185">
        <f t="shared" si="40"/>
        <v>180</v>
      </c>
      <c r="B185">
        <f t="shared" ca="1" si="38"/>
        <v>0.95629858781887034</v>
      </c>
      <c r="C185">
        <f t="shared" ca="1" si="39"/>
        <v>0.9719221159103113</v>
      </c>
      <c r="D185">
        <f t="shared" ca="1" si="41"/>
        <v>0.53907790942431599</v>
      </c>
      <c r="E185">
        <f t="shared" ca="1" si="42"/>
        <v>0.78987467147331325</v>
      </c>
      <c r="V185">
        <v>180</v>
      </c>
      <c r="W185">
        <f t="shared" ca="1" si="31"/>
        <v>0.53907790942431599</v>
      </c>
      <c r="X185">
        <f t="shared" ca="1" si="32"/>
        <v>0.78987467147331325</v>
      </c>
      <c r="Y185">
        <f>'uniforme cercle (rejet)'!AJ189</f>
        <v>0</v>
      </c>
      <c r="Z185">
        <f t="shared" ca="1" si="33"/>
        <v>0.93971138182807745</v>
      </c>
      <c r="AA185">
        <f t="shared" ca="1" si="34"/>
        <v>0.29249685155012578</v>
      </c>
      <c r="AB185">
        <f t="shared" ca="1" si="35"/>
        <v>0</v>
      </c>
      <c r="AC185" t="e">
        <f t="shared" ca="1" si="36"/>
        <v>#N/A</v>
      </c>
      <c r="AD185" t="e">
        <f t="shared" ca="1" si="37"/>
        <v>#N/A</v>
      </c>
    </row>
    <row r="186" spans="1:30" x14ac:dyDescent="0.2">
      <c r="A186">
        <f t="shared" si="40"/>
        <v>181</v>
      </c>
      <c r="B186">
        <f t="shared" ca="1" si="38"/>
        <v>0.53238920140993173</v>
      </c>
      <c r="C186">
        <f t="shared" ca="1" si="39"/>
        <v>1.1782119567737974</v>
      </c>
      <c r="D186">
        <f t="shared" ca="1" si="41"/>
        <v>0.20368010312362425</v>
      </c>
      <c r="E186">
        <f t="shared" ca="1" si="42"/>
        <v>0.49188685423525469</v>
      </c>
      <c r="V186">
        <v>181</v>
      </c>
      <c r="W186">
        <f t="shared" ca="1" si="31"/>
        <v>0.20368010312362425</v>
      </c>
      <c r="X186">
        <f t="shared" ca="1" si="32"/>
        <v>0.49188685423525469</v>
      </c>
      <c r="Y186">
        <f>'uniforme cercle (rejet)'!AJ190</f>
        <v>0</v>
      </c>
      <c r="Z186">
        <f t="shared" ca="1" si="33"/>
        <v>0.49184011231775743</v>
      </c>
      <c r="AA186">
        <f t="shared" ca="1" si="34"/>
        <v>0.29643094376098111</v>
      </c>
      <c r="AB186">
        <f t="shared" ca="1" si="35"/>
        <v>1</v>
      </c>
      <c r="AC186">
        <f t="shared" ca="1" si="36"/>
        <v>0.20368010312362425</v>
      </c>
      <c r="AD186">
        <f t="shared" ca="1" si="37"/>
        <v>0.49188685423525469</v>
      </c>
    </row>
    <row r="187" spans="1:30" x14ac:dyDescent="0.2">
      <c r="A187">
        <f t="shared" si="40"/>
        <v>182</v>
      </c>
      <c r="B187">
        <f t="shared" ca="1" si="38"/>
        <v>0.11322928256564879</v>
      </c>
      <c r="C187">
        <f t="shared" ca="1" si="39"/>
        <v>4.3698164952925609</v>
      </c>
      <c r="D187">
        <f t="shared" ca="1" si="41"/>
        <v>-3.803498512539466E-2</v>
      </c>
      <c r="E187">
        <f t="shared" ca="1" si="42"/>
        <v>-0.10664994297627423</v>
      </c>
      <c r="V187">
        <v>182</v>
      </c>
      <c r="W187">
        <f t="shared" ca="1" si="31"/>
        <v>-3.803498512539466E-2</v>
      </c>
      <c r="X187">
        <f t="shared" ca="1" si="32"/>
        <v>-0.10664994297627423</v>
      </c>
      <c r="Y187">
        <f>'uniforme cercle (rejet)'!AJ191</f>
        <v>0</v>
      </c>
      <c r="Z187">
        <f t="shared" ca="1" si="33"/>
        <v>0.10230769379617814</v>
      </c>
      <c r="AA187">
        <f t="shared" ca="1" si="34"/>
        <v>0.81086731253146493</v>
      </c>
      <c r="AB187">
        <f t="shared" ca="1" si="35"/>
        <v>0</v>
      </c>
      <c r="AC187" t="e">
        <f t="shared" ca="1" si="36"/>
        <v>#N/A</v>
      </c>
      <c r="AD187" t="e">
        <f t="shared" ca="1" si="37"/>
        <v>#N/A</v>
      </c>
    </row>
    <row r="188" spans="1:30" x14ac:dyDescent="0.2">
      <c r="A188">
        <f t="shared" si="40"/>
        <v>183</v>
      </c>
      <c r="B188">
        <f t="shared" ca="1" si="38"/>
        <v>0.53930868556939748</v>
      </c>
      <c r="C188">
        <f t="shared" ca="1" si="39"/>
        <v>1.6917156081117894</v>
      </c>
      <c r="D188">
        <f t="shared" ca="1" si="41"/>
        <v>-6.50540169004412E-2</v>
      </c>
      <c r="E188">
        <f t="shared" ca="1" si="42"/>
        <v>0.53537074370543292</v>
      </c>
      <c r="V188">
        <v>183</v>
      </c>
      <c r="W188">
        <f t="shared" ca="1" si="31"/>
        <v>-6.50540169004412E-2</v>
      </c>
      <c r="X188">
        <f t="shared" ca="1" si="32"/>
        <v>0.53537074370543292</v>
      </c>
      <c r="Y188">
        <f>'uniforme cercle (rejet)'!AJ192</f>
        <v>0</v>
      </c>
      <c r="Z188">
        <f t="shared" ca="1" si="33"/>
        <v>0.33256414682927049</v>
      </c>
      <c r="AA188">
        <f t="shared" ca="1" si="34"/>
        <v>0.56615998757029762</v>
      </c>
      <c r="AB188">
        <f t="shared" ca="1" si="35"/>
        <v>1</v>
      </c>
      <c r="AC188">
        <f t="shared" ca="1" si="36"/>
        <v>-6.50540169004412E-2</v>
      </c>
      <c r="AD188">
        <f t="shared" ca="1" si="37"/>
        <v>0.53537074370543292</v>
      </c>
    </row>
    <row r="189" spans="1:30" x14ac:dyDescent="0.2">
      <c r="A189">
        <f t="shared" si="40"/>
        <v>184</v>
      </c>
      <c r="B189">
        <f t="shared" ca="1" si="38"/>
        <v>0.62566150366111006</v>
      </c>
      <c r="C189">
        <f t="shared" ca="1" si="39"/>
        <v>2.1154525977641074</v>
      </c>
      <c r="D189">
        <f t="shared" ca="1" si="41"/>
        <v>-0.32417032088869752</v>
      </c>
      <c r="E189">
        <f t="shared" ca="1" si="42"/>
        <v>0.53513168493222307</v>
      </c>
      <c r="V189">
        <v>184</v>
      </c>
      <c r="W189">
        <f t="shared" ca="1" si="31"/>
        <v>-0.32417032088869752</v>
      </c>
      <c r="X189">
        <f t="shared" ca="1" si="32"/>
        <v>0.53513168493222307</v>
      </c>
      <c r="Y189">
        <f>'uniforme cercle (rejet)'!AJ193</f>
        <v>0</v>
      </c>
      <c r="Z189">
        <f t="shared" ca="1" si="33"/>
        <v>0.14917221108354081</v>
      </c>
      <c r="AA189">
        <f t="shared" ca="1" si="34"/>
        <v>0.82491875546623106</v>
      </c>
      <c r="AB189">
        <f t="shared" ca="1" si="35"/>
        <v>0</v>
      </c>
      <c r="AC189" t="e">
        <f t="shared" ca="1" si="36"/>
        <v>#N/A</v>
      </c>
      <c r="AD189" t="e">
        <f t="shared" ca="1" si="37"/>
        <v>#N/A</v>
      </c>
    </row>
    <row r="190" spans="1:30" x14ac:dyDescent="0.2">
      <c r="A190">
        <f t="shared" si="40"/>
        <v>185</v>
      </c>
      <c r="B190">
        <f t="shared" ca="1" si="38"/>
        <v>0.29506908316302916</v>
      </c>
      <c r="C190">
        <f t="shared" ca="1" si="39"/>
        <v>0.27990437156868481</v>
      </c>
      <c r="D190">
        <f t="shared" ca="1" si="41"/>
        <v>0.28358554368011368</v>
      </c>
      <c r="E190">
        <f t="shared" ca="1" si="42"/>
        <v>8.1516889380820565E-2</v>
      </c>
      <c r="V190">
        <v>185</v>
      </c>
      <c r="W190">
        <f t="shared" ca="1" si="31"/>
        <v>0.28358554368011368</v>
      </c>
      <c r="X190">
        <f t="shared" ca="1" si="32"/>
        <v>8.1516889380820565E-2</v>
      </c>
      <c r="Y190">
        <f>'uniforme cercle (rejet)'!AJ194</f>
        <v>0</v>
      </c>
      <c r="Z190">
        <f t="shared" ca="1" si="33"/>
        <v>0.25816640624509418</v>
      </c>
      <c r="AA190">
        <f t="shared" ca="1" si="34"/>
        <v>0.47112984492360099</v>
      </c>
      <c r="AB190">
        <f t="shared" ca="1" si="35"/>
        <v>1</v>
      </c>
      <c r="AC190">
        <f t="shared" ca="1" si="36"/>
        <v>0.28358554368011368</v>
      </c>
      <c r="AD190">
        <f t="shared" ca="1" si="37"/>
        <v>8.1516889380820565E-2</v>
      </c>
    </row>
    <row r="191" spans="1:30" x14ac:dyDescent="0.2">
      <c r="A191">
        <f t="shared" si="40"/>
        <v>186</v>
      </c>
      <c r="B191">
        <f t="shared" ca="1" si="38"/>
        <v>0.74847102431151213</v>
      </c>
      <c r="C191">
        <f t="shared" ca="1" si="39"/>
        <v>4.7974483566620885</v>
      </c>
      <c r="D191">
        <f t="shared" ca="1" si="41"/>
        <v>6.3587736471920717E-2</v>
      </c>
      <c r="E191">
        <f t="shared" ca="1" si="42"/>
        <v>-0.74576502599967898</v>
      </c>
      <c r="V191">
        <v>186</v>
      </c>
      <c r="W191">
        <f t="shared" ca="1" si="31"/>
        <v>6.3587736471920717E-2</v>
      </c>
      <c r="X191">
        <f t="shared" ca="1" si="32"/>
        <v>-0.74576502599967898</v>
      </c>
      <c r="Y191">
        <f>'uniforme cercle (rejet)'!AJ195</f>
        <v>0</v>
      </c>
      <c r="Z191">
        <f t="shared" ca="1" si="33"/>
        <v>0.48237218739653664</v>
      </c>
      <c r="AA191">
        <f t="shared" ca="1" si="34"/>
        <v>1.3199947589902326</v>
      </c>
      <c r="AB191">
        <f t="shared" ca="1" si="35"/>
        <v>0</v>
      </c>
      <c r="AC191" t="e">
        <f t="shared" ca="1" si="36"/>
        <v>#N/A</v>
      </c>
      <c r="AD191" t="e">
        <f t="shared" ca="1" si="37"/>
        <v>#N/A</v>
      </c>
    </row>
    <row r="192" spans="1:30" x14ac:dyDescent="0.2">
      <c r="A192">
        <f t="shared" si="40"/>
        <v>187</v>
      </c>
      <c r="B192">
        <f t="shared" ca="1" si="38"/>
        <v>0.42167286063645748</v>
      </c>
      <c r="C192">
        <f t="shared" ca="1" si="39"/>
        <v>2.4369730459862047</v>
      </c>
      <c r="D192">
        <f t="shared" ca="1" si="41"/>
        <v>-0.32125484385923514</v>
      </c>
      <c r="E192">
        <f t="shared" ca="1" si="42"/>
        <v>0.27313609555368501</v>
      </c>
      <c r="V192">
        <v>187</v>
      </c>
      <c r="W192">
        <f t="shared" ca="1" si="31"/>
        <v>-0.32125484385923514</v>
      </c>
      <c r="X192">
        <f t="shared" ca="1" si="32"/>
        <v>0.27313609555368501</v>
      </c>
      <c r="Y192">
        <f>'uniforme cercle (rejet)'!AJ196</f>
        <v>0</v>
      </c>
      <c r="Z192">
        <f t="shared" ca="1" si="33"/>
        <v>3.4025093229063184E-2</v>
      </c>
      <c r="AA192">
        <f t="shared" ca="1" si="34"/>
        <v>0.85201335066000194</v>
      </c>
      <c r="AB192">
        <f t="shared" ca="1" si="35"/>
        <v>0</v>
      </c>
      <c r="AC192" t="e">
        <f t="shared" ca="1" si="36"/>
        <v>#N/A</v>
      </c>
      <c r="AD192" t="e">
        <f t="shared" ca="1" si="37"/>
        <v>#N/A</v>
      </c>
    </row>
    <row r="193" spans="1:30" x14ac:dyDescent="0.2">
      <c r="A193">
        <f t="shared" si="40"/>
        <v>188</v>
      </c>
      <c r="B193">
        <f t="shared" ca="1" si="38"/>
        <v>0.40551407065546019</v>
      </c>
      <c r="C193">
        <f t="shared" ca="1" si="39"/>
        <v>0.47303974623183631</v>
      </c>
      <c r="D193">
        <f t="shared" ca="1" si="41"/>
        <v>0.36098356158431621</v>
      </c>
      <c r="E193">
        <f t="shared" ca="1" si="42"/>
        <v>0.184749911408541</v>
      </c>
      <c r="V193">
        <v>188</v>
      </c>
      <c r="W193">
        <f t="shared" ca="1" si="31"/>
        <v>0.36098356158431621</v>
      </c>
      <c r="X193">
        <f t="shared" ca="1" si="32"/>
        <v>0.184749911408541</v>
      </c>
      <c r="Y193">
        <f>'uniforme cercle (rejet)'!AJ197</f>
        <v>0</v>
      </c>
      <c r="Z193">
        <f t="shared" ca="1" si="33"/>
        <v>0.38589183947373495</v>
      </c>
      <c r="AA193">
        <f t="shared" ca="1" si="34"/>
        <v>0.34454054697046083</v>
      </c>
      <c r="AB193">
        <f t="shared" ca="1" si="35"/>
        <v>1</v>
      </c>
      <c r="AC193">
        <f t="shared" ca="1" si="36"/>
        <v>0.36098356158431621</v>
      </c>
      <c r="AD193">
        <f t="shared" ca="1" si="37"/>
        <v>0.184749911408541</v>
      </c>
    </row>
    <row r="194" spans="1:30" x14ac:dyDescent="0.2">
      <c r="A194">
        <f t="shared" si="40"/>
        <v>189</v>
      </c>
      <c r="B194">
        <f t="shared" ca="1" si="38"/>
        <v>0.9973696964792198</v>
      </c>
      <c r="C194">
        <f t="shared" ca="1" si="39"/>
        <v>2.2532063149559014</v>
      </c>
      <c r="D194">
        <f t="shared" ca="1" si="41"/>
        <v>-0.62900629649256168</v>
      </c>
      <c r="E194">
        <f t="shared" ca="1" si="42"/>
        <v>0.77401381798244573</v>
      </c>
      <c r="V194">
        <v>189</v>
      </c>
      <c r="W194">
        <f t="shared" ca="1" si="31"/>
        <v>-0.62900629649256168</v>
      </c>
      <c r="X194">
        <f t="shared" ca="1" si="32"/>
        <v>0.77401381798244573</v>
      </c>
      <c r="Y194">
        <f>'uniforme cercle (rejet)'!AJ198</f>
        <v>0</v>
      </c>
      <c r="Z194">
        <f t="shared" ca="1" si="33"/>
        <v>0.10253580176855104</v>
      </c>
      <c r="AA194">
        <f t="shared" ca="1" si="34"/>
        <v>1.1617825915226854</v>
      </c>
      <c r="AB194">
        <f t="shared" ca="1" si="35"/>
        <v>0</v>
      </c>
      <c r="AC194" t="e">
        <f t="shared" ca="1" si="36"/>
        <v>#N/A</v>
      </c>
      <c r="AD194" t="e">
        <f t="shared" ca="1" si="37"/>
        <v>#N/A</v>
      </c>
    </row>
    <row r="195" spans="1:30" x14ac:dyDescent="0.2">
      <c r="A195">
        <f t="shared" si="40"/>
        <v>190</v>
      </c>
      <c r="B195">
        <f t="shared" ca="1" si="38"/>
        <v>0.97913822647260773</v>
      </c>
      <c r="C195">
        <f t="shared" ca="1" si="39"/>
        <v>2.6475286614867466</v>
      </c>
      <c r="D195">
        <f t="shared" ca="1" si="41"/>
        <v>-0.86204598193960325</v>
      </c>
      <c r="E195">
        <f t="shared" ca="1" si="42"/>
        <v>0.46431497021064155</v>
      </c>
      <c r="V195">
        <v>190</v>
      </c>
      <c r="W195">
        <f t="shared" ca="1" si="31"/>
        <v>-0.86204598193960325</v>
      </c>
      <c r="X195">
        <f t="shared" ca="1" si="32"/>
        <v>0.46431497021064155</v>
      </c>
      <c r="Y195">
        <f>'uniforme cercle (rejet)'!AJ199</f>
        <v>0</v>
      </c>
      <c r="Z195">
        <f t="shared" ca="1" si="33"/>
        <v>0.28123829548173507</v>
      </c>
      <c r="AA195">
        <f t="shared" ca="1" si="34"/>
        <v>1.3625133681064876</v>
      </c>
      <c r="AB195">
        <f t="shared" ca="1" si="35"/>
        <v>0</v>
      </c>
      <c r="AC195" t="e">
        <f t="shared" ca="1" si="36"/>
        <v>#N/A</v>
      </c>
      <c r="AD195" t="e">
        <f t="shared" ca="1" si="37"/>
        <v>#N/A</v>
      </c>
    </row>
    <row r="196" spans="1:30" x14ac:dyDescent="0.2">
      <c r="A196">
        <f t="shared" si="40"/>
        <v>191</v>
      </c>
      <c r="B196">
        <f t="shared" ca="1" si="38"/>
        <v>0.42144671208783957</v>
      </c>
      <c r="C196">
        <f t="shared" ca="1" si="39"/>
        <v>5.3406157314886515</v>
      </c>
      <c r="D196">
        <f t="shared" ca="1" si="41"/>
        <v>0.24768886799655324</v>
      </c>
      <c r="E196">
        <f t="shared" ca="1" si="42"/>
        <v>-0.34098028652729523</v>
      </c>
      <c r="V196">
        <v>191</v>
      </c>
      <c r="W196">
        <f t="shared" ca="1" si="31"/>
        <v>0.24768886799655324</v>
      </c>
      <c r="X196">
        <f t="shared" ca="1" si="32"/>
        <v>-0.34098028652729523</v>
      </c>
      <c r="Y196">
        <f>'uniforme cercle (rejet)'!AJ200</f>
        <v>0</v>
      </c>
      <c r="Z196">
        <f t="shared" ca="1" si="33"/>
        <v>6.5966994669600001E-2</v>
      </c>
      <c r="AA196">
        <f t="shared" ca="1" si="34"/>
        <v>0.87801409422650645</v>
      </c>
      <c r="AB196">
        <f t="shared" ca="1" si="35"/>
        <v>0</v>
      </c>
      <c r="AC196" t="e">
        <f t="shared" ca="1" si="36"/>
        <v>#N/A</v>
      </c>
      <c r="AD196" t="e">
        <f t="shared" ca="1" si="37"/>
        <v>#N/A</v>
      </c>
    </row>
    <row r="197" spans="1:30" x14ac:dyDescent="0.2">
      <c r="A197">
        <f t="shared" si="40"/>
        <v>192</v>
      </c>
      <c r="B197">
        <f t="shared" ca="1" si="38"/>
        <v>0.64426475978187558</v>
      </c>
      <c r="C197">
        <f t="shared" ca="1" si="39"/>
        <v>0.66473205446246941</v>
      </c>
      <c r="D197">
        <f t="shared" ca="1" si="41"/>
        <v>0.50708925694057805</v>
      </c>
      <c r="E197">
        <f t="shared" ca="1" si="42"/>
        <v>0.39741359588248903</v>
      </c>
      <c r="V197">
        <v>192</v>
      </c>
      <c r="W197">
        <f t="shared" ca="1" si="31"/>
        <v>0.50708925694057805</v>
      </c>
      <c r="X197">
        <f t="shared" ca="1" si="32"/>
        <v>0.39741359588248903</v>
      </c>
      <c r="Y197">
        <f>'uniforme cercle (rejet)'!AJ201</f>
        <v>0</v>
      </c>
      <c r="Z197">
        <f t="shared" ca="1" si="33"/>
        <v>0.63958010083376848</v>
      </c>
      <c r="AA197">
        <f t="shared" ca="1" si="34"/>
        <v>0.10283106473109575</v>
      </c>
      <c r="AB197">
        <f t="shared" ca="1" si="35"/>
        <v>0</v>
      </c>
      <c r="AC197" t="e">
        <f t="shared" ca="1" si="36"/>
        <v>#N/A</v>
      </c>
      <c r="AD197" t="e">
        <f t="shared" ca="1" si="37"/>
        <v>#N/A</v>
      </c>
    </row>
    <row r="198" spans="1:30" x14ac:dyDescent="0.2">
      <c r="A198">
        <f t="shared" si="40"/>
        <v>193</v>
      </c>
      <c r="B198">
        <f t="shared" ca="1" si="38"/>
        <v>0.76638548932047934</v>
      </c>
      <c r="C198">
        <f t="shared" ca="1" si="39"/>
        <v>4.3638018706738997</v>
      </c>
      <c r="D198">
        <f t="shared" ca="1" si="41"/>
        <v>-0.26177447173127716</v>
      </c>
      <c r="E198">
        <f t="shared" ca="1" si="42"/>
        <v>-0.72029219362061758</v>
      </c>
      <c r="V198">
        <v>193</v>
      </c>
      <c r="W198">
        <f t="shared" ca="1" si="31"/>
        <v>-0.26177447173127716</v>
      </c>
      <c r="X198">
        <f t="shared" ca="1" si="32"/>
        <v>-0.72029219362061758</v>
      </c>
      <c r="Y198">
        <f>'uniforme cercle (rejet)'!AJ202</f>
        <v>0</v>
      </c>
      <c r="Z198">
        <f t="shared" ca="1" si="33"/>
        <v>0.69442599864758459</v>
      </c>
      <c r="AA198">
        <f t="shared" ca="1" si="34"/>
        <v>1.4385455792545765</v>
      </c>
      <c r="AB198">
        <f t="shared" ca="1" si="35"/>
        <v>0</v>
      </c>
      <c r="AC198" t="e">
        <f t="shared" ca="1" si="36"/>
        <v>#N/A</v>
      </c>
      <c r="AD198" t="e">
        <f t="shared" ca="1" si="37"/>
        <v>#N/A</v>
      </c>
    </row>
    <row r="199" spans="1:30" x14ac:dyDescent="0.2">
      <c r="A199">
        <f t="shared" si="40"/>
        <v>194</v>
      </c>
      <c r="B199">
        <f t="shared" ca="1" si="38"/>
        <v>0.45215228043796674</v>
      </c>
      <c r="C199">
        <f t="shared" ca="1" si="39"/>
        <v>2.6486165513601305</v>
      </c>
      <c r="D199">
        <f t="shared" ca="1" si="41"/>
        <v>-0.3983137498904904</v>
      </c>
      <c r="E199">
        <f t="shared" ca="1" si="42"/>
        <v>0.2139809368925876</v>
      </c>
      <c r="V199">
        <v>194</v>
      </c>
      <c r="W199">
        <f t="shared" ref="W199:W262" ca="1" si="43">D199</f>
        <v>-0.3983137498904904</v>
      </c>
      <c r="X199">
        <f t="shared" ref="X199:X262" ca="1" si="44">E199</f>
        <v>0.2139809368925876</v>
      </c>
      <c r="Y199">
        <f>'uniforme cercle (rejet)'!AJ203</f>
        <v>0</v>
      </c>
      <c r="Z199">
        <f t="shared" ref="Z199:Z262" ca="1" si="45">(W199+X199)^2/SQRT(2*(W199+X199)^2)</f>
        <v>0.13034298206600883</v>
      </c>
      <c r="AA199">
        <f t="shared" ref="AA199:AA262" ca="1" si="46">SQRT((W199-0.5)^2+(X199-0.5)^2)</f>
        <v>0.94274837454283444</v>
      </c>
      <c r="AB199">
        <f t="shared" ref="AB199:AB262" ca="1" si="47">IF(ABS(AA199-Z199)&lt;SQRT(2)/2/2,1,0)</f>
        <v>0</v>
      </c>
      <c r="AC199" t="e">
        <f t="shared" ref="AC199:AC262" ca="1" si="48">IF($AB199=1,W199,NA())</f>
        <v>#N/A</v>
      </c>
      <c r="AD199" t="e">
        <f t="shared" ref="AD199:AD262" ca="1" si="49">IF($AB199=1,X199,NA())</f>
        <v>#N/A</v>
      </c>
    </row>
    <row r="200" spans="1:30" x14ac:dyDescent="0.2">
      <c r="A200">
        <f t="shared" si="40"/>
        <v>195</v>
      </c>
      <c r="B200">
        <f t="shared" ref="B200:B263" ca="1" si="50">RAND()</f>
        <v>0.4322581905165247</v>
      </c>
      <c r="C200">
        <f t="shared" ref="C200:C263" ca="1" si="51">RAND()*2*PI()</f>
        <v>3.8349085737050586</v>
      </c>
      <c r="D200">
        <f t="shared" ca="1" si="41"/>
        <v>-0.33246320561336812</v>
      </c>
      <c r="E200">
        <f t="shared" ca="1" si="42"/>
        <v>-0.27625234873554194</v>
      </c>
      <c r="V200">
        <v>195</v>
      </c>
      <c r="W200">
        <f t="shared" ca="1" si="43"/>
        <v>-0.33246320561336812</v>
      </c>
      <c r="X200">
        <f t="shared" ca="1" si="44"/>
        <v>-0.27625234873554194</v>
      </c>
      <c r="Y200">
        <f>'uniforme cercle (rejet)'!AJ204</f>
        <v>0</v>
      </c>
      <c r="Z200">
        <f t="shared" ca="1" si="45"/>
        <v>0.43042689629384273</v>
      </c>
      <c r="AA200">
        <f t="shared" ca="1" si="46"/>
        <v>1.1382278759622477</v>
      </c>
      <c r="AB200">
        <f t="shared" ca="1" si="47"/>
        <v>0</v>
      </c>
      <c r="AC200" t="e">
        <f t="shared" ca="1" si="48"/>
        <v>#N/A</v>
      </c>
      <c r="AD200" t="e">
        <f t="shared" ca="1" si="49"/>
        <v>#N/A</v>
      </c>
    </row>
    <row r="201" spans="1:30" x14ac:dyDescent="0.2">
      <c r="A201">
        <f t="shared" si="40"/>
        <v>196</v>
      </c>
      <c r="B201">
        <f t="shared" ca="1" si="50"/>
        <v>0.736792748664304</v>
      </c>
      <c r="C201">
        <f t="shared" ca="1" si="51"/>
        <v>3.4047960592231559</v>
      </c>
      <c r="D201">
        <f t="shared" ca="1" si="41"/>
        <v>-0.71141870260427564</v>
      </c>
      <c r="E201">
        <f t="shared" ca="1" si="42"/>
        <v>-0.19169502880656411</v>
      </c>
      <c r="V201">
        <v>196</v>
      </c>
      <c r="W201">
        <f t="shared" ca="1" si="43"/>
        <v>-0.71141870260427564</v>
      </c>
      <c r="X201">
        <f t="shared" ca="1" si="44"/>
        <v>-0.19169502880656411</v>
      </c>
      <c r="Y201">
        <f>'uniforme cercle (rejet)'!AJ205</f>
        <v>0</v>
      </c>
      <c r="Z201">
        <f t="shared" ca="1" si="45"/>
        <v>0.63859784366329109</v>
      </c>
      <c r="AA201">
        <f t="shared" ca="1" si="46"/>
        <v>1.394982898065471</v>
      </c>
      <c r="AB201">
        <f t="shared" ca="1" si="47"/>
        <v>0</v>
      </c>
      <c r="AC201" t="e">
        <f t="shared" ca="1" si="48"/>
        <v>#N/A</v>
      </c>
      <c r="AD201" t="e">
        <f t="shared" ca="1" si="49"/>
        <v>#N/A</v>
      </c>
    </row>
    <row r="202" spans="1:30" x14ac:dyDescent="0.2">
      <c r="A202">
        <f t="shared" si="40"/>
        <v>197</v>
      </c>
      <c r="B202">
        <f t="shared" ca="1" si="50"/>
        <v>0.96228422756037668</v>
      </c>
      <c r="C202">
        <f t="shared" ca="1" si="51"/>
        <v>2.5548672537552553</v>
      </c>
      <c r="D202">
        <f t="shared" ca="1" si="41"/>
        <v>-0.80134996638758416</v>
      </c>
      <c r="E202">
        <f t="shared" ca="1" si="42"/>
        <v>0.53275619750697267</v>
      </c>
      <c r="V202">
        <v>197</v>
      </c>
      <c r="W202">
        <f t="shared" ca="1" si="43"/>
        <v>-0.80134996638758416</v>
      </c>
      <c r="X202">
        <f t="shared" ca="1" si="44"/>
        <v>0.53275619750697267</v>
      </c>
      <c r="Y202">
        <f>'uniforme cercle (rejet)'!AJ206</f>
        <v>0</v>
      </c>
      <c r="Z202">
        <f t="shared" ca="1" si="45"/>
        <v>0.18992447535993268</v>
      </c>
      <c r="AA202">
        <f t="shared" ca="1" si="46"/>
        <v>1.3017621531954608</v>
      </c>
      <c r="AB202">
        <f t="shared" ca="1" si="47"/>
        <v>0</v>
      </c>
      <c r="AC202" t="e">
        <f t="shared" ca="1" si="48"/>
        <v>#N/A</v>
      </c>
      <c r="AD202" t="e">
        <f t="shared" ca="1" si="49"/>
        <v>#N/A</v>
      </c>
    </row>
    <row r="203" spans="1:30" x14ac:dyDescent="0.2">
      <c r="A203">
        <f t="shared" si="40"/>
        <v>198</v>
      </c>
      <c r="B203">
        <f t="shared" ca="1" si="50"/>
        <v>0.5105435015208557</v>
      </c>
      <c r="C203">
        <f t="shared" ca="1" si="51"/>
        <v>4.6135115414620511</v>
      </c>
      <c r="D203">
        <f t="shared" ca="1" si="41"/>
        <v>-5.0399017040138057E-2</v>
      </c>
      <c r="E203">
        <f t="shared" ca="1" si="42"/>
        <v>-0.5080498066396284</v>
      </c>
      <c r="V203">
        <v>198</v>
      </c>
      <c r="W203">
        <f t="shared" ca="1" si="43"/>
        <v>-5.0399017040138057E-2</v>
      </c>
      <c r="X203">
        <f t="shared" ca="1" si="44"/>
        <v>-0.5080498066396284</v>
      </c>
      <c r="Y203">
        <f>'uniforme cercle (rejet)'!AJ207</f>
        <v>0</v>
      </c>
      <c r="Z203">
        <f t="shared" ca="1" si="45"/>
        <v>0.39488295016961344</v>
      </c>
      <c r="AA203">
        <f t="shared" ca="1" si="46"/>
        <v>1.1485223074128523</v>
      </c>
      <c r="AB203">
        <f t="shared" ca="1" si="47"/>
        <v>0</v>
      </c>
      <c r="AC203" t="e">
        <f t="shared" ca="1" si="48"/>
        <v>#N/A</v>
      </c>
      <c r="AD203" t="e">
        <f t="shared" ca="1" si="49"/>
        <v>#N/A</v>
      </c>
    </row>
    <row r="204" spans="1:30" x14ac:dyDescent="0.2">
      <c r="A204">
        <f t="shared" si="40"/>
        <v>199</v>
      </c>
      <c r="B204">
        <f t="shared" ca="1" si="50"/>
        <v>0.25177510767588651</v>
      </c>
      <c r="C204">
        <f t="shared" ca="1" si="51"/>
        <v>2.7444400788995438</v>
      </c>
      <c r="D204">
        <f t="shared" ca="1" si="41"/>
        <v>-0.23217846868134343</v>
      </c>
      <c r="E204">
        <f t="shared" ca="1" si="42"/>
        <v>9.7385129901801162E-2</v>
      </c>
      <c r="V204">
        <v>199</v>
      </c>
      <c r="W204">
        <f t="shared" ca="1" si="43"/>
        <v>-0.23217846868134343</v>
      </c>
      <c r="X204">
        <f t="shared" ca="1" si="44"/>
        <v>9.7385129901801162E-2</v>
      </c>
      <c r="Y204">
        <f>'uniforme cercle (rejet)'!AJ208</f>
        <v>0</v>
      </c>
      <c r="Z204">
        <f t="shared" ca="1" si="45"/>
        <v>9.5313283909789964E-2</v>
      </c>
      <c r="AA204">
        <f t="shared" ca="1" si="46"/>
        <v>0.83557408027340485</v>
      </c>
      <c r="AB204">
        <f t="shared" ca="1" si="47"/>
        <v>0</v>
      </c>
      <c r="AC204" t="e">
        <f t="shared" ca="1" si="48"/>
        <v>#N/A</v>
      </c>
      <c r="AD204" t="e">
        <f t="shared" ca="1" si="49"/>
        <v>#N/A</v>
      </c>
    </row>
    <row r="205" spans="1:30" x14ac:dyDescent="0.2">
      <c r="A205">
        <f t="shared" si="40"/>
        <v>200</v>
      </c>
      <c r="B205">
        <f t="shared" ca="1" si="50"/>
        <v>0.59604371734253692</v>
      </c>
      <c r="C205">
        <f t="shared" ca="1" si="51"/>
        <v>5.2498285304623806</v>
      </c>
      <c r="D205">
        <f t="shared" ca="1" si="41"/>
        <v>0.30513754099110002</v>
      </c>
      <c r="E205">
        <f t="shared" ca="1" si="42"/>
        <v>-0.51201483773560197</v>
      </c>
      <c r="V205">
        <v>200</v>
      </c>
      <c r="W205">
        <f t="shared" ca="1" si="43"/>
        <v>0.30513754099110002</v>
      </c>
      <c r="X205">
        <f t="shared" ca="1" si="44"/>
        <v>-0.51201483773560197</v>
      </c>
      <c r="Y205">
        <f>'uniforme cercle (rejet)'!AJ209</f>
        <v>0</v>
      </c>
      <c r="Z205">
        <f t="shared" ca="1" si="45"/>
        <v>0.14628433940157901</v>
      </c>
      <c r="AA205">
        <f t="shared" ca="1" si="46"/>
        <v>1.0306043905049171</v>
      </c>
      <c r="AB205">
        <f t="shared" ca="1" si="47"/>
        <v>0</v>
      </c>
      <c r="AC205" t="e">
        <f t="shared" ca="1" si="48"/>
        <v>#N/A</v>
      </c>
      <c r="AD205" t="e">
        <f t="shared" ca="1" si="49"/>
        <v>#N/A</v>
      </c>
    </row>
    <row r="206" spans="1:30" x14ac:dyDescent="0.2">
      <c r="A206">
        <f t="shared" si="40"/>
        <v>201</v>
      </c>
      <c r="B206">
        <f t="shared" ca="1" si="50"/>
        <v>5.4707798091578441E-2</v>
      </c>
      <c r="C206">
        <f t="shared" ca="1" si="51"/>
        <v>4.9740050723857303</v>
      </c>
      <c r="D206">
        <f t="shared" ref="D206:D269" ca="1" si="52">B206*COS(C206)</f>
        <v>1.4149733800320505E-2</v>
      </c>
      <c r="E206">
        <f t="shared" ref="E206:E269" ca="1" si="53">B206*SIN(C206)</f>
        <v>-5.2846269550546152E-2</v>
      </c>
      <c r="V206">
        <v>201</v>
      </c>
      <c r="W206">
        <f t="shared" ca="1" si="43"/>
        <v>1.4149733800320505E-2</v>
      </c>
      <c r="X206">
        <f t="shared" ca="1" si="44"/>
        <v>-5.2846269550546152E-2</v>
      </c>
      <c r="Y206">
        <f>'uniforme cercle (rejet)'!AJ210</f>
        <v>0</v>
      </c>
      <c r="Z206">
        <f t="shared" ca="1" si="45"/>
        <v>2.7362582837412219E-2</v>
      </c>
      <c r="AA206">
        <f t="shared" ca="1" si="46"/>
        <v>0.73599556990667725</v>
      </c>
      <c r="AB206">
        <f t="shared" ca="1" si="47"/>
        <v>0</v>
      </c>
      <c r="AC206" t="e">
        <f t="shared" ca="1" si="48"/>
        <v>#N/A</v>
      </c>
      <c r="AD206" t="e">
        <f t="shared" ca="1" si="49"/>
        <v>#N/A</v>
      </c>
    </row>
    <row r="207" spans="1:30" x14ac:dyDescent="0.2">
      <c r="A207">
        <f t="shared" si="40"/>
        <v>202</v>
      </c>
      <c r="B207">
        <f t="shared" ca="1" si="50"/>
        <v>0.6463107030837324</v>
      </c>
      <c r="C207">
        <f t="shared" ca="1" si="51"/>
        <v>3.6814771423966444</v>
      </c>
      <c r="D207">
        <f t="shared" ca="1" si="52"/>
        <v>-0.55438468059343771</v>
      </c>
      <c r="E207">
        <f t="shared" ca="1" si="53"/>
        <v>-0.33222755882662797</v>
      </c>
      <c r="V207">
        <v>202</v>
      </c>
      <c r="W207">
        <f t="shared" ca="1" si="43"/>
        <v>-0.55438468059343771</v>
      </c>
      <c r="X207">
        <f t="shared" ca="1" si="44"/>
        <v>-0.33222755882662797</v>
      </c>
      <c r="Y207">
        <f>'uniforme cercle (rejet)'!AJ211</f>
        <v>0</v>
      </c>
      <c r="Z207">
        <f t="shared" ca="1" si="45"/>
        <v>0.62692952677691927</v>
      </c>
      <c r="AA207">
        <f t="shared" ca="1" si="46"/>
        <v>1.3432534252108403</v>
      </c>
      <c r="AB207">
        <f t="shared" ca="1" si="47"/>
        <v>0</v>
      </c>
      <c r="AC207" t="e">
        <f t="shared" ca="1" si="48"/>
        <v>#N/A</v>
      </c>
      <c r="AD207" t="e">
        <f t="shared" ca="1" si="49"/>
        <v>#N/A</v>
      </c>
    </row>
    <row r="208" spans="1:30" x14ac:dyDescent="0.2">
      <c r="A208">
        <f t="shared" si="40"/>
        <v>203</v>
      </c>
      <c r="B208">
        <f t="shared" ca="1" si="50"/>
        <v>0.68187999314821202</v>
      </c>
      <c r="C208">
        <f t="shared" ca="1" si="51"/>
        <v>6.233779408394045</v>
      </c>
      <c r="D208">
        <f t="shared" ca="1" si="52"/>
        <v>0.68104794737514751</v>
      </c>
      <c r="E208">
        <f t="shared" ca="1" si="53"/>
        <v>-3.3675190153939397E-2</v>
      </c>
      <c r="V208">
        <v>203</v>
      </c>
      <c r="W208">
        <f t="shared" ca="1" si="43"/>
        <v>0.68104794737514751</v>
      </c>
      <c r="X208">
        <f t="shared" ca="1" si="44"/>
        <v>-3.3675190153939397E-2</v>
      </c>
      <c r="Y208">
        <f>'uniforme cercle (rejet)'!AJ212</f>
        <v>0</v>
      </c>
      <c r="Z208">
        <f t="shared" ca="1" si="45"/>
        <v>0.45776166658654877</v>
      </c>
      <c r="AA208">
        <f t="shared" ca="1" si="46"/>
        <v>0.56354908201025178</v>
      </c>
      <c r="AB208">
        <f t="shared" ca="1" si="47"/>
        <v>1</v>
      </c>
      <c r="AC208">
        <f t="shared" ca="1" si="48"/>
        <v>0.68104794737514751</v>
      </c>
      <c r="AD208">
        <f t="shared" ca="1" si="49"/>
        <v>-3.3675190153939397E-2</v>
      </c>
    </row>
    <row r="209" spans="1:30" x14ac:dyDescent="0.2">
      <c r="A209">
        <f t="shared" si="40"/>
        <v>204</v>
      </c>
      <c r="B209">
        <f t="shared" ca="1" si="50"/>
        <v>0.12063694754696608</v>
      </c>
      <c r="C209">
        <f t="shared" ca="1" si="51"/>
        <v>0.49845785585671976</v>
      </c>
      <c r="D209">
        <f t="shared" ca="1" si="52"/>
        <v>0.10595794767970543</v>
      </c>
      <c r="E209">
        <f t="shared" ca="1" si="53"/>
        <v>5.767309976890659E-2</v>
      </c>
      <c r="V209">
        <v>204</v>
      </c>
      <c r="W209">
        <f t="shared" ca="1" si="43"/>
        <v>0.10595794767970543</v>
      </c>
      <c r="X209">
        <f t="shared" ca="1" si="44"/>
        <v>5.767309976890659E-2</v>
      </c>
      <c r="Y209">
        <f>'uniforme cercle (rejet)'!AJ213</f>
        <v>0</v>
      </c>
      <c r="Z209">
        <f t="shared" ca="1" si="45"/>
        <v>0.11570462326357127</v>
      </c>
      <c r="AA209">
        <f t="shared" ca="1" si="46"/>
        <v>0.59238688849841825</v>
      </c>
      <c r="AB209">
        <f t="shared" ca="1" si="47"/>
        <v>0</v>
      </c>
      <c r="AC209" t="e">
        <f t="shared" ca="1" si="48"/>
        <v>#N/A</v>
      </c>
      <c r="AD209" t="e">
        <f t="shared" ca="1" si="49"/>
        <v>#N/A</v>
      </c>
    </row>
    <row r="210" spans="1:30" x14ac:dyDescent="0.2">
      <c r="A210">
        <f t="shared" si="40"/>
        <v>205</v>
      </c>
      <c r="B210">
        <f t="shared" ca="1" si="50"/>
        <v>8.5060008691754563E-2</v>
      </c>
      <c r="C210">
        <f t="shared" ca="1" si="51"/>
        <v>4.7780925997687431</v>
      </c>
      <c r="D210">
        <f t="shared" ca="1" si="52"/>
        <v>5.5847302298433774E-3</v>
      </c>
      <c r="E210">
        <f t="shared" ca="1" si="53"/>
        <v>-8.4876474166292015E-2</v>
      </c>
      <c r="V210">
        <v>205</v>
      </c>
      <c r="W210">
        <f t="shared" ca="1" si="43"/>
        <v>5.5847302298433774E-3</v>
      </c>
      <c r="X210">
        <f t="shared" ca="1" si="44"/>
        <v>-8.4876474166292015E-2</v>
      </c>
      <c r="Y210">
        <f>'uniforme cercle (rejet)'!AJ214</f>
        <v>0</v>
      </c>
      <c r="Z210">
        <f t="shared" ca="1" si="45"/>
        <v>5.6067729829570145E-2</v>
      </c>
      <c r="AA210">
        <f t="shared" ca="1" si="46"/>
        <v>0.76585047431929554</v>
      </c>
      <c r="AB210">
        <f t="shared" ca="1" si="47"/>
        <v>0</v>
      </c>
      <c r="AC210" t="e">
        <f t="shared" ca="1" si="48"/>
        <v>#N/A</v>
      </c>
      <c r="AD210" t="e">
        <f t="shared" ca="1" si="49"/>
        <v>#N/A</v>
      </c>
    </row>
    <row r="211" spans="1:30" x14ac:dyDescent="0.2">
      <c r="A211">
        <f t="shared" si="40"/>
        <v>206</v>
      </c>
      <c r="B211">
        <f t="shared" ca="1" si="50"/>
        <v>7.9407128804277693E-2</v>
      </c>
      <c r="C211">
        <f t="shared" ca="1" si="51"/>
        <v>3.0671596030560275</v>
      </c>
      <c r="D211">
        <f t="shared" ca="1" si="52"/>
        <v>-7.9187261518363514E-2</v>
      </c>
      <c r="E211">
        <f t="shared" ca="1" si="53"/>
        <v>5.9050586924646988E-3</v>
      </c>
      <c r="V211">
        <v>206</v>
      </c>
      <c r="W211">
        <f t="shared" ca="1" si="43"/>
        <v>-7.9187261518363514E-2</v>
      </c>
      <c r="X211">
        <f t="shared" ca="1" si="44"/>
        <v>5.9050586924646988E-3</v>
      </c>
      <c r="Y211">
        <f>'uniforme cercle (rejet)'!AJ215</f>
        <v>0</v>
      </c>
      <c r="Z211">
        <f t="shared" ca="1" si="45"/>
        <v>5.1818342558481029E-2</v>
      </c>
      <c r="AA211">
        <f t="shared" ca="1" si="46"/>
        <v>0.76130657092319776</v>
      </c>
      <c r="AB211">
        <f t="shared" ca="1" si="47"/>
        <v>0</v>
      </c>
      <c r="AC211" t="e">
        <f t="shared" ca="1" si="48"/>
        <v>#N/A</v>
      </c>
      <c r="AD211" t="e">
        <f t="shared" ca="1" si="49"/>
        <v>#N/A</v>
      </c>
    </row>
    <row r="212" spans="1:30" x14ac:dyDescent="0.2">
      <c r="A212">
        <f t="shared" si="40"/>
        <v>207</v>
      </c>
      <c r="B212">
        <f t="shared" ca="1" si="50"/>
        <v>0.72943382068165552</v>
      </c>
      <c r="C212">
        <f t="shared" ca="1" si="51"/>
        <v>4.9358864014886734</v>
      </c>
      <c r="D212">
        <f t="shared" ca="1" si="52"/>
        <v>0.16167273743297819</v>
      </c>
      <c r="E212">
        <f t="shared" ca="1" si="53"/>
        <v>-0.71129151880587249</v>
      </c>
      <c r="V212">
        <v>207</v>
      </c>
      <c r="W212">
        <f t="shared" ca="1" si="43"/>
        <v>0.16167273743297819</v>
      </c>
      <c r="X212">
        <f t="shared" ca="1" si="44"/>
        <v>-0.71129151880587249</v>
      </c>
      <c r="Y212">
        <f>'uniforme cercle (rejet)'!AJ216</f>
        <v>0</v>
      </c>
      <c r="Z212">
        <f t="shared" ca="1" si="45"/>
        <v>0.38863916737626009</v>
      </c>
      <c r="AA212">
        <f t="shared" ca="1" si="46"/>
        <v>1.2576535612509241</v>
      </c>
      <c r="AB212">
        <f t="shared" ca="1" si="47"/>
        <v>0</v>
      </c>
      <c r="AC212" t="e">
        <f t="shared" ca="1" si="48"/>
        <v>#N/A</v>
      </c>
      <c r="AD212" t="e">
        <f t="shared" ca="1" si="49"/>
        <v>#N/A</v>
      </c>
    </row>
    <row r="213" spans="1:30" x14ac:dyDescent="0.2">
      <c r="A213">
        <f t="shared" si="40"/>
        <v>208</v>
      </c>
      <c r="B213">
        <f t="shared" ca="1" si="50"/>
        <v>0.3208536135291894</v>
      </c>
      <c r="C213">
        <f t="shared" ca="1" si="51"/>
        <v>4.0939827156180275</v>
      </c>
      <c r="D213">
        <f t="shared" ca="1" si="52"/>
        <v>-0.18601081286536167</v>
      </c>
      <c r="E213">
        <f t="shared" ca="1" si="53"/>
        <v>-0.26143262767280184</v>
      </c>
      <c r="V213">
        <v>208</v>
      </c>
      <c r="W213">
        <f t="shared" ca="1" si="43"/>
        <v>-0.18601081286536167</v>
      </c>
      <c r="X213">
        <f t="shared" ca="1" si="44"/>
        <v>-0.26143262767280184</v>
      </c>
      <c r="Y213">
        <f>'uniforme cercle (rejet)'!AJ217</f>
        <v>0</v>
      </c>
      <c r="Z213">
        <f t="shared" ca="1" si="45"/>
        <v>0.31639029100197519</v>
      </c>
      <c r="AA213">
        <f t="shared" ca="1" si="46"/>
        <v>1.0248855945191648</v>
      </c>
      <c r="AB213">
        <f t="shared" ca="1" si="47"/>
        <v>0</v>
      </c>
      <c r="AC213" t="e">
        <f t="shared" ca="1" si="48"/>
        <v>#N/A</v>
      </c>
      <c r="AD213" t="e">
        <f t="shared" ca="1" si="49"/>
        <v>#N/A</v>
      </c>
    </row>
    <row r="214" spans="1:30" x14ac:dyDescent="0.2">
      <c r="A214">
        <f t="shared" si="40"/>
        <v>209</v>
      </c>
      <c r="B214">
        <f t="shared" ca="1" si="50"/>
        <v>0.49619214235017806</v>
      </c>
      <c r="C214">
        <f t="shared" ca="1" si="51"/>
        <v>2.4629716179433556</v>
      </c>
      <c r="D214">
        <f t="shared" ca="1" si="52"/>
        <v>-0.38625534603565537</v>
      </c>
      <c r="E214">
        <f t="shared" ca="1" si="53"/>
        <v>0.31146982163435266</v>
      </c>
      <c r="V214">
        <v>209</v>
      </c>
      <c r="W214">
        <f t="shared" ca="1" si="43"/>
        <v>-0.38625534603565537</v>
      </c>
      <c r="X214">
        <f t="shared" ca="1" si="44"/>
        <v>0.31146982163435266</v>
      </c>
      <c r="Y214">
        <f>'uniforme cercle (rejet)'!AJ218</f>
        <v>0</v>
      </c>
      <c r="Z214">
        <f t="shared" ca="1" si="45"/>
        <v>5.2881351438753159E-2</v>
      </c>
      <c r="AA214">
        <f t="shared" ca="1" si="46"/>
        <v>0.90608618052112566</v>
      </c>
      <c r="AB214">
        <f t="shared" ca="1" si="47"/>
        <v>0</v>
      </c>
      <c r="AC214" t="e">
        <f t="shared" ca="1" si="48"/>
        <v>#N/A</v>
      </c>
      <c r="AD214" t="e">
        <f t="shared" ca="1" si="49"/>
        <v>#N/A</v>
      </c>
    </row>
    <row r="215" spans="1:30" x14ac:dyDescent="0.2">
      <c r="A215">
        <f t="shared" si="40"/>
        <v>210</v>
      </c>
      <c r="B215">
        <f t="shared" ca="1" si="50"/>
        <v>6.4729293023051748E-2</v>
      </c>
      <c r="C215">
        <f t="shared" ca="1" si="51"/>
        <v>1.0441228300946861</v>
      </c>
      <c r="D215">
        <f t="shared" ca="1" si="52"/>
        <v>3.2536853546882585E-2</v>
      </c>
      <c r="E215">
        <f t="shared" ca="1" si="53"/>
        <v>5.5957435042475009E-2</v>
      </c>
      <c r="V215">
        <v>210</v>
      </c>
      <c r="W215">
        <f t="shared" ca="1" si="43"/>
        <v>3.2536853546882585E-2</v>
      </c>
      <c r="X215">
        <f t="shared" ca="1" si="44"/>
        <v>5.5957435042475009E-2</v>
      </c>
      <c r="Y215">
        <f>'uniforme cercle (rejet)'!AJ219</f>
        <v>0</v>
      </c>
      <c r="Z215">
        <f t="shared" ca="1" si="45"/>
        <v>6.257491155781407E-2</v>
      </c>
      <c r="AA215">
        <f t="shared" ca="1" si="46"/>
        <v>0.64474459500325132</v>
      </c>
      <c r="AB215">
        <f t="shared" ca="1" si="47"/>
        <v>0</v>
      </c>
      <c r="AC215" t="e">
        <f t="shared" ca="1" si="48"/>
        <v>#N/A</v>
      </c>
      <c r="AD215" t="e">
        <f t="shared" ca="1" si="49"/>
        <v>#N/A</v>
      </c>
    </row>
    <row r="216" spans="1:30" x14ac:dyDescent="0.2">
      <c r="A216">
        <f t="shared" si="40"/>
        <v>211</v>
      </c>
      <c r="B216">
        <f t="shared" ca="1" si="50"/>
        <v>0.36013750175631221</v>
      </c>
      <c r="C216">
        <f t="shared" ca="1" si="51"/>
        <v>4.8147861199881401</v>
      </c>
      <c r="D216">
        <f t="shared" ca="1" si="52"/>
        <v>3.6812640104916125E-2</v>
      </c>
      <c r="E216">
        <f t="shared" ca="1" si="53"/>
        <v>-0.35825109867212368</v>
      </c>
      <c r="V216">
        <v>211</v>
      </c>
      <c r="W216">
        <f t="shared" ca="1" si="43"/>
        <v>3.6812640104916125E-2</v>
      </c>
      <c r="X216">
        <f t="shared" ca="1" si="44"/>
        <v>-0.35825109867212368</v>
      </c>
      <c r="Y216">
        <f>'uniforme cercle (rejet)'!AJ220</f>
        <v>0</v>
      </c>
      <c r="Z216">
        <f t="shared" ca="1" si="45"/>
        <v>0.22729131378702352</v>
      </c>
      <c r="AA216">
        <f t="shared" ca="1" si="46"/>
        <v>0.97526277419907981</v>
      </c>
      <c r="AB216">
        <f t="shared" ca="1" si="47"/>
        <v>0</v>
      </c>
      <c r="AC216" t="e">
        <f t="shared" ca="1" si="48"/>
        <v>#N/A</v>
      </c>
      <c r="AD216" t="e">
        <f t="shared" ca="1" si="49"/>
        <v>#N/A</v>
      </c>
    </row>
    <row r="217" spans="1:30" x14ac:dyDescent="0.2">
      <c r="A217">
        <f t="shared" si="40"/>
        <v>212</v>
      </c>
      <c r="B217">
        <f t="shared" ca="1" si="50"/>
        <v>0.34872989648305119</v>
      </c>
      <c r="C217">
        <f t="shared" ca="1" si="51"/>
        <v>2.3114396464549571</v>
      </c>
      <c r="D217">
        <f t="shared" ca="1" si="52"/>
        <v>-0.2353099765319632</v>
      </c>
      <c r="E217">
        <f t="shared" ca="1" si="53"/>
        <v>0.25737473777666392</v>
      </c>
      <c r="V217">
        <v>212</v>
      </c>
      <c r="W217">
        <f t="shared" ca="1" si="43"/>
        <v>-0.2353099765319632</v>
      </c>
      <c r="X217">
        <f t="shared" ca="1" si="44"/>
        <v>0.25737473777666392</v>
      </c>
      <c r="Y217">
        <f>'uniforme cercle (rejet)'!AJ221</f>
        <v>0</v>
      </c>
      <c r="Z217">
        <f t="shared" ca="1" si="45"/>
        <v>1.5602142301390006E-2</v>
      </c>
      <c r="AA217">
        <f t="shared" ca="1" si="46"/>
        <v>0.77430470711237376</v>
      </c>
      <c r="AB217">
        <f t="shared" ca="1" si="47"/>
        <v>0</v>
      </c>
      <c r="AC217" t="e">
        <f t="shared" ca="1" si="48"/>
        <v>#N/A</v>
      </c>
      <c r="AD217" t="e">
        <f t="shared" ca="1" si="49"/>
        <v>#N/A</v>
      </c>
    </row>
    <row r="218" spans="1:30" x14ac:dyDescent="0.2">
      <c r="A218">
        <f t="shared" si="40"/>
        <v>213</v>
      </c>
      <c r="B218">
        <f t="shared" ca="1" si="50"/>
        <v>0.49141598230372052</v>
      </c>
      <c r="C218">
        <f t="shared" ca="1" si="51"/>
        <v>3.0186540323593256</v>
      </c>
      <c r="D218">
        <f t="shared" ca="1" si="52"/>
        <v>-0.48770705007134729</v>
      </c>
      <c r="E218">
        <f t="shared" ca="1" si="53"/>
        <v>6.026193636313798E-2</v>
      </c>
      <c r="V218">
        <v>213</v>
      </c>
      <c r="W218">
        <f t="shared" ca="1" si="43"/>
        <v>-0.48770705007134729</v>
      </c>
      <c r="X218">
        <f t="shared" ca="1" si="44"/>
        <v>6.026193636313798E-2</v>
      </c>
      <c r="Y218">
        <f>'uniforme cercle (rejet)'!AJ222</f>
        <v>0</v>
      </c>
      <c r="Z218">
        <f t="shared" ca="1" si="45"/>
        <v>0.30224933848812968</v>
      </c>
      <c r="AA218">
        <f t="shared" ca="1" si="46"/>
        <v>1.0811728730280554</v>
      </c>
      <c r="AB218">
        <f t="shared" ca="1" si="47"/>
        <v>0</v>
      </c>
      <c r="AC218" t="e">
        <f t="shared" ca="1" si="48"/>
        <v>#N/A</v>
      </c>
      <c r="AD218" t="e">
        <f t="shared" ca="1" si="49"/>
        <v>#N/A</v>
      </c>
    </row>
    <row r="219" spans="1:30" x14ac:dyDescent="0.2">
      <c r="A219">
        <f t="shared" si="40"/>
        <v>214</v>
      </c>
      <c r="B219">
        <f t="shared" ca="1" si="50"/>
        <v>0.4532423700827799</v>
      </c>
      <c r="C219">
        <f t="shared" ca="1" si="51"/>
        <v>1.3890269310582317</v>
      </c>
      <c r="D219">
        <f t="shared" ca="1" si="52"/>
        <v>8.1932669064340644E-2</v>
      </c>
      <c r="E219">
        <f t="shared" ca="1" si="53"/>
        <v>0.44577537367854775</v>
      </c>
      <c r="V219">
        <v>214</v>
      </c>
      <c r="W219">
        <f t="shared" ca="1" si="43"/>
        <v>8.1932669064340644E-2</v>
      </c>
      <c r="X219">
        <f t="shared" ca="1" si="44"/>
        <v>0.44577537367854775</v>
      </c>
      <c r="Y219">
        <f>'uniforme cercle (rejet)'!AJ223</f>
        <v>0</v>
      </c>
      <c r="Z219">
        <f t="shared" ca="1" si="45"/>
        <v>0.37314593551017688</v>
      </c>
      <c r="AA219">
        <f t="shared" ca="1" si="46"/>
        <v>0.42156921530795777</v>
      </c>
      <c r="AB219">
        <f t="shared" ca="1" si="47"/>
        <v>1</v>
      </c>
      <c r="AC219">
        <f t="shared" ca="1" si="48"/>
        <v>8.1932669064340644E-2</v>
      </c>
      <c r="AD219">
        <f t="shared" ca="1" si="49"/>
        <v>0.44577537367854775</v>
      </c>
    </row>
    <row r="220" spans="1:30" x14ac:dyDescent="0.2">
      <c r="A220">
        <f t="shared" si="40"/>
        <v>215</v>
      </c>
      <c r="B220">
        <f t="shared" ca="1" si="50"/>
        <v>0.20710592887993551</v>
      </c>
      <c r="C220">
        <f t="shared" ca="1" si="51"/>
        <v>2.5498995275972418</v>
      </c>
      <c r="D220">
        <f t="shared" ca="1" si="52"/>
        <v>-0.17189740304453646</v>
      </c>
      <c r="E220">
        <f t="shared" ca="1" si="53"/>
        <v>0.11551687583970188</v>
      </c>
      <c r="V220">
        <v>215</v>
      </c>
      <c r="W220">
        <f t="shared" ca="1" si="43"/>
        <v>-0.17189740304453646</v>
      </c>
      <c r="X220">
        <f t="shared" ca="1" si="44"/>
        <v>0.11551687583970188</v>
      </c>
      <c r="Y220">
        <f>'uniforme cercle (rejet)'!AJ224</f>
        <v>0</v>
      </c>
      <c r="Z220">
        <f t="shared" ca="1" si="45"/>
        <v>3.9867053113411155E-2</v>
      </c>
      <c r="AA220">
        <f t="shared" ca="1" si="46"/>
        <v>0.77412750434412003</v>
      </c>
      <c r="AB220">
        <f t="shared" ca="1" si="47"/>
        <v>0</v>
      </c>
      <c r="AC220" t="e">
        <f t="shared" ca="1" si="48"/>
        <v>#N/A</v>
      </c>
      <c r="AD220" t="e">
        <f t="shared" ca="1" si="49"/>
        <v>#N/A</v>
      </c>
    </row>
    <row r="221" spans="1:30" x14ac:dyDescent="0.2">
      <c r="A221">
        <f t="shared" si="40"/>
        <v>216</v>
      </c>
      <c r="B221">
        <f t="shared" ca="1" si="50"/>
        <v>0.12853545799040333</v>
      </c>
      <c r="C221">
        <f t="shared" ca="1" si="51"/>
        <v>4.6341212218569501</v>
      </c>
      <c r="D221">
        <f t="shared" ca="1" si="52"/>
        <v>-1.0049914152630257E-2</v>
      </c>
      <c r="E221">
        <f t="shared" ca="1" si="53"/>
        <v>-0.12814196496982361</v>
      </c>
      <c r="V221">
        <v>216</v>
      </c>
      <c r="W221">
        <f t="shared" ca="1" si="43"/>
        <v>-1.0049914152630257E-2</v>
      </c>
      <c r="X221">
        <f t="shared" ca="1" si="44"/>
        <v>-0.12814196496982361</v>
      </c>
      <c r="Y221">
        <f>'uniforme cercle (rejet)'!AJ225</f>
        <v>0</v>
      </c>
      <c r="Z221">
        <f t="shared" ca="1" si="45"/>
        <v>9.7716414832398804E-2</v>
      </c>
      <c r="AA221">
        <f t="shared" ca="1" si="46"/>
        <v>0.80914352440296811</v>
      </c>
      <c r="AB221">
        <f t="shared" ca="1" si="47"/>
        <v>0</v>
      </c>
      <c r="AC221" t="e">
        <f t="shared" ca="1" si="48"/>
        <v>#N/A</v>
      </c>
      <c r="AD221" t="e">
        <f t="shared" ca="1" si="49"/>
        <v>#N/A</v>
      </c>
    </row>
    <row r="222" spans="1:30" x14ac:dyDescent="0.2">
      <c r="A222">
        <f t="shared" ref="A222:A285" si="54">1+A221</f>
        <v>217</v>
      </c>
      <c r="B222">
        <f t="shared" ca="1" si="50"/>
        <v>0.41132051623301724</v>
      </c>
      <c r="C222">
        <f t="shared" ca="1" si="51"/>
        <v>4.1435717774783365</v>
      </c>
      <c r="D222">
        <f t="shared" ca="1" si="52"/>
        <v>-0.22155198553508329</v>
      </c>
      <c r="E222">
        <f t="shared" ca="1" si="53"/>
        <v>-0.34655343711995995</v>
      </c>
      <c r="V222">
        <v>217</v>
      </c>
      <c r="W222">
        <f t="shared" ca="1" si="43"/>
        <v>-0.22155198553508329</v>
      </c>
      <c r="X222">
        <f t="shared" ca="1" si="44"/>
        <v>-0.34655343711995995</v>
      </c>
      <c r="Y222">
        <f>'uniforme cercle (rejet)'!AJ226</f>
        <v>0</v>
      </c>
      <c r="Z222">
        <f t="shared" ca="1" si="45"/>
        <v>0.40171119678823075</v>
      </c>
      <c r="AA222">
        <f t="shared" ca="1" si="46"/>
        <v>1.1123353764621708</v>
      </c>
      <c r="AB222">
        <f t="shared" ca="1" si="47"/>
        <v>0</v>
      </c>
      <c r="AC222" t="e">
        <f t="shared" ca="1" si="48"/>
        <v>#N/A</v>
      </c>
      <c r="AD222" t="e">
        <f t="shared" ca="1" si="49"/>
        <v>#N/A</v>
      </c>
    </row>
    <row r="223" spans="1:30" x14ac:dyDescent="0.2">
      <c r="A223">
        <f t="shared" si="54"/>
        <v>218</v>
      </c>
      <c r="B223">
        <f t="shared" ca="1" si="50"/>
        <v>0.34609571205970235</v>
      </c>
      <c r="C223">
        <f t="shared" ca="1" si="51"/>
        <v>4.224005818992981</v>
      </c>
      <c r="D223">
        <f t="shared" ca="1" si="52"/>
        <v>-0.16238765257219617</v>
      </c>
      <c r="E223">
        <f t="shared" ca="1" si="53"/>
        <v>-0.30563457297597096</v>
      </c>
      <c r="V223">
        <v>218</v>
      </c>
      <c r="W223">
        <f t="shared" ca="1" si="43"/>
        <v>-0.16238765257219617</v>
      </c>
      <c r="X223">
        <f t="shared" ca="1" si="44"/>
        <v>-0.30563457297597096</v>
      </c>
      <c r="Y223">
        <f>'uniforme cercle (rejet)'!AJ227</f>
        <v>0</v>
      </c>
      <c r="Z223">
        <f t="shared" ca="1" si="45"/>
        <v>0.33094168943112878</v>
      </c>
      <c r="AA223">
        <f t="shared" ca="1" si="46"/>
        <v>1.0429786514853885</v>
      </c>
      <c r="AB223">
        <f t="shared" ca="1" si="47"/>
        <v>0</v>
      </c>
      <c r="AC223" t="e">
        <f t="shared" ca="1" si="48"/>
        <v>#N/A</v>
      </c>
      <c r="AD223" t="e">
        <f t="shared" ca="1" si="49"/>
        <v>#N/A</v>
      </c>
    </row>
    <row r="224" spans="1:30" x14ac:dyDescent="0.2">
      <c r="A224">
        <f t="shared" si="54"/>
        <v>219</v>
      </c>
      <c r="B224">
        <f t="shared" ca="1" si="50"/>
        <v>4.7013997511775374E-2</v>
      </c>
      <c r="C224">
        <f t="shared" ca="1" si="51"/>
        <v>1.0998005942176095</v>
      </c>
      <c r="D224">
        <f t="shared" ca="1" si="52"/>
        <v>2.133372144688794E-2</v>
      </c>
      <c r="E224">
        <f t="shared" ca="1" si="53"/>
        <v>4.1894967373943791E-2</v>
      </c>
      <c r="V224">
        <v>219</v>
      </c>
      <c r="W224">
        <f t="shared" ca="1" si="43"/>
        <v>2.133372144688794E-2</v>
      </c>
      <c r="X224">
        <f t="shared" ca="1" si="44"/>
        <v>4.1894967373943791E-2</v>
      </c>
      <c r="Y224">
        <f>'uniforme cercle (rejet)'!AJ228</f>
        <v>0</v>
      </c>
      <c r="Z224">
        <f t="shared" ca="1" si="45"/>
        <v>4.4709434630744165E-2</v>
      </c>
      <c r="AA224">
        <f t="shared" ca="1" si="46"/>
        <v>0.6625568859661829</v>
      </c>
      <c r="AB224">
        <f t="shared" ca="1" si="47"/>
        <v>0</v>
      </c>
      <c r="AC224" t="e">
        <f t="shared" ca="1" si="48"/>
        <v>#N/A</v>
      </c>
      <c r="AD224" t="e">
        <f t="shared" ca="1" si="49"/>
        <v>#N/A</v>
      </c>
    </row>
    <row r="225" spans="1:30" x14ac:dyDescent="0.2">
      <c r="A225">
        <f t="shared" si="54"/>
        <v>220</v>
      </c>
      <c r="B225">
        <f t="shared" ca="1" si="50"/>
        <v>0.67496282485803694</v>
      </c>
      <c r="C225">
        <f t="shared" ca="1" si="51"/>
        <v>0.24595092920647915</v>
      </c>
      <c r="D225">
        <f t="shared" ca="1" si="52"/>
        <v>0.65465065052393989</v>
      </c>
      <c r="E225">
        <f t="shared" ca="1" si="53"/>
        <v>0.16433910279943545</v>
      </c>
      <c r="V225">
        <v>220</v>
      </c>
      <c r="W225">
        <f t="shared" ca="1" si="43"/>
        <v>0.65465065052393989</v>
      </c>
      <c r="X225">
        <f t="shared" ca="1" si="44"/>
        <v>0.16433910279943545</v>
      </c>
      <c r="Y225">
        <f>'uniforme cercle (rejet)'!AJ229</f>
        <v>0</v>
      </c>
      <c r="Z225">
        <f t="shared" ca="1" si="45"/>
        <v>0.57911320829725643</v>
      </c>
      <c r="AA225">
        <f t="shared" ca="1" si="46"/>
        <v>0.36957416253976111</v>
      </c>
      <c r="AB225">
        <f t="shared" ca="1" si="47"/>
        <v>1</v>
      </c>
      <c r="AC225">
        <f t="shared" ca="1" si="48"/>
        <v>0.65465065052393989</v>
      </c>
      <c r="AD225">
        <f t="shared" ca="1" si="49"/>
        <v>0.16433910279943545</v>
      </c>
    </row>
    <row r="226" spans="1:30" x14ac:dyDescent="0.2">
      <c r="A226">
        <f t="shared" si="54"/>
        <v>221</v>
      </c>
      <c r="B226">
        <f t="shared" ca="1" si="50"/>
        <v>0.95857702051290272</v>
      </c>
      <c r="C226">
        <f t="shared" ca="1" si="51"/>
        <v>1.9751161438629832</v>
      </c>
      <c r="D226">
        <f t="shared" ca="1" si="52"/>
        <v>-0.3770979801519791</v>
      </c>
      <c r="E226">
        <f t="shared" ca="1" si="53"/>
        <v>0.88128713687463489</v>
      </c>
      <c r="V226">
        <v>221</v>
      </c>
      <c r="W226">
        <f t="shared" ca="1" si="43"/>
        <v>-0.3770979801519791</v>
      </c>
      <c r="X226">
        <f t="shared" ca="1" si="44"/>
        <v>0.88128713687463489</v>
      </c>
      <c r="Y226">
        <f>'uniforme cercle (rejet)'!AJ230</f>
        <v>0</v>
      </c>
      <c r="Z226">
        <f t="shared" ca="1" si="45"/>
        <v>0.35651557171931686</v>
      </c>
      <c r="AA226">
        <f t="shared" ca="1" si="46"/>
        <v>0.95638943298885215</v>
      </c>
      <c r="AB226">
        <f t="shared" ca="1" si="47"/>
        <v>0</v>
      </c>
      <c r="AC226" t="e">
        <f t="shared" ca="1" si="48"/>
        <v>#N/A</v>
      </c>
      <c r="AD226" t="e">
        <f t="shared" ca="1" si="49"/>
        <v>#N/A</v>
      </c>
    </row>
    <row r="227" spans="1:30" x14ac:dyDescent="0.2">
      <c r="A227">
        <f t="shared" si="54"/>
        <v>222</v>
      </c>
      <c r="B227">
        <f t="shared" ca="1" si="50"/>
        <v>0.5508062153208767</v>
      </c>
      <c r="C227">
        <f t="shared" ca="1" si="51"/>
        <v>5.2560931193203961</v>
      </c>
      <c r="D227">
        <f t="shared" ca="1" si="52"/>
        <v>0.28493730402461104</v>
      </c>
      <c r="E227">
        <f t="shared" ca="1" si="53"/>
        <v>-0.47137906149010733</v>
      </c>
      <c r="V227">
        <v>222</v>
      </c>
      <c r="W227">
        <f t="shared" ca="1" si="43"/>
        <v>0.28493730402461104</v>
      </c>
      <c r="X227">
        <f t="shared" ca="1" si="44"/>
        <v>-0.47137906149010733</v>
      </c>
      <c r="Y227">
        <f>'uniforme cercle (rejet)'!AJ231</f>
        <v>0</v>
      </c>
      <c r="Z227">
        <f t="shared" ca="1" si="45"/>
        <v>0.13183423100019007</v>
      </c>
      <c r="AA227">
        <f t="shared" ca="1" si="46"/>
        <v>0.99490162543922123</v>
      </c>
      <c r="AB227">
        <f t="shared" ca="1" si="47"/>
        <v>0</v>
      </c>
      <c r="AC227" t="e">
        <f t="shared" ca="1" si="48"/>
        <v>#N/A</v>
      </c>
      <c r="AD227" t="e">
        <f t="shared" ca="1" si="49"/>
        <v>#N/A</v>
      </c>
    </row>
    <row r="228" spans="1:30" x14ac:dyDescent="0.2">
      <c r="A228">
        <f t="shared" si="54"/>
        <v>223</v>
      </c>
      <c r="B228">
        <f t="shared" ca="1" si="50"/>
        <v>0.6387807209613644</v>
      </c>
      <c r="C228">
        <f t="shared" ca="1" si="51"/>
        <v>0.78841121914605705</v>
      </c>
      <c r="D228">
        <f t="shared" ca="1" si="52"/>
        <v>0.45032317558653795</v>
      </c>
      <c r="E228">
        <f t="shared" ca="1" si="53"/>
        <v>0.45304508274737582</v>
      </c>
      <c r="V228">
        <v>223</v>
      </c>
      <c r="W228">
        <f t="shared" ca="1" si="43"/>
        <v>0.45032317558653795</v>
      </c>
      <c r="X228">
        <f t="shared" ca="1" si="44"/>
        <v>0.45304508274737582</v>
      </c>
      <c r="Y228">
        <f>'uniforme cercle (rejet)'!AJ232</f>
        <v>0</v>
      </c>
      <c r="Z228">
        <f t="shared" ca="1" si="45"/>
        <v>0.63877782137659123</v>
      </c>
      <c r="AA228">
        <f t="shared" ca="1" si="46"/>
        <v>6.8356061457684372E-2</v>
      </c>
      <c r="AB228">
        <f t="shared" ca="1" si="47"/>
        <v>0</v>
      </c>
      <c r="AC228" t="e">
        <f t="shared" ca="1" si="48"/>
        <v>#N/A</v>
      </c>
      <c r="AD228" t="e">
        <f t="shared" ca="1" si="49"/>
        <v>#N/A</v>
      </c>
    </row>
    <row r="229" spans="1:30" x14ac:dyDescent="0.2">
      <c r="A229">
        <f t="shared" si="54"/>
        <v>224</v>
      </c>
      <c r="B229">
        <f t="shared" ca="1" si="50"/>
        <v>0.23055097278004621</v>
      </c>
      <c r="C229">
        <f t="shared" ca="1" si="51"/>
        <v>0.93344143004597435</v>
      </c>
      <c r="D229">
        <f t="shared" ca="1" si="52"/>
        <v>0.1371943658981509</v>
      </c>
      <c r="E229">
        <f t="shared" ca="1" si="53"/>
        <v>0.18528749827128083</v>
      </c>
      <c r="V229">
        <v>224</v>
      </c>
      <c r="W229">
        <f t="shared" ca="1" si="43"/>
        <v>0.1371943658981509</v>
      </c>
      <c r="X229">
        <f t="shared" ca="1" si="44"/>
        <v>0.18528749827128083</v>
      </c>
      <c r="Y229">
        <f>'uniforme cercle (rejet)'!AJ233</f>
        <v>0</v>
      </c>
      <c r="Z229">
        <f t="shared" ca="1" si="45"/>
        <v>0.22802911296388428</v>
      </c>
      <c r="AA229">
        <f t="shared" ca="1" si="46"/>
        <v>0.4802831319965275</v>
      </c>
      <c r="AB229">
        <f t="shared" ca="1" si="47"/>
        <v>1</v>
      </c>
      <c r="AC229">
        <f t="shared" ca="1" si="48"/>
        <v>0.1371943658981509</v>
      </c>
      <c r="AD229">
        <f t="shared" ca="1" si="49"/>
        <v>0.18528749827128083</v>
      </c>
    </row>
    <row r="230" spans="1:30" x14ac:dyDescent="0.2">
      <c r="A230">
        <f t="shared" si="54"/>
        <v>225</v>
      </c>
      <c r="B230">
        <f t="shared" ca="1" si="50"/>
        <v>0.51947537540003352</v>
      </c>
      <c r="C230">
        <f t="shared" ca="1" si="51"/>
        <v>2.301430379445355</v>
      </c>
      <c r="D230">
        <f t="shared" ca="1" si="52"/>
        <v>-0.34666772595914891</v>
      </c>
      <c r="E230">
        <f t="shared" ca="1" si="53"/>
        <v>0.38688002458813792</v>
      </c>
      <c r="V230">
        <v>225</v>
      </c>
      <c r="W230">
        <f t="shared" ca="1" si="43"/>
        <v>-0.34666772595914891</v>
      </c>
      <c r="X230">
        <f t="shared" ca="1" si="44"/>
        <v>0.38688002458813792</v>
      </c>
      <c r="Y230">
        <f>'uniforme cercle (rejet)'!AJ234</f>
        <v>0</v>
      </c>
      <c r="Z230">
        <f t="shared" ca="1" si="45"/>
        <v>2.8434389047656633E-2</v>
      </c>
      <c r="AA230">
        <f t="shared" ca="1" si="46"/>
        <v>0.85419106001995637</v>
      </c>
      <c r="AB230">
        <f t="shared" ca="1" si="47"/>
        <v>0</v>
      </c>
      <c r="AC230" t="e">
        <f t="shared" ca="1" si="48"/>
        <v>#N/A</v>
      </c>
      <c r="AD230" t="e">
        <f t="shared" ca="1" si="49"/>
        <v>#N/A</v>
      </c>
    </row>
    <row r="231" spans="1:30" x14ac:dyDescent="0.2">
      <c r="A231">
        <f t="shared" si="54"/>
        <v>226</v>
      </c>
      <c r="B231">
        <f t="shared" ca="1" si="50"/>
        <v>0.93871684877683781</v>
      </c>
      <c r="C231">
        <f t="shared" ca="1" si="51"/>
        <v>5.6902816531803255</v>
      </c>
      <c r="D231">
        <f t="shared" ca="1" si="52"/>
        <v>0.77849825148251706</v>
      </c>
      <c r="E231">
        <f t="shared" ca="1" si="53"/>
        <v>-0.52452816379693112</v>
      </c>
      <c r="V231">
        <v>226</v>
      </c>
      <c r="W231">
        <f t="shared" ca="1" si="43"/>
        <v>0.77849825148251706</v>
      </c>
      <c r="X231">
        <f t="shared" ca="1" si="44"/>
        <v>-0.52452816379693112</v>
      </c>
      <c r="Y231">
        <f>'uniforme cercle (rejet)'!AJ235</f>
        <v>0</v>
      </c>
      <c r="Z231">
        <f t="shared" ca="1" si="45"/>
        <v>0.17958397122101991</v>
      </c>
      <c r="AA231">
        <f t="shared" ca="1" si="46"/>
        <v>1.0617058135340181</v>
      </c>
      <c r="AB231">
        <f t="shared" ca="1" si="47"/>
        <v>0</v>
      </c>
      <c r="AC231" t="e">
        <f t="shared" ca="1" si="48"/>
        <v>#N/A</v>
      </c>
      <c r="AD231" t="e">
        <f t="shared" ca="1" si="49"/>
        <v>#N/A</v>
      </c>
    </row>
    <row r="232" spans="1:30" x14ac:dyDescent="0.2">
      <c r="A232">
        <f t="shared" si="54"/>
        <v>227</v>
      </c>
      <c r="B232">
        <f t="shared" ca="1" si="50"/>
        <v>0.75643348890192252</v>
      </c>
      <c r="C232">
        <f t="shared" ca="1" si="51"/>
        <v>5.2237514720389804</v>
      </c>
      <c r="D232">
        <f t="shared" ca="1" si="52"/>
        <v>0.37017275546558082</v>
      </c>
      <c r="E232">
        <f t="shared" ca="1" si="53"/>
        <v>-0.65966942800417416</v>
      </c>
      <c r="V232">
        <v>227</v>
      </c>
      <c r="W232">
        <f t="shared" ca="1" si="43"/>
        <v>0.37017275546558082</v>
      </c>
      <c r="X232">
        <f t="shared" ca="1" si="44"/>
        <v>-0.65966942800417416</v>
      </c>
      <c r="Y232">
        <f>'uniforme cercle (rejet)'!AJ236</f>
        <v>0</v>
      </c>
      <c r="Z232">
        <f t="shared" ca="1" si="45"/>
        <v>0.20470506028298072</v>
      </c>
      <c r="AA232">
        <f t="shared" ca="1" si="46"/>
        <v>1.1669140052595686</v>
      </c>
      <c r="AB232">
        <f t="shared" ca="1" si="47"/>
        <v>0</v>
      </c>
      <c r="AC232" t="e">
        <f t="shared" ca="1" si="48"/>
        <v>#N/A</v>
      </c>
      <c r="AD232" t="e">
        <f t="shared" ca="1" si="49"/>
        <v>#N/A</v>
      </c>
    </row>
    <row r="233" spans="1:30" x14ac:dyDescent="0.2">
      <c r="A233">
        <f t="shared" si="54"/>
        <v>228</v>
      </c>
      <c r="B233">
        <f t="shared" ca="1" si="50"/>
        <v>0.44888472538250801</v>
      </c>
      <c r="C233">
        <f t="shared" ca="1" si="51"/>
        <v>5.5625514916352152</v>
      </c>
      <c r="D233">
        <f t="shared" ca="1" si="52"/>
        <v>0.337286438883666</v>
      </c>
      <c r="E233">
        <f t="shared" ca="1" si="53"/>
        <v>-0.2962015442682645</v>
      </c>
      <c r="V233">
        <v>228</v>
      </c>
      <c r="W233">
        <f t="shared" ca="1" si="43"/>
        <v>0.337286438883666</v>
      </c>
      <c r="X233">
        <f t="shared" ca="1" si="44"/>
        <v>-0.2962015442682645</v>
      </c>
      <c r="Y233">
        <f>'uniforme cercle (rejet)'!AJ237</f>
        <v>0</v>
      </c>
      <c r="Z233">
        <f t="shared" ca="1" si="45"/>
        <v>2.9051407586885066E-2</v>
      </c>
      <c r="AA233">
        <f t="shared" ca="1" si="46"/>
        <v>0.81265773980583489</v>
      </c>
      <c r="AB233">
        <f t="shared" ca="1" si="47"/>
        <v>0</v>
      </c>
      <c r="AC233" t="e">
        <f t="shared" ca="1" si="48"/>
        <v>#N/A</v>
      </c>
      <c r="AD233" t="e">
        <f t="shared" ca="1" si="49"/>
        <v>#N/A</v>
      </c>
    </row>
    <row r="234" spans="1:30" x14ac:dyDescent="0.2">
      <c r="A234">
        <f t="shared" si="54"/>
        <v>229</v>
      </c>
      <c r="B234">
        <f t="shared" ca="1" si="50"/>
        <v>5.8423081755153428E-2</v>
      </c>
      <c r="C234">
        <f t="shared" ca="1" si="51"/>
        <v>3.6352143837633091</v>
      </c>
      <c r="D234">
        <f t="shared" ca="1" si="52"/>
        <v>-5.1448685899000653E-2</v>
      </c>
      <c r="E234">
        <f t="shared" ca="1" si="53"/>
        <v>-2.7681929142227658E-2</v>
      </c>
      <c r="V234">
        <v>229</v>
      </c>
      <c r="W234">
        <f t="shared" ca="1" si="43"/>
        <v>-5.1448685899000653E-2</v>
      </c>
      <c r="X234">
        <f t="shared" ca="1" si="44"/>
        <v>-2.7681929142227658E-2</v>
      </c>
      <c r="Y234">
        <f>'uniforme cercle (rejet)'!AJ238</f>
        <v>0</v>
      </c>
      <c r="Z234">
        <f t="shared" ca="1" si="45"/>
        <v>5.5953794495114756E-2</v>
      </c>
      <c r="AA234">
        <f t="shared" ca="1" si="46"/>
        <v>0.76324561677286928</v>
      </c>
      <c r="AB234">
        <f t="shared" ca="1" si="47"/>
        <v>0</v>
      </c>
      <c r="AC234" t="e">
        <f t="shared" ca="1" si="48"/>
        <v>#N/A</v>
      </c>
      <c r="AD234" t="e">
        <f t="shared" ca="1" si="49"/>
        <v>#N/A</v>
      </c>
    </row>
    <row r="235" spans="1:30" x14ac:dyDescent="0.2">
      <c r="A235">
        <f t="shared" si="54"/>
        <v>230</v>
      </c>
      <c r="B235">
        <f t="shared" ca="1" si="50"/>
        <v>0.18546158950965619</v>
      </c>
      <c r="C235">
        <f t="shared" ca="1" si="51"/>
        <v>6.0885249861316E-2</v>
      </c>
      <c r="D235">
        <f t="shared" ca="1" si="52"/>
        <v>0.1851179413663715</v>
      </c>
      <c r="E235">
        <f t="shared" ca="1" si="53"/>
        <v>1.1284899987366166E-2</v>
      </c>
      <c r="V235">
        <v>230</v>
      </c>
      <c r="W235">
        <f t="shared" ca="1" si="43"/>
        <v>0.1851179413663715</v>
      </c>
      <c r="X235">
        <f t="shared" ca="1" si="44"/>
        <v>1.1284899987366166E-2</v>
      </c>
      <c r="Y235">
        <f>'uniforme cercle (rejet)'!AJ239</f>
        <v>0</v>
      </c>
      <c r="Z235">
        <f t="shared" ca="1" si="45"/>
        <v>0.1388777809655336</v>
      </c>
      <c r="AA235">
        <f t="shared" ca="1" si="46"/>
        <v>0.58137179139489603</v>
      </c>
      <c r="AB235">
        <f t="shared" ca="1" si="47"/>
        <v>0</v>
      </c>
      <c r="AC235" t="e">
        <f t="shared" ca="1" si="48"/>
        <v>#N/A</v>
      </c>
      <c r="AD235" t="e">
        <f t="shared" ca="1" si="49"/>
        <v>#N/A</v>
      </c>
    </row>
    <row r="236" spans="1:30" x14ac:dyDescent="0.2">
      <c r="A236">
        <f t="shared" si="54"/>
        <v>231</v>
      </c>
      <c r="B236">
        <f t="shared" ca="1" si="50"/>
        <v>0.63801491652504672</v>
      </c>
      <c r="C236">
        <f t="shared" ca="1" si="51"/>
        <v>0.44574326284557164</v>
      </c>
      <c r="D236">
        <f t="shared" ca="1" si="52"/>
        <v>0.57567478065780242</v>
      </c>
      <c r="E236">
        <f t="shared" ca="1" si="53"/>
        <v>0.27506650218275103</v>
      </c>
      <c r="V236">
        <v>231</v>
      </c>
      <c r="W236">
        <f t="shared" ca="1" si="43"/>
        <v>0.57567478065780242</v>
      </c>
      <c r="X236">
        <f t="shared" ca="1" si="44"/>
        <v>0.27506650218275103</v>
      </c>
      <c r="Y236">
        <f>'uniforme cercle (rejet)'!AJ240</f>
        <v>0</v>
      </c>
      <c r="Z236">
        <f t="shared" ca="1" si="45"/>
        <v>0.60156493013189782</v>
      </c>
      <c r="AA236">
        <f t="shared" ca="1" si="46"/>
        <v>0.23732204041746494</v>
      </c>
      <c r="AB236">
        <f t="shared" ca="1" si="47"/>
        <v>0</v>
      </c>
      <c r="AC236" t="e">
        <f t="shared" ca="1" si="48"/>
        <v>#N/A</v>
      </c>
      <c r="AD236" t="e">
        <f t="shared" ca="1" si="49"/>
        <v>#N/A</v>
      </c>
    </row>
    <row r="237" spans="1:30" x14ac:dyDescent="0.2">
      <c r="A237">
        <f t="shared" si="54"/>
        <v>232</v>
      </c>
      <c r="B237">
        <f t="shared" ca="1" si="50"/>
        <v>0.84976891681741762</v>
      </c>
      <c r="C237">
        <f t="shared" ca="1" si="51"/>
        <v>0.88004501576101068</v>
      </c>
      <c r="D237">
        <f t="shared" ca="1" si="52"/>
        <v>0.54140175403595725</v>
      </c>
      <c r="E237">
        <f t="shared" ca="1" si="53"/>
        <v>0.65497431454663624</v>
      </c>
      <c r="V237">
        <v>232</v>
      </c>
      <c r="W237">
        <f t="shared" ca="1" si="43"/>
        <v>0.54140175403595725</v>
      </c>
      <c r="X237">
        <f t="shared" ca="1" si="44"/>
        <v>0.65497431454663624</v>
      </c>
      <c r="Y237">
        <f>'uniforme cercle (rejet)'!AJ241</f>
        <v>0</v>
      </c>
      <c r="Z237">
        <f t="shared" ca="1" si="45"/>
        <v>0.84596563094405397</v>
      </c>
      <c r="AA237">
        <f t="shared" ca="1" si="46"/>
        <v>0.16040929962584355</v>
      </c>
      <c r="AB237">
        <f t="shared" ca="1" si="47"/>
        <v>0</v>
      </c>
      <c r="AC237" t="e">
        <f t="shared" ca="1" si="48"/>
        <v>#N/A</v>
      </c>
      <c r="AD237" t="e">
        <f t="shared" ca="1" si="49"/>
        <v>#N/A</v>
      </c>
    </row>
    <row r="238" spans="1:30" x14ac:dyDescent="0.2">
      <c r="A238">
        <f t="shared" si="54"/>
        <v>233</v>
      </c>
      <c r="B238">
        <f t="shared" ca="1" si="50"/>
        <v>0.23686058550476363</v>
      </c>
      <c r="C238">
        <f t="shared" ca="1" si="51"/>
        <v>1.3910823337654514</v>
      </c>
      <c r="D238">
        <f t="shared" ca="1" si="52"/>
        <v>4.2338398561644341E-2</v>
      </c>
      <c r="E238">
        <f t="shared" ca="1" si="53"/>
        <v>0.23304591172748512</v>
      </c>
      <c r="V238">
        <v>233</v>
      </c>
      <c r="W238">
        <f t="shared" ca="1" si="43"/>
        <v>4.2338398561644341E-2</v>
      </c>
      <c r="X238">
        <f t="shared" ca="1" si="44"/>
        <v>0.23304591172748512</v>
      </c>
      <c r="Y238">
        <f>'uniforme cercle (rejet)'!AJ242</f>
        <v>0</v>
      </c>
      <c r="Z238">
        <f t="shared" ca="1" si="45"/>
        <v>0.19472611323782379</v>
      </c>
      <c r="AA238">
        <f t="shared" ca="1" si="46"/>
        <v>0.52982886546179231</v>
      </c>
      <c r="AB238">
        <f t="shared" ca="1" si="47"/>
        <v>1</v>
      </c>
      <c r="AC238">
        <f t="shared" ca="1" si="48"/>
        <v>4.2338398561644341E-2</v>
      </c>
      <c r="AD238">
        <f t="shared" ca="1" si="49"/>
        <v>0.23304591172748512</v>
      </c>
    </row>
    <row r="239" spans="1:30" x14ac:dyDescent="0.2">
      <c r="A239">
        <f t="shared" si="54"/>
        <v>234</v>
      </c>
      <c r="B239">
        <f t="shared" ca="1" si="50"/>
        <v>0.1851529471283615</v>
      </c>
      <c r="C239">
        <f t="shared" ca="1" si="51"/>
        <v>1.1166006677642106</v>
      </c>
      <c r="D239">
        <f t="shared" ca="1" si="52"/>
        <v>8.12339417338373E-2</v>
      </c>
      <c r="E239">
        <f t="shared" ca="1" si="53"/>
        <v>0.16638107025951407</v>
      </c>
      <c r="V239">
        <v>234</v>
      </c>
      <c r="W239">
        <f t="shared" ca="1" si="43"/>
        <v>8.12339417338373E-2</v>
      </c>
      <c r="X239">
        <f t="shared" ca="1" si="44"/>
        <v>0.16638107025951407</v>
      </c>
      <c r="Y239">
        <f>'uniforme cercle (rejet)'!AJ243</f>
        <v>0</v>
      </c>
      <c r="Z239">
        <f t="shared" ca="1" si="45"/>
        <v>0.17509025410408705</v>
      </c>
      <c r="AA239">
        <f t="shared" ca="1" si="46"/>
        <v>0.53541255293181766</v>
      </c>
      <c r="AB239">
        <f t="shared" ca="1" si="47"/>
        <v>0</v>
      </c>
      <c r="AC239" t="e">
        <f t="shared" ca="1" si="48"/>
        <v>#N/A</v>
      </c>
      <c r="AD239" t="e">
        <f t="shared" ca="1" si="49"/>
        <v>#N/A</v>
      </c>
    </row>
    <row r="240" spans="1:30" x14ac:dyDescent="0.2">
      <c r="A240">
        <f t="shared" si="54"/>
        <v>235</v>
      </c>
      <c r="B240">
        <f t="shared" ca="1" si="50"/>
        <v>0.17567873616581509</v>
      </c>
      <c r="C240">
        <f t="shared" ca="1" si="51"/>
        <v>4.1043781490262807</v>
      </c>
      <c r="D240">
        <f t="shared" ca="1" si="52"/>
        <v>-0.10035400266566726</v>
      </c>
      <c r="E240">
        <f t="shared" ca="1" si="53"/>
        <v>-0.14419463405341171</v>
      </c>
      <c r="V240">
        <v>235</v>
      </c>
      <c r="W240">
        <f t="shared" ca="1" si="43"/>
        <v>-0.10035400266566726</v>
      </c>
      <c r="X240">
        <f t="shared" ca="1" si="44"/>
        <v>-0.14419463405341171</v>
      </c>
      <c r="Y240">
        <f>'uniforme cercle (rejet)'!AJ244</f>
        <v>0</v>
      </c>
      <c r="Z240">
        <f t="shared" ca="1" si="45"/>
        <v>0.17292199935398625</v>
      </c>
      <c r="AA240">
        <f t="shared" ca="1" si="46"/>
        <v>0.88057461640675128</v>
      </c>
      <c r="AB240">
        <f t="shared" ca="1" si="47"/>
        <v>0</v>
      </c>
      <c r="AC240" t="e">
        <f t="shared" ca="1" si="48"/>
        <v>#N/A</v>
      </c>
      <c r="AD240" t="e">
        <f t="shared" ca="1" si="49"/>
        <v>#N/A</v>
      </c>
    </row>
    <row r="241" spans="1:30" x14ac:dyDescent="0.2">
      <c r="A241">
        <f t="shared" si="54"/>
        <v>236</v>
      </c>
      <c r="B241">
        <f t="shared" ca="1" si="50"/>
        <v>0.82952269432827241</v>
      </c>
      <c r="C241">
        <f t="shared" ca="1" si="51"/>
        <v>2.1395259324015479</v>
      </c>
      <c r="D241">
        <f t="shared" ca="1" si="52"/>
        <v>-0.44674945711851749</v>
      </c>
      <c r="E241">
        <f t="shared" ca="1" si="53"/>
        <v>0.69894407714061524</v>
      </c>
      <c r="V241">
        <v>236</v>
      </c>
      <c r="W241">
        <f t="shared" ca="1" si="43"/>
        <v>-0.44674945711851749</v>
      </c>
      <c r="X241">
        <f t="shared" ca="1" si="44"/>
        <v>0.69894407714061524</v>
      </c>
      <c r="Y241">
        <f>'uniforme cercle (rejet)'!AJ245</f>
        <v>0</v>
      </c>
      <c r="Z241">
        <f t="shared" ca="1" si="45"/>
        <v>0.17832852599638996</v>
      </c>
      <c r="AA241">
        <f t="shared" ca="1" si="46"/>
        <v>0.96742611107181653</v>
      </c>
      <c r="AB241">
        <f t="shared" ca="1" si="47"/>
        <v>0</v>
      </c>
      <c r="AC241" t="e">
        <f t="shared" ca="1" si="48"/>
        <v>#N/A</v>
      </c>
      <c r="AD241" t="e">
        <f t="shared" ca="1" si="49"/>
        <v>#N/A</v>
      </c>
    </row>
    <row r="242" spans="1:30" x14ac:dyDescent="0.2">
      <c r="A242">
        <f t="shared" si="54"/>
        <v>237</v>
      </c>
      <c r="B242">
        <f t="shared" ca="1" si="50"/>
        <v>0.21742665542455242</v>
      </c>
      <c r="C242">
        <f t="shared" ca="1" si="51"/>
        <v>3.2111660463658716</v>
      </c>
      <c r="D242">
        <f t="shared" ca="1" si="52"/>
        <v>-0.21690064546709295</v>
      </c>
      <c r="E242">
        <f t="shared" ca="1" si="53"/>
        <v>-1.5114909363456256E-2</v>
      </c>
      <c r="V242">
        <v>237</v>
      </c>
      <c r="W242">
        <f t="shared" ca="1" si="43"/>
        <v>-0.21690064546709295</v>
      </c>
      <c r="X242">
        <f t="shared" ca="1" si="44"/>
        <v>-1.5114909363456256E-2</v>
      </c>
      <c r="Y242">
        <f>'uniforme cercle (rejet)'!AJ246</f>
        <v>0</v>
      </c>
      <c r="Z242">
        <f t="shared" ca="1" si="45"/>
        <v>0.16405977216144058</v>
      </c>
      <c r="AA242">
        <f t="shared" ca="1" si="46"/>
        <v>0.88277398314611444</v>
      </c>
      <c r="AB242">
        <f t="shared" ca="1" si="47"/>
        <v>0</v>
      </c>
      <c r="AC242" t="e">
        <f t="shared" ca="1" si="48"/>
        <v>#N/A</v>
      </c>
      <c r="AD242" t="e">
        <f t="shared" ca="1" si="49"/>
        <v>#N/A</v>
      </c>
    </row>
    <row r="243" spans="1:30" x14ac:dyDescent="0.2">
      <c r="A243">
        <f t="shared" si="54"/>
        <v>238</v>
      </c>
      <c r="B243">
        <f t="shared" ca="1" si="50"/>
        <v>0.84160677174317966</v>
      </c>
      <c r="C243">
        <f t="shared" ca="1" si="51"/>
        <v>3.1461940578281284</v>
      </c>
      <c r="D243">
        <f t="shared" ca="1" si="52"/>
        <v>-0.84159786212206922</v>
      </c>
      <c r="E243">
        <f t="shared" ca="1" si="53"/>
        <v>-3.872559300911585E-3</v>
      </c>
      <c r="V243">
        <v>238</v>
      </c>
      <c r="W243">
        <f t="shared" ca="1" si="43"/>
        <v>-0.84159786212206922</v>
      </c>
      <c r="X243">
        <f t="shared" ca="1" si="44"/>
        <v>-3.872559300911585E-3</v>
      </c>
      <c r="Y243">
        <f>'uniforme cercle (rejet)'!AJ247</f>
        <v>0</v>
      </c>
      <c r="Z243">
        <f t="shared" ca="1" si="45"/>
        <v>0.59783786828083774</v>
      </c>
      <c r="AA243">
        <f t="shared" ca="1" si="46"/>
        <v>1.4330988729557208</v>
      </c>
      <c r="AB243">
        <f t="shared" ca="1" si="47"/>
        <v>0</v>
      </c>
      <c r="AC243" t="e">
        <f t="shared" ca="1" si="48"/>
        <v>#N/A</v>
      </c>
      <c r="AD243" t="e">
        <f t="shared" ca="1" si="49"/>
        <v>#N/A</v>
      </c>
    </row>
    <row r="244" spans="1:30" x14ac:dyDescent="0.2">
      <c r="A244">
        <f t="shared" si="54"/>
        <v>239</v>
      </c>
      <c r="B244">
        <f t="shared" ca="1" si="50"/>
        <v>0.58029605815748708</v>
      </c>
      <c r="C244">
        <f t="shared" ca="1" si="51"/>
        <v>3.6405334991576797</v>
      </c>
      <c r="D244">
        <f t="shared" ca="1" si="52"/>
        <v>-0.50955208170381683</v>
      </c>
      <c r="E244">
        <f t="shared" ca="1" si="53"/>
        <v>-0.27766921173299786</v>
      </c>
      <c r="V244">
        <v>239</v>
      </c>
      <c r="W244">
        <f t="shared" ca="1" si="43"/>
        <v>-0.50955208170381683</v>
      </c>
      <c r="X244">
        <f t="shared" ca="1" si="44"/>
        <v>-0.27766921173299786</v>
      </c>
      <c r="Y244">
        <f>'uniforme cercle (rejet)'!AJ248</f>
        <v>0</v>
      </c>
      <c r="Z244">
        <f t="shared" ca="1" si="45"/>
        <v>0.55664951488361669</v>
      </c>
      <c r="AA244">
        <f t="shared" ca="1" si="46"/>
        <v>1.274348778219657</v>
      </c>
      <c r="AB244">
        <f t="shared" ca="1" si="47"/>
        <v>0</v>
      </c>
      <c r="AC244" t="e">
        <f t="shared" ca="1" si="48"/>
        <v>#N/A</v>
      </c>
      <c r="AD244" t="e">
        <f t="shared" ca="1" si="49"/>
        <v>#N/A</v>
      </c>
    </row>
    <row r="245" spans="1:30" x14ac:dyDescent="0.2">
      <c r="A245">
        <f t="shared" si="54"/>
        <v>240</v>
      </c>
      <c r="B245">
        <f t="shared" ca="1" si="50"/>
        <v>0.47324520932100311</v>
      </c>
      <c r="C245">
        <f t="shared" ca="1" si="51"/>
        <v>5.5497719657089046</v>
      </c>
      <c r="D245">
        <f t="shared" ca="1" si="52"/>
        <v>0.35157093756900715</v>
      </c>
      <c r="E245">
        <f t="shared" ca="1" si="53"/>
        <v>-0.316794734808092</v>
      </c>
      <c r="V245">
        <v>240</v>
      </c>
      <c r="W245">
        <f t="shared" ca="1" si="43"/>
        <v>0.35157093756900715</v>
      </c>
      <c r="X245">
        <f t="shared" ca="1" si="44"/>
        <v>-0.316794734808092</v>
      </c>
      <c r="Y245">
        <f>'uniforme cercle (rejet)'!AJ249</f>
        <v>0</v>
      </c>
      <c r="Z245">
        <f t="shared" ca="1" si="45"/>
        <v>2.4590488796161436E-2</v>
      </c>
      <c r="AA245">
        <f t="shared" ca="1" si="46"/>
        <v>0.83017156382543289</v>
      </c>
      <c r="AB245">
        <f t="shared" ca="1" si="47"/>
        <v>0</v>
      </c>
      <c r="AC245" t="e">
        <f t="shared" ca="1" si="48"/>
        <v>#N/A</v>
      </c>
      <c r="AD245" t="e">
        <f t="shared" ca="1" si="49"/>
        <v>#N/A</v>
      </c>
    </row>
    <row r="246" spans="1:30" x14ac:dyDescent="0.2">
      <c r="A246">
        <f t="shared" si="54"/>
        <v>241</v>
      </c>
      <c r="B246">
        <f t="shared" ca="1" si="50"/>
        <v>0.38038367069035106</v>
      </c>
      <c r="C246">
        <f t="shared" ca="1" si="51"/>
        <v>0.54960467258353862</v>
      </c>
      <c r="D246">
        <f t="shared" ca="1" si="52"/>
        <v>0.32436498137589925</v>
      </c>
      <c r="E246">
        <f t="shared" ca="1" si="53"/>
        <v>0.19869347192315603</v>
      </c>
      <c r="V246">
        <v>241</v>
      </c>
      <c r="W246">
        <f t="shared" ca="1" si="43"/>
        <v>0.32436498137589925</v>
      </c>
      <c r="X246">
        <f t="shared" ca="1" si="44"/>
        <v>0.19869347192315603</v>
      </c>
      <c r="Y246">
        <f>'uniforme cercle (rejet)'!AJ250</f>
        <v>0</v>
      </c>
      <c r="Z246">
        <f t="shared" ca="1" si="45"/>
        <v>0.3698581792847091</v>
      </c>
      <c r="AA246">
        <f t="shared" ca="1" si="46"/>
        <v>0.34875963589384912</v>
      </c>
      <c r="AB246">
        <f t="shared" ca="1" si="47"/>
        <v>1</v>
      </c>
      <c r="AC246">
        <f t="shared" ca="1" si="48"/>
        <v>0.32436498137589925</v>
      </c>
      <c r="AD246">
        <f t="shared" ca="1" si="49"/>
        <v>0.19869347192315603</v>
      </c>
    </row>
    <row r="247" spans="1:30" x14ac:dyDescent="0.2">
      <c r="A247">
        <f t="shared" si="54"/>
        <v>242</v>
      </c>
      <c r="B247">
        <f t="shared" ca="1" si="50"/>
        <v>7.3356508922835184E-2</v>
      </c>
      <c r="C247">
        <f t="shared" ca="1" si="51"/>
        <v>5.2507710373310692</v>
      </c>
      <c r="D247">
        <f t="shared" ca="1" si="52"/>
        <v>3.7613373565819709E-2</v>
      </c>
      <c r="E247">
        <f t="shared" ca="1" si="53"/>
        <v>-6.2979453239481939E-2</v>
      </c>
      <c r="V247">
        <v>242</v>
      </c>
      <c r="W247">
        <f t="shared" ca="1" si="43"/>
        <v>3.7613373565819709E-2</v>
      </c>
      <c r="X247">
        <f t="shared" ca="1" si="44"/>
        <v>-6.2979453239481939E-2</v>
      </c>
      <c r="Y247">
        <f>'uniforme cercle (rejet)'!AJ251</f>
        <v>0</v>
      </c>
      <c r="Z247">
        <f t="shared" ca="1" si="45"/>
        <v>1.793652694936481E-2</v>
      </c>
      <c r="AA247">
        <f t="shared" ca="1" si="46"/>
        <v>0.72852402642260761</v>
      </c>
      <c r="AB247">
        <f t="shared" ca="1" si="47"/>
        <v>0</v>
      </c>
      <c r="AC247" t="e">
        <f t="shared" ca="1" si="48"/>
        <v>#N/A</v>
      </c>
      <c r="AD247" t="e">
        <f t="shared" ca="1" si="49"/>
        <v>#N/A</v>
      </c>
    </row>
    <row r="248" spans="1:30" x14ac:dyDescent="0.2">
      <c r="A248">
        <f t="shared" si="54"/>
        <v>243</v>
      </c>
      <c r="B248">
        <f t="shared" ca="1" si="50"/>
        <v>0.72825263287694553</v>
      </c>
      <c r="C248">
        <f t="shared" ca="1" si="51"/>
        <v>4.1771194419186415</v>
      </c>
      <c r="D248">
        <f t="shared" ca="1" si="52"/>
        <v>-0.37146192975692438</v>
      </c>
      <c r="E248">
        <f t="shared" ca="1" si="53"/>
        <v>-0.62639279372727863</v>
      </c>
      <c r="V248">
        <v>243</v>
      </c>
      <c r="W248">
        <f t="shared" ca="1" si="43"/>
        <v>-0.37146192975692438</v>
      </c>
      <c r="X248">
        <f t="shared" ca="1" si="44"/>
        <v>-0.62639279372727863</v>
      </c>
      <c r="Y248">
        <f>'uniforme cercle (rejet)'!AJ252</f>
        <v>0</v>
      </c>
      <c r="Z248">
        <f t="shared" ca="1" si="45"/>
        <v>0.70558984161470717</v>
      </c>
      <c r="AA248">
        <f t="shared" ca="1" si="46"/>
        <v>1.424151193088854</v>
      </c>
      <c r="AB248">
        <f t="shared" ca="1" si="47"/>
        <v>0</v>
      </c>
      <c r="AC248" t="e">
        <f t="shared" ca="1" si="48"/>
        <v>#N/A</v>
      </c>
      <c r="AD248" t="e">
        <f t="shared" ca="1" si="49"/>
        <v>#N/A</v>
      </c>
    </row>
    <row r="249" spans="1:30" x14ac:dyDescent="0.2">
      <c r="A249">
        <f t="shared" si="54"/>
        <v>244</v>
      </c>
      <c r="B249">
        <f t="shared" ca="1" si="50"/>
        <v>0.23915844170706257</v>
      </c>
      <c r="C249">
        <f t="shared" ca="1" si="51"/>
        <v>3.7606260498272062</v>
      </c>
      <c r="D249">
        <f t="shared" ca="1" si="52"/>
        <v>-0.19478013122273044</v>
      </c>
      <c r="E249">
        <f t="shared" ca="1" si="53"/>
        <v>-0.13877125322128628</v>
      </c>
      <c r="V249">
        <v>244</v>
      </c>
      <c r="W249">
        <f t="shared" ca="1" si="43"/>
        <v>-0.19478013122273044</v>
      </c>
      <c r="X249">
        <f t="shared" ca="1" si="44"/>
        <v>-0.13877125322128628</v>
      </c>
      <c r="Y249">
        <f>'uniforme cercle (rejet)'!AJ253</f>
        <v>0</v>
      </c>
      <c r="Z249">
        <f t="shared" ca="1" si="45"/>
        <v>0.23585644581452533</v>
      </c>
      <c r="AA249">
        <f t="shared" ca="1" si="46"/>
        <v>0.94379454580102706</v>
      </c>
      <c r="AB249">
        <f t="shared" ca="1" si="47"/>
        <v>0</v>
      </c>
      <c r="AC249" t="e">
        <f t="shared" ca="1" si="48"/>
        <v>#N/A</v>
      </c>
      <c r="AD249" t="e">
        <f t="shared" ca="1" si="49"/>
        <v>#N/A</v>
      </c>
    </row>
    <row r="250" spans="1:30" x14ac:dyDescent="0.2">
      <c r="A250">
        <f t="shared" si="54"/>
        <v>245</v>
      </c>
      <c r="B250">
        <f t="shared" ca="1" si="50"/>
        <v>0.61837990642435281</v>
      </c>
      <c r="C250">
        <f t="shared" ca="1" si="51"/>
        <v>3.6635565558418501</v>
      </c>
      <c r="D250">
        <f t="shared" ca="1" si="52"/>
        <v>-0.5360374786529285</v>
      </c>
      <c r="E250">
        <f t="shared" ca="1" si="53"/>
        <v>-0.30831401224855581</v>
      </c>
      <c r="V250">
        <v>245</v>
      </c>
      <c r="W250">
        <f t="shared" ca="1" si="43"/>
        <v>-0.5360374786529285</v>
      </c>
      <c r="X250">
        <f t="shared" ca="1" si="44"/>
        <v>-0.30831401224855581</v>
      </c>
      <c r="Y250">
        <f>'uniforme cercle (rejet)'!AJ254</f>
        <v>0</v>
      </c>
      <c r="Z250">
        <f t="shared" ca="1" si="45"/>
        <v>0.59704666492141101</v>
      </c>
      <c r="AA250">
        <f t="shared" ca="1" si="46"/>
        <v>1.3140567718218554</v>
      </c>
      <c r="AB250">
        <f t="shared" ca="1" si="47"/>
        <v>0</v>
      </c>
      <c r="AC250" t="e">
        <f t="shared" ca="1" si="48"/>
        <v>#N/A</v>
      </c>
      <c r="AD250" t="e">
        <f t="shared" ca="1" si="49"/>
        <v>#N/A</v>
      </c>
    </row>
    <row r="251" spans="1:30" x14ac:dyDescent="0.2">
      <c r="A251">
        <f t="shared" si="54"/>
        <v>246</v>
      </c>
      <c r="B251">
        <f t="shared" ca="1" si="50"/>
        <v>0.23444542360162524</v>
      </c>
      <c r="C251">
        <f t="shared" ca="1" si="51"/>
        <v>1.0354239027818624</v>
      </c>
      <c r="D251">
        <f t="shared" ca="1" si="52"/>
        <v>0.11960500289282207</v>
      </c>
      <c r="E251">
        <f t="shared" ca="1" si="53"/>
        <v>0.20164151341118602</v>
      </c>
      <c r="V251">
        <v>246</v>
      </c>
      <c r="W251">
        <f t="shared" ca="1" si="43"/>
        <v>0.11960500289282207</v>
      </c>
      <c r="X251">
        <f t="shared" ca="1" si="44"/>
        <v>0.20164151341118602</v>
      </c>
      <c r="Y251">
        <f>'uniforme cercle (rejet)'!AJ255</f>
        <v>0</v>
      </c>
      <c r="Z251">
        <f t="shared" ca="1" si="45"/>
        <v>0.22715559011111891</v>
      </c>
      <c r="AA251">
        <f t="shared" ca="1" si="46"/>
        <v>0.48344404055044199</v>
      </c>
      <c r="AB251">
        <f t="shared" ca="1" si="47"/>
        <v>1</v>
      </c>
      <c r="AC251">
        <f t="shared" ca="1" si="48"/>
        <v>0.11960500289282207</v>
      </c>
      <c r="AD251">
        <f t="shared" ca="1" si="49"/>
        <v>0.20164151341118602</v>
      </c>
    </row>
    <row r="252" spans="1:30" x14ac:dyDescent="0.2">
      <c r="A252">
        <f t="shared" si="54"/>
        <v>247</v>
      </c>
      <c r="B252">
        <f t="shared" ca="1" si="50"/>
        <v>0.44013918381602057</v>
      </c>
      <c r="C252">
        <f t="shared" ca="1" si="51"/>
        <v>2.7086395552854046</v>
      </c>
      <c r="D252">
        <f t="shared" ca="1" si="52"/>
        <v>-0.39952786155198572</v>
      </c>
      <c r="E252">
        <f t="shared" ca="1" si="53"/>
        <v>0.1846618232714333</v>
      </c>
      <c r="V252">
        <v>247</v>
      </c>
      <c r="W252">
        <f t="shared" ca="1" si="43"/>
        <v>-0.39952786155198572</v>
      </c>
      <c r="X252">
        <f t="shared" ca="1" si="44"/>
        <v>0.1846618232714333</v>
      </c>
      <c r="Y252">
        <f>'uniforme cercle (rejet)'!AJ256</f>
        <v>0</v>
      </c>
      <c r="Z252">
        <f t="shared" ca="1" si="45"/>
        <v>0.15193323271486692</v>
      </c>
      <c r="AA252">
        <f t="shared" ca="1" si="46"/>
        <v>0.95319910795740104</v>
      </c>
      <c r="AB252">
        <f t="shared" ca="1" si="47"/>
        <v>0</v>
      </c>
      <c r="AC252" t="e">
        <f t="shared" ca="1" si="48"/>
        <v>#N/A</v>
      </c>
      <c r="AD252" t="e">
        <f t="shared" ca="1" si="49"/>
        <v>#N/A</v>
      </c>
    </row>
    <row r="253" spans="1:30" x14ac:dyDescent="0.2">
      <c r="A253">
        <f t="shared" si="54"/>
        <v>248</v>
      </c>
      <c r="B253">
        <f t="shared" ca="1" si="50"/>
        <v>0.48306655362633033</v>
      </c>
      <c r="C253">
        <f t="shared" ca="1" si="51"/>
        <v>5.3469599624258253</v>
      </c>
      <c r="D253">
        <f t="shared" ca="1" si="52"/>
        <v>0.28637734472218401</v>
      </c>
      <c r="E253">
        <f t="shared" ca="1" si="53"/>
        <v>-0.38902610665904114</v>
      </c>
      <c r="V253">
        <v>248</v>
      </c>
      <c r="W253">
        <f t="shared" ca="1" si="43"/>
        <v>0.28637734472218401</v>
      </c>
      <c r="X253">
        <f t="shared" ca="1" si="44"/>
        <v>-0.38902610665904114</v>
      </c>
      <c r="Y253">
        <f>'uniforme cercle (rejet)'!AJ257</f>
        <v>0</v>
      </c>
      <c r="Z253">
        <f t="shared" ca="1" si="45"/>
        <v>7.2583635645955241E-2</v>
      </c>
      <c r="AA253">
        <f t="shared" ca="1" si="46"/>
        <v>0.91433148101182504</v>
      </c>
      <c r="AB253">
        <f t="shared" ca="1" si="47"/>
        <v>0</v>
      </c>
      <c r="AC253" t="e">
        <f t="shared" ca="1" si="48"/>
        <v>#N/A</v>
      </c>
      <c r="AD253" t="e">
        <f t="shared" ca="1" si="49"/>
        <v>#N/A</v>
      </c>
    </row>
    <row r="254" spans="1:30" x14ac:dyDescent="0.2">
      <c r="A254">
        <f t="shared" si="54"/>
        <v>249</v>
      </c>
      <c r="B254">
        <f t="shared" ca="1" si="50"/>
        <v>0.4312423787199825</v>
      </c>
      <c r="C254">
        <f t="shared" ca="1" si="51"/>
        <v>4.9537197845543899</v>
      </c>
      <c r="D254">
        <f t="shared" ca="1" si="52"/>
        <v>0.10306480515523109</v>
      </c>
      <c r="E254">
        <f t="shared" ca="1" si="53"/>
        <v>-0.41874531059151349</v>
      </c>
      <c r="V254">
        <v>249</v>
      </c>
      <c r="W254">
        <f t="shared" ca="1" si="43"/>
        <v>0.10306480515523109</v>
      </c>
      <c r="X254">
        <f t="shared" ca="1" si="44"/>
        <v>-0.41874531059151349</v>
      </c>
      <c r="Y254">
        <f>'uniforme cercle (rejet)'!AJ258</f>
        <v>0</v>
      </c>
      <c r="Z254">
        <f t="shared" ca="1" si="45"/>
        <v>0.22321982608239208</v>
      </c>
      <c r="AA254">
        <f t="shared" ca="1" si="46"/>
        <v>1.0008249070843267</v>
      </c>
      <c r="AB254">
        <f t="shared" ca="1" si="47"/>
        <v>0</v>
      </c>
      <c r="AC254" t="e">
        <f t="shared" ca="1" si="48"/>
        <v>#N/A</v>
      </c>
      <c r="AD254" t="e">
        <f t="shared" ca="1" si="49"/>
        <v>#N/A</v>
      </c>
    </row>
    <row r="255" spans="1:30" x14ac:dyDescent="0.2">
      <c r="A255">
        <f t="shared" si="54"/>
        <v>250</v>
      </c>
      <c r="B255">
        <f t="shared" ca="1" si="50"/>
        <v>0.72357412219985728</v>
      </c>
      <c r="C255">
        <f t="shared" ca="1" si="51"/>
        <v>2.7996504306789278</v>
      </c>
      <c r="D255">
        <f t="shared" ca="1" si="52"/>
        <v>-0.68168292973946443</v>
      </c>
      <c r="E255">
        <f t="shared" ca="1" si="53"/>
        <v>0.24262706695485234</v>
      </c>
      <c r="V255">
        <v>250</v>
      </c>
      <c r="W255">
        <f t="shared" ca="1" si="43"/>
        <v>-0.68168292973946443</v>
      </c>
      <c r="X255">
        <f t="shared" ca="1" si="44"/>
        <v>0.24262706695485234</v>
      </c>
      <c r="Y255">
        <f>'uniforme cercle (rejet)'!AJ259</f>
        <v>0</v>
      </c>
      <c r="Z255">
        <f t="shared" ca="1" si="45"/>
        <v>0.31045937789470951</v>
      </c>
      <c r="AA255">
        <f t="shared" ca="1" si="46"/>
        <v>1.2093863622109793</v>
      </c>
      <c r="AB255">
        <f t="shared" ca="1" si="47"/>
        <v>0</v>
      </c>
      <c r="AC255" t="e">
        <f t="shared" ca="1" si="48"/>
        <v>#N/A</v>
      </c>
      <c r="AD255" t="e">
        <f t="shared" ca="1" si="49"/>
        <v>#N/A</v>
      </c>
    </row>
    <row r="256" spans="1:30" x14ac:dyDescent="0.2">
      <c r="A256">
        <f t="shared" si="54"/>
        <v>251</v>
      </c>
      <c r="B256">
        <f t="shared" ca="1" si="50"/>
        <v>0.16053138019272772</v>
      </c>
      <c r="C256">
        <f t="shared" ca="1" si="51"/>
        <v>3.6208261789184508</v>
      </c>
      <c r="D256">
        <f t="shared" ca="1" si="52"/>
        <v>-0.14244729615058374</v>
      </c>
      <c r="E256">
        <f t="shared" ca="1" si="53"/>
        <v>-7.4020887903145163E-2</v>
      </c>
      <c r="V256">
        <v>251</v>
      </c>
      <c r="W256">
        <f t="shared" ca="1" si="43"/>
        <v>-0.14244729615058374</v>
      </c>
      <c r="X256">
        <f t="shared" ca="1" si="44"/>
        <v>-7.4020887903145163E-2</v>
      </c>
      <c r="Y256">
        <f>'uniforme cercle (rejet)'!AJ260</f>
        <v>0</v>
      </c>
      <c r="Z256">
        <f t="shared" ca="1" si="45"/>
        <v>0.1530661208555294</v>
      </c>
      <c r="AA256">
        <f t="shared" ca="1" si="46"/>
        <v>0.8615326506176717</v>
      </c>
      <c r="AB256">
        <f t="shared" ca="1" si="47"/>
        <v>0</v>
      </c>
      <c r="AC256" t="e">
        <f t="shared" ca="1" si="48"/>
        <v>#N/A</v>
      </c>
      <c r="AD256" t="e">
        <f t="shared" ca="1" si="49"/>
        <v>#N/A</v>
      </c>
    </row>
    <row r="257" spans="1:30" x14ac:dyDescent="0.2">
      <c r="A257">
        <f t="shared" si="54"/>
        <v>252</v>
      </c>
      <c r="B257">
        <f t="shared" ca="1" si="50"/>
        <v>0.9849420763031933</v>
      </c>
      <c r="C257">
        <f t="shared" ca="1" si="51"/>
        <v>2.596551325191085</v>
      </c>
      <c r="D257">
        <f t="shared" ca="1" si="52"/>
        <v>-0.84222974579794785</v>
      </c>
      <c r="E257">
        <f t="shared" ca="1" si="53"/>
        <v>0.51064659889748565</v>
      </c>
      <c r="V257">
        <v>252</v>
      </c>
      <c r="W257">
        <f t="shared" ca="1" si="43"/>
        <v>-0.84222974579794785</v>
      </c>
      <c r="X257">
        <f t="shared" ca="1" si="44"/>
        <v>0.51064659889748565</v>
      </c>
      <c r="Y257">
        <f>'uniforme cercle (rejet)'!AJ261</f>
        <v>0</v>
      </c>
      <c r="Z257">
        <f t="shared" ca="1" si="45"/>
        <v>0.23446469170049197</v>
      </c>
      <c r="AA257">
        <f t="shared" ca="1" si="46"/>
        <v>1.3422719696741445</v>
      </c>
      <c r="AB257">
        <f t="shared" ca="1" si="47"/>
        <v>0</v>
      </c>
      <c r="AC257" t="e">
        <f t="shared" ca="1" si="48"/>
        <v>#N/A</v>
      </c>
      <c r="AD257" t="e">
        <f t="shared" ca="1" si="49"/>
        <v>#N/A</v>
      </c>
    </row>
    <row r="258" spans="1:30" x14ac:dyDescent="0.2">
      <c r="A258">
        <f t="shared" si="54"/>
        <v>253</v>
      </c>
      <c r="B258">
        <f t="shared" ca="1" si="50"/>
        <v>0.52512880933656469</v>
      </c>
      <c r="C258">
        <f t="shared" ca="1" si="51"/>
        <v>0.66431121343539923</v>
      </c>
      <c r="D258">
        <f t="shared" ca="1" si="52"/>
        <v>0.41345576769735543</v>
      </c>
      <c r="E258">
        <f t="shared" ca="1" si="53"/>
        <v>0.32375082170247621</v>
      </c>
      <c r="V258">
        <v>253</v>
      </c>
      <c r="W258">
        <f t="shared" ca="1" si="43"/>
        <v>0.41345576769735543</v>
      </c>
      <c r="X258">
        <f t="shared" ca="1" si="44"/>
        <v>0.32375082170247621</v>
      </c>
      <c r="Y258">
        <f>'uniforme cercle (rejet)'!AJ262</f>
        <v>0</v>
      </c>
      <c r="Z258">
        <f t="shared" ca="1" si="45"/>
        <v>0.52128377850002772</v>
      </c>
      <c r="AA258">
        <f t="shared" ca="1" si="46"/>
        <v>0.19635090271095379</v>
      </c>
      <c r="AB258">
        <f t="shared" ca="1" si="47"/>
        <v>1</v>
      </c>
      <c r="AC258">
        <f t="shared" ca="1" si="48"/>
        <v>0.41345576769735543</v>
      </c>
      <c r="AD258">
        <f t="shared" ca="1" si="49"/>
        <v>0.32375082170247621</v>
      </c>
    </row>
    <row r="259" spans="1:30" x14ac:dyDescent="0.2">
      <c r="A259">
        <f t="shared" si="54"/>
        <v>254</v>
      </c>
      <c r="B259">
        <f t="shared" ca="1" si="50"/>
        <v>0.89975849352362414</v>
      </c>
      <c r="C259">
        <f t="shared" ca="1" si="51"/>
        <v>0.80024975343033189</v>
      </c>
      <c r="D259">
        <f t="shared" ca="1" si="52"/>
        <v>0.62670655701948119</v>
      </c>
      <c r="E259">
        <f t="shared" ca="1" si="53"/>
        <v>0.64560377791389145</v>
      </c>
      <c r="V259">
        <v>254</v>
      </c>
      <c r="W259">
        <f t="shared" ca="1" si="43"/>
        <v>0.62670655701948119</v>
      </c>
      <c r="X259">
        <f t="shared" ca="1" si="44"/>
        <v>0.64560377791389145</v>
      </c>
      <c r="Y259">
        <f>'uniforme cercle (rejet)'!AJ263</f>
        <v>0</v>
      </c>
      <c r="Z259">
        <f t="shared" ca="1" si="45"/>
        <v>0.89965926560511522</v>
      </c>
      <c r="AA259">
        <f t="shared" ca="1" si="46"/>
        <v>0.19301557381343315</v>
      </c>
      <c r="AB259">
        <f t="shared" ca="1" si="47"/>
        <v>0</v>
      </c>
      <c r="AC259" t="e">
        <f t="shared" ca="1" si="48"/>
        <v>#N/A</v>
      </c>
      <c r="AD259" t="e">
        <f t="shared" ca="1" si="49"/>
        <v>#N/A</v>
      </c>
    </row>
    <row r="260" spans="1:30" x14ac:dyDescent="0.2">
      <c r="A260">
        <f t="shared" si="54"/>
        <v>255</v>
      </c>
      <c r="B260">
        <f t="shared" ca="1" si="50"/>
        <v>0.48618043277261958</v>
      </c>
      <c r="C260">
        <f t="shared" ca="1" si="51"/>
        <v>5.4052978569333163</v>
      </c>
      <c r="D260">
        <f t="shared" ca="1" si="52"/>
        <v>0.31056133796768959</v>
      </c>
      <c r="E260">
        <f t="shared" ca="1" si="53"/>
        <v>-0.37406292060386065</v>
      </c>
      <c r="V260">
        <v>255</v>
      </c>
      <c r="W260">
        <f t="shared" ca="1" si="43"/>
        <v>0.31056133796768959</v>
      </c>
      <c r="X260">
        <f t="shared" ca="1" si="44"/>
        <v>-0.37406292060386065</v>
      </c>
      <c r="Y260">
        <f>'uniforme cercle (rejet)'!AJ264</f>
        <v>0</v>
      </c>
      <c r="Z260">
        <f t="shared" ca="1" si="45"/>
        <v>4.4902399698114479E-2</v>
      </c>
      <c r="AA260">
        <f t="shared" ca="1" si="46"/>
        <v>0.89435619070208416</v>
      </c>
      <c r="AB260">
        <f t="shared" ca="1" si="47"/>
        <v>0</v>
      </c>
      <c r="AC260" t="e">
        <f t="shared" ca="1" si="48"/>
        <v>#N/A</v>
      </c>
      <c r="AD260" t="e">
        <f t="shared" ca="1" si="49"/>
        <v>#N/A</v>
      </c>
    </row>
    <row r="261" spans="1:30" x14ac:dyDescent="0.2">
      <c r="A261">
        <f t="shared" si="54"/>
        <v>256</v>
      </c>
      <c r="B261">
        <f t="shared" ca="1" si="50"/>
        <v>0.98408373151589679</v>
      </c>
      <c r="C261">
        <f t="shared" ca="1" si="51"/>
        <v>3.8347990494939226</v>
      </c>
      <c r="D261">
        <f t="shared" ca="1" si="52"/>
        <v>-0.75695825305528375</v>
      </c>
      <c r="E261">
        <f t="shared" ca="1" si="53"/>
        <v>-0.62883622173483666</v>
      </c>
      <c r="V261">
        <v>256</v>
      </c>
      <c r="W261">
        <f t="shared" ca="1" si="43"/>
        <v>-0.75695825305528375</v>
      </c>
      <c r="X261">
        <f t="shared" ca="1" si="44"/>
        <v>-0.62883622173483666</v>
      </c>
      <c r="Y261">
        <f>'uniforme cercle (rejet)'!AJ265</f>
        <v>0</v>
      </c>
      <c r="Z261">
        <f t="shared" ca="1" si="45"/>
        <v>0.97990467045494412</v>
      </c>
      <c r="AA261">
        <f t="shared" ca="1" si="46"/>
        <v>1.6894422941978138</v>
      </c>
      <c r="AB261">
        <f t="shared" ca="1" si="47"/>
        <v>0</v>
      </c>
      <c r="AC261" t="e">
        <f t="shared" ca="1" si="48"/>
        <v>#N/A</v>
      </c>
      <c r="AD261" t="e">
        <f t="shared" ca="1" si="49"/>
        <v>#N/A</v>
      </c>
    </row>
    <row r="262" spans="1:30" x14ac:dyDescent="0.2">
      <c r="A262">
        <f t="shared" si="54"/>
        <v>257</v>
      </c>
      <c r="B262">
        <f t="shared" ca="1" si="50"/>
        <v>0.93902328601554053</v>
      </c>
      <c r="C262">
        <f t="shared" ca="1" si="51"/>
        <v>4.6580960138532062</v>
      </c>
      <c r="D262">
        <f t="shared" ca="1" si="52"/>
        <v>-5.0957316524820398E-2</v>
      </c>
      <c r="E262">
        <f t="shared" ca="1" si="53"/>
        <v>-0.9376396341729657</v>
      </c>
      <c r="V262">
        <v>257</v>
      </c>
      <c r="W262">
        <f t="shared" ca="1" si="43"/>
        <v>-5.0957316524820398E-2</v>
      </c>
      <c r="X262">
        <f t="shared" ca="1" si="44"/>
        <v>-0.9376396341729657</v>
      </c>
      <c r="Y262">
        <f>'uniforme cercle (rejet)'!AJ266</f>
        <v>0</v>
      </c>
      <c r="Z262">
        <f t="shared" ca="1" si="45"/>
        <v>0.69904360769874752</v>
      </c>
      <c r="AA262">
        <f t="shared" ca="1" si="46"/>
        <v>1.5395978963278723</v>
      </c>
      <c r="AB262">
        <f t="shared" ca="1" si="47"/>
        <v>0</v>
      </c>
      <c r="AC262" t="e">
        <f t="shared" ca="1" si="48"/>
        <v>#N/A</v>
      </c>
      <c r="AD262" t="e">
        <f t="shared" ca="1" si="49"/>
        <v>#N/A</v>
      </c>
    </row>
    <row r="263" spans="1:30" x14ac:dyDescent="0.2">
      <c r="A263">
        <f t="shared" si="54"/>
        <v>258</v>
      </c>
      <c r="B263">
        <f t="shared" ca="1" si="50"/>
        <v>0.82695834300002691</v>
      </c>
      <c r="C263">
        <f t="shared" ca="1" si="51"/>
        <v>5.1759105009320887</v>
      </c>
      <c r="D263">
        <f t="shared" ca="1" si="52"/>
        <v>0.36973374912974438</v>
      </c>
      <c r="E263">
        <f t="shared" ca="1" si="53"/>
        <v>-0.73970065283992648</v>
      </c>
      <c r="V263">
        <v>258</v>
      </c>
      <c r="W263">
        <f t="shared" ref="W263:W326" ca="1" si="55">D263</f>
        <v>0.36973374912974438</v>
      </c>
      <c r="X263">
        <f t="shared" ref="X263:X326" ca="1" si="56">E263</f>
        <v>-0.73970065283992648</v>
      </c>
      <c r="Y263">
        <f>'uniforme cercle (rejet)'!AJ267</f>
        <v>0</v>
      </c>
      <c r="Z263">
        <f t="shared" ref="Z263:Z326" ca="1" si="57">(W263+X263)^2/SQRT(2*(W263+X263)^2)</f>
        <v>0.2616061064280602</v>
      </c>
      <c r="AA263">
        <f t="shared" ref="AA263:AA326" ca="1" si="58">SQRT((W263-0.5)^2+(X263-0.5)^2)</f>
        <v>1.2465259743653689</v>
      </c>
      <c r="AB263">
        <f t="shared" ref="AB263:AB326" ca="1" si="59">IF(ABS(AA263-Z263)&lt;SQRT(2)/2/2,1,0)</f>
        <v>0</v>
      </c>
      <c r="AC263" t="e">
        <f t="shared" ref="AC263:AC326" ca="1" si="60">IF($AB263=1,W263,NA())</f>
        <v>#N/A</v>
      </c>
      <c r="AD263" t="e">
        <f t="shared" ref="AD263:AD326" ca="1" si="61">IF($AB263=1,X263,NA())</f>
        <v>#N/A</v>
      </c>
    </row>
    <row r="264" spans="1:30" x14ac:dyDescent="0.2">
      <c r="A264">
        <f t="shared" si="54"/>
        <v>259</v>
      </c>
      <c r="B264">
        <f t="shared" ref="B264:B327" ca="1" si="62">RAND()</f>
        <v>0.56536339999265683</v>
      </c>
      <c r="C264">
        <f t="shared" ref="C264:C327" ca="1" si="63">RAND()*2*PI()</f>
        <v>6.1016069477798887</v>
      </c>
      <c r="D264">
        <f t="shared" ca="1" si="52"/>
        <v>0.55606876600056943</v>
      </c>
      <c r="E264">
        <f t="shared" ca="1" si="53"/>
        <v>-0.10209457150045131</v>
      </c>
      <c r="V264">
        <v>259</v>
      </c>
      <c r="W264">
        <f t="shared" ca="1" si="55"/>
        <v>0.55606876600056943</v>
      </c>
      <c r="X264">
        <f t="shared" ca="1" si="56"/>
        <v>-0.10209457150045131</v>
      </c>
      <c r="Y264">
        <f>'uniforme cercle (rejet)'!AJ268</f>
        <v>0</v>
      </c>
      <c r="Z264">
        <f t="shared" ca="1" si="57"/>
        <v>0.32100823141473422</v>
      </c>
      <c r="AA264">
        <f t="shared" ca="1" si="58"/>
        <v>0.6046995779319998</v>
      </c>
      <c r="AB264">
        <f t="shared" ca="1" si="59"/>
        <v>1</v>
      </c>
      <c r="AC264">
        <f t="shared" ca="1" si="60"/>
        <v>0.55606876600056943</v>
      </c>
      <c r="AD264">
        <f t="shared" ca="1" si="61"/>
        <v>-0.10209457150045131</v>
      </c>
    </row>
    <row r="265" spans="1:30" x14ac:dyDescent="0.2">
      <c r="A265">
        <f t="shared" si="54"/>
        <v>260</v>
      </c>
      <c r="B265">
        <f t="shared" ca="1" si="62"/>
        <v>0.89623904460189818</v>
      </c>
      <c r="C265">
        <f t="shared" ca="1" si="63"/>
        <v>1.6461545940399729</v>
      </c>
      <c r="D265">
        <f t="shared" ca="1" si="52"/>
        <v>-6.7475115384074053E-2</v>
      </c>
      <c r="E265">
        <f t="shared" ca="1" si="53"/>
        <v>0.89369543686472352</v>
      </c>
      <c r="V265">
        <v>260</v>
      </c>
      <c r="W265">
        <f t="shared" ca="1" si="55"/>
        <v>-6.7475115384074053E-2</v>
      </c>
      <c r="X265">
        <f t="shared" ca="1" si="56"/>
        <v>0.89369543686472352</v>
      </c>
      <c r="Y265">
        <f>'uniforme cercle (rejet)'!AJ269</f>
        <v>0</v>
      </c>
      <c r="Z265">
        <f t="shared" ca="1" si="57"/>
        <v>0.58422599207309656</v>
      </c>
      <c r="AA265">
        <f t="shared" ca="1" si="58"/>
        <v>0.69066931565567158</v>
      </c>
      <c r="AB265">
        <f t="shared" ca="1" si="59"/>
        <v>1</v>
      </c>
      <c r="AC265">
        <f t="shared" ca="1" si="60"/>
        <v>-6.7475115384074053E-2</v>
      </c>
      <c r="AD265">
        <f t="shared" ca="1" si="61"/>
        <v>0.89369543686472352</v>
      </c>
    </row>
    <row r="266" spans="1:30" x14ac:dyDescent="0.2">
      <c r="A266">
        <f t="shared" si="54"/>
        <v>261</v>
      </c>
      <c r="B266">
        <f t="shared" ca="1" si="62"/>
        <v>0.29713489138361293</v>
      </c>
      <c r="C266">
        <f t="shared" ca="1" si="63"/>
        <v>1.0927950615718558</v>
      </c>
      <c r="D266">
        <f t="shared" ca="1" si="52"/>
        <v>0.13668365062274165</v>
      </c>
      <c r="E266">
        <f t="shared" ca="1" si="53"/>
        <v>0.26383086121602939</v>
      </c>
      <c r="V266">
        <v>261</v>
      </c>
      <c r="W266">
        <f t="shared" ca="1" si="55"/>
        <v>0.13668365062274165</v>
      </c>
      <c r="X266">
        <f t="shared" ca="1" si="56"/>
        <v>0.26383086121602939</v>
      </c>
      <c r="Y266">
        <f>'uniforme cercle (rejet)'!AJ270</f>
        <v>0</v>
      </c>
      <c r="Z266">
        <f t="shared" ca="1" si="57"/>
        <v>0.28320652728481477</v>
      </c>
      <c r="AA266">
        <f t="shared" ca="1" si="58"/>
        <v>0.43332970338851734</v>
      </c>
      <c r="AB266">
        <f t="shared" ca="1" si="59"/>
        <v>1</v>
      </c>
      <c r="AC266">
        <f t="shared" ca="1" si="60"/>
        <v>0.13668365062274165</v>
      </c>
      <c r="AD266">
        <f t="shared" ca="1" si="61"/>
        <v>0.26383086121602939</v>
      </c>
    </row>
    <row r="267" spans="1:30" x14ac:dyDescent="0.2">
      <c r="A267">
        <f t="shared" si="54"/>
        <v>262</v>
      </c>
      <c r="B267">
        <f t="shared" ca="1" si="62"/>
        <v>6.0543911536513395E-2</v>
      </c>
      <c r="C267">
        <f t="shared" ca="1" si="63"/>
        <v>3.2449585163551924</v>
      </c>
      <c r="D267">
        <f t="shared" ca="1" si="52"/>
        <v>-6.0220758658182341E-2</v>
      </c>
      <c r="E267">
        <f t="shared" ca="1" si="53"/>
        <v>-6.2470353588014805E-3</v>
      </c>
      <c r="V267">
        <v>262</v>
      </c>
      <c r="W267">
        <f t="shared" ca="1" si="55"/>
        <v>-6.0220758658182341E-2</v>
      </c>
      <c r="X267">
        <f t="shared" ca="1" si="56"/>
        <v>-6.2470353588014805E-3</v>
      </c>
      <c r="Y267">
        <f>'uniforme cercle (rejet)'!AJ271</f>
        <v>0</v>
      </c>
      <c r="Z267">
        <f t="shared" ca="1" si="57"/>
        <v>4.6999827879919902E-2</v>
      </c>
      <c r="AA267">
        <f t="shared" ca="1" si="58"/>
        <v>0.75507175767679513</v>
      </c>
      <c r="AB267">
        <f t="shared" ca="1" si="59"/>
        <v>0</v>
      </c>
      <c r="AC267" t="e">
        <f t="shared" ca="1" si="60"/>
        <v>#N/A</v>
      </c>
      <c r="AD267" t="e">
        <f t="shared" ca="1" si="61"/>
        <v>#N/A</v>
      </c>
    </row>
    <row r="268" spans="1:30" x14ac:dyDescent="0.2">
      <c r="A268">
        <f t="shared" si="54"/>
        <v>263</v>
      </c>
      <c r="B268">
        <f t="shared" ca="1" si="62"/>
        <v>0.20496485777450368</v>
      </c>
      <c r="C268">
        <f t="shared" ca="1" si="63"/>
        <v>4.2093720712934761</v>
      </c>
      <c r="D268">
        <f t="shared" ca="1" si="52"/>
        <v>-9.8807601571398757E-2</v>
      </c>
      <c r="E268">
        <f t="shared" ca="1" si="53"/>
        <v>-0.17957630911183756</v>
      </c>
      <c r="V268">
        <v>263</v>
      </c>
      <c r="W268">
        <f t="shared" ca="1" si="55"/>
        <v>-9.8807601571398757E-2</v>
      </c>
      <c r="X268">
        <f t="shared" ca="1" si="56"/>
        <v>-0.17957630911183756</v>
      </c>
      <c r="Y268">
        <f>'uniforme cercle (rejet)'!AJ272</f>
        <v>0</v>
      </c>
      <c r="Z268">
        <f t="shared" ca="1" si="57"/>
        <v>0.19684715101734657</v>
      </c>
      <c r="AA268">
        <f t="shared" ca="1" si="58"/>
        <v>0.9057563157967814</v>
      </c>
      <c r="AB268">
        <f t="shared" ca="1" si="59"/>
        <v>0</v>
      </c>
      <c r="AC268" t="e">
        <f t="shared" ca="1" si="60"/>
        <v>#N/A</v>
      </c>
      <c r="AD268" t="e">
        <f t="shared" ca="1" si="61"/>
        <v>#N/A</v>
      </c>
    </row>
    <row r="269" spans="1:30" x14ac:dyDescent="0.2">
      <c r="A269">
        <f t="shared" si="54"/>
        <v>264</v>
      </c>
      <c r="B269">
        <f t="shared" ca="1" si="62"/>
        <v>0.15012254922258128</v>
      </c>
      <c r="C269">
        <f t="shared" ca="1" si="63"/>
        <v>1.549234563421461</v>
      </c>
      <c r="D269">
        <f t="shared" ca="1" si="52"/>
        <v>3.2366560776488835E-3</v>
      </c>
      <c r="E269">
        <f t="shared" ca="1" si="53"/>
        <v>0.1500876538644047</v>
      </c>
      <c r="V269">
        <v>264</v>
      </c>
      <c r="W269">
        <f t="shared" ca="1" si="55"/>
        <v>3.2366560776488835E-3</v>
      </c>
      <c r="X269">
        <f t="shared" ca="1" si="56"/>
        <v>0.1500876538644047</v>
      </c>
      <c r="Y269">
        <f>'uniforme cercle (rejet)'!AJ273</f>
        <v>0</v>
      </c>
      <c r="Z269">
        <f t="shared" ca="1" si="57"/>
        <v>0.10841665928077408</v>
      </c>
      <c r="AA269">
        <f t="shared" ca="1" si="58"/>
        <v>0.6076285623989649</v>
      </c>
      <c r="AB269">
        <f t="shared" ca="1" si="59"/>
        <v>0</v>
      </c>
      <c r="AC269" t="e">
        <f t="shared" ca="1" si="60"/>
        <v>#N/A</v>
      </c>
      <c r="AD269" t="e">
        <f t="shared" ca="1" si="61"/>
        <v>#N/A</v>
      </c>
    </row>
    <row r="270" spans="1:30" x14ac:dyDescent="0.2">
      <c r="A270">
        <f t="shared" si="54"/>
        <v>265</v>
      </c>
      <c r="B270">
        <f t="shared" ca="1" si="62"/>
        <v>0.52632988401422076</v>
      </c>
      <c r="C270">
        <f t="shared" ca="1" si="63"/>
        <v>3.9670440926102875</v>
      </c>
      <c r="D270">
        <f t="shared" ref="D270:D333" ca="1" si="64">B270*COS(C270)</f>
        <v>-0.3569702397790317</v>
      </c>
      <c r="E270">
        <f t="shared" ref="E270:E333" ca="1" si="65">B270*SIN(C270)</f>
        <v>-0.38677563873455589</v>
      </c>
      <c r="V270">
        <v>265</v>
      </c>
      <c r="W270">
        <f t="shared" ca="1" si="55"/>
        <v>-0.3569702397790317</v>
      </c>
      <c r="X270">
        <f t="shared" ca="1" si="56"/>
        <v>-0.38677563873455589</v>
      </c>
      <c r="Y270">
        <f>'uniforme cercle (rejet)'!AJ274</f>
        <v>0</v>
      </c>
      <c r="Z270">
        <f t="shared" ca="1" si="57"/>
        <v>0.52590775417650382</v>
      </c>
      <c r="AA270">
        <f t="shared" ca="1" si="58"/>
        <v>1.2331946421064319</v>
      </c>
      <c r="AB270">
        <f t="shared" ca="1" si="59"/>
        <v>0</v>
      </c>
      <c r="AC270" t="e">
        <f t="shared" ca="1" si="60"/>
        <v>#N/A</v>
      </c>
      <c r="AD270" t="e">
        <f t="shared" ca="1" si="61"/>
        <v>#N/A</v>
      </c>
    </row>
    <row r="271" spans="1:30" x14ac:dyDescent="0.2">
      <c r="A271">
        <f t="shared" si="54"/>
        <v>266</v>
      </c>
      <c r="B271">
        <f t="shared" ca="1" si="62"/>
        <v>0.52896019808215733</v>
      </c>
      <c r="C271">
        <f t="shared" ca="1" si="63"/>
        <v>6.0161994214040009</v>
      </c>
      <c r="D271">
        <f t="shared" ca="1" si="64"/>
        <v>0.51021939020554707</v>
      </c>
      <c r="E271">
        <f t="shared" ca="1" si="65"/>
        <v>-0.13955309030399454</v>
      </c>
      <c r="V271">
        <v>266</v>
      </c>
      <c r="W271">
        <f t="shared" ca="1" si="55"/>
        <v>0.51021939020554707</v>
      </c>
      <c r="X271">
        <f t="shared" ca="1" si="56"/>
        <v>-0.13955309030399454</v>
      </c>
      <c r="Y271">
        <f>'uniforme cercle (rejet)'!AJ275</f>
        <v>0</v>
      </c>
      <c r="Z271">
        <f t="shared" ca="1" si="57"/>
        <v>0.26210065421771428</v>
      </c>
      <c r="AA271">
        <f t="shared" ca="1" si="58"/>
        <v>0.63963473268230409</v>
      </c>
      <c r="AB271">
        <f t="shared" ca="1" si="59"/>
        <v>0</v>
      </c>
      <c r="AC271" t="e">
        <f t="shared" ca="1" si="60"/>
        <v>#N/A</v>
      </c>
      <c r="AD271" t="e">
        <f t="shared" ca="1" si="61"/>
        <v>#N/A</v>
      </c>
    </row>
    <row r="272" spans="1:30" x14ac:dyDescent="0.2">
      <c r="A272">
        <f t="shared" si="54"/>
        <v>267</v>
      </c>
      <c r="B272">
        <f t="shared" ca="1" si="62"/>
        <v>0.98871943804381668</v>
      </c>
      <c r="C272">
        <f t="shared" ca="1" si="63"/>
        <v>1.2069531619175708</v>
      </c>
      <c r="D272">
        <f t="shared" ca="1" si="64"/>
        <v>0.35185403283715905</v>
      </c>
      <c r="E272">
        <f t="shared" ca="1" si="65"/>
        <v>0.92399397549005047</v>
      </c>
      <c r="V272">
        <v>267</v>
      </c>
      <c r="W272">
        <f t="shared" ca="1" si="55"/>
        <v>0.35185403283715905</v>
      </c>
      <c r="X272">
        <f t="shared" ca="1" si="56"/>
        <v>0.92399397549005047</v>
      </c>
      <c r="Y272">
        <f>'uniforme cercle (rejet)'!AJ276</f>
        <v>0</v>
      </c>
      <c r="Z272">
        <f t="shared" ca="1" si="57"/>
        <v>0.90216077845152065</v>
      </c>
      <c r="AA272">
        <f t="shared" ca="1" si="58"/>
        <v>0.44913040293267953</v>
      </c>
      <c r="AB272">
        <f t="shared" ca="1" si="59"/>
        <v>0</v>
      </c>
      <c r="AC272" t="e">
        <f t="shared" ca="1" si="60"/>
        <v>#N/A</v>
      </c>
      <c r="AD272" t="e">
        <f t="shared" ca="1" si="61"/>
        <v>#N/A</v>
      </c>
    </row>
    <row r="273" spans="1:30" x14ac:dyDescent="0.2">
      <c r="A273">
        <f t="shared" si="54"/>
        <v>268</v>
      </c>
      <c r="B273">
        <f t="shared" ca="1" si="62"/>
        <v>0.35820643530681529</v>
      </c>
      <c r="C273">
        <f t="shared" ca="1" si="63"/>
        <v>5.5209607523931847</v>
      </c>
      <c r="D273">
        <f t="shared" ca="1" si="64"/>
        <v>0.25909131466386748</v>
      </c>
      <c r="E273">
        <f t="shared" ca="1" si="65"/>
        <v>-0.24735306943914087</v>
      </c>
      <c r="V273">
        <v>268</v>
      </c>
      <c r="W273">
        <f t="shared" ca="1" si="55"/>
        <v>0.25909131466386748</v>
      </c>
      <c r="X273">
        <f t="shared" ca="1" si="56"/>
        <v>-0.24735306943914087</v>
      </c>
      <c r="Y273">
        <f>'uniforme cercle (rejet)'!AJ277</f>
        <v>0</v>
      </c>
      <c r="Z273">
        <f t="shared" ca="1" si="57"/>
        <v>8.3001927976347929E-3</v>
      </c>
      <c r="AA273">
        <f t="shared" ca="1" si="58"/>
        <v>0.78522201005224568</v>
      </c>
      <c r="AB273">
        <f t="shared" ca="1" si="59"/>
        <v>0</v>
      </c>
      <c r="AC273" t="e">
        <f t="shared" ca="1" si="60"/>
        <v>#N/A</v>
      </c>
      <c r="AD273" t="e">
        <f t="shared" ca="1" si="61"/>
        <v>#N/A</v>
      </c>
    </row>
    <row r="274" spans="1:30" x14ac:dyDescent="0.2">
      <c r="A274">
        <f t="shared" si="54"/>
        <v>269</v>
      </c>
      <c r="B274">
        <f t="shared" ca="1" si="62"/>
        <v>0.50624230381865643</v>
      </c>
      <c r="C274">
        <f t="shared" ca="1" si="63"/>
        <v>5.1776429358349798</v>
      </c>
      <c r="D274">
        <f t="shared" ca="1" si="64"/>
        <v>0.22712549714206665</v>
      </c>
      <c r="E274">
        <f t="shared" ca="1" si="65"/>
        <v>-0.45243262340771789</v>
      </c>
      <c r="V274">
        <v>269</v>
      </c>
      <c r="W274">
        <f t="shared" ca="1" si="55"/>
        <v>0.22712549714206665</v>
      </c>
      <c r="X274">
        <f t="shared" ca="1" si="56"/>
        <v>-0.45243262340771789</v>
      </c>
      <c r="Y274">
        <f>'uniforme cercle (rejet)'!AJ278</f>
        <v>0</v>
      </c>
      <c r="Z274">
        <f t="shared" ca="1" si="57"/>
        <v>0.15931619683209569</v>
      </c>
      <c r="AA274">
        <f t="shared" ca="1" si="58"/>
        <v>0.99075143019895351</v>
      </c>
      <c r="AB274">
        <f t="shared" ca="1" si="59"/>
        <v>0</v>
      </c>
      <c r="AC274" t="e">
        <f t="shared" ca="1" si="60"/>
        <v>#N/A</v>
      </c>
      <c r="AD274" t="e">
        <f t="shared" ca="1" si="61"/>
        <v>#N/A</v>
      </c>
    </row>
    <row r="275" spans="1:30" x14ac:dyDescent="0.2">
      <c r="A275">
        <f t="shared" si="54"/>
        <v>270</v>
      </c>
      <c r="B275">
        <f t="shared" ca="1" si="62"/>
        <v>0.96642001794150201</v>
      </c>
      <c r="C275">
        <f t="shared" ca="1" si="63"/>
        <v>0.74696141025826834</v>
      </c>
      <c r="D275">
        <f t="shared" ca="1" si="64"/>
        <v>0.70911717127841323</v>
      </c>
      <c r="E275">
        <f t="shared" ca="1" si="65"/>
        <v>0.6565976610346359</v>
      </c>
      <c r="V275">
        <v>270</v>
      </c>
      <c r="W275">
        <f t="shared" ca="1" si="55"/>
        <v>0.70911717127841323</v>
      </c>
      <c r="X275">
        <f t="shared" ca="1" si="56"/>
        <v>0.6565976610346359</v>
      </c>
      <c r="Y275">
        <f>'uniforme cercle (rejet)'!AJ279</f>
        <v>0</v>
      </c>
      <c r="Z275">
        <f t="shared" ca="1" si="57"/>
        <v>0.96570621909560583</v>
      </c>
      <c r="AA275">
        <f t="shared" ca="1" si="58"/>
        <v>0.26125240432387209</v>
      </c>
      <c r="AB275">
        <f t="shared" ca="1" si="59"/>
        <v>0</v>
      </c>
      <c r="AC275" t="e">
        <f t="shared" ca="1" si="60"/>
        <v>#N/A</v>
      </c>
      <c r="AD275" t="e">
        <f t="shared" ca="1" si="61"/>
        <v>#N/A</v>
      </c>
    </row>
    <row r="276" spans="1:30" x14ac:dyDescent="0.2">
      <c r="A276">
        <f t="shared" si="54"/>
        <v>271</v>
      </c>
      <c r="B276">
        <f t="shared" ca="1" si="62"/>
        <v>0.15678391013337134</v>
      </c>
      <c r="C276">
        <f t="shared" ca="1" si="63"/>
        <v>2.8447591987925627</v>
      </c>
      <c r="D276">
        <f t="shared" ca="1" si="64"/>
        <v>-0.1499273540323981</v>
      </c>
      <c r="E276">
        <f t="shared" ca="1" si="65"/>
        <v>4.5858292484053792E-2</v>
      </c>
      <c r="V276">
        <v>271</v>
      </c>
      <c r="W276">
        <f t="shared" ca="1" si="55"/>
        <v>-0.1499273540323981</v>
      </c>
      <c r="X276">
        <f t="shared" ca="1" si="56"/>
        <v>4.5858292484053792E-2</v>
      </c>
      <c r="Y276">
        <f>'uniforme cercle (rejet)'!AJ280</f>
        <v>0</v>
      </c>
      <c r="Z276">
        <f t="shared" ca="1" si="57"/>
        <v>7.3587939132554445E-2</v>
      </c>
      <c r="AA276">
        <f t="shared" ca="1" si="58"/>
        <v>0.792874678637837</v>
      </c>
      <c r="AB276">
        <f t="shared" ca="1" si="59"/>
        <v>0</v>
      </c>
      <c r="AC276" t="e">
        <f t="shared" ca="1" si="60"/>
        <v>#N/A</v>
      </c>
      <c r="AD276" t="e">
        <f t="shared" ca="1" si="61"/>
        <v>#N/A</v>
      </c>
    </row>
    <row r="277" spans="1:30" x14ac:dyDescent="0.2">
      <c r="A277">
        <f t="shared" si="54"/>
        <v>272</v>
      </c>
      <c r="B277">
        <f t="shared" ca="1" si="62"/>
        <v>0.10146354411831437</v>
      </c>
      <c r="C277">
        <f t="shared" ca="1" si="63"/>
        <v>0.75411848340856347</v>
      </c>
      <c r="D277">
        <f t="shared" ca="1" si="64"/>
        <v>7.3954276584192805E-2</v>
      </c>
      <c r="E277">
        <f t="shared" ca="1" si="65"/>
        <v>6.946665214300915E-2</v>
      </c>
      <c r="V277">
        <v>272</v>
      </c>
      <c r="W277">
        <f t="shared" ca="1" si="55"/>
        <v>7.3954276584192805E-2</v>
      </c>
      <c r="X277">
        <f t="shared" ca="1" si="56"/>
        <v>6.946665214300915E-2</v>
      </c>
      <c r="Y277">
        <f>'uniforme cercle (rejet)'!AJ281</f>
        <v>0</v>
      </c>
      <c r="Z277">
        <f t="shared" ca="1" si="57"/>
        <v>0.10141391126707702</v>
      </c>
      <c r="AA277">
        <f t="shared" ca="1" si="58"/>
        <v>0.60570118214995028</v>
      </c>
      <c r="AB277">
        <f t="shared" ca="1" si="59"/>
        <v>0</v>
      </c>
      <c r="AC277" t="e">
        <f t="shared" ca="1" si="60"/>
        <v>#N/A</v>
      </c>
      <c r="AD277" t="e">
        <f t="shared" ca="1" si="61"/>
        <v>#N/A</v>
      </c>
    </row>
    <row r="278" spans="1:30" x14ac:dyDescent="0.2">
      <c r="A278">
        <f t="shared" si="54"/>
        <v>273</v>
      </c>
      <c r="B278">
        <f t="shared" ca="1" si="62"/>
        <v>0.62649407472705487</v>
      </c>
      <c r="C278">
        <f t="shared" ca="1" si="63"/>
        <v>5.5764009221070721</v>
      </c>
      <c r="D278">
        <f t="shared" ca="1" si="64"/>
        <v>0.47641992384139642</v>
      </c>
      <c r="E278">
        <f t="shared" ca="1" si="65"/>
        <v>-0.40684011827137523</v>
      </c>
      <c r="V278">
        <v>273</v>
      </c>
      <c r="W278">
        <f t="shared" ca="1" si="55"/>
        <v>0.47641992384139642</v>
      </c>
      <c r="X278">
        <f t="shared" ca="1" si="56"/>
        <v>-0.40684011827137523</v>
      </c>
      <c r="Y278">
        <f>'uniforme cercle (rejet)'!AJ282</f>
        <v>0</v>
      </c>
      <c r="Z278">
        <f t="shared" ca="1" si="57"/>
        <v>4.9200352352203491E-2</v>
      </c>
      <c r="AA278">
        <f t="shared" ca="1" si="58"/>
        <v>0.90714663649163541</v>
      </c>
      <c r="AB278">
        <f t="shared" ca="1" si="59"/>
        <v>0</v>
      </c>
      <c r="AC278" t="e">
        <f t="shared" ca="1" si="60"/>
        <v>#N/A</v>
      </c>
      <c r="AD278" t="e">
        <f t="shared" ca="1" si="61"/>
        <v>#N/A</v>
      </c>
    </row>
    <row r="279" spans="1:30" x14ac:dyDescent="0.2">
      <c r="A279">
        <f t="shared" si="54"/>
        <v>274</v>
      </c>
      <c r="B279">
        <f t="shared" ca="1" si="62"/>
        <v>0.33172493755161181</v>
      </c>
      <c r="C279">
        <f t="shared" ca="1" si="63"/>
        <v>5.7865940747777946</v>
      </c>
      <c r="D279">
        <f t="shared" ca="1" si="64"/>
        <v>0.2916564497107037</v>
      </c>
      <c r="E279">
        <f t="shared" ca="1" si="65"/>
        <v>-0.15804413793547836</v>
      </c>
      <c r="V279">
        <v>274</v>
      </c>
      <c r="W279">
        <f t="shared" ca="1" si="55"/>
        <v>0.2916564497107037</v>
      </c>
      <c r="X279">
        <f t="shared" ca="1" si="56"/>
        <v>-0.15804413793547836</v>
      </c>
      <c r="Y279">
        <f>'uniforme cercle (rejet)'!AJ283</f>
        <v>0</v>
      </c>
      <c r="Z279">
        <f t="shared" ca="1" si="57"/>
        <v>9.447817170627304E-2</v>
      </c>
      <c r="AA279">
        <f t="shared" ca="1" si="58"/>
        <v>0.6902384533032011</v>
      </c>
      <c r="AB279">
        <f t="shared" ca="1" si="59"/>
        <v>0</v>
      </c>
      <c r="AC279" t="e">
        <f t="shared" ca="1" si="60"/>
        <v>#N/A</v>
      </c>
      <c r="AD279" t="e">
        <f t="shared" ca="1" si="61"/>
        <v>#N/A</v>
      </c>
    </row>
    <row r="280" spans="1:30" x14ac:dyDescent="0.2">
      <c r="A280">
        <f t="shared" si="54"/>
        <v>275</v>
      </c>
      <c r="B280">
        <f t="shared" ca="1" si="62"/>
        <v>0.64215090779380279</v>
      </c>
      <c r="C280">
        <f t="shared" ca="1" si="63"/>
        <v>3.9367288627020729</v>
      </c>
      <c r="D280">
        <f t="shared" ca="1" si="64"/>
        <v>-0.44962605468729866</v>
      </c>
      <c r="E280">
        <f t="shared" ca="1" si="65"/>
        <v>-0.45846940936854153</v>
      </c>
      <c r="V280">
        <v>275</v>
      </c>
      <c r="W280">
        <f t="shared" ca="1" si="55"/>
        <v>-0.44962605468729866</v>
      </c>
      <c r="X280">
        <f t="shared" ca="1" si="56"/>
        <v>-0.45846940936854153</v>
      </c>
      <c r="Y280">
        <f>'uniforme cercle (rejet)'!AJ284</f>
        <v>0</v>
      </c>
      <c r="Z280">
        <f t="shared" ca="1" si="57"/>
        <v>0.64212046059862937</v>
      </c>
      <c r="AA280">
        <f t="shared" ca="1" si="58"/>
        <v>1.3492417323949943</v>
      </c>
      <c r="AB280">
        <f t="shared" ca="1" si="59"/>
        <v>0</v>
      </c>
      <c r="AC280" t="e">
        <f t="shared" ca="1" si="60"/>
        <v>#N/A</v>
      </c>
      <c r="AD280" t="e">
        <f t="shared" ca="1" si="61"/>
        <v>#N/A</v>
      </c>
    </row>
    <row r="281" spans="1:30" x14ac:dyDescent="0.2">
      <c r="A281">
        <f t="shared" si="54"/>
        <v>276</v>
      </c>
      <c r="B281">
        <f t="shared" ca="1" si="62"/>
        <v>0.93536072500040934</v>
      </c>
      <c r="C281">
        <f t="shared" ca="1" si="63"/>
        <v>1.68476406908183</v>
      </c>
      <c r="D281">
        <f t="shared" ca="1" si="64"/>
        <v>-0.10637033286778576</v>
      </c>
      <c r="E281">
        <f t="shared" ca="1" si="65"/>
        <v>0.92929276235150349</v>
      </c>
      <c r="V281">
        <v>276</v>
      </c>
      <c r="W281">
        <f t="shared" ca="1" si="55"/>
        <v>-0.10637033286778576</v>
      </c>
      <c r="X281">
        <f t="shared" ca="1" si="56"/>
        <v>0.92929276235150349</v>
      </c>
      <c r="Y281">
        <f>'uniforme cercle (rejet)'!AJ285</f>
        <v>0</v>
      </c>
      <c r="Z281">
        <f t="shared" ca="1" si="57"/>
        <v>0.58189403027844522</v>
      </c>
      <c r="AA281">
        <f t="shared" ca="1" si="58"/>
        <v>0.74295171874730437</v>
      </c>
      <c r="AB281">
        <f t="shared" ca="1" si="59"/>
        <v>1</v>
      </c>
      <c r="AC281">
        <f t="shared" ca="1" si="60"/>
        <v>-0.10637033286778576</v>
      </c>
      <c r="AD281">
        <f t="shared" ca="1" si="61"/>
        <v>0.92929276235150349</v>
      </c>
    </row>
    <row r="282" spans="1:30" x14ac:dyDescent="0.2">
      <c r="A282">
        <f t="shared" si="54"/>
        <v>277</v>
      </c>
      <c r="B282">
        <f t="shared" ca="1" si="62"/>
        <v>0.73820822312378065</v>
      </c>
      <c r="C282">
        <f t="shared" ca="1" si="63"/>
        <v>0.82022210531866568</v>
      </c>
      <c r="D282">
        <f t="shared" ca="1" si="64"/>
        <v>0.50350141413788441</v>
      </c>
      <c r="E282">
        <f t="shared" ca="1" si="65"/>
        <v>0.53984970746377192</v>
      </c>
      <c r="V282">
        <v>277</v>
      </c>
      <c r="W282">
        <f t="shared" ca="1" si="55"/>
        <v>0.50350141413788441</v>
      </c>
      <c r="X282">
        <f t="shared" ca="1" si="56"/>
        <v>0.53984970746377192</v>
      </c>
      <c r="Y282">
        <f>'uniforme cercle (rejet)'!AJ286</f>
        <v>0</v>
      </c>
      <c r="Z282">
        <f t="shared" ca="1" si="57"/>
        <v>0.73776065324312134</v>
      </c>
      <c r="AA282">
        <f t="shared" ca="1" si="58"/>
        <v>4.0003238442820804E-2</v>
      </c>
      <c r="AB282">
        <f t="shared" ca="1" si="59"/>
        <v>0</v>
      </c>
      <c r="AC282" t="e">
        <f t="shared" ca="1" si="60"/>
        <v>#N/A</v>
      </c>
      <c r="AD282" t="e">
        <f t="shared" ca="1" si="61"/>
        <v>#N/A</v>
      </c>
    </row>
    <row r="283" spans="1:30" x14ac:dyDescent="0.2">
      <c r="A283">
        <f t="shared" si="54"/>
        <v>278</v>
      </c>
      <c r="B283">
        <f t="shared" ca="1" si="62"/>
        <v>0.4546790175488864</v>
      </c>
      <c r="C283">
        <f t="shared" ca="1" si="63"/>
        <v>2.2624561707293185</v>
      </c>
      <c r="D283">
        <f t="shared" ca="1" si="64"/>
        <v>-0.29000175813482854</v>
      </c>
      <c r="E283">
        <f t="shared" ca="1" si="65"/>
        <v>0.35018850534808954</v>
      </c>
      <c r="V283">
        <v>278</v>
      </c>
      <c r="W283">
        <f t="shared" ca="1" si="55"/>
        <v>-0.29000175813482854</v>
      </c>
      <c r="X283">
        <f t="shared" ca="1" si="56"/>
        <v>0.35018850534808954</v>
      </c>
      <c r="Y283">
        <f>'uniforme cercle (rejet)'!AJ287</f>
        <v>0</v>
      </c>
      <c r="Z283">
        <f t="shared" ca="1" si="57"/>
        <v>4.2558457092057404E-2</v>
      </c>
      <c r="AA283">
        <f t="shared" ca="1" si="58"/>
        <v>0.80408100449268138</v>
      </c>
      <c r="AB283">
        <f t="shared" ca="1" si="59"/>
        <v>0</v>
      </c>
      <c r="AC283" t="e">
        <f t="shared" ca="1" si="60"/>
        <v>#N/A</v>
      </c>
      <c r="AD283" t="e">
        <f t="shared" ca="1" si="61"/>
        <v>#N/A</v>
      </c>
    </row>
    <row r="284" spans="1:30" x14ac:dyDescent="0.2">
      <c r="A284">
        <f t="shared" si="54"/>
        <v>279</v>
      </c>
      <c r="B284">
        <f t="shared" ca="1" si="62"/>
        <v>0.82505243073819379</v>
      </c>
      <c r="C284">
        <f t="shared" ca="1" si="63"/>
        <v>1.648319565527286</v>
      </c>
      <c r="D284">
        <f t="shared" ca="1" si="64"/>
        <v>-6.3896690037512277E-2</v>
      </c>
      <c r="E284">
        <f t="shared" ca="1" si="65"/>
        <v>0.82257445041117838</v>
      </c>
      <c r="V284">
        <v>279</v>
      </c>
      <c r="W284">
        <f t="shared" ca="1" si="55"/>
        <v>-6.3896690037512277E-2</v>
      </c>
      <c r="X284">
        <f t="shared" ca="1" si="56"/>
        <v>0.82257445041117838</v>
      </c>
      <c r="Y284">
        <f>'uniforme cercle (rejet)'!AJ288</f>
        <v>0</v>
      </c>
      <c r="Z284">
        <f t="shared" ca="1" si="57"/>
        <v>0.53646618909564181</v>
      </c>
      <c r="AA284">
        <f t="shared" ca="1" si="58"/>
        <v>0.64964124953187508</v>
      </c>
      <c r="AB284">
        <f t="shared" ca="1" si="59"/>
        <v>1</v>
      </c>
      <c r="AC284">
        <f t="shared" ca="1" si="60"/>
        <v>-6.3896690037512277E-2</v>
      </c>
      <c r="AD284">
        <f t="shared" ca="1" si="61"/>
        <v>0.82257445041117838</v>
      </c>
    </row>
    <row r="285" spans="1:30" x14ac:dyDescent="0.2">
      <c r="A285">
        <f t="shared" si="54"/>
        <v>280</v>
      </c>
      <c r="B285">
        <f t="shared" ca="1" si="62"/>
        <v>0.21747955853277734</v>
      </c>
      <c r="C285">
        <f t="shared" ca="1" si="63"/>
        <v>2.2306458956275561</v>
      </c>
      <c r="D285">
        <f t="shared" ca="1" si="64"/>
        <v>-0.133314535635671</v>
      </c>
      <c r="E285">
        <f t="shared" ca="1" si="65"/>
        <v>0.1718272183556992</v>
      </c>
      <c r="V285">
        <v>280</v>
      </c>
      <c r="W285">
        <f t="shared" ca="1" si="55"/>
        <v>-0.133314535635671</v>
      </c>
      <c r="X285">
        <f t="shared" ca="1" si="56"/>
        <v>0.1718272183556992</v>
      </c>
      <c r="Y285">
        <f>'uniforme cercle (rejet)'!AJ289</f>
        <v>0</v>
      </c>
      <c r="Z285">
        <f t="shared" ca="1" si="57"/>
        <v>2.7232579113017911E-2</v>
      </c>
      <c r="AA285">
        <f t="shared" ca="1" si="58"/>
        <v>0.7132914380949652</v>
      </c>
      <c r="AB285">
        <f t="shared" ca="1" si="59"/>
        <v>0</v>
      </c>
      <c r="AC285" t="e">
        <f t="shared" ca="1" si="60"/>
        <v>#N/A</v>
      </c>
      <c r="AD285" t="e">
        <f t="shared" ca="1" si="61"/>
        <v>#N/A</v>
      </c>
    </row>
    <row r="286" spans="1:30" x14ac:dyDescent="0.2">
      <c r="A286">
        <f t="shared" ref="A286:A349" si="66">1+A285</f>
        <v>281</v>
      </c>
      <c r="B286">
        <f t="shared" ca="1" si="62"/>
        <v>0.45259055976892304</v>
      </c>
      <c r="C286">
        <f t="shared" ca="1" si="63"/>
        <v>1.5732605146298138</v>
      </c>
      <c r="D286">
        <f t="shared" ca="1" si="64"/>
        <v>-1.1152670228886839E-3</v>
      </c>
      <c r="E286">
        <f t="shared" ca="1" si="65"/>
        <v>0.4525891856545125</v>
      </c>
      <c r="V286">
        <v>281</v>
      </c>
      <c r="W286">
        <f t="shared" ca="1" si="55"/>
        <v>-1.1152670228886839E-3</v>
      </c>
      <c r="X286">
        <f t="shared" ca="1" si="56"/>
        <v>0.4525891856545125</v>
      </c>
      <c r="Y286">
        <f>'uniforme cercle (rejet)'!AJ290</f>
        <v>0</v>
      </c>
      <c r="Z286">
        <f t="shared" ca="1" si="57"/>
        <v>0.31924026939328476</v>
      </c>
      <c r="AA286">
        <f t="shared" ca="1" si="58"/>
        <v>0.50335305319459744</v>
      </c>
      <c r="AB286">
        <f t="shared" ca="1" si="59"/>
        <v>1</v>
      </c>
      <c r="AC286">
        <f t="shared" ca="1" si="60"/>
        <v>-1.1152670228886839E-3</v>
      </c>
      <c r="AD286">
        <f t="shared" ca="1" si="61"/>
        <v>0.4525891856545125</v>
      </c>
    </row>
    <row r="287" spans="1:30" x14ac:dyDescent="0.2">
      <c r="A287">
        <f t="shared" si="66"/>
        <v>282</v>
      </c>
      <c r="B287">
        <f t="shared" ca="1" si="62"/>
        <v>0.52833380529302076</v>
      </c>
      <c r="C287">
        <f t="shared" ca="1" si="63"/>
        <v>0.91520916077814685</v>
      </c>
      <c r="D287">
        <f t="shared" ca="1" si="64"/>
        <v>0.32208538461962205</v>
      </c>
      <c r="E287">
        <f t="shared" ca="1" si="65"/>
        <v>0.41880498424664642</v>
      </c>
      <c r="V287">
        <v>282</v>
      </c>
      <c r="W287">
        <f t="shared" ca="1" si="55"/>
        <v>0.32208538461962205</v>
      </c>
      <c r="X287">
        <f t="shared" ca="1" si="56"/>
        <v>0.41880498424664642</v>
      </c>
      <c r="Y287">
        <f>'uniforme cercle (rejet)'!AJ291</f>
        <v>0</v>
      </c>
      <c r="Z287">
        <f t="shared" ca="1" si="57"/>
        <v>0.52388860394114101</v>
      </c>
      <c r="AA287">
        <f t="shared" ca="1" si="58"/>
        <v>0.19556646171860642</v>
      </c>
      <c r="AB287">
        <f t="shared" ca="1" si="59"/>
        <v>1</v>
      </c>
      <c r="AC287">
        <f t="shared" ca="1" si="60"/>
        <v>0.32208538461962205</v>
      </c>
      <c r="AD287">
        <f t="shared" ca="1" si="61"/>
        <v>0.41880498424664642</v>
      </c>
    </row>
    <row r="288" spans="1:30" x14ac:dyDescent="0.2">
      <c r="A288">
        <f t="shared" si="66"/>
        <v>283</v>
      </c>
      <c r="B288">
        <f t="shared" ca="1" si="62"/>
        <v>0.97955252080394584</v>
      </c>
      <c r="C288">
        <f t="shared" ca="1" si="63"/>
        <v>4.56446425161222</v>
      </c>
      <c r="D288">
        <f t="shared" ca="1" si="64"/>
        <v>-0.14437217500295144</v>
      </c>
      <c r="E288">
        <f t="shared" ca="1" si="65"/>
        <v>-0.96885489940355973</v>
      </c>
      <c r="V288">
        <v>283</v>
      </c>
      <c r="W288">
        <f t="shared" ca="1" si="55"/>
        <v>-0.14437217500295144</v>
      </c>
      <c r="X288">
        <f t="shared" ca="1" si="56"/>
        <v>-0.96885489940355973</v>
      </c>
      <c r="Y288">
        <f>'uniforme cercle (rejet)'!AJ292</f>
        <v>0</v>
      </c>
      <c r="Z288">
        <f t="shared" ca="1" si="57"/>
        <v>0.78717041331330539</v>
      </c>
      <c r="AA288">
        <f t="shared" ca="1" si="58"/>
        <v>1.6039794934536651</v>
      </c>
      <c r="AB288">
        <f t="shared" ca="1" si="59"/>
        <v>0</v>
      </c>
      <c r="AC288" t="e">
        <f t="shared" ca="1" si="60"/>
        <v>#N/A</v>
      </c>
      <c r="AD288" t="e">
        <f t="shared" ca="1" si="61"/>
        <v>#N/A</v>
      </c>
    </row>
    <row r="289" spans="1:30" x14ac:dyDescent="0.2">
      <c r="A289">
        <f t="shared" si="66"/>
        <v>284</v>
      </c>
      <c r="B289">
        <f t="shared" ca="1" si="62"/>
        <v>0.83160557600979779</v>
      </c>
      <c r="C289">
        <f t="shared" ca="1" si="63"/>
        <v>3.2725655259741102</v>
      </c>
      <c r="D289">
        <f t="shared" ca="1" si="64"/>
        <v>-0.82448312956268022</v>
      </c>
      <c r="E289">
        <f t="shared" ca="1" si="65"/>
        <v>-0.1086066439823839</v>
      </c>
      <c r="V289">
        <v>284</v>
      </c>
      <c r="W289">
        <f t="shared" ca="1" si="55"/>
        <v>-0.82448312956268022</v>
      </c>
      <c r="X289">
        <f t="shared" ca="1" si="56"/>
        <v>-0.1086066439823839</v>
      </c>
      <c r="Y289">
        <f>'uniforme cercle (rejet)'!AJ293</f>
        <v>0</v>
      </c>
      <c r="Z289">
        <f t="shared" ca="1" si="57"/>
        <v>0.65979410632953484</v>
      </c>
      <c r="AA289">
        <f t="shared" ca="1" si="58"/>
        <v>1.4576205293544859</v>
      </c>
      <c r="AB289">
        <f t="shared" ca="1" si="59"/>
        <v>0</v>
      </c>
      <c r="AC289" t="e">
        <f t="shared" ca="1" si="60"/>
        <v>#N/A</v>
      </c>
      <c r="AD289" t="e">
        <f t="shared" ca="1" si="61"/>
        <v>#N/A</v>
      </c>
    </row>
    <row r="290" spans="1:30" x14ac:dyDescent="0.2">
      <c r="A290">
        <f t="shared" si="66"/>
        <v>285</v>
      </c>
      <c r="B290">
        <f t="shared" ca="1" si="62"/>
        <v>0.34511505002856724</v>
      </c>
      <c r="C290">
        <f t="shared" ca="1" si="63"/>
        <v>0.87484192447899267</v>
      </c>
      <c r="D290">
        <f t="shared" ca="1" si="64"/>
        <v>0.22125953276259733</v>
      </c>
      <c r="E290">
        <f t="shared" ca="1" si="65"/>
        <v>0.26485584176660626</v>
      </c>
      <c r="V290">
        <v>285</v>
      </c>
      <c r="W290">
        <f t="shared" ca="1" si="55"/>
        <v>0.22125953276259733</v>
      </c>
      <c r="X290">
        <f t="shared" ca="1" si="56"/>
        <v>0.26485584176660626</v>
      </c>
      <c r="Y290">
        <f>'uniforme cercle (rejet)'!AJ294</f>
        <v>0</v>
      </c>
      <c r="Z290">
        <f t="shared" ca="1" si="57"/>
        <v>0.34373547776863816</v>
      </c>
      <c r="AA290">
        <f t="shared" ca="1" si="58"/>
        <v>0.36467660087674508</v>
      </c>
      <c r="AB290">
        <f t="shared" ca="1" si="59"/>
        <v>1</v>
      </c>
      <c r="AC290">
        <f t="shared" ca="1" si="60"/>
        <v>0.22125953276259733</v>
      </c>
      <c r="AD290">
        <f t="shared" ca="1" si="61"/>
        <v>0.26485584176660626</v>
      </c>
    </row>
    <row r="291" spans="1:30" x14ac:dyDescent="0.2">
      <c r="A291">
        <f t="shared" si="66"/>
        <v>286</v>
      </c>
      <c r="B291">
        <f t="shared" ca="1" si="62"/>
        <v>0.27514590255153304</v>
      </c>
      <c r="C291">
        <f t="shared" ca="1" si="63"/>
        <v>1.6299771852226372</v>
      </c>
      <c r="D291">
        <f t="shared" ca="1" si="64"/>
        <v>-1.627386729454261E-2</v>
      </c>
      <c r="E291">
        <f t="shared" ca="1" si="65"/>
        <v>0.27466421123651569</v>
      </c>
      <c r="V291">
        <v>286</v>
      </c>
      <c r="W291">
        <f t="shared" ca="1" si="55"/>
        <v>-1.627386729454261E-2</v>
      </c>
      <c r="X291">
        <f t="shared" ca="1" si="56"/>
        <v>0.27466421123651569</v>
      </c>
      <c r="Y291">
        <f>'uniforme cercle (rejet)'!AJ295</f>
        <v>0</v>
      </c>
      <c r="Z291">
        <f t="shared" ca="1" si="57"/>
        <v>0.18270956439449351</v>
      </c>
      <c r="AA291">
        <f t="shared" ca="1" si="58"/>
        <v>0.56330713092319773</v>
      </c>
      <c r="AB291">
        <f t="shared" ca="1" si="59"/>
        <v>0</v>
      </c>
      <c r="AC291" t="e">
        <f t="shared" ca="1" si="60"/>
        <v>#N/A</v>
      </c>
      <c r="AD291" t="e">
        <f t="shared" ca="1" si="61"/>
        <v>#N/A</v>
      </c>
    </row>
    <row r="292" spans="1:30" x14ac:dyDescent="0.2">
      <c r="A292">
        <f t="shared" si="66"/>
        <v>287</v>
      </c>
      <c r="B292">
        <f t="shared" ca="1" si="62"/>
        <v>0.88364273672988958</v>
      </c>
      <c r="C292">
        <f t="shared" ca="1" si="63"/>
        <v>1.932676171343402</v>
      </c>
      <c r="D292">
        <f t="shared" ca="1" si="64"/>
        <v>-0.31283864513537124</v>
      </c>
      <c r="E292">
        <f t="shared" ca="1" si="65"/>
        <v>0.82641180308932805</v>
      </c>
      <c r="V292">
        <v>287</v>
      </c>
      <c r="W292">
        <f t="shared" ca="1" si="55"/>
        <v>-0.31283864513537124</v>
      </c>
      <c r="X292">
        <f t="shared" ca="1" si="56"/>
        <v>0.82641180308932805</v>
      </c>
      <c r="Y292">
        <f>'uniforme cercle (rejet)'!AJ296</f>
        <v>0</v>
      </c>
      <c r="Z292">
        <f t="shared" ca="1" si="57"/>
        <v>0.36315106262463276</v>
      </c>
      <c r="AA292">
        <f t="shared" ca="1" si="58"/>
        <v>0.87592883741861838</v>
      </c>
      <c r="AB292">
        <f t="shared" ca="1" si="59"/>
        <v>0</v>
      </c>
      <c r="AC292" t="e">
        <f t="shared" ca="1" si="60"/>
        <v>#N/A</v>
      </c>
      <c r="AD292" t="e">
        <f t="shared" ca="1" si="61"/>
        <v>#N/A</v>
      </c>
    </row>
    <row r="293" spans="1:30" x14ac:dyDescent="0.2">
      <c r="A293">
        <f t="shared" si="66"/>
        <v>288</v>
      </c>
      <c r="B293">
        <f t="shared" ca="1" si="62"/>
        <v>0.33342765422654719</v>
      </c>
      <c r="C293">
        <f t="shared" ca="1" si="63"/>
        <v>5.4610922969662914</v>
      </c>
      <c r="D293">
        <f t="shared" ca="1" si="64"/>
        <v>0.22696067603928502</v>
      </c>
      <c r="E293">
        <f t="shared" ca="1" si="65"/>
        <v>-0.24425980458276109</v>
      </c>
      <c r="V293">
        <v>288</v>
      </c>
      <c r="W293">
        <f t="shared" ca="1" si="55"/>
        <v>0.22696067603928502</v>
      </c>
      <c r="X293">
        <f t="shared" ca="1" si="56"/>
        <v>-0.24425980458276109</v>
      </c>
      <c r="Y293">
        <f>'uniforme cercle (rejet)'!AJ297</f>
        <v>0</v>
      </c>
      <c r="Z293">
        <f t="shared" ca="1" si="57"/>
        <v>1.223233110170969E-2</v>
      </c>
      <c r="AA293">
        <f t="shared" ca="1" si="58"/>
        <v>0.7927629716040564</v>
      </c>
      <c r="AB293">
        <f t="shared" ca="1" si="59"/>
        <v>0</v>
      </c>
      <c r="AC293" t="e">
        <f t="shared" ca="1" si="60"/>
        <v>#N/A</v>
      </c>
      <c r="AD293" t="e">
        <f t="shared" ca="1" si="61"/>
        <v>#N/A</v>
      </c>
    </row>
    <row r="294" spans="1:30" x14ac:dyDescent="0.2">
      <c r="A294">
        <f t="shared" si="66"/>
        <v>289</v>
      </c>
      <c r="B294">
        <f t="shared" ca="1" si="62"/>
        <v>0.31628752500539437</v>
      </c>
      <c r="C294">
        <f t="shared" ca="1" si="63"/>
        <v>3.0569723811912484</v>
      </c>
      <c r="D294">
        <f t="shared" ca="1" si="64"/>
        <v>-0.31515579784327308</v>
      </c>
      <c r="E294">
        <f t="shared" ca="1" si="65"/>
        <v>2.6732406547259117E-2</v>
      </c>
      <c r="V294">
        <v>289</v>
      </c>
      <c r="W294">
        <f t="shared" ca="1" si="55"/>
        <v>-0.31515579784327308</v>
      </c>
      <c r="X294">
        <f t="shared" ca="1" si="56"/>
        <v>2.6732406547259117E-2</v>
      </c>
      <c r="Y294">
        <f>'uniforme cercle (rejet)'!AJ298</f>
        <v>0</v>
      </c>
      <c r="Z294">
        <f t="shared" ca="1" si="57"/>
        <v>0.20394613583823254</v>
      </c>
      <c r="AA294">
        <f t="shared" ca="1" si="58"/>
        <v>0.94258219258060028</v>
      </c>
      <c r="AB294">
        <f t="shared" ca="1" si="59"/>
        <v>0</v>
      </c>
      <c r="AC294" t="e">
        <f t="shared" ca="1" si="60"/>
        <v>#N/A</v>
      </c>
      <c r="AD294" t="e">
        <f t="shared" ca="1" si="61"/>
        <v>#N/A</v>
      </c>
    </row>
    <row r="295" spans="1:30" x14ac:dyDescent="0.2">
      <c r="A295">
        <f t="shared" si="66"/>
        <v>290</v>
      </c>
      <c r="B295">
        <f t="shared" ca="1" si="62"/>
        <v>0.3347965019174407</v>
      </c>
      <c r="C295">
        <f t="shared" ca="1" si="63"/>
        <v>1.3257412765739396</v>
      </c>
      <c r="D295">
        <f t="shared" ca="1" si="64"/>
        <v>8.1224889167854072E-2</v>
      </c>
      <c r="E295">
        <f t="shared" ca="1" si="65"/>
        <v>0.32479411182443674</v>
      </c>
      <c r="V295">
        <v>290</v>
      </c>
      <c r="W295">
        <f t="shared" ca="1" si="55"/>
        <v>8.1224889167854072E-2</v>
      </c>
      <c r="X295">
        <f t="shared" ca="1" si="56"/>
        <v>0.32479411182443674</v>
      </c>
      <c r="Y295">
        <f>'uniforme cercle (rejet)'!AJ299</f>
        <v>0</v>
      </c>
      <c r="Z295">
        <f t="shared" ca="1" si="57"/>
        <v>0.28709878889223645</v>
      </c>
      <c r="AA295">
        <f t="shared" ca="1" si="58"/>
        <v>0.45394900231618979</v>
      </c>
      <c r="AB295">
        <f t="shared" ca="1" si="59"/>
        <v>1</v>
      </c>
      <c r="AC295">
        <f t="shared" ca="1" si="60"/>
        <v>8.1224889167854072E-2</v>
      </c>
      <c r="AD295">
        <f t="shared" ca="1" si="61"/>
        <v>0.32479411182443674</v>
      </c>
    </row>
    <row r="296" spans="1:30" x14ac:dyDescent="0.2">
      <c r="A296">
        <f t="shared" si="66"/>
        <v>291</v>
      </c>
      <c r="B296">
        <f t="shared" ca="1" si="62"/>
        <v>0.75143160821511856</v>
      </c>
      <c r="C296">
        <f t="shared" ca="1" si="63"/>
        <v>5.4857091778028186</v>
      </c>
      <c r="D296">
        <f t="shared" ca="1" si="64"/>
        <v>0.52488625162063129</v>
      </c>
      <c r="E296">
        <f t="shared" ca="1" si="65"/>
        <v>-0.53772101008274054</v>
      </c>
      <c r="V296">
        <v>291</v>
      </c>
      <c r="W296">
        <f t="shared" ca="1" si="55"/>
        <v>0.52488625162063129</v>
      </c>
      <c r="X296">
        <f t="shared" ca="1" si="56"/>
        <v>-0.53772101008274054</v>
      </c>
      <c r="Y296">
        <f>'uniforme cercle (rejet)'!AJ300</f>
        <v>0</v>
      </c>
      <c r="Z296">
        <f t="shared" ca="1" si="57"/>
        <v>9.0755447434488681E-3</v>
      </c>
      <c r="AA296">
        <f t="shared" ca="1" si="58"/>
        <v>1.0380193737531438</v>
      </c>
      <c r="AB296">
        <f t="shared" ca="1" si="59"/>
        <v>0</v>
      </c>
      <c r="AC296" t="e">
        <f t="shared" ca="1" si="60"/>
        <v>#N/A</v>
      </c>
      <c r="AD296" t="e">
        <f t="shared" ca="1" si="61"/>
        <v>#N/A</v>
      </c>
    </row>
    <row r="297" spans="1:30" x14ac:dyDescent="0.2">
      <c r="A297">
        <f t="shared" si="66"/>
        <v>292</v>
      </c>
      <c r="B297">
        <f t="shared" ca="1" si="62"/>
        <v>0.89638245584371223</v>
      </c>
      <c r="C297">
        <f t="shared" ca="1" si="63"/>
        <v>2.6628090715313917</v>
      </c>
      <c r="D297">
        <f t="shared" ca="1" si="64"/>
        <v>-0.79558961163632058</v>
      </c>
      <c r="E297">
        <f t="shared" ca="1" si="65"/>
        <v>0.41296328771547391</v>
      </c>
      <c r="V297">
        <v>292</v>
      </c>
      <c r="W297">
        <f t="shared" ca="1" si="55"/>
        <v>-0.79558961163632058</v>
      </c>
      <c r="X297">
        <f t="shared" ca="1" si="56"/>
        <v>0.41296328771547391</v>
      </c>
      <c r="Y297">
        <f>'uniforme cercle (rejet)'!AJ301</f>
        <v>0</v>
      </c>
      <c r="Z297">
        <f t="shared" ca="1" si="57"/>
        <v>0.27055766830491118</v>
      </c>
      <c r="AA297">
        <f t="shared" ca="1" si="58"/>
        <v>1.2985098501995476</v>
      </c>
      <c r="AB297">
        <f t="shared" ca="1" si="59"/>
        <v>0</v>
      </c>
      <c r="AC297" t="e">
        <f t="shared" ca="1" si="60"/>
        <v>#N/A</v>
      </c>
      <c r="AD297" t="e">
        <f t="shared" ca="1" si="61"/>
        <v>#N/A</v>
      </c>
    </row>
    <row r="298" spans="1:30" x14ac:dyDescent="0.2">
      <c r="A298">
        <f t="shared" si="66"/>
        <v>293</v>
      </c>
      <c r="B298">
        <f t="shared" ca="1" si="62"/>
        <v>0.60181097086959623</v>
      </c>
      <c r="C298">
        <f t="shared" ca="1" si="63"/>
        <v>0.84930689158633954</v>
      </c>
      <c r="D298">
        <f t="shared" ca="1" si="64"/>
        <v>0.39749837662222437</v>
      </c>
      <c r="E298">
        <f t="shared" ca="1" si="65"/>
        <v>0.45185338910060446</v>
      </c>
      <c r="V298">
        <v>293</v>
      </c>
      <c r="W298">
        <f t="shared" ca="1" si="55"/>
        <v>0.39749837662222437</v>
      </c>
      <c r="X298">
        <f t="shared" ca="1" si="56"/>
        <v>0.45185338910060446</v>
      </c>
      <c r="Y298">
        <f>'uniforme cercle (rejet)'!AJ302</f>
        <v>0</v>
      </c>
      <c r="Z298">
        <f t="shared" ca="1" si="57"/>
        <v>0.6005823931553802</v>
      </c>
      <c r="AA298">
        <f t="shared" ca="1" si="58"/>
        <v>0.11324609898878263</v>
      </c>
      <c r="AB298">
        <f t="shared" ca="1" si="59"/>
        <v>0</v>
      </c>
      <c r="AC298" t="e">
        <f t="shared" ca="1" si="60"/>
        <v>#N/A</v>
      </c>
      <c r="AD298" t="e">
        <f t="shared" ca="1" si="61"/>
        <v>#N/A</v>
      </c>
    </row>
    <row r="299" spans="1:30" x14ac:dyDescent="0.2">
      <c r="A299">
        <f t="shared" si="66"/>
        <v>294</v>
      </c>
      <c r="B299">
        <f t="shared" ca="1" si="62"/>
        <v>0.48518359568125147</v>
      </c>
      <c r="C299">
        <f t="shared" ca="1" si="63"/>
        <v>2.1813236640391254</v>
      </c>
      <c r="D299">
        <f t="shared" ca="1" si="64"/>
        <v>-0.27815556683969761</v>
      </c>
      <c r="E299">
        <f t="shared" ca="1" si="65"/>
        <v>0.39753314598191003</v>
      </c>
      <c r="V299">
        <v>294</v>
      </c>
      <c r="W299">
        <f t="shared" ca="1" si="55"/>
        <v>-0.27815556683969761</v>
      </c>
      <c r="X299">
        <f t="shared" ca="1" si="56"/>
        <v>0.39753314598191003</v>
      </c>
      <c r="Y299">
        <f>'uniforme cercle (rejet)'!AJ303</f>
        <v>0</v>
      </c>
      <c r="Z299">
        <f t="shared" ca="1" si="57"/>
        <v>8.4412695733092166E-2</v>
      </c>
      <c r="AA299">
        <f t="shared" ca="1" si="58"/>
        <v>0.7848729466454909</v>
      </c>
      <c r="AB299">
        <f t="shared" ca="1" si="59"/>
        <v>0</v>
      </c>
      <c r="AC299" t="e">
        <f t="shared" ca="1" si="60"/>
        <v>#N/A</v>
      </c>
      <c r="AD299" t="e">
        <f t="shared" ca="1" si="61"/>
        <v>#N/A</v>
      </c>
    </row>
    <row r="300" spans="1:30" x14ac:dyDescent="0.2">
      <c r="A300">
        <f t="shared" si="66"/>
        <v>295</v>
      </c>
      <c r="B300">
        <f t="shared" ca="1" si="62"/>
        <v>0.2404532065690187</v>
      </c>
      <c r="C300">
        <f t="shared" ca="1" si="63"/>
        <v>0.73108560437391945</v>
      </c>
      <c r="D300">
        <f t="shared" ca="1" si="64"/>
        <v>0.17900539126220708</v>
      </c>
      <c r="E300">
        <f t="shared" ca="1" si="65"/>
        <v>0.16054536570199507</v>
      </c>
      <c r="V300">
        <v>295</v>
      </c>
      <c r="W300">
        <f t="shared" ca="1" si="55"/>
        <v>0.17900539126220708</v>
      </c>
      <c r="X300">
        <f t="shared" ca="1" si="56"/>
        <v>0.16054536570199507</v>
      </c>
      <c r="Y300">
        <f>'uniforme cercle (rejet)'!AJ304</f>
        <v>0</v>
      </c>
      <c r="Z300">
        <f t="shared" ca="1" si="57"/>
        <v>0.24009864280641266</v>
      </c>
      <c r="AA300">
        <f t="shared" ca="1" si="58"/>
        <v>0.46719052600103206</v>
      </c>
      <c r="AB300">
        <f t="shared" ca="1" si="59"/>
        <v>1</v>
      </c>
      <c r="AC300">
        <f t="shared" ca="1" si="60"/>
        <v>0.17900539126220708</v>
      </c>
      <c r="AD300">
        <f t="shared" ca="1" si="61"/>
        <v>0.16054536570199507</v>
      </c>
    </row>
    <row r="301" spans="1:30" x14ac:dyDescent="0.2">
      <c r="A301">
        <f t="shared" si="66"/>
        <v>296</v>
      </c>
      <c r="B301">
        <f t="shared" ca="1" si="62"/>
        <v>0.52368403842742939</v>
      </c>
      <c r="C301">
        <f t="shared" ca="1" si="63"/>
        <v>5.0942449072075275</v>
      </c>
      <c r="D301">
        <f t="shared" ca="1" si="64"/>
        <v>0.19514738134377912</v>
      </c>
      <c r="E301">
        <f t="shared" ca="1" si="65"/>
        <v>-0.48596550459711335</v>
      </c>
      <c r="V301">
        <v>296</v>
      </c>
      <c r="W301">
        <f t="shared" ca="1" si="55"/>
        <v>0.19514738134377912</v>
      </c>
      <c r="X301">
        <f t="shared" ca="1" si="56"/>
        <v>-0.48596550459711335</v>
      </c>
      <c r="Y301">
        <f>'uniforme cercle (rejet)'!AJ305</f>
        <v>0</v>
      </c>
      <c r="Z301">
        <f t="shared" ca="1" si="57"/>
        <v>0.20563946704437783</v>
      </c>
      <c r="AA301">
        <f t="shared" ca="1" si="58"/>
        <v>1.0320189413751066</v>
      </c>
      <c r="AB301">
        <f t="shared" ca="1" si="59"/>
        <v>0</v>
      </c>
      <c r="AC301" t="e">
        <f t="shared" ca="1" si="60"/>
        <v>#N/A</v>
      </c>
      <c r="AD301" t="e">
        <f t="shared" ca="1" si="61"/>
        <v>#N/A</v>
      </c>
    </row>
    <row r="302" spans="1:30" x14ac:dyDescent="0.2">
      <c r="A302">
        <f t="shared" si="66"/>
        <v>297</v>
      </c>
      <c r="B302">
        <f t="shared" ca="1" si="62"/>
        <v>0.30058738392227347</v>
      </c>
      <c r="C302">
        <f t="shared" ca="1" si="63"/>
        <v>1.7334227601350862</v>
      </c>
      <c r="D302">
        <f t="shared" ca="1" si="64"/>
        <v>-4.8668265883803623E-2</v>
      </c>
      <c r="E302">
        <f t="shared" ca="1" si="65"/>
        <v>0.2966212657061183</v>
      </c>
      <c r="V302">
        <v>297</v>
      </c>
      <c r="W302">
        <f t="shared" ca="1" si="55"/>
        <v>-4.8668265883803623E-2</v>
      </c>
      <c r="X302">
        <f t="shared" ca="1" si="56"/>
        <v>0.2966212657061183</v>
      </c>
      <c r="Y302">
        <f>'uniforme cercle (rejet)'!AJ306</f>
        <v>0</v>
      </c>
      <c r="Z302">
        <f t="shared" ca="1" si="57"/>
        <v>0.17532924758990553</v>
      </c>
      <c r="AA302">
        <f t="shared" ca="1" si="58"/>
        <v>0.58514936174529109</v>
      </c>
      <c r="AB302">
        <f t="shared" ca="1" si="59"/>
        <v>0</v>
      </c>
      <c r="AC302" t="e">
        <f t="shared" ca="1" si="60"/>
        <v>#N/A</v>
      </c>
      <c r="AD302" t="e">
        <f t="shared" ca="1" si="61"/>
        <v>#N/A</v>
      </c>
    </row>
    <row r="303" spans="1:30" x14ac:dyDescent="0.2">
      <c r="A303">
        <f t="shared" si="66"/>
        <v>298</v>
      </c>
      <c r="B303">
        <f t="shared" ca="1" si="62"/>
        <v>0.48838683854569154</v>
      </c>
      <c r="C303">
        <f t="shared" ca="1" si="63"/>
        <v>2.15512976635807</v>
      </c>
      <c r="D303">
        <f t="shared" ca="1" si="64"/>
        <v>-0.26941544460602396</v>
      </c>
      <c r="E303">
        <f t="shared" ca="1" si="65"/>
        <v>0.40735368204104133</v>
      </c>
      <c r="V303">
        <v>298</v>
      </c>
      <c r="W303">
        <f t="shared" ca="1" si="55"/>
        <v>-0.26941544460602396</v>
      </c>
      <c r="X303">
        <f t="shared" ca="1" si="56"/>
        <v>0.40735368204104133</v>
      </c>
      <c r="Y303">
        <f>'uniforme cercle (rejet)'!AJ307</f>
        <v>0</v>
      </c>
      <c r="Z303">
        <f t="shared" ca="1" si="57"/>
        <v>9.7537063075220864E-2</v>
      </c>
      <c r="AA303">
        <f t="shared" ca="1" si="58"/>
        <v>0.77497320381393697</v>
      </c>
      <c r="AB303">
        <f t="shared" ca="1" si="59"/>
        <v>0</v>
      </c>
      <c r="AC303" t="e">
        <f t="shared" ca="1" si="60"/>
        <v>#N/A</v>
      </c>
      <c r="AD303" t="e">
        <f t="shared" ca="1" si="61"/>
        <v>#N/A</v>
      </c>
    </row>
    <row r="304" spans="1:30" x14ac:dyDescent="0.2">
      <c r="A304">
        <f t="shared" si="66"/>
        <v>299</v>
      </c>
      <c r="B304">
        <f t="shared" ca="1" si="62"/>
        <v>0.96950782507945554</v>
      </c>
      <c r="C304">
        <f t="shared" ca="1" si="63"/>
        <v>0.63373590696396664</v>
      </c>
      <c r="D304">
        <f t="shared" ca="1" si="64"/>
        <v>0.78124965324600137</v>
      </c>
      <c r="E304">
        <f t="shared" ca="1" si="65"/>
        <v>0.5741031285346726</v>
      </c>
      <c r="V304">
        <v>299</v>
      </c>
      <c r="W304">
        <f t="shared" ca="1" si="55"/>
        <v>0.78124965324600137</v>
      </c>
      <c r="X304">
        <f t="shared" ca="1" si="56"/>
        <v>0.5741031285346726</v>
      </c>
      <c r="Y304">
        <f>'uniforme cercle (rejet)'!AJ308</f>
        <v>0</v>
      </c>
      <c r="Z304">
        <f t="shared" ca="1" si="57"/>
        <v>0.95837914289716553</v>
      </c>
      <c r="AA304">
        <f t="shared" ca="1" si="58"/>
        <v>0.29084814097673417</v>
      </c>
      <c r="AB304">
        <f t="shared" ca="1" si="59"/>
        <v>0</v>
      </c>
      <c r="AC304" t="e">
        <f t="shared" ca="1" si="60"/>
        <v>#N/A</v>
      </c>
      <c r="AD304" t="e">
        <f t="shared" ca="1" si="61"/>
        <v>#N/A</v>
      </c>
    </row>
    <row r="305" spans="1:30" x14ac:dyDescent="0.2">
      <c r="A305">
        <f t="shared" si="66"/>
        <v>300</v>
      </c>
      <c r="B305">
        <f t="shared" ca="1" si="62"/>
        <v>0.138772937616092</v>
      </c>
      <c r="C305">
        <f t="shared" ca="1" si="63"/>
        <v>2.5213155150361106</v>
      </c>
      <c r="D305">
        <f t="shared" ca="1" si="64"/>
        <v>-0.11292195373271928</v>
      </c>
      <c r="E305">
        <f t="shared" ca="1" si="65"/>
        <v>8.0663254210237303E-2</v>
      </c>
      <c r="V305">
        <v>300</v>
      </c>
      <c r="W305">
        <f t="shared" ca="1" si="55"/>
        <v>-0.11292195373271928</v>
      </c>
      <c r="X305">
        <f t="shared" ca="1" si="56"/>
        <v>8.0663254210237303E-2</v>
      </c>
      <c r="Y305">
        <f>'uniforme cercle (rejet)'!AJ309</f>
        <v>0</v>
      </c>
      <c r="Z305">
        <f t="shared" ca="1" si="57"/>
        <v>2.2810345184606246E-2</v>
      </c>
      <c r="AA305">
        <f t="shared" ca="1" si="58"/>
        <v>0.74264165499726831</v>
      </c>
      <c r="AB305">
        <f t="shared" ca="1" si="59"/>
        <v>0</v>
      </c>
      <c r="AC305" t="e">
        <f t="shared" ca="1" si="60"/>
        <v>#N/A</v>
      </c>
      <c r="AD305" t="e">
        <f t="shared" ca="1" si="61"/>
        <v>#N/A</v>
      </c>
    </row>
    <row r="306" spans="1:30" x14ac:dyDescent="0.2">
      <c r="A306">
        <f t="shared" si="66"/>
        <v>301</v>
      </c>
      <c r="B306">
        <f t="shared" ca="1" si="62"/>
        <v>0.87994305660010785</v>
      </c>
      <c r="C306">
        <f t="shared" ca="1" si="63"/>
        <v>2.4158714158044301</v>
      </c>
      <c r="D306">
        <f t="shared" ca="1" si="64"/>
        <v>-0.65821584025595392</v>
      </c>
      <c r="E306">
        <f t="shared" ca="1" si="65"/>
        <v>0.58399631034355792</v>
      </c>
      <c r="V306">
        <v>301</v>
      </c>
      <c r="W306">
        <f t="shared" ca="1" si="55"/>
        <v>-0.65821584025595392</v>
      </c>
      <c r="X306">
        <f t="shared" ca="1" si="56"/>
        <v>0.58399631034355792</v>
      </c>
      <c r="Y306">
        <f>'uniforme cercle (rejet)'!AJ310</f>
        <v>0</v>
      </c>
      <c r="Z306">
        <f t="shared" ca="1" si="57"/>
        <v>5.248113289753302E-2</v>
      </c>
      <c r="AA306">
        <f t="shared" ca="1" si="58"/>
        <v>1.1612576427180734</v>
      </c>
      <c r="AB306">
        <f t="shared" ca="1" si="59"/>
        <v>0</v>
      </c>
      <c r="AC306" t="e">
        <f t="shared" ca="1" si="60"/>
        <v>#N/A</v>
      </c>
      <c r="AD306" t="e">
        <f t="shared" ca="1" si="61"/>
        <v>#N/A</v>
      </c>
    </row>
    <row r="307" spans="1:30" x14ac:dyDescent="0.2">
      <c r="A307">
        <f t="shared" si="66"/>
        <v>302</v>
      </c>
      <c r="B307">
        <f t="shared" ca="1" si="62"/>
        <v>0.42189884365075003</v>
      </c>
      <c r="C307">
        <f t="shared" ca="1" si="63"/>
        <v>0.94304332605666719</v>
      </c>
      <c r="D307">
        <f t="shared" ca="1" si="64"/>
        <v>0.2477928500331093</v>
      </c>
      <c r="E307">
        <f t="shared" ca="1" si="65"/>
        <v>0.34146352330272267</v>
      </c>
      <c r="V307">
        <v>302</v>
      </c>
      <c r="W307">
        <f t="shared" ca="1" si="55"/>
        <v>0.2477928500331093</v>
      </c>
      <c r="X307">
        <f t="shared" ca="1" si="56"/>
        <v>0.34146352330272267</v>
      </c>
      <c r="Y307">
        <f>'uniforme cercle (rejet)'!AJ311</f>
        <v>0</v>
      </c>
      <c r="Z307">
        <f t="shared" ca="1" si="57"/>
        <v>0.41666717744315873</v>
      </c>
      <c r="AA307">
        <f t="shared" ca="1" si="58"/>
        <v>0.29789639295904213</v>
      </c>
      <c r="AB307">
        <f t="shared" ca="1" si="59"/>
        <v>1</v>
      </c>
      <c r="AC307">
        <f t="shared" ca="1" si="60"/>
        <v>0.2477928500331093</v>
      </c>
      <c r="AD307">
        <f t="shared" ca="1" si="61"/>
        <v>0.34146352330272267</v>
      </c>
    </row>
    <row r="308" spans="1:30" x14ac:dyDescent="0.2">
      <c r="A308">
        <f t="shared" si="66"/>
        <v>303</v>
      </c>
      <c r="B308">
        <f t="shared" ca="1" si="62"/>
        <v>4.6020636446009622E-2</v>
      </c>
      <c r="C308">
        <f t="shared" ca="1" si="63"/>
        <v>4.9490610073809869</v>
      </c>
      <c r="D308">
        <f t="shared" ca="1" si="64"/>
        <v>1.0790400158795186E-2</v>
      </c>
      <c r="E308">
        <f t="shared" ca="1" si="65"/>
        <v>-4.4737749645113602E-2</v>
      </c>
      <c r="V308">
        <v>303</v>
      </c>
      <c r="W308">
        <f t="shared" ca="1" si="55"/>
        <v>1.0790400158795186E-2</v>
      </c>
      <c r="X308">
        <f t="shared" ca="1" si="56"/>
        <v>-4.4737749645113602E-2</v>
      </c>
      <c r="Y308">
        <f>'uniforme cercle (rejet)'!AJ312</f>
        <v>0</v>
      </c>
      <c r="Z308">
        <f t="shared" ca="1" si="57"/>
        <v>2.4004401025085411E-2</v>
      </c>
      <c r="AA308">
        <f t="shared" ca="1" si="58"/>
        <v>0.73216476865881375</v>
      </c>
      <c r="AB308">
        <f t="shared" ca="1" si="59"/>
        <v>0</v>
      </c>
      <c r="AC308" t="e">
        <f t="shared" ca="1" si="60"/>
        <v>#N/A</v>
      </c>
      <c r="AD308" t="e">
        <f t="shared" ca="1" si="61"/>
        <v>#N/A</v>
      </c>
    </row>
    <row r="309" spans="1:30" x14ac:dyDescent="0.2">
      <c r="A309">
        <f t="shared" si="66"/>
        <v>304</v>
      </c>
      <c r="B309">
        <f t="shared" ca="1" si="62"/>
        <v>0.57321951304675778</v>
      </c>
      <c r="C309">
        <f t="shared" ca="1" si="63"/>
        <v>4.2061561072255378</v>
      </c>
      <c r="D309">
        <f t="shared" ca="1" si="64"/>
        <v>-0.27794614631359749</v>
      </c>
      <c r="E309">
        <f t="shared" ca="1" si="65"/>
        <v>-0.50132479480570513</v>
      </c>
      <c r="V309">
        <v>304</v>
      </c>
      <c r="W309">
        <f t="shared" ca="1" si="55"/>
        <v>-0.27794614631359749</v>
      </c>
      <c r="X309">
        <f t="shared" ca="1" si="56"/>
        <v>-0.50132479480570513</v>
      </c>
      <c r="Y309">
        <f>'uniforme cercle (rejet)'!AJ313</f>
        <v>0</v>
      </c>
      <c r="Z309">
        <f t="shared" ca="1" si="57"/>
        <v>0.55102776684708166</v>
      </c>
      <c r="AA309">
        <f t="shared" ca="1" si="58"/>
        <v>1.2680108640137373</v>
      </c>
      <c r="AB309">
        <f t="shared" ca="1" si="59"/>
        <v>0</v>
      </c>
      <c r="AC309" t="e">
        <f t="shared" ca="1" si="60"/>
        <v>#N/A</v>
      </c>
      <c r="AD309" t="e">
        <f t="shared" ca="1" si="61"/>
        <v>#N/A</v>
      </c>
    </row>
    <row r="310" spans="1:30" x14ac:dyDescent="0.2">
      <c r="A310">
        <f t="shared" si="66"/>
        <v>305</v>
      </c>
      <c r="B310">
        <f t="shared" ca="1" si="62"/>
        <v>0.43003474596708213</v>
      </c>
      <c r="C310">
        <f t="shared" ca="1" si="63"/>
        <v>4.911182835514837</v>
      </c>
      <c r="D310">
        <f t="shared" ca="1" si="64"/>
        <v>8.4926308127050182E-2</v>
      </c>
      <c r="E310">
        <f t="shared" ca="1" si="65"/>
        <v>-0.4215654218823956</v>
      </c>
      <c r="V310">
        <v>305</v>
      </c>
      <c r="W310">
        <f t="shared" ca="1" si="55"/>
        <v>8.4926308127050182E-2</v>
      </c>
      <c r="X310">
        <f t="shared" ca="1" si="56"/>
        <v>-0.4215654218823956</v>
      </c>
      <c r="Y310">
        <f>'uniforme cercle (rejet)'!AJ314</f>
        <v>0</v>
      </c>
      <c r="Z310">
        <f t="shared" ca="1" si="57"/>
        <v>0.23803980014903428</v>
      </c>
      <c r="AA310">
        <f t="shared" ca="1" si="58"/>
        <v>1.0107269643649162</v>
      </c>
      <c r="AB310">
        <f t="shared" ca="1" si="59"/>
        <v>0</v>
      </c>
      <c r="AC310" t="e">
        <f t="shared" ca="1" si="60"/>
        <v>#N/A</v>
      </c>
      <c r="AD310" t="e">
        <f t="shared" ca="1" si="61"/>
        <v>#N/A</v>
      </c>
    </row>
    <row r="311" spans="1:30" x14ac:dyDescent="0.2">
      <c r="A311">
        <f t="shared" si="66"/>
        <v>306</v>
      </c>
      <c r="B311">
        <f t="shared" ca="1" si="62"/>
        <v>0.99614254538737668</v>
      </c>
      <c r="C311">
        <f t="shared" ca="1" si="63"/>
        <v>0.55607688361640595</v>
      </c>
      <c r="D311">
        <f t="shared" ca="1" si="64"/>
        <v>0.84605622943230196</v>
      </c>
      <c r="E311">
        <f t="shared" ca="1" si="65"/>
        <v>0.52582204914746378</v>
      </c>
      <c r="V311">
        <v>306</v>
      </c>
      <c r="W311">
        <f t="shared" ca="1" si="55"/>
        <v>0.84605622943230196</v>
      </c>
      <c r="X311">
        <f t="shared" ca="1" si="56"/>
        <v>0.52582204914746378</v>
      </c>
      <c r="Y311">
        <f>'uniforme cercle (rejet)'!AJ315</f>
        <v>0</v>
      </c>
      <c r="Z311">
        <f t="shared" ca="1" si="57"/>
        <v>0.97006443374627982</v>
      </c>
      <c r="AA311">
        <f t="shared" ca="1" si="58"/>
        <v>0.34701828792021328</v>
      </c>
      <c r="AB311">
        <f t="shared" ca="1" si="59"/>
        <v>0</v>
      </c>
      <c r="AC311" t="e">
        <f t="shared" ca="1" si="60"/>
        <v>#N/A</v>
      </c>
      <c r="AD311" t="e">
        <f t="shared" ca="1" si="61"/>
        <v>#N/A</v>
      </c>
    </row>
    <row r="312" spans="1:30" x14ac:dyDescent="0.2">
      <c r="A312">
        <f t="shared" si="66"/>
        <v>307</v>
      </c>
      <c r="B312">
        <f t="shared" ca="1" si="62"/>
        <v>0.98095763427728822</v>
      </c>
      <c r="C312">
        <f t="shared" ca="1" si="63"/>
        <v>6.1492080217344718</v>
      </c>
      <c r="D312">
        <f t="shared" ca="1" si="64"/>
        <v>0.97216674362753119</v>
      </c>
      <c r="E312">
        <f t="shared" ca="1" si="65"/>
        <v>-0.13103321270401599</v>
      </c>
      <c r="V312">
        <v>307</v>
      </c>
      <c r="W312">
        <f t="shared" ca="1" si="55"/>
        <v>0.97216674362753119</v>
      </c>
      <c r="X312">
        <f t="shared" ca="1" si="56"/>
        <v>-0.13103321270401599</v>
      </c>
      <c r="Y312">
        <f>'uniforme cercle (rejet)'!AJ316</f>
        <v>0</v>
      </c>
      <c r="Z312">
        <f t="shared" ca="1" si="57"/>
        <v>0.59477122359940215</v>
      </c>
      <c r="AA312">
        <f t="shared" ca="1" si="58"/>
        <v>0.78812711495251753</v>
      </c>
      <c r="AB312">
        <f t="shared" ca="1" si="59"/>
        <v>1</v>
      </c>
      <c r="AC312">
        <f t="shared" ca="1" si="60"/>
        <v>0.97216674362753119</v>
      </c>
      <c r="AD312">
        <f t="shared" ca="1" si="61"/>
        <v>-0.13103321270401599</v>
      </c>
    </row>
    <row r="313" spans="1:30" x14ac:dyDescent="0.2">
      <c r="A313">
        <f t="shared" si="66"/>
        <v>308</v>
      </c>
      <c r="B313">
        <f t="shared" ca="1" si="62"/>
        <v>0.19512924107655383</v>
      </c>
      <c r="C313">
        <f t="shared" ca="1" si="63"/>
        <v>0.58783266686353408</v>
      </c>
      <c r="D313">
        <f t="shared" ca="1" si="64"/>
        <v>0.16237573377286721</v>
      </c>
      <c r="E313">
        <f t="shared" ca="1" si="65"/>
        <v>0.10821063628329154</v>
      </c>
      <c r="V313">
        <v>308</v>
      </c>
      <c r="W313">
        <f t="shared" ca="1" si="55"/>
        <v>0.16237573377286721</v>
      </c>
      <c r="X313">
        <f t="shared" ca="1" si="56"/>
        <v>0.10821063628329154</v>
      </c>
      <c r="Y313">
        <f>'uniforme cercle (rejet)'!AJ317</f>
        <v>0</v>
      </c>
      <c r="Z313">
        <f t="shared" ca="1" si="57"/>
        <v>0.19133345716336242</v>
      </c>
      <c r="AA313">
        <f t="shared" ca="1" si="58"/>
        <v>0.51719343641132287</v>
      </c>
      <c r="AB313">
        <f t="shared" ca="1" si="59"/>
        <v>1</v>
      </c>
      <c r="AC313">
        <f t="shared" ca="1" si="60"/>
        <v>0.16237573377286721</v>
      </c>
      <c r="AD313">
        <f t="shared" ca="1" si="61"/>
        <v>0.10821063628329154</v>
      </c>
    </row>
    <row r="314" spans="1:30" x14ac:dyDescent="0.2">
      <c r="A314">
        <f t="shared" si="66"/>
        <v>309</v>
      </c>
      <c r="B314">
        <f t="shared" ca="1" si="62"/>
        <v>8.9534714728380482E-2</v>
      </c>
      <c r="C314">
        <f t="shared" ca="1" si="63"/>
        <v>1.6964785712257355</v>
      </c>
      <c r="D314">
        <f t="shared" ca="1" si="64"/>
        <v>-1.1223322043318815E-2</v>
      </c>
      <c r="E314">
        <f t="shared" ca="1" si="65"/>
        <v>8.8828498714120047E-2</v>
      </c>
      <c r="V314">
        <v>309</v>
      </c>
      <c r="W314">
        <f t="shared" ca="1" si="55"/>
        <v>-1.1223322043318815E-2</v>
      </c>
      <c r="X314">
        <f t="shared" ca="1" si="56"/>
        <v>8.8828498714120047E-2</v>
      </c>
      <c r="Y314">
        <f>'uniforme cercle (rejet)'!AJ318</f>
        <v>0</v>
      </c>
      <c r="Z314">
        <f t="shared" ca="1" si="57"/>
        <v>5.4875146679103613E-2</v>
      </c>
      <c r="AA314">
        <f t="shared" ca="1" si="58"/>
        <v>0.65605738199542518</v>
      </c>
      <c r="AB314">
        <f t="shared" ca="1" si="59"/>
        <v>0</v>
      </c>
      <c r="AC314" t="e">
        <f t="shared" ca="1" si="60"/>
        <v>#N/A</v>
      </c>
      <c r="AD314" t="e">
        <f t="shared" ca="1" si="61"/>
        <v>#N/A</v>
      </c>
    </row>
    <row r="315" spans="1:30" x14ac:dyDescent="0.2">
      <c r="A315">
        <f t="shared" si="66"/>
        <v>310</v>
      </c>
      <c r="B315">
        <f t="shared" ca="1" si="62"/>
        <v>0.31289648615702792</v>
      </c>
      <c r="C315">
        <f t="shared" ca="1" si="63"/>
        <v>1.05927535314534</v>
      </c>
      <c r="D315">
        <f t="shared" ca="1" si="64"/>
        <v>0.1531641138210259</v>
      </c>
      <c r="E315">
        <f t="shared" ca="1" si="65"/>
        <v>0.27284604685946062</v>
      </c>
      <c r="V315">
        <v>310</v>
      </c>
      <c r="W315">
        <f t="shared" ca="1" si="55"/>
        <v>0.1531641138210259</v>
      </c>
      <c r="X315">
        <f t="shared" ca="1" si="56"/>
        <v>0.27284604685946062</v>
      </c>
      <c r="Y315">
        <f>'uniforme cercle (rejet)'!AJ319</f>
        <v>0</v>
      </c>
      <c r="Z315">
        <f t="shared" ca="1" si="57"/>
        <v>0.3012346734715427</v>
      </c>
      <c r="AA315">
        <f t="shared" ca="1" si="58"/>
        <v>0.41460107376721617</v>
      </c>
      <c r="AB315">
        <f t="shared" ca="1" si="59"/>
        <v>1</v>
      </c>
      <c r="AC315">
        <f t="shared" ca="1" si="60"/>
        <v>0.1531641138210259</v>
      </c>
      <c r="AD315">
        <f t="shared" ca="1" si="61"/>
        <v>0.27284604685946062</v>
      </c>
    </row>
    <row r="316" spans="1:30" x14ac:dyDescent="0.2">
      <c r="A316">
        <f t="shared" si="66"/>
        <v>311</v>
      </c>
      <c r="B316">
        <f t="shared" ca="1" si="62"/>
        <v>0.69633226899782763</v>
      </c>
      <c r="C316">
        <f t="shared" ca="1" si="63"/>
        <v>4.6638483376483366</v>
      </c>
      <c r="D316">
        <f t="shared" ca="1" si="64"/>
        <v>-3.3787144069357893E-2</v>
      </c>
      <c r="E316">
        <f t="shared" ca="1" si="65"/>
        <v>-0.69551208310373691</v>
      </c>
      <c r="V316">
        <v>311</v>
      </c>
      <c r="W316">
        <f t="shared" ca="1" si="55"/>
        <v>-3.3787144069357893E-2</v>
      </c>
      <c r="X316">
        <f t="shared" ca="1" si="56"/>
        <v>-0.69551208310373691</v>
      </c>
      <c r="Y316">
        <f>'uniforme cercle (rejet)'!AJ320</f>
        <v>0</v>
      </c>
      <c r="Z316">
        <f t="shared" ca="1" si="57"/>
        <v>0.51569242904820367</v>
      </c>
      <c r="AA316">
        <f t="shared" ca="1" si="58"/>
        <v>1.3092661517127668</v>
      </c>
      <c r="AB316">
        <f t="shared" ca="1" si="59"/>
        <v>0</v>
      </c>
      <c r="AC316" t="e">
        <f t="shared" ca="1" si="60"/>
        <v>#N/A</v>
      </c>
      <c r="AD316" t="e">
        <f t="shared" ca="1" si="61"/>
        <v>#N/A</v>
      </c>
    </row>
    <row r="317" spans="1:30" x14ac:dyDescent="0.2">
      <c r="A317">
        <f t="shared" si="66"/>
        <v>312</v>
      </c>
      <c r="B317">
        <f t="shared" ca="1" si="62"/>
        <v>0.37001603455408782</v>
      </c>
      <c r="C317">
        <f t="shared" ca="1" si="63"/>
        <v>0.75750912441844753</v>
      </c>
      <c r="D317">
        <f t="shared" ca="1" si="64"/>
        <v>0.26883506774852878</v>
      </c>
      <c r="E317">
        <f t="shared" ca="1" si="65"/>
        <v>0.25424313594623527</v>
      </c>
      <c r="V317">
        <v>312</v>
      </c>
      <c r="W317">
        <f t="shared" ca="1" si="55"/>
        <v>0.26883506774852878</v>
      </c>
      <c r="X317">
        <f t="shared" ca="1" si="56"/>
        <v>0.25424313594623527</v>
      </c>
      <c r="Y317">
        <f>'uniforme cercle (rejet)'!AJ321</f>
        <v>0</v>
      </c>
      <c r="Z317">
        <f t="shared" ca="1" si="57"/>
        <v>0.36987214492344594</v>
      </c>
      <c r="AA317">
        <f t="shared" ca="1" si="58"/>
        <v>0.33739244528051882</v>
      </c>
      <c r="AB317">
        <f t="shared" ca="1" si="59"/>
        <v>1</v>
      </c>
      <c r="AC317">
        <f t="shared" ca="1" si="60"/>
        <v>0.26883506774852878</v>
      </c>
      <c r="AD317">
        <f t="shared" ca="1" si="61"/>
        <v>0.25424313594623527</v>
      </c>
    </row>
    <row r="318" spans="1:30" x14ac:dyDescent="0.2">
      <c r="A318">
        <f t="shared" si="66"/>
        <v>313</v>
      </c>
      <c r="B318">
        <f t="shared" ca="1" si="62"/>
        <v>0.5167091322625107</v>
      </c>
      <c r="C318">
        <f t="shared" ca="1" si="63"/>
        <v>2.0618992110948913</v>
      </c>
      <c r="D318">
        <f t="shared" ca="1" si="64"/>
        <v>-0.2436793616707533</v>
      </c>
      <c r="E318">
        <f t="shared" ca="1" si="65"/>
        <v>0.45564097276168103</v>
      </c>
      <c r="V318">
        <v>313</v>
      </c>
      <c r="W318">
        <f t="shared" ca="1" si="55"/>
        <v>-0.2436793616707533</v>
      </c>
      <c r="X318">
        <f t="shared" ca="1" si="56"/>
        <v>0.45564097276168103</v>
      </c>
      <c r="Y318">
        <f>'uniforme cercle (rejet)'!AJ322</f>
        <v>0</v>
      </c>
      <c r="Z318">
        <f t="shared" ca="1" si="57"/>
        <v>0.14987949255362071</v>
      </c>
      <c r="AA318">
        <f t="shared" ca="1" si="58"/>
        <v>0.74500115185988069</v>
      </c>
      <c r="AB318">
        <f t="shared" ca="1" si="59"/>
        <v>0</v>
      </c>
      <c r="AC318" t="e">
        <f t="shared" ca="1" si="60"/>
        <v>#N/A</v>
      </c>
      <c r="AD318" t="e">
        <f t="shared" ca="1" si="61"/>
        <v>#N/A</v>
      </c>
    </row>
    <row r="319" spans="1:30" x14ac:dyDescent="0.2">
      <c r="A319">
        <f t="shared" si="66"/>
        <v>314</v>
      </c>
      <c r="B319">
        <f t="shared" ca="1" si="62"/>
        <v>0.53371995924853721</v>
      </c>
      <c r="C319">
        <f t="shared" ca="1" si="63"/>
        <v>5.5859375476802775</v>
      </c>
      <c r="D319">
        <f t="shared" ca="1" si="64"/>
        <v>0.40915630167863409</v>
      </c>
      <c r="E319">
        <f t="shared" ca="1" si="65"/>
        <v>-0.34270704062934398</v>
      </c>
      <c r="V319">
        <v>314</v>
      </c>
      <c r="W319">
        <f t="shared" ca="1" si="55"/>
        <v>0.40915630167863409</v>
      </c>
      <c r="X319">
        <f t="shared" ca="1" si="56"/>
        <v>-0.34270704062934398</v>
      </c>
      <c r="Y319">
        <f>'uniforme cercle (rejet)'!AJ323</f>
        <v>0</v>
      </c>
      <c r="Z319">
        <f t="shared" ca="1" si="57"/>
        <v>4.698672309278816E-2</v>
      </c>
      <c r="AA319">
        <f t="shared" ca="1" si="58"/>
        <v>0.84758936629182069</v>
      </c>
      <c r="AB319">
        <f t="shared" ca="1" si="59"/>
        <v>0</v>
      </c>
      <c r="AC319" t="e">
        <f t="shared" ca="1" si="60"/>
        <v>#N/A</v>
      </c>
      <c r="AD319" t="e">
        <f t="shared" ca="1" si="61"/>
        <v>#N/A</v>
      </c>
    </row>
    <row r="320" spans="1:30" x14ac:dyDescent="0.2">
      <c r="A320">
        <f t="shared" si="66"/>
        <v>315</v>
      </c>
      <c r="B320">
        <f t="shared" ca="1" si="62"/>
        <v>0.25586481511542958</v>
      </c>
      <c r="C320">
        <f t="shared" ca="1" si="63"/>
        <v>3.4273791585456865</v>
      </c>
      <c r="D320">
        <f t="shared" ca="1" si="64"/>
        <v>-0.24548699556204825</v>
      </c>
      <c r="E320">
        <f t="shared" ca="1" si="65"/>
        <v>-7.2131398322588164E-2</v>
      </c>
      <c r="V320">
        <v>315</v>
      </c>
      <c r="W320">
        <f t="shared" ca="1" si="55"/>
        <v>-0.24548699556204825</v>
      </c>
      <c r="X320">
        <f t="shared" ca="1" si="56"/>
        <v>-7.2131398322588164E-2</v>
      </c>
      <c r="Y320">
        <f>'uniforme cercle (rejet)'!AJ324</f>
        <v>0</v>
      </c>
      <c r="Z320">
        <f t="shared" ca="1" si="57"/>
        <v>0.22459012014540627</v>
      </c>
      <c r="AA320">
        <f t="shared" ca="1" si="58"/>
        <v>0.93972612898582819</v>
      </c>
      <c r="AB320">
        <f t="shared" ca="1" si="59"/>
        <v>0</v>
      </c>
      <c r="AC320" t="e">
        <f t="shared" ca="1" si="60"/>
        <v>#N/A</v>
      </c>
      <c r="AD320" t="e">
        <f t="shared" ca="1" si="61"/>
        <v>#N/A</v>
      </c>
    </row>
    <row r="321" spans="1:30" x14ac:dyDescent="0.2">
      <c r="A321">
        <f t="shared" si="66"/>
        <v>316</v>
      </c>
      <c r="B321">
        <f t="shared" ca="1" si="62"/>
        <v>0.50258326825993915</v>
      </c>
      <c r="C321">
        <f t="shared" ca="1" si="63"/>
        <v>0.67882380039491075</v>
      </c>
      <c r="D321">
        <f t="shared" ca="1" si="64"/>
        <v>0.39116647149469419</v>
      </c>
      <c r="E321">
        <f t="shared" ca="1" si="65"/>
        <v>0.3155609816077275</v>
      </c>
      <c r="V321">
        <v>316</v>
      </c>
      <c r="W321">
        <f t="shared" ca="1" si="55"/>
        <v>0.39116647149469419</v>
      </c>
      <c r="X321">
        <f t="shared" ca="1" si="56"/>
        <v>0.3155609816077275</v>
      </c>
      <c r="Y321">
        <f>'uniforme cercle (rejet)'!AJ325</f>
        <v>0</v>
      </c>
      <c r="Z321">
        <f t="shared" ca="1" si="57"/>
        <v>0.49973177453942008</v>
      </c>
      <c r="AA321">
        <f t="shared" ca="1" si="58"/>
        <v>0.2141552904609649</v>
      </c>
      <c r="AB321">
        <f t="shared" ca="1" si="59"/>
        <v>1</v>
      </c>
      <c r="AC321">
        <f t="shared" ca="1" si="60"/>
        <v>0.39116647149469419</v>
      </c>
      <c r="AD321">
        <f t="shared" ca="1" si="61"/>
        <v>0.3155609816077275</v>
      </c>
    </row>
    <row r="322" spans="1:30" x14ac:dyDescent="0.2">
      <c r="A322">
        <f t="shared" si="66"/>
        <v>317</v>
      </c>
      <c r="B322">
        <f t="shared" ca="1" si="62"/>
        <v>0.7625211141911401</v>
      </c>
      <c r="C322">
        <f t="shared" ca="1" si="63"/>
        <v>1.2491744749528875</v>
      </c>
      <c r="D322">
        <f t="shared" ca="1" si="64"/>
        <v>0.24103724420896067</v>
      </c>
      <c r="E322">
        <f t="shared" ca="1" si="65"/>
        <v>0.72342207354451638</v>
      </c>
      <c r="V322">
        <v>317</v>
      </c>
      <c r="W322">
        <f t="shared" ca="1" si="55"/>
        <v>0.24103724420896067</v>
      </c>
      <c r="X322">
        <f t="shared" ca="1" si="56"/>
        <v>0.72342207354451638</v>
      </c>
      <c r="Y322">
        <f>'uniforme cercle (rejet)'!AJ326</f>
        <v>0</v>
      </c>
      <c r="Z322">
        <f t="shared" ca="1" si="57"/>
        <v>0.68197572376203486</v>
      </c>
      <c r="AA322">
        <f t="shared" ca="1" si="58"/>
        <v>0.3420221218486032</v>
      </c>
      <c r="AB322">
        <f t="shared" ca="1" si="59"/>
        <v>1</v>
      </c>
      <c r="AC322">
        <f t="shared" ca="1" si="60"/>
        <v>0.24103724420896067</v>
      </c>
      <c r="AD322">
        <f t="shared" ca="1" si="61"/>
        <v>0.72342207354451638</v>
      </c>
    </row>
    <row r="323" spans="1:30" x14ac:dyDescent="0.2">
      <c r="A323">
        <f t="shared" si="66"/>
        <v>318</v>
      </c>
      <c r="B323">
        <f t="shared" ca="1" si="62"/>
        <v>0.5888693701505312</v>
      </c>
      <c r="C323">
        <f t="shared" ca="1" si="63"/>
        <v>5.6490421208497779</v>
      </c>
      <c r="D323">
        <f t="shared" ca="1" si="64"/>
        <v>0.47438117727448653</v>
      </c>
      <c r="E323">
        <f t="shared" ca="1" si="65"/>
        <v>-0.34889774110641003</v>
      </c>
      <c r="V323">
        <v>318</v>
      </c>
      <c r="W323">
        <f t="shared" ca="1" si="55"/>
        <v>0.47438117727448653</v>
      </c>
      <c r="X323">
        <f t="shared" ca="1" si="56"/>
        <v>-0.34889774110641003</v>
      </c>
      <c r="Y323">
        <f>'uniforme cercle (rejet)'!AJ327</f>
        <v>0</v>
      </c>
      <c r="Z323">
        <f t="shared" ca="1" si="57"/>
        <v>8.873018864103617E-2</v>
      </c>
      <c r="AA323">
        <f t="shared" ca="1" si="58"/>
        <v>0.84928422741353615</v>
      </c>
      <c r="AB323">
        <f t="shared" ca="1" si="59"/>
        <v>0</v>
      </c>
      <c r="AC323" t="e">
        <f t="shared" ca="1" si="60"/>
        <v>#N/A</v>
      </c>
      <c r="AD323" t="e">
        <f t="shared" ca="1" si="61"/>
        <v>#N/A</v>
      </c>
    </row>
    <row r="324" spans="1:30" x14ac:dyDescent="0.2">
      <c r="A324">
        <f t="shared" si="66"/>
        <v>319</v>
      </c>
      <c r="B324">
        <f t="shared" ca="1" si="62"/>
        <v>0.83973124763293305</v>
      </c>
      <c r="C324">
        <f t="shared" ca="1" si="63"/>
        <v>3.5109095575441902</v>
      </c>
      <c r="D324">
        <f t="shared" ca="1" si="64"/>
        <v>-0.78311165124587956</v>
      </c>
      <c r="E324">
        <f t="shared" ca="1" si="65"/>
        <v>-0.30312490813873122</v>
      </c>
      <c r="V324">
        <v>319</v>
      </c>
      <c r="W324">
        <f t="shared" ca="1" si="55"/>
        <v>-0.78311165124587956</v>
      </c>
      <c r="X324">
        <f t="shared" ca="1" si="56"/>
        <v>-0.30312490813873122</v>
      </c>
      <c r="Y324">
        <f>'uniforme cercle (rejet)'!AJ328</f>
        <v>0</v>
      </c>
      <c r="Z324">
        <f t="shared" ca="1" si="57"/>
        <v>0.76808523711360221</v>
      </c>
      <c r="AA324">
        <f t="shared" ca="1" si="58"/>
        <v>1.5137321849111134</v>
      </c>
      <c r="AB324">
        <f t="shared" ca="1" si="59"/>
        <v>0</v>
      </c>
      <c r="AC324" t="e">
        <f t="shared" ca="1" si="60"/>
        <v>#N/A</v>
      </c>
      <c r="AD324" t="e">
        <f t="shared" ca="1" si="61"/>
        <v>#N/A</v>
      </c>
    </row>
    <row r="325" spans="1:30" x14ac:dyDescent="0.2">
      <c r="A325">
        <f t="shared" si="66"/>
        <v>320</v>
      </c>
      <c r="B325">
        <f t="shared" ca="1" si="62"/>
        <v>0.26687011935288363</v>
      </c>
      <c r="C325">
        <f t="shared" ca="1" si="63"/>
        <v>0.62296172429569874</v>
      </c>
      <c r="D325">
        <f t="shared" ca="1" si="64"/>
        <v>0.21673964122051878</v>
      </c>
      <c r="E325">
        <f t="shared" ca="1" si="65"/>
        <v>0.15570352766402937</v>
      </c>
      <c r="V325">
        <v>320</v>
      </c>
      <c r="W325">
        <f t="shared" ca="1" si="55"/>
        <v>0.21673964122051878</v>
      </c>
      <c r="X325">
        <f t="shared" ca="1" si="56"/>
        <v>0.15570352766402937</v>
      </c>
      <c r="Y325">
        <f>'uniforme cercle (rejet)'!AJ329</f>
        <v>0</v>
      </c>
      <c r="Z325">
        <f t="shared" ca="1" si="57"/>
        <v>0.26335709032487054</v>
      </c>
      <c r="AA325">
        <f t="shared" ca="1" si="58"/>
        <v>0.44584357314968015</v>
      </c>
      <c r="AB325">
        <f t="shared" ca="1" si="59"/>
        <v>1</v>
      </c>
      <c r="AC325">
        <f t="shared" ca="1" si="60"/>
        <v>0.21673964122051878</v>
      </c>
      <c r="AD325">
        <f t="shared" ca="1" si="61"/>
        <v>0.15570352766402937</v>
      </c>
    </row>
    <row r="326" spans="1:30" x14ac:dyDescent="0.2">
      <c r="A326">
        <f t="shared" si="66"/>
        <v>321</v>
      </c>
      <c r="B326">
        <f t="shared" ca="1" si="62"/>
        <v>4.5942897609554612E-2</v>
      </c>
      <c r="C326">
        <f t="shared" ca="1" si="63"/>
        <v>3.7369815609073491</v>
      </c>
      <c r="D326">
        <f t="shared" ca="1" si="64"/>
        <v>-3.8037523904156649E-2</v>
      </c>
      <c r="E326">
        <f t="shared" ca="1" si="65"/>
        <v>-2.5766191336763961E-2</v>
      </c>
      <c r="V326">
        <v>321</v>
      </c>
      <c r="W326">
        <f t="shared" ca="1" si="55"/>
        <v>-3.8037523904156649E-2</v>
      </c>
      <c r="X326">
        <f t="shared" ca="1" si="56"/>
        <v>-2.5766191336763961E-2</v>
      </c>
      <c r="Y326">
        <f>'uniforme cercle (rejet)'!AJ330</f>
        <v>0</v>
      </c>
      <c r="Z326">
        <f t="shared" ca="1" si="57"/>
        <v>4.511603971175044E-2</v>
      </c>
      <c r="AA326">
        <f t="shared" ca="1" si="58"/>
        <v>0.75227286610755972</v>
      </c>
      <c r="AB326">
        <f t="shared" ca="1" si="59"/>
        <v>0</v>
      </c>
      <c r="AC326" t="e">
        <f t="shared" ca="1" si="60"/>
        <v>#N/A</v>
      </c>
      <c r="AD326" t="e">
        <f t="shared" ca="1" si="61"/>
        <v>#N/A</v>
      </c>
    </row>
    <row r="327" spans="1:30" x14ac:dyDescent="0.2">
      <c r="A327">
        <f t="shared" si="66"/>
        <v>322</v>
      </c>
      <c r="B327">
        <f t="shared" ca="1" si="62"/>
        <v>0.7445482832682212</v>
      </c>
      <c r="C327">
        <f t="shared" ca="1" si="63"/>
        <v>1.2707271426615765</v>
      </c>
      <c r="D327">
        <f t="shared" ca="1" si="64"/>
        <v>0.22007827228296639</v>
      </c>
      <c r="E327">
        <f t="shared" ca="1" si="65"/>
        <v>0.71127891869968973</v>
      </c>
      <c r="V327">
        <v>322</v>
      </c>
      <c r="W327">
        <f t="shared" ref="W327:W390" ca="1" si="67">D327</f>
        <v>0.22007827228296639</v>
      </c>
      <c r="X327">
        <f t="shared" ref="X327:X390" ca="1" si="68">E327</f>
        <v>0.71127891869968973</v>
      </c>
      <c r="Y327">
        <f>'uniforme cercle (rejet)'!AJ331</f>
        <v>0</v>
      </c>
      <c r="Z327">
        <f t="shared" ref="Z327:Z390" ca="1" si="69">(W327+X327)^2/SQRT(2*(W327+X327)^2)</f>
        <v>0.65856898545069065</v>
      </c>
      <c r="AA327">
        <f t="shared" ref="AA327:AA390" ca="1" si="70">SQRT((W327-0.5)^2+(X327-0.5)^2)</f>
        <v>0.35070636597444194</v>
      </c>
      <c r="AB327">
        <f t="shared" ref="AB327:AB390" ca="1" si="71">IF(ABS(AA327-Z327)&lt;SQRT(2)/2/2,1,0)</f>
        <v>1</v>
      </c>
      <c r="AC327">
        <f t="shared" ref="AC327:AC390" ca="1" si="72">IF($AB327=1,W327,NA())</f>
        <v>0.22007827228296639</v>
      </c>
      <c r="AD327">
        <f t="shared" ref="AD327:AD390" ca="1" si="73">IF($AB327=1,X327,NA())</f>
        <v>0.71127891869968973</v>
      </c>
    </row>
    <row r="328" spans="1:30" x14ac:dyDescent="0.2">
      <c r="A328">
        <f t="shared" si="66"/>
        <v>323</v>
      </c>
      <c r="B328">
        <f t="shared" ref="B328:B391" ca="1" si="74">RAND()</f>
        <v>0.86844031230447261</v>
      </c>
      <c r="C328">
        <f t="shared" ref="C328:C391" ca="1" si="75">RAND()*2*PI()</f>
        <v>2.4740997845965018</v>
      </c>
      <c r="D328">
        <f t="shared" ca="1" si="64"/>
        <v>-0.6820522603825786</v>
      </c>
      <c r="E328">
        <f t="shared" ca="1" si="65"/>
        <v>0.53758096147697154</v>
      </c>
      <c r="V328">
        <v>323</v>
      </c>
      <c r="W328">
        <f t="shared" ca="1" si="67"/>
        <v>-0.6820522603825786</v>
      </c>
      <c r="X328">
        <f t="shared" ca="1" si="68"/>
        <v>0.53758096147697154</v>
      </c>
      <c r="Y328">
        <f>'uniforme cercle (rejet)'!AJ332</f>
        <v>0</v>
      </c>
      <c r="Z328">
        <f t="shared" ca="1" si="69"/>
        <v>0.1021566351429834</v>
      </c>
      <c r="AA328">
        <f t="shared" ca="1" si="70"/>
        <v>1.1826495148356919</v>
      </c>
      <c r="AB328">
        <f t="shared" ca="1" si="71"/>
        <v>0</v>
      </c>
      <c r="AC328" t="e">
        <f t="shared" ca="1" si="72"/>
        <v>#N/A</v>
      </c>
      <c r="AD328" t="e">
        <f t="shared" ca="1" si="73"/>
        <v>#N/A</v>
      </c>
    </row>
    <row r="329" spans="1:30" x14ac:dyDescent="0.2">
      <c r="A329">
        <f t="shared" si="66"/>
        <v>324</v>
      </c>
      <c r="B329">
        <f t="shared" ca="1" si="74"/>
        <v>0.68786342174570347</v>
      </c>
      <c r="C329">
        <f t="shared" ca="1" si="75"/>
        <v>6.0993302973220906</v>
      </c>
      <c r="D329">
        <f t="shared" ca="1" si="64"/>
        <v>0.67627032519149022</v>
      </c>
      <c r="E329">
        <f t="shared" ca="1" si="65"/>
        <v>-0.12575585171714104</v>
      </c>
      <c r="V329">
        <v>324</v>
      </c>
      <c r="W329">
        <f t="shared" ca="1" si="67"/>
        <v>0.67627032519149022</v>
      </c>
      <c r="X329">
        <f t="shared" ca="1" si="68"/>
        <v>-0.12575585171714104</v>
      </c>
      <c r="Y329">
        <f>'uniforme cercle (rejet)'!AJ333</f>
        <v>0</v>
      </c>
      <c r="Z329">
        <f t="shared" ca="1" si="69"/>
        <v>0.38927251733505408</v>
      </c>
      <c r="AA329">
        <f t="shared" ca="1" si="70"/>
        <v>0.65010892433603651</v>
      </c>
      <c r="AB329">
        <f t="shared" ca="1" si="71"/>
        <v>1</v>
      </c>
      <c r="AC329">
        <f t="shared" ca="1" si="72"/>
        <v>0.67627032519149022</v>
      </c>
      <c r="AD329">
        <f t="shared" ca="1" si="73"/>
        <v>-0.12575585171714104</v>
      </c>
    </row>
    <row r="330" spans="1:30" x14ac:dyDescent="0.2">
      <c r="A330">
        <f t="shared" si="66"/>
        <v>325</v>
      </c>
      <c r="B330">
        <f t="shared" ca="1" si="74"/>
        <v>0.52091508379738538</v>
      </c>
      <c r="C330">
        <f t="shared" ca="1" si="75"/>
        <v>0.48264846097325309</v>
      </c>
      <c r="D330">
        <f t="shared" ca="1" si="64"/>
        <v>0.46141033349127503</v>
      </c>
      <c r="E330">
        <f t="shared" ca="1" si="65"/>
        <v>0.24177061168617536</v>
      </c>
      <c r="V330">
        <v>325</v>
      </c>
      <c r="W330">
        <f t="shared" ca="1" si="67"/>
        <v>0.46141033349127503</v>
      </c>
      <c r="X330">
        <f t="shared" ca="1" si="68"/>
        <v>0.24177061168617536</v>
      </c>
      <c r="Y330">
        <f>'uniforme cercle (rejet)'!AJ334</f>
        <v>0</v>
      </c>
      <c r="Z330">
        <f t="shared" ca="1" si="69"/>
        <v>0.49722401473614114</v>
      </c>
      <c r="AA330">
        <f t="shared" ca="1" si="70"/>
        <v>0.26109687732752884</v>
      </c>
      <c r="AB330">
        <f t="shared" ca="1" si="71"/>
        <v>1</v>
      </c>
      <c r="AC330">
        <f t="shared" ca="1" si="72"/>
        <v>0.46141033349127503</v>
      </c>
      <c r="AD330">
        <f t="shared" ca="1" si="73"/>
        <v>0.24177061168617536</v>
      </c>
    </row>
    <row r="331" spans="1:30" x14ac:dyDescent="0.2">
      <c r="A331">
        <f t="shared" si="66"/>
        <v>326</v>
      </c>
      <c r="B331">
        <f t="shared" ca="1" si="74"/>
        <v>0.12806735526964008</v>
      </c>
      <c r="C331">
        <f t="shared" ca="1" si="75"/>
        <v>6.0023927537880306</v>
      </c>
      <c r="D331">
        <f t="shared" ca="1" si="64"/>
        <v>0.12305173944093413</v>
      </c>
      <c r="E331">
        <f t="shared" ca="1" si="65"/>
        <v>-3.5489673234909681E-2</v>
      </c>
      <c r="V331">
        <v>326</v>
      </c>
      <c r="W331">
        <f t="shared" ca="1" si="67"/>
        <v>0.12305173944093413</v>
      </c>
      <c r="X331">
        <f t="shared" ca="1" si="68"/>
        <v>-3.5489673234909681E-2</v>
      </c>
      <c r="Y331">
        <f>'uniforme cercle (rejet)'!AJ335</f>
        <v>0</v>
      </c>
      <c r="Z331">
        <f t="shared" ca="1" si="69"/>
        <v>6.1915730788985317E-2</v>
      </c>
      <c r="AA331">
        <f t="shared" ca="1" si="70"/>
        <v>0.65485813828625183</v>
      </c>
      <c r="AB331">
        <f t="shared" ca="1" si="71"/>
        <v>0</v>
      </c>
      <c r="AC331" t="e">
        <f t="shared" ca="1" si="72"/>
        <v>#N/A</v>
      </c>
      <c r="AD331" t="e">
        <f t="shared" ca="1" si="73"/>
        <v>#N/A</v>
      </c>
    </row>
    <row r="332" spans="1:30" x14ac:dyDescent="0.2">
      <c r="A332">
        <f t="shared" si="66"/>
        <v>327</v>
      </c>
      <c r="B332">
        <f t="shared" ca="1" si="74"/>
        <v>0.70120488620602328</v>
      </c>
      <c r="C332">
        <f t="shared" ca="1" si="75"/>
        <v>5.9449195371007431</v>
      </c>
      <c r="D332">
        <f t="shared" ca="1" si="64"/>
        <v>0.66146872080937102</v>
      </c>
      <c r="E332">
        <f t="shared" ca="1" si="65"/>
        <v>-0.23269599014597681</v>
      </c>
      <c r="V332">
        <v>327</v>
      </c>
      <c r="W332">
        <f t="shared" ca="1" si="67"/>
        <v>0.66146872080937102</v>
      </c>
      <c r="X332">
        <f t="shared" ca="1" si="68"/>
        <v>-0.23269599014597681</v>
      </c>
      <c r="Y332">
        <f>'uniforme cercle (rejet)'!AJ336</f>
        <v>0</v>
      </c>
      <c r="Z332">
        <f t="shared" ca="1" si="69"/>
        <v>0.30318810543995917</v>
      </c>
      <c r="AA332">
        <f t="shared" ca="1" si="70"/>
        <v>0.75027699003488579</v>
      </c>
      <c r="AB332">
        <f t="shared" ca="1" si="71"/>
        <v>0</v>
      </c>
      <c r="AC332" t="e">
        <f t="shared" ca="1" si="72"/>
        <v>#N/A</v>
      </c>
      <c r="AD332" t="e">
        <f t="shared" ca="1" si="73"/>
        <v>#N/A</v>
      </c>
    </row>
    <row r="333" spans="1:30" x14ac:dyDescent="0.2">
      <c r="A333">
        <f t="shared" si="66"/>
        <v>328</v>
      </c>
      <c r="B333">
        <f t="shared" ca="1" si="74"/>
        <v>0.62166328917910174</v>
      </c>
      <c r="C333">
        <f t="shared" ca="1" si="75"/>
        <v>1.1224731358648712</v>
      </c>
      <c r="D333">
        <f t="shared" ca="1" si="64"/>
        <v>0.26946308926997492</v>
      </c>
      <c r="E333">
        <f t="shared" ca="1" si="65"/>
        <v>0.56022753291324501</v>
      </c>
      <c r="V333">
        <v>328</v>
      </c>
      <c r="W333">
        <f t="shared" ca="1" si="67"/>
        <v>0.26946308926997492</v>
      </c>
      <c r="X333">
        <f t="shared" ca="1" si="68"/>
        <v>0.56022753291324501</v>
      </c>
      <c r="Y333">
        <f>'uniforme cercle (rejet)'!AJ337</f>
        <v>0</v>
      </c>
      <c r="Z333">
        <f t="shared" ca="1" si="69"/>
        <v>0.58667986523264049</v>
      </c>
      <c r="AA333">
        <f t="shared" ca="1" si="70"/>
        <v>0.2382742598976221</v>
      </c>
      <c r="AB333">
        <f t="shared" ca="1" si="71"/>
        <v>1</v>
      </c>
      <c r="AC333">
        <f t="shared" ca="1" si="72"/>
        <v>0.26946308926997492</v>
      </c>
      <c r="AD333">
        <f t="shared" ca="1" si="73"/>
        <v>0.56022753291324501</v>
      </c>
    </row>
    <row r="334" spans="1:30" x14ac:dyDescent="0.2">
      <c r="A334">
        <f t="shared" si="66"/>
        <v>329</v>
      </c>
      <c r="B334">
        <f t="shared" ca="1" si="74"/>
        <v>0.41826332170704428</v>
      </c>
      <c r="C334">
        <f t="shared" ca="1" si="75"/>
        <v>5.6404538067447332</v>
      </c>
      <c r="D334">
        <f t="shared" ref="D334:D397" ca="1" si="76">B334*COS(C334)</f>
        <v>0.33480369762117235</v>
      </c>
      <c r="E334">
        <f t="shared" ref="E334:E397" ca="1" si="77">B334*SIN(C334)</f>
        <v>-0.25070039957008644</v>
      </c>
      <c r="V334">
        <v>329</v>
      </c>
      <c r="W334">
        <f t="shared" ca="1" si="67"/>
        <v>0.33480369762117235</v>
      </c>
      <c r="X334">
        <f t="shared" ca="1" si="68"/>
        <v>-0.25070039957008644</v>
      </c>
      <c r="Y334">
        <f>'uniforme cercle (rejet)'!AJ338</f>
        <v>0</v>
      </c>
      <c r="Z334">
        <f t="shared" ca="1" si="69"/>
        <v>5.9470012372076185E-2</v>
      </c>
      <c r="AA334">
        <f t="shared" ca="1" si="70"/>
        <v>0.7686617645195607</v>
      </c>
      <c r="AB334">
        <f t="shared" ca="1" si="71"/>
        <v>0</v>
      </c>
      <c r="AC334" t="e">
        <f t="shared" ca="1" si="72"/>
        <v>#N/A</v>
      </c>
      <c r="AD334" t="e">
        <f t="shared" ca="1" si="73"/>
        <v>#N/A</v>
      </c>
    </row>
    <row r="335" spans="1:30" x14ac:dyDescent="0.2">
      <c r="A335">
        <f t="shared" si="66"/>
        <v>330</v>
      </c>
      <c r="B335">
        <f t="shared" ca="1" si="74"/>
        <v>0.92625942727627375</v>
      </c>
      <c r="C335">
        <f t="shared" ca="1" si="75"/>
        <v>5.4358336716516318</v>
      </c>
      <c r="D335">
        <f t="shared" ca="1" si="76"/>
        <v>0.61315641007913158</v>
      </c>
      <c r="E335">
        <f t="shared" ca="1" si="77"/>
        <v>-0.69425913274298556</v>
      </c>
      <c r="V335">
        <v>330</v>
      </c>
      <c r="W335">
        <f t="shared" ca="1" si="67"/>
        <v>0.61315641007913158</v>
      </c>
      <c r="X335">
        <f t="shared" ca="1" si="68"/>
        <v>-0.69425913274298556</v>
      </c>
      <c r="Y335">
        <f>'uniforme cercle (rejet)'!AJ339</f>
        <v>0</v>
      </c>
      <c r="Z335">
        <f t="shared" ca="1" si="69"/>
        <v>5.7348285168303051E-2</v>
      </c>
      <c r="AA335">
        <f t="shared" ca="1" si="70"/>
        <v>1.1996079564932973</v>
      </c>
      <c r="AB335">
        <f t="shared" ca="1" si="71"/>
        <v>0</v>
      </c>
      <c r="AC335" t="e">
        <f t="shared" ca="1" si="72"/>
        <v>#N/A</v>
      </c>
      <c r="AD335" t="e">
        <f t="shared" ca="1" si="73"/>
        <v>#N/A</v>
      </c>
    </row>
    <row r="336" spans="1:30" x14ac:dyDescent="0.2">
      <c r="A336">
        <f t="shared" si="66"/>
        <v>331</v>
      </c>
      <c r="B336">
        <f t="shared" ca="1" si="74"/>
        <v>0.3860429197428239</v>
      </c>
      <c r="C336">
        <f t="shared" ca="1" si="75"/>
        <v>2.409023423214891</v>
      </c>
      <c r="D336">
        <f t="shared" ca="1" si="76"/>
        <v>-0.28700692984142584</v>
      </c>
      <c r="E336">
        <f t="shared" ca="1" si="77"/>
        <v>0.25817853920603712</v>
      </c>
      <c r="V336">
        <v>331</v>
      </c>
      <c r="W336">
        <f t="shared" ca="1" si="67"/>
        <v>-0.28700692984142584</v>
      </c>
      <c r="X336">
        <f t="shared" ca="1" si="68"/>
        <v>0.25817853920603712</v>
      </c>
      <c r="Y336">
        <f>'uniforme cercle (rejet)'!AJ340</f>
        <v>0</v>
      </c>
      <c r="Z336">
        <f t="shared" ca="1" si="69"/>
        <v>2.0384750508978127E-2</v>
      </c>
      <c r="AA336">
        <f t="shared" ca="1" si="70"/>
        <v>0.82332103490616171</v>
      </c>
      <c r="AB336">
        <f t="shared" ca="1" si="71"/>
        <v>0</v>
      </c>
      <c r="AC336" t="e">
        <f t="shared" ca="1" si="72"/>
        <v>#N/A</v>
      </c>
      <c r="AD336" t="e">
        <f t="shared" ca="1" si="73"/>
        <v>#N/A</v>
      </c>
    </row>
    <row r="337" spans="1:30" x14ac:dyDescent="0.2">
      <c r="A337">
        <f t="shared" si="66"/>
        <v>332</v>
      </c>
      <c r="B337">
        <f t="shared" ca="1" si="74"/>
        <v>0.72169383026040634</v>
      </c>
      <c r="C337">
        <f t="shared" ca="1" si="75"/>
        <v>3.9966842429667109</v>
      </c>
      <c r="D337">
        <f t="shared" ca="1" si="76"/>
        <v>-0.47353897104346643</v>
      </c>
      <c r="E337">
        <f t="shared" ca="1" si="77"/>
        <v>-0.54461254809178905</v>
      </c>
      <c r="V337">
        <v>332</v>
      </c>
      <c r="W337">
        <f t="shared" ca="1" si="67"/>
        <v>-0.47353897104346643</v>
      </c>
      <c r="X337">
        <f t="shared" ca="1" si="68"/>
        <v>-0.54461254809178905</v>
      </c>
      <c r="Y337">
        <f>'uniforme cercle (rejet)'!AJ341</f>
        <v>0</v>
      </c>
      <c r="Z337">
        <f t="shared" ca="1" si="69"/>
        <v>0.71994184345592405</v>
      </c>
      <c r="AA337">
        <f t="shared" ca="1" si="70"/>
        <v>1.4279332980819488</v>
      </c>
      <c r="AB337">
        <f t="shared" ca="1" si="71"/>
        <v>0</v>
      </c>
      <c r="AC337" t="e">
        <f t="shared" ca="1" si="72"/>
        <v>#N/A</v>
      </c>
      <c r="AD337" t="e">
        <f t="shared" ca="1" si="73"/>
        <v>#N/A</v>
      </c>
    </row>
    <row r="338" spans="1:30" x14ac:dyDescent="0.2">
      <c r="A338">
        <f t="shared" si="66"/>
        <v>333</v>
      </c>
      <c r="B338">
        <f t="shared" ca="1" si="74"/>
        <v>0.47038616513848541</v>
      </c>
      <c r="C338">
        <f t="shared" ca="1" si="75"/>
        <v>2.856092844039948</v>
      </c>
      <c r="D338">
        <f t="shared" ca="1" si="76"/>
        <v>-0.45134540714312732</v>
      </c>
      <c r="E338">
        <f t="shared" ca="1" si="77"/>
        <v>0.1324781785974396</v>
      </c>
      <c r="V338">
        <v>333</v>
      </c>
      <c r="W338">
        <f t="shared" ca="1" si="67"/>
        <v>-0.45134540714312732</v>
      </c>
      <c r="X338">
        <f t="shared" ca="1" si="68"/>
        <v>0.1324781785974396</v>
      </c>
      <c r="Y338">
        <f>'uniforme cercle (rejet)'!AJ342</f>
        <v>0</v>
      </c>
      <c r="Z338">
        <f t="shared" ca="1" si="69"/>
        <v>0.22547317960281646</v>
      </c>
      <c r="AA338">
        <f t="shared" ca="1" si="70"/>
        <v>1.0198678212883168</v>
      </c>
      <c r="AB338">
        <f t="shared" ca="1" si="71"/>
        <v>0</v>
      </c>
      <c r="AC338" t="e">
        <f t="shared" ca="1" si="72"/>
        <v>#N/A</v>
      </c>
      <c r="AD338" t="e">
        <f t="shared" ca="1" si="73"/>
        <v>#N/A</v>
      </c>
    </row>
    <row r="339" spans="1:30" x14ac:dyDescent="0.2">
      <c r="A339">
        <f t="shared" si="66"/>
        <v>334</v>
      </c>
      <c r="B339">
        <f t="shared" ca="1" si="74"/>
        <v>0.8060769291846821</v>
      </c>
      <c r="C339">
        <f t="shared" ca="1" si="75"/>
        <v>5.5681879881478444</v>
      </c>
      <c r="D339">
        <f t="shared" ca="1" si="76"/>
        <v>0.60866465795467095</v>
      </c>
      <c r="E339">
        <f t="shared" ca="1" si="77"/>
        <v>-0.52847644216249645</v>
      </c>
      <c r="V339">
        <v>334</v>
      </c>
      <c r="W339">
        <f t="shared" ca="1" si="67"/>
        <v>0.60866465795467095</v>
      </c>
      <c r="X339">
        <f t="shared" ca="1" si="68"/>
        <v>-0.52847644216249645</v>
      </c>
      <c r="Y339">
        <f>'uniforme cercle (rejet)'!AJ343</f>
        <v>0</v>
      </c>
      <c r="Z339">
        <f t="shared" ca="1" si="69"/>
        <v>5.6701631157896795E-2</v>
      </c>
      <c r="AA339">
        <f t="shared" ca="1" si="70"/>
        <v>1.034201044271196</v>
      </c>
      <c r="AB339">
        <f t="shared" ca="1" si="71"/>
        <v>0</v>
      </c>
      <c r="AC339" t="e">
        <f t="shared" ca="1" si="72"/>
        <v>#N/A</v>
      </c>
      <c r="AD339" t="e">
        <f t="shared" ca="1" si="73"/>
        <v>#N/A</v>
      </c>
    </row>
    <row r="340" spans="1:30" x14ac:dyDescent="0.2">
      <c r="A340">
        <f t="shared" si="66"/>
        <v>335</v>
      </c>
      <c r="B340">
        <f t="shared" ca="1" si="74"/>
        <v>0.80589048393015117</v>
      </c>
      <c r="C340">
        <f t="shared" ca="1" si="75"/>
        <v>3.8254865331497419</v>
      </c>
      <c r="D340">
        <f t="shared" ca="1" si="76"/>
        <v>-0.62466053099312846</v>
      </c>
      <c r="E340">
        <f t="shared" ca="1" si="77"/>
        <v>-0.50917452126805807</v>
      </c>
      <c r="V340">
        <v>335</v>
      </c>
      <c r="W340">
        <f t="shared" ca="1" si="67"/>
        <v>-0.62466053099312846</v>
      </c>
      <c r="X340">
        <f t="shared" ca="1" si="68"/>
        <v>-0.50917452126805807</v>
      </c>
      <c r="Y340">
        <f>'uniforme cercle (rejet)'!AJ344</f>
        <v>0</v>
      </c>
      <c r="Z340">
        <f t="shared" ca="1" si="69"/>
        <v>0.80174245420088852</v>
      </c>
      <c r="AA340">
        <f t="shared" ca="1" si="70"/>
        <v>1.511057419276435</v>
      </c>
      <c r="AB340">
        <f t="shared" ca="1" si="71"/>
        <v>0</v>
      </c>
      <c r="AC340" t="e">
        <f t="shared" ca="1" si="72"/>
        <v>#N/A</v>
      </c>
      <c r="AD340" t="e">
        <f t="shared" ca="1" si="73"/>
        <v>#N/A</v>
      </c>
    </row>
    <row r="341" spans="1:30" x14ac:dyDescent="0.2">
      <c r="A341">
        <f t="shared" si="66"/>
        <v>336</v>
      </c>
      <c r="B341">
        <f t="shared" ca="1" si="74"/>
        <v>0.40932862609808773</v>
      </c>
      <c r="C341">
        <f t="shared" ca="1" si="75"/>
        <v>4.1009705824866582</v>
      </c>
      <c r="D341">
        <f t="shared" ca="1" si="76"/>
        <v>-0.23496669448891327</v>
      </c>
      <c r="E341">
        <f t="shared" ca="1" si="77"/>
        <v>-0.33517245803362455</v>
      </c>
      <c r="V341">
        <v>336</v>
      </c>
      <c r="W341">
        <f t="shared" ca="1" si="67"/>
        <v>-0.23496669448891327</v>
      </c>
      <c r="X341">
        <f t="shared" ca="1" si="68"/>
        <v>-0.33517245803362455</v>
      </c>
      <c r="Y341">
        <f>'uniforme cercle (rejet)'!AJ345</f>
        <v>0</v>
      </c>
      <c r="Z341">
        <f t="shared" ca="1" si="69"/>
        <v>0.40314926096863779</v>
      </c>
      <c r="AA341">
        <f t="shared" ca="1" si="70"/>
        <v>1.1125147534598749</v>
      </c>
      <c r="AB341">
        <f t="shared" ca="1" si="71"/>
        <v>0</v>
      </c>
      <c r="AC341" t="e">
        <f t="shared" ca="1" si="72"/>
        <v>#N/A</v>
      </c>
      <c r="AD341" t="e">
        <f t="shared" ca="1" si="73"/>
        <v>#N/A</v>
      </c>
    </row>
    <row r="342" spans="1:30" x14ac:dyDescent="0.2">
      <c r="A342">
        <f t="shared" si="66"/>
        <v>337</v>
      </c>
      <c r="B342">
        <f t="shared" ca="1" si="74"/>
        <v>0.99227799747803136</v>
      </c>
      <c r="C342">
        <f t="shared" ca="1" si="75"/>
        <v>1.0053282316117931</v>
      </c>
      <c r="D342">
        <f t="shared" ca="1" si="76"/>
        <v>0.53167357048839248</v>
      </c>
      <c r="E342">
        <f t="shared" ca="1" si="77"/>
        <v>0.83781790308105519</v>
      </c>
      <c r="V342">
        <v>337</v>
      </c>
      <c r="W342">
        <f t="shared" ca="1" si="67"/>
        <v>0.53167357048839248</v>
      </c>
      <c r="X342">
        <f t="shared" ca="1" si="68"/>
        <v>0.83781790308105519</v>
      </c>
      <c r="Y342">
        <f>'uniforme cercle (rejet)'!AJ346</f>
        <v>0</v>
      </c>
      <c r="Z342">
        <f t="shared" ca="1" si="69"/>
        <v>0.96837670773811391</v>
      </c>
      <c r="AA342">
        <f t="shared" ca="1" si="70"/>
        <v>0.33929950001372589</v>
      </c>
      <c r="AB342">
        <f t="shared" ca="1" si="71"/>
        <v>0</v>
      </c>
      <c r="AC342" t="e">
        <f t="shared" ca="1" si="72"/>
        <v>#N/A</v>
      </c>
      <c r="AD342" t="e">
        <f t="shared" ca="1" si="73"/>
        <v>#N/A</v>
      </c>
    </row>
    <row r="343" spans="1:30" x14ac:dyDescent="0.2">
      <c r="A343">
        <f t="shared" si="66"/>
        <v>338</v>
      </c>
      <c r="B343">
        <f t="shared" ca="1" si="74"/>
        <v>0.50307725602750353</v>
      </c>
      <c r="C343">
        <f t="shared" ca="1" si="75"/>
        <v>1.4461222776746532</v>
      </c>
      <c r="D343">
        <f t="shared" ca="1" si="76"/>
        <v>6.2558320378851659E-2</v>
      </c>
      <c r="E343">
        <f t="shared" ca="1" si="77"/>
        <v>0.49917249732285857</v>
      </c>
      <c r="V343">
        <v>338</v>
      </c>
      <c r="W343">
        <f t="shared" ca="1" si="67"/>
        <v>6.2558320378851659E-2</v>
      </c>
      <c r="X343">
        <f t="shared" ca="1" si="68"/>
        <v>0.49917249732285857</v>
      </c>
      <c r="Y343">
        <f>'uniforme cercle (rejet)'!AJ347</f>
        <v>0</v>
      </c>
      <c r="Z343">
        <f t="shared" ca="1" si="69"/>
        <v>0.39720367039834359</v>
      </c>
      <c r="AA343">
        <f t="shared" ca="1" si="70"/>
        <v>0.43744246230841843</v>
      </c>
      <c r="AB343">
        <f t="shared" ca="1" si="71"/>
        <v>1</v>
      </c>
      <c r="AC343">
        <f t="shared" ca="1" si="72"/>
        <v>6.2558320378851659E-2</v>
      </c>
      <c r="AD343">
        <f t="shared" ca="1" si="73"/>
        <v>0.49917249732285857</v>
      </c>
    </row>
    <row r="344" spans="1:30" x14ac:dyDescent="0.2">
      <c r="A344">
        <f t="shared" si="66"/>
        <v>339</v>
      </c>
      <c r="B344">
        <f t="shared" ca="1" si="74"/>
        <v>0.54723222441404473</v>
      </c>
      <c r="C344">
        <f t="shared" ca="1" si="75"/>
        <v>4.8375020604024739</v>
      </c>
      <c r="D344">
        <f t="shared" ca="1" si="76"/>
        <v>6.8287429455572118E-2</v>
      </c>
      <c r="E344">
        <f t="shared" ca="1" si="77"/>
        <v>-0.54295481802401724</v>
      </c>
      <c r="V344">
        <v>339</v>
      </c>
      <c r="W344">
        <f t="shared" ca="1" si="67"/>
        <v>6.8287429455572118E-2</v>
      </c>
      <c r="X344">
        <f t="shared" ca="1" si="68"/>
        <v>-0.54295481802401724</v>
      </c>
      <c r="Y344">
        <f>'uniforme cercle (rejet)'!AJ348</f>
        <v>0</v>
      </c>
      <c r="Z344">
        <f t="shared" ca="1" si="69"/>
        <v>0.33564052926485743</v>
      </c>
      <c r="AA344">
        <f t="shared" ca="1" si="70"/>
        <v>1.1287738905580642</v>
      </c>
      <c r="AB344">
        <f t="shared" ca="1" si="71"/>
        <v>0</v>
      </c>
      <c r="AC344" t="e">
        <f t="shared" ca="1" si="72"/>
        <v>#N/A</v>
      </c>
      <c r="AD344" t="e">
        <f t="shared" ca="1" si="73"/>
        <v>#N/A</v>
      </c>
    </row>
    <row r="345" spans="1:30" x14ac:dyDescent="0.2">
      <c r="A345">
        <f t="shared" si="66"/>
        <v>340</v>
      </c>
      <c r="B345">
        <f t="shared" ca="1" si="74"/>
        <v>4.1774902562115024E-3</v>
      </c>
      <c r="C345">
        <f t="shared" ca="1" si="75"/>
        <v>5.0456196148090156</v>
      </c>
      <c r="D345">
        <f t="shared" ca="1" si="76"/>
        <v>1.3664472416249646E-3</v>
      </c>
      <c r="E345">
        <f t="shared" ca="1" si="77"/>
        <v>-3.9476887892281442E-3</v>
      </c>
      <c r="V345">
        <v>340</v>
      </c>
      <c r="W345">
        <f t="shared" ca="1" si="67"/>
        <v>1.3664472416249646E-3</v>
      </c>
      <c r="X345">
        <f t="shared" ca="1" si="68"/>
        <v>-3.9476887892281442E-3</v>
      </c>
      <c r="Y345">
        <f>'uniforme cercle (rejet)'!AJ349</f>
        <v>0</v>
      </c>
      <c r="Z345">
        <f t="shared" ca="1" si="69"/>
        <v>1.8252134021906668E-3</v>
      </c>
      <c r="AA345">
        <f t="shared" ca="1" si="70"/>
        <v>0.70894195317560649</v>
      </c>
      <c r="AB345">
        <f t="shared" ca="1" si="71"/>
        <v>0</v>
      </c>
      <c r="AC345" t="e">
        <f t="shared" ca="1" si="72"/>
        <v>#N/A</v>
      </c>
      <c r="AD345" t="e">
        <f t="shared" ca="1" si="73"/>
        <v>#N/A</v>
      </c>
    </row>
    <row r="346" spans="1:30" x14ac:dyDescent="0.2">
      <c r="A346">
        <f t="shared" si="66"/>
        <v>341</v>
      </c>
      <c r="B346">
        <f t="shared" ca="1" si="74"/>
        <v>0.2455533021550651</v>
      </c>
      <c r="C346">
        <f t="shared" ca="1" si="75"/>
        <v>0.92069891927050751</v>
      </c>
      <c r="D346">
        <f t="shared" ca="1" si="76"/>
        <v>0.14862456096362145</v>
      </c>
      <c r="E346">
        <f t="shared" ca="1" si="77"/>
        <v>0.19546652930265959</v>
      </c>
      <c r="V346">
        <v>341</v>
      </c>
      <c r="W346">
        <f t="shared" ca="1" si="67"/>
        <v>0.14862456096362145</v>
      </c>
      <c r="X346">
        <f t="shared" ca="1" si="68"/>
        <v>0.19546652930265959</v>
      </c>
      <c r="Y346">
        <f>'uniforme cercle (rejet)'!AJ350</f>
        <v>0</v>
      </c>
      <c r="Z346">
        <f t="shared" ca="1" si="69"/>
        <v>0.24330914327315975</v>
      </c>
      <c r="AA346">
        <f t="shared" ca="1" si="70"/>
        <v>0.46497885321052579</v>
      </c>
      <c r="AB346">
        <f t="shared" ca="1" si="71"/>
        <v>1</v>
      </c>
      <c r="AC346">
        <f t="shared" ca="1" si="72"/>
        <v>0.14862456096362145</v>
      </c>
      <c r="AD346">
        <f t="shared" ca="1" si="73"/>
        <v>0.19546652930265959</v>
      </c>
    </row>
    <row r="347" spans="1:30" x14ac:dyDescent="0.2">
      <c r="A347">
        <f t="shared" si="66"/>
        <v>342</v>
      </c>
      <c r="B347">
        <f t="shared" ca="1" si="74"/>
        <v>0.32523026373291775</v>
      </c>
      <c r="C347">
        <f t="shared" ca="1" si="75"/>
        <v>6.2678705633547338</v>
      </c>
      <c r="D347">
        <f t="shared" ca="1" si="76"/>
        <v>0.32519212450118207</v>
      </c>
      <c r="E347">
        <f t="shared" ca="1" si="77"/>
        <v>-4.9806234741155055E-3</v>
      </c>
      <c r="V347">
        <v>342</v>
      </c>
      <c r="W347">
        <f t="shared" ca="1" si="67"/>
        <v>0.32519212450118207</v>
      </c>
      <c r="X347">
        <f t="shared" ca="1" si="68"/>
        <v>-4.9806234741155055E-3</v>
      </c>
      <c r="Y347">
        <f>'uniforme cercle (rejet)'!AJ351</f>
        <v>0</v>
      </c>
      <c r="Z347">
        <f t="shared" ca="1" si="69"/>
        <v>0.22642372379016193</v>
      </c>
      <c r="AA347">
        <f t="shared" ca="1" si="70"/>
        <v>0.53438115930552477</v>
      </c>
      <c r="AB347">
        <f t="shared" ca="1" si="71"/>
        <v>1</v>
      </c>
      <c r="AC347">
        <f t="shared" ca="1" si="72"/>
        <v>0.32519212450118207</v>
      </c>
      <c r="AD347">
        <f t="shared" ca="1" si="73"/>
        <v>-4.9806234741155055E-3</v>
      </c>
    </row>
    <row r="348" spans="1:30" x14ac:dyDescent="0.2">
      <c r="A348">
        <f t="shared" si="66"/>
        <v>343</v>
      </c>
      <c r="B348">
        <f t="shared" ca="1" si="74"/>
        <v>0.80769384666845334</v>
      </c>
      <c r="C348">
        <f t="shared" ca="1" si="75"/>
        <v>5.7958656972099369</v>
      </c>
      <c r="D348">
        <f t="shared" ca="1" si="76"/>
        <v>0.71367113360131207</v>
      </c>
      <c r="E348">
        <f t="shared" ca="1" si="77"/>
        <v>-0.37821007788040395</v>
      </c>
      <c r="V348">
        <v>343</v>
      </c>
      <c r="W348">
        <f t="shared" ca="1" si="67"/>
        <v>0.71367113360131207</v>
      </c>
      <c r="X348">
        <f t="shared" ca="1" si="68"/>
        <v>-0.37821007788040395</v>
      </c>
      <c r="Y348">
        <f>'uniforme cercle (rejet)'!AJ352</f>
        <v>0</v>
      </c>
      <c r="Z348">
        <f t="shared" ca="1" si="69"/>
        <v>0.2372067873242524</v>
      </c>
      <c r="AA348">
        <f t="shared" ca="1" si="70"/>
        <v>0.90382979272934738</v>
      </c>
      <c r="AB348">
        <f t="shared" ca="1" si="71"/>
        <v>0</v>
      </c>
      <c r="AC348" t="e">
        <f t="shared" ca="1" si="72"/>
        <v>#N/A</v>
      </c>
      <c r="AD348" t="e">
        <f t="shared" ca="1" si="73"/>
        <v>#N/A</v>
      </c>
    </row>
    <row r="349" spans="1:30" x14ac:dyDescent="0.2">
      <c r="A349">
        <f t="shared" si="66"/>
        <v>344</v>
      </c>
      <c r="B349">
        <f t="shared" ca="1" si="74"/>
        <v>0.92633110188331858</v>
      </c>
      <c r="C349">
        <f t="shared" ca="1" si="75"/>
        <v>4.5548187588570652</v>
      </c>
      <c r="D349">
        <f t="shared" ca="1" si="76"/>
        <v>-0.14535894561980756</v>
      </c>
      <c r="E349">
        <f t="shared" ca="1" si="77"/>
        <v>-0.91485522747845782</v>
      </c>
      <c r="V349">
        <v>344</v>
      </c>
      <c r="W349">
        <f t="shared" ca="1" si="67"/>
        <v>-0.14535894561980756</v>
      </c>
      <c r="X349">
        <f t="shared" ca="1" si="68"/>
        <v>-0.91485522747845782</v>
      </c>
      <c r="Y349">
        <f>'uniforme cercle (rejet)'!AJ353</f>
        <v>0</v>
      </c>
      <c r="Z349">
        <f t="shared" ca="1" si="69"/>
        <v>0.74968463130787155</v>
      </c>
      <c r="AA349">
        <f t="shared" ca="1" si="70"/>
        <v>1.5550895419282547</v>
      </c>
      <c r="AB349">
        <f t="shared" ca="1" si="71"/>
        <v>0</v>
      </c>
      <c r="AC349" t="e">
        <f t="shared" ca="1" si="72"/>
        <v>#N/A</v>
      </c>
      <c r="AD349" t="e">
        <f t="shared" ca="1" si="73"/>
        <v>#N/A</v>
      </c>
    </row>
    <row r="350" spans="1:30" x14ac:dyDescent="0.2">
      <c r="A350">
        <f t="shared" ref="A350:A413" si="78">1+A349</f>
        <v>345</v>
      </c>
      <c r="B350">
        <f t="shared" ca="1" si="74"/>
        <v>0.84980140290357586</v>
      </c>
      <c r="C350">
        <f t="shared" ca="1" si="75"/>
        <v>0.21999831917912543</v>
      </c>
      <c r="D350">
        <f t="shared" ca="1" si="76"/>
        <v>0.82931933324132201</v>
      </c>
      <c r="E350">
        <f t="shared" ca="1" si="77"/>
        <v>0.18545044591225629</v>
      </c>
      <c r="V350">
        <v>345</v>
      </c>
      <c r="W350">
        <f t="shared" ca="1" si="67"/>
        <v>0.82931933324132201</v>
      </c>
      <c r="X350">
        <f t="shared" ca="1" si="68"/>
        <v>0.18545044591225629</v>
      </c>
      <c r="Y350">
        <f>'uniforme cercle (rejet)'!AJ354</f>
        <v>0</v>
      </c>
      <c r="Z350">
        <f t="shared" ca="1" si="69"/>
        <v>0.71755059218267048</v>
      </c>
      <c r="AA350">
        <f t="shared" ca="1" si="70"/>
        <v>0.45540382653564443</v>
      </c>
      <c r="AB350">
        <f t="shared" ca="1" si="71"/>
        <v>1</v>
      </c>
      <c r="AC350">
        <f t="shared" ca="1" si="72"/>
        <v>0.82931933324132201</v>
      </c>
      <c r="AD350">
        <f t="shared" ca="1" si="73"/>
        <v>0.18545044591225629</v>
      </c>
    </row>
    <row r="351" spans="1:30" x14ac:dyDescent="0.2">
      <c r="A351">
        <f t="shared" si="78"/>
        <v>346</v>
      </c>
      <c r="B351">
        <f t="shared" ca="1" si="74"/>
        <v>0.18155774012082015</v>
      </c>
      <c r="C351">
        <f t="shared" ca="1" si="75"/>
        <v>1.6729752848530728</v>
      </c>
      <c r="D351">
        <f t="shared" ca="1" si="76"/>
        <v>-1.8519116489917962E-2</v>
      </c>
      <c r="E351">
        <f t="shared" ca="1" si="77"/>
        <v>0.18061078406953476</v>
      </c>
      <c r="V351">
        <v>346</v>
      </c>
      <c r="W351">
        <f t="shared" ca="1" si="67"/>
        <v>-1.8519116489917962E-2</v>
      </c>
      <c r="X351">
        <f t="shared" ca="1" si="68"/>
        <v>0.18061078406953476</v>
      </c>
      <c r="Y351">
        <f>'uniforme cercle (rejet)'!AJ355</f>
        <v>0</v>
      </c>
      <c r="Z351">
        <f t="shared" ca="1" si="69"/>
        <v>0.1146161173193827</v>
      </c>
      <c r="AA351">
        <f t="shared" ca="1" si="70"/>
        <v>0.6089922375680682</v>
      </c>
      <c r="AB351">
        <f t="shared" ca="1" si="71"/>
        <v>0</v>
      </c>
      <c r="AC351" t="e">
        <f t="shared" ca="1" si="72"/>
        <v>#N/A</v>
      </c>
      <c r="AD351" t="e">
        <f t="shared" ca="1" si="73"/>
        <v>#N/A</v>
      </c>
    </row>
    <row r="352" spans="1:30" x14ac:dyDescent="0.2">
      <c r="A352">
        <f t="shared" si="78"/>
        <v>347</v>
      </c>
      <c r="B352">
        <f t="shared" ca="1" si="74"/>
        <v>0.84844351580529198</v>
      </c>
      <c r="C352">
        <f t="shared" ca="1" si="75"/>
        <v>2.0360420514984265</v>
      </c>
      <c r="D352">
        <f t="shared" ca="1" si="76"/>
        <v>-0.38064775381409122</v>
      </c>
      <c r="E352">
        <f t="shared" ca="1" si="77"/>
        <v>0.75826359996265924</v>
      </c>
      <c r="V352">
        <v>347</v>
      </c>
      <c r="W352">
        <f t="shared" ca="1" si="67"/>
        <v>-0.38064775381409122</v>
      </c>
      <c r="X352">
        <f t="shared" ca="1" si="68"/>
        <v>0.75826359996265924</v>
      </c>
      <c r="Y352">
        <f>'uniforme cercle (rejet)'!AJ356</f>
        <v>0</v>
      </c>
      <c r="Z352">
        <f t="shared" ca="1" si="69"/>
        <v>0.26701472549514849</v>
      </c>
      <c r="AA352">
        <f t="shared" ca="1" si="70"/>
        <v>0.91773664706356617</v>
      </c>
      <c r="AB352">
        <f t="shared" ca="1" si="71"/>
        <v>0</v>
      </c>
      <c r="AC352" t="e">
        <f t="shared" ca="1" si="72"/>
        <v>#N/A</v>
      </c>
      <c r="AD352" t="e">
        <f t="shared" ca="1" si="73"/>
        <v>#N/A</v>
      </c>
    </row>
    <row r="353" spans="1:30" x14ac:dyDescent="0.2">
      <c r="A353">
        <f t="shared" si="78"/>
        <v>348</v>
      </c>
      <c r="B353">
        <f t="shared" ca="1" si="74"/>
        <v>0.66037370012293639</v>
      </c>
      <c r="C353">
        <f t="shared" ca="1" si="75"/>
        <v>1.5403719944933334</v>
      </c>
      <c r="D353">
        <f t="shared" ca="1" si="76"/>
        <v>2.0088329467510525E-2</v>
      </c>
      <c r="E353">
        <f t="shared" ca="1" si="77"/>
        <v>0.66006808954323992</v>
      </c>
      <c r="V353">
        <v>348</v>
      </c>
      <c r="W353">
        <f t="shared" ca="1" si="67"/>
        <v>2.0088329467510525E-2</v>
      </c>
      <c r="X353">
        <f t="shared" ca="1" si="68"/>
        <v>0.66006808954323992</v>
      </c>
      <c r="Y353">
        <f>'uniforme cercle (rejet)'!AJ357</f>
        <v>0</v>
      </c>
      <c r="Z353">
        <f t="shared" ca="1" si="69"/>
        <v>0.48094321615006042</v>
      </c>
      <c r="AA353">
        <f t="shared" ca="1" si="70"/>
        <v>0.50590216920201814</v>
      </c>
      <c r="AB353">
        <f t="shared" ca="1" si="71"/>
        <v>1</v>
      </c>
      <c r="AC353">
        <f t="shared" ca="1" si="72"/>
        <v>2.0088329467510525E-2</v>
      </c>
      <c r="AD353">
        <f t="shared" ca="1" si="73"/>
        <v>0.66006808954323992</v>
      </c>
    </row>
    <row r="354" spans="1:30" x14ac:dyDescent="0.2">
      <c r="A354">
        <f t="shared" si="78"/>
        <v>349</v>
      </c>
      <c r="B354">
        <f t="shared" ca="1" si="74"/>
        <v>0.14171480682611493</v>
      </c>
      <c r="C354">
        <f t="shared" ca="1" si="75"/>
        <v>5.1912523817034657</v>
      </c>
      <c r="D354">
        <f t="shared" ca="1" si="76"/>
        <v>6.5298033607513614E-2</v>
      </c>
      <c r="E354">
        <f t="shared" ca="1" si="77"/>
        <v>-0.12577461302168688</v>
      </c>
      <c r="V354">
        <v>349</v>
      </c>
      <c r="W354">
        <f t="shared" ca="1" si="67"/>
        <v>6.5298033607513614E-2</v>
      </c>
      <c r="X354">
        <f t="shared" ca="1" si="68"/>
        <v>-0.12577461302168688</v>
      </c>
      <c r="Y354">
        <f>'uniforme cercle (rejet)'!AJ358</f>
        <v>0</v>
      </c>
      <c r="Z354">
        <f t="shared" ca="1" si="69"/>
        <v>4.2763399406728686E-2</v>
      </c>
      <c r="AA354">
        <f t="shared" ca="1" si="70"/>
        <v>0.76194466064664856</v>
      </c>
      <c r="AB354">
        <f t="shared" ca="1" si="71"/>
        <v>0</v>
      </c>
      <c r="AC354" t="e">
        <f t="shared" ca="1" si="72"/>
        <v>#N/A</v>
      </c>
      <c r="AD354" t="e">
        <f t="shared" ca="1" si="73"/>
        <v>#N/A</v>
      </c>
    </row>
    <row r="355" spans="1:30" x14ac:dyDescent="0.2">
      <c r="A355">
        <f t="shared" si="78"/>
        <v>350</v>
      </c>
      <c r="B355">
        <f t="shared" ca="1" si="74"/>
        <v>0.12222882226547338</v>
      </c>
      <c r="C355">
        <f t="shared" ca="1" si="75"/>
        <v>1.4163259550788223</v>
      </c>
      <c r="D355">
        <f t="shared" ca="1" si="76"/>
        <v>1.8805735316300212E-2</v>
      </c>
      <c r="E355">
        <f t="shared" ca="1" si="77"/>
        <v>0.120773462778948</v>
      </c>
      <c r="V355">
        <v>350</v>
      </c>
      <c r="W355">
        <f t="shared" ca="1" si="67"/>
        <v>1.8805735316300212E-2</v>
      </c>
      <c r="X355">
        <f t="shared" ca="1" si="68"/>
        <v>0.120773462778948</v>
      </c>
      <c r="Y355">
        <f>'uniforme cercle (rejet)'!AJ359</f>
        <v>0</v>
      </c>
      <c r="Z355">
        <f t="shared" ca="1" si="69"/>
        <v>9.8697397485730448E-2</v>
      </c>
      <c r="AA355">
        <f t="shared" ca="1" si="70"/>
        <v>0.61266686453337471</v>
      </c>
      <c r="AB355">
        <f t="shared" ca="1" si="71"/>
        <v>0</v>
      </c>
      <c r="AC355" t="e">
        <f t="shared" ca="1" si="72"/>
        <v>#N/A</v>
      </c>
      <c r="AD355" t="e">
        <f t="shared" ca="1" si="73"/>
        <v>#N/A</v>
      </c>
    </row>
    <row r="356" spans="1:30" x14ac:dyDescent="0.2">
      <c r="A356">
        <f t="shared" si="78"/>
        <v>351</v>
      </c>
      <c r="B356">
        <f t="shared" ca="1" si="74"/>
        <v>0.49979114641747424</v>
      </c>
      <c r="C356">
        <f t="shared" ca="1" si="75"/>
        <v>5.5820809173762438</v>
      </c>
      <c r="D356">
        <f t="shared" ca="1" si="76"/>
        <v>0.38190553543607592</v>
      </c>
      <c r="E356">
        <f t="shared" ca="1" si="77"/>
        <v>-0.3223962655499864</v>
      </c>
      <c r="V356">
        <v>351</v>
      </c>
      <c r="W356">
        <f t="shared" ca="1" si="67"/>
        <v>0.38190553543607592</v>
      </c>
      <c r="X356">
        <f t="shared" ca="1" si="68"/>
        <v>-0.3223962655499864</v>
      </c>
      <c r="Y356">
        <f>'uniforme cercle (rejet)'!AJ360</f>
        <v>0</v>
      </c>
      <c r="Z356">
        <f t="shared" ca="1" si="69"/>
        <v>4.2079408279914299E-2</v>
      </c>
      <c r="AA356">
        <f t="shared" ca="1" si="70"/>
        <v>0.83083206495127737</v>
      </c>
      <c r="AB356">
        <f t="shared" ca="1" si="71"/>
        <v>0</v>
      </c>
      <c r="AC356" t="e">
        <f t="shared" ca="1" si="72"/>
        <v>#N/A</v>
      </c>
      <c r="AD356" t="e">
        <f t="shared" ca="1" si="73"/>
        <v>#N/A</v>
      </c>
    </row>
    <row r="357" spans="1:30" x14ac:dyDescent="0.2">
      <c r="A357">
        <f t="shared" si="78"/>
        <v>352</v>
      </c>
      <c r="B357">
        <f t="shared" ca="1" si="74"/>
        <v>0.50170820144941763</v>
      </c>
      <c r="C357">
        <f t="shared" ca="1" si="75"/>
        <v>3.5953230873547333</v>
      </c>
      <c r="D357">
        <f t="shared" ca="1" si="76"/>
        <v>-0.45094447792239301</v>
      </c>
      <c r="E357">
        <f t="shared" ca="1" si="77"/>
        <v>-0.2199095205599563</v>
      </c>
      <c r="V357">
        <v>352</v>
      </c>
      <c r="W357">
        <f t="shared" ca="1" si="67"/>
        <v>-0.45094447792239301</v>
      </c>
      <c r="X357">
        <f t="shared" ca="1" si="68"/>
        <v>-0.2199095205599563</v>
      </c>
      <c r="Y357">
        <f>'uniforme cercle (rejet)'!AJ361</f>
        <v>0</v>
      </c>
      <c r="Z357">
        <f t="shared" ca="1" si="69"/>
        <v>0.47436541151297901</v>
      </c>
      <c r="AA357">
        <f t="shared" ca="1" si="70"/>
        <v>1.1927133427123042</v>
      </c>
      <c r="AB357">
        <f t="shared" ca="1" si="71"/>
        <v>0</v>
      </c>
      <c r="AC357" t="e">
        <f t="shared" ca="1" si="72"/>
        <v>#N/A</v>
      </c>
      <c r="AD357" t="e">
        <f t="shared" ca="1" si="73"/>
        <v>#N/A</v>
      </c>
    </row>
    <row r="358" spans="1:30" x14ac:dyDescent="0.2">
      <c r="A358">
        <f t="shared" si="78"/>
        <v>353</v>
      </c>
      <c r="B358">
        <f t="shared" ca="1" si="74"/>
        <v>0.84537931982418502</v>
      </c>
      <c r="C358">
        <f t="shared" ca="1" si="75"/>
        <v>1.1713644600144895</v>
      </c>
      <c r="D358">
        <f t="shared" ca="1" si="76"/>
        <v>0.32876378563038577</v>
      </c>
      <c r="E358">
        <f t="shared" ca="1" si="77"/>
        <v>0.77883282393873166</v>
      </c>
      <c r="V358">
        <v>353</v>
      </c>
      <c r="W358">
        <f t="shared" ca="1" si="67"/>
        <v>0.32876378563038577</v>
      </c>
      <c r="X358">
        <f t="shared" ca="1" si="68"/>
        <v>0.77883282393873166</v>
      </c>
      <c r="Y358">
        <f>'uniforme cercle (rejet)'!AJ362</f>
        <v>0</v>
      </c>
      <c r="Z358">
        <f t="shared" ca="1" si="69"/>
        <v>0.78318907344555178</v>
      </c>
      <c r="AA358">
        <f t="shared" ca="1" si="70"/>
        <v>0.3272148908856139</v>
      </c>
      <c r="AB358">
        <f t="shared" ca="1" si="71"/>
        <v>0</v>
      </c>
      <c r="AC358" t="e">
        <f t="shared" ca="1" si="72"/>
        <v>#N/A</v>
      </c>
      <c r="AD358" t="e">
        <f t="shared" ca="1" si="73"/>
        <v>#N/A</v>
      </c>
    </row>
    <row r="359" spans="1:30" x14ac:dyDescent="0.2">
      <c r="A359">
        <f t="shared" si="78"/>
        <v>354</v>
      </c>
      <c r="B359">
        <f t="shared" ca="1" si="74"/>
        <v>0.28455007686399325</v>
      </c>
      <c r="C359">
        <f t="shared" ca="1" si="75"/>
        <v>2.8281111259084293</v>
      </c>
      <c r="D359">
        <f t="shared" ca="1" si="76"/>
        <v>-0.27068273667939391</v>
      </c>
      <c r="E359">
        <f t="shared" ca="1" si="77"/>
        <v>8.7747377778816693E-2</v>
      </c>
      <c r="V359">
        <v>354</v>
      </c>
      <c r="W359">
        <f t="shared" ca="1" si="67"/>
        <v>-0.27068273667939391</v>
      </c>
      <c r="X359">
        <f t="shared" ca="1" si="68"/>
        <v>8.7747377778816693E-2</v>
      </c>
      <c r="Y359">
        <f>'uniforme cercle (rejet)'!AJ363</f>
        <v>0</v>
      </c>
      <c r="Z359">
        <f t="shared" ca="1" si="69"/>
        <v>0.12935483279739302</v>
      </c>
      <c r="AA359">
        <f t="shared" ca="1" si="70"/>
        <v>0.87401607830970796</v>
      </c>
      <c r="AB359">
        <f t="shared" ca="1" si="71"/>
        <v>0</v>
      </c>
      <c r="AC359" t="e">
        <f t="shared" ca="1" si="72"/>
        <v>#N/A</v>
      </c>
      <c r="AD359" t="e">
        <f t="shared" ca="1" si="73"/>
        <v>#N/A</v>
      </c>
    </row>
    <row r="360" spans="1:30" x14ac:dyDescent="0.2">
      <c r="A360">
        <f t="shared" si="78"/>
        <v>355</v>
      </c>
      <c r="B360">
        <f t="shared" ca="1" si="74"/>
        <v>0.31996789241985102</v>
      </c>
      <c r="C360">
        <f t="shared" ca="1" si="75"/>
        <v>5.0439943094988786</v>
      </c>
      <c r="D360">
        <f t="shared" ca="1" si="76"/>
        <v>0.10416916925938129</v>
      </c>
      <c r="E360">
        <f t="shared" ca="1" si="77"/>
        <v>-0.30253633890065457</v>
      </c>
      <c r="V360">
        <v>355</v>
      </c>
      <c r="W360">
        <f t="shared" ca="1" si="67"/>
        <v>0.10416916925938129</v>
      </c>
      <c r="X360">
        <f t="shared" ca="1" si="68"/>
        <v>-0.30253633890065457</v>
      </c>
      <c r="Y360">
        <f>'uniforme cercle (rejet)'!AJ364</f>
        <v>0</v>
      </c>
      <c r="Z360">
        <f t="shared" ca="1" si="69"/>
        <v>0.14026677081812655</v>
      </c>
      <c r="AA360">
        <f t="shared" ca="1" si="70"/>
        <v>0.89484446795008721</v>
      </c>
      <c r="AB360">
        <f t="shared" ca="1" si="71"/>
        <v>0</v>
      </c>
      <c r="AC360" t="e">
        <f t="shared" ca="1" si="72"/>
        <v>#N/A</v>
      </c>
      <c r="AD360" t="e">
        <f t="shared" ca="1" si="73"/>
        <v>#N/A</v>
      </c>
    </row>
    <row r="361" spans="1:30" x14ac:dyDescent="0.2">
      <c r="A361">
        <f t="shared" si="78"/>
        <v>356</v>
      </c>
      <c r="B361">
        <f t="shared" ca="1" si="74"/>
        <v>0.82252195798375483</v>
      </c>
      <c r="C361">
        <f t="shared" ca="1" si="75"/>
        <v>0.81645912113606123</v>
      </c>
      <c r="D361">
        <f t="shared" ca="1" si="76"/>
        <v>0.56326782712339118</v>
      </c>
      <c r="E361">
        <f t="shared" ca="1" si="77"/>
        <v>0.59939279799904432</v>
      </c>
      <c r="V361">
        <v>356</v>
      </c>
      <c r="W361">
        <f t="shared" ca="1" si="67"/>
        <v>0.56326782712339118</v>
      </c>
      <c r="X361">
        <f t="shared" ca="1" si="68"/>
        <v>0.59939279799904432</v>
      </c>
      <c r="Y361">
        <f>'uniforme cercle (rejet)'!AJ365</f>
        <v>0</v>
      </c>
      <c r="Z361">
        <f t="shared" ca="1" si="69"/>
        <v>0.82212521224266444</v>
      </c>
      <c r="AA361">
        <f t="shared" ca="1" si="70"/>
        <v>0.11782082262059683</v>
      </c>
      <c r="AB361">
        <f t="shared" ca="1" si="71"/>
        <v>0</v>
      </c>
      <c r="AC361" t="e">
        <f t="shared" ca="1" si="72"/>
        <v>#N/A</v>
      </c>
      <c r="AD361" t="e">
        <f t="shared" ca="1" si="73"/>
        <v>#N/A</v>
      </c>
    </row>
    <row r="362" spans="1:30" x14ac:dyDescent="0.2">
      <c r="A362">
        <f t="shared" si="78"/>
        <v>357</v>
      </c>
      <c r="B362">
        <f t="shared" ca="1" si="74"/>
        <v>0.90384628964007863</v>
      </c>
      <c r="C362">
        <f t="shared" ca="1" si="75"/>
        <v>5.8691770154796519</v>
      </c>
      <c r="D362">
        <f t="shared" ca="1" si="76"/>
        <v>0.82748548412356382</v>
      </c>
      <c r="E362">
        <f t="shared" ca="1" si="77"/>
        <v>-0.36360127730926378</v>
      </c>
      <c r="V362">
        <v>357</v>
      </c>
      <c r="W362">
        <f t="shared" ca="1" si="67"/>
        <v>0.82748548412356382</v>
      </c>
      <c r="X362">
        <f t="shared" ca="1" si="68"/>
        <v>-0.36360127730926378</v>
      </c>
      <c r="Y362">
        <f>'uniforme cercle (rejet)'!AJ366</f>
        <v>0</v>
      </c>
      <c r="Z362">
        <f t="shared" ca="1" si="69"/>
        <v>0.32801566832373441</v>
      </c>
      <c r="AA362">
        <f t="shared" ca="1" si="70"/>
        <v>0.92360917518279184</v>
      </c>
      <c r="AB362">
        <f t="shared" ca="1" si="71"/>
        <v>0</v>
      </c>
      <c r="AC362" t="e">
        <f t="shared" ca="1" si="72"/>
        <v>#N/A</v>
      </c>
      <c r="AD362" t="e">
        <f t="shared" ca="1" si="73"/>
        <v>#N/A</v>
      </c>
    </row>
    <row r="363" spans="1:30" x14ac:dyDescent="0.2">
      <c r="A363">
        <f t="shared" si="78"/>
        <v>358</v>
      </c>
      <c r="B363">
        <f t="shared" ca="1" si="74"/>
        <v>0.35737032086672549</v>
      </c>
      <c r="C363">
        <f t="shared" ca="1" si="75"/>
        <v>6.1611353270824454</v>
      </c>
      <c r="D363">
        <f t="shared" ca="1" si="76"/>
        <v>0.35471189389841806</v>
      </c>
      <c r="E363">
        <f t="shared" ca="1" si="77"/>
        <v>-4.3508833165044919E-2</v>
      </c>
      <c r="V363">
        <v>358</v>
      </c>
      <c r="W363">
        <f t="shared" ca="1" si="67"/>
        <v>0.35471189389841806</v>
      </c>
      <c r="X363">
        <f t="shared" ca="1" si="68"/>
        <v>-4.3508833165044919E-2</v>
      </c>
      <c r="Y363">
        <f>'uniforme cercle (rejet)'!AJ367</f>
        <v>0</v>
      </c>
      <c r="Z363">
        <f t="shared" ca="1" si="69"/>
        <v>0.22005379457057711</v>
      </c>
      <c r="AA363">
        <f t="shared" ca="1" si="70"/>
        <v>0.56259264615084792</v>
      </c>
      <c r="AB363">
        <f t="shared" ca="1" si="71"/>
        <v>1</v>
      </c>
      <c r="AC363">
        <f t="shared" ca="1" si="72"/>
        <v>0.35471189389841806</v>
      </c>
      <c r="AD363">
        <f t="shared" ca="1" si="73"/>
        <v>-4.3508833165044919E-2</v>
      </c>
    </row>
    <row r="364" spans="1:30" x14ac:dyDescent="0.2">
      <c r="A364">
        <f t="shared" si="78"/>
        <v>359</v>
      </c>
      <c r="B364">
        <f t="shared" ca="1" si="74"/>
        <v>0.56735520219776447</v>
      </c>
      <c r="C364">
        <f t="shared" ca="1" si="75"/>
        <v>1.579144228556427</v>
      </c>
      <c r="D364">
        <f t="shared" ca="1" si="76"/>
        <v>-4.7361704827747139E-3</v>
      </c>
      <c r="E364">
        <f t="shared" ca="1" si="77"/>
        <v>0.56733543354000404</v>
      </c>
      <c r="V364">
        <v>359</v>
      </c>
      <c r="W364">
        <f t="shared" ca="1" si="67"/>
        <v>-4.7361704827747139E-3</v>
      </c>
      <c r="X364">
        <f t="shared" ca="1" si="68"/>
        <v>0.56733543354000404</v>
      </c>
      <c r="Y364">
        <f>'uniforme cercle (rejet)'!AJ368</f>
        <v>0</v>
      </c>
      <c r="Z364">
        <f t="shared" ca="1" si="69"/>
        <v>0.39781775399832109</v>
      </c>
      <c r="AA364">
        <f t="shared" ca="1" si="70"/>
        <v>0.50920787739747009</v>
      </c>
      <c r="AB364">
        <f t="shared" ca="1" si="71"/>
        <v>1</v>
      </c>
      <c r="AC364">
        <f t="shared" ca="1" si="72"/>
        <v>-4.7361704827747139E-3</v>
      </c>
      <c r="AD364">
        <f t="shared" ca="1" si="73"/>
        <v>0.56733543354000404</v>
      </c>
    </row>
    <row r="365" spans="1:30" x14ac:dyDescent="0.2">
      <c r="A365">
        <f t="shared" si="78"/>
        <v>360</v>
      </c>
      <c r="B365">
        <f t="shared" ca="1" si="74"/>
        <v>0.17474614664429466</v>
      </c>
      <c r="C365">
        <f t="shared" ca="1" si="75"/>
        <v>0.19144174214407089</v>
      </c>
      <c r="D365">
        <f t="shared" ca="1" si="76"/>
        <v>0.1715536968452325</v>
      </c>
      <c r="E365">
        <f t="shared" ca="1" si="77"/>
        <v>3.3249734822452345E-2</v>
      </c>
      <c r="V365">
        <v>360</v>
      </c>
      <c r="W365">
        <f t="shared" ca="1" si="67"/>
        <v>0.1715536968452325</v>
      </c>
      <c r="X365">
        <f t="shared" ca="1" si="68"/>
        <v>3.3249734822452345E-2</v>
      </c>
      <c r="Y365">
        <f>'uniforme cercle (rejet)'!AJ369</f>
        <v>0</v>
      </c>
      <c r="Z365">
        <f t="shared" ca="1" si="69"/>
        <v>0.14481789534249564</v>
      </c>
      <c r="AA365">
        <f t="shared" ca="1" si="70"/>
        <v>0.57073004485425893</v>
      </c>
      <c r="AB365">
        <f t="shared" ca="1" si="71"/>
        <v>0</v>
      </c>
      <c r="AC365" t="e">
        <f t="shared" ca="1" si="72"/>
        <v>#N/A</v>
      </c>
      <c r="AD365" t="e">
        <f t="shared" ca="1" si="73"/>
        <v>#N/A</v>
      </c>
    </row>
    <row r="366" spans="1:30" x14ac:dyDescent="0.2">
      <c r="A366">
        <f t="shared" si="78"/>
        <v>361</v>
      </c>
      <c r="B366">
        <f t="shared" ca="1" si="74"/>
        <v>0.98810578345921418</v>
      </c>
      <c r="C366">
        <f t="shared" ca="1" si="75"/>
        <v>1.5968530198094739</v>
      </c>
      <c r="D366">
        <f t="shared" ca="1" si="76"/>
        <v>-2.5743855697584878E-2</v>
      </c>
      <c r="E366">
        <f t="shared" ca="1" si="77"/>
        <v>0.98777036460878365</v>
      </c>
      <c r="V366">
        <v>361</v>
      </c>
      <c r="W366">
        <f t="shared" ca="1" si="67"/>
        <v>-2.5743855697584878E-2</v>
      </c>
      <c r="X366">
        <f t="shared" ca="1" si="68"/>
        <v>0.98777036460878365</v>
      </c>
      <c r="Y366">
        <f>'uniforme cercle (rejet)'!AJ370</f>
        <v>0</v>
      </c>
      <c r="Z366">
        <f t="shared" ca="1" si="69"/>
        <v>0.68025546813232929</v>
      </c>
      <c r="AA366">
        <f t="shared" ca="1" si="70"/>
        <v>0.71716562270813622</v>
      </c>
      <c r="AB366">
        <f t="shared" ca="1" si="71"/>
        <v>1</v>
      </c>
      <c r="AC366">
        <f t="shared" ca="1" si="72"/>
        <v>-2.5743855697584878E-2</v>
      </c>
      <c r="AD366">
        <f t="shared" ca="1" si="73"/>
        <v>0.98777036460878365</v>
      </c>
    </row>
    <row r="367" spans="1:30" x14ac:dyDescent="0.2">
      <c r="A367">
        <f t="shared" si="78"/>
        <v>362</v>
      </c>
      <c r="B367">
        <f t="shared" ca="1" si="74"/>
        <v>0.95506712378931713</v>
      </c>
      <c r="C367">
        <f t="shared" ca="1" si="75"/>
        <v>0.43267448117481883</v>
      </c>
      <c r="D367">
        <f t="shared" ca="1" si="76"/>
        <v>0.8670553837980437</v>
      </c>
      <c r="E367">
        <f t="shared" ca="1" si="77"/>
        <v>0.40045995101885767</v>
      </c>
      <c r="V367">
        <v>362</v>
      </c>
      <c r="W367">
        <f t="shared" ca="1" si="67"/>
        <v>0.8670553837980437</v>
      </c>
      <c r="X367">
        <f t="shared" ca="1" si="68"/>
        <v>0.40045995101885767</v>
      </c>
      <c r="Y367">
        <f>'uniforme cercle (rejet)'!AJ371</f>
        <v>0</v>
      </c>
      <c r="Z367">
        <f t="shared" ca="1" si="69"/>
        <v>0.89626868850696817</v>
      </c>
      <c r="AA367">
        <f t="shared" ca="1" si="70"/>
        <v>0.38031286610670612</v>
      </c>
      <c r="AB367">
        <f t="shared" ca="1" si="71"/>
        <v>0</v>
      </c>
      <c r="AC367" t="e">
        <f t="shared" ca="1" si="72"/>
        <v>#N/A</v>
      </c>
      <c r="AD367" t="e">
        <f t="shared" ca="1" si="73"/>
        <v>#N/A</v>
      </c>
    </row>
    <row r="368" spans="1:30" x14ac:dyDescent="0.2">
      <c r="A368">
        <f t="shared" si="78"/>
        <v>363</v>
      </c>
      <c r="B368">
        <f t="shared" ca="1" si="74"/>
        <v>0.87487500742715918</v>
      </c>
      <c r="C368">
        <f t="shared" ca="1" si="75"/>
        <v>3.2025057208134822</v>
      </c>
      <c r="D368">
        <f t="shared" ca="1" si="76"/>
        <v>-0.87325244033517513</v>
      </c>
      <c r="E368">
        <f t="shared" ca="1" si="77"/>
        <v>-5.3258370885084498E-2</v>
      </c>
      <c r="V368">
        <v>363</v>
      </c>
      <c r="W368">
        <f t="shared" ca="1" si="67"/>
        <v>-0.87325244033517513</v>
      </c>
      <c r="X368">
        <f t="shared" ca="1" si="68"/>
        <v>-5.3258370885084498E-2</v>
      </c>
      <c r="Y368">
        <f>'uniforme cercle (rejet)'!AJ372</f>
        <v>0</v>
      </c>
      <c r="Z368">
        <f t="shared" ca="1" si="69"/>
        <v>0.65514207745649466</v>
      </c>
      <c r="AA368">
        <f t="shared" ca="1" si="70"/>
        <v>1.4805124416366555</v>
      </c>
      <c r="AB368">
        <f t="shared" ca="1" si="71"/>
        <v>0</v>
      </c>
      <c r="AC368" t="e">
        <f t="shared" ca="1" si="72"/>
        <v>#N/A</v>
      </c>
      <c r="AD368" t="e">
        <f t="shared" ca="1" si="73"/>
        <v>#N/A</v>
      </c>
    </row>
    <row r="369" spans="1:30" x14ac:dyDescent="0.2">
      <c r="A369">
        <f t="shared" si="78"/>
        <v>364</v>
      </c>
      <c r="B369">
        <f t="shared" ca="1" si="74"/>
        <v>0.138075487920572</v>
      </c>
      <c r="C369">
        <f t="shared" ca="1" si="75"/>
        <v>3.2185548638473969</v>
      </c>
      <c r="D369">
        <f t="shared" ca="1" si="76"/>
        <v>-0.13766676661547833</v>
      </c>
      <c r="E369">
        <f t="shared" ca="1" si="77"/>
        <v>-1.0616107297095678E-2</v>
      </c>
      <c r="V369">
        <v>364</v>
      </c>
      <c r="W369">
        <f t="shared" ca="1" si="67"/>
        <v>-0.13766676661547833</v>
      </c>
      <c r="X369">
        <f t="shared" ca="1" si="68"/>
        <v>-1.0616107297095678E-2</v>
      </c>
      <c r="Y369">
        <f>'uniforme cercle (rejet)'!AJ373</f>
        <v>0</v>
      </c>
      <c r="Z369">
        <f t="shared" ca="1" si="69"/>
        <v>0.10485182567741089</v>
      </c>
      <c r="AA369">
        <f t="shared" ca="1" si="70"/>
        <v>0.81691352925329741</v>
      </c>
      <c r="AB369">
        <f t="shared" ca="1" si="71"/>
        <v>0</v>
      </c>
      <c r="AC369" t="e">
        <f t="shared" ca="1" si="72"/>
        <v>#N/A</v>
      </c>
      <c r="AD369" t="e">
        <f t="shared" ca="1" si="73"/>
        <v>#N/A</v>
      </c>
    </row>
    <row r="370" spans="1:30" x14ac:dyDescent="0.2">
      <c r="A370">
        <f t="shared" si="78"/>
        <v>365</v>
      </c>
      <c r="B370">
        <f t="shared" ca="1" si="74"/>
        <v>0.51048870833837301</v>
      </c>
      <c r="C370">
        <f t="shared" ca="1" si="75"/>
        <v>2.1469508440189466</v>
      </c>
      <c r="D370">
        <f t="shared" ca="1" si="76"/>
        <v>-0.27811592780776917</v>
      </c>
      <c r="E370">
        <f t="shared" ca="1" si="77"/>
        <v>0.42807739024690872</v>
      </c>
      <c r="V370">
        <v>365</v>
      </c>
      <c r="W370">
        <f t="shared" ca="1" si="67"/>
        <v>-0.27811592780776917</v>
      </c>
      <c r="X370">
        <f t="shared" ca="1" si="68"/>
        <v>0.42807739024690872</v>
      </c>
      <c r="Y370">
        <f>'uniforme cercle (rejet)'!AJ374</f>
        <v>0</v>
      </c>
      <c r="Z370">
        <f t="shared" ca="1" si="69"/>
        <v>0.10603876700736731</v>
      </c>
      <c r="AA370">
        <f t="shared" ca="1" si="70"/>
        <v>0.78143282430535321</v>
      </c>
      <c r="AB370">
        <f t="shared" ca="1" si="71"/>
        <v>0</v>
      </c>
      <c r="AC370" t="e">
        <f t="shared" ca="1" si="72"/>
        <v>#N/A</v>
      </c>
      <c r="AD370" t="e">
        <f t="shared" ca="1" si="73"/>
        <v>#N/A</v>
      </c>
    </row>
    <row r="371" spans="1:30" x14ac:dyDescent="0.2">
      <c r="A371">
        <f t="shared" si="78"/>
        <v>366</v>
      </c>
      <c r="B371">
        <f t="shared" ca="1" si="74"/>
        <v>0.42893545985438308</v>
      </c>
      <c r="C371">
        <f t="shared" ca="1" si="75"/>
        <v>5.1679693876758268</v>
      </c>
      <c r="D371">
        <f t="shared" ca="1" si="76"/>
        <v>0.18872456650984157</v>
      </c>
      <c r="E371">
        <f t="shared" ca="1" si="77"/>
        <v>-0.38518653496217059</v>
      </c>
      <c r="V371">
        <v>366</v>
      </c>
      <c r="W371">
        <f t="shared" ca="1" si="67"/>
        <v>0.18872456650984157</v>
      </c>
      <c r="X371">
        <f t="shared" ca="1" si="68"/>
        <v>-0.38518653496217059</v>
      </c>
      <c r="Y371">
        <f>'uniforme cercle (rejet)'!AJ375</f>
        <v>0</v>
      </c>
      <c r="Z371">
        <f t="shared" ca="1" si="69"/>
        <v>0.13891959013789942</v>
      </c>
      <c r="AA371">
        <f t="shared" ca="1" si="70"/>
        <v>0.93832169173094371</v>
      </c>
      <c r="AB371">
        <f t="shared" ca="1" si="71"/>
        <v>0</v>
      </c>
      <c r="AC371" t="e">
        <f t="shared" ca="1" si="72"/>
        <v>#N/A</v>
      </c>
      <c r="AD371" t="e">
        <f t="shared" ca="1" si="73"/>
        <v>#N/A</v>
      </c>
    </row>
    <row r="372" spans="1:30" x14ac:dyDescent="0.2">
      <c r="A372">
        <f t="shared" si="78"/>
        <v>367</v>
      </c>
      <c r="B372">
        <f t="shared" ca="1" si="74"/>
        <v>0.61388849440397453</v>
      </c>
      <c r="C372">
        <f t="shared" ca="1" si="75"/>
        <v>0.29999522412817486</v>
      </c>
      <c r="D372">
        <f t="shared" ca="1" si="76"/>
        <v>0.58647094537354372</v>
      </c>
      <c r="E372">
        <f t="shared" ca="1" si="77"/>
        <v>0.18141365382528582</v>
      </c>
      <c r="V372">
        <v>367</v>
      </c>
      <c r="W372">
        <f t="shared" ca="1" si="67"/>
        <v>0.58647094537354372</v>
      </c>
      <c r="X372">
        <f t="shared" ca="1" si="68"/>
        <v>0.18141365382528582</v>
      </c>
      <c r="Y372">
        <f>'uniforme cercle (rejet)'!AJ376</f>
        <v>0</v>
      </c>
      <c r="Z372">
        <f t="shared" ca="1" si="69"/>
        <v>0.54297640726220653</v>
      </c>
      <c r="AA372">
        <f t="shared" ca="1" si="70"/>
        <v>0.33011283580428857</v>
      </c>
      <c r="AB372">
        <f t="shared" ca="1" si="71"/>
        <v>1</v>
      </c>
      <c r="AC372">
        <f t="shared" ca="1" si="72"/>
        <v>0.58647094537354372</v>
      </c>
      <c r="AD372">
        <f t="shared" ca="1" si="73"/>
        <v>0.18141365382528582</v>
      </c>
    </row>
    <row r="373" spans="1:30" x14ac:dyDescent="0.2">
      <c r="A373">
        <f t="shared" si="78"/>
        <v>368</v>
      </c>
      <c r="B373">
        <f t="shared" ca="1" si="74"/>
        <v>0.662069693845033</v>
      </c>
      <c r="C373">
        <f t="shared" ca="1" si="75"/>
        <v>3.2351447002179454</v>
      </c>
      <c r="D373">
        <f t="shared" ca="1" si="76"/>
        <v>-0.65917459410203982</v>
      </c>
      <c r="E373">
        <f t="shared" ca="1" si="77"/>
        <v>-6.1847667688173708E-2</v>
      </c>
      <c r="V373">
        <v>368</v>
      </c>
      <c r="W373">
        <f t="shared" ca="1" si="67"/>
        <v>-0.65917459410203982</v>
      </c>
      <c r="X373">
        <f t="shared" ca="1" si="68"/>
        <v>-6.1847667688173708E-2</v>
      </c>
      <c r="Y373">
        <f>'uniforme cercle (rejet)'!AJ377</f>
        <v>0</v>
      </c>
      <c r="Z373">
        <f t="shared" ca="1" si="69"/>
        <v>0.50983973069832211</v>
      </c>
      <c r="AA373">
        <f t="shared" ca="1" si="70"/>
        <v>1.2881609143652315</v>
      </c>
      <c r="AB373">
        <f t="shared" ca="1" si="71"/>
        <v>0</v>
      </c>
      <c r="AC373" t="e">
        <f t="shared" ca="1" si="72"/>
        <v>#N/A</v>
      </c>
      <c r="AD373" t="e">
        <f t="shared" ca="1" si="73"/>
        <v>#N/A</v>
      </c>
    </row>
    <row r="374" spans="1:30" x14ac:dyDescent="0.2">
      <c r="A374">
        <f t="shared" si="78"/>
        <v>369</v>
      </c>
      <c r="B374">
        <f t="shared" ca="1" si="74"/>
        <v>0.78652719489097989</v>
      </c>
      <c r="C374">
        <f t="shared" ca="1" si="75"/>
        <v>2.5371767829105627</v>
      </c>
      <c r="D374">
        <f t="shared" ca="1" si="76"/>
        <v>-0.64718146566703472</v>
      </c>
      <c r="E374">
        <f t="shared" ca="1" si="77"/>
        <v>0.44696887900629284</v>
      </c>
      <c r="V374">
        <v>369</v>
      </c>
      <c r="W374">
        <f t="shared" ca="1" si="67"/>
        <v>-0.64718146566703472</v>
      </c>
      <c r="X374">
        <f t="shared" ca="1" si="68"/>
        <v>0.44696887900629284</v>
      </c>
      <c r="Y374">
        <f>'uniforme cercle (rejet)'!AJ378</f>
        <v>0</v>
      </c>
      <c r="Z374">
        <f t="shared" ca="1" si="69"/>
        <v>0.14157167770670989</v>
      </c>
      <c r="AA374">
        <f t="shared" ca="1" si="70"/>
        <v>1.1484065547373956</v>
      </c>
      <c r="AB374">
        <f t="shared" ca="1" si="71"/>
        <v>0</v>
      </c>
      <c r="AC374" t="e">
        <f t="shared" ca="1" si="72"/>
        <v>#N/A</v>
      </c>
      <c r="AD374" t="e">
        <f t="shared" ca="1" si="73"/>
        <v>#N/A</v>
      </c>
    </row>
    <row r="375" spans="1:30" x14ac:dyDescent="0.2">
      <c r="A375">
        <f t="shared" si="78"/>
        <v>370</v>
      </c>
      <c r="B375">
        <f t="shared" ca="1" si="74"/>
        <v>0.83461173106292186</v>
      </c>
      <c r="C375">
        <f t="shared" ca="1" si="75"/>
        <v>1.1258137861343298</v>
      </c>
      <c r="D375">
        <f t="shared" ca="1" si="76"/>
        <v>0.35925204393828986</v>
      </c>
      <c r="E375">
        <f t="shared" ca="1" si="77"/>
        <v>0.75333572234031754</v>
      </c>
      <c r="V375">
        <v>370</v>
      </c>
      <c r="W375">
        <f t="shared" ca="1" si="67"/>
        <v>0.35925204393828986</v>
      </c>
      <c r="X375">
        <f t="shared" ca="1" si="68"/>
        <v>0.75333572234031754</v>
      </c>
      <c r="Y375">
        <f>'uniforme cercle (rejet)'!AJ379</f>
        <v>0</v>
      </c>
      <c r="Z375">
        <f t="shared" ca="1" si="69"/>
        <v>0.78671835420079694</v>
      </c>
      <c r="AA375">
        <f t="shared" ca="1" si="70"/>
        <v>0.28980851497021193</v>
      </c>
      <c r="AB375">
        <f t="shared" ca="1" si="71"/>
        <v>0</v>
      </c>
      <c r="AC375" t="e">
        <f t="shared" ca="1" si="72"/>
        <v>#N/A</v>
      </c>
      <c r="AD375" t="e">
        <f t="shared" ca="1" si="73"/>
        <v>#N/A</v>
      </c>
    </row>
    <row r="376" spans="1:30" x14ac:dyDescent="0.2">
      <c r="A376">
        <f t="shared" si="78"/>
        <v>371</v>
      </c>
      <c r="B376">
        <f t="shared" ca="1" si="74"/>
        <v>0.49517597278033831</v>
      </c>
      <c r="C376">
        <f t="shared" ca="1" si="75"/>
        <v>2.9291476555965636</v>
      </c>
      <c r="D376">
        <f t="shared" ca="1" si="76"/>
        <v>-0.48404357900258965</v>
      </c>
      <c r="E376">
        <f t="shared" ca="1" si="77"/>
        <v>0.1044081301686709</v>
      </c>
      <c r="V376">
        <v>371</v>
      </c>
      <c r="W376">
        <f t="shared" ca="1" si="67"/>
        <v>-0.48404357900258965</v>
      </c>
      <c r="X376">
        <f t="shared" ca="1" si="68"/>
        <v>0.1044081301686709</v>
      </c>
      <c r="Y376">
        <f>'uniforme cercle (rejet)'!AJ380</f>
        <v>0</v>
      </c>
      <c r="Z376">
        <f t="shared" ca="1" si="69"/>
        <v>0.26844280024926259</v>
      </c>
      <c r="AA376">
        <f t="shared" ca="1" si="70"/>
        <v>1.0605822423805111</v>
      </c>
      <c r="AB376">
        <f t="shared" ca="1" si="71"/>
        <v>0</v>
      </c>
      <c r="AC376" t="e">
        <f t="shared" ca="1" si="72"/>
        <v>#N/A</v>
      </c>
      <c r="AD376" t="e">
        <f t="shared" ca="1" si="73"/>
        <v>#N/A</v>
      </c>
    </row>
    <row r="377" spans="1:30" x14ac:dyDescent="0.2">
      <c r="A377">
        <f t="shared" si="78"/>
        <v>372</v>
      </c>
      <c r="B377">
        <f t="shared" ca="1" si="74"/>
        <v>0.26145668418439083</v>
      </c>
      <c r="C377">
        <f t="shared" ca="1" si="75"/>
        <v>1.8648362361282518</v>
      </c>
      <c r="D377">
        <f t="shared" ca="1" si="76"/>
        <v>-7.577566367145501E-2</v>
      </c>
      <c r="E377">
        <f t="shared" ca="1" si="77"/>
        <v>0.25023518237819165</v>
      </c>
      <c r="V377">
        <v>372</v>
      </c>
      <c r="W377">
        <f t="shared" ca="1" si="67"/>
        <v>-7.577566367145501E-2</v>
      </c>
      <c r="X377">
        <f t="shared" ca="1" si="68"/>
        <v>0.25023518237819165</v>
      </c>
      <c r="Y377">
        <f>'uniforme cercle (rejet)'!AJ381</f>
        <v>0</v>
      </c>
      <c r="Z377">
        <f t="shared" ca="1" si="69"/>
        <v>0.12336150872007483</v>
      </c>
      <c r="AA377">
        <f t="shared" ca="1" si="70"/>
        <v>0.62761459431561961</v>
      </c>
      <c r="AB377">
        <f t="shared" ca="1" si="71"/>
        <v>0</v>
      </c>
      <c r="AC377" t="e">
        <f t="shared" ca="1" si="72"/>
        <v>#N/A</v>
      </c>
      <c r="AD377" t="e">
        <f t="shared" ca="1" si="73"/>
        <v>#N/A</v>
      </c>
    </row>
    <row r="378" spans="1:30" x14ac:dyDescent="0.2">
      <c r="A378">
        <f t="shared" si="78"/>
        <v>373</v>
      </c>
      <c r="B378">
        <f t="shared" ca="1" si="74"/>
        <v>0.85338181179269568</v>
      </c>
      <c r="C378">
        <f t="shared" ca="1" si="75"/>
        <v>0.3103801440828946</v>
      </c>
      <c r="D378">
        <f t="shared" ca="1" si="76"/>
        <v>0.81260512510448957</v>
      </c>
      <c r="E378">
        <f t="shared" ca="1" si="77"/>
        <v>0.26064041772622448</v>
      </c>
      <c r="V378">
        <v>373</v>
      </c>
      <c r="W378">
        <f t="shared" ca="1" si="67"/>
        <v>0.81260512510448957</v>
      </c>
      <c r="X378">
        <f t="shared" ca="1" si="68"/>
        <v>0.26064041772622448</v>
      </c>
      <c r="Y378">
        <f>'uniforme cercle (rejet)'!AJ382</f>
        <v>0</v>
      </c>
      <c r="Z378">
        <f t="shared" ca="1" si="69"/>
        <v>0.75889920121383525</v>
      </c>
      <c r="AA378">
        <f t="shared" ca="1" si="70"/>
        <v>0.39371941007254124</v>
      </c>
      <c r="AB378">
        <f t="shared" ca="1" si="71"/>
        <v>0</v>
      </c>
      <c r="AC378" t="e">
        <f t="shared" ca="1" si="72"/>
        <v>#N/A</v>
      </c>
      <c r="AD378" t="e">
        <f t="shared" ca="1" si="73"/>
        <v>#N/A</v>
      </c>
    </row>
    <row r="379" spans="1:30" x14ac:dyDescent="0.2">
      <c r="A379">
        <f t="shared" si="78"/>
        <v>374</v>
      </c>
      <c r="B379">
        <f t="shared" ca="1" si="74"/>
        <v>0.79861847167394195</v>
      </c>
      <c r="C379">
        <f t="shared" ca="1" si="75"/>
        <v>3.9470297476452125</v>
      </c>
      <c r="D379">
        <f t="shared" ca="1" si="76"/>
        <v>-0.55327976099277498</v>
      </c>
      <c r="E379">
        <f t="shared" ca="1" si="77"/>
        <v>-0.57591055674870262</v>
      </c>
      <c r="V379">
        <v>374</v>
      </c>
      <c r="W379">
        <f t="shared" ca="1" si="67"/>
        <v>-0.55327976099277498</v>
      </c>
      <c r="X379">
        <f t="shared" ca="1" si="68"/>
        <v>-0.57591055674870262</v>
      </c>
      <c r="Y379">
        <f>'uniforme cercle (rejet)'!AJ383</f>
        <v>0</v>
      </c>
      <c r="Z379">
        <f t="shared" ca="1" si="69"/>
        <v>0.79845813092519102</v>
      </c>
      <c r="AA379">
        <f t="shared" ca="1" si="70"/>
        <v>1.50564995302371</v>
      </c>
      <c r="AB379">
        <f t="shared" ca="1" si="71"/>
        <v>0</v>
      </c>
      <c r="AC379" t="e">
        <f t="shared" ca="1" si="72"/>
        <v>#N/A</v>
      </c>
      <c r="AD379" t="e">
        <f t="shared" ca="1" si="73"/>
        <v>#N/A</v>
      </c>
    </row>
    <row r="380" spans="1:30" x14ac:dyDescent="0.2">
      <c r="A380">
        <f t="shared" si="78"/>
        <v>375</v>
      </c>
      <c r="B380">
        <f t="shared" ca="1" si="74"/>
        <v>0.54679217902785049</v>
      </c>
      <c r="C380">
        <f t="shared" ca="1" si="75"/>
        <v>5.1300205217255481</v>
      </c>
      <c r="D380">
        <f t="shared" ca="1" si="76"/>
        <v>0.22177710229988676</v>
      </c>
      <c r="E380">
        <f t="shared" ca="1" si="77"/>
        <v>-0.49979656255469629</v>
      </c>
      <c r="V380">
        <v>375</v>
      </c>
      <c r="W380">
        <f t="shared" ca="1" si="67"/>
        <v>0.22177710229988676</v>
      </c>
      <c r="X380">
        <f t="shared" ca="1" si="68"/>
        <v>-0.49979656255469629</v>
      </c>
      <c r="Y380">
        <f>'uniforme cercle (rejet)'!AJ384</f>
        <v>0</v>
      </c>
      <c r="Z380">
        <f t="shared" ca="1" si="69"/>
        <v>0.19658944564799963</v>
      </c>
      <c r="AA380">
        <f t="shared" ca="1" si="70"/>
        <v>1.0377866578930539</v>
      </c>
      <c r="AB380">
        <f t="shared" ca="1" si="71"/>
        <v>0</v>
      </c>
      <c r="AC380" t="e">
        <f t="shared" ca="1" si="72"/>
        <v>#N/A</v>
      </c>
      <c r="AD380" t="e">
        <f t="shared" ca="1" si="73"/>
        <v>#N/A</v>
      </c>
    </row>
    <row r="381" spans="1:30" x14ac:dyDescent="0.2">
      <c r="A381">
        <f t="shared" si="78"/>
        <v>376</v>
      </c>
      <c r="B381">
        <f t="shared" ca="1" si="74"/>
        <v>0.39156734166117846</v>
      </c>
      <c r="C381">
        <f t="shared" ca="1" si="75"/>
        <v>6.2058087615003128</v>
      </c>
      <c r="D381">
        <f t="shared" ca="1" si="76"/>
        <v>0.39039574412427425</v>
      </c>
      <c r="E381">
        <f t="shared" ca="1" si="77"/>
        <v>-3.0267904209843214E-2</v>
      </c>
      <c r="V381">
        <v>376</v>
      </c>
      <c r="W381">
        <f t="shared" ca="1" si="67"/>
        <v>0.39039574412427425</v>
      </c>
      <c r="X381">
        <f t="shared" ca="1" si="68"/>
        <v>-3.0267904209843214E-2</v>
      </c>
      <c r="Y381">
        <f>'uniforme cercle (rejet)'!AJ385</f>
        <v>0</v>
      </c>
      <c r="Z381">
        <f t="shared" ca="1" si="69"/>
        <v>0.25464883769755758</v>
      </c>
      <c r="AA381">
        <f t="shared" ca="1" si="70"/>
        <v>0.54147681680859716</v>
      </c>
      <c r="AB381">
        <f t="shared" ca="1" si="71"/>
        <v>1</v>
      </c>
      <c r="AC381">
        <f t="shared" ca="1" si="72"/>
        <v>0.39039574412427425</v>
      </c>
      <c r="AD381">
        <f t="shared" ca="1" si="73"/>
        <v>-3.0267904209843214E-2</v>
      </c>
    </row>
    <row r="382" spans="1:30" x14ac:dyDescent="0.2">
      <c r="A382">
        <f t="shared" si="78"/>
        <v>377</v>
      </c>
      <c r="B382">
        <f t="shared" ca="1" si="74"/>
        <v>0.2445908938991247</v>
      </c>
      <c r="C382">
        <f t="shared" ca="1" si="75"/>
        <v>5.4308361786975876</v>
      </c>
      <c r="D382">
        <f t="shared" ca="1" si="76"/>
        <v>0.16099375533514798</v>
      </c>
      <c r="E382">
        <f t="shared" ca="1" si="77"/>
        <v>-0.18413504859602198</v>
      </c>
      <c r="V382">
        <v>377</v>
      </c>
      <c r="W382">
        <f t="shared" ca="1" si="67"/>
        <v>0.16099375533514798</v>
      </c>
      <c r="X382">
        <f t="shared" ca="1" si="68"/>
        <v>-0.18413504859602198</v>
      </c>
      <c r="Y382">
        <f>'uniforme cercle (rejet)'!AJ386</f>
        <v>0</v>
      </c>
      <c r="Z382">
        <f t="shared" ca="1" si="69"/>
        <v>1.6363365390190558E-2</v>
      </c>
      <c r="AA382">
        <f t="shared" ca="1" si="70"/>
        <v>0.76352210095009487</v>
      </c>
      <c r="AB382">
        <f t="shared" ca="1" si="71"/>
        <v>0</v>
      </c>
      <c r="AC382" t="e">
        <f t="shared" ca="1" si="72"/>
        <v>#N/A</v>
      </c>
      <c r="AD382" t="e">
        <f t="shared" ca="1" si="73"/>
        <v>#N/A</v>
      </c>
    </row>
    <row r="383" spans="1:30" x14ac:dyDescent="0.2">
      <c r="A383">
        <f t="shared" si="78"/>
        <v>378</v>
      </c>
      <c r="B383">
        <f t="shared" ca="1" si="74"/>
        <v>0.63239512824627775</v>
      </c>
      <c r="C383">
        <f t="shared" ca="1" si="75"/>
        <v>3.6834819574996649</v>
      </c>
      <c r="D383">
        <f t="shared" ca="1" si="76"/>
        <v>-0.54179554106799843</v>
      </c>
      <c r="E383">
        <f t="shared" ca="1" si="77"/>
        <v>-0.32616129431381169</v>
      </c>
      <c r="V383">
        <v>378</v>
      </c>
      <c r="W383">
        <f t="shared" ca="1" si="67"/>
        <v>-0.54179554106799843</v>
      </c>
      <c r="X383">
        <f t="shared" ca="1" si="68"/>
        <v>-0.32616129431381169</v>
      </c>
      <c r="Y383">
        <f>'uniforme cercle (rejet)'!AJ387</f>
        <v>0</v>
      </c>
      <c r="Z383">
        <f t="shared" ca="1" si="69"/>
        <v>0.61373816407569393</v>
      </c>
      <c r="AA383">
        <f t="shared" ca="1" si="70"/>
        <v>1.3296166491178711</v>
      </c>
      <c r="AB383">
        <f t="shared" ca="1" si="71"/>
        <v>0</v>
      </c>
      <c r="AC383" t="e">
        <f t="shared" ca="1" si="72"/>
        <v>#N/A</v>
      </c>
      <c r="AD383" t="e">
        <f t="shared" ca="1" si="73"/>
        <v>#N/A</v>
      </c>
    </row>
    <row r="384" spans="1:30" x14ac:dyDescent="0.2">
      <c r="A384">
        <f t="shared" si="78"/>
        <v>379</v>
      </c>
      <c r="B384">
        <f t="shared" ca="1" si="74"/>
        <v>0.71007296809776732</v>
      </c>
      <c r="C384">
        <f t="shared" ca="1" si="75"/>
        <v>0.91668290023413601</v>
      </c>
      <c r="D384">
        <f t="shared" ca="1" si="76"/>
        <v>0.43204809311047221</v>
      </c>
      <c r="E384">
        <f t="shared" ca="1" si="77"/>
        <v>0.56350515992560146</v>
      </c>
      <c r="V384">
        <v>379</v>
      </c>
      <c r="W384">
        <f t="shared" ca="1" si="67"/>
        <v>0.43204809311047221</v>
      </c>
      <c r="X384">
        <f t="shared" ca="1" si="68"/>
        <v>0.56350515992560146</v>
      </c>
      <c r="Y384">
        <f>'uniforme cercle (rejet)'!AJ388</f>
        <v>0</v>
      </c>
      <c r="Z384">
        <f t="shared" ca="1" si="69"/>
        <v>0.70396245625413445</v>
      </c>
      <c r="AA384">
        <f t="shared" ca="1" si="70"/>
        <v>9.300734910263421E-2</v>
      </c>
      <c r="AB384">
        <f t="shared" ca="1" si="71"/>
        <v>0</v>
      </c>
      <c r="AC384" t="e">
        <f t="shared" ca="1" si="72"/>
        <v>#N/A</v>
      </c>
      <c r="AD384" t="e">
        <f t="shared" ca="1" si="73"/>
        <v>#N/A</v>
      </c>
    </row>
    <row r="385" spans="1:30" x14ac:dyDescent="0.2">
      <c r="A385">
        <f t="shared" si="78"/>
        <v>380</v>
      </c>
      <c r="B385">
        <f t="shared" ca="1" si="74"/>
        <v>0.4609746464694785</v>
      </c>
      <c r="C385">
        <f t="shared" ca="1" si="75"/>
        <v>4.1711268237713002</v>
      </c>
      <c r="D385">
        <f t="shared" ca="1" si="76"/>
        <v>-0.23750250202977419</v>
      </c>
      <c r="E385">
        <f t="shared" ca="1" si="77"/>
        <v>-0.39508250558238817</v>
      </c>
      <c r="V385">
        <v>380</v>
      </c>
      <c r="W385">
        <f t="shared" ca="1" si="67"/>
        <v>-0.23750250202977419</v>
      </c>
      <c r="X385">
        <f t="shared" ca="1" si="68"/>
        <v>-0.39508250558238817</v>
      </c>
      <c r="Y385">
        <f>'uniforme cercle (rejet)'!AJ389</f>
        <v>0</v>
      </c>
      <c r="Z385">
        <f t="shared" ca="1" si="69"/>
        <v>0.44730514855950382</v>
      </c>
      <c r="AA385">
        <f t="shared" ca="1" si="70"/>
        <v>1.1597769752412843</v>
      </c>
      <c r="AB385">
        <f t="shared" ca="1" si="71"/>
        <v>0</v>
      </c>
      <c r="AC385" t="e">
        <f t="shared" ca="1" si="72"/>
        <v>#N/A</v>
      </c>
      <c r="AD385" t="e">
        <f t="shared" ca="1" si="73"/>
        <v>#N/A</v>
      </c>
    </row>
    <row r="386" spans="1:30" x14ac:dyDescent="0.2">
      <c r="A386">
        <f t="shared" si="78"/>
        <v>381</v>
      </c>
      <c r="B386">
        <f t="shared" ca="1" si="74"/>
        <v>0.37039130442157187</v>
      </c>
      <c r="C386">
        <f t="shared" ca="1" si="75"/>
        <v>3.5885163701836649</v>
      </c>
      <c r="D386">
        <f t="shared" ca="1" si="76"/>
        <v>-0.3340118100763948</v>
      </c>
      <c r="E386">
        <f t="shared" ca="1" si="77"/>
        <v>-0.16008069565254865</v>
      </c>
      <c r="V386">
        <v>381</v>
      </c>
      <c r="W386">
        <f t="shared" ca="1" si="67"/>
        <v>-0.3340118100763948</v>
      </c>
      <c r="X386">
        <f t="shared" ca="1" si="68"/>
        <v>-0.16008069565254865</v>
      </c>
      <c r="Y386">
        <f>'uniforme cercle (rejet)'!AJ390</f>
        <v>0</v>
      </c>
      <c r="Z386">
        <f t="shared" ca="1" si="69"/>
        <v>0.34937616133438898</v>
      </c>
      <c r="AA386">
        <f t="shared" ca="1" si="70"/>
        <v>1.0636175177760363</v>
      </c>
      <c r="AB386">
        <f t="shared" ca="1" si="71"/>
        <v>0</v>
      </c>
      <c r="AC386" t="e">
        <f t="shared" ca="1" si="72"/>
        <v>#N/A</v>
      </c>
      <c r="AD386" t="e">
        <f t="shared" ca="1" si="73"/>
        <v>#N/A</v>
      </c>
    </row>
    <row r="387" spans="1:30" x14ac:dyDescent="0.2">
      <c r="A387">
        <f t="shared" si="78"/>
        <v>382</v>
      </c>
      <c r="B387">
        <f t="shared" ca="1" si="74"/>
        <v>0.89275649316956285</v>
      </c>
      <c r="C387">
        <f t="shared" ca="1" si="75"/>
        <v>6.0487561421568437</v>
      </c>
      <c r="D387">
        <f t="shared" ca="1" si="76"/>
        <v>0.86833701212135517</v>
      </c>
      <c r="E387">
        <f t="shared" ca="1" si="77"/>
        <v>-0.20737644388062312</v>
      </c>
      <c r="V387">
        <v>382</v>
      </c>
      <c r="W387">
        <f t="shared" ca="1" si="67"/>
        <v>0.86833701212135517</v>
      </c>
      <c r="X387">
        <f t="shared" ca="1" si="68"/>
        <v>-0.20737644388062312</v>
      </c>
      <c r="Y387">
        <f>'uniforme cercle (rejet)'!AJ391</f>
        <v>0</v>
      </c>
      <c r="Z387">
        <f t="shared" ca="1" si="69"/>
        <v>0.46736969989993543</v>
      </c>
      <c r="AA387">
        <f t="shared" ca="1" si="70"/>
        <v>0.79752967835415611</v>
      </c>
      <c r="AB387">
        <f t="shared" ca="1" si="71"/>
        <v>1</v>
      </c>
      <c r="AC387">
        <f t="shared" ca="1" si="72"/>
        <v>0.86833701212135517</v>
      </c>
      <c r="AD387">
        <f t="shared" ca="1" si="73"/>
        <v>-0.20737644388062312</v>
      </c>
    </row>
    <row r="388" spans="1:30" x14ac:dyDescent="0.2">
      <c r="A388">
        <f t="shared" si="78"/>
        <v>383</v>
      </c>
      <c r="B388">
        <f t="shared" ca="1" si="74"/>
        <v>0.68151824144537287</v>
      </c>
      <c r="C388">
        <f t="shared" ca="1" si="75"/>
        <v>1.1914272286624219</v>
      </c>
      <c r="D388">
        <f t="shared" ca="1" si="76"/>
        <v>0.25238971676325844</v>
      </c>
      <c r="E388">
        <f t="shared" ca="1" si="77"/>
        <v>0.63306124845464651</v>
      </c>
      <c r="V388">
        <v>383</v>
      </c>
      <c r="W388">
        <f t="shared" ca="1" si="67"/>
        <v>0.25238971676325844</v>
      </c>
      <c r="X388">
        <f t="shared" ca="1" si="68"/>
        <v>0.63306124845464651</v>
      </c>
      <c r="Y388">
        <f>'uniforme cercle (rejet)'!AJ392</f>
        <v>0</v>
      </c>
      <c r="Z388">
        <f t="shared" ca="1" si="69"/>
        <v>0.6261083819137544</v>
      </c>
      <c r="AA388">
        <f t="shared" ca="1" si="70"/>
        <v>0.28109811135062529</v>
      </c>
      <c r="AB388">
        <f t="shared" ca="1" si="71"/>
        <v>1</v>
      </c>
      <c r="AC388">
        <f t="shared" ca="1" si="72"/>
        <v>0.25238971676325844</v>
      </c>
      <c r="AD388">
        <f t="shared" ca="1" si="73"/>
        <v>0.63306124845464651</v>
      </c>
    </row>
    <row r="389" spans="1:30" x14ac:dyDescent="0.2">
      <c r="A389">
        <f t="shared" si="78"/>
        <v>384</v>
      </c>
      <c r="B389">
        <f t="shared" ca="1" si="74"/>
        <v>1.7254073346814169E-2</v>
      </c>
      <c r="C389">
        <f t="shared" ca="1" si="75"/>
        <v>5.8818027257268479</v>
      </c>
      <c r="D389">
        <f t="shared" ca="1" si="76"/>
        <v>1.5882749123735562E-2</v>
      </c>
      <c r="E389">
        <f t="shared" ca="1" si="77"/>
        <v>-6.7410182709825399E-3</v>
      </c>
      <c r="V389">
        <v>384</v>
      </c>
      <c r="W389">
        <f t="shared" ca="1" si="67"/>
        <v>1.5882749123735562E-2</v>
      </c>
      <c r="X389">
        <f t="shared" ca="1" si="68"/>
        <v>-6.7410182709825399E-3</v>
      </c>
      <c r="Y389">
        <f>'uniforme cercle (rejet)'!AJ393</f>
        <v>0</v>
      </c>
      <c r="Z389">
        <f t="shared" ca="1" si="69"/>
        <v>6.4641798777639418E-3</v>
      </c>
      <c r="AA389">
        <f t="shared" ca="1" si="70"/>
        <v>0.70082520801859305</v>
      </c>
      <c r="AB389">
        <f t="shared" ca="1" si="71"/>
        <v>0</v>
      </c>
      <c r="AC389" t="e">
        <f t="shared" ca="1" si="72"/>
        <v>#N/A</v>
      </c>
      <c r="AD389" t="e">
        <f t="shared" ca="1" si="73"/>
        <v>#N/A</v>
      </c>
    </row>
    <row r="390" spans="1:30" x14ac:dyDescent="0.2">
      <c r="A390">
        <f t="shared" si="78"/>
        <v>385</v>
      </c>
      <c r="B390">
        <f t="shared" ca="1" si="74"/>
        <v>0.87827776847733385</v>
      </c>
      <c r="C390">
        <f t="shared" ca="1" si="75"/>
        <v>4.9428775855100682</v>
      </c>
      <c r="D390">
        <f t="shared" ca="1" si="76"/>
        <v>0.20064539716861943</v>
      </c>
      <c r="E390">
        <f t="shared" ca="1" si="77"/>
        <v>-0.85505161434650956</v>
      </c>
      <c r="V390">
        <v>385</v>
      </c>
      <c r="W390">
        <f t="shared" ca="1" si="67"/>
        <v>0.20064539716861943</v>
      </c>
      <c r="X390">
        <f t="shared" ca="1" si="68"/>
        <v>-0.85505161434650956</v>
      </c>
      <c r="Y390">
        <f>'uniforme cercle (rejet)'!AJ394</f>
        <v>0</v>
      </c>
      <c r="Z390">
        <f t="shared" ca="1" si="69"/>
        <v>0.46273507381712264</v>
      </c>
      <c r="AA390">
        <f t="shared" ca="1" si="70"/>
        <v>1.3877240560642508</v>
      </c>
      <c r="AB390">
        <f t="shared" ca="1" si="71"/>
        <v>0</v>
      </c>
      <c r="AC390" t="e">
        <f t="shared" ca="1" si="72"/>
        <v>#N/A</v>
      </c>
      <c r="AD390" t="e">
        <f t="shared" ca="1" si="73"/>
        <v>#N/A</v>
      </c>
    </row>
    <row r="391" spans="1:30" x14ac:dyDescent="0.2">
      <c r="A391">
        <f t="shared" si="78"/>
        <v>386</v>
      </c>
      <c r="B391">
        <f t="shared" ca="1" si="74"/>
        <v>0.97354217900835249</v>
      </c>
      <c r="C391">
        <f t="shared" ca="1" si="75"/>
        <v>2.1211446374368315</v>
      </c>
      <c r="D391">
        <f t="shared" ca="1" si="76"/>
        <v>-0.50914711980892557</v>
      </c>
      <c r="E391">
        <f t="shared" ca="1" si="77"/>
        <v>0.82979128984257633</v>
      </c>
      <c r="V391">
        <v>386</v>
      </c>
      <c r="W391">
        <f t="shared" ref="W391:W454" ca="1" si="79">D391</f>
        <v>-0.50914711980892557</v>
      </c>
      <c r="X391">
        <f t="shared" ref="X391:X454" ca="1" si="80">E391</f>
        <v>0.82979128984257633</v>
      </c>
      <c r="Y391">
        <f>'uniforme cercle (rejet)'!AJ395</f>
        <v>0</v>
      </c>
      <c r="Z391">
        <f t="shared" ref="Z391:Z454" ca="1" si="81">(W391+X391)^2/SQRT(2*(W391+X391)^2)</f>
        <v>0.22672966697872685</v>
      </c>
      <c r="AA391">
        <f t="shared" ref="AA391:AA454" ca="1" si="82">SQRT((W391-0.5)^2+(X391-0.5)^2)</f>
        <v>1.0616685943714639</v>
      </c>
      <c r="AB391">
        <f t="shared" ref="AB391:AB454" ca="1" si="83">IF(ABS(AA391-Z391)&lt;SQRT(2)/2/2,1,0)</f>
        <v>0</v>
      </c>
      <c r="AC391" t="e">
        <f t="shared" ref="AC391:AC454" ca="1" si="84">IF($AB391=1,W391,NA())</f>
        <v>#N/A</v>
      </c>
      <c r="AD391" t="e">
        <f t="shared" ref="AD391:AD454" ca="1" si="85">IF($AB391=1,X391,NA())</f>
        <v>#N/A</v>
      </c>
    </row>
    <row r="392" spans="1:30" x14ac:dyDescent="0.2">
      <c r="A392">
        <f t="shared" si="78"/>
        <v>387</v>
      </c>
      <c r="B392">
        <f t="shared" ref="B392:B455" ca="1" si="86">RAND()</f>
        <v>0.85707692428432936</v>
      </c>
      <c r="C392">
        <f t="shared" ref="C392:C455" ca="1" si="87">RAND()*2*PI()</f>
        <v>3.5979058987667885</v>
      </c>
      <c r="D392">
        <f t="shared" ca="1" si="76"/>
        <v>-0.76938349776008752</v>
      </c>
      <c r="E392">
        <f t="shared" ca="1" si="77"/>
        <v>-0.37766372279468324</v>
      </c>
      <c r="V392">
        <v>387</v>
      </c>
      <c r="W392">
        <f t="shared" ca="1" si="79"/>
        <v>-0.76938349776008752</v>
      </c>
      <c r="X392">
        <f t="shared" ca="1" si="80"/>
        <v>-0.37766372279468324</v>
      </c>
      <c r="Y392">
        <f>'uniforme cercle (rejet)'!AJ396</f>
        <v>0</v>
      </c>
      <c r="Z392">
        <f t="shared" ca="1" si="81"/>
        <v>0.81108486799545987</v>
      </c>
      <c r="AA392">
        <f t="shared" ca="1" si="82"/>
        <v>1.5432524338861278</v>
      </c>
      <c r="AB392">
        <f t="shared" ca="1" si="83"/>
        <v>0</v>
      </c>
      <c r="AC392" t="e">
        <f t="shared" ca="1" si="84"/>
        <v>#N/A</v>
      </c>
      <c r="AD392" t="e">
        <f t="shared" ca="1" si="85"/>
        <v>#N/A</v>
      </c>
    </row>
    <row r="393" spans="1:30" x14ac:dyDescent="0.2">
      <c r="A393">
        <f t="shared" si="78"/>
        <v>388</v>
      </c>
      <c r="B393">
        <f t="shared" ca="1" si="86"/>
        <v>0.72116157891796451</v>
      </c>
      <c r="C393">
        <f t="shared" ca="1" si="87"/>
        <v>5.5325734566011313</v>
      </c>
      <c r="D393">
        <f t="shared" ca="1" si="76"/>
        <v>0.52736503278424107</v>
      </c>
      <c r="E393">
        <f t="shared" ca="1" si="77"/>
        <v>-0.49189444508342223</v>
      </c>
      <c r="V393">
        <v>388</v>
      </c>
      <c r="W393">
        <f t="shared" ca="1" si="79"/>
        <v>0.52736503278424107</v>
      </c>
      <c r="X393">
        <f t="shared" ca="1" si="80"/>
        <v>-0.49189444508342223</v>
      </c>
      <c r="Y393">
        <f>'uniforme cercle (rejet)'!AJ397</f>
        <v>0</v>
      </c>
      <c r="Z393">
        <f t="shared" ca="1" si="81"/>
        <v>2.5081493095921153E-2</v>
      </c>
      <c r="AA393">
        <f t="shared" ca="1" si="82"/>
        <v>0.99227185549456787</v>
      </c>
      <c r="AB393">
        <f t="shared" ca="1" si="83"/>
        <v>0</v>
      </c>
      <c r="AC393" t="e">
        <f t="shared" ca="1" si="84"/>
        <v>#N/A</v>
      </c>
      <c r="AD393" t="e">
        <f t="shared" ca="1" si="85"/>
        <v>#N/A</v>
      </c>
    </row>
    <row r="394" spans="1:30" x14ac:dyDescent="0.2">
      <c r="A394">
        <f t="shared" si="78"/>
        <v>389</v>
      </c>
      <c r="B394">
        <f t="shared" ca="1" si="86"/>
        <v>0.20330697516258056</v>
      </c>
      <c r="C394">
        <f t="shared" ca="1" si="87"/>
        <v>4.6414872179581002</v>
      </c>
      <c r="D394">
        <f t="shared" ca="1" si="76"/>
        <v>-1.4402748524939385E-2</v>
      </c>
      <c r="E394">
        <f t="shared" ca="1" si="77"/>
        <v>-0.20279617103063238</v>
      </c>
      <c r="V394">
        <v>389</v>
      </c>
      <c r="W394">
        <f t="shared" ca="1" si="79"/>
        <v>-1.4402748524939385E-2</v>
      </c>
      <c r="X394">
        <f t="shared" ca="1" si="80"/>
        <v>-0.20279617103063238</v>
      </c>
      <c r="Y394">
        <f>'uniforme cercle (rejet)'!AJ398</f>
        <v>0</v>
      </c>
      <c r="Z394">
        <f t="shared" ca="1" si="81"/>
        <v>0.15358282888413621</v>
      </c>
      <c r="AA394">
        <f t="shared" ca="1" si="82"/>
        <v>0.87093779669120452</v>
      </c>
      <c r="AB394">
        <f t="shared" ca="1" si="83"/>
        <v>0</v>
      </c>
      <c r="AC394" t="e">
        <f t="shared" ca="1" si="84"/>
        <v>#N/A</v>
      </c>
      <c r="AD394" t="e">
        <f t="shared" ca="1" si="85"/>
        <v>#N/A</v>
      </c>
    </row>
    <row r="395" spans="1:30" x14ac:dyDescent="0.2">
      <c r="A395">
        <f t="shared" si="78"/>
        <v>390</v>
      </c>
      <c r="B395">
        <f t="shared" ca="1" si="86"/>
        <v>0.26793985781041452</v>
      </c>
      <c r="C395">
        <f t="shared" ca="1" si="87"/>
        <v>2.3407840984790886</v>
      </c>
      <c r="D395">
        <f t="shared" ca="1" si="76"/>
        <v>-0.18652002463997755</v>
      </c>
      <c r="E395">
        <f t="shared" ca="1" si="77"/>
        <v>0.19235916357628327</v>
      </c>
      <c r="V395">
        <v>390</v>
      </c>
      <c r="W395">
        <f t="shared" ca="1" si="79"/>
        <v>-0.18652002463997755</v>
      </c>
      <c r="X395">
        <f t="shared" ca="1" si="80"/>
        <v>0.19235916357628327</v>
      </c>
      <c r="Y395">
        <f>'uniforme cercle (rejet)'!AJ399</f>
        <v>0</v>
      </c>
      <c r="Z395">
        <f t="shared" ca="1" si="81"/>
        <v>4.1288947381521793E-3</v>
      </c>
      <c r="AA395">
        <f t="shared" ca="1" si="82"/>
        <v>0.75229823106741345</v>
      </c>
      <c r="AB395">
        <f t="shared" ca="1" si="83"/>
        <v>0</v>
      </c>
      <c r="AC395" t="e">
        <f t="shared" ca="1" si="84"/>
        <v>#N/A</v>
      </c>
      <c r="AD395" t="e">
        <f t="shared" ca="1" si="85"/>
        <v>#N/A</v>
      </c>
    </row>
    <row r="396" spans="1:30" x14ac:dyDescent="0.2">
      <c r="A396">
        <f t="shared" si="78"/>
        <v>391</v>
      </c>
      <c r="B396">
        <f t="shared" ca="1" si="86"/>
        <v>0.68205674671438865</v>
      </c>
      <c r="C396">
        <f t="shared" ca="1" si="87"/>
        <v>4.1540668830626348</v>
      </c>
      <c r="D396">
        <f t="shared" ca="1" si="76"/>
        <v>-0.36132900071142104</v>
      </c>
      <c r="E396">
        <f t="shared" ca="1" si="77"/>
        <v>-0.57848315358660318</v>
      </c>
      <c r="V396">
        <v>391</v>
      </c>
      <c r="W396">
        <f t="shared" ca="1" si="79"/>
        <v>-0.36132900071142104</v>
      </c>
      <c r="X396">
        <f t="shared" ca="1" si="80"/>
        <v>-0.57848315358660318</v>
      </c>
      <c r="Y396">
        <f>'uniforme cercle (rejet)'!AJ400</f>
        <v>0</v>
      </c>
      <c r="Z396">
        <f t="shared" ca="1" si="81"/>
        <v>0.6645475473456709</v>
      </c>
      <c r="AA396">
        <f t="shared" ca="1" si="82"/>
        <v>1.3802222864584675</v>
      </c>
      <c r="AB396">
        <f t="shared" ca="1" si="83"/>
        <v>0</v>
      </c>
      <c r="AC396" t="e">
        <f t="shared" ca="1" si="84"/>
        <v>#N/A</v>
      </c>
      <c r="AD396" t="e">
        <f t="shared" ca="1" si="85"/>
        <v>#N/A</v>
      </c>
    </row>
    <row r="397" spans="1:30" x14ac:dyDescent="0.2">
      <c r="A397">
        <f t="shared" si="78"/>
        <v>392</v>
      </c>
      <c r="B397">
        <f t="shared" ca="1" si="86"/>
        <v>0.60343035415365998</v>
      </c>
      <c r="C397">
        <f t="shared" ca="1" si="87"/>
        <v>0.10315829429465619</v>
      </c>
      <c r="D397">
        <f t="shared" ca="1" si="76"/>
        <v>0.60022245804853425</v>
      </c>
      <c r="E397">
        <f t="shared" ca="1" si="77"/>
        <v>6.2138499886842245E-2</v>
      </c>
      <c r="V397">
        <v>392</v>
      </c>
      <c r="W397">
        <f t="shared" ca="1" si="79"/>
        <v>0.60022245804853425</v>
      </c>
      <c r="X397">
        <f t="shared" ca="1" si="80"/>
        <v>6.2138499886842245E-2</v>
      </c>
      <c r="Y397">
        <f>'uniforme cercle (rejet)'!AJ401</f>
        <v>0</v>
      </c>
      <c r="Z397">
        <f t="shared" ca="1" si="81"/>
        <v>0.46835992494932227</v>
      </c>
      <c r="AA397">
        <f t="shared" ca="1" si="82"/>
        <v>0.44918507808990615</v>
      </c>
      <c r="AB397">
        <f t="shared" ca="1" si="83"/>
        <v>1</v>
      </c>
      <c r="AC397">
        <f t="shared" ca="1" si="84"/>
        <v>0.60022245804853425</v>
      </c>
      <c r="AD397">
        <f t="shared" ca="1" si="85"/>
        <v>6.2138499886842245E-2</v>
      </c>
    </row>
    <row r="398" spans="1:30" x14ac:dyDescent="0.2">
      <c r="A398">
        <f t="shared" si="78"/>
        <v>393</v>
      </c>
      <c r="B398">
        <f t="shared" ca="1" si="86"/>
        <v>0.30160873574577751</v>
      </c>
      <c r="C398">
        <f t="shared" ca="1" si="87"/>
        <v>2.0324740956534098</v>
      </c>
      <c r="D398">
        <f t="shared" ref="D398:D461" ca="1" si="88">B398*COS(C398)</f>
        <v>-0.13435186782593048</v>
      </c>
      <c r="E398">
        <f t="shared" ref="E398:E461" ca="1" si="89">B398*SIN(C398)</f>
        <v>0.27003222972424967</v>
      </c>
      <c r="V398">
        <v>393</v>
      </c>
      <c r="W398">
        <f t="shared" ca="1" si="79"/>
        <v>-0.13435186782593048</v>
      </c>
      <c r="X398">
        <f t="shared" ca="1" si="80"/>
        <v>0.27003222972424967</v>
      </c>
      <c r="Y398">
        <f>'uniforme cercle (rejet)'!AJ402</f>
        <v>0</v>
      </c>
      <c r="Z398">
        <f t="shared" ca="1" si="81"/>
        <v>9.5940503972146374E-2</v>
      </c>
      <c r="AA398">
        <f t="shared" ca="1" si="82"/>
        <v>0.67474992966272107</v>
      </c>
      <c r="AB398">
        <f t="shared" ca="1" si="83"/>
        <v>0</v>
      </c>
      <c r="AC398" t="e">
        <f t="shared" ca="1" si="84"/>
        <v>#N/A</v>
      </c>
      <c r="AD398" t="e">
        <f t="shared" ca="1" si="85"/>
        <v>#N/A</v>
      </c>
    </row>
    <row r="399" spans="1:30" x14ac:dyDescent="0.2">
      <c r="A399">
        <f t="shared" si="78"/>
        <v>394</v>
      </c>
      <c r="B399">
        <f t="shared" ca="1" si="86"/>
        <v>0.69441311263632999</v>
      </c>
      <c r="C399">
        <f t="shared" ca="1" si="87"/>
        <v>1.3301757115073582</v>
      </c>
      <c r="D399">
        <f t="shared" ca="1" si="88"/>
        <v>0.16548239999390504</v>
      </c>
      <c r="E399">
        <f t="shared" ca="1" si="89"/>
        <v>0.6744072555166748</v>
      </c>
      <c r="V399">
        <v>394</v>
      </c>
      <c r="W399">
        <f t="shared" ca="1" si="79"/>
        <v>0.16548239999390504</v>
      </c>
      <c r="X399">
        <f t="shared" ca="1" si="80"/>
        <v>0.6744072555166748</v>
      </c>
      <c r="Y399">
        <f>'uniforme cercle (rejet)'!AJ403</f>
        <v>0</v>
      </c>
      <c r="Z399">
        <f t="shared" ca="1" si="81"/>
        <v>0.5938916708599643</v>
      </c>
      <c r="AA399">
        <f t="shared" ca="1" si="82"/>
        <v>0.37725311859638277</v>
      </c>
      <c r="AB399">
        <f t="shared" ca="1" si="83"/>
        <v>1</v>
      </c>
      <c r="AC399">
        <f t="shared" ca="1" si="84"/>
        <v>0.16548239999390504</v>
      </c>
      <c r="AD399">
        <f t="shared" ca="1" si="85"/>
        <v>0.6744072555166748</v>
      </c>
    </row>
    <row r="400" spans="1:30" x14ac:dyDescent="0.2">
      <c r="A400">
        <f t="shared" si="78"/>
        <v>395</v>
      </c>
      <c r="B400">
        <f t="shared" ca="1" si="86"/>
        <v>0.54956252566432273</v>
      </c>
      <c r="C400">
        <f t="shared" ca="1" si="87"/>
        <v>5.4535273153103905</v>
      </c>
      <c r="D400">
        <f t="shared" ca="1" si="88"/>
        <v>0.37102510330224292</v>
      </c>
      <c r="E400">
        <f t="shared" ca="1" si="89"/>
        <v>-0.4054125581850041</v>
      </c>
      <c r="V400">
        <v>395</v>
      </c>
      <c r="W400">
        <f t="shared" ca="1" si="79"/>
        <v>0.37102510330224292</v>
      </c>
      <c r="X400">
        <f t="shared" ca="1" si="80"/>
        <v>-0.4054125581850041</v>
      </c>
      <c r="Y400">
        <f>'uniforme cercle (rejet)'!AJ404</f>
        <v>0</v>
      </c>
      <c r="Z400">
        <f t="shared" ca="1" si="81"/>
        <v>2.4315602535346887E-2</v>
      </c>
      <c r="AA400">
        <f t="shared" ca="1" si="82"/>
        <v>0.91455258159239294</v>
      </c>
      <c r="AB400">
        <f t="shared" ca="1" si="83"/>
        <v>0</v>
      </c>
      <c r="AC400" t="e">
        <f t="shared" ca="1" si="84"/>
        <v>#N/A</v>
      </c>
      <c r="AD400" t="e">
        <f t="shared" ca="1" si="85"/>
        <v>#N/A</v>
      </c>
    </row>
    <row r="401" spans="1:30" x14ac:dyDescent="0.2">
      <c r="A401">
        <f t="shared" si="78"/>
        <v>396</v>
      </c>
      <c r="B401">
        <f t="shared" ca="1" si="86"/>
        <v>0.41891807070953058</v>
      </c>
      <c r="C401">
        <f t="shared" ca="1" si="87"/>
        <v>0.80095684832359504</v>
      </c>
      <c r="D401">
        <f t="shared" ca="1" si="88"/>
        <v>0.29157535119377598</v>
      </c>
      <c r="E401">
        <f t="shared" ca="1" si="89"/>
        <v>0.3007925606513922</v>
      </c>
      <c r="V401">
        <v>396</v>
      </c>
      <c r="W401">
        <f t="shared" ca="1" si="79"/>
        <v>0.29157535119377598</v>
      </c>
      <c r="X401">
        <f t="shared" ca="1" si="80"/>
        <v>0.3007925606513922</v>
      </c>
      <c r="Y401">
        <f>'uniforme cercle (rejet)'!AJ405</f>
        <v>0</v>
      </c>
      <c r="Z401">
        <f t="shared" ca="1" si="81"/>
        <v>0.41886736742303338</v>
      </c>
      <c r="AA401">
        <f t="shared" ca="1" si="82"/>
        <v>0.28831309044479247</v>
      </c>
      <c r="AB401">
        <f t="shared" ca="1" si="83"/>
        <v>1</v>
      </c>
      <c r="AC401">
        <f t="shared" ca="1" si="84"/>
        <v>0.29157535119377598</v>
      </c>
      <c r="AD401">
        <f t="shared" ca="1" si="85"/>
        <v>0.3007925606513922</v>
      </c>
    </row>
    <row r="402" spans="1:30" x14ac:dyDescent="0.2">
      <c r="A402">
        <f t="shared" si="78"/>
        <v>397</v>
      </c>
      <c r="B402">
        <f t="shared" ca="1" si="86"/>
        <v>0.43139604872158754</v>
      </c>
      <c r="C402">
        <f t="shared" ca="1" si="87"/>
        <v>1.7161829493132263</v>
      </c>
      <c r="D402">
        <f t="shared" ca="1" si="88"/>
        <v>-6.2498495728281249E-2</v>
      </c>
      <c r="E402">
        <f t="shared" ca="1" si="89"/>
        <v>0.42684480655655205</v>
      </c>
      <c r="V402">
        <v>397</v>
      </c>
      <c r="W402">
        <f t="shared" ca="1" si="79"/>
        <v>-6.2498495728281249E-2</v>
      </c>
      <c r="X402">
        <f t="shared" ca="1" si="80"/>
        <v>0.42684480655655205</v>
      </c>
      <c r="Y402">
        <f>'uniforme cercle (rejet)'!AJ406</f>
        <v>0</v>
      </c>
      <c r="Z402">
        <f t="shared" ca="1" si="81"/>
        <v>0.25763174708697195</v>
      </c>
      <c r="AA402">
        <f t="shared" ca="1" si="82"/>
        <v>0.56723561244365428</v>
      </c>
      <c r="AB402">
        <f t="shared" ca="1" si="83"/>
        <v>1</v>
      </c>
      <c r="AC402">
        <f t="shared" ca="1" si="84"/>
        <v>-6.2498495728281249E-2</v>
      </c>
      <c r="AD402">
        <f t="shared" ca="1" si="85"/>
        <v>0.42684480655655205</v>
      </c>
    </row>
    <row r="403" spans="1:30" x14ac:dyDescent="0.2">
      <c r="A403">
        <f t="shared" si="78"/>
        <v>398</v>
      </c>
      <c r="B403">
        <f t="shared" ca="1" si="86"/>
        <v>0.23939934283877273</v>
      </c>
      <c r="C403">
        <f t="shared" ca="1" si="87"/>
        <v>3.9996105933501105</v>
      </c>
      <c r="D403">
        <f t="shared" ca="1" si="88"/>
        <v>-0.15655239334527576</v>
      </c>
      <c r="E403">
        <f t="shared" ca="1" si="89"/>
        <v>-0.18111707122605064</v>
      </c>
      <c r="V403">
        <v>398</v>
      </c>
      <c r="W403">
        <f t="shared" ca="1" si="79"/>
        <v>-0.15655239334527576</v>
      </c>
      <c r="X403">
        <f t="shared" ca="1" si="80"/>
        <v>-0.18111707122605064</v>
      </c>
      <c r="Y403">
        <f>'uniforme cercle (rejet)'!AJ407</f>
        <v>0</v>
      </c>
      <c r="Z403">
        <f t="shared" ca="1" si="81"/>
        <v>0.23876836819801556</v>
      </c>
      <c r="AA403">
        <f t="shared" ca="1" si="82"/>
        <v>0.94603462406138317</v>
      </c>
      <c r="AB403">
        <f t="shared" ca="1" si="83"/>
        <v>0</v>
      </c>
      <c r="AC403" t="e">
        <f t="shared" ca="1" si="84"/>
        <v>#N/A</v>
      </c>
      <c r="AD403" t="e">
        <f t="shared" ca="1" si="85"/>
        <v>#N/A</v>
      </c>
    </row>
    <row r="404" spans="1:30" x14ac:dyDescent="0.2">
      <c r="A404">
        <f t="shared" si="78"/>
        <v>399</v>
      </c>
      <c r="B404">
        <f t="shared" ca="1" si="86"/>
        <v>0.44424196100053615</v>
      </c>
      <c r="C404">
        <f t="shared" ca="1" si="87"/>
        <v>5.8924721477446944</v>
      </c>
      <c r="D404">
        <f t="shared" ca="1" si="88"/>
        <v>0.4107628604972508</v>
      </c>
      <c r="E404">
        <f t="shared" ca="1" si="89"/>
        <v>-0.16918862949299507</v>
      </c>
      <c r="V404">
        <v>399</v>
      </c>
      <c r="W404">
        <f t="shared" ca="1" si="79"/>
        <v>0.4107628604972508</v>
      </c>
      <c r="X404">
        <f t="shared" ca="1" si="80"/>
        <v>-0.16918862949299507</v>
      </c>
      <c r="Y404">
        <f>'uniforme cercle (rejet)'!AJ408</f>
        <v>0</v>
      </c>
      <c r="Z404">
        <f t="shared" ca="1" si="81"/>
        <v>0.17081877690303474</v>
      </c>
      <c r="AA404">
        <f t="shared" ca="1" si="82"/>
        <v>0.67511235280458781</v>
      </c>
      <c r="AB404">
        <f t="shared" ca="1" si="83"/>
        <v>0</v>
      </c>
      <c r="AC404" t="e">
        <f t="shared" ca="1" si="84"/>
        <v>#N/A</v>
      </c>
      <c r="AD404" t="e">
        <f t="shared" ca="1" si="85"/>
        <v>#N/A</v>
      </c>
    </row>
    <row r="405" spans="1:30" x14ac:dyDescent="0.2">
      <c r="A405">
        <f t="shared" si="78"/>
        <v>400</v>
      </c>
      <c r="B405">
        <f t="shared" ca="1" si="86"/>
        <v>6.5651580483659711E-2</v>
      </c>
      <c r="C405">
        <f t="shared" ca="1" si="87"/>
        <v>3.1765790175916209</v>
      </c>
      <c r="D405">
        <f t="shared" ca="1" si="88"/>
        <v>-6.561140431575177E-2</v>
      </c>
      <c r="E405">
        <f t="shared" ca="1" si="89"/>
        <v>-2.2964415336337719E-3</v>
      </c>
      <c r="V405">
        <v>400</v>
      </c>
      <c r="W405">
        <f t="shared" ca="1" si="79"/>
        <v>-6.561140431575177E-2</v>
      </c>
      <c r="X405">
        <f t="shared" ca="1" si="80"/>
        <v>-2.2964415336337719E-3</v>
      </c>
      <c r="Y405">
        <f>'uniforme cercle (rejet)'!AJ409</f>
        <v>0</v>
      </c>
      <c r="Z405">
        <f t="shared" ca="1" si="81"/>
        <v>4.8018098295871267E-2</v>
      </c>
      <c r="AA405">
        <f t="shared" ca="1" si="82"/>
        <v>0.7564509077722017</v>
      </c>
      <c r="AB405">
        <f t="shared" ca="1" si="83"/>
        <v>0</v>
      </c>
      <c r="AC405" t="e">
        <f t="shared" ca="1" si="84"/>
        <v>#N/A</v>
      </c>
      <c r="AD405" t="e">
        <f t="shared" ca="1" si="85"/>
        <v>#N/A</v>
      </c>
    </row>
    <row r="406" spans="1:30" x14ac:dyDescent="0.2">
      <c r="A406">
        <f t="shared" si="78"/>
        <v>401</v>
      </c>
      <c r="B406">
        <f t="shared" ca="1" si="86"/>
        <v>0.87708101510780134</v>
      </c>
      <c r="C406">
        <f t="shared" ca="1" si="87"/>
        <v>1.8099715080070773</v>
      </c>
      <c r="D406">
        <f t="shared" ca="1" si="88"/>
        <v>-0.20778169219374343</v>
      </c>
      <c r="E406">
        <f t="shared" ca="1" si="89"/>
        <v>0.85211376907760128</v>
      </c>
      <c r="V406">
        <v>401</v>
      </c>
      <c r="W406">
        <f t="shared" ca="1" si="79"/>
        <v>-0.20778169219374343</v>
      </c>
      <c r="X406">
        <f t="shared" ca="1" si="80"/>
        <v>0.85211376907760128</v>
      </c>
      <c r="Y406">
        <f>'uniforme cercle (rejet)'!AJ410</f>
        <v>0</v>
      </c>
      <c r="Z406">
        <f t="shared" ca="1" si="81"/>
        <v>0.45561158090058784</v>
      </c>
      <c r="AA406">
        <f t="shared" ca="1" si="82"/>
        <v>0.79053085340084817</v>
      </c>
      <c r="AB406">
        <f t="shared" ca="1" si="83"/>
        <v>1</v>
      </c>
      <c r="AC406">
        <f t="shared" ca="1" si="84"/>
        <v>-0.20778169219374343</v>
      </c>
      <c r="AD406">
        <f t="shared" ca="1" si="85"/>
        <v>0.85211376907760128</v>
      </c>
    </row>
    <row r="407" spans="1:30" x14ac:dyDescent="0.2">
      <c r="A407">
        <f t="shared" si="78"/>
        <v>402</v>
      </c>
      <c r="B407">
        <f t="shared" ca="1" si="86"/>
        <v>0.71415917812701479</v>
      </c>
      <c r="C407">
        <f t="shared" ca="1" si="87"/>
        <v>1.4861978648945116</v>
      </c>
      <c r="D407">
        <f t="shared" ca="1" si="88"/>
        <v>6.0344727680311905E-2</v>
      </c>
      <c r="E407">
        <f t="shared" ca="1" si="89"/>
        <v>0.7116051191104813</v>
      </c>
      <c r="V407">
        <v>402</v>
      </c>
      <c r="W407">
        <f t="shared" ca="1" si="79"/>
        <v>6.0344727680311905E-2</v>
      </c>
      <c r="X407">
        <f t="shared" ca="1" si="80"/>
        <v>0.7116051191104813</v>
      </c>
      <c r="Y407">
        <f>'uniforme cercle (rejet)'!AJ411</f>
        <v>0</v>
      </c>
      <c r="Z407">
        <f t="shared" ca="1" si="81"/>
        <v>0.54585097140168637</v>
      </c>
      <c r="AA407">
        <f t="shared" ca="1" si="82"/>
        <v>0.48792774558561441</v>
      </c>
      <c r="AB407">
        <f t="shared" ca="1" si="83"/>
        <v>1</v>
      </c>
      <c r="AC407">
        <f t="shared" ca="1" si="84"/>
        <v>6.0344727680311905E-2</v>
      </c>
      <c r="AD407">
        <f t="shared" ca="1" si="85"/>
        <v>0.7116051191104813</v>
      </c>
    </row>
    <row r="408" spans="1:30" x14ac:dyDescent="0.2">
      <c r="A408">
        <f t="shared" si="78"/>
        <v>403</v>
      </c>
      <c r="B408">
        <f t="shared" ca="1" si="86"/>
        <v>0.70717616383654947</v>
      </c>
      <c r="C408">
        <f t="shared" ca="1" si="87"/>
        <v>3.0750335846580108</v>
      </c>
      <c r="D408">
        <f t="shared" ca="1" si="88"/>
        <v>-0.70561030806435432</v>
      </c>
      <c r="E408">
        <f t="shared" ca="1" si="89"/>
        <v>4.7034241270645025E-2</v>
      </c>
      <c r="V408">
        <v>403</v>
      </c>
      <c r="W408">
        <f t="shared" ca="1" si="79"/>
        <v>-0.70561030806435432</v>
      </c>
      <c r="X408">
        <f t="shared" ca="1" si="80"/>
        <v>4.7034241270645025E-2</v>
      </c>
      <c r="Y408">
        <f>'uniforme cercle (rejet)'!AJ412</f>
        <v>0</v>
      </c>
      <c r="Z408">
        <f t="shared" ca="1" si="81"/>
        <v>0.4656836027569965</v>
      </c>
      <c r="AA408">
        <f t="shared" ca="1" si="82"/>
        <v>1.2878952571899189</v>
      </c>
      <c r="AB408">
        <f t="shared" ca="1" si="83"/>
        <v>0</v>
      </c>
      <c r="AC408" t="e">
        <f t="shared" ca="1" si="84"/>
        <v>#N/A</v>
      </c>
      <c r="AD408" t="e">
        <f t="shared" ca="1" si="85"/>
        <v>#N/A</v>
      </c>
    </row>
    <row r="409" spans="1:30" x14ac:dyDescent="0.2">
      <c r="A409">
        <f t="shared" si="78"/>
        <v>404</v>
      </c>
      <c r="B409">
        <f t="shared" ca="1" si="86"/>
        <v>0.57047905351266814</v>
      </c>
      <c r="C409">
        <f t="shared" ca="1" si="87"/>
        <v>1.8985344372826747</v>
      </c>
      <c r="D409">
        <f t="shared" ca="1" si="88"/>
        <v>-0.18363855253785658</v>
      </c>
      <c r="E409">
        <f t="shared" ca="1" si="89"/>
        <v>0.54011409213101502</v>
      </c>
      <c r="V409">
        <v>404</v>
      </c>
      <c r="W409">
        <f t="shared" ca="1" si="79"/>
        <v>-0.18363855253785658</v>
      </c>
      <c r="X409">
        <f t="shared" ca="1" si="80"/>
        <v>0.54011409213101502</v>
      </c>
      <c r="Y409">
        <f>'uniforme cercle (rejet)'!AJ413</f>
        <v>0</v>
      </c>
      <c r="Z409">
        <f t="shared" ca="1" si="81"/>
        <v>0.25206627137345594</v>
      </c>
      <c r="AA409">
        <f t="shared" ca="1" si="82"/>
        <v>0.68481443537906761</v>
      </c>
      <c r="AB409">
        <f t="shared" ca="1" si="83"/>
        <v>0</v>
      </c>
      <c r="AC409" t="e">
        <f t="shared" ca="1" si="84"/>
        <v>#N/A</v>
      </c>
      <c r="AD409" t="e">
        <f t="shared" ca="1" si="85"/>
        <v>#N/A</v>
      </c>
    </row>
    <row r="410" spans="1:30" x14ac:dyDescent="0.2">
      <c r="A410">
        <f t="shared" si="78"/>
        <v>405</v>
      </c>
      <c r="B410">
        <f t="shared" ca="1" si="86"/>
        <v>0.38520072173499631</v>
      </c>
      <c r="C410">
        <f t="shared" ca="1" si="87"/>
        <v>4.1751938329408844</v>
      </c>
      <c r="D410">
        <f t="shared" ca="1" si="88"/>
        <v>-0.19711808199379091</v>
      </c>
      <c r="E410">
        <f t="shared" ca="1" si="89"/>
        <v>-0.3309441913317881</v>
      </c>
      <c r="V410">
        <v>405</v>
      </c>
      <c r="W410">
        <f t="shared" ca="1" si="79"/>
        <v>-0.19711808199379091</v>
      </c>
      <c r="X410">
        <f t="shared" ca="1" si="80"/>
        <v>-0.3309441913317881</v>
      </c>
      <c r="Y410">
        <f>'uniforme cercle (rejet)'!AJ414</f>
        <v>0</v>
      </c>
      <c r="Z410">
        <f t="shared" ca="1" si="81"/>
        <v>0.37339641435730103</v>
      </c>
      <c r="AA410">
        <f t="shared" ca="1" si="82"/>
        <v>1.0846390502608418</v>
      </c>
      <c r="AB410">
        <f t="shared" ca="1" si="83"/>
        <v>0</v>
      </c>
      <c r="AC410" t="e">
        <f t="shared" ca="1" si="84"/>
        <v>#N/A</v>
      </c>
      <c r="AD410" t="e">
        <f t="shared" ca="1" si="85"/>
        <v>#N/A</v>
      </c>
    </row>
    <row r="411" spans="1:30" x14ac:dyDescent="0.2">
      <c r="A411">
        <f t="shared" si="78"/>
        <v>406</v>
      </c>
      <c r="B411">
        <f t="shared" ca="1" si="86"/>
        <v>0.76457882153226342</v>
      </c>
      <c r="C411">
        <f t="shared" ca="1" si="87"/>
        <v>3.4288807102826073</v>
      </c>
      <c r="D411">
        <f t="shared" ca="1" si="88"/>
        <v>-0.73324319849925601</v>
      </c>
      <c r="E411">
        <f t="shared" ca="1" si="89"/>
        <v>-0.21664530041116822</v>
      </c>
      <c r="V411">
        <v>406</v>
      </c>
      <c r="W411">
        <f t="shared" ca="1" si="79"/>
        <v>-0.73324319849925601</v>
      </c>
      <c r="X411">
        <f t="shared" ca="1" si="80"/>
        <v>-0.21664530041116822</v>
      </c>
      <c r="Y411">
        <f>'uniforme cercle (rejet)'!AJ415</f>
        <v>0</v>
      </c>
      <c r="Z411">
        <f t="shared" ca="1" si="81"/>
        <v>0.67167259895067144</v>
      </c>
      <c r="AA411">
        <f t="shared" ca="1" si="82"/>
        <v>1.4263482300076966</v>
      </c>
      <c r="AB411">
        <f t="shared" ca="1" si="83"/>
        <v>0</v>
      </c>
      <c r="AC411" t="e">
        <f t="shared" ca="1" si="84"/>
        <v>#N/A</v>
      </c>
      <c r="AD411" t="e">
        <f t="shared" ca="1" si="85"/>
        <v>#N/A</v>
      </c>
    </row>
    <row r="412" spans="1:30" x14ac:dyDescent="0.2">
      <c r="A412">
        <f t="shared" si="78"/>
        <v>407</v>
      </c>
      <c r="B412">
        <f t="shared" ca="1" si="86"/>
        <v>0.96746314167756986</v>
      </c>
      <c r="C412">
        <f t="shared" ca="1" si="87"/>
        <v>0.23811077581695886</v>
      </c>
      <c r="D412">
        <f t="shared" ca="1" si="88"/>
        <v>0.940166473597154</v>
      </c>
      <c r="E412">
        <f t="shared" ca="1" si="89"/>
        <v>0.22819275279580084</v>
      </c>
      <c r="V412">
        <v>407</v>
      </c>
      <c r="W412">
        <f t="shared" ca="1" si="79"/>
        <v>0.940166473597154</v>
      </c>
      <c r="X412">
        <f t="shared" ca="1" si="80"/>
        <v>0.22819275279580084</v>
      </c>
      <c r="Y412">
        <f>'uniforme cercle (rejet)'!AJ416</f>
        <v>0</v>
      </c>
      <c r="Z412">
        <f t="shared" ca="1" si="81"/>
        <v>0.82615473184432697</v>
      </c>
      <c r="AA412">
        <f t="shared" ca="1" si="82"/>
        <v>0.51732553011781535</v>
      </c>
      <c r="AB412">
        <f t="shared" ca="1" si="83"/>
        <v>1</v>
      </c>
      <c r="AC412">
        <f t="shared" ca="1" si="84"/>
        <v>0.940166473597154</v>
      </c>
      <c r="AD412">
        <f t="shared" ca="1" si="85"/>
        <v>0.22819275279580084</v>
      </c>
    </row>
    <row r="413" spans="1:30" x14ac:dyDescent="0.2">
      <c r="A413">
        <f t="shared" si="78"/>
        <v>408</v>
      </c>
      <c r="B413">
        <f t="shared" ca="1" si="86"/>
        <v>0.6608559870188172</v>
      </c>
      <c r="C413">
        <f t="shared" ca="1" si="87"/>
        <v>1.4774692137538559</v>
      </c>
      <c r="D413">
        <f t="shared" ca="1" si="88"/>
        <v>6.158628822496752E-2</v>
      </c>
      <c r="E413">
        <f t="shared" ca="1" si="89"/>
        <v>0.65798006404547427</v>
      </c>
      <c r="V413">
        <v>408</v>
      </c>
      <c r="W413">
        <f t="shared" ca="1" si="79"/>
        <v>6.158628822496752E-2</v>
      </c>
      <c r="X413">
        <f t="shared" ca="1" si="80"/>
        <v>0.65798006404547427</v>
      </c>
      <c r="Y413">
        <f>'uniforme cercle (rejet)'!AJ417</f>
        <v>0</v>
      </c>
      <c r="Z413">
        <f t="shared" ca="1" si="81"/>
        <v>0.50881024720409751</v>
      </c>
      <c r="AA413">
        <f t="shared" ca="1" si="82"/>
        <v>0.46600888758496162</v>
      </c>
      <c r="AB413">
        <f t="shared" ca="1" si="83"/>
        <v>1</v>
      </c>
      <c r="AC413">
        <f t="shared" ca="1" si="84"/>
        <v>6.158628822496752E-2</v>
      </c>
      <c r="AD413">
        <f t="shared" ca="1" si="85"/>
        <v>0.65798006404547427</v>
      </c>
    </row>
    <row r="414" spans="1:30" x14ac:dyDescent="0.2">
      <c r="A414">
        <f t="shared" ref="A414:A477" si="90">1+A413</f>
        <v>409</v>
      </c>
      <c r="B414">
        <f t="shared" ca="1" si="86"/>
        <v>0.19780054403371483</v>
      </c>
      <c r="C414">
        <f t="shared" ca="1" si="87"/>
        <v>3.699118607309654</v>
      </c>
      <c r="D414">
        <f t="shared" ca="1" si="88"/>
        <v>-0.16784695410326919</v>
      </c>
      <c r="E414">
        <f t="shared" ca="1" si="89"/>
        <v>-0.10465397851151483</v>
      </c>
      <c r="V414">
        <v>409</v>
      </c>
      <c r="W414">
        <f t="shared" ca="1" si="79"/>
        <v>-0.16784695410326919</v>
      </c>
      <c r="X414">
        <f t="shared" ca="1" si="80"/>
        <v>-0.10465397851151483</v>
      </c>
      <c r="Y414">
        <f>'uniforme cercle (rejet)'!AJ418</f>
        <v>0</v>
      </c>
      <c r="Z414">
        <f t="shared" ca="1" si="81"/>
        <v>0.19268725733157221</v>
      </c>
      <c r="AA414">
        <f t="shared" ca="1" si="82"/>
        <v>0.90090287369661415</v>
      </c>
      <c r="AB414">
        <f t="shared" ca="1" si="83"/>
        <v>0</v>
      </c>
      <c r="AC414" t="e">
        <f t="shared" ca="1" si="84"/>
        <v>#N/A</v>
      </c>
      <c r="AD414" t="e">
        <f t="shared" ca="1" si="85"/>
        <v>#N/A</v>
      </c>
    </row>
    <row r="415" spans="1:30" x14ac:dyDescent="0.2">
      <c r="A415">
        <f t="shared" si="90"/>
        <v>410</v>
      </c>
      <c r="B415">
        <f t="shared" ca="1" si="86"/>
        <v>0.65811679822318303</v>
      </c>
      <c r="C415">
        <f t="shared" ca="1" si="87"/>
        <v>5.4748213552283511</v>
      </c>
      <c r="D415">
        <f t="shared" ca="1" si="88"/>
        <v>0.45454974118632729</v>
      </c>
      <c r="E415">
        <f t="shared" ca="1" si="89"/>
        <v>-0.47592252824485692</v>
      </c>
      <c r="V415">
        <v>410</v>
      </c>
      <c r="W415">
        <f t="shared" ca="1" si="79"/>
        <v>0.45454974118632729</v>
      </c>
      <c r="X415">
        <f t="shared" ca="1" si="80"/>
        <v>-0.47592252824485692</v>
      </c>
      <c r="Y415">
        <f>'uniforme cercle (rejet)'!AJ419</f>
        <v>0</v>
      </c>
      <c r="Z415">
        <f t="shared" ca="1" si="81"/>
        <v>1.5112842661942386E-2</v>
      </c>
      <c r="AA415">
        <f t="shared" ca="1" si="82"/>
        <v>0.9769803002937486</v>
      </c>
      <c r="AB415">
        <f t="shared" ca="1" si="83"/>
        <v>0</v>
      </c>
      <c r="AC415" t="e">
        <f t="shared" ca="1" si="84"/>
        <v>#N/A</v>
      </c>
      <c r="AD415" t="e">
        <f t="shared" ca="1" si="85"/>
        <v>#N/A</v>
      </c>
    </row>
    <row r="416" spans="1:30" x14ac:dyDescent="0.2">
      <c r="A416">
        <f t="shared" si="90"/>
        <v>411</v>
      </c>
      <c r="B416">
        <f t="shared" ca="1" si="86"/>
        <v>0.46799618912945595</v>
      </c>
      <c r="C416">
        <f t="shared" ca="1" si="87"/>
        <v>5.203781214788413</v>
      </c>
      <c r="D416">
        <f t="shared" ca="1" si="88"/>
        <v>0.22082580167203167</v>
      </c>
      <c r="E416">
        <f t="shared" ca="1" si="89"/>
        <v>-0.41262137408961019</v>
      </c>
      <c r="V416">
        <v>411</v>
      </c>
      <c r="W416">
        <f t="shared" ca="1" si="79"/>
        <v>0.22082580167203167</v>
      </c>
      <c r="X416">
        <f t="shared" ca="1" si="80"/>
        <v>-0.41262137408961019</v>
      </c>
      <c r="Y416">
        <f>'uniforme cercle (rejet)'!AJ420</f>
        <v>0</v>
      </c>
      <c r="Z416">
        <f t="shared" ca="1" si="81"/>
        <v>0.13561994985802531</v>
      </c>
      <c r="AA416">
        <f t="shared" ca="1" si="82"/>
        <v>0.95436680865235046</v>
      </c>
      <c r="AB416">
        <f t="shared" ca="1" si="83"/>
        <v>0</v>
      </c>
      <c r="AC416" t="e">
        <f t="shared" ca="1" si="84"/>
        <v>#N/A</v>
      </c>
      <c r="AD416" t="e">
        <f t="shared" ca="1" si="85"/>
        <v>#N/A</v>
      </c>
    </row>
    <row r="417" spans="1:30" x14ac:dyDescent="0.2">
      <c r="A417">
        <f t="shared" si="90"/>
        <v>412</v>
      </c>
      <c r="B417">
        <f t="shared" ca="1" si="86"/>
        <v>0.10010727215501836</v>
      </c>
      <c r="C417">
        <f t="shared" ca="1" si="87"/>
        <v>2.4321365972228124</v>
      </c>
      <c r="D417">
        <f t="shared" ca="1" si="88"/>
        <v>-7.5953021596441156E-2</v>
      </c>
      <c r="E417">
        <f t="shared" ca="1" si="89"/>
        <v>6.5211996202305125E-2</v>
      </c>
      <c r="V417">
        <v>412</v>
      </c>
      <c r="W417">
        <f t="shared" ca="1" si="79"/>
        <v>-7.5953021596441156E-2</v>
      </c>
      <c r="X417">
        <f t="shared" ca="1" si="80"/>
        <v>6.5211996202305125E-2</v>
      </c>
      <c r="Y417">
        <f>'uniforme cercle (rejet)'!AJ421</f>
        <v>0</v>
      </c>
      <c r="Z417">
        <f t="shared" ca="1" si="81"/>
        <v>7.5950518930904959E-3</v>
      </c>
      <c r="AA417">
        <f t="shared" ca="1" si="82"/>
        <v>0.72163875404003552</v>
      </c>
      <c r="AB417">
        <f t="shared" ca="1" si="83"/>
        <v>0</v>
      </c>
      <c r="AC417" t="e">
        <f t="shared" ca="1" si="84"/>
        <v>#N/A</v>
      </c>
      <c r="AD417" t="e">
        <f t="shared" ca="1" si="85"/>
        <v>#N/A</v>
      </c>
    </row>
    <row r="418" spans="1:30" x14ac:dyDescent="0.2">
      <c r="A418">
        <f t="shared" si="90"/>
        <v>413</v>
      </c>
      <c r="B418">
        <f t="shared" ca="1" si="86"/>
        <v>0.108737336965682</v>
      </c>
      <c r="C418">
        <f t="shared" ca="1" si="87"/>
        <v>1.0358540346683247</v>
      </c>
      <c r="D418">
        <f t="shared" ca="1" si="88"/>
        <v>5.5433358624923254E-2</v>
      </c>
      <c r="E418">
        <f t="shared" ca="1" si="89"/>
        <v>9.354651891946017E-2</v>
      </c>
      <c r="V418">
        <v>413</v>
      </c>
      <c r="W418">
        <f t="shared" ca="1" si="79"/>
        <v>5.5433358624923254E-2</v>
      </c>
      <c r="X418">
        <f t="shared" ca="1" si="80"/>
        <v>9.354651891946017E-2</v>
      </c>
      <c r="Y418">
        <f>'uniforme cercle (rejet)'!AJ422</f>
        <v>0</v>
      </c>
      <c r="Z418">
        <f t="shared" ca="1" si="81"/>
        <v>0.10534468167197497</v>
      </c>
      <c r="AA418">
        <f t="shared" ca="1" si="82"/>
        <v>0.60236528029593872</v>
      </c>
      <c r="AB418">
        <f t="shared" ca="1" si="83"/>
        <v>0</v>
      </c>
      <c r="AC418" t="e">
        <f t="shared" ca="1" si="84"/>
        <v>#N/A</v>
      </c>
      <c r="AD418" t="e">
        <f t="shared" ca="1" si="85"/>
        <v>#N/A</v>
      </c>
    </row>
    <row r="419" spans="1:30" x14ac:dyDescent="0.2">
      <c r="A419">
        <f t="shared" si="90"/>
        <v>414</v>
      </c>
      <c r="B419">
        <f t="shared" ca="1" si="86"/>
        <v>0.62394596950063341</v>
      </c>
      <c r="C419">
        <f t="shared" ca="1" si="87"/>
        <v>0.26867577532473053</v>
      </c>
      <c r="D419">
        <f t="shared" ca="1" si="88"/>
        <v>0.6015608244203835</v>
      </c>
      <c r="E419">
        <f t="shared" ca="1" si="89"/>
        <v>0.16562954862811749</v>
      </c>
      <c r="V419">
        <v>414</v>
      </c>
      <c r="W419">
        <f t="shared" ca="1" si="79"/>
        <v>0.6015608244203835</v>
      </c>
      <c r="X419">
        <f t="shared" ca="1" si="80"/>
        <v>0.16562954862811749</v>
      </c>
      <c r="Y419">
        <f>'uniforme cercle (rejet)'!AJ423</f>
        <v>0</v>
      </c>
      <c r="Z419">
        <f t="shared" ca="1" si="81"/>
        <v>0.5424855152436322</v>
      </c>
      <c r="AA419">
        <f t="shared" ca="1" si="82"/>
        <v>0.34945414550064274</v>
      </c>
      <c r="AB419">
        <f t="shared" ca="1" si="83"/>
        <v>1</v>
      </c>
      <c r="AC419">
        <f t="shared" ca="1" si="84"/>
        <v>0.6015608244203835</v>
      </c>
      <c r="AD419">
        <f t="shared" ca="1" si="85"/>
        <v>0.16562954862811749</v>
      </c>
    </row>
    <row r="420" spans="1:30" x14ac:dyDescent="0.2">
      <c r="A420">
        <f t="shared" si="90"/>
        <v>415</v>
      </c>
      <c r="B420">
        <f t="shared" ca="1" si="86"/>
        <v>0.68987430992004406</v>
      </c>
      <c r="C420">
        <f t="shared" ca="1" si="87"/>
        <v>0.7267054884359776</v>
      </c>
      <c r="D420">
        <f t="shared" ca="1" si="88"/>
        <v>0.51558954457150008</v>
      </c>
      <c r="E420">
        <f t="shared" ca="1" si="89"/>
        <v>0.45836010408434341</v>
      </c>
      <c r="V420">
        <v>415</v>
      </c>
      <c r="W420">
        <f t="shared" ca="1" si="79"/>
        <v>0.51558954457150008</v>
      </c>
      <c r="X420">
        <f t="shared" ca="1" si="80"/>
        <v>0.45836010408434341</v>
      </c>
      <c r="Y420">
        <f>'uniforme cercle (rejet)'!AJ424</f>
        <v>0</v>
      </c>
      <c r="Z420">
        <f t="shared" ca="1" si="81"/>
        <v>0.68868640109880241</v>
      </c>
      <c r="AA420">
        <f t="shared" ca="1" si="82"/>
        <v>4.446251040835978E-2</v>
      </c>
      <c r="AB420">
        <f t="shared" ca="1" si="83"/>
        <v>0</v>
      </c>
      <c r="AC420" t="e">
        <f t="shared" ca="1" si="84"/>
        <v>#N/A</v>
      </c>
      <c r="AD420" t="e">
        <f t="shared" ca="1" si="85"/>
        <v>#N/A</v>
      </c>
    </row>
    <row r="421" spans="1:30" x14ac:dyDescent="0.2">
      <c r="A421">
        <f t="shared" si="90"/>
        <v>416</v>
      </c>
      <c r="B421">
        <f t="shared" ca="1" si="86"/>
        <v>0.67705576510174525</v>
      </c>
      <c r="C421">
        <f t="shared" ca="1" si="87"/>
        <v>3.8437801620106526</v>
      </c>
      <c r="D421">
        <f t="shared" ca="1" si="88"/>
        <v>-0.51688544568152228</v>
      </c>
      <c r="E421">
        <f t="shared" ca="1" si="89"/>
        <v>-0.43730303577739288</v>
      </c>
      <c r="V421">
        <v>416</v>
      </c>
      <c r="W421">
        <f t="shared" ca="1" si="79"/>
        <v>-0.51688544568152228</v>
      </c>
      <c r="X421">
        <f t="shared" ca="1" si="80"/>
        <v>-0.43730303577739288</v>
      </c>
      <c r="Y421">
        <f>'uniforme cercle (rejet)'!AJ425</f>
        <v>0</v>
      </c>
      <c r="Z421">
        <f t="shared" ca="1" si="81"/>
        <v>0.67471314576969321</v>
      </c>
      <c r="AA421">
        <f t="shared" ca="1" si="82"/>
        <v>1.3829652889774293</v>
      </c>
      <c r="AB421">
        <f t="shared" ca="1" si="83"/>
        <v>0</v>
      </c>
      <c r="AC421" t="e">
        <f t="shared" ca="1" si="84"/>
        <v>#N/A</v>
      </c>
      <c r="AD421" t="e">
        <f t="shared" ca="1" si="85"/>
        <v>#N/A</v>
      </c>
    </row>
    <row r="422" spans="1:30" x14ac:dyDescent="0.2">
      <c r="A422">
        <f t="shared" si="90"/>
        <v>417</v>
      </c>
      <c r="B422">
        <f t="shared" ca="1" si="86"/>
        <v>0.51675001698538081</v>
      </c>
      <c r="C422">
        <f t="shared" ca="1" si="87"/>
        <v>5.8532282922952188</v>
      </c>
      <c r="D422">
        <f t="shared" ca="1" si="88"/>
        <v>0.46971732591707044</v>
      </c>
      <c r="E422">
        <f t="shared" ca="1" si="89"/>
        <v>-0.21539780358143859</v>
      </c>
      <c r="V422">
        <v>417</v>
      </c>
      <c r="W422">
        <f t="shared" ca="1" si="79"/>
        <v>0.46971732591707044</v>
      </c>
      <c r="X422">
        <f t="shared" ca="1" si="80"/>
        <v>-0.21539780358143859</v>
      </c>
      <c r="Y422">
        <f>'uniforme cercle (rejet)'!AJ426</f>
        <v>0</v>
      </c>
      <c r="Z422">
        <f t="shared" ca="1" si="81"/>
        <v>0.1798310588316489</v>
      </c>
      <c r="AA422">
        <f t="shared" ca="1" si="82"/>
        <v>0.71603844709537734</v>
      </c>
      <c r="AB422">
        <f t="shared" ca="1" si="83"/>
        <v>0</v>
      </c>
      <c r="AC422" t="e">
        <f t="shared" ca="1" si="84"/>
        <v>#N/A</v>
      </c>
      <c r="AD422" t="e">
        <f t="shared" ca="1" si="85"/>
        <v>#N/A</v>
      </c>
    </row>
    <row r="423" spans="1:30" x14ac:dyDescent="0.2">
      <c r="A423">
        <f t="shared" si="90"/>
        <v>418</v>
      </c>
      <c r="B423">
        <f t="shared" ca="1" si="86"/>
        <v>0.70942661516803718</v>
      </c>
      <c r="C423">
        <f t="shared" ca="1" si="87"/>
        <v>1.8572479812193989</v>
      </c>
      <c r="D423">
        <f t="shared" ca="1" si="88"/>
        <v>-0.20044866864190364</v>
      </c>
      <c r="E423">
        <f t="shared" ca="1" si="89"/>
        <v>0.68051925288596105</v>
      </c>
      <c r="V423">
        <v>418</v>
      </c>
      <c r="W423">
        <f t="shared" ca="1" si="79"/>
        <v>-0.20044866864190364</v>
      </c>
      <c r="X423">
        <f t="shared" ca="1" si="80"/>
        <v>0.68051925288596105</v>
      </c>
      <c r="Y423">
        <f>'uniforme cercle (rejet)'!AJ427</f>
        <v>0</v>
      </c>
      <c r="Z423">
        <f t="shared" ca="1" si="81"/>
        <v>0.33946116556716072</v>
      </c>
      <c r="AA423">
        <f t="shared" ca="1" si="82"/>
        <v>0.72333639343304212</v>
      </c>
      <c r="AB423">
        <f t="shared" ca="1" si="83"/>
        <v>0</v>
      </c>
      <c r="AC423" t="e">
        <f t="shared" ca="1" si="84"/>
        <v>#N/A</v>
      </c>
      <c r="AD423" t="e">
        <f t="shared" ca="1" si="85"/>
        <v>#N/A</v>
      </c>
    </row>
    <row r="424" spans="1:30" x14ac:dyDescent="0.2">
      <c r="A424">
        <f t="shared" si="90"/>
        <v>419</v>
      </c>
      <c r="B424">
        <f t="shared" ca="1" si="86"/>
        <v>0.42027080194345878</v>
      </c>
      <c r="C424">
        <f t="shared" ca="1" si="87"/>
        <v>2.809553952892593</v>
      </c>
      <c r="D424">
        <f t="shared" ca="1" si="88"/>
        <v>-0.39731550618660399</v>
      </c>
      <c r="E424">
        <f t="shared" ca="1" si="89"/>
        <v>0.13699611494447797</v>
      </c>
      <c r="V424">
        <v>419</v>
      </c>
      <c r="W424">
        <f t="shared" ca="1" si="79"/>
        <v>-0.39731550618660399</v>
      </c>
      <c r="X424">
        <f t="shared" ca="1" si="80"/>
        <v>0.13699611494447797</v>
      </c>
      <c r="Y424">
        <f>'uniforme cercle (rejet)'!AJ428</f>
        <v>0</v>
      </c>
      <c r="Z424">
        <f t="shared" ca="1" si="81"/>
        <v>0.18407360682166127</v>
      </c>
      <c r="AA424">
        <f t="shared" ca="1" si="82"/>
        <v>0.96796019453711224</v>
      </c>
      <c r="AB424">
        <f t="shared" ca="1" si="83"/>
        <v>0</v>
      </c>
      <c r="AC424" t="e">
        <f t="shared" ca="1" si="84"/>
        <v>#N/A</v>
      </c>
      <c r="AD424" t="e">
        <f t="shared" ca="1" si="85"/>
        <v>#N/A</v>
      </c>
    </row>
    <row r="425" spans="1:30" x14ac:dyDescent="0.2">
      <c r="A425">
        <f t="shared" si="90"/>
        <v>420</v>
      </c>
      <c r="B425">
        <f t="shared" ca="1" si="86"/>
        <v>6.650340480811312E-2</v>
      </c>
      <c r="C425">
        <f t="shared" ca="1" si="87"/>
        <v>5.4935289496589768</v>
      </c>
      <c r="D425">
        <f t="shared" ca="1" si="88"/>
        <v>4.6824341168871422E-2</v>
      </c>
      <c r="E425">
        <f t="shared" ca="1" si="89"/>
        <v>-4.7224823188370922E-2</v>
      </c>
      <c r="V425">
        <v>420</v>
      </c>
      <c r="W425">
        <f t="shared" ca="1" si="79"/>
        <v>4.6824341168871422E-2</v>
      </c>
      <c r="X425">
        <f t="shared" ca="1" si="80"/>
        <v>-4.7224823188370922E-2</v>
      </c>
      <c r="Y425">
        <f>'uniforme cercle (rejet)'!AJ429</f>
        <v>0</v>
      </c>
      <c r="Z425">
        <f t="shared" ca="1" si="81"/>
        <v>2.831835517313795E-4</v>
      </c>
      <c r="AA425">
        <f t="shared" ca="1" si="82"/>
        <v>0.71050910259515421</v>
      </c>
      <c r="AB425">
        <f t="shared" ca="1" si="83"/>
        <v>0</v>
      </c>
      <c r="AC425" t="e">
        <f t="shared" ca="1" si="84"/>
        <v>#N/A</v>
      </c>
      <c r="AD425" t="e">
        <f t="shared" ca="1" si="85"/>
        <v>#N/A</v>
      </c>
    </row>
    <row r="426" spans="1:30" x14ac:dyDescent="0.2">
      <c r="A426">
        <f t="shared" si="90"/>
        <v>421</v>
      </c>
      <c r="B426">
        <f t="shared" ca="1" si="86"/>
        <v>0.83692006841954125</v>
      </c>
      <c r="C426">
        <f t="shared" ca="1" si="87"/>
        <v>5.8376190450316949</v>
      </c>
      <c r="D426">
        <f t="shared" ca="1" si="88"/>
        <v>0.75520885779403157</v>
      </c>
      <c r="E426">
        <f t="shared" ca="1" si="89"/>
        <v>-0.36068654262781114</v>
      </c>
      <c r="V426">
        <v>421</v>
      </c>
      <c r="W426">
        <f t="shared" ca="1" si="79"/>
        <v>0.75520885779403157</v>
      </c>
      <c r="X426">
        <f t="shared" ca="1" si="80"/>
        <v>-0.36068654262781114</v>
      </c>
      <c r="Y426">
        <f>'uniforme cercle (rejet)'!AJ430</f>
        <v>0</v>
      </c>
      <c r="Z426">
        <f t="shared" ca="1" si="81"/>
        <v>0.2789694043834508</v>
      </c>
      <c r="AA426">
        <f t="shared" ca="1" si="82"/>
        <v>0.89772650944324317</v>
      </c>
      <c r="AB426">
        <f t="shared" ca="1" si="83"/>
        <v>0</v>
      </c>
      <c r="AC426" t="e">
        <f t="shared" ca="1" si="84"/>
        <v>#N/A</v>
      </c>
      <c r="AD426" t="e">
        <f t="shared" ca="1" si="85"/>
        <v>#N/A</v>
      </c>
    </row>
    <row r="427" spans="1:30" x14ac:dyDescent="0.2">
      <c r="A427">
        <f t="shared" si="90"/>
        <v>422</v>
      </c>
      <c r="B427">
        <f t="shared" ca="1" si="86"/>
        <v>0.20427518413380641</v>
      </c>
      <c r="C427">
        <f t="shared" ca="1" si="87"/>
        <v>2.2175314941391129</v>
      </c>
      <c r="D427">
        <f t="shared" ca="1" si="88"/>
        <v>-0.12309297892184176</v>
      </c>
      <c r="E427">
        <f t="shared" ca="1" si="89"/>
        <v>0.1630229106384975</v>
      </c>
      <c r="V427">
        <v>422</v>
      </c>
      <c r="W427">
        <f t="shared" ca="1" si="79"/>
        <v>-0.12309297892184176</v>
      </c>
      <c r="X427">
        <f t="shared" ca="1" si="80"/>
        <v>0.1630229106384975</v>
      </c>
      <c r="Y427">
        <f>'uniforme cercle (rejet)'!AJ431</f>
        <v>0</v>
      </c>
      <c r="Z427">
        <f t="shared" ca="1" si="81"/>
        <v>2.823472548916307E-2</v>
      </c>
      <c r="AA427">
        <f t="shared" ca="1" si="82"/>
        <v>0.70837731410332783</v>
      </c>
      <c r="AB427">
        <f t="shared" ca="1" si="83"/>
        <v>0</v>
      </c>
      <c r="AC427" t="e">
        <f t="shared" ca="1" si="84"/>
        <v>#N/A</v>
      </c>
      <c r="AD427" t="e">
        <f t="shared" ca="1" si="85"/>
        <v>#N/A</v>
      </c>
    </row>
    <row r="428" spans="1:30" x14ac:dyDescent="0.2">
      <c r="A428">
        <f t="shared" si="90"/>
        <v>423</v>
      </c>
      <c r="B428">
        <f t="shared" ca="1" si="86"/>
        <v>0.79107124972850029</v>
      </c>
      <c r="C428">
        <f t="shared" ca="1" si="87"/>
        <v>3.6912561746421222</v>
      </c>
      <c r="D428">
        <f t="shared" ca="1" si="88"/>
        <v>-0.67454672918029468</v>
      </c>
      <c r="E428">
        <f t="shared" ca="1" si="89"/>
        <v>-0.41325589203201613</v>
      </c>
      <c r="V428">
        <v>423</v>
      </c>
      <c r="W428">
        <f t="shared" ca="1" si="79"/>
        <v>-0.67454672918029468</v>
      </c>
      <c r="X428">
        <f t="shared" ca="1" si="80"/>
        <v>-0.41325589203201613</v>
      </c>
      <c r="Y428">
        <f>'uniforme cercle (rejet)'!AJ432</f>
        <v>0</v>
      </c>
      <c r="Z428">
        <f t="shared" ca="1" si="81"/>
        <v>0.76919261005172634</v>
      </c>
      <c r="AA428">
        <f t="shared" ca="1" si="82"/>
        <v>1.4878159642104001</v>
      </c>
      <c r="AB428">
        <f t="shared" ca="1" si="83"/>
        <v>0</v>
      </c>
      <c r="AC428" t="e">
        <f t="shared" ca="1" si="84"/>
        <v>#N/A</v>
      </c>
      <c r="AD428" t="e">
        <f t="shared" ca="1" si="85"/>
        <v>#N/A</v>
      </c>
    </row>
    <row r="429" spans="1:30" x14ac:dyDescent="0.2">
      <c r="A429">
        <f t="shared" si="90"/>
        <v>424</v>
      </c>
      <c r="B429">
        <f t="shared" ca="1" si="86"/>
        <v>0.85832867144056801</v>
      </c>
      <c r="C429">
        <f t="shared" ca="1" si="87"/>
        <v>1.9146935694350518</v>
      </c>
      <c r="D429">
        <f t="shared" ca="1" si="88"/>
        <v>-0.28939297383463652</v>
      </c>
      <c r="E429">
        <f t="shared" ca="1" si="89"/>
        <v>0.80807166446552003</v>
      </c>
      <c r="V429">
        <v>424</v>
      </c>
      <c r="W429">
        <f t="shared" ca="1" si="79"/>
        <v>-0.28939297383463652</v>
      </c>
      <c r="X429">
        <f t="shared" ca="1" si="80"/>
        <v>0.80807166446552003</v>
      </c>
      <c r="Y429">
        <f>'uniforme cercle (rejet)'!AJ433</f>
        <v>0</v>
      </c>
      <c r="Z429">
        <f t="shared" ca="1" si="81"/>
        <v>0.36676121940205714</v>
      </c>
      <c r="AA429">
        <f t="shared" ca="1" si="82"/>
        <v>0.84737796619103045</v>
      </c>
      <c r="AB429">
        <f t="shared" ca="1" si="83"/>
        <v>0</v>
      </c>
      <c r="AC429" t="e">
        <f t="shared" ca="1" si="84"/>
        <v>#N/A</v>
      </c>
      <c r="AD429" t="e">
        <f t="shared" ca="1" si="85"/>
        <v>#N/A</v>
      </c>
    </row>
    <row r="430" spans="1:30" x14ac:dyDescent="0.2">
      <c r="A430">
        <f t="shared" si="90"/>
        <v>425</v>
      </c>
      <c r="B430">
        <f t="shared" ca="1" si="86"/>
        <v>0.42438572285327303</v>
      </c>
      <c r="C430">
        <f t="shared" ca="1" si="87"/>
        <v>5.8107711594303701</v>
      </c>
      <c r="D430">
        <f t="shared" ca="1" si="88"/>
        <v>0.37790375481012134</v>
      </c>
      <c r="E430">
        <f t="shared" ca="1" si="89"/>
        <v>-0.19311135094060819</v>
      </c>
      <c r="V430">
        <v>425</v>
      </c>
      <c r="W430">
        <f t="shared" ca="1" si="79"/>
        <v>0.37790375481012134</v>
      </c>
      <c r="X430">
        <f t="shared" ca="1" si="80"/>
        <v>-0.19311135094060819</v>
      </c>
      <c r="Y430">
        <f>'uniforme cercle (rejet)'!AJ434</f>
        <v>0</v>
      </c>
      <c r="Z430">
        <f t="shared" ca="1" si="81"/>
        <v>0.13066796188789595</v>
      </c>
      <c r="AA430">
        <f t="shared" ca="1" si="82"/>
        <v>0.70378323217605998</v>
      </c>
      <c r="AB430">
        <f t="shared" ca="1" si="83"/>
        <v>0</v>
      </c>
      <c r="AC430" t="e">
        <f t="shared" ca="1" si="84"/>
        <v>#N/A</v>
      </c>
      <c r="AD430" t="e">
        <f t="shared" ca="1" si="85"/>
        <v>#N/A</v>
      </c>
    </row>
    <row r="431" spans="1:30" x14ac:dyDescent="0.2">
      <c r="A431">
        <f t="shared" si="90"/>
        <v>426</v>
      </c>
      <c r="B431">
        <f t="shared" ca="1" si="86"/>
        <v>0.87960576805352242</v>
      </c>
      <c r="C431">
        <f t="shared" ca="1" si="87"/>
        <v>5.0836603263916418</v>
      </c>
      <c r="D431">
        <f t="shared" ca="1" si="88"/>
        <v>0.31912136851679329</v>
      </c>
      <c r="E431">
        <f t="shared" ca="1" si="89"/>
        <v>-0.81967545976989953</v>
      </c>
      <c r="V431">
        <v>426</v>
      </c>
      <c r="W431">
        <f t="shared" ca="1" si="79"/>
        <v>0.31912136851679329</v>
      </c>
      <c r="X431">
        <f t="shared" ca="1" si="80"/>
        <v>-0.81967545976989953</v>
      </c>
      <c r="Y431">
        <f>'uniforme cercle (rejet)'!AJ435</f>
        <v>0</v>
      </c>
      <c r="Z431">
        <f t="shared" ca="1" si="81"/>
        <v>0.35394519227574134</v>
      </c>
      <c r="AA431">
        <f t="shared" ca="1" si="82"/>
        <v>1.3320136630103063</v>
      </c>
      <c r="AB431">
        <f t="shared" ca="1" si="83"/>
        <v>0</v>
      </c>
      <c r="AC431" t="e">
        <f t="shared" ca="1" si="84"/>
        <v>#N/A</v>
      </c>
      <c r="AD431" t="e">
        <f t="shared" ca="1" si="85"/>
        <v>#N/A</v>
      </c>
    </row>
    <row r="432" spans="1:30" x14ac:dyDescent="0.2">
      <c r="A432">
        <f t="shared" si="90"/>
        <v>427</v>
      </c>
      <c r="B432">
        <f t="shared" ca="1" si="86"/>
        <v>0.55824353411556127</v>
      </c>
      <c r="C432">
        <f t="shared" ca="1" si="87"/>
        <v>5.24669638822356</v>
      </c>
      <c r="D432">
        <f t="shared" ca="1" si="88"/>
        <v>0.28428278540785928</v>
      </c>
      <c r="E432">
        <f t="shared" ca="1" si="89"/>
        <v>-0.48043640713686642</v>
      </c>
      <c r="V432">
        <v>427</v>
      </c>
      <c r="W432">
        <f t="shared" ca="1" si="79"/>
        <v>0.28428278540785928</v>
      </c>
      <c r="X432">
        <f t="shared" ca="1" si="80"/>
        <v>-0.48043640713686642</v>
      </c>
      <c r="Y432">
        <f>'uniforme cercle (rejet)'!AJ436</f>
        <v>0</v>
      </c>
      <c r="Z432">
        <f t="shared" ca="1" si="81"/>
        <v>0.13870155607888185</v>
      </c>
      <c r="AA432">
        <f t="shared" ca="1" si="82"/>
        <v>1.003887177481035</v>
      </c>
      <c r="AB432">
        <f t="shared" ca="1" si="83"/>
        <v>0</v>
      </c>
      <c r="AC432" t="e">
        <f t="shared" ca="1" si="84"/>
        <v>#N/A</v>
      </c>
      <c r="AD432" t="e">
        <f t="shared" ca="1" si="85"/>
        <v>#N/A</v>
      </c>
    </row>
    <row r="433" spans="1:30" x14ac:dyDescent="0.2">
      <c r="A433">
        <f t="shared" si="90"/>
        <v>428</v>
      </c>
      <c r="B433">
        <f t="shared" ca="1" si="86"/>
        <v>0.1857914928310338</v>
      </c>
      <c r="C433">
        <f t="shared" ca="1" si="87"/>
        <v>5.4920485604923313</v>
      </c>
      <c r="D433">
        <f t="shared" ca="1" si="88"/>
        <v>0.13061836236660734</v>
      </c>
      <c r="E433">
        <f t="shared" ca="1" si="89"/>
        <v>-0.1321261602448574</v>
      </c>
      <c r="V433">
        <v>428</v>
      </c>
      <c r="W433">
        <f t="shared" ca="1" si="79"/>
        <v>0.13061836236660734</v>
      </c>
      <c r="X433">
        <f t="shared" ca="1" si="80"/>
        <v>-0.1321261602448574</v>
      </c>
      <c r="Y433">
        <f>'uniforme cercle (rejet)'!AJ437</f>
        <v>0</v>
      </c>
      <c r="Z433">
        <f t="shared" ca="1" si="81"/>
        <v>1.0661741043693066E-3</v>
      </c>
      <c r="AA433">
        <f t="shared" ca="1" si="82"/>
        <v>0.73213815409841476</v>
      </c>
      <c r="AB433">
        <f t="shared" ca="1" si="83"/>
        <v>0</v>
      </c>
      <c r="AC433" t="e">
        <f t="shared" ca="1" si="84"/>
        <v>#N/A</v>
      </c>
      <c r="AD433" t="e">
        <f t="shared" ca="1" si="85"/>
        <v>#N/A</v>
      </c>
    </row>
    <row r="434" spans="1:30" x14ac:dyDescent="0.2">
      <c r="A434">
        <f t="shared" si="90"/>
        <v>429</v>
      </c>
      <c r="B434">
        <f t="shared" ca="1" si="86"/>
        <v>0.96175042120635434</v>
      </c>
      <c r="C434">
        <f t="shared" ca="1" si="87"/>
        <v>1.369959687569716</v>
      </c>
      <c r="D434">
        <f t="shared" ca="1" si="88"/>
        <v>0.19185884454539623</v>
      </c>
      <c r="E434">
        <f t="shared" ca="1" si="89"/>
        <v>0.9424192572630854</v>
      </c>
      <c r="V434">
        <v>429</v>
      </c>
      <c r="W434">
        <f t="shared" ca="1" si="79"/>
        <v>0.19185884454539623</v>
      </c>
      <c r="X434">
        <f t="shared" ca="1" si="80"/>
        <v>0.9424192572630854</v>
      </c>
      <c r="Y434">
        <f>'uniforme cercle (rejet)'!AJ438</f>
        <v>0</v>
      </c>
      <c r="Z434">
        <f t="shared" ca="1" si="81"/>
        <v>0.80205573754018233</v>
      </c>
      <c r="AA434">
        <f t="shared" ca="1" si="82"/>
        <v>0.53915282701857226</v>
      </c>
      <c r="AB434">
        <f t="shared" ca="1" si="83"/>
        <v>1</v>
      </c>
      <c r="AC434">
        <f t="shared" ca="1" si="84"/>
        <v>0.19185884454539623</v>
      </c>
      <c r="AD434">
        <f t="shared" ca="1" si="85"/>
        <v>0.9424192572630854</v>
      </c>
    </row>
    <row r="435" spans="1:30" x14ac:dyDescent="0.2">
      <c r="A435">
        <f t="shared" si="90"/>
        <v>430</v>
      </c>
      <c r="B435">
        <f t="shared" ca="1" si="86"/>
        <v>0.59717591764920119</v>
      </c>
      <c r="C435">
        <f t="shared" ca="1" si="87"/>
        <v>4.4223972674538938</v>
      </c>
      <c r="D435">
        <f t="shared" ca="1" si="88"/>
        <v>-0.17075904023109315</v>
      </c>
      <c r="E435">
        <f t="shared" ca="1" si="89"/>
        <v>-0.57224158080265497</v>
      </c>
      <c r="V435">
        <v>430</v>
      </c>
      <c r="W435">
        <f t="shared" ca="1" si="79"/>
        <v>-0.17075904023109315</v>
      </c>
      <c r="X435">
        <f t="shared" ca="1" si="80"/>
        <v>-0.57224158080265497</v>
      </c>
      <c r="Y435">
        <f>'uniforme cercle (rejet)'!AJ439</f>
        <v>0</v>
      </c>
      <c r="Z435">
        <f t="shared" ca="1" si="81"/>
        <v>0.52538077755877943</v>
      </c>
      <c r="AA435">
        <f t="shared" ca="1" si="82"/>
        <v>1.2647607274318386</v>
      </c>
      <c r="AB435">
        <f t="shared" ca="1" si="83"/>
        <v>0</v>
      </c>
      <c r="AC435" t="e">
        <f t="shared" ca="1" si="84"/>
        <v>#N/A</v>
      </c>
      <c r="AD435" t="e">
        <f t="shared" ca="1" si="85"/>
        <v>#N/A</v>
      </c>
    </row>
    <row r="436" spans="1:30" x14ac:dyDescent="0.2">
      <c r="A436">
        <f t="shared" si="90"/>
        <v>431</v>
      </c>
      <c r="B436">
        <f t="shared" ca="1" si="86"/>
        <v>0.77151600587970937</v>
      </c>
      <c r="C436">
        <f t="shared" ca="1" si="87"/>
        <v>4.6848460927425792</v>
      </c>
      <c r="D436">
        <f t="shared" ca="1" si="88"/>
        <v>-2.1247092047839918E-2</v>
      </c>
      <c r="E436">
        <f t="shared" ca="1" si="89"/>
        <v>-0.77122338424615366</v>
      </c>
      <c r="V436">
        <v>431</v>
      </c>
      <c r="W436">
        <f t="shared" ca="1" si="79"/>
        <v>-2.1247092047839918E-2</v>
      </c>
      <c r="X436">
        <f t="shared" ca="1" si="80"/>
        <v>-0.77122338424615366</v>
      </c>
      <c r="Y436">
        <f>'uniforme cercle (rejet)'!AJ440</f>
        <v>0</v>
      </c>
      <c r="Z436">
        <f t="shared" ca="1" si="81"/>
        <v>0.56036124767761608</v>
      </c>
      <c r="AA436">
        <f t="shared" ca="1" si="82"/>
        <v>1.373938653514986</v>
      </c>
      <c r="AB436">
        <f t="shared" ca="1" si="83"/>
        <v>0</v>
      </c>
      <c r="AC436" t="e">
        <f t="shared" ca="1" si="84"/>
        <v>#N/A</v>
      </c>
      <c r="AD436" t="e">
        <f t="shared" ca="1" si="85"/>
        <v>#N/A</v>
      </c>
    </row>
    <row r="437" spans="1:30" x14ac:dyDescent="0.2">
      <c r="A437">
        <f t="shared" si="90"/>
        <v>432</v>
      </c>
      <c r="B437">
        <f t="shared" ca="1" si="86"/>
        <v>0.84479469643825333</v>
      </c>
      <c r="C437">
        <f t="shared" ca="1" si="87"/>
        <v>2.4669761098304996</v>
      </c>
      <c r="D437">
        <f t="shared" ca="1" si="88"/>
        <v>-0.65973947365611163</v>
      </c>
      <c r="E437">
        <f t="shared" ca="1" si="89"/>
        <v>0.52765699657083798</v>
      </c>
      <c r="V437">
        <v>432</v>
      </c>
      <c r="W437">
        <f t="shared" ca="1" si="79"/>
        <v>-0.65973947365611163</v>
      </c>
      <c r="X437">
        <f t="shared" ca="1" si="80"/>
        <v>0.52765699657083798</v>
      </c>
      <c r="Y437">
        <f>'uniforme cercle (rejet)'!AJ441</f>
        <v>0</v>
      </c>
      <c r="Z437">
        <f t="shared" ca="1" si="81"/>
        <v>9.3396415222913781E-2</v>
      </c>
      <c r="AA437">
        <f t="shared" ca="1" si="82"/>
        <v>1.1600692032010307</v>
      </c>
      <c r="AB437">
        <f t="shared" ca="1" si="83"/>
        <v>0</v>
      </c>
      <c r="AC437" t="e">
        <f t="shared" ca="1" si="84"/>
        <v>#N/A</v>
      </c>
      <c r="AD437" t="e">
        <f t="shared" ca="1" si="85"/>
        <v>#N/A</v>
      </c>
    </row>
    <row r="438" spans="1:30" x14ac:dyDescent="0.2">
      <c r="A438">
        <f t="shared" si="90"/>
        <v>433</v>
      </c>
      <c r="B438">
        <f t="shared" ca="1" si="86"/>
        <v>0.16804956291319728</v>
      </c>
      <c r="C438">
        <f t="shared" ca="1" si="87"/>
        <v>1.0943537892234048</v>
      </c>
      <c r="D438">
        <f t="shared" ca="1" si="88"/>
        <v>7.7071026504755141E-2</v>
      </c>
      <c r="E438">
        <f t="shared" ca="1" si="89"/>
        <v>0.14933423073368002</v>
      </c>
      <c r="V438">
        <v>433</v>
      </c>
      <c r="W438">
        <f t="shared" ca="1" si="79"/>
        <v>7.7071026504755141E-2</v>
      </c>
      <c r="X438">
        <f t="shared" ca="1" si="80"/>
        <v>0.14933423073368002</v>
      </c>
      <c r="Y438">
        <f>'uniforme cercle (rejet)'!AJ442</f>
        <v>0</v>
      </c>
      <c r="Z438">
        <f t="shared" ca="1" si="81"/>
        <v>0.16009269268958218</v>
      </c>
      <c r="AA438">
        <f t="shared" ca="1" si="82"/>
        <v>0.54939548447077857</v>
      </c>
      <c r="AB438">
        <f t="shared" ca="1" si="83"/>
        <v>0</v>
      </c>
      <c r="AC438" t="e">
        <f t="shared" ca="1" si="84"/>
        <v>#N/A</v>
      </c>
      <c r="AD438" t="e">
        <f t="shared" ca="1" si="85"/>
        <v>#N/A</v>
      </c>
    </row>
    <row r="439" spans="1:30" x14ac:dyDescent="0.2">
      <c r="A439">
        <f t="shared" si="90"/>
        <v>434</v>
      </c>
      <c r="B439">
        <f t="shared" ca="1" si="86"/>
        <v>0.46366884579342649</v>
      </c>
      <c r="C439">
        <f t="shared" ca="1" si="87"/>
        <v>4.6771532049198532</v>
      </c>
      <c r="D439">
        <f t="shared" ca="1" si="88"/>
        <v>-1.6334350838338469E-2</v>
      </c>
      <c r="E439">
        <f t="shared" ca="1" si="89"/>
        <v>-0.46338103925613788</v>
      </c>
      <c r="V439">
        <v>434</v>
      </c>
      <c r="W439">
        <f t="shared" ca="1" si="79"/>
        <v>-1.6334350838338469E-2</v>
      </c>
      <c r="X439">
        <f t="shared" ca="1" si="80"/>
        <v>-0.46338103925613788</v>
      </c>
      <c r="Y439">
        <f>'uniforme cercle (rejet)'!AJ443</f>
        <v>0</v>
      </c>
      <c r="Z439">
        <f t="shared" ca="1" si="81"/>
        <v>0.33921000537535417</v>
      </c>
      <c r="AA439">
        <f t="shared" ca="1" si="82"/>
        <v>1.0930252461191758</v>
      </c>
      <c r="AB439">
        <f t="shared" ca="1" si="83"/>
        <v>0</v>
      </c>
      <c r="AC439" t="e">
        <f t="shared" ca="1" si="84"/>
        <v>#N/A</v>
      </c>
      <c r="AD439" t="e">
        <f t="shared" ca="1" si="85"/>
        <v>#N/A</v>
      </c>
    </row>
    <row r="440" spans="1:30" x14ac:dyDescent="0.2">
      <c r="A440">
        <f t="shared" si="90"/>
        <v>435</v>
      </c>
      <c r="B440">
        <f t="shared" ca="1" si="86"/>
        <v>0.94770392173370321</v>
      </c>
      <c r="C440">
        <f t="shared" ca="1" si="87"/>
        <v>1.3470501847974963</v>
      </c>
      <c r="D440">
        <f t="shared" ca="1" si="88"/>
        <v>0.21028027411876671</v>
      </c>
      <c r="E440">
        <f t="shared" ca="1" si="89"/>
        <v>0.92408058608866861</v>
      </c>
      <c r="V440">
        <v>435</v>
      </c>
      <c r="W440">
        <f t="shared" ca="1" si="79"/>
        <v>0.21028027411876671</v>
      </c>
      <c r="X440">
        <f t="shared" ca="1" si="80"/>
        <v>0.92408058608866861</v>
      </c>
      <c r="Y440">
        <f>'uniforme cercle (rejet)'!AJ444</f>
        <v>0</v>
      </c>
      <c r="Z440">
        <f t="shared" ca="1" si="81"/>
        <v>0.80211425656528279</v>
      </c>
      <c r="AA440">
        <f t="shared" ca="1" si="82"/>
        <v>0.51359698505930274</v>
      </c>
      <c r="AB440">
        <f t="shared" ca="1" si="83"/>
        <v>1</v>
      </c>
      <c r="AC440">
        <f t="shared" ca="1" si="84"/>
        <v>0.21028027411876671</v>
      </c>
      <c r="AD440">
        <f t="shared" ca="1" si="85"/>
        <v>0.92408058608866861</v>
      </c>
    </row>
    <row r="441" spans="1:30" x14ac:dyDescent="0.2">
      <c r="A441">
        <f t="shared" si="90"/>
        <v>436</v>
      </c>
      <c r="B441">
        <f t="shared" ca="1" si="86"/>
        <v>2.7906929325562269E-2</v>
      </c>
      <c r="C441">
        <f t="shared" ca="1" si="87"/>
        <v>6.0434399474157372</v>
      </c>
      <c r="D441">
        <f t="shared" ca="1" si="88"/>
        <v>2.7108748505418272E-2</v>
      </c>
      <c r="E441">
        <f t="shared" ca="1" si="89"/>
        <v>-6.6266476329973865E-3</v>
      </c>
      <c r="V441">
        <v>436</v>
      </c>
      <c r="W441">
        <f t="shared" ca="1" si="79"/>
        <v>2.7108748505418272E-2</v>
      </c>
      <c r="X441">
        <f t="shared" ca="1" si="80"/>
        <v>-6.6266476329973865E-3</v>
      </c>
      <c r="Y441">
        <f>'uniforme cercle (rejet)'!AJ445</f>
        <v>0</v>
      </c>
      <c r="Z441">
        <f t="shared" ca="1" si="81"/>
        <v>1.4483032419835709E-2</v>
      </c>
      <c r="AA441">
        <f t="shared" ca="1" si="82"/>
        <v>0.69303441172279534</v>
      </c>
      <c r="AB441">
        <f t="shared" ca="1" si="83"/>
        <v>0</v>
      </c>
      <c r="AC441" t="e">
        <f t="shared" ca="1" si="84"/>
        <v>#N/A</v>
      </c>
      <c r="AD441" t="e">
        <f t="shared" ca="1" si="85"/>
        <v>#N/A</v>
      </c>
    </row>
    <row r="442" spans="1:30" x14ac:dyDescent="0.2">
      <c r="A442">
        <f t="shared" si="90"/>
        <v>437</v>
      </c>
      <c r="B442">
        <f t="shared" ca="1" si="86"/>
        <v>0.28880605016322813</v>
      </c>
      <c r="C442">
        <f t="shared" ca="1" si="87"/>
        <v>4.0766354358158514</v>
      </c>
      <c r="D442">
        <f t="shared" ca="1" si="88"/>
        <v>-0.17148841264058004</v>
      </c>
      <c r="E442">
        <f t="shared" ca="1" si="89"/>
        <v>-0.23238041858319128</v>
      </c>
      <c r="V442">
        <v>437</v>
      </c>
      <c r="W442">
        <f t="shared" ca="1" si="79"/>
        <v>-0.17148841264058004</v>
      </c>
      <c r="X442">
        <f t="shared" ca="1" si="80"/>
        <v>-0.23238041858319128</v>
      </c>
      <c r="Y442">
        <f>'uniforme cercle (rejet)'!AJ446</f>
        <v>0</v>
      </c>
      <c r="Z442">
        <f t="shared" ca="1" si="81"/>
        <v>0.28557838926821399</v>
      </c>
      <c r="AA442">
        <f t="shared" ca="1" si="82"/>
        <v>0.99361852128201411</v>
      </c>
      <c r="AB442">
        <f t="shared" ca="1" si="83"/>
        <v>0</v>
      </c>
      <c r="AC442" t="e">
        <f t="shared" ca="1" si="84"/>
        <v>#N/A</v>
      </c>
      <c r="AD442" t="e">
        <f t="shared" ca="1" si="85"/>
        <v>#N/A</v>
      </c>
    </row>
    <row r="443" spans="1:30" x14ac:dyDescent="0.2">
      <c r="A443">
        <f t="shared" si="90"/>
        <v>438</v>
      </c>
      <c r="B443">
        <f t="shared" ca="1" si="86"/>
        <v>0.40997705312596933</v>
      </c>
      <c r="C443">
        <f t="shared" ca="1" si="87"/>
        <v>3.4843172799710262</v>
      </c>
      <c r="D443">
        <f t="shared" ca="1" si="88"/>
        <v>-0.38613382889968118</v>
      </c>
      <c r="E443">
        <f t="shared" ca="1" si="89"/>
        <v>-0.13777463579747037</v>
      </c>
      <c r="V443">
        <v>438</v>
      </c>
      <c r="W443">
        <f t="shared" ca="1" si="79"/>
        <v>-0.38613382889968118</v>
      </c>
      <c r="X443">
        <f t="shared" ca="1" si="80"/>
        <v>-0.13777463579747037</v>
      </c>
      <c r="Y443">
        <f>'uniforme cercle (rejet)'!AJ447</f>
        <v>0</v>
      </c>
      <c r="Z443">
        <f t="shared" ca="1" si="81"/>
        <v>0.37045922810838883</v>
      </c>
      <c r="AA443">
        <f t="shared" ca="1" si="82"/>
        <v>1.0917827846174373</v>
      </c>
      <c r="AB443">
        <f t="shared" ca="1" si="83"/>
        <v>0</v>
      </c>
      <c r="AC443" t="e">
        <f t="shared" ca="1" si="84"/>
        <v>#N/A</v>
      </c>
      <c r="AD443" t="e">
        <f t="shared" ca="1" si="85"/>
        <v>#N/A</v>
      </c>
    </row>
    <row r="444" spans="1:30" x14ac:dyDescent="0.2">
      <c r="A444">
        <f t="shared" si="90"/>
        <v>439</v>
      </c>
      <c r="B444">
        <f t="shared" ca="1" si="86"/>
        <v>0.27888473789217361</v>
      </c>
      <c r="C444">
        <f t="shared" ca="1" si="87"/>
        <v>5.2289945754473885</v>
      </c>
      <c r="D444">
        <f t="shared" ca="1" si="88"/>
        <v>0.13774997121326615</v>
      </c>
      <c r="E444">
        <f t="shared" ca="1" si="89"/>
        <v>-0.24249049973128992</v>
      </c>
      <c r="V444">
        <v>439</v>
      </c>
      <c r="W444">
        <f t="shared" ca="1" si="79"/>
        <v>0.13774997121326615</v>
      </c>
      <c r="X444">
        <f t="shared" ca="1" si="80"/>
        <v>-0.24249049973128992</v>
      </c>
      <c r="Y444">
        <f>'uniforme cercle (rejet)'!AJ448</f>
        <v>0</v>
      </c>
      <c r="Z444">
        <f t="shared" ca="1" si="81"/>
        <v>7.406273798015757E-2</v>
      </c>
      <c r="AA444">
        <f t="shared" ca="1" si="82"/>
        <v>0.82614600740257171</v>
      </c>
      <c r="AB444">
        <f t="shared" ca="1" si="83"/>
        <v>0</v>
      </c>
      <c r="AC444" t="e">
        <f t="shared" ca="1" si="84"/>
        <v>#N/A</v>
      </c>
      <c r="AD444" t="e">
        <f t="shared" ca="1" si="85"/>
        <v>#N/A</v>
      </c>
    </row>
    <row r="445" spans="1:30" x14ac:dyDescent="0.2">
      <c r="A445">
        <f t="shared" si="90"/>
        <v>440</v>
      </c>
      <c r="B445">
        <f t="shared" ca="1" si="86"/>
        <v>0.25945331938697902</v>
      </c>
      <c r="C445">
        <f t="shared" ca="1" si="87"/>
        <v>6.0024218183429197</v>
      </c>
      <c r="D445">
        <f t="shared" ca="1" si="88"/>
        <v>0.2492942077041844</v>
      </c>
      <c r="E445">
        <f t="shared" ca="1" si="89"/>
        <v>-7.1891744630831672E-2</v>
      </c>
      <c r="V445">
        <v>440</v>
      </c>
      <c r="W445">
        <f t="shared" ca="1" si="79"/>
        <v>0.2492942077041844</v>
      </c>
      <c r="X445">
        <f t="shared" ca="1" si="80"/>
        <v>-7.1891744630831672E-2</v>
      </c>
      <c r="Y445">
        <f>'uniforme cercle (rejet)'!AJ449</f>
        <v>0</v>
      </c>
      <c r="Z445">
        <f t="shared" ca="1" si="81"/>
        <v>0.1254424846383638</v>
      </c>
      <c r="AA445">
        <f t="shared" ca="1" si="82"/>
        <v>0.62443059011195878</v>
      </c>
      <c r="AB445">
        <f t="shared" ca="1" si="83"/>
        <v>0</v>
      </c>
      <c r="AC445" t="e">
        <f t="shared" ca="1" si="84"/>
        <v>#N/A</v>
      </c>
      <c r="AD445" t="e">
        <f t="shared" ca="1" si="85"/>
        <v>#N/A</v>
      </c>
    </row>
    <row r="446" spans="1:30" x14ac:dyDescent="0.2">
      <c r="A446">
        <f t="shared" si="90"/>
        <v>441</v>
      </c>
      <c r="B446">
        <f t="shared" ca="1" si="86"/>
        <v>0.44776560512746766</v>
      </c>
      <c r="C446">
        <f t="shared" ca="1" si="87"/>
        <v>5.4582543910082944E-2</v>
      </c>
      <c r="D446">
        <f t="shared" ca="1" si="88"/>
        <v>0.44709876695144035</v>
      </c>
      <c r="E446">
        <f t="shared" ca="1" si="89"/>
        <v>2.442805202362458E-2</v>
      </c>
      <c r="V446">
        <v>441</v>
      </c>
      <c r="W446">
        <f t="shared" ca="1" si="79"/>
        <v>0.44709876695144035</v>
      </c>
      <c r="X446">
        <f t="shared" ca="1" si="80"/>
        <v>2.442805202362458E-2</v>
      </c>
      <c r="Y446">
        <f>'uniforme cercle (rejet)'!AJ450</f>
        <v>0</v>
      </c>
      <c r="Z446">
        <f t="shared" ca="1" si="81"/>
        <v>0.33341981120859004</v>
      </c>
      <c r="AA446">
        <f t="shared" ca="1" si="82"/>
        <v>0.47850519136170544</v>
      </c>
      <c r="AB446">
        <f t="shared" ca="1" si="83"/>
        <v>1</v>
      </c>
      <c r="AC446">
        <f t="shared" ca="1" si="84"/>
        <v>0.44709876695144035</v>
      </c>
      <c r="AD446">
        <f t="shared" ca="1" si="85"/>
        <v>2.442805202362458E-2</v>
      </c>
    </row>
    <row r="447" spans="1:30" x14ac:dyDescent="0.2">
      <c r="A447">
        <f t="shared" si="90"/>
        <v>442</v>
      </c>
      <c r="B447">
        <f t="shared" ca="1" si="86"/>
        <v>0.51277102391979923</v>
      </c>
      <c r="C447">
        <f t="shared" ca="1" si="87"/>
        <v>3.8516557421387914</v>
      </c>
      <c r="D447">
        <f t="shared" ca="1" si="88"/>
        <v>-0.38884490807016181</v>
      </c>
      <c r="E447">
        <f t="shared" ca="1" si="89"/>
        <v>-0.3342660025184534</v>
      </c>
      <c r="V447">
        <v>442</v>
      </c>
      <c r="W447">
        <f t="shared" ca="1" si="79"/>
        <v>-0.38884490807016181</v>
      </c>
      <c r="X447">
        <f t="shared" ca="1" si="80"/>
        <v>-0.3342660025184534</v>
      </c>
      <c r="Y447">
        <f>'uniforme cercle (rejet)'!AJ451</f>
        <v>0</v>
      </c>
      <c r="Z447">
        <f t="shared" ca="1" si="81"/>
        <v>0.51131662842718917</v>
      </c>
      <c r="AA447">
        <f t="shared" ca="1" si="82"/>
        <v>1.2190344677491176</v>
      </c>
      <c r="AB447">
        <f t="shared" ca="1" si="83"/>
        <v>0</v>
      </c>
      <c r="AC447" t="e">
        <f t="shared" ca="1" si="84"/>
        <v>#N/A</v>
      </c>
      <c r="AD447" t="e">
        <f t="shared" ca="1" si="85"/>
        <v>#N/A</v>
      </c>
    </row>
    <row r="448" spans="1:30" x14ac:dyDescent="0.2">
      <c r="A448">
        <f t="shared" si="90"/>
        <v>443</v>
      </c>
      <c r="B448">
        <f t="shared" ca="1" si="86"/>
        <v>0.52106997919384501</v>
      </c>
      <c r="C448">
        <f t="shared" ca="1" si="87"/>
        <v>3.3272898028904572</v>
      </c>
      <c r="D448">
        <f t="shared" ca="1" si="88"/>
        <v>-0.51211162613165295</v>
      </c>
      <c r="E448">
        <f t="shared" ca="1" si="89"/>
        <v>-9.6206058010232381E-2</v>
      </c>
      <c r="V448">
        <v>443</v>
      </c>
      <c r="W448">
        <f t="shared" ca="1" si="79"/>
        <v>-0.51211162613165295</v>
      </c>
      <c r="X448">
        <f t="shared" ca="1" si="80"/>
        <v>-9.6206058010232381E-2</v>
      </c>
      <c r="Y448">
        <f>'uniforme cercle (rejet)'!AJ452</f>
        <v>0</v>
      </c>
      <c r="Z448">
        <f t="shared" ca="1" si="81"/>
        <v>0.43014555957242345</v>
      </c>
      <c r="AA448">
        <f t="shared" ca="1" si="82"/>
        <v>1.1746623375927907</v>
      </c>
      <c r="AB448">
        <f t="shared" ca="1" si="83"/>
        <v>0</v>
      </c>
      <c r="AC448" t="e">
        <f t="shared" ca="1" si="84"/>
        <v>#N/A</v>
      </c>
      <c r="AD448" t="e">
        <f t="shared" ca="1" si="85"/>
        <v>#N/A</v>
      </c>
    </row>
    <row r="449" spans="1:30" x14ac:dyDescent="0.2">
      <c r="A449">
        <f t="shared" si="90"/>
        <v>444</v>
      </c>
      <c r="B449">
        <f t="shared" ca="1" si="86"/>
        <v>0.30029546055749456</v>
      </c>
      <c r="C449">
        <f t="shared" ca="1" si="87"/>
        <v>6.1434703958840418</v>
      </c>
      <c r="D449">
        <f t="shared" ca="1" si="88"/>
        <v>0.29736930295375746</v>
      </c>
      <c r="E449">
        <f t="shared" ca="1" si="89"/>
        <v>-4.1819388950990098E-2</v>
      </c>
      <c r="V449">
        <v>444</v>
      </c>
      <c r="W449">
        <f t="shared" ca="1" si="79"/>
        <v>0.29736930295375746</v>
      </c>
      <c r="X449">
        <f t="shared" ca="1" si="80"/>
        <v>-4.1819388950990098E-2</v>
      </c>
      <c r="Y449">
        <f>'uniforme cercle (rejet)'!AJ453</f>
        <v>0</v>
      </c>
      <c r="Z449">
        <f t="shared" ca="1" si="81"/>
        <v>0.18070107712299585</v>
      </c>
      <c r="AA449">
        <f t="shared" ca="1" si="82"/>
        <v>0.57846992110970685</v>
      </c>
      <c r="AB449">
        <f t="shared" ca="1" si="83"/>
        <v>0</v>
      </c>
      <c r="AC449" t="e">
        <f t="shared" ca="1" si="84"/>
        <v>#N/A</v>
      </c>
      <c r="AD449" t="e">
        <f t="shared" ca="1" si="85"/>
        <v>#N/A</v>
      </c>
    </row>
    <row r="450" spans="1:30" x14ac:dyDescent="0.2">
      <c r="A450">
        <f t="shared" si="90"/>
        <v>445</v>
      </c>
      <c r="B450">
        <f t="shared" ca="1" si="86"/>
        <v>0.96615843321903028</v>
      </c>
      <c r="C450">
        <f t="shared" ca="1" si="87"/>
        <v>0.9890294806628509</v>
      </c>
      <c r="D450">
        <f t="shared" ca="1" si="88"/>
        <v>0.53090500726609002</v>
      </c>
      <c r="E450">
        <f t="shared" ca="1" si="89"/>
        <v>0.80721867628297861</v>
      </c>
      <c r="V450">
        <v>445</v>
      </c>
      <c r="W450">
        <f t="shared" ca="1" si="79"/>
        <v>0.53090500726609002</v>
      </c>
      <c r="X450">
        <f t="shared" ca="1" si="80"/>
        <v>0.80721867628297861</v>
      </c>
      <c r="Y450">
        <f>'uniforme cercle (rejet)'!AJ454</f>
        <v>0</v>
      </c>
      <c r="Z450">
        <f t="shared" ca="1" si="81"/>
        <v>0.94619633070386822</v>
      </c>
      <c r="AA450">
        <f t="shared" ca="1" si="82"/>
        <v>0.30876922536286333</v>
      </c>
      <c r="AB450">
        <f t="shared" ca="1" si="83"/>
        <v>0</v>
      </c>
      <c r="AC450" t="e">
        <f t="shared" ca="1" si="84"/>
        <v>#N/A</v>
      </c>
      <c r="AD450" t="e">
        <f t="shared" ca="1" si="85"/>
        <v>#N/A</v>
      </c>
    </row>
    <row r="451" spans="1:30" x14ac:dyDescent="0.2">
      <c r="A451">
        <f t="shared" si="90"/>
        <v>446</v>
      </c>
      <c r="B451">
        <f t="shared" ca="1" si="86"/>
        <v>0.88759291977243815</v>
      </c>
      <c r="C451">
        <f t="shared" ca="1" si="87"/>
        <v>1.2227429078433545</v>
      </c>
      <c r="D451">
        <f t="shared" ca="1" si="88"/>
        <v>0.30273006904895328</v>
      </c>
      <c r="E451">
        <f t="shared" ca="1" si="89"/>
        <v>0.83437143798417368</v>
      </c>
      <c r="V451">
        <v>446</v>
      </c>
      <c r="W451">
        <f t="shared" ca="1" si="79"/>
        <v>0.30273006904895328</v>
      </c>
      <c r="X451">
        <f t="shared" ca="1" si="80"/>
        <v>0.83437143798417368</v>
      </c>
      <c r="Y451">
        <f>'uniforme cercle (rejet)'!AJ455</f>
        <v>0</v>
      </c>
      <c r="Z451">
        <f t="shared" ca="1" si="81"/>
        <v>0.80405218652056665</v>
      </c>
      <c r="AA451">
        <f t="shared" ca="1" si="82"/>
        <v>0.38822633114851296</v>
      </c>
      <c r="AB451">
        <f t="shared" ca="1" si="83"/>
        <v>0</v>
      </c>
      <c r="AC451" t="e">
        <f t="shared" ca="1" si="84"/>
        <v>#N/A</v>
      </c>
      <c r="AD451" t="e">
        <f t="shared" ca="1" si="85"/>
        <v>#N/A</v>
      </c>
    </row>
    <row r="452" spans="1:30" x14ac:dyDescent="0.2">
      <c r="A452">
        <f t="shared" si="90"/>
        <v>447</v>
      </c>
      <c r="B452">
        <f t="shared" ca="1" si="86"/>
        <v>0.82797410673838123</v>
      </c>
      <c r="C452">
        <f t="shared" ca="1" si="87"/>
        <v>3.4686046539845297</v>
      </c>
      <c r="D452">
        <f t="shared" ca="1" si="88"/>
        <v>-0.78409674444321142</v>
      </c>
      <c r="E452">
        <f t="shared" ca="1" si="89"/>
        <v>-0.26595754695585816</v>
      </c>
      <c r="V452">
        <v>447</v>
      </c>
      <c r="W452">
        <f t="shared" ca="1" si="79"/>
        <v>-0.78409674444321142</v>
      </c>
      <c r="X452">
        <f t="shared" ca="1" si="80"/>
        <v>-0.26595754695585816</v>
      </c>
      <c r="Y452">
        <f>'uniforme cercle (rejet)'!AJ456</f>
        <v>0</v>
      </c>
      <c r="Z452">
        <f t="shared" ca="1" si="81"/>
        <v>0.7425005100623171</v>
      </c>
      <c r="AA452">
        <f t="shared" ca="1" si="82"/>
        <v>1.4951907613506343</v>
      </c>
      <c r="AB452">
        <f t="shared" ca="1" si="83"/>
        <v>0</v>
      </c>
      <c r="AC452" t="e">
        <f t="shared" ca="1" si="84"/>
        <v>#N/A</v>
      </c>
      <c r="AD452" t="e">
        <f t="shared" ca="1" si="85"/>
        <v>#N/A</v>
      </c>
    </row>
    <row r="453" spans="1:30" x14ac:dyDescent="0.2">
      <c r="A453">
        <f t="shared" si="90"/>
        <v>448</v>
      </c>
      <c r="B453">
        <f t="shared" ca="1" si="86"/>
        <v>0.76371747170112259</v>
      </c>
      <c r="C453">
        <f t="shared" ca="1" si="87"/>
        <v>4.5716235480784082</v>
      </c>
      <c r="D453">
        <f t="shared" ca="1" si="88"/>
        <v>-0.10715033798469203</v>
      </c>
      <c r="E453">
        <f t="shared" ca="1" si="89"/>
        <v>-0.75616346225622488</v>
      </c>
      <c r="V453">
        <v>448</v>
      </c>
      <c r="W453">
        <f t="shared" ca="1" si="79"/>
        <v>-0.10715033798469203</v>
      </c>
      <c r="X453">
        <f t="shared" ca="1" si="80"/>
        <v>-0.75616346225622488</v>
      </c>
      <c r="Y453">
        <f>'uniforme cercle (rejet)'!AJ457</f>
        <v>0</v>
      </c>
      <c r="Z453">
        <f t="shared" ca="1" si="81"/>
        <v>0.61045504244228077</v>
      </c>
      <c r="AA453">
        <f t="shared" ca="1" si="82"/>
        <v>1.3951982571743959</v>
      </c>
      <c r="AB453">
        <f t="shared" ca="1" si="83"/>
        <v>0</v>
      </c>
      <c r="AC453" t="e">
        <f t="shared" ca="1" si="84"/>
        <v>#N/A</v>
      </c>
      <c r="AD453" t="e">
        <f t="shared" ca="1" si="85"/>
        <v>#N/A</v>
      </c>
    </row>
    <row r="454" spans="1:30" x14ac:dyDescent="0.2">
      <c r="A454">
        <f t="shared" si="90"/>
        <v>449</v>
      </c>
      <c r="B454">
        <f t="shared" ca="1" si="86"/>
        <v>0.39111222381167199</v>
      </c>
      <c r="C454">
        <f t="shared" ca="1" si="87"/>
        <v>1.2968876008257306</v>
      </c>
      <c r="D454">
        <f t="shared" ca="1" si="88"/>
        <v>0.10579448993628845</v>
      </c>
      <c r="E454">
        <f t="shared" ca="1" si="89"/>
        <v>0.37653193425529258</v>
      </c>
      <c r="V454">
        <v>449</v>
      </c>
      <c r="W454">
        <f t="shared" ca="1" si="79"/>
        <v>0.10579448993628845</v>
      </c>
      <c r="X454">
        <f t="shared" ca="1" si="80"/>
        <v>0.37653193425529258</v>
      </c>
      <c r="Y454">
        <f>'uniforme cercle (rejet)'!AJ458</f>
        <v>0</v>
      </c>
      <c r="Z454">
        <f t="shared" ca="1" si="81"/>
        <v>0.34105628529132614</v>
      </c>
      <c r="AA454">
        <f t="shared" ca="1" si="82"/>
        <v>0.41308878878920252</v>
      </c>
      <c r="AB454">
        <f t="shared" ca="1" si="83"/>
        <v>1</v>
      </c>
      <c r="AC454">
        <f t="shared" ca="1" si="84"/>
        <v>0.10579448993628845</v>
      </c>
      <c r="AD454">
        <f t="shared" ca="1" si="85"/>
        <v>0.37653193425529258</v>
      </c>
    </row>
    <row r="455" spans="1:30" x14ac:dyDescent="0.2">
      <c r="A455">
        <f t="shared" si="90"/>
        <v>450</v>
      </c>
      <c r="B455">
        <f t="shared" ca="1" si="86"/>
        <v>0.83563506978202273</v>
      </c>
      <c r="C455">
        <f t="shared" ca="1" si="87"/>
        <v>0.95473025576753068</v>
      </c>
      <c r="D455">
        <f t="shared" ca="1" si="88"/>
        <v>0.4828541205567724</v>
      </c>
      <c r="E455">
        <f t="shared" ca="1" si="89"/>
        <v>0.68201016716098295</v>
      </c>
      <c r="V455">
        <v>450</v>
      </c>
      <c r="W455">
        <f t="shared" ref="W455:W505" ca="1" si="91">D455</f>
        <v>0.4828541205567724</v>
      </c>
      <c r="X455">
        <f t="shared" ref="X455:X505" ca="1" si="92">E455</f>
        <v>0.68201016716098295</v>
      </c>
      <c r="Y455">
        <f>'uniforme cercle (rejet)'!AJ459</f>
        <v>0</v>
      </c>
      <c r="Z455">
        <f t="shared" ref="Z455:Z506" ca="1" si="93">(W455+X455)^2/SQRT(2*(W455+X455)^2)</f>
        <v>0.82368343700726243</v>
      </c>
      <c r="AA455">
        <f t="shared" ref="AA455:AA506" ca="1" si="94">SQRT((W455-0.5)^2+(X455-0.5)^2)</f>
        <v>0.18281597887452466</v>
      </c>
      <c r="AB455">
        <f t="shared" ref="AB455:AB506" ca="1" si="95">IF(ABS(AA455-Z455)&lt;SQRT(2)/2/2,1,0)</f>
        <v>0</v>
      </c>
      <c r="AC455" t="e">
        <f t="shared" ref="AC455:AC505" ca="1" si="96">IF($AB455=1,W455,NA())</f>
        <v>#N/A</v>
      </c>
      <c r="AD455" t="e">
        <f t="shared" ref="AD455:AD505" ca="1" si="97">IF($AB455=1,X455,NA())</f>
        <v>#N/A</v>
      </c>
    </row>
    <row r="456" spans="1:30" x14ac:dyDescent="0.2">
      <c r="A456">
        <f t="shared" si="90"/>
        <v>451</v>
      </c>
      <c r="B456">
        <f t="shared" ref="B456:B505" ca="1" si="98">RAND()</f>
        <v>0.85452945734260977</v>
      </c>
      <c r="C456">
        <f t="shared" ref="C456:C505" ca="1" si="99">RAND()*2*PI()</f>
        <v>2.1998243422181814</v>
      </c>
      <c r="D456">
        <f t="shared" ca="1" si="88"/>
        <v>-0.50277017346608699</v>
      </c>
      <c r="E456">
        <f t="shared" ca="1" si="89"/>
        <v>0.69097231937258952</v>
      </c>
      <c r="V456">
        <v>451</v>
      </c>
      <c r="W456">
        <f t="shared" ca="1" si="91"/>
        <v>-0.50277017346608699</v>
      </c>
      <c r="X456">
        <f t="shared" ca="1" si="92"/>
        <v>0.69097231937258952</v>
      </c>
      <c r="Y456">
        <f>'uniforme cercle (rejet)'!AJ460</f>
        <v>0</v>
      </c>
      <c r="Z456">
        <f t="shared" ca="1" si="93"/>
        <v>0.13307901360434796</v>
      </c>
      <c r="AA456">
        <f t="shared" ca="1" si="94"/>
        <v>1.0207930483500329</v>
      </c>
      <c r="AB456">
        <f t="shared" ca="1" si="95"/>
        <v>0</v>
      </c>
      <c r="AC456" t="e">
        <f t="shared" ca="1" si="96"/>
        <v>#N/A</v>
      </c>
      <c r="AD456" t="e">
        <f t="shared" ca="1" si="97"/>
        <v>#N/A</v>
      </c>
    </row>
    <row r="457" spans="1:30" x14ac:dyDescent="0.2">
      <c r="A457">
        <f t="shared" si="90"/>
        <v>452</v>
      </c>
      <c r="B457">
        <f t="shared" ca="1" si="98"/>
        <v>0.26699809963235255</v>
      </c>
      <c r="C457">
        <f t="shared" ca="1" si="99"/>
        <v>2.5963981501047511</v>
      </c>
      <c r="D457">
        <f t="shared" ca="1" si="88"/>
        <v>-0.22829043474369101</v>
      </c>
      <c r="E457">
        <f t="shared" ca="1" si="89"/>
        <v>0.13846105088372038</v>
      </c>
      <c r="V457">
        <v>452</v>
      </c>
      <c r="W457">
        <f t="shared" ca="1" si="91"/>
        <v>-0.22829043474369101</v>
      </c>
      <c r="X457">
        <f t="shared" ca="1" si="92"/>
        <v>0.13846105088372038</v>
      </c>
      <c r="Y457">
        <f>'uniforme cercle (rejet)'!AJ461</f>
        <v>0</v>
      </c>
      <c r="Z457">
        <f t="shared" ca="1" si="93"/>
        <v>6.3518966477194641E-2</v>
      </c>
      <c r="AA457">
        <f t="shared" ca="1" si="94"/>
        <v>0.81309124276876721</v>
      </c>
      <c r="AB457">
        <f t="shared" ca="1" si="95"/>
        <v>0</v>
      </c>
      <c r="AC457" t="e">
        <f t="shared" ca="1" si="96"/>
        <v>#N/A</v>
      </c>
      <c r="AD457" t="e">
        <f t="shared" ca="1" si="97"/>
        <v>#N/A</v>
      </c>
    </row>
    <row r="458" spans="1:30" x14ac:dyDescent="0.2">
      <c r="A458">
        <f t="shared" si="90"/>
        <v>453</v>
      </c>
      <c r="B458">
        <f t="shared" ca="1" si="98"/>
        <v>0.41831686641427601</v>
      </c>
      <c r="C458">
        <f t="shared" ca="1" si="99"/>
        <v>1.2284266602829998</v>
      </c>
      <c r="D458">
        <f t="shared" ca="1" si="88"/>
        <v>0.14043740862467319</v>
      </c>
      <c r="E458">
        <f t="shared" ca="1" si="89"/>
        <v>0.39403849429395321</v>
      </c>
      <c r="V458">
        <v>453</v>
      </c>
      <c r="W458">
        <f t="shared" ca="1" si="91"/>
        <v>0.14043740862467319</v>
      </c>
      <c r="X458">
        <f t="shared" ca="1" si="92"/>
        <v>0.39403849429395321</v>
      </c>
      <c r="Y458">
        <f>'uniforme cercle (rejet)'!AJ462</f>
        <v>0</v>
      </c>
      <c r="Z458">
        <f t="shared" ca="1" si="93"/>
        <v>0.37793153533456358</v>
      </c>
      <c r="AA458">
        <f t="shared" ca="1" si="94"/>
        <v>0.37485076738354534</v>
      </c>
      <c r="AB458">
        <f t="shared" ca="1" si="95"/>
        <v>1</v>
      </c>
      <c r="AC458">
        <f t="shared" ca="1" si="96"/>
        <v>0.14043740862467319</v>
      </c>
      <c r="AD458">
        <f t="shared" ca="1" si="97"/>
        <v>0.39403849429395321</v>
      </c>
    </row>
    <row r="459" spans="1:30" x14ac:dyDescent="0.2">
      <c r="A459">
        <f t="shared" si="90"/>
        <v>454</v>
      </c>
      <c r="B459">
        <f t="shared" ca="1" si="98"/>
        <v>0.54133826732539203</v>
      </c>
      <c r="C459">
        <f t="shared" ca="1" si="99"/>
        <v>3.5583552959244917</v>
      </c>
      <c r="D459">
        <f t="shared" ca="1" si="88"/>
        <v>-0.49500199589043659</v>
      </c>
      <c r="E459">
        <f t="shared" ca="1" si="89"/>
        <v>-0.21913498975595344</v>
      </c>
      <c r="V459">
        <v>454</v>
      </c>
      <c r="W459">
        <f t="shared" ca="1" si="91"/>
        <v>-0.49500199589043659</v>
      </c>
      <c r="X459">
        <f t="shared" ca="1" si="92"/>
        <v>-0.21913498975595344</v>
      </c>
      <c r="Y459">
        <f>'uniforme cercle (rejet)'!AJ463</f>
        <v>0</v>
      </c>
      <c r="Z459">
        <f t="shared" ca="1" si="93"/>
        <v>0.50497110524668265</v>
      </c>
      <c r="AA459">
        <f t="shared" ca="1" si="94"/>
        <v>1.2276742667813998</v>
      </c>
      <c r="AB459">
        <f t="shared" ca="1" si="95"/>
        <v>0</v>
      </c>
      <c r="AC459" t="e">
        <f t="shared" ca="1" si="96"/>
        <v>#N/A</v>
      </c>
      <c r="AD459" t="e">
        <f t="shared" ca="1" si="97"/>
        <v>#N/A</v>
      </c>
    </row>
    <row r="460" spans="1:30" x14ac:dyDescent="0.2">
      <c r="A460">
        <f t="shared" si="90"/>
        <v>455</v>
      </c>
      <c r="B460">
        <f t="shared" ca="1" si="98"/>
        <v>0.51415390474020251</v>
      </c>
      <c r="C460">
        <f t="shared" ca="1" si="99"/>
        <v>2.8268660981433946</v>
      </c>
      <c r="D460">
        <f t="shared" ca="1" si="88"/>
        <v>-0.48889921045317775</v>
      </c>
      <c r="E460">
        <f t="shared" ca="1" si="89"/>
        <v>0.15915966756014741</v>
      </c>
      <c r="V460">
        <v>455</v>
      </c>
      <c r="W460">
        <f t="shared" ca="1" si="91"/>
        <v>-0.48889921045317775</v>
      </c>
      <c r="X460">
        <f t="shared" ca="1" si="92"/>
        <v>0.15915966756014741</v>
      </c>
      <c r="Y460">
        <f>'uniforme cercle (rejet)'!AJ464</f>
        <v>0</v>
      </c>
      <c r="Z460">
        <f t="shared" ca="1" si="93"/>
        <v>0.23316106680501417</v>
      </c>
      <c r="AA460">
        <f t="shared" ca="1" si="94"/>
        <v>1.0459893788431256</v>
      </c>
      <c r="AB460">
        <f t="shared" ca="1" si="95"/>
        <v>0</v>
      </c>
      <c r="AC460" t="e">
        <f t="shared" ca="1" si="96"/>
        <v>#N/A</v>
      </c>
      <c r="AD460" t="e">
        <f t="shared" ca="1" si="97"/>
        <v>#N/A</v>
      </c>
    </row>
    <row r="461" spans="1:30" x14ac:dyDescent="0.2">
      <c r="A461">
        <f t="shared" si="90"/>
        <v>456</v>
      </c>
      <c r="B461">
        <f t="shared" ca="1" si="98"/>
        <v>0.86994313482487584</v>
      </c>
      <c r="C461">
        <f t="shared" ca="1" si="99"/>
        <v>4.7332486582147562</v>
      </c>
      <c r="D461">
        <f t="shared" ca="1" si="88"/>
        <v>1.8145417531813039E-2</v>
      </c>
      <c r="E461">
        <f t="shared" ca="1" si="89"/>
        <v>-0.86975387418023509</v>
      </c>
      <c r="V461">
        <v>456</v>
      </c>
      <c r="W461">
        <f t="shared" ca="1" si="91"/>
        <v>1.8145417531813039E-2</v>
      </c>
      <c r="X461">
        <f t="shared" ca="1" si="92"/>
        <v>-0.86975387418023509</v>
      </c>
      <c r="Y461">
        <f>'uniforme cercle (rejet)'!AJ465</f>
        <v>0</v>
      </c>
      <c r="Z461">
        <f t="shared" ca="1" si="93"/>
        <v>0.60217811461190918</v>
      </c>
      <c r="AA461">
        <f t="shared" ca="1" si="94"/>
        <v>1.4520363337318229</v>
      </c>
      <c r="AB461">
        <f t="shared" ca="1" si="95"/>
        <v>0</v>
      </c>
      <c r="AC461" t="e">
        <f t="shared" ca="1" si="96"/>
        <v>#N/A</v>
      </c>
      <c r="AD461" t="e">
        <f t="shared" ca="1" si="97"/>
        <v>#N/A</v>
      </c>
    </row>
    <row r="462" spans="1:30" x14ac:dyDescent="0.2">
      <c r="A462">
        <f t="shared" si="90"/>
        <v>457</v>
      </c>
      <c r="B462">
        <f t="shared" ca="1" si="98"/>
        <v>0.70477365705185391</v>
      </c>
      <c r="C462">
        <f t="shared" ca="1" si="99"/>
        <v>2.3309435660441875</v>
      </c>
      <c r="D462">
        <f t="shared" ref="D462:D505" ca="1" si="100">B462*COS(C462)</f>
        <v>-0.48560889751101266</v>
      </c>
      <c r="E462">
        <f t="shared" ref="E462:E505" ca="1" si="101">B462*SIN(C462)</f>
        <v>0.51077383090011863</v>
      </c>
      <c r="V462">
        <v>457</v>
      </c>
      <c r="W462">
        <f t="shared" ca="1" si="91"/>
        <v>-0.48560889751101266</v>
      </c>
      <c r="X462">
        <f t="shared" ca="1" si="92"/>
        <v>0.51077383090011863</v>
      </c>
      <c r="Y462">
        <f>'uniforme cercle (rejet)'!AJ466</f>
        <v>0</v>
      </c>
      <c r="Z462">
        <f t="shared" ca="1" si="93"/>
        <v>1.7794295047544598E-2</v>
      </c>
      <c r="AA462">
        <f t="shared" ca="1" si="94"/>
        <v>0.98566778089026441</v>
      </c>
      <c r="AB462">
        <f t="shared" ca="1" si="95"/>
        <v>0</v>
      </c>
      <c r="AC462" t="e">
        <f t="shared" ca="1" si="96"/>
        <v>#N/A</v>
      </c>
      <c r="AD462" t="e">
        <f t="shared" ca="1" si="97"/>
        <v>#N/A</v>
      </c>
    </row>
    <row r="463" spans="1:30" x14ac:dyDescent="0.2">
      <c r="A463">
        <f t="shared" si="90"/>
        <v>458</v>
      </c>
      <c r="B463">
        <f t="shared" ca="1" si="98"/>
        <v>0.89814629317898387</v>
      </c>
      <c r="C463">
        <f t="shared" ca="1" si="99"/>
        <v>2.1760097269109444</v>
      </c>
      <c r="D463">
        <f t="shared" ca="1" si="100"/>
        <v>-0.51098918333234988</v>
      </c>
      <c r="E463">
        <f t="shared" ca="1" si="101"/>
        <v>0.73861818178845784</v>
      </c>
      <c r="V463">
        <v>458</v>
      </c>
      <c r="W463">
        <f t="shared" ca="1" si="91"/>
        <v>-0.51098918333234988</v>
      </c>
      <c r="X463">
        <f t="shared" ca="1" si="92"/>
        <v>0.73861818178845784</v>
      </c>
      <c r="Y463">
        <f>'uniforme cercle (rejet)'!AJ467</f>
        <v>0</v>
      </c>
      <c r="Z463">
        <f t="shared" ca="1" si="93"/>
        <v>0.16095800840301611</v>
      </c>
      <c r="AA463">
        <f t="shared" ca="1" si="94"/>
        <v>1.0387674260848967</v>
      </c>
      <c r="AB463">
        <f t="shared" ca="1" si="95"/>
        <v>0</v>
      </c>
      <c r="AC463" t="e">
        <f t="shared" ca="1" si="96"/>
        <v>#N/A</v>
      </c>
      <c r="AD463" t="e">
        <f t="shared" ca="1" si="97"/>
        <v>#N/A</v>
      </c>
    </row>
    <row r="464" spans="1:30" x14ac:dyDescent="0.2">
      <c r="A464">
        <f t="shared" si="90"/>
        <v>459</v>
      </c>
      <c r="B464">
        <f t="shared" ca="1" si="98"/>
        <v>0.21705344195898701</v>
      </c>
      <c r="C464">
        <f t="shared" ca="1" si="99"/>
        <v>0.30475676577157018</v>
      </c>
      <c r="D464">
        <f t="shared" ca="1" si="100"/>
        <v>0.20705161195842162</v>
      </c>
      <c r="E464">
        <f t="shared" ca="1" si="101"/>
        <v>6.5129307163999103E-2</v>
      </c>
      <c r="V464">
        <v>459</v>
      </c>
      <c r="W464">
        <f t="shared" ca="1" si="91"/>
        <v>0.20705161195842162</v>
      </c>
      <c r="X464">
        <f t="shared" ca="1" si="92"/>
        <v>6.5129307163999103E-2</v>
      </c>
      <c r="Y464">
        <f>'uniforme cercle (rejet)'!AJ468</f>
        <v>0</v>
      </c>
      <c r="Z464">
        <f t="shared" ca="1" si="93"/>
        <v>0.19246097362105094</v>
      </c>
      <c r="AA464">
        <f t="shared" ca="1" si="94"/>
        <v>0.52433889569993053</v>
      </c>
      <c r="AB464">
        <f t="shared" ca="1" si="95"/>
        <v>1</v>
      </c>
      <c r="AC464">
        <f t="shared" ca="1" si="96"/>
        <v>0.20705161195842162</v>
      </c>
      <c r="AD464">
        <f t="shared" ca="1" si="97"/>
        <v>6.5129307163999103E-2</v>
      </c>
    </row>
    <row r="465" spans="1:30" x14ac:dyDescent="0.2">
      <c r="A465">
        <f t="shared" si="90"/>
        <v>460</v>
      </c>
      <c r="B465">
        <f t="shared" ca="1" si="98"/>
        <v>9.7445012089647065E-2</v>
      </c>
      <c r="C465">
        <f t="shared" ca="1" si="99"/>
        <v>3.8517309489171265</v>
      </c>
      <c r="D465">
        <f t="shared" ca="1" si="100"/>
        <v>-7.3889797231928248E-2</v>
      </c>
      <c r="E465">
        <f t="shared" ca="1" si="101"/>
        <v>-6.3528168918803182E-2</v>
      </c>
      <c r="V465">
        <v>460</v>
      </c>
      <c r="W465">
        <f t="shared" ca="1" si="91"/>
        <v>-7.3889797231928248E-2</v>
      </c>
      <c r="X465">
        <f t="shared" ca="1" si="92"/>
        <v>-6.3528168918803182E-2</v>
      </c>
      <c r="Y465">
        <f>'uniforme cercle (rejet)'!AJ469</f>
        <v>0</v>
      </c>
      <c r="Z465">
        <f t="shared" ca="1" si="93"/>
        <v>9.7169175722045656E-2</v>
      </c>
      <c r="AA465">
        <f t="shared" ca="1" si="94"/>
        <v>0.80430932888527584</v>
      </c>
      <c r="AB465">
        <f t="shared" ca="1" si="95"/>
        <v>0</v>
      </c>
      <c r="AC465" t="e">
        <f t="shared" ca="1" si="96"/>
        <v>#N/A</v>
      </c>
      <c r="AD465" t="e">
        <f t="shared" ca="1" si="97"/>
        <v>#N/A</v>
      </c>
    </row>
    <row r="466" spans="1:30" x14ac:dyDescent="0.2">
      <c r="A466">
        <f t="shared" si="90"/>
        <v>461</v>
      </c>
      <c r="B466">
        <f t="shared" ca="1" si="98"/>
        <v>0.36360000022435002</v>
      </c>
      <c r="C466">
        <f t="shared" ca="1" si="99"/>
        <v>0.84759683431719179</v>
      </c>
      <c r="D466">
        <f t="shared" ca="1" si="100"/>
        <v>0.24062564051132393</v>
      </c>
      <c r="E466">
        <f t="shared" ca="1" si="101"/>
        <v>0.27258807987816053</v>
      </c>
      <c r="V466">
        <v>461</v>
      </c>
      <c r="W466">
        <f t="shared" ca="1" si="91"/>
        <v>0.24062564051132393</v>
      </c>
      <c r="X466">
        <f t="shared" ca="1" si="92"/>
        <v>0.27258807987816053</v>
      </c>
      <c r="Y466">
        <f>'uniforme cercle (rejet)'!AJ470</f>
        <v>0</v>
      </c>
      <c r="Z466">
        <f t="shared" ca="1" si="93"/>
        <v>0.36289690188538121</v>
      </c>
      <c r="AA466">
        <f t="shared" ca="1" si="94"/>
        <v>0.34495106866577879</v>
      </c>
      <c r="AB466">
        <f t="shared" ca="1" si="95"/>
        <v>1</v>
      </c>
      <c r="AC466">
        <f t="shared" ca="1" si="96"/>
        <v>0.24062564051132393</v>
      </c>
      <c r="AD466">
        <f t="shared" ca="1" si="97"/>
        <v>0.27258807987816053</v>
      </c>
    </row>
    <row r="467" spans="1:30" x14ac:dyDescent="0.2">
      <c r="A467">
        <f t="shared" si="90"/>
        <v>462</v>
      </c>
      <c r="B467">
        <f t="shared" ca="1" si="98"/>
        <v>0.14844473983708373</v>
      </c>
      <c r="C467">
        <f t="shared" ca="1" si="99"/>
        <v>6.2385918676651988</v>
      </c>
      <c r="D467">
        <f t="shared" ca="1" si="100"/>
        <v>0.14829716755643413</v>
      </c>
      <c r="E467">
        <f t="shared" ca="1" si="101"/>
        <v>-6.6174677965496875E-3</v>
      </c>
      <c r="V467">
        <v>462</v>
      </c>
      <c r="W467">
        <f t="shared" ca="1" si="91"/>
        <v>0.14829716755643413</v>
      </c>
      <c r="X467">
        <f t="shared" ca="1" si="92"/>
        <v>-6.6174677965496875E-3</v>
      </c>
      <c r="Y467">
        <f>'uniforme cercle (rejet)'!AJ471</f>
        <v>0</v>
      </c>
      <c r="Z467">
        <f t="shared" ca="1" si="93"/>
        <v>0.10018267645668837</v>
      </c>
      <c r="AA467">
        <f t="shared" ca="1" si="94"/>
        <v>0.61673020116207622</v>
      </c>
      <c r="AB467">
        <f t="shared" ca="1" si="95"/>
        <v>0</v>
      </c>
      <c r="AC467" t="e">
        <f t="shared" ca="1" si="96"/>
        <v>#N/A</v>
      </c>
      <c r="AD467" t="e">
        <f t="shared" ca="1" si="97"/>
        <v>#N/A</v>
      </c>
    </row>
    <row r="468" spans="1:30" x14ac:dyDescent="0.2">
      <c r="A468">
        <f t="shared" si="90"/>
        <v>463</v>
      </c>
      <c r="B468">
        <f t="shared" ca="1" si="98"/>
        <v>0.17326012564325499</v>
      </c>
      <c r="C468">
        <f t="shared" ca="1" si="99"/>
        <v>1.3935859143291791</v>
      </c>
      <c r="D468">
        <f t="shared" ca="1" si="100"/>
        <v>3.0543050760813019E-2</v>
      </c>
      <c r="E468">
        <f t="shared" ca="1" si="101"/>
        <v>0.17054674780874277</v>
      </c>
      <c r="V468">
        <v>463</v>
      </c>
      <c r="W468">
        <f t="shared" ca="1" si="91"/>
        <v>3.0543050760813019E-2</v>
      </c>
      <c r="X468">
        <f t="shared" ca="1" si="92"/>
        <v>0.17054674780874277</v>
      </c>
      <c r="Y468">
        <f>'uniforme cercle (rejet)'!AJ472</f>
        <v>0</v>
      </c>
      <c r="Z468">
        <f t="shared" ca="1" si="93"/>
        <v>0.1421919601959698</v>
      </c>
      <c r="AA468">
        <f t="shared" ca="1" si="94"/>
        <v>0.57352355886080275</v>
      </c>
      <c r="AB468">
        <f t="shared" ca="1" si="95"/>
        <v>0</v>
      </c>
      <c r="AC468" t="e">
        <f t="shared" ca="1" si="96"/>
        <v>#N/A</v>
      </c>
      <c r="AD468" t="e">
        <f t="shared" ca="1" si="97"/>
        <v>#N/A</v>
      </c>
    </row>
    <row r="469" spans="1:30" x14ac:dyDescent="0.2">
      <c r="A469">
        <f t="shared" si="90"/>
        <v>464</v>
      </c>
      <c r="B469">
        <f t="shared" ca="1" si="98"/>
        <v>0.18912477768314506</v>
      </c>
      <c r="C469">
        <f t="shared" ca="1" si="99"/>
        <v>4.2141262970523643</v>
      </c>
      <c r="D469">
        <f t="shared" ca="1" si="100"/>
        <v>-9.0382764737736709E-2</v>
      </c>
      <c r="E469">
        <f t="shared" ca="1" si="101"/>
        <v>-0.16612988103306997</v>
      </c>
      <c r="V469">
        <v>464</v>
      </c>
      <c r="W469">
        <f t="shared" ca="1" si="91"/>
        <v>-9.0382764737736709E-2</v>
      </c>
      <c r="X469">
        <f t="shared" ca="1" si="92"/>
        <v>-0.16612988103306997</v>
      </c>
      <c r="Y469">
        <f>'uniforme cercle (rejet)'!AJ473</f>
        <v>0</v>
      </c>
      <c r="Z469">
        <f t="shared" ca="1" si="93"/>
        <v>0.18138183128464017</v>
      </c>
      <c r="AA469">
        <f t="shared" ca="1" si="94"/>
        <v>0.89010158257611571</v>
      </c>
      <c r="AB469">
        <f t="shared" ca="1" si="95"/>
        <v>0</v>
      </c>
      <c r="AC469" t="e">
        <f t="shared" ca="1" si="96"/>
        <v>#N/A</v>
      </c>
      <c r="AD469" t="e">
        <f t="shared" ca="1" si="97"/>
        <v>#N/A</v>
      </c>
    </row>
    <row r="470" spans="1:30" x14ac:dyDescent="0.2">
      <c r="A470">
        <f t="shared" si="90"/>
        <v>465</v>
      </c>
      <c r="B470">
        <f t="shared" ca="1" si="98"/>
        <v>0.57779058813731377</v>
      </c>
      <c r="C470">
        <f t="shared" ca="1" si="99"/>
        <v>6.0674028417172092</v>
      </c>
      <c r="D470">
        <f t="shared" ca="1" si="100"/>
        <v>0.56439113798644669</v>
      </c>
      <c r="E470">
        <f t="shared" ca="1" si="101"/>
        <v>-0.12371179047458111</v>
      </c>
      <c r="V470">
        <v>465</v>
      </c>
      <c r="W470">
        <f t="shared" ca="1" si="91"/>
        <v>0.56439113798644669</v>
      </c>
      <c r="X470">
        <f t="shared" ca="1" si="92"/>
        <v>-0.12371179047458111</v>
      </c>
      <c r="Y470">
        <f>'uniforme cercle (rejet)'!AJ474</f>
        <v>0</v>
      </c>
      <c r="Z470">
        <f t="shared" ca="1" si="93"/>
        <v>0.31160735495450326</v>
      </c>
      <c r="AA470">
        <f t="shared" ca="1" si="94"/>
        <v>0.62702680662647703</v>
      </c>
      <c r="AB470">
        <f t="shared" ca="1" si="95"/>
        <v>1</v>
      </c>
      <c r="AC470">
        <f t="shared" ca="1" si="96"/>
        <v>0.56439113798644669</v>
      </c>
      <c r="AD470">
        <f t="shared" ca="1" si="97"/>
        <v>-0.12371179047458111</v>
      </c>
    </row>
    <row r="471" spans="1:30" x14ac:dyDescent="0.2">
      <c r="A471">
        <f t="shared" si="90"/>
        <v>466</v>
      </c>
      <c r="B471">
        <f t="shared" ca="1" si="98"/>
        <v>0.30159434974013843</v>
      </c>
      <c r="C471">
        <f t="shared" ca="1" si="99"/>
        <v>2.2498348904967136</v>
      </c>
      <c r="D471">
        <f t="shared" ca="1" si="100"/>
        <v>-0.18941486768129548</v>
      </c>
      <c r="E471">
        <f t="shared" ca="1" si="101"/>
        <v>0.23469375725922978</v>
      </c>
      <c r="V471">
        <v>466</v>
      </c>
      <c r="W471">
        <f t="shared" ca="1" si="91"/>
        <v>-0.18941486768129548</v>
      </c>
      <c r="X471">
        <f t="shared" ca="1" si="92"/>
        <v>0.23469375725922978</v>
      </c>
      <c r="Y471">
        <f>'uniforme cercle (rejet)'!AJ475</f>
        <v>0</v>
      </c>
      <c r="Z471">
        <f t="shared" ca="1" si="93"/>
        <v>3.2017009865154239E-2</v>
      </c>
      <c r="AA471">
        <f t="shared" ca="1" si="94"/>
        <v>0.73870174104116115</v>
      </c>
      <c r="AB471">
        <f t="shared" ca="1" si="95"/>
        <v>0</v>
      </c>
      <c r="AC471" t="e">
        <f t="shared" ca="1" si="96"/>
        <v>#N/A</v>
      </c>
      <c r="AD471" t="e">
        <f t="shared" ca="1" si="97"/>
        <v>#N/A</v>
      </c>
    </row>
    <row r="472" spans="1:30" x14ac:dyDescent="0.2">
      <c r="A472">
        <f t="shared" si="90"/>
        <v>467</v>
      </c>
      <c r="B472">
        <f t="shared" ca="1" si="98"/>
        <v>0.41093889098938208</v>
      </c>
      <c r="C472">
        <f t="shared" ca="1" si="99"/>
        <v>2.8037652099599861</v>
      </c>
      <c r="D472">
        <f t="shared" ca="1" si="100"/>
        <v>-0.38771137543730777</v>
      </c>
      <c r="E472">
        <f t="shared" ca="1" si="101"/>
        <v>0.13620081308161935</v>
      </c>
      <c r="V472">
        <v>467</v>
      </c>
      <c r="W472">
        <f t="shared" ca="1" si="91"/>
        <v>-0.38771137543730777</v>
      </c>
      <c r="X472">
        <f t="shared" ca="1" si="92"/>
        <v>0.13620081308161935</v>
      </c>
      <c r="Y472">
        <f>'uniforme cercle (rejet)'!AJ476</f>
        <v>0</v>
      </c>
      <c r="Z472">
        <f t="shared" ca="1" si="93"/>
        <v>0.17784482418174929</v>
      </c>
      <c r="AA472">
        <f t="shared" ca="1" si="94"/>
        <v>0.95936506840893043</v>
      </c>
      <c r="AB472">
        <f t="shared" ca="1" si="95"/>
        <v>0</v>
      </c>
      <c r="AC472" t="e">
        <f t="shared" ca="1" si="96"/>
        <v>#N/A</v>
      </c>
      <c r="AD472" t="e">
        <f t="shared" ca="1" si="97"/>
        <v>#N/A</v>
      </c>
    </row>
    <row r="473" spans="1:30" x14ac:dyDescent="0.2">
      <c r="A473">
        <f t="shared" si="90"/>
        <v>468</v>
      </c>
      <c r="B473">
        <f t="shared" ca="1" si="98"/>
        <v>0.53921079082837464</v>
      </c>
      <c r="C473">
        <f t="shared" ca="1" si="99"/>
        <v>1.6518473861638554</v>
      </c>
      <c r="D473">
        <f t="shared" ca="1" si="100"/>
        <v>-4.3655771372523425E-2</v>
      </c>
      <c r="E473">
        <f t="shared" ca="1" si="101"/>
        <v>0.53744064841769379</v>
      </c>
      <c r="V473">
        <v>468</v>
      </c>
      <c r="W473">
        <f t="shared" ca="1" si="91"/>
        <v>-4.3655771372523425E-2</v>
      </c>
      <c r="X473">
        <f t="shared" ca="1" si="92"/>
        <v>0.53744064841769379</v>
      </c>
      <c r="Y473">
        <f>'uniforme cercle (rejet)'!AJ477</f>
        <v>0</v>
      </c>
      <c r="Z473">
        <f t="shared" ca="1" si="93"/>
        <v>0.34915863500600552</v>
      </c>
      <c r="AA473">
        <f t="shared" ca="1" si="94"/>
        <v>0.54494348321692121</v>
      </c>
      <c r="AB473">
        <f t="shared" ca="1" si="95"/>
        <v>1</v>
      </c>
      <c r="AC473">
        <f t="shared" ca="1" si="96"/>
        <v>-4.3655771372523425E-2</v>
      </c>
      <c r="AD473">
        <f t="shared" ca="1" si="97"/>
        <v>0.53744064841769379</v>
      </c>
    </row>
    <row r="474" spans="1:30" x14ac:dyDescent="0.2">
      <c r="A474">
        <f t="shared" si="90"/>
        <v>469</v>
      </c>
      <c r="B474">
        <f t="shared" ca="1" si="98"/>
        <v>0.51794645480914203</v>
      </c>
      <c r="C474">
        <f t="shared" ca="1" si="99"/>
        <v>1.2578699656026706</v>
      </c>
      <c r="D474">
        <f t="shared" ca="1" si="100"/>
        <v>0.15944681112710629</v>
      </c>
      <c r="E474">
        <f t="shared" ca="1" si="101"/>
        <v>0.49279330806206723</v>
      </c>
      <c r="V474">
        <v>469</v>
      </c>
      <c r="W474">
        <f t="shared" ca="1" si="91"/>
        <v>0.15944681112710629</v>
      </c>
      <c r="X474">
        <f t="shared" ca="1" si="92"/>
        <v>0.49279330806206723</v>
      </c>
      <c r="Y474">
        <f>'uniforme cercle (rejet)'!AJ478</f>
        <v>0</v>
      </c>
      <c r="Z474">
        <f t="shared" ca="1" si="93"/>
        <v>0.46120341124058667</v>
      </c>
      <c r="AA474">
        <f t="shared" ca="1" si="94"/>
        <v>0.34062943334389806</v>
      </c>
      <c r="AB474">
        <f t="shared" ca="1" si="95"/>
        <v>1</v>
      </c>
      <c r="AC474">
        <f t="shared" ca="1" si="96"/>
        <v>0.15944681112710629</v>
      </c>
      <c r="AD474">
        <f t="shared" ca="1" si="97"/>
        <v>0.49279330806206723</v>
      </c>
    </row>
    <row r="475" spans="1:30" x14ac:dyDescent="0.2">
      <c r="A475">
        <f t="shared" si="90"/>
        <v>470</v>
      </c>
      <c r="B475">
        <f t="shared" ca="1" si="98"/>
        <v>0.77029290158201336</v>
      </c>
      <c r="C475">
        <f t="shared" ca="1" si="99"/>
        <v>5.6723349001819958</v>
      </c>
      <c r="D475">
        <f t="shared" ca="1" si="100"/>
        <v>0.63099355771132748</v>
      </c>
      <c r="E475">
        <f t="shared" ca="1" si="101"/>
        <v>-0.44181249909258902</v>
      </c>
      <c r="V475">
        <v>470</v>
      </c>
      <c r="W475">
        <f t="shared" ca="1" si="91"/>
        <v>0.63099355771132748</v>
      </c>
      <c r="X475">
        <f t="shared" ca="1" si="92"/>
        <v>-0.44181249909258902</v>
      </c>
      <c r="Y475">
        <f>'uniforme cercle (rejet)'!AJ479</f>
        <v>0</v>
      </c>
      <c r="Z475">
        <f t="shared" ca="1" si="93"/>
        <v>0.1337712094213597</v>
      </c>
      <c r="AA475">
        <f t="shared" ca="1" si="94"/>
        <v>0.95087859141369824</v>
      </c>
      <c r="AB475">
        <f t="shared" ca="1" si="95"/>
        <v>0</v>
      </c>
      <c r="AC475" t="e">
        <f t="shared" ca="1" si="96"/>
        <v>#N/A</v>
      </c>
      <c r="AD475" t="e">
        <f t="shared" ca="1" si="97"/>
        <v>#N/A</v>
      </c>
    </row>
    <row r="476" spans="1:30" x14ac:dyDescent="0.2">
      <c r="A476">
        <f t="shared" si="90"/>
        <v>471</v>
      </c>
      <c r="B476">
        <f t="shared" ca="1" si="98"/>
        <v>0.27722833468932206</v>
      </c>
      <c r="C476">
        <f t="shared" ca="1" si="99"/>
        <v>3.62906000873441</v>
      </c>
      <c r="D476">
        <f t="shared" ca="1" si="100"/>
        <v>-0.24493732046857786</v>
      </c>
      <c r="E476">
        <f t="shared" ca="1" si="101"/>
        <v>-0.12985090910843849</v>
      </c>
      <c r="V476">
        <v>471</v>
      </c>
      <c r="W476">
        <f t="shared" ca="1" si="91"/>
        <v>-0.24493732046857786</v>
      </c>
      <c r="X476">
        <f t="shared" ca="1" si="92"/>
        <v>-0.12985090910843849</v>
      </c>
      <c r="Y476">
        <f>'uniforme cercle (rejet)'!AJ480</f>
        <v>0</v>
      </c>
      <c r="Z476">
        <f t="shared" ca="1" si="93"/>
        <v>0.26501529864280887</v>
      </c>
      <c r="AA476">
        <f t="shared" ca="1" si="94"/>
        <v>0.97552231093482999</v>
      </c>
      <c r="AB476">
        <f t="shared" ca="1" si="95"/>
        <v>0</v>
      </c>
      <c r="AC476" t="e">
        <f t="shared" ca="1" si="96"/>
        <v>#N/A</v>
      </c>
      <c r="AD476" t="e">
        <f t="shared" ca="1" si="97"/>
        <v>#N/A</v>
      </c>
    </row>
    <row r="477" spans="1:30" x14ac:dyDescent="0.2">
      <c r="A477">
        <f t="shared" si="90"/>
        <v>472</v>
      </c>
      <c r="B477">
        <f t="shared" ca="1" si="98"/>
        <v>0.33591338600937148</v>
      </c>
      <c r="C477">
        <f t="shared" ca="1" si="99"/>
        <v>1.3459738621532364</v>
      </c>
      <c r="D477">
        <f t="shared" ca="1" si="100"/>
        <v>7.4886279051095961E-2</v>
      </c>
      <c r="E477">
        <f t="shared" ca="1" si="101"/>
        <v>0.32745968929039554</v>
      </c>
      <c r="V477">
        <v>472</v>
      </c>
      <c r="W477">
        <f t="shared" ca="1" si="91"/>
        <v>7.4886279051095961E-2</v>
      </c>
      <c r="X477">
        <f t="shared" ca="1" si="92"/>
        <v>0.32745968929039554</v>
      </c>
      <c r="Y477">
        <f>'uniforme cercle (rejet)'!AJ481</f>
        <v>0</v>
      </c>
      <c r="Z477">
        <f t="shared" ca="1" si="93"/>
        <v>0.28450156259733661</v>
      </c>
      <c r="AA477">
        <f t="shared" ca="1" si="94"/>
        <v>0.45879389115243185</v>
      </c>
      <c r="AB477">
        <f t="shared" ca="1" si="95"/>
        <v>1</v>
      </c>
      <c r="AC477">
        <f t="shared" ca="1" si="96"/>
        <v>7.4886279051095961E-2</v>
      </c>
      <c r="AD477">
        <f t="shared" ca="1" si="97"/>
        <v>0.32745968929039554</v>
      </c>
    </row>
    <row r="478" spans="1:30" x14ac:dyDescent="0.2">
      <c r="A478">
        <f t="shared" ref="A478:A505" si="102">1+A477</f>
        <v>473</v>
      </c>
      <c r="B478">
        <f t="shared" ca="1" si="98"/>
        <v>0.53266033151695025</v>
      </c>
      <c r="C478">
        <f t="shared" ca="1" si="99"/>
        <v>2.9703306813948225</v>
      </c>
      <c r="D478">
        <f t="shared" ca="1" si="100"/>
        <v>-0.52486776587143047</v>
      </c>
      <c r="E478">
        <f t="shared" ca="1" si="101"/>
        <v>9.0779166777849529E-2</v>
      </c>
      <c r="V478">
        <v>473</v>
      </c>
      <c r="W478">
        <f t="shared" ca="1" si="91"/>
        <v>-0.52486776587143047</v>
      </c>
      <c r="X478">
        <f t="shared" ca="1" si="92"/>
        <v>9.0779166777849529E-2</v>
      </c>
      <c r="Y478">
        <f>'uniforme cercle (rejet)'!AJ482</f>
        <v>0</v>
      </c>
      <c r="Z478">
        <f t="shared" ca="1" si="93"/>
        <v>0.30694699205483972</v>
      </c>
      <c r="AA478">
        <f t="shared" ca="1" si="94"/>
        <v>1.1035468399054607</v>
      </c>
      <c r="AB478">
        <f t="shared" ca="1" si="95"/>
        <v>0</v>
      </c>
      <c r="AC478" t="e">
        <f t="shared" ca="1" si="96"/>
        <v>#N/A</v>
      </c>
      <c r="AD478" t="e">
        <f t="shared" ca="1" si="97"/>
        <v>#N/A</v>
      </c>
    </row>
    <row r="479" spans="1:30" x14ac:dyDescent="0.2">
      <c r="A479">
        <f t="shared" si="102"/>
        <v>474</v>
      </c>
      <c r="B479">
        <f t="shared" ca="1" si="98"/>
        <v>0.931003070585249</v>
      </c>
      <c r="C479">
        <f t="shared" ca="1" si="99"/>
        <v>0.33618283118320402</v>
      </c>
      <c r="D479">
        <f t="shared" ca="1" si="100"/>
        <v>0.87888623616197337</v>
      </c>
      <c r="E479">
        <f t="shared" ca="1" si="101"/>
        <v>0.30712489531817844</v>
      </c>
      <c r="V479">
        <v>474</v>
      </c>
      <c r="W479">
        <f t="shared" ca="1" si="91"/>
        <v>0.87888623616197337</v>
      </c>
      <c r="X479">
        <f t="shared" ca="1" si="92"/>
        <v>0.30712489531817844</v>
      </c>
      <c r="Y479">
        <f>'uniforme cercle (rejet)'!AJ483</f>
        <v>0</v>
      </c>
      <c r="Z479">
        <f t="shared" ca="1" si="93"/>
        <v>0.83863651363234526</v>
      </c>
      <c r="AA479">
        <f t="shared" ca="1" si="94"/>
        <v>0.42515360278258291</v>
      </c>
      <c r="AB479">
        <f t="shared" ca="1" si="95"/>
        <v>0</v>
      </c>
      <c r="AC479" t="e">
        <f t="shared" ca="1" si="96"/>
        <v>#N/A</v>
      </c>
      <c r="AD479" t="e">
        <f t="shared" ca="1" si="97"/>
        <v>#N/A</v>
      </c>
    </row>
    <row r="480" spans="1:30" x14ac:dyDescent="0.2">
      <c r="A480">
        <f t="shared" si="102"/>
        <v>475</v>
      </c>
      <c r="B480">
        <f t="shared" ca="1" si="98"/>
        <v>0.91014718588135901</v>
      </c>
      <c r="C480">
        <f t="shared" ca="1" si="99"/>
        <v>5.0585912581899652</v>
      </c>
      <c r="D480">
        <f t="shared" ca="1" si="100"/>
        <v>0.30883830294820008</v>
      </c>
      <c r="E480">
        <f t="shared" ca="1" si="101"/>
        <v>-0.85614648431202056</v>
      </c>
      <c r="V480">
        <v>475</v>
      </c>
      <c r="W480">
        <f t="shared" ca="1" si="91"/>
        <v>0.30883830294820008</v>
      </c>
      <c r="X480">
        <f t="shared" ca="1" si="92"/>
        <v>-0.85614648431202056</v>
      </c>
      <c r="Y480">
        <f>'uniforme cercle (rejet)'!AJ484</f>
        <v>0</v>
      </c>
      <c r="Z480">
        <f t="shared" ca="1" si="93"/>
        <v>0.38700532644123437</v>
      </c>
      <c r="AA480">
        <f t="shared" ca="1" si="94"/>
        <v>1.3695532415103757</v>
      </c>
      <c r="AB480">
        <f t="shared" ca="1" si="95"/>
        <v>0</v>
      </c>
      <c r="AC480" t="e">
        <f t="shared" ca="1" si="96"/>
        <v>#N/A</v>
      </c>
      <c r="AD480" t="e">
        <f t="shared" ca="1" si="97"/>
        <v>#N/A</v>
      </c>
    </row>
    <row r="481" spans="1:30" x14ac:dyDescent="0.2">
      <c r="A481">
        <f t="shared" si="102"/>
        <v>476</v>
      </c>
      <c r="B481">
        <f t="shared" ca="1" si="98"/>
        <v>0.15521163148775996</v>
      </c>
      <c r="C481">
        <f t="shared" ca="1" si="99"/>
        <v>1.9884447327631702</v>
      </c>
      <c r="D481">
        <f t="shared" ca="1" si="100"/>
        <v>-6.2955717822360119E-2</v>
      </c>
      <c r="E481">
        <f t="shared" ca="1" si="101"/>
        <v>0.14187046254440552</v>
      </c>
      <c r="V481">
        <v>476</v>
      </c>
      <c r="W481">
        <f t="shared" ca="1" si="91"/>
        <v>-6.2955717822360119E-2</v>
      </c>
      <c r="X481">
        <f t="shared" ca="1" si="92"/>
        <v>0.14187046254440552</v>
      </c>
      <c r="Y481">
        <f>'uniforme cercle (rejet)'!AJ485</f>
        <v>0</v>
      </c>
      <c r="Z481">
        <f t="shared" ca="1" si="93"/>
        <v>5.5801151128563618E-2</v>
      </c>
      <c r="AA481">
        <f t="shared" ca="1" si="94"/>
        <v>0.66721503717096098</v>
      </c>
      <c r="AB481">
        <f t="shared" ca="1" si="95"/>
        <v>0</v>
      </c>
      <c r="AC481" t="e">
        <f t="shared" ca="1" si="96"/>
        <v>#N/A</v>
      </c>
      <c r="AD481" t="e">
        <f t="shared" ca="1" si="97"/>
        <v>#N/A</v>
      </c>
    </row>
    <row r="482" spans="1:30" x14ac:dyDescent="0.2">
      <c r="A482">
        <f t="shared" si="102"/>
        <v>477</v>
      </c>
      <c r="B482">
        <f t="shared" ca="1" si="98"/>
        <v>0.22401382607828424</v>
      </c>
      <c r="C482">
        <f t="shared" ca="1" si="99"/>
        <v>2.5982450827646786</v>
      </c>
      <c r="D482">
        <f t="shared" ca="1" si="100"/>
        <v>-0.19175197583442588</v>
      </c>
      <c r="E482">
        <f t="shared" ca="1" si="101"/>
        <v>0.11581612166631008</v>
      </c>
      <c r="V482">
        <v>477</v>
      </c>
      <c r="W482">
        <f t="shared" ca="1" si="91"/>
        <v>-0.19175197583442588</v>
      </c>
      <c r="X482">
        <f t="shared" ca="1" si="92"/>
        <v>0.11581612166631008</v>
      </c>
      <c r="Y482">
        <f>'uniforme cercle (rejet)'!AJ486</f>
        <v>0</v>
      </c>
      <c r="Z482">
        <f t="shared" ca="1" si="93"/>
        <v>5.3694757417467438E-2</v>
      </c>
      <c r="AA482">
        <f t="shared" ca="1" si="94"/>
        <v>0.79127621501113476</v>
      </c>
      <c r="AB482">
        <f t="shared" ca="1" si="95"/>
        <v>0</v>
      </c>
      <c r="AC482" t="e">
        <f t="shared" ca="1" si="96"/>
        <v>#N/A</v>
      </c>
      <c r="AD482" t="e">
        <f t="shared" ca="1" si="97"/>
        <v>#N/A</v>
      </c>
    </row>
    <row r="483" spans="1:30" x14ac:dyDescent="0.2">
      <c r="A483">
        <f t="shared" si="102"/>
        <v>478</v>
      </c>
      <c r="B483">
        <f t="shared" ca="1" si="98"/>
        <v>0.76659018998290063</v>
      </c>
      <c r="C483">
        <f t="shared" ca="1" si="99"/>
        <v>1.0769797713228744</v>
      </c>
      <c r="D483">
        <f t="shared" ca="1" si="100"/>
        <v>0.36335602643264381</v>
      </c>
      <c r="E483">
        <f t="shared" ca="1" si="101"/>
        <v>0.67500586473978097</v>
      </c>
      <c r="V483">
        <v>478</v>
      </c>
      <c r="W483">
        <f t="shared" ca="1" si="91"/>
        <v>0.36335602643264381</v>
      </c>
      <c r="X483">
        <f t="shared" ca="1" si="92"/>
        <v>0.67500586473978097</v>
      </c>
      <c r="Y483">
        <f>'uniforme cercle (rejet)'!AJ487</f>
        <v>0</v>
      </c>
      <c r="Z483">
        <f t="shared" ca="1" si="93"/>
        <v>0.73423273457370952</v>
      </c>
      <c r="AA483">
        <f t="shared" ca="1" si="94"/>
        <v>0.22203294396461723</v>
      </c>
      <c r="AB483">
        <f t="shared" ca="1" si="95"/>
        <v>0</v>
      </c>
      <c r="AC483" t="e">
        <f t="shared" ca="1" si="96"/>
        <v>#N/A</v>
      </c>
      <c r="AD483" t="e">
        <f t="shared" ca="1" si="97"/>
        <v>#N/A</v>
      </c>
    </row>
    <row r="484" spans="1:30" x14ac:dyDescent="0.2">
      <c r="A484">
        <f t="shared" si="102"/>
        <v>479</v>
      </c>
      <c r="B484">
        <f t="shared" ca="1" si="98"/>
        <v>2.8809641450380008E-2</v>
      </c>
      <c r="C484">
        <f t="shared" ca="1" si="99"/>
        <v>4.326684037435613</v>
      </c>
      <c r="D484">
        <f t="shared" ca="1" si="100"/>
        <v>-1.0838543874880228E-2</v>
      </c>
      <c r="E484">
        <f t="shared" ca="1" si="101"/>
        <v>-2.6693096620132896E-2</v>
      </c>
      <c r="V484">
        <v>479</v>
      </c>
      <c r="W484">
        <f t="shared" ca="1" si="91"/>
        <v>-1.0838543874880228E-2</v>
      </c>
      <c r="X484">
        <f t="shared" ca="1" si="92"/>
        <v>-2.6693096620132896E-2</v>
      </c>
      <c r="Y484">
        <f>'uniforme cercle (rejet)'!AJ488</f>
        <v>0</v>
      </c>
      <c r="Z484">
        <f t="shared" ca="1" si="93"/>
        <v>2.653887750307941E-2</v>
      </c>
      <c r="AA484">
        <f t="shared" ca="1" si="94"/>
        <v>0.73373131045057127</v>
      </c>
      <c r="AB484">
        <f t="shared" ca="1" si="95"/>
        <v>0</v>
      </c>
      <c r="AC484" t="e">
        <f t="shared" ca="1" si="96"/>
        <v>#N/A</v>
      </c>
      <c r="AD484" t="e">
        <f t="shared" ca="1" si="97"/>
        <v>#N/A</v>
      </c>
    </row>
    <row r="485" spans="1:30" x14ac:dyDescent="0.2">
      <c r="A485">
        <f t="shared" si="102"/>
        <v>480</v>
      </c>
      <c r="B485">
        <f t="shared" ca="1" si="98"/>
        <v>0.94438307673228528</v>
      </c>
      <c r="C485">
        <f t="shared" ca="1" si="99"/>
        <v>5.2609796317905069</v>
      </c>
      <c r="D485">
        <f t="shared" ca="1" si="100"/>
        <v>0.49248180330750529</v>
      </c>
      <c r="E485">
        <f t="shared" ca="1" si="101"/>
        <v>-0.80580460970965229</v>
      </c>
      <c r="V485">
        <v>480</v>
      </c>
      <c r="W485">
        <f t="shared" ca="1" si="91"/>
        <v>0.49248180330750529</v>
      </c>
      <c r="X485">
        <f t="shared" ca="1" si="92"/>
        <v>-0.80580460970965229</v>
      </c>
      <c r="Y485">
        <f>'uniforme cercle (rejet)'!AJ489</f>
        <v>0</v>
      </c>
      <c r="Z485">
        <f t="shared" ca="1" si="93"/>
        <v>0.22155268110735796</v>
      </c>
      <c r="AA485">
        <f t="shared" ca="1" si="94"/>
        <v>1.3058262526157469</v>
      </c>
      <c r="AB485">
        <f t="shared" ca="1" si="95"/>
        <v>0</v>
      </c>
      <c r="AC485" t="e">
        <f t="shared" ca="1" si="96"/>
        <v>#N/A</v>
      </c>
      <c r="AD485" t="e">
        <f t="shared" ca="1" si="97"/>
        <v>#N/A</v>
      </c>
    </row>
    <row r="486" spans="1:30" x14ac:dyDescent="0.2">
      <c r="A486">
        <f t="shared" si="102"/>
        <v>481</v>
      </c>
      <c r="B486">
        <f t="shared" ca="1" si="98"/>
        <v>0.93306082991297667</v>
      </c>
      <c r="C486">
        <f t="shared" ca="1" si="99"/>
        <v>5.0313636087900075</v>
      </c>
      <c r="D486">
        <f t="shared" ca="1" si="100"/>
        <v>0.29260141610837348</v>
      </c>
      <c r="E486">
        <f t="shared" ca="1" si="101"/>
        <v>-0.88599487786852771</v>
      </c>
      <c r="V486">
        <v>481</v>
      </c>
      <c r="W486">
        <f t="shared" ca="1" si="91"/>
        <v>0.29260141610837348</v>
      </c>
      <c r="X486">
        <f t="shared" ca="1" si="92"/>
        <v>-0.88599487786852771</v>
      </c>
      <c r="Y486">
        <f>'uniforme cercle (rejet)'!AJ490</f>
        <v>0</v>
      </c>
      <c r="Z486">
        <f t="shared" ca="1" si="93"/>
        <v>0.41959254072236529</v>
      </c>
      <c r="AA486">
        <f t="shared" ca="1" si="94"/>
        <v>1.401426406943314</v>
      </c>
      <c r="AB486">
        <f t="shared" ca="1" si="95"/>
        <v>0</v>
      </c>
      <c r="AC486" t="e">
        <f t="shared" ca="1" si="96"/>
        <v>#N/A</v>
      </c>
      <c r="AD486" t="e">
        <f t="shared" ca="1" si="97"/>
        <v>#N/A</v>
      </c>
    </row>
    <row r="487" spans="1:30" x14ac:dyDescent="0.2">
      <c r="A487">
        <f t="shared" si="102"/>
        <v>482</v>
      </c>
      <c r="B487">
        <f t="shared" ca="1" si="98"/>
        <v>0.86124309629572271</v>
      </c>
      <c r="C487">
        <f t="shared" ca="1" si="99"/>
        <v>0.5283898237061101</v>
      </c>
      <c r="D487">
        <f t="shared" ca="1" si="100"/>
        <v>0.74378671931207851</v>
      </c>
      <c r="E487">
        <f t="shared" ca="1" si="101"/>
        <v>0.43419003568946479</v>
      </c>
      <c r="V487">
        <v>482</v>
      </c>
      <c r="W487">
        <f t="shared" ca="1" si="91"/>
        <v>0.74378671931207851</v>
      </c>
      <c r="X487">
        <f t="shared" ca="1" si="92"/>
        <v>0.43419003568946479</v>
      </c>
      <c r="Y487">
        <f>'uniforme cercle (rejet)'!AJ491</f>
        <v>0</v>
      </c>
      <c r="Z487">
        <f t="shared" ca="1" si="93"/>
        <v>0.83295535154171541</v>
      </c>
      <c r="AA487">
        <f t="shared" ca="1" si="94"/>
        <v>0.25251319948767048</v>
      </c>
      <c r="AB487">
        <f t="shared" ca="1" si="95"/>
        <v>0</v>
      </c>
      <c r="AC487" t="e">
        <f t="shared" ca="1" si="96"/>
        <v>#N/A</v>
      </c>
      <c r="AD487" t="e">
        <f t="shared" ca="1" si="97"/>
        <v>#N/A</v>
      </c>
    </row>
    <row r="488" spans="1:30" x14ac:dyDescent="0.2">
      <c r="A488">
        <f t="shared" si="102"/>
        <v>483</v>
      </c>
      <c r="B488">
        <f t="shared" ca="1" si="98"/>
        <v>9.1350187657878057E-2</v>
      </c>
      <c r="C488">
        <f t="shared" ca="1" si="99"/>
        <v>2.0615179141509832</v>
      </c>
      <c r="D488">
        <f t="shared" ca="1" si="100"/>
        <v>-4.3049912862301476E-2</v>
      </c>
      <c r="E488">
        <f t="shared" ca="1" si="101"/>
        <v>8.057022891662767E-2</v>
      </c>
      <c r="V488">
        <v>483</v>
      </c>
      <c r="W488">
        <f t="shared" ca="1" si="91"/>
        <v>-4.3049912862301476E-2</v>
      </c>
      <c r="X488">
        <f t="shared" ca="1" si="92"/>
        <v>8.057022891662767E-2</v>
      </c>
      <c r="Y488">
        <f>'uniforme cercle (rejet)'!AJ492</f>
        <v>0</v>
      </c>
      <c r="Z488">
        <f t="shared" ca="1" si="93"/>
        <v>2.6530869914276538E-2</v>
      </c>
      <c r="AA488">
        <f t="shared" ca="1" si="94"/>
        <v>0.68616655465768894</v>
      </c>
      <c r="AB488">
        <f t="shared" ca="1" si="95"/>
        <v>0</v>
      </c>
      <c r="AC488" t="e">
        <f t="shared" ca="1" si="96"/>
        <v>#N/A</v>
      </c>
      <c r="AD488" t="e">
        <f t="shared" ca="1" si="97"/>
        <v>#N/A</v>
      </c>
    </row>
    <row r="489" spans="1:30" x14ac:dyDescent="0.2">
      <c r="A489">
        <f t="shared" si="102"/>
        <v>484</v>
      </c>
      <c r="B489">
        <f t="shared" ca="1" si="98"/>
        <v>0.87761680096283123</v>
      </c>
      <c r="C489">
        <f t="shared" ca="1" si="99"/>
        <v>7.3232792163617305E-2</v>
      </c>
      <c r="D489">
        <f t="shared" ca="1" si="100"/>
        <v>0.87526450471832562</v>
      </c>
      <c r="E489">
        <f t="shared" ca="1" si="101"/>
        <v>6.4212896776409553E-2</v>
      </c>
      <c r="V489">
        <v>484</v>
      </c>
      <c r="W489">
        <f t="shared" ca="1" si="91"/>
        <v>0.87526450471832562</v>
      </c>
      <c r="X489">
        <f t="shared" ca="1" si="92"/>
        <v>6.4212896776409553E-2</v>
      </c>
      <c r="Y489">
        <f>'uniforme cercle (rejet)'!AJ493</f>
        <v>0</v>
      </c>
      <c r="Z489">
        <f t="shared" ca="1" si="93"/>
        <v>0.66431084136844387</v>
      </c>
      <c r="AA489">
        <f t="shared" ca="1" si="94"/>
        <v>0.57509464250460418</v>
      </c>
      <c r="AB489">
        <f t="shared" ca="1" si="95"/>
        <v>1</v>
      </c>
      <c r="AC489">
        <f t="shared" ca="1" si="96"/>
        <v>0.87526450471832562</v>
      </c>
      <c r="AD489">
        <f t="shared" ca="1" si="97"/>
        <v>6.4212896776409553E-2</v>
      </c>
    </row>
    <row r="490" spans="1:30" x14ac:dyDescent="0.2">
      <c r="A490">
        <f t="shared" si="102"/>
        <v>485</v>
      </c>
      <c r="B490">
        <f t="shared" ca="1" si="98"/>
        <v>0.34657143583819194</v>
      </c>
      <c r="C490">
        <f t="shared" ca="1" si="99"/>
        <v>4.8353515556460307</v>
      </c>
      <c r="D490">
        <f t="shared" ca="1" si="100"/>
        <v>4.2508008278199214E-2</v>
      </c>
      <c r="E490">
        <f t="shared" ca="1" si="101"/>
        <v>-0.34395469086954833</v>
      </c>
      <c r="V490">
        <v>485</v>
      </c>
      <c r="W490">
        <f t="shared" ca="1" si="91"/>
        <v>4.2508008278199214E-2</v>
      </c>
      <c r="X490">
        <f t="shared" ca="1" si="92"/>
        <v>-0.34395469086954833</v>
      </c>
      <c r="Y490">
        <f>'uniforme cercle (rejet)'!AJ494</f>
        <v>0</v>
      </c>
      <c r="Z490">
        <f t="shared" ca="1" si="93"/>
        <v>0.21315499342653171</v>
      </c>
      <c r="AA490">
        <f t="shared" ca="1" si="94"/>
        <v>0.95997835534468967</v>
      </c>
      <c r="AB490">
        <f t="shared" ca="1" si="95"/>
        <v>0</v>
      </c>
      <c r="AC490" t="e">
        <f t="shared" ca="1" si="96"/>
        <v>#N/A</v>
      </c>
      <c r="AD490" t="e">
        <f t="shared" ca="1" si="97"/>
        <v>#N/A</v>
      </c>
    </row>
    <row r="491" spans="1:30" x14ac:dyDescent="0.2">
      <c r="A491">
        <f t="shared" si="102"/>
        <v>486</v>
      </c>
      <c r="B491">
        <f t="shared" ca="1" si="98"/>
        <v>0.8166192487435785</v>
      </c>
      <c r="C491">
        <f t="shared" ca="1" si="99"/>
        <v>1.8366413514766362</v>
      </c>
      <c r="D491">
        <f t="shared" ca="1" si="100"/>
        <v>-0.21454604838616301</v>
      </c>
      <c r="E491">
        <f t="shared" ca="1" si="101"/>
        <v>0.78793209767111838</v>
      </c>
      <c r="V491">
        <v>486</v>
      </c>
      <c r="W491">
        <f t="shared" ca="1" si="91"/>
        <v>-0.21454604838616301</v>
      </c>
      <c r="X491">
        <f t="shared" ca="1" si="92"/>
        <v>0.78793209767111838</v>
      </c>
      <c r="Y491">
        <f>'uniforme cercle (rejet)'!AJ495</f>
        <v>0</v>
      </c>
      <c r="Z491">
        <f t="shared" ca="1" si="93"/>
        <v>0.40544516368715594</v>
      </c>
      <c r="AA491">
        <f t="shared" ca="1" si="94"/>
        <v>0.77037714668438295</v>
      </c>
      <c r="AB491">
        <f t="shared" ca="1" si="95"/>
        <v>0</v>
      </c>
      <c r="AC491" t="e">
        <f t="shared" ca="1" si="96"/>
        <v>#N/A</v>
      </c>
      <c r="AD491" t="e">
        <f t="shared" ca="1" si="97"/>
        <v>#N/A</v>
      </c>
    </row>
    <row r="492" spans="1:30" x14ac:dyDescent="0.2">
      <c r="A492">
        <f t="shared" si="102"/>
        <v>487</v>
      </c>
      <c r="B492">
        <f t="shared" ca="1" si="98"/>
        <v>0.51982027076140724</v>
      </c>
      <c r="C492">
        <f t="shared" ca="1" si="99"/>
        <v>5.1717352292686547</v>
      </c>
      <c r="D492">
        <f t="shared" ca="1" si="100"/>
        <v>0.23046866759137805</v>
      </c>
      <c r="E492">
        <f t="shared" ca="1" si="101"/>
        <v>-0.46593702058659991</v>
      </c>
      <c r="V492">
        <v>487</v>
      </c>
      <c r="W492">
        <f t="shared" ca="1" si="91"/>
        <v>0.23046866759137805</v>
      </c>
      <c r="X492">
        <f t="shared" ca="1" si="92"/>
        <v>-0.46593702058659991</v>
      </c>
      <c r="Y492">
        <f>'uniforme cercle (rejet)'!AJ496</f>
        <v>0</v>
      </c>
      <c r="Z492">
        <f t="shared" ca="1" si="93"/>
        <v>0.1665012691577491</v>
      </c>
      <c r="AA492">
        <f t="shared" ca="1" si="94"/>
        <v>1.0028367099830782</v>
      </c>
      <c r="AB492">
        <f t="shared" ca="1" si="95"/>
        <v>0</v>
      </c>
      <c r="AC492" t="e">
        <f t="shared" ca="1" si="96"/>
        <v>#N/A</v>
      </c>
      <c r="AD492" t="e">
        <f t="shared" ca="1" si="97"/>
        <v>#N/A</v>
      </c>
    </row>
    <row r="493" spans="1:30" x14ac:dyDescent="0.2">
      <c r="A493">
        <f t="shared" si="102"/>
        <v>488</v>
      </c>
      <c r="B493">
        <f t="shared" ca="1" si="98"/>
        <v>0.49786533720737247</v>
      </c>
      <c r="C493">
        <f t="shared" ca="1" si="99"/>
        <v>5.6956830792758373</v>
      </c>
      <c r="D493">
        <f t="shared" ca="1" si="100"/>
        <v>0.41438713523945153</v>
      </c>
      <c r="E493">
        <f t="shared" ca="1" si="101"/>
        <v>-0.27595868556842196</v>
      </c>
      <c r="V493">
        <v>488</v>
      </c>
      <c r="W493">
        <f t="shared" ca="1" si="91"/>
        <v>0.41438713523945153</v>
      </c>
      <c r="X493">
        <f t="shared" ca="1" si="92"/>
        <v>-0.27595868556842196</v>
      </c>
      <c r="Y493">
        <f>'uniforme cercle (rejet)'!AJ497</f>
        <v>0</v>
      </c>
      <c r="Z493">
        <f t="shared" ca="1" si="93"/>
        <v>9.7883695471525714E-2</v>
      </c>
      <c r="AA493">
        <f t="shared" ca="1" si="94"/>
        <v>0.78066730706593646</v>
      </c>
      <c r="AB493">
        <f t="shared" ca="1" si="95"/>
        <v>0</v>
      </c>
      <c r="AC493" t="e">
        <f t="shared" ca="1" si="96"/>
        <v>#N/A</v>
      </c>
      <c r="AD493" t="e">
        <f t="shared" ca="1" si="97"/>
        <v>#N/A</v>
      </c>
    </row>
    <row r="494" spans="1:30" x14ac:dyDescent="0.2">
      <c r="A494">
        <f t="shared" si="102"/>
        <v>489</v>
      </c>
      <c r="B494">
        <f t="shared" ca="1" si="98"/>
        <v>0.22328815737708141</v>
      </c>
      <c r="C494">
        <f t="shared" ca="1" si="99"/>
        <v>5.8941538762565671</v>
      </c>
      <c r="D494">
        <f t="shared" ca="1" si="100"/>
        <v>0.20660336618282785</v>
      </c>
      <c r="E494">
        <f t="shared" ca="1" si="101"/>
        <v>-8.4691500794215585E-2</v>
      </c>
      <c r="V494">
        <v>489</v>
      </c>
      <c r="W494">
        <f t="shared" ca="1" si="91"/>
        <v>0.20660336618282785</v>
      </c>
      <c r="X494">
        <f t="shared" ca="1" si="92"/>
        <v>-8.4691500794215585E-2</v>
      </c>
      <c r="Y494">
        <f>'uniforme cercle (rejet)'!AJ498</f>
        <v>0</v>
      </c>
      <c r="Z494">
        <f t="shared" ca="1" si="93"/>
        <v>8.6204706723389299E-2</v>
      </c>
      <c r="AA494">
        <f t="shared" ca="1" si="94"/>
        <v>0.65417561543995206</v>
      </c>
      <c r="AB494">
        <f t="shared" ca="1" si="95"/>
        <v>0</v>
      </c>
      <c r="AC494" t="e">
        <f t="shared" ca="1" si="96"/>
        <v>#N/A</v>
      </c>
      <c r="AD494" t="e">
        <f t="shared" ca="1" si="97"/>
        <v>#N/A</v>
      </c>
    </row>
    <row r="495" spans="1:30" x14ac:dyDescent="0.2">
      <c r="A495">
        <f t="shared" si="102"/>
        <v>490</v>
      </c>
      <c r="B495">
        <f t="shared" ca="1" si="98"/>
        <v>0.38052042945405462</v>
      </c>
      <c r="C495">
        <f t="shared" ca="1" si="99"/>
        <v>4.7882180361128546</v>
      </c>
      <c r="D495">
        <f t="shared" ca="1" si="100"/>
        <v>2.8826860346276906E-2</v>
      </c>
      <c r="E495">
        <f t="shared" ca="1" si="101"/>
        <v>-0.37942694864028098</v>
      </c>
      <c r="V495">
        <v>490</v>
      </c>
      <c r="W495">
        <f t="shared" ca="1" si="91"/>
        <v>2.8826860346276906E-2</v>
      </c>
      <c r="X495">
        <f t="shared" ca="1" si="92"/>
        <v>-0.37942694864028098</v>
      </c>
      <c r="Y495">
        <f>'uniforme cercle (rejet)'!AJ499</f>
        <v>0</v>
      </c>
      <c r="Z495">
        <f t="shared" ca="1" si="93"/>
        <v>0.24791169991729259</v>
      </c>
      <c r="AA495">
        <f t="shared" ca="1" si="94"/>
        <v>0.99769528691174159</v>
      </c>
      <c r="AB495">
        <f t="shared" ca="1" si="95"/>
        <v>0</v>
      </c>
      <c r="AC495" t="e">
        <f t="shared" ca="1" si="96"/>
        <v>#N/A</v>
      </c>
      <c r="AD495" t="e">
        <f t="shared" ca="1" si="97"/>
        <v>#N/A</v>
      </c>
    </row>
    <row r="496" spans="1:30" x14ac:dyDescent="0.2">
      <c r="A496">
        <f t="shared" si="102"/>
        <v>491</v>
      </c>
      <c r="B496">
        <f t="shared" ca="1" si="98"/>
        <v>0.56714237064400341</v>
      </c>
      <c r="C496">
        <f t="shared" ca="1" si="99"/>
        <v>2.441126074319437</v>
      </c>
      <c r="D496">
        <f t="shared" ca="1" si="100"/>
        <v>-0.43360389318549231</v>
      </c>
      <c r="E496">
        <f t="shared" ca="1" si="101"/>
        <v>0.36556549672265887</v>
      </c>
      <c r="V496">
        <v>491</v>
      </c>
      <c r="W496">
        <f t="shared" ca="1" si="91"/>
        <v>-0.43360389318549231</v>
      </c>
      <c r="X496">
        <f t="shared" ca="1" si="92"/>
        <v>0.36556549672265887</v>
      </c>
      <c r="Y496">
        <f>'uniforme cercle (rejet)'!AJ500</f>
        <v>0</v>
      </c>
      <c r="Z496">
        <f t="shared" ca="1" si="93"/>
        <v>4.8110411519928335E-2</v>
      </c>
      <c r="AA496">
        <f t="shared" ca="1" si="94"/>
        <v>0.94323319759353974</v>
      </c>
      <c r="AB496">
        <f t="shared" ca="1" si="95"/>
        <v>0</v>
      </c>
      <c r="AC496" t="e">
        <f t="shared" ca="1" si="96"/>
        <v>#N/A</v>
      </c>
      <c r="AD496" t="e">
        <f t="shared" ca="1" si="97"/>
        <v>#N/A</v>
      </c>
    </row>
    <row r="497" spans="1:30" x14ac:dyDescent="0.2">
      <c r="A497">
        <f t="shared" si="102"/>
        <v>492</v>
      </c>
      <c r="B497">
        <f t="shared" ca="1" si="98"/>
        <v>0.51613951119419854</v>
      </c>
      <c r="C497">
        <f t="shared" ca="1" si="99"/>
        <v>4.3168560213798708</v>
      </c>
      <c r="D497">
        <f t="shared" ca="1" si="100"/>
        <v>-0.19886858125794243</v>
      </c>
      <c r="E497">
        <f t="shared" ca="1" si="101"/>
        <v>-0.47628907441199964</v>
      </c>
      <c r="V497">
        <v>492</v>
      </c>
      <c r="W497">
        <f t="shared" ca="1" si="91"/>
        <v>-0.19886858125794243</v>
      </c>
      <c r="X497">
        <f t="shared" ca="1" si="92"/>
        <v>-0.47628907441199964</v>
      </c>
      <c r="Y497">
        <f>'uniforme cercle (rejet)'!AJ501</f>
        <v>0</v>
      </c>
      <c r="Z497">
        <f t="shared" ca="1" si="93"/>
        <v>0.47740855669422816</v>
      </c>
      <c r="AA497">
        <f t="shared" ca="1" si="94"/>
        <v>1.2006488457020763</v>
      </c>
      <c r="AB497">
        <f t="shared" ca="1" si="95"/>
        <v>0</v>
      </c>
      <c r="AC497" t="e">
        <f t="shared" ca="1" si="96"/>
        <v>#N/A</v>
      </c>
      <c r="AD497" t="e">
        <f t="shared" ca="1" si="97"/>
        <v>#N/A</v>
      </c>
    </row>
    <row r="498" spans="1:30" x14ac:dyDescent="0.2">
      <c r="A498">
        <f t="shared" si="102"/>
        <v>493</v>
      </c>
      <c r="B498">
        <f t="shared" ca="1" si="98"/>
        <v>0.69207664017550874</v>
      </c>
      <c r="C498">
        <f t="shared" ca="1" si="99"/>
        <v>4.0462510517351866</v>
      </c>
      <c r="D498">
        <f t="shared" ca="1" si="100"/>
        <v>-0.4276716583381292</v>
      </c>
      <c r="E498">
        <f t="shared" ca="1" si="101"/>
        <v>-0.54412041730754335</v>
      </c>
      <c r="V498">
        <v>493</v>
      </c>
      <c r="W498">
        <f t="shared" ca="1" si="91"/>
        <v>-0.4276716583381292</v>
      </c>
      <c r="X498">
        <f t="shared" ca="1" si="92"/>
        <v>-0.54412041730754335</v>
      </c>
      <c r="Y498">
        <f>'uniforme cercle (rejet)'!AJ502</f>
        <v>0</v>
      </c>
      <c r="Z498">
        <f t="shared" ca="1" si="93"/>
        <v>0.68716076659240544</v>
      </c>
      <c r="AA498">
        <f t="shared" ca="1" si="94"/>
        <v>1.396696871737849</v>
      </c>
      <c r="AB498">
        <f t="shared" ca="1" si="95"/>
        <v>0</v>
      </c>
      <c r="AC498" t="e">
        <f t="shared" ca="1" si="96"/>
        <v>#N/A</v>
      </c>
      <c r="AD498" t="e">
        <f t="shared" ca="1" si="97"/>
        <v>#N/A</v>
      </c>
    </row>
    <row r="499" spans="1:30" x14ac:dyDescent="0.2">
      <c r="A499">
        <f t="shared" si="102"/>
        <v>494</v>
      </c>
      <c r="B499">
        <f t="shared" ca="1" si="98"/>
        <v>6.4645048945386918E-2</v>
      </c>
      <c r="C499">
        <f t="shared" ca="1" si="99"/>
        <v>1.4091905886865177</v>
      </c>
      <c r="D499">
        <f t="shared" ca="1" si="100"/>
        <v>1.0401597114886257E-2</v>
      </c>
      <c r="E499">
        <f t="shared" ca="1" si="101"/>
        <v>6.3802736074646982E-2</v>
      </c>
      <c r="V499">
        <v>494</v>
      </c>
      <c r="W499">
        <f t="shared" ca="1" si="91"/>
        <v>1.0401597114886257E-2</v>
      </c>
      <c r="X499">
        <f t="shared" ca="1" si="92"/>
        <v>6.3802736074646982E-2</v>
      </c>
      <c r="Y499">
        <f>'uniforme cercle (rejet)'!AJ503</f>
        <v>0</v>
      </c>
      <c r="Z499">
        <f t="shared" ca="1" si="93"/>
        <v>5.2470387191744947E-2</v>
      </c>
      <c r="AA499">
        <f t="shared" ca="1" si="94"/>
        <v>0.65572452231376732</v>
      </c>
      <c r="AB499">
        <f t="shared" ca="1" si="95"/>
        <v>0</v>
      </c>
      <c r="AC499" t="e">
        <f t="shared" ca="1" si="96"/>
        <v>#N/A</v>
      </c>
      <c r="AD499" t="e">
        <f t="shared" ca="1" si="97"/>
        <v>#N/A</v>
      </c>
    </row>
    <row r="500" spans="1:30" x14ac:dyDescent="0.2">
      <c r="A500">
        <f t="shared" si="102"/>
        <v>495</v>
      </c>
      <c r="B500">
        <f t="shared" ca="1" si="98"/>
        <v>0.64038130038154439</v>
      </c>
      <c r="C500">
        <f t="shared" ca="1" si="99"/>
        <v>2.3073623167634914</v>
      </c>
      <c r="D500">
        <f t="shared" ca="1" si="100"/>
        <v>-0.43017487853806113</v>
      </c>
      <c r="E500">
        <f t="shared" ca="1" si="101"/>
        <v>0.47438147492616339</v>
      </c>
      <c r="V500">
        <v>495</v>
      </c>
      <c r="W500">
        <f t="shared" ca="1" si="91"/>
        <v>-0.43017487853806113</v>
      </c>
      <c r="X500">
        <f t="shared" ca="1" si="92"/>
        <v>0.47438147492616339</v>
      </c>
      <c r="Y500">
        <f>'uniforme cercle (rejet)'!AJ504</f>
        <v>0</v>
      </c>
      <c r="Z500">
        <f t="shared" ca="1" si="93"/>
        <v>3.125878407920385E-2</v>
      </c>
      <c r="AA500">
        <f t="shared" ca="1" si="94"/>
        <v>0.93052759953171493</v>
      </c>
      <c r="AB500">
        <f t="shared" ca="1" si="95"/>
        <v>0</v>
      </c>
      <c r="AC500" t="e">
        <f t="shared" ca="1" si="96"/>
        <v>#N/A</v>
      </c>
      <c r="AD500" t="e">
        <f t="shared" ca="1" si="97"/>
        <v>#N/A</v>
      </c>
    </row>
    <row r="501" spans="1:30" x14ac:dyDescent="0.2">
      <c r="A501">
        <f t="shared" si="102"/>
        <v>496</v>
      </c>
      <c r="B501">
        <f t="shared" ca="1" si="98"/>
        <v>0.4264879955897527</v>
      </c>
      <c r="C501">
        <f t="shared" ca="1" si="99"/>
        <v>3.6819196244108272</v>
      </c>
      <c r="D501">
        <f t="shared" ca="1" si="100"/>
        <v>-0.36573074094533126</v>
      </c>
      <c r="E501">
        <f t="shared" ca="1" si="101"/>
        <v>-0.21939242354681238</v>
      </c>
      <c r="V501">
        <v>496</v>
      </c>
      <c r="W501">
        <f t="shared" ca="1" si="91"/>
        <v>-0.36573074094533126</v>
      </c>
      <c r="X501">
        <f t="shared" ca="1" si="92"/>
        <v>-0.21939242354681238</v>
      </c>
      <c r="Y501">
        <f>'uniforme cercle (rejet)'!AJ505</f>
        <v>0</v>
      </c>
      <c r="Z501">
        <f t="shared" ca="1" si="93"/>
        <v>0.41374455744172645</v>
      </c>
      <c r="AA501">
        <f t="shared" ca="1" si="94"/>
        <v>1.1256176859281788</v>
      </c>
      <c r="AB501">
        <f t="shared" ca="1" si="95"/>
        <v>0</v>
      </c>
      <c r="AC501" t="e">
        <f t="shared" ca="1" si="96"/>
        <v>#N/A</v>
      </c>
      <c r="AD501" t="e">
        <f t="shared" ca="1" si="97"/>
        <v>#N/A</v>
      </c>
    </row>
    <row r="502" spans="1:30" x14ac:dyDescent="0.2">
      <c r="A502">
        <f t="shared" si="102"/>
        <v>497</v>
      </c>
      <c r="B502">
        <f t="shared" ca="1" si="98"/>
        <v>0.3440877188759528</v>
      </c>
      <c r="C502">
        <f t="shared" ca="1" si="99"/>
        <v>1.1160469765570755</v>
      </c>
      <c r="D502">
        <f t="shared" ca="1" si="100"/>
        <v>0.15113610936428404</v>
      </c>
      <c r="E502">
        <f t="shared" ca="1" si="101"/>
        <v>0.30911848008083226</v>
      </c>
      <c r="V502">
        <v>497</v>
      </c>
      <c r="W502">
        <f t="shared" ca="1" si="91"/>
        <v>0.15113610936428404</v>
      </c>
      <c r="X502">
        <f t="shared" ca="1" si="92"/>
        <v>0.30911848008083226</v>
      </c>
      <c r="Y502">
        <f>'uniforme cercle (rejet)'!AJ506</f>
        <v>0</v>
      </c>
      <c r="Z502">
        <f t="shared" ca="1" si="93"/>
        <v>0.32544914126887214</v>
      </c>
      <c r="AA502">
        <f t="shared" ca="1" si="94"/>
        <v>0.39767042740960817</v>
      </c>
      <c r="AB502">
        <f t="shared" ca="1" si="95"/>
        <v>1</v>
      </c>
      <c r="AC502">
        <f t="shared" ca="1" si="96"/>
        <v>0.15113610936428404</v>
      </c>
      <c r="AD502">
        <f t="shared" ca="1" si="97"/>
        <v>0.30911848008083226</v>
      </c>
    </row>
    <row r="503" spans="1:30" x14ac:dyDescent="0.2">
      <c r="A503">
        <f t="shared" si="102"/>
        <v>498</v>
      </c>
      <c r="B503">
        <f t="shared" ca="1" si="98"/>
        <v>0.73979937765485893</v>
      </c>
      <c r="C503">
        <f t="shared" ca="1" si="99"/>
        <v>2.5497085066796545</v>
      </c>
      <c r="D503">
        <f t="shared" ca="1" si="100"/>
        <v>-0.61395280011585174</v>
      </c>
      <c r="E503">
        <f t="shared" ca="1" si="101"/>
        <v>0.41275304772759902</v>
      </c>
      <c r="V503">
        <v>498</v>
      </c>
      <c r="W503">
        <f t="shared" ca="1" si="91"/>
        <v>-0.61395280011585174</v>
      </c>
      <c r="X503">
        <f t="shared" ca="1" si="92"/>
        <v>0.41275304772759902</v>
      </c>
      <c r="Y503">
        <f>'uniforme cercle (rejet)'!AJ507</f>
        <v>0</v>
      </c>
      <c r="Z503">
        <f t="shared" ca="1" si="93"/>
        <v>0.14226970928678778</v>
      </c>
      <c r="AA503">
        <f t="shared" ca="1" si="94"/>
        <v>1.1173642519638658</v>
      </c>
      <c r="AB503">
        <f t="shared" ca="1" si="95"/>
        <v>0</v>
      </c>
      <c r="AC503" t="e">
        <f t="shared" ca="1" si="96"/>
        <v>#N/A</v>
      </c>
      <c r="AD503" t="e">
        <f t="shared" ca="1" si="97"/>
        <v>#N/A</v>
      </c>
    </row>
    <row r="504" spans="1:30" x14ac:dyDescent="0.2">
      <c r="A504">
        <f t="shared" si="102"/>
        <v>499</v>
      </c>
      <c r="B504">
        <f t="shared" ca="1" si="98"/>
        <v>0.95987591512728487</v>
      </c>
      <c r="C504">
        <f t="shared" ca="1" si="99"/>
        <v>3.0446740699531354</v>
      </c>
      <c r="D504">
        <f t="shared" ca="1" si="100"/>
        <v>-0.95537128395130655</v>
      </c>
      <c r="E504">
        <f t="shared" ca="1" si="101"/>
        <v>9.2884241088974182E-2</v>
      </c>
      <c r="V504">
        <v>499</v>
      </c>
      <c r="W504">
        <f t="shared" ca="1" si="91"/>
        <v>-0.95537128395130655</v>
      </c>
      <c r="X504">
        <f t="shared" ca="1" si="92"/>
        <v>9.2884241088974182E-2</v>
      </c>
      <c r="Y504">
        <f>'uniforme cercle (rejet)'!AJ508</f>
        <v>0</v>
      </c>
      <c r="Z504">
        <f t="shared" ca="1" si="93"/>
        <v>0.60987043669348762</v>
      </c>
      <c r="AA504">
        <f t="shared" ca="1" si="94"/>
        <v>1.5112408197583118</v>
      </c>
      <c r="AB504">
        <f t="shared" ca="1" si="95"/>
        <v>0</v>
      </c>
      <c r="AC504" t="e">
        <f t="shared" ca="1" si="96"/>
        <v>#N/A</v>
      </c>
      <c r="AD504" t="e">
        <f t="shared" ca="1" si="97"/>
        <v>#N/A</v>
      </c>
    </row>
    <row r="505" spans="1:30" x14ac:dyDescent="0.2">
      <c r="A505">
        <f t="shared" si="102"/>
        <v>500</v>
      </c>
      <c r="B505">
        <f t="shared" ca="1" si="98"/>
        <v>0.98767538214659678</v>
      </c>
      <c r="C505">
        <f t="shared" ca="1" si="99"/>
        <v>7.4720320315192809E-2</v>
      </c>
      <c r="D505">
        <f t="shared" ca="1" si="100"/>
        <v>0.98491950651958171</v>
      </c>
      <c r="E505">
        <f t="shared" ca="1" si="101"/>
        <v>7.3730768174822811E-2</v>
      </c>
      <c r="V505">
        <v>500</v>
      </c>
      <c r="W505">
        <f t="shared" ca="1" si="91"/>
        <v>0.98491950651958171</v>
      </c>
      <c r="X505">
        <f t="shared" ca="1" si="92"/>
        <v>7.3730768174822811E-2</v>
      </c>
      <c r="Y505">
        <f>'uniforme cercle (rejet)'!AJ509</f>
        <v>0</v>
      </c>
      <c r="Z505">
        <f t="shared" ca="1" si="93"/>
        <v>0.74857878814141465</v>
      </c>
      <c r="AA505">
        <f t="shared" ca="1" si="94"/>
        <v>0.64564106576643754</v>
      </c>
      <c r="AB505">
        <f t="shared" ca="1" si="95"/>
        <v>1</v>
      </c>
      <c r="AC505">
        <f t="shared" ca="1" si="96"/>
        <v>0.98491950651958171</v>
      </c>
      <c r="AD505">
        <f t="shared" ca="1" si="97"/>
        <v>7.3730768174822811E-2</v>
      </c>
    </row>
  </sheetData>
  <pageMargins left="0.7" right="0.7" top="0.75" bottom="0.75" header="0.3" footer="0.3"/>
  <pageSetup scale="1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uniforme cercle (rejet)</vt:lpstr>
      <vt:lpstr>stats du rayon</vt:lpstr>
      <vt:lpstr>Prob zone rouge</vt:lpstr>
      <vt:lpstr>   </vt:lpstr>
      <vt:lpstr>non-uniforme cercle (attention)</vt:lpstr>
      <vt:lpstr>'non-uniforme cercle (attention)'!echantillon</vt:lpstr>
      <vt:lpstr>'Prob zone rouge'!echantillon</vt:lpstr>
      <vt:lpstr>'stats du rayon'!echantillon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2022-10-12T14:11:41Z</dcterms:modified>
</cp:coreProperties>
</file>