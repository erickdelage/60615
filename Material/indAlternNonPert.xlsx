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filterPrivacy="1" autoCompressPictures="0"/>
  <xr:revisionPtr revIDLastSave="0" documentId="13_ncr:1_{CE63B231-EA71-A64C-9061-C404ABF511C5}" xr6:coauthVersionLast="36" xr6:coauthVersionMax="36" xr10:uidLastSave="{00000000-0000-0000-0000-000000000000}"/>
  <bookViews>
    <workbookView xWindow="31160" yWindow="1800" windowWidth="18500" windowHeight="7660" xr2:uid="{00000000-000D-0000-FFFF-FFFF00000000}"/>
  </bookViews>
  <sheets>
    <sheet name="Mode distributif" sheetId="1" r:id="rId1"/>
    <sheet name="Mode idéal" sheetId="4" r:id="rId2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6" i="4" l="1"/>
  <c r="F25" i="4"/>
  <c r="F24" i="4"/>
  <c r="F21" i="4"/>
  <c r="F20" i="4"/>
  <c r="F19" i="4"/>
  <c r="F26" i="1"/>
  <c r="F25" i="1"/>
  <c r="F24" i="1"/>
  <c r="F21" i="1"/>
  <c r="F20" i="1"/>
  <c r="F19" i="1"/>
  <c r="E21" i="4" l="1"/>
  <c r="E19" i="4"/>
  <c r="B20" i="4"/>
  <c r="E20" i="4" s="1"/>
  <c r="G20" i="4" s="1"/>
  <c r="B29" i="4" s="1"/>
  <c r="D20" i="4"/>
  <c r="B26" i="4"/>
  <c r="E26" i="4" s="1"/>
  <c r="G26" i="4" s="1"/>
  <c r="C26" i="4"/>
  <c r="C24" i="4"/>
  <c r="E24" i="4"/>
  <c r="E25" i="4"/>
  <c r="G25" i="4"/>
  <c r="B5" i="4"/>
  <c r="D5" i="4"/>
  <c r="E5" i="4" s="1"/>
  <c r="F5" i="4" s="1"/>
  <c r="D4" i="4"/>
  <c r="E4" i="4"/>
  <c r="F4" i="4" s="1"/>
  <c r="D10" i="4"/>
  <c r="E10" i="4" s="1"/>
  <c r="F10" i="4" s="1"/>
  <c r="C9" i="4"/>
  <c r="D9" i="4"/>
  <c r="E9" i="4"/>
  <c r="B20" i="1"/>
  <c r="D20" i="1"/>
  <c r="E20" i="1"/>
  <c r="E19" i="1"/>
  <c r="E21" i="1"/>
  <c r="G21" i="1" s="1"/>
  <c r="B26" i="1"/>
  <c r="C26" i="1"/>
  <c r="E26" i="1"/>
  <c r="C24" i="1"/>
  <c r="E24" i="1"/>
  <c r="E25" i="1"/>
  <c r="G25" i="1" s="1"/>
  <c r="C9" i="1"/>
  <c r="D9" i="1" s="1"/>
  <c r="E9" i="1" s="1"/>
  <c r="D10" i="1"/>
  <c r="E10" i="1" s="1"/>
  <c r="F10" i="1" s="1"/>
  <c r="D4" i="1"/>
  <c r="E4" i="1" s="1"/>
  <c r="F4" i="1" s="1"/>
  <c r="B5" i="1"/>
  <c r="D5" i="1"/>
  <c r="E5" i="1"/>
  <c r="G26" i="1" l="1"/>
  <c r="G24" i="1"/>
  <c r="G21" i="4"/>
  <c r="B30" i="4" s="1"/>
  <c r="B30" i="1"/>
  <c r="G19" i="1"/>
  <c r="F9" i="4"/>
  <c r="B12" i="4" s="1"/>
  <c r="G19" i="4"/>
  <c r="F5" i="1"/>
  <c r="B13" i="1" s="1"/>
  <c r="F9" i="1"/>
  <c r="B12" i="1" s="1"/>
  <c r="G20" i="1"/>
  <c r="B29" i="1" s="1"/>
  <c r="B13" i="4"/>
  <c r="G24" i="4"/>
  <c r="B28" i="1" l="1"/>
  <c r="B28" i="4"/>
</calcChain>
</file>

<file path=xl/sharedStrings.xml><?xml version="1.0" encoding="utf-8"?>
<sst xmlns="http://schemas.openxmlformats.org/spreadsheetml/2006/main" count="90" uniqueCount="14">
  <si>
    <t>A</t>
  </si>
  <si>
    <t>B</t>
  </si>
  <si>
    <t>P</t>
  </si>
  <si>
    <t>Q</t>
  </si>
  <si>
    <t>A est gagnant</t>
  </si>
  <si>
    <t>Alternatives A, B ou C</t>
  </si>
  <si>
    <t>Alternatives A ou B seulement</t>
  </si>
  <si>
    <t>C</t>
  </si>
  <si>
    <t>B est gagnant</t>
  </si>
  <si>
    <t>Prod</t>
  </si>
  <si>
    <t>^(1/n)</t>
  </si>
  <si>
    <t>normalisé mode distributif</t>
  </si>
  <si>
    <t>normalisé mode idéal</t>
  </si>
  <si>
    <t>A est encore gagnant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</si>
</sst>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5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/>
  </sheetViews>
  <sheetFormatPr baseColWidth="10" defaultColWidth="11.5" defaultRowHeight="15" x14ac:dyDescent="0.2"/>
  <sheetData>
    <row r="1" spans="1:6" x14ac:dyDescent="0.2">
      <c r="A1" t="s">
        <v>6</v>
      </c>
    </row>
    <row r="3" spans="1:6" x14ac:dyDescent="0.2">
      <c r="A3" t="s">
        <v>2</v>
      </c>
      <c r="B3" t="s">
        <v>0</v>
      </c>
      <c r="C3" t="s">
        <v>1</v>
      </c>
      <c r="D3" t="s">
        <v>9</v>
      </c>
      <c r="E3" t="s">
        <v>10</v>
      </c>
      <c r="F3" t="s">
        <v>11</v>
      </c>
    </row>
    <row r="4" spans="1:6" x14ac:dyDescent="0.2">
      <c r="A4" t="s">
        <v>0</v>
      </c>
      <c r="B4" s="1">
        <v>1</v>
      </c>
      <c r="C4" s="1">
        <v>5</v>
      </c>
      <c r="D4">
        <f>PRODUCT(B4:C4)</f>
        <v>5</v>
      </c>
      <c r="E4">
        <f>D4^(1/2)</f>
        <v>2.2360679774997898</v>
      </c>
      <c r="F4">
        <f>E4/SUM($E$4:$E$5)</f>
        <v>0.83333333333333337</v>
      </c>
    </row>
    <row r="5" spans="1:6" x14ac:dyDescent="0.2">
      <c r="A5" t="s">
        <v>1</v>
      </c>
      <c r="B5" s="1">
        <f>1/5</f>
        <v>0.2</v>
      </c>
      <c r="C5" s="1">
        <v>1</v>
      </c>
      <c r="D5">
        <f>PRODUCT(B5:C5)</f>
        <v>0.2</v>
      </c>
      <c r="E5">
        <f>D5^(1/2)</f>
        <v>0.44721359549995793</v>
      </c>
      <c r="F5">
        <f>E5/SUM($E$4:$E$5)</f>
        <v>0.16666666666666666</v>
      </c>
    </row>
    <row r="6" spans="1:6" x14ac:dyDescent="0.2">
      <c r="B6" s="2"/>
      <c r="C6" s="2"/>
    </row>
    <row r="7" spans="1:6" x14ac:dyDescent="0.2">
      <c r="B7" s="2"/>
      <c r="C7" s="2"/>
    </row>
    <row r="8" spans="1:6" x14ac:dyDescent="0.2">
      <c r="A8" t="s">
        <v>3</v>
      </c>
      <c r="B8" t="s">
        <v>0</v>
      </c>
      <c r="C8" t="s">
        <v>1</v>
      </c>
      <c r="D8" t="s">
        <v>9</v>
      </c>
      <c r="E8" t="s">
        <v>10</v>
      </c>
      <c r="F8" t="s">
        <v>11</v>
      </c>
    </row>
    <row r="9" spans="1:6" x14ac:dyDescent="0.2">
      <c r="A9" t="s">
        <v>0</v>
      </c>
      <c r="B9" s="1">
        <v>1</v>
      </c>
      <c r="C9" s="1">
        <f>1/3</f>
        <v>0.33333333333333331</v>
      </c>
      <c r="D9">
        <f>PRODUCT(B9:C9)</f>
        <v>0.33333333333333331</v>
      </c>
      <c r="E9">
        <f>D9^(1/2)</f>
        <v>0.57735026918962573</v>
      </c>
      <c r="F9">
        <f>E9/SUM($E$9:$E$10)</f>
        <v>0.25</v>
      </c>
    </row>
    <row r="10" spans="1:6" x14ac:dyDescent="0.2">
      <c r="A10" t="s">
        <v>1</v>
      </c>
      <c r="B10" s="1">
        <v>3</v>
      </c>
      <c r="C10" s="1">
        <v>1</v>
      </c>
      <c r="D10">
        <f>PRODUCT(B10:C10)</f>
        <v>3</v>
      </c>
      <c r="E10">
        <f>D10^(1/2)</f>
        <v>1.7320508075688772</v>
      </c>
      <c r="F10">
        <f>E10/SUM($E$9:$E$10)</f>
        <v>0.75</v>
      </c>
    </row>
    <row r="12" spans="1:6" x14ac:dyDescent="0.2">
      <c r="A12" t="s">
        <v>0</v>
      </c>
      <c r="B12">
        <f>AVERAGE(F4,F9)</f>
        <v>0.54166666666666674</v>
      </c>
      <c r="D12" t="s">
        <v>4</v>
      </c>
    </row>
    <row r="13" spans="1:6" x14ac:dyDescent="0.2">
      <c r="A13" t="s">
        <v>1</v>
      </c>
      <c r="B13">
        <f>AVERAGE(F5,F10)</f>
        <v>0.45833333333333331</v>
      </c>
    </row>
    <row r="16" spans="1:6" x14ac:dyDescent="0.2">
      <c r="A16" t="s">
        <v>5</v>
      </c>
    </row>
    <row r="18" spans="1:7" x14ac:dyDescent="0.2">
      <c r="A18" t="s">
        <v>2</v>
      </c>
      <c r="B18" t="s">
        <v>0</v>
      </c>
      <c r="C18" t="s">
        <v>1</v>
      </c>
      <c r="D18" t="s">
        <v>7</v>
      </c>
      <c r="E18" t="s">
        <v>9</v>
      </c>
      <c r="F18" t="s">
        <v>10</v>
      </c>
      <c r="G18" t="s">
        <v>11</v>
      </c>
    </row>
    <row r="19" spans="1:7" x14ac:dyDescent="0.2">
      <c r="A19" t="s">
        <v>0</v>
      </c>
      <c r="B19" s="1">
        <v>1</v>
      </c>
      <c r="C19" s="1">
        <v>5</v>
      </c>
      <c r="D19" s="1">
        <v>1</v>
      </c>
      <c r="E19">
        <f>PRODUCT(B19:D19)</f>
        <v>5</v>
      </c>
      <c r="F19">
        <f>E19^(1/3)</f>
        <v>1.7099759466766968</v>
      </c>
      <c r="G19">
        <f>F19/SUM($F$19:$F$21)</f>
        <v>0.45454545454545453</v>
      </c>
    </row>
    <row r="20" spans="1:7" x14ac:dyDescent="0.2">
      <c r="A20" t="s">
        <v>1</v>
      </c>
      <c r="B20" s="1">
        <f>1/5</f>
        <v>0.2</v>
      </c>
      <c r="C20" s="1">
        <v>1</v>
      </c>
      <c r="D20" s="1">
        <f>1/5</f>
        <v>0.2</v>
      </c>
      <c r="E20">
        <f>PRODUCT(B20:D20)</f>
        <v>4.0000000000000008E-2</v>
      </c>
      <c r="F20">
        <f>E20^(1/3)</f>
        <v>0.34199518933533946</v>
      </c>
      <c r="G20">
        <f t="shared" ref="G20:G21" si="0">F20/SUM($F$19:$F$21)</f>
        <v>9.0909090909090925E-2</v>
      </c>
    </row>
    <row r="21" spans="1:7" x14ac:dyDescent="0.2">
      <c r="A21" t="s">
        <v>7</v>
      </c>
      <c r="B21" s="1">
        <v>1</v>
      </c>
      <c r="C21" s="1">
        <v>5</v>
      </c>
      <c r="D21" s="1">
        <v>1</v>
      </c>
      <c r="E21">
        <f>PRODUCT(B21:D21)</f>
        <v>5</v>
      </c>
      <c r="F21">
        <f>E21^(1/3)</f>
        <v>1.7099759466766968</v>
      </c>
      <c r="G21">
        <f t="shared" si="0"/>
        <v>0.45454545454545453</v>
      </c>
    </row>
    <row r="22" spans="1:7" x14ac:dyDescent="0.2">
      <c r="B22" s="2"/>
      <c r="C22" s="2"/>
    </row>
    <row r="23" spans="1:7" x14ac:dyDescent="0.2">
      <c r="A23" t="s">
        <v>3</v>
      </c>
      <c r="B23" t="s">
        <v>0</v>
      </c>
      <c r="C23" t="s">
        <v>1</v>
      </c>
      <c r="D23" t="s">
        <v>7</v>
      </c>
      <c r="E23" t="s">
        <v>9</v>
      </c>
      <c r="F23" t="s">
        <v>10</v>
      </c>
      <c r="G23" t="s">
        <v>11</v>
      </c>
    </row>
    <row r="24" spans="1:7" x14ac:dyDescent="0.2">
      <c r="A24" t="s">
        <v>0</v>
      </c>
      <c r="B24" s="1">
        <v>1</v>
      </c>
      <c r="C24" s="1">
        <f>1/3</f>
        <v>0.33333333333333331</v>
      </c>
      <c r="D24" s="1">
        <v>2</v>
      </c>
      <c r="E24">
        <f>PRODUCT(B24:D24)</f>
        <v>0.66666666666666663</v>
      </c>
      <c r="F24">
        <f>E24^(1/3)</f>
        <v>0.87358046473629891</v>
      </c>
      <c r="G24">
        <f>F24/SUM($F$24:$F$26)</f>
        <v>0.22222222222222224</v>
      </c>
    </row>
    <row r="25" spans="1:7" x14ac:dyDescent="0.2">
      <c r="A25" t="s">
        <v>1</v>
      </c>
      <c r="B25" s="1">
        <v>3</v>
      </c>
      <c r="C25" s="1">
        <v>1</v>
      </c>
      <c r="D25" s="1">
        <v>6</v>
      </c>
      <c r="E25">
        <f>PRODUCT(B25:D25)</f>
        <v>18</v>
      </c>
      <c r="F25">
        <f>E25^(1/3)</f>
        <v>2.6207413942088964</v>
      </c>
      <c r="G25">
        <f t="shared" ref="G25:G26" si="1">F25/SUM($F$24:$F$26)</f>
        <v>0.66666666666666663</v>
      </c>
    </row>
    <row r="26" spans="1:7" x14ac:dyDescent="0.2">
      <c r="A26" t="s">
        <v>7</v>
      </c>
      <c r="B26" s="1">
        <f>1/2</f>
        <v>0.5</v>
      </c>
      <c r="C26" s="1">
        <f>1/6</f>
        <v>0.16666666666666666</v>
      </c>
      <c r="D26" s="1">
        <v>1</v>
      </c>
      <c r="E26">
        <f>PRODUCT(B26:D26)</f>
        <v>8.3333333333333329E-2</v>
      </c>
      <c r="F26">
        <f>E26^(1/3)</f>
        <v>0.4367902323681494</v>
      </c>
      <c r="G26">
        <f t="shared" si="1"/>
        <v>0.1111111111111111</v>
      </c>
    </row>
    <row r="28" spans="1:7" x14ac:dyDescent="0.2">
      <c r="A28" t="s">
        <v>0</v>
      </c>
      <c r="B28">
        <f>AVERAGE(G19,G24)</f>
        <v>0.3383838383838384</v>
      </c>
    </row>
    <row r="29" spans="1:7" x14ac:dyDescent="0.2">
      <c r="A29" t="s">
        <v>1</v>
      </c>
      <c r="B29">
        <f>AVERAGE(G20,G25)</f>
        <v>0.37878787878787878</v>
      </c>
      <c r="D29" t="s">
        <v>8</v>
      </c>
    </row>
    <row r="30" spans="1:7" x14ac:dyDescent="0.2">
      <c r="A30" t="s">
        <v>7</v>
      </c>
      <c r="B30">
        <f>AVERAGE(G21,G26)</f>
        <v>0.28282828282828282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opLeftCell="A19" workbookViewId="0">
      <selection activeCell="F28" sqref="F28"/>
    </sheetView>
  </sheetViews>
  <sheetFormatPr baseColWidth="10" defaultColWidth="11.5" defaultRowHeight="15" x14ac:dyDescent="0.2"/>
  <sheetData>
    <row r="1" spans="1:6" x14ac:dyDescent="0.2">
      <c r="A1" t="s">
        <v>6</v>
      </c>
    </row>
    <row r="3" spans="1:6" x14ac:dyDescent="0.2">
      <c r="A3" t="s">
        <v>2</v>
      </c>
      <c r="B3" t="s">
        <v>0</v>
      </c>
      <c r="C3" t="s">
        <v>1</v>
      </c>
      <c r="D3" t="s">
        <v>9</v>
      </c>
      <c r="E3" t="s">
        <v>10</v>
      </c>
      <c r="F3" t="s">
        <v>12</v>
      </c>
    </row>
    <row r="4" spans="1:6" x14ac:dyDescent="0.2">
      <c r="A4" t="s">
        <v>0</v>
      </c>
      <c r="B4" s="1">
        <v>1</v>
      </c>
      <c r="C4" s="1">
        <v>5</v>
      </c>
      <c r="D4">
        <f>PRODUCT(B4:C4)</f>
        <v>5</v>
      </c>
      <c r="E4">
        <f>D4^(1/2)</f>
        <v>2.2360679774997898</v>
      </c>
      <c r="F4">
        <f>E4/MAX($E$4:$E$5)</f>
        <v>1</v>
      </c>
    </row>
    <row r="5" spans="1:6" x14ac:dyDescent="0.2">
      <c r="A5" t="s">
        <v>1</v>
      </c>
      <c r="B5" s="1">
        <f>1/5</f>
        <v>0.2</v>
      </c>
      <c r="C5" s="1">
        <v>1</v>
      </c>
      <c r="D5">
        <f>PRODUCT(B5:C5)</f>
        <v>0.2</v>
      </c>
      <c r="E5">
        <f>D5^(1/2)</f>
        <v>0.44721359549995793</v>
      </c>
      <c r="F5">
        <f>E5/MAX($E$4:$E$5)</f>
        <v>0.19999999999999998</v>
      </c>
    </row>
    <row r="6" spans="1:6" x14ac:dyDescent="0.2">
      <c r="B6" s="2"/>
      <c r="C6" s="2"/>
    </row>
    <row r="7" spans="1:6" x14ac:dyDescent="0.2">
      <c r="B7" s="2"/>
      <c r="C7" s="2"/>
    </row>
    <row r="8" spans="1:6" x14ac:dyDescent="0.2">
      <c r="A8" t="s">
        <v>3</v>
      </c>
      <c r="B8" t="s">
        <v>0</v>
      </c>
      <c r="C8" t="s">
        <v>1</v>
      </c>
      <c r="D8" t="s">
        <v>9</v>
      </c>
      <c r="E8" t="s">
        <v>10</v>
      </c>
      <c r="F8" t="s">
        <v>12</v>
      </c>
    </row>
    <row r="9" spans="1:6" x14ac:dyDescent="0.2">
      <c r="A9" t="s">
        <v>0</v>
      </c>
      <c r="B9" s="1">
        <v>1</v>
      </c>
      <c r="C9" s="1">
        <f>1/3</f>
        <v>0.33333333333333331</v>
      </c>
      <c r="D9">
        <f>PRODUCT(B9:C9)</f>
        <v>0.33333333333333331</v>
      </c>
      <c r="E9">
        <f>D9^(1/2)</f>
        <v>0.57735026918962573</v>
      </c>
      <c r="F9">
        <f>E9/MAX($E$9:$E$10)</f>
        <v>0.33333333333333331</v>
      </c>
    </row>
    <row r="10" spans="1:6" x14ac:dyDescent="0.2">
      <c r="A10" t="s">
        <v>1</v>
      </c>
      <c r="B10" s="1">
        <v>3</v>
      </c>
      <c r="C10" s="1">
        <v>1</v>
      </c>
      <c r="D10">
        <f>PRODUCT(B10:C10)</f>
        <v>3</v>
      </c>
      <c r="E10">
        <f>D10^(1/2)</f>
        <v>1.7320508075688772</v>
      </c>
      <c r="F10">
        <f>E10/MAX($E$9:$E$10)</f>
        <v>1</v>
      </c>
    </row>
    <row r="12" spans="1:6" x14ac:dyDescent="0.2">
      <c r="A12" t="s">
        <v>0</v>
      </c>
      <c r="B12">
        <f>AVERAGE(F4,F9)</f>
        <v>0.66666666666666663</v>
      </c>
      <c r="D12" t="s">
        <v>4</v>
      </c>
    </row>
    <row r="13" spans="1:6" x14ac:dyDescent="0.2">
      <c r="A13" t="s">
        <v>1</v>
      </c>
      <c r="B13">
        <f>AVERAGE(F5,F10)</f>
        <v>0.6</v>
      </c>
    </row>
    <row r="16" spans="1:6" x14ac:dyDescent="0.2">
      <c r="A16" t="s">
        <v>5</v>
      </c>
    </row>
    <row r="18" spans="1:7" x14ac:dyDescent="0.2">
      <c r="A18" t="s">
        <v>2</v>
      </c>
      <c r="B18" t="s">
        <v>0</v>
      </c>
      <c r="C18" t="s">
        <v>1</v>
      </c>
      <c r="D18" t="s">
        <v>7</v>
      </c>
      <c r="E18" t="s">
        <v>9</v>
      </c>
      <c r="F18" t="s">
        <v>10</v>
      </c>
      <c r="G18" t="s">
        <v>12</v>
      </c>
    </row>
    <row r="19" spans="1:7" x14ac:dyDescent="0.2">
      <c r="A19" t="s">
        <v>0</v>
      </c>
      <c r="B19" s="1">
        <v>1</v>
      </c>
      <c r="C19" s="1">
        <v>5</v>
      </c>
      <c r="D19" s="1">
        <v>1</v>
      </c>
      <c r="E19">
        <f>PRODUCT(B19:D19)</f>
        <v>5</v>
      </c>
      <c r="F19">
        <f>E19^(1/3)</f>
        <v>1.7099759466766968</v>
      </c>
      <c r="G19">
        <f>F19/MAX($F$19:$F$21)</f>
        <v>1</v>
      </c>
    </row>
    <row r="20" spans="1:7" x14ac:dyDescent="0.2">
      <c r="A20" t="s">
        <v>1</v>
      </c>
      <c r="B20" s="1">
        <f>1/5</f>
        <v>0.2</v>
      </c>
      <c r="C20" s="1">
        <v>1</v>
      </c>
      <c r="D20" s="1">
        <f>1/5</f>
        <v>0.2</v>
      </c>
      <c r="E20">
        <f>PRODUCT(B20:D20)</f>
        <v>4.0000000000000008E-2</v>
      </c>
      <c r="F20">
        <f>E20^(1/3)</f>
        <v>0.34199518933533946</v>
      </c>
      <c r="G20">
        <f>F20/MAX($F$19:$F$21)</f>
        <v>0.20000000000000004</v>
      </c>
    </row>
    <row r="21" spans="1:7" x14ac:dyDescent="0.2">
      <c r="A21" t="s">
        <v>7</v>
      </c>
      <c r="B21" s="1">
        <v>1</v>
      </c>
      <c r="C21" s="1">
        <v>5</v>
      </c>
      <c r="D21" s="1">
        <v>1</v>
      </c>
      <c r="E21">
        <f>PRODUCT(B21:D21)</f>
        <v>5</v>
      </c>
      <c r="F21">
        <f>E21^(1/3)</f>
        <v>1.7099759466766968</v>
      </c>
      <c r="G21">
        <f>F21/MAX($F$19:$F$21)</f>
        <v>1</v>
      </c>
    </row>
    <row r="22" spans="1:7" x14ac:dyDescent="0.2">
      <c r="B22" s="2"/>
      <c r="C22" s="2"/>
    </row>
    <row r="23" spans="1:7" x14ac:dyDescent="0.2">
      <c r="A23" t="s">
        <v>3</v>
      </c>
      <c r="B23" t="s">
        <v>0</v>
      </c>
      <c r="C23" t="s">
        <v>1</v>
      </c>
      <c r="D23" t="s">
        <v>7</v>
      </c>
      <c r="E23" t="s">
        <v>9</v>
      </c>
      <c r="F23" t="s">
        <v>10</v>
      </c>
      <c r="G23" t="s">
        <v>12</v>
      </c>
    </row>
    <row r="24" spans="1:7" x14ac:dyDescent="0.2">
      <c r="A24" t="s">
        <v>0</v>
      </c>
      <c r="B24" s="1">
        <v>1</v>
      </c>
      <c r="C24" s="1">
        <f>1/3</f>
        <v>0.33333333333333331</v>
      </c>
      <c r="D24" s="1">
        <v>2</v>
      </c>
      <c r="E24">
        <f>PRODUCT(B24:D24)</f>
        <v>0.66666666666666663</v>
      </c>
      <c r="F24">
        <f>E24^(1/3)</f>
        <v>0.87358046473629891</v>
      </c>
      <c r="G24">
        <f>F24/MAX($F$24:$F$26)</f>
        <v>0.33333333333333337</v>
      </c>
    </row>
    <row r="25" spans="1:7" x14ac:dyDescent="0.2">
      <c r="A25" t="s">
        <v>1</v>
      </c>
      <c r="B25" s="1">
        <v>3</v>
      </c>
      <c r="C25" s="1">
        <v>1</v>
      </c>
      <c r="D25" s="1">
        <v>6</v>
      </c>
      <c r="E25">
        <f>PRODUCT(B25:D25)</f>
        <v>18</v>
      </c>
      <c r="F25">
        <f>E25^(1/3)</f>
        <v>2.6207413942088964</v>
      </c>
      <c r="G25">
        <f>F25/MAX($F$24:$F$26)</f>
        <v>1</v>
      </c>
    </row>
    <row r="26" spans="1:7" x14ac:dyDescent="0.2">
      <c r="A26" t="s">
        <v>7</v>
      </c>
      <c r="B26" s="1">
        <f>1/2</f>
        <v>0.5</v>
      </c>
      <c r="C26" s="1">
        <f>1/6</f>
        <v>0.16666666666666666</v>
      </c>
      <c r="D26" s="1">
        <v>1</v>
      </c>
      <c r="E26">
        <f>PRODUCT(B26:D26)</f>
        <v>8.3333333333333329E-2</v>
      </c>
      <c r="F26">
        <f>E26^(1/3)</f>
        <v>0.4367902323681494</v>
      </c>
      <c r="G26">
        <f>F26/MAX($F$24:$F$26)</f>
        <v>0.16666666666666666</v>
      </c>
    </row>
    <row r="28" spans="1:7" x14ac:dyDescent="0.2">
      <c r="A28" t="s">
        <v>0</v>
      </c>
      <c r="B28">
        <f>AVERAGE(G19,G24)</f>
        <v>0.66666666666666674</v>
      </c>
      <c r="D28" t="s">
        <v>13</v>
      </c>
    </row>
    <row r="29" spans="1:7" x14ac:dyDescent="0.2">
      <c r="A29" t="s">
        <v>1</v>
      </c>
      <c r="B29">
        <f>AVERAGE(G20,G25)</f>
        <v>0.6</v>
      </c>
    </row>
    <row r="30" spans="1:7" x14ac:dyDescent="0.2">
      <c r="A30" t="s">
        <v>7</v>
      </c>
      <c r="B30">
        <f>AVERAGE(G21,G26)</f>
        <v>0.58333333333333337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distributif</vt:lpstr>
      <vt:lpstr>Mode idéal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2018-11-30T22:53:17Z</dcterms:modified>
</cp:coreProperties>
</file>