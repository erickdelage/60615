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3" codeName="{3D1A710C-6663-3D7B-7F91-EC182F24A4BC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prof\Downloads\"/>
    </mc:Choice>
  </mc:AlternateContent>
  <xr:revisionPtr revIDLastSave="0" documentId="13_ncr:1_{994EBF81-2AD5-4C40-A6F3-CCAFE662EFAC}" xr6:coauthVersionLast="36" xr6:coauthVersionMax="36" xr10:uidLastSave="{00000000-0000-0000-0000-000000000000}"/>
  <workbookProtection lockStructure="1"/>
  <bookViews>
    <workbookView xWindow="25860" yWindow="-3885" windowWidth="26805" windowHeight="16875" activeTab="3" xr2:uid="{00000000-000D-0000-FFFF-FFFF00000000}"/>
  </bookViews>
  <sheets>
    <sheet name="Roue de fortune" sheetId="2" r:id="rId1"/>
    <sheet name="Points de l'expert" sheetId="1" r:id="rId2"/>
    <sheet name="Estimation par Fit (Bêta)" sheetId="9" r:id="rId3"/>
    <sheet name="Estimation par Fit (PWL)" sheetId="11" r:id="rId4"/>
  </sheets>
  <definedNames>
    <definedName name="_AtRisk_FitDataRange_FIT_16C73_5AF84" hidden="1">'Points de l''expert'!$C$6:$D$14</definedName>
    <definedName name="_AtRisk_FitDataRange_FIT_261CB_CBB96" localSheetId="2" hidden="1">'Estimation par Fit (Bêta)'!$C$6:$D$14</definedName>
    <definedName name="_AtRisk_FitDataRange_FIT_261CB_CBB96" localSheetId="3" hidden="1">'Estimation par Fit (PWL)'!$C$6:$D$14</definedName>
    <definedName name="_AtRisk_FitDataRange_FIT_261CB_CBB96" hidden="1">#REF!</definedName>
    <definedName name="_AtRisk_FitDataRange_FIT_7A10D_9EB8B" localSheetId="2" hidden="1">'Estimation par Fit (Bêta)'!$C$6:$D$14</definedName>
    <definedName name="_AtRisk_FitDataRange_FIT_7A10D_9EB8B" localSheetId="3" hidden="1">'Estimation par Fit (PWL)'!$C$6:$D$14</definedName>
    <definedName name="_AtRisk_FitDataRange_FIT_7A10D_9EB8B" hidden="1">#REF!</definedName>
    <definedName name="_AtRisk_FitDataRange_FIT_B29D4_C5DB" localSheetId="2" hidden="1">'Estimation par Fit (Bêta)'!$C$6:$D$14</definedName>
    <definedName name="_AtRisk_FitDataRange_FIT_B29D4_C5DB" localSheetId="3" hidden="1">'Estimation par Fit (PWL)'!$C$6:$D$14</definedName>
    <definedName name="_AtRisk_FitDataRange_FIT_B29D4_C5DB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"8LD7CLY1GNQHVJ39WLSU7ABQ"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2" hidden="1">'Estimation par Fit (Bêta)'!$C$17:$C$18</definedName>
    <definedName name="solver_adj" localSheetId="3" hidden="1">'Estimation par Fit (PWL)'!#REF!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'Estimation par Fit (Bêta)'!$C$17:$C$18</definedName>
    <definedName name="solver_lhs1" localSheetId="3" hidden="1">'Estimation par Fit (PWL)'!#REF!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1</definedName>
    <definedName name="solver_num" localSheetId="3" hidden="1">1</definedName>
    <definedName name="solver_nwt" localSheetId="2" hidden="1">1</definedName>
    <definedName name="solver_nwt" localSheetId="3" hidden="1">1</definedName>
    <definedName name="solver_opt" localSheetId="2" hidden="1">'Estimation par Fit (Bêta)'!$F$15</definedName>
    <definedName name="solver_opt" localSheetId="3" hidden="1">'Estimation par Fit (PWL)'!#REF!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hs1" localSheetId="2" hidden="1">1</definedName>
    <definedName name="solver_rhs1" localSheetId="3" hidden="1">1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91029"/>
</workbook>
</file>

<file path=xl/calcChain.xml><?xml version="1.0" encoding="utf-8"?>
<calcChain xmlns="http://schemas.openxmlformats.org/spreadsheetml/2006/main">
  <c r="D7" i="1" l="1"/>
  <c r="D9" i="1"/>
  <c r="D13" i="1"/>
  <c r="D11" i="1"/>
  <c r="C25" i="2" l="1"/>
  <c r="C24" i="2"/>
  <c r="C14" i="11" l="1"/>
  <c r="D14" i="11"/>
  <c r="C14" i="9"/>
  <c r="D14" i="9"/>
  <c r="C7" i="1"/>
  <c r="C8" i="1" s="1"/>
  <c r="C9" i="1" s="1"/>
  <c r="C10" i="1" s="1"/>
  <c r="C11" i="1" s="1"/>
  <c r="C12" i="1" s="1"/>
  <c r="C13" i="1" s="1"/>
  <c r="C5" i="2"/>
  <c r="C4" i="2"/>
  <c r="C50" i="9" l="1"/>
  <c r="E28" i="9"/>
  <c r="E50" i="9"/>
  <c r="D8" i="11"/>
  <c r="D8" i="9"/>
  <c r="B31" i="9"/>
  <c r="B32" i="9" s="1"/>
  <c r="D9" i="11" l="1"/>
  <c r="F9" i="11" s="1"/>
  <c r="D9" i="9"/>
  <c r="B33" i="9"/>
  <c r="D7" i="11"/>
  <c r="F8" i="11" s="1"/>
  <c r="D6" i="11"/>
  <c r="C6" i="11"/>
  <c r="H6" i="11" s="1"/>
  <c r="D7" i="9"/>
  <c r="D6" i="9"/>
  <c r="C6" i="9"/>
  <c r="C28" i="9" l="1"/>
  <c r="D51" i="9" s="1"/>
  <c r="E14" i="9"/>
  <c r="F14" i="9" s="1"/>
  <c r="E6" i="9"/>
  <c r="F6" i="9" s="1"/>
  <c r="C30" i="9"/>
  <c r="D10" i="11"/>
  <c r="D10" i="9"/>
  <c r="F7" i="11"/>
  <c r="B34" i="9"/>
  <c r="C41" i="2"/>
  <c r="A42" i="2"/>
  <c r="A10" i="2"/>
  <c r="D50" i="9" l="1"/>
  <c r="D30" i="9"/>
  <c r="F10" i="11"/>
  <c r="D11" i="11"/>
  <c r="F11" i="11" s="1"/>
  <c r="D11" i="9"/>
  <c r="E30" i="9"/>
  <c r="A41" i="2"/>
  <c r="A11" i="2"/>
  <c r="B35" i="9"/>
  <c r="D12" i="11" l="1"/>
  <c r="F12" i="11" s="1"/>
  <c r="D12" i="9"/>
  <c r="B36" i="9"/>
  <c r="D13" i="11" l="1"/>
  <c r="D13" i="9"/>
  <c r="B37" i="9"/>
  <c r="F14" i="11" l="1"/>
  <c r="F13" i="11"/>
  <c r="B38" i="9"/>
  <c r="B39" i="9" l="1"/>
  <c r="B40" i="9" l="1"/>
  <c r="B41" i="9" l="1"/>
  <c r="B42" i="9" l="1"/>
  <c r="B43" i="9" l="1"/>
  <c r="B44" i="9" l="1"/>
  <c r="B45" i="9" l="1"/>
  <c r="B46" i="9" l="1"/>
  <c r="B47" i="9" l="1"/>
  <c r="B48" i="9" l="1"/>
  <c r="B49" i="9" l="1"/>
  <c r="B50" i="9" l="1"/>
  <c r="C31" i="9" s="1"/>
  <c r="D31" i="9" s="1"/>
  <c r="C32" i="9" l="1"/>
  <c r="D32" i="9" s="1"/>
  <c r="E31" i="9"/>
  <c r="H21" i="11"/>
  <c r="C33" i="9" l="1"/>
  <c r="D33" i="9" s="1"/>
  <c r="E32" i="9"/>
  <c r="C7" i="9"/>
  <c r="E7" i="9" s="1"/>
  <c r="C7" i="11"/>
  <c r="H8" i="11" l="1"/>
  <c r="I6" i="11"/>
  <c r="I7" i="11" s="1"/>
  <c r="F7" i="9"/>
  <c r="E33" i="9"/>
  <c r="C34" i="9"/>
  <c r="D34" i="9" s="1"/>
  <c r="E7" i="11"/>
  <c r="H7" i="11"/>
  <c r="E34" i="9" l="1"/>
  <c r="C35" i="9"/>
  <c r="D35" i="9" s="1"/>
  <c r="C36" i="9" l="1"/>
  <c r="D36" i="9" s="1"/>
  <c r="E35" i="9"/>
  <c r="C37" i="9" l="1"/>
  <c r="D37" i="9" s="1"/>
  <c r="E36" i="9"/>
  <c r="C38" i="9" l="1"/>
  <c r="D38" i="9" s="1"/>
  <c r="E37" i="9"/>
  <c r="C39" i="9" l="1"/>
  <c r="D39" i="9" s="1"/>
  <c r="E38" i="9"/>
  <c r="C40" i="9" l="1"/>
  <c r="D40" i="9" s="1"/>
  <c r="E39" i="9"/>
  <c r="C41" i="9" l="1"/>
  <c r="D41" i="9" s="1"/>
  <c r="E40" i="9"/>
  <c r="C42" i="9" l="1"/>
  <c r="D42" i="9" s="1"/>
  <c r="E41" i="9"/>
  <c r="C43" i="9" l="1"/>
  <c r="D43" i="9" s="1"/>
  <c r="E42" i="9"/>
  <c r="C44" i="9" l="1"/>
  <c r="D44" i="9" s="1"/>
  <c r="E43" i="9"/>
  <c r="C45" i="9" l="1"/>
  <c r="D45" i="9" s="1"/>
  <c r="E44" i="9"/>
  <c r="C46" i="9" l="1"/>
  <c r="D46" i="9" s="1"/>
  <c r="E45" i="9"/>
  <c r="C47" i="9" l="1"/>
  <c r="D47" i="9" s="1"/>
  <c r="E46" i="9"/>
  <c r="C48" i="9" l="1"/>
  <c r="D48" i="9" s="1"/>
  <c r="E47" i="9"/>
  <c r="C49" i="9" l="1"/>
  <c r="D49" i="9" s="1"/>
  <c r="E48" i="9"/>
  <c r="E49" i="9" l="1"/>
  <c r="C8" i="11" l="1"/>
  <c r="H10" i="11" s="1"/>
  <c r="C13" i="9"/>
  <c r="C13" i="11"/>
  <c r="C8" i="9"/>
  <c r="C9" i="11"/>
  <c r="E8" i="9" l="1"/>
  <c r="F8" i="9" s="1"/>
  <c r="E13" i="9"/>
  <c r="F13" i="9" s="1"/>
  <c r="H11" i="11"/>
  <c r="I10" i="11"/>
  <c r="I11" i="11" s="1"/>
  <c r="H12" i="11"/>
  <c r="E9" i="11"/>
  <c r="C9" i="9"/>
  <c r="I8" i="11"/>
  <c r="I9" i="11" s="1"/>
  <c r="E14" i="11"/>
  <c r="E8" i="11"/>
  <c r="H9" i="11"/>
  <c r="H19" i="11"/>
  <c r="H20" i="11"/>
  <c r="I20" i="11"/>
  <c r="I21" i="11" s="1"/>
  <c r="E9" i="9" l="1"/>
  <c r="F9" i="9" s="1"/>
  <c r="C10" i="11"/>
  <c r="C10" i="9"/>
  <c r="E10" i="9" l="1"/>
  <c r="F10" i="9" s="1"/>
  <c r="E10" i="11"/>
  <c r="H14" i="11"/>
  <c r="I12" i="11"/>
  <c r="I13" i="11" s="1"/>
  <c r="H13" i="11"/>
  <c r="C11" i="11"/>
  <c r="C11" i="9"/>
  <c r="E11" i="9" l="1"/>
  <c r="F11" i="9" s="1"/>
  <c r="C12" i="11"/>
  <c r="C12" i="9"/>
  <c r="H16" i="11"/>
  <c r="H15" i="11"/>
  <c r="I14" i="11"/>
  <c r="I15" i="11" s="1"/>
  <c r="E11" i="11"/>
  <c r="E12" i="9" l="1"/>
  <c r="F12" i="9" s="1"/>
  <c r="F15" i="9" s="1"/>
  <c r="H17" i="11"/>
  <c r="H18" i="11"/>
  <c r="E12" i="11"/>
  <c r="I16" i="11"/>
  <c r="I17" i="11" s="1"/>
  <c r="E13" i="11"/>
  <c r="I18" i="11"/>
  <c r="I19" i="11" s="1"/>
  <c r="B18" i="11" l="1"/>
</calcChain>
</file>

<file path=xl/sharedStrings.xml><?xml version="1.0" encoding="utf-8"?>
<sst xmlns="http://schemas.openxmlformats.org/spreadsheetml/2006/main" count="53" uniqueCount="39">
  <si>
    <t>Points de l'expert</t>
  </si>
  <si>
    <t>Roulette des probabilités</t>
  </si>
  <si>
    <t xml:space="preserve">Étude de l'événement </t>
  </si>
  <si>
    <t>:</t>
  </si>
  <si>
    <t>Événement complémentaire</t>
  </si>
  <si>
    <t>1er prix</t>
  </si>
  <si>
    <t>=</t>
  </si>
  <si>
    <t>Evénement complémentaire</t>
  </si>
  <si>
    <t>Premier pari</t>
  </si>
  <si>
    <t>Deuxième pari</t>
  </si>
  <si>
    <t>Jouer à la roue de fortune</t>
  </si>
  <si>
    <t>Probabilité d'intérêt</t>
  </si>
  <si>
    <t>moins de</t>
  </si>
  <si>
    <t>%</t>
  </si>
  <si>
    <t>Ajuster la roue jusqu'à ce que les deux paris soient équivalents</t>
  </si>
  <si>
    <t xml:space="preserve">Conclusions: </t>
  </si>
  <si>
    <t>Index</t>
  </si>
  <si>
    <t>Fonction de répartition</t>
  </si>
  <si>
    <t>x</t>
  </si>
  <si>
    <t>P(X&lt;=x)</t>
  </si>
  <si>
    <t>Valeur espérée</t>
  </si>
  <si>
    <t>vous ne gagnez rien</t>
  </si>
  <si>
    <t>Min :</t>
  </si>
  <si>
    <t>Max :</t>
  </si>
  <si>
    <t>Silo</t>
  </si>
  <si>
    <t>Probabilité estimé par forme paramétrique</t>
  </si>
  <si>
    <t>Paramètres</t>
  </si>
  <si>
    <t>alpha</t>
  </si>
  <si>
    <t>beta</t>
  </si>
  <si>
    <t>Valeur espérée de la fonction</t>
  </si>
  <si>
    <t>Diff au carré</t>
  </si>
  <si>
    <t>Erreur moyenne</t>
  </si>
  <si>
    <t>Moyenne si sur morceau</t>
  </si>
  <si>
    <t>Probabilité d'être sur morceau</t>
  </si>
  <si>
    <t>$</t>
  </si>
  <si>
    <t>vous gagnez un voyage d'une semaine pour deux à Paris</t>
  </si>
  <si>
    <t>Montant dans le sac</t>
  </si>
  <si>
    <t>Probabilité que le montant soit plus petit que</t>
  </si>
  <si>
    <t>f(x) (proportionnelle)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</si>
</sst>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$&quot;_);[Red]\(#,##0.00\ &quot;$&quot;\)"/>
    <numFmt numFmtId="44" formatCode="_ * #,##0.00_)\ &quot;$&quot;_ ;_ * \(#,##0.00\)\ &quot;$&quot;_ ;_ * &quot;-&quot;??_)\ &quot;$&quot;_ ;_ @_ "/>
    <numFmt numFmtId="164" formatCode="0.0%"/>
  </numFmts>
  <fonts count="5" x14ac:knownFonts="1">
    <font>
      <sz val="11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" borderId="6" xfId="0" applyFill="1" applyBorder="1"/>
    <xf numFmtId="0" fontId="0" fillId="0" borderId="1" xfId="0" applyBorder="1" applyAlignment="1">
      <alignment horizontal="center"/>
    </xf>
    <xf numFmtId="0" fontId="2" fillId="4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0" borderId="1" xfId="0" applyFill="1" applyBorder="1" applyAlignment="1">
      <alignment horizontal="center" vertical="center" wrapText="1"/>
    </xf>
    <xf numFmtId="0" fontId="0" fillId="3" borderId="0" xfId="0" applyFill="1"/>
    <xf numFmtId="0" fontId="0" fillId="5" borderId="0" xfId="0" applyFill="1" applyProtection="1">
      <protection locked="0"/>
    </xf>
    <xf numFmtId="1" fontId="0" fillId="0" borderId="1" xfId="0" applyNumberFormat="1" applyBorder="1"/>
    <xf numFmtId="8" fontId="2" fillId="0" borderId="0" xfId="0" quotePrefix="1" applyNumberFormat="1" applyFont="1"/>
    <xf numFmtId="44" fontId="0" fillId="0" borderId="1" xfId="1" applyFont="1" applyBorder="1" applyAlignment="1">
      <alignment horizontal="center"/>
    </xf>
    <xf numFmtId="44" fontId="0" fillId="6" borderId="1" xfId="1" applyFont="1" applyFill="1" applyBorder="1" applyAlignment="1" applyProtection="1">
      <alignment horizontal="center"/>
      <protection locked="0"/>
    </xf>
    <xf numFmtId="164" fontId="0" fillId="6" borderId="1" xfId="2" applyNumberFormat="1" applyFont="1" applyFill="1" applyBorder="1" applyAlignment="1" applyProtection="1">
      <alignment horizontal="center"/>
      <protection locked="0"/>
    </xf>
    <xf numFmtId="164" fontId="0" fillId="0" borderId="1" xfId="2" applyNumberFormat="1" applyFont="1" applyBorder="1" applyAlignment="1">
      <alignment horizontal="center"/>
    </xf>
    <xf numFmtId="164" fontId="0" fillId="0" borderId="1" xfId="2" applyNumberFormat="1" applyFont="1" applyBorder="1"/>
    <xf numFmtId="44" fontId="0" fillId="0" borderId="1" xfId="1" applyFont="1" applyBorder="1" applyAlignment="1" applyProtection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9" defaultPivotStyle="PivotStyleLight16"/>
  <colors>
    <mruColors>
      <color rgb="FFCC0000"/>
      <color rgb="FFCC66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80F-BA49-AB02-722AC5D9F09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80F-BA49-AB02-722AC5D9F09A}"/>
              </c:ext>
            </c:extLst>
          </c:dPt>
          <c:cat>
            <c:strRef>
              <c:f>'Roue de fortune'!$C$24:$C$25</c:f>
              <c:strCache>
                <c:ptCount val="2"/>
                <c:pt idx="0">
                  <c:v>vous gagnez un voyage d'une semaine pour deux à Paris</c:v>
                </c:pt>
                <c:pt idx="1">
                  <c:v>vous ne gagnez rien</c:v>
                </c:pt>
              </c:strCache>
            </c:strRef>
          </c:cat>
          <c:val>
            <c:numRef>
              <c:f>'Roue de fortune'!$C$41:$C$42</c:f>
              <c:numCache>
                <c:formatCode>General</c:formatCode>
                <c:ptCount val="2"/>
                <c:pt idx="0">
                  <c:v>75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F-BA49-AB02-722AC5D9F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4009970065217259"/>
          <c:y val="0.38913733768284026"/>
          <c:w val="0.33650999217203115"/>
          <c:h val="0.50225319047145101"/>
        </c:manualLayout>
      </c:layout>
      <c:overlay val="0"/>
      <c:txPr>
        <a:bodyPr/>
        <a:lstStyle/>
        <a:p>
          <a:pPr>
            <a:defRPr sz="2000" baseline="0"/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12"/>
          </c:marker>
          <c:xVal>
            <c:numRef>
              <c:f>'Points de l''expert'!$C$6:$C$14</c:f>
              <c:numCache>
                <c:formatCode>_("$"* #,##0.00_);_("$"* \(#,##0.00\);_("$"* "-"??_);_(@_)</c:formatCode>
                <c:ptCount val="9"/>
                <c:pt idx="0">
                  <c:v>100</c:v>
                </c:pt>
                <c:pt idx="1">
                  <c:v>125</c:v>
                </c:pt>
                <c:pt idx="2">
                  <c:v>150</c:v>
                </c:pt>
                <c:pt idx="3">
                  <c:v>175</c:v>
                </c:pt>
                <c:pt idx="4">
                  <c:v>200</c:v>
                </c:pt>
                <c:pt idx="5">
                  <c:v>225</c:v>
                </c:pt>
                <c:pt idx="6">
                  <c:v>250</c:v>
                </c:pt>
                <c:pt idx="7">
                  <c:v>275</c:v>
                </c:pt>
                <c:pt idx="8">
                  <c:v>300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0.18</c:v>
                </c:pt>
                <c:pt idx="2">
                  <c:v>0.36</c:v>
                </c:pt>
                <c:pt idx="3">
                  <c:v>0.47</c:v>
                </c:pt>
                <c:pt idx="4">
                  <c:v>0.57999999999999996</c:v>
                </c:pt>
                <c:pt idx="5">
                  <c:v>0.66500000000000004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A-5749-B6DA-5BFF90271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14128"/>
        <c:axId val="468314520"/>
      </c:scatterChart>
      <c:valAx>
        <c:axId val="468314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fr-CA" sz="1400"/>
                  <a:t>Montant dans le sac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68314520"/>
        <c:crosses val="autoZero"/>
        <c:crossBetween val="midCat"/>
      </c:valAx>
      <c:valAx>
        <c:axId val="468314520"/>
        <c:scaling>
          <c:orientation val="minMax"/>
          <c:max val="1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Probabilité cumulative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468314128"/>
        <c:crosses val="autoZero"/>
        <c:crossBetween val="midCat"/>
        <c:majorUnit val="0.1"/>
        <c:minorUnit val="0.05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Points de l'expert</c:v>
          </c:tx>
          <c:spPr>
            <a:ln>
              <a:noFill/>
            </a:ln>
          </c:spPr>
          <c:xVal>
            <c:numRef>
              <c:f>'Points de l''expert'!$C$6:$C$14</c:f>
              <c:numCache>
                <c:formatCode>_("$"* #,##0.00_);_("$"* \(#,##0.00\);_("$"* "-"??_);_(@_)</c:formatCode>
                <c:ptCount val="9"/>
                <c:pt idx="0">
                  <c:v>100</c:v>
                </c:pt>
                <c:pt idx="1">
                  <c:v>125</c:v>
                </c:pt>
                <c:pt idx="2">
                  <c:v>150</c:v>
                </c:pt>
                <c:pt idx="3">
                  <c:v>175</c:v>
                </c:pt>
                <c:pt idx="4">
                  <c:v>200</c:v>
                </c:pt>
                <c:pt idx="5">
                  <c:v>225</c:v>
                </c:pt>
                <c:pt idx="6">
                  <c:v>250</c:v>
                </c:pt>
                <c:pt idx="7">
                  <c:v>275</c:v>
                </c:pt>
                <c:pt idx="8">
                  <c:v>300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0.18</c:v>
                </c:pt>
                <c:pt idx="2">
                  <c:v>0.36</c:v>
                </c:pt>
                <c:pt idx="3">
                  <c:v>0.47</c:v>
                </c:pt>
                <c:pt idx="4">
                  <c:v>0.57999999999999996</c:v>
                </c:pt>
                <c:pt idx="5">
                  <c:v>0.66500000000000004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E-7442-989D-0AFCFEC0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07856"/>
        <c:axId val="465542168"/>
      </c:scatterChart>
      <c:scatterChart>
        <c:scatterStyle val="lineMarker"/>
        <c:varyColors val="0"/>
        <c:ser>
          <c:idx val="0"/>
          <c:order val="0"/>
          <c:tx>
            <c:v>Fonction estimée</c:v>
          </c:tx>
          <c:marker>
            <c:symbol val="none"/>
          </c:marker>
          <c:xVal>
            <c:numRef>
              <c:f>'Estimation par Fit (Bêta)'!$C$30:$C$50</c:f>
              <c:numCache>
                <c:formatCode>General</c:formatCode>
                <c:ptCount val="21"/>
                <c:pt idx="0" formatCode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</c:numCache>
            </c:numRef>
          </c:xVal>
          <c:yVal>
            <c:numRef>
              <c:f>'Estimation par Fit (Bêta)'!$D$30:$D$50</c:f>
              <c:numCache>
                <c:formatCode>General</c:formatCode>
                <c:ptCount val="21"/>
                <c:pt idx="0">
                  <c:v>0</c:v>
                </c:pt>
                <c:pt idx="1">
                  <c:v>7.0849057816508743E-2</c:v>
                </c:pt>
                <c:pt idx="2">
                  <c:v>0.14002798502839608</c:v>
                </c:pt>
                <c:pt idx="3">
                  <c:v>0.20665571694370091</c:v>
                </c:pt>
                <c:pt idx="4">
                  <c:v>0.27055376853826085</c:v>
                </c:pt>
                <c:pt idx="5">
                  <c:v>0.33164897283176553</c:v>
                </c:pt>
                <c:pt idx="6">
                  <c:v>0.38990902388597232</c:v>
                </c:pt>
                <c:pt idx="7">
                  <c:v>0.44532250551465441</c:v>
                </c:pt>
                <c:pt idx="8">
                  <c:v>0.49789053409135997</c:v>
                </c:pt>
                <c:pt idx="9">
                  <c:v>0.54762263241042752</c:v>
                </c:pt>
                <c:pt idx="10">
                  <c:v>0.59453447085482569</c:v>
                </c:pt>
                <c:pt idx="11">
                  <c:v>0.63864654756598893</c:v>
                </c:pt>
                <c:pt idx="12">
                  <c:v>0.67998338991055696</c:v>
                </c:pt>
                <c:pt idx="13">
                  <c:v>0.71857307036267515</c:v>
                </c:pt>
                <c:pt idx="14">
                  <c:v>0.75444692726661866</c:v>
                </c:pt>
                <c:pt idx="15">
                  <c:v>0.78763943021581251</c:v>
                </c:pt>
                <c:pt idx="16">
                  <c:v>0.81818815695705327</c:v>
                </c:pt>
                <c:pt idx="17">
                  <c:v>0.84613386522935952</c:v>
                </c:pt>
                <c:pt idx="18">
                  <c:v>0.87152065433304005</c:v>
                </c:pt>
                <c:pt idx="19">
                  <c:v>0.89439622058494783</c:v>
                </c:pt>
                <c:pt idx="20">
                  <c:v>0.91481222029475284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AE-7442-989D-0AFCFEC047A5}"/>
            </c:ext>
          </c:extLst>
        </c:ser>
        <c:ser>
          <c:idx val="2"/>
          <c:order val="2"/>
          <c:tx>
            <c:v>Densité estimée</c:v>
          </c:tx>
          <c:marker>
            <c:symbol val="none"/>
          </c:marker>
          <c:xVal>
            <c:numRef>
              <c:f>'Estimation par Fit (Bêta)'!$C$30:$C$50</c:f>
              <c:numCache>
                <c:formatCode>General</c:formatCode>
                <c:ptCount val="21"/>
                <c:pt idx="0" formatCode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</c:numCache>
            </c:numRef>
          </c:xVal>
          <c:yVal>
            <c:numRef>
              <c:f>'Estimation par Fit (Bêta)'!$E$30:$E$50</c:f>
              <c:numCache>
                <c:formatCode>General</c:formatCode>
                <c:ptCount val="21"/>
                <c:pt idx="0">
                  <c:v>0.71409828403947562</c:v>
                </c:pt>
                <c:pt idx="1">
                  <c:v>0.67034807830799348</c:v>
                </c:pt>
                <c:pt idx="2">
                  <c:v>0.62701151877738703</c:v>
                </c:pt>
                <c:pt idx="3">
                  <c:v>0.58414160437095897</c:v>
                </c:pt>
                <c:pt idx="4">
                  <c:v>0.54178820140184447</c:v>
                </c:pt>
                <c:pt idx="5">
                  <c:v>0.5</c:v>
                </c:pt>
                <c:pt idx="6">
                  <c:v>0.45882609952328002</c:v>
                </c:pt>
                <c:pt idx="7">
                  <c:v>0.41831743152808731</c:v>
                </c:pt>
                <c:pt idx="8">
                  <c:v>0.37852817677713296</c:v>
                </c:pt>
                <c:pt idx="9">
                  <c:v>0.33951731896274578</c:v>
                </c:pt>
                <c:pt idx="10">
                  <c:v>0.30135049518696089</c:v>
                </c:pt>
                <c:pt idx="11">
                  <c:v>0.26410235670267357</c:v>
                </c:pt>
                <c:pt idx="12">
                  <c:v>0.22785976265178212</c:v>
                </c:pt>
                <c:pt idx="13">
                  <c:v>0.19272634146709347</c:v>
                </c:pt>
                <c:pt idx="14">
                  <c:v>0.15882937857298723</c:v>
                </c:pt>
                <c:pt idx="15">
                  <c:v>0.12633089745770251</c:v>
                </c:pt>
                <c:pt idx="16">
                  <c:v>9.5446952362902765E-2</c:v>
                </c:pt>
                <c:pt idx="17">
                  <c:v>6.648501044744981E-2</c:v>
                </c:pt>
                <c:pt idx="18">
                  <c:v>3.9928932113586564E-2</c:v>
                </c:pt>
                <c:pt idx="19">
                  <c:v>1.6694543852453062E-2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AE-7442-989D-0AFCFEC0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07856"/>
        <c:axId val="465542168"/>
      </c:scatterChart>
      <c:valAx>
        <c:axId val="468307856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65542168"/>
        <c:crosses val="autoZero"/>
        <c:crossBetween val="midCat"/>
      </c:valAx>
      <c:valAx>
        <c:axId val="465542168"/>
        <c:scaling>
          <c:orientation val="minMax"/>
          <c:max val="1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68307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Points de l'expert</c:v>
          </c:tx>
          <c:spPr>
            <a:ln>
              <a:noFill/>
            </a:ln>
          </c:spPr>
          <c:xVal>
            <c:numRef>
              <c:f>'Points de l''expert'!$C$6:$C$14</c:f>
              <c:numCache>
                <c:formatCode>_("$"* #,##0.00_);_("$"* \(#,##0.00\);_("$"* "-"??_);_(@_)</c:formatCode>
                <c:ptCount val="9"/>
                <c:pt idx="0">
                  <c:v>100</c:v>
                </c:pt>
                <c:pt idx="1">
                  <c:v>125</c:v>
                </c:pt>
                <c:pt idx="2">
                  <c:v>150</c:v>
                </c:pt>
                <c:pt idx="3">
                  <c:v>175</c:v>
                </c:pt>
                <c:pt idx="4">
                  <c:v>200</c:v>
                </c:pt>
                <c:pt idx="5">
                  <c:v>225</c:v>
                </c:pt>
                <c:pt idx="6">
                  <c:v>250</c:v>
                </c:pt>
                <c:pt idx="7">
                  <c:v>275</c:v>
                </c:pt>
                <c:pt idx="8">
                  <c:v>300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0.18</c:v>
                </c:pt>
                <c:pt idx="2">
                  <c:v>0.36</c:v>
                </c:pt>
                <c:pt idx="3">
                  <c:v>0.47</c:v>
                </c:pt>
                <c:pt idx="4">
                  <c:v>0.57999999999999996</c:v>
                </c:pt>
                <c:pt idx="5">
                  <c:v>0.66500000000000004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BE-594E-B33B-8E1B74F2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44840"/>
        <c:axId val="467540920"/>
      </c:scatterChart>
      <c:scatterChart>
        <c:scatterStyle val="lineMarker"/>
        <c:varyColors val="0"/>
        <c:ser>
          <c:idx val="0"/>
          <c:order val="0"/>
          <c:tx>
            <c:v>Fonction estimée</c:v>
          </c:tx>
          <c:marker>
            <c:symbol val="none"/>
          </c:marker>
          <c:xVal>
            <c:numRef>
              <c:f>'Estimation par Fit (PWL)'!$C$6:$C$14</c:f>
              <c:numCache>
                <c:formatCode>General</c:formatCode>
                <c:ptCount val="9"/>
                <c:pt idx="0">
                  <c:v>100</c:v>
                </c:pt>
                <c:pt idx="1">
                  <c:v>125</c:v>
                </c:pt>
                <c:pt idx="2">
                  <c:v>150</c:v>
                </c:pt>
                <c:pt idx="3">
                  <c:v>175</c:v>
                </c:pt>
                <c:pt idx="4">
                  <c:v>200</c:v>
                </c:pt>
                <c:pt idx="5">
                  <c:v>225</c:v>
                </c:pt>
                <c:pt idx="6">
                  <c:v>250</c:v>
                </c:pt>
                <c:pt idx="7">
                  <c:v>275</c:v>
                </c:pt>
                <c:pt idx="8">
                  <c:v>300</c:v>
                </c:pt>
              </c:numCache>
            </c:numRef>
          </c:xVal>
          <c:yVal>
            <c:numRef>
              <c:f>'Estimation par Fit (PWL)'!$D$6:$D$14</c:f>
              <c:numCache>
                <c:formatCode>General</c:formatCode>
                <c:ptCount val="9"/>
                <c:pt idx="0">
                  <c:v>0</c:v>
                </c:pt>
                <c:pt idx="1">
                  <c:v>0.18</c:v>
                </c:pt>
                <c:pt idx="2">
                  <c:v>0.36</c:v>
                </c:pt>
                <c:pt idx="3">
                  <c:v>0.47</c:v>
                </c:pt>
                <c:pt idx="4">
                  <c:v>0.57999999999999996</c:v>
                </c:pt>
                <c:pt idx="5">
                  <c:v>0.66500000000000004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BE-594E-B33B-8E1B74F29EAF}"/>
            </c:ext>
          </c:extLst>
        </c:ser>
        <c:ser>
          <c:idx val="2"/>
          <c:order val="2"/>
          <c:tx>
            <c:v>Densité estimée</c:v>
          </c:tx>
          <c:marker>
            <c:symbol val="none"/>
          </c:marker>
          <c:xVal>
            <c:numRef>
              <c:f>'Estimation par Fit (PWL)'!$H$6:$H$21</c:f>
              <c:numCache>
                <c:formatCode>General</c:formatCode>
                <c:ptCount val="16"/>
                <c:pt idx="0">
                  <c:v>100</c:v>
                </c:pt>
                <c:pt idx="1">
                  <c:v>125</c:v>
                </c:pt>
                <c:pt idx="2">
                  <c:v>125</c:v>
                </c:pt>
                <c:pt idx="3">
                  <c:v>150</c:v>
                </c:pt>
                <c:pt idx="4">
                  <c:v>150</c:v>
                </c:pt>
                <c:pt idx="5">
                  <c:v>175</c:v>
                </c:pt>
                <c:pt idx="6">
                  <c:v>175</c:v>
                </c:pt>
                <c:pt idx="7">
                  <c:v>200</c:v>
                </c:pt>
                <c:pt idx="8">
                  <c:v>200</c:v>
                </c:pt>
                <c:pt idx="9">
                  <c:v>225</c:v>
                </c:pt>
                <c:pt idx="10">
                  <c:v>225</c:v>
                </c:pt>
                <c:pt idx="11">
                  <c:v>250</c:v>
                </c:pt>
                <c:pt idx="12">
                  <c:v>250</c:v>
                </c:pt>
                <c:pt idx="13">
                  <c:v>275</c:v>
                </c:pt>
                <c:pt idx="14">
                  <c:v>275</c:v>
                </c:pt>
                <c:pt idx="15">
                  <c:v>300</c:v>
                </c:pt>
              </c:numCache>
            </c:numRef>
          </c:xVal>
          <c:yVal>
            <c:numRef>
              <c:f>'Estimation par Fit (PWL)'!$I$6:$I$21</c:f>
              <c:numCache>
                <c:formatCode>General</c:formatCode>
                <c:ptCount val="16"/>
                <c:pt idx="0">
                  <c:v>0.72</c:v>
                </c:pt>
                <c:pt idx="1">
                  <c:v>0.72</c:v>
                </c:pt>
                <c:pt idx="2">
                  <c:v>0.72</c:v>
                </c:pt>
                <c:pt idx="3">
                  <c:v>0.72</c:v>
                </c:pt>
                <c:pt idx="4">
                  <c:v>0.43999999999999995</c:v>
                </c:pt>
                <c:pt idx="5">
                  <c:v>0.43999999999999995</c:v>
                </c:pt>
                <c:pt idx="6">
                  <c:v>0.43999999999999995</c:v>
                </c:pt>
                <c:pt idx="7">
                  <c:v>0.43999999999999995</c:v>
                </c:pt>
                <c:pt idx="8">
                  <c:v>0.3400000000000003</c:v>
                </c:pt>
                <c:pt idx="9">
                  <c:v>0.3400000000000003</c:v>
                </c:pt>
                <c:pt idx="10">
                  <c:v>0.33999999999999986</c:v>
                </c:pt>
                <c:pt idx="11">
                  <c:v>0.33999999999999986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BE-594E-B33B-8E1B74F2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44840"/>
        <c:axId val="467540920"/>
      </c:scatterChart>
      <c:valAx>
        <c:axId val="467544840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67540920"/>
        <c:crosses val="autoZero"/>
        <c:crossBetween val="midCat"/>
      </c:valAx>
      <c:valAx>
        <c:axId val="467540920"/>
        <c:scaling>
          <c:orientation val="minMax"/>
          <c:max val="1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67544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Scroll" dx="15" fmlaLink="$C$42" max="100" page="10" val="2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17</xdr:row>
      <xdr:rowOff>38100</xdr:rowOff>
    </xdr:from>
    <xdr:to>
      <xdr:col>11</xdr:col>
      <xdr:colOff>219075</xdr:colOff>
      <xdr:row>37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18</xdr:row>
          <xdr:rowOff>28575</xdr:rowOff>
        </xdr:from>
        <xdr:to>
          <xdr:col>0</xdr:col>
          <xdr:colOff>1228725</xdr:colOff>
          <xdr:row>36</xdr:row>
          <xdr:rowOff>66675</xdr:rowOff>
        </xdr:to>
        <xdr:sp macro="" textlink="">
          <xdr:nvSpPr>
            <xdr:cNvPr id="3076" name="Scroll Ba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103228</xdr:colOff>
      <xdr:row>26</xdr:row>
      <xdr:rowOff>159290</xdr:rowOff>
    </xdr:from>
    <xdr:to>
      <xdr:col>2</xdr:col>
      <xdr:colOff>260110</xdr:colOff>
      <xdr:row>27</xdr:row>
      <xdr:rowOff>125673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57628" y="5150390"/>
          <a:ext cx="156882" cy="156883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4</xdr:col>
      <xdr:colOff>350752</xdr:colOff>
      <xdr:row>26</xdr:row>
      <xdr:rowOff>87923</xdr:rowOff>
    </xdr:from>
    <xdr:to>
      <xdr:col>5</xdr:col>
      <xdr:colOff>277482</xdr:colOff>
      <xdr:row>28</xdr:row>
      <xdr:rowOff>7327</xdr:rowOff>
    </xdr:to>
    <xdr:sp macro="" textlink="">
      <xdr:nvSpPr>
        <xdr:cNvPr id="4" name="Flèche gauch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440549" y="5082595"/>
          <a:ext cx="533949" cy="300404"/>
        </a:xfrm>
        <a:prstGeom prst="lef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1297781</xdr:colOff>
      <xdr:row>17</xdr:row>
      <xdr:rowOff>130969</xdr:rowOff>
    </xdr:from>
    <xdr:to>
      <xdr:col>5</xdr:col>
      <xdr:colOff>267890</xdr:colOff>
      <xdr:row>36</xdr:row>
      <xdr:rowOff>172641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97781" y="3411141"/>
          <a:ext cx="3667125" cy="3661172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oneCellAnchor>
    <xdr:from>
      <xdr:col>5</xdr:col>
      <xdr:colOff>280147</xdr:colOff>
      <xdr:row>19</xdr:row>
      <xdr:rowOff>158715</xdr:rowOff>
    </xdr:from>
    <xdr:ext cx="3518648" cy="681725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86618" y="3823039"/>
          <a:ext cx="3518648" cy="6817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CA" sz="2800" b="1" cap="none" spc="0">
              <a:ln w="1905">
                <a:solidFill>
                  <a:srgbClr val="CC6600"/>
                </a:solidFill>
              </a:ln>
              <a:solidFill>
                <a:srgbClr val="FFCC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Tournez la roue</a:t>
          </a:r>
          <a:r>
            <a:rPr lang="fr-CA" sz="2800" b="1" cap="none" spc="0" baseline="0">
              <a:ln w="1905">
                <a:solidFill>
                  <a:srgbClr val="CC6600"/>
                </a:solidFill>
              </a:ln>
              <a:solidFill>
                <a:srgbClr val="FFCC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!!!</a:t>
          </a:r>
          <a:endParaRPr lang="fr-CA" sz="2800" b="1" cap="none" spc="0">
            <a:ln w="1905">
              <a:solidFill>
                <a:srgbClr val="CC6600"/>
              </a:solidFill>
            </a:ln>
            <a:solidFill>
              <a:srgbClr val="FFCC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</xdr:row>
      <xdr:rowOff>171450</xdr:rowOff>
    </xdr:from>
    <xdr:to>
      <xdr:col>18</xdr:col>
      <xdr:colOff>180975</xdr:colOff>
      <xdr:row>29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495301</xdr:colOff>
      <xdr:row>0</xdr:row>
      <xdr:rowOff>142874</xdr:rowOff>
    </xdr:from>
    <xdr:to>
      <xdr:col>13</xdr:col>
      <xdr:colOff>409575</xdr:colOff>
      <xdr:row>19</xdr:row>
      <xdr:rowOff>107269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91101" y="142874"/>
          <a:ext cx="4181474" cy="4231595"/>
        </a:xfrm>
        <a:prstGeom prst="rect">
          <a:avLst/>
        </a:prstGeom>
      </xdr:spPr>
    </xdr:pic>
    <xdr:clientData/>
  </xdr:twoCellAnchor>
  <xdr:twoCellAnchor>
    <xdr:from>
      <xdr:col>5</xdr:col>
      <xdr:colOff>533400</xdr:colOff>
      <xdr:row>21</xdr:row>
      <xdr:rowOff>180975</xdr:rowOff>
    </xdr:from>
    <xdr:to>
      <xdr:col>18</xdr:col>
      <xdr:colOff>124691</xdr:colOff>
      <xdr:row>50</xdr:row>
      <xdr:rowOff>174913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76200</xdr:rowOff>
    </xdr:from>
    <xdr:to>
      <xdr:col>18</xdr:col>
      <xdr:colOff>542669</xdr:colOff>
      <xdr:row>25</xdr:row>
      <xdr:rowOff>174913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2"/>
  <sheetViews>
    <sheetView topLeftCell="A8" zoomScaleNormal="100" workbookViewId="0">
      <selection activeCell="D8" sqref="D8"/>
    </sheetView>
  </sheetViews>
  <sheetFormatPr baseColWidth="10" defaultColWidth="9.140625" defaultRowHeight="15" x14ac:dyDescent="0.25"/>
  <cols>
    <col min="1" max="1" width="42.140625" customWidth="1"/>
    <col min="2" max="2" width="3.140625" customWidth="1"/>
    <col min="3" max="3" width="12.7109375" customWidth="1"/>
    <col min="4" max="4" width="8" customWidth="1"/>
    <col min="5" max="5" width="9.85546875" bestFit="1" customWidth="1"/>
  </cols>
  <sheetData>
    <row r="1" spans="1:6" ht="23.25" x14ac:dyDescent="0.35">
      <c r="A1" s="4" t="s">
        <v>1</v>
      </c>
    </row>
    <row r="3" spans="1:6" ht="21" x14ac:dyDescent="0.35">
      <c r="A3" s="3" t="s">
        <v>11</v>
      </c>
      <c r="B3" s="3" t="s">
        <v>3</v>
      </c>
      <c r="C3" s="3" t="s">
        <v>12</v>
      </c>
      <c r="D3" s="13">
        <v>250</v>
      </c>
      <c r="E3" s="19" t="s">
        <v>34</v>
      </c>
      <c r="F3" s="3"/>
    </row>
    <row r="4" spans="1:6" hidden="1" x14ac:dyDescent="0.25">
      <c r="A4" t="s">
        <v>2</v>
      </c>
      <c r="B4" t="s">
        <v>3</v>
      </c>
      <c r="C4" s="1" t="str">
        <f>CONCATENATE("le sac contient moins de ",D3,E3)</f>
        <v>le sac contient moins de 250$</v>
      </c>
    </row>
    <row r="5" spans="1:6" hidden="1" x14ac:dyDescent="0.25">
      <c r="A5" t="s">
        <v>4</v>
      </c>
      <c r="B5" t="s">
        <v>3</v>
      </c>
      <c r="C5" s="1" t="str">
        <f>CONCATENATE("le sac contient plus de ",D3,E3)</f>
        <v>le sac contient plus de 250$</v>
      </c>
    </row>
    <row r="6" spans="1:6" hidden="1" x14ac:dyDescent="0.25">
      <c r="A6" t="s">
        <v>5</v>
      </c>
      <c r="B6" t="s">
        <v>6</v>
      </c>
      <c r="C6" s="1" t="s">
        <v>35</v>
      </c>
    </row>
    <row r="7" spans="1:6" hidden="1" x14ac:dyDescent="0.25">
      <c r="A7" t="s">
        <v>7</v>
      </c>
      <c r="B7" t="s">
        <v>6</v>
      </c>
      <c r="C7" s="1" t="s">
        <v>21</v>
      </c>
    </row>
    <row r="9" spans="1:6" ht="21" x14ac:dyDescent="0.35">
      <c r="A9" s="2" t="s">
        <v>8</v>
      </c>
    </row>
    <row r="10" spans="1:6" ht="21" x14ac:dyDescent="0.35">
      <c r="A10" s="3" t="str">
        <f>CONCATENATE("Si ",C4,", ",C6)</f>
        <v>Si le sac contient moins de 250$, vous gagnez un voyage d'une semaine pour deux à Paris</v>
      </c>
    </row>
    <row r="11" spans="1:6" ht="21" x14ac:dyDescent="0.35">
      <c r="A11" s="3" t="str">
        <f>CONCATENATE("Si ",C5,", ",C7)</f>
        <v>Si le sac contient plus de 250$, vous ne gagnez rien</v>
      </c>
    </row>
    <row r="12" spans="1:6" ht="21" x14ac:dyDescent="0.35">
      <c r="A12" s="3"/>
    </row>
    <row r="13" spans="1:6" ht="21" x14ac:dyDescent="0.35">
      <c r="A13" s="2" t="s">
        <v>9</v>
      </c>
    </row>
    <row r="14" spans="1:6" ht="21" x14ac:dyDescent="0.35">
      <c r="A14" s="3" t="s">
        <v>10</v>
      </c>
    </row>
    <row r="15" spans="1:6" ht="21" x14ac:dyDescent="0.35">
      <c r="A15" s="3"/>
    </row>
    <row r="16" spans="1:6" ht="21" x14ac:dyDescent="0.35">
      <c r="A16" s="3" t="s">
        <v>14</v>
      </c>
    </row>
    <row r="24" spans="3:3" x14ac:dyDescent="0.25">
      <c r="C24" t="str">
        <f>C6</f>
        <v>vous gagnez un voyage d'une semaine pour deux à Paris</v>
      </c>
    </row>
    <row r="25" spans="3:3" x14ac:dyDescent="0.25">
      <c r="C25" t="str">
        <f>C7</f>
        <v>vous ne gagnez rien</v>
      </c>
    </row>
    <row r="40" spans="1:4" ht="21" x14ac:dyDescent="0.35">
      <c r="A40" s="3" t="s">
        <v>15</v>
      </c>
    </row>
    <row r="41" spans="1:4" x14ac:dyDescent="0.25">
      <c r="A41" t="str">
        <f>CONCATENATE("P(",C4,")")</f>
        <v>P(le sac contient moins de 250$)</v>
      </c>
      <c r="B41" t="s">
        <v>6</v>
      </c>
      <c r="C41">
        <f>100-C42</f>
        <v>75</v>
      </c>
      <c r="D41" t="s">
        <v>13</v>
      </c>
    </row>
    <row r="42" spans="1:4" x14ac:dyDescent="0.25">
      <c r="A42" t="str">
        <f>CONCATENATE("P(",C5,")")</f>
        <v>P(le sac contient plus de 250$)</v>
      </c>
      <c r="B42" t="s">
        <v>6</v>
      </c>
      <c r="C42" s="14">
        <v>25</v>
      </c>
      <c r="D42" t="s">
        <v>13</v>
      </c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Scroll Bar 4">
              <controlPr defaultSize="0" autoPict="0">
                <anchor moveWithCells="1">
                  <from>
                    <xdr:col>0</xdr:col>
                    <xdr:colOff>333375</xdr:colOff>
                    <xdr:row>18</xdr:row>
                    <xdr:rowOff>28575</xdr:rowOff>
                  </from>
                  <to>
                    <xdr:col>0</xdr:col>
                    <xdr:colOff>1228725</xdr:colOff>
                    <xdr:row>36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4"/>
  <sheetViews>
    <sheetView topLeftCell="A4" zoomScale="120" zoomScaleNormal="120" workbookViewId="0">
      <selection activeCell="D10" sqref="D10"/>
    </sheetView>
  </sheetViews>
  <sheetFormatPr baseColWidth="10" defaultColWidth="9.140625" defaultRowHeight="15" x14ac:dyDescent="0.25"/>
  <cols>
    <col min="3" max="3" width="17.7109375" customWidth="1"/>
    <col min="4" max="4" width="14.140625" customWidth="1"/>
  </cols>
  <sheetData>
    <row r="2" spans="2:4" ht="21" x14ac:dyDescent="0.35">
      <c r="B2" s="3" t="s">
        <v>0</v>
      </c>
    </row>
    <row r="5" spans="2:4" ht="74.25" customHeight="1" x14ac:dyDescent="0.25">
      <c r="B5" s="5" t="s">
        <v>16</v>
      </c>
      <c r="C5" s="6" t="s">
        <v>36</v>
      </c>
      <c r="D5" s="6" t="s">
        <v>37</v>
      </c>
    </row>
    <row r="6" spans="2:4" x14ac:dyDescent="0.25">
      <c r="B6" s="8">
        <v>1</v>
      </c>
      <c r="C6" s="21">
        <v>100</v>
      </c>
      <c r="D6" s="23">
        <v>0</v>
      </c>
    </row>
    <row r="7" spans="2:4" x14ac:dyDescent="0.25">
      <c r="B7" s="8">
        <v>2</v>
      </c>
      <c r="C7" s="25">
        <f>C6+($C$14-$C$6)/($B$14-1)</f>
        <v>125</v>
      </c>
      <c r="D7" s="22">
        <f>(D6+D8)/2</f>
        <v>0.18</v>
      </c>
    </row>
    <row r="8" spans="2:4" x14ac:dyDescent="0.25">
      <c r="B8" s="12">
        <v>3</v>
      </c>
      <c r="C8" s="20">
        <f t="shared" ref="C8:C13" si="0">C7+($C$14-$C$6)/($B$14-1)</f>
        <v>150</v>
      </c>
      <c r="D8" s="22">
        <v>0.36</v>
      </c>
    </row>
    <row r="9" spans="2:4" x14ac:dyDescent="0.25">
      <c r="B9" s="12">
        <v>4</v>
      </c>
      <c r="C9" s="20">
        <f t="shared" si="0"/>
        <v>175</v>
      </c>
      <c r="D9" s="22">
        <f>(D8+D10)/2</f>
        <v>0.47</v>
      </c>
    </row>
    <row r="10" spans="2:4" x14ac:dyDescent="0.25">
      <c r="B10" s="12">
        <v>5</v>
      </c>
      <c r="C10" s="20">
        <f t="shared" si="0"/>
        <v>200</v>
      </c>
      <c r="D10" s="22">
        <v>0.57999999999999996</v>
      </c>
    </row>
    <row r="11" spans="2:4" x14ac:dyDescent="0.25">
      <c r="B11" s="12">
        <v>6</v>
      </c>
      <c r="C11" s="20">
        <f t="shared" si="0"/>
        <v>225</v>
      </c>
      <c r="D11" s="22">
        <f>(D10+D12)/2</f>
        <v>0.66500000000000004</v>
      </c>
    </row>
    <row r="12" spans="2:4" x14ac:dyDescent="0.25">
      <c r="B12" s="12">
        <v>7</v>
      </c>
      <c r="C12" s="20">
        <f t="shared" si="0"/>
        <v>250</v>
      </c>
      <c r="D12" s="22">
        <v>0.75</v>
      </c>
    </row>
    <row r="13" spans="2:4" x14ac:dyDescent="0.25">
      <c r="B13" s="12">
        <v>8</v>
      </c>
      <c r="C13" s="20">
        <f t="shared" si="0"/>
        <v>275</v>
      </c>
      <c r="D13" s="22">
        <f>(D12+D14)/2</f>
        <v>0.875</v>
      </c>
    </row>
    <row r="14" spans="2:4" x14ac:dyDescent="0.25">
      <c r="B14" s="12">
        <v>9</v>
      </c>
      <c r="C14" s="21">
        <v>300</v>
      </c>
      <c r="D14" s="23">
        <v>1</v>
      </c>
    </row>
  </sheetData>
  <sheetProtection sheet="1"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F51"/>
  <sheetViews>
    <sheetView topLeftCell="A20" workbookViewId="0">
      <selection activeCell="D51" sqref="D51"/>
    </sheetView>
  </sheetViews>
  <sheetFormatPr baseColWidth="10" defaultColWidth="9.140625" defaultRowHeight="15" x14ac:dyDescent="0.25"/>
  <cols>
    <col min="4" max="4" width="14.28515625" customWidth="1"/>
    <col min="5" max="5" width="16.42578125" customWidth="1"/>
  </cols>
  <sheetData>
    <row r="2" spans="2:6" ht="21" x14ac:dyDescent="0.35">
      <c r="B2" s="3" t="s">
        <v>0</v>
      </c>
    </row>
    <row r="5" spans="2:6" ht="60" x14ac:dyDescent="0.25">
      <c r="B5" s="5" t="s">
        <v>16</v>
      </c>
      <c r="C5" s="6" t="s">
        <v>36</v>
      </c>
      <c r="D5" s="6" t="s">
        <v>37</v>
      </c>
      <c r="E5" s="6" t="s">
        <v>25</v>
      </c>
      <c r="F5" s="15" t="s">
        <v>30</v>
      </c>
    </row>
    <row r="6" spans="2:6" x14ac:dyDescent="0.25">
      <c r="B6" s="12">
        <v>1</v>
      </c>
      <c r="C6" s="12">
        <f>'Points de l''expert'!C6</f>
        <v>100</v>
      </c>
      <c r="D6" s="23">
        <f>'Points de l''expert'!D6</f>
        <v>0</v>
      </c>
      <c r="E6" s="24">
        <f>_xlfn.BETA.DIST((C6-$C$6)/$C$14,$C$17,$C$18,TRUE)</f>
        <v>0</v>
      </c>
      <c r="F6" s="7">
        <f>(D6-E6)^2</f>
        <v>0</v>
      </c>
    </row>
    <row r="7" spans="2:6" x14ac:dyDescent="0.25">
      <c r="B7" s="12">
        <v>2</v>
      </c>
      <c r="C7" s="12">
        <f>'Points de l''expert'!C7</f>
        <v>125</v>
      </c>
      <c r="D7" s="23">
        <f>'Points de l''expert'!D7</f>
        <v>0.18</v>
      </c>
      <c r="E7" s="24">
        <f t="shared" ref="E7:E14" si="0">_xlfn.BETA.DIST((C7-$C$6)/$C$14,$C$17,$C$18,TRUE)</f>
        <v>0.17367579581751938</v>
      </c>
      <c r="F7" s="7">
        <f t="shared" ref="F7:F8" si="1">(D7-E7)^2</f>
        <v>3.999555854170529E-5</v>
      </c>
    </row>
    <row r="8" spans="2:6" x14ac:dyDescent="0.25">
      <c r="B8" s="12">
        <v>3</v>
      </c>
      <c r="C8" s="12">
        <f>'Points de l''expert'!C8</f>
        <v>150</v>
      </c>
      <c r="D8" s="23">
        <f>'Points de l''expert'!D8</f>
        <v>0.36</v>
      </c>
      <c r="E8" s="24">
        <f t="shared" si="0"/>
        <v>0.33164897283176553</v>
      </c>
      <c r="F8" s="7">
        <f t="shared" si="1"/>
        <v>8.0378074149396815E-4</v>
      </c>
    </row>
    <row r="9" spans="2:6" x14ac:dyDescent="0.25">
      <c r="B9" s="12">
        <v>4</v>
      </c>
      <c r="C9" s="12">
        <f>'Points de l''expert'!C9</f>
        <v>175</v>
      </c>
      <c r="D9" s="23">
        <f>'Points de l''expert'!D9</f>
        <v>0.47</v>
      </c>
      <c r="E9" s="24">
        <f t="shared" si="0"/>
        <v>0.47196177076157153</v>
      </c>
      <c r="F9" s="7">
        <f t="shared" ref="F9:F14" si="2">(D9-E9)^2</f>
        <v>3.8485445209570483E-6</v>
      </c>
    </row>
    <row r="10" spans="2:6" x14ac:dyDescent="0.25">
      <c r="B10" s="12">
        <v>5</v>
      </c>
      <c r="C10" s="12">
        <f>'Points de l''expert'!C10</f>
        <v>200</v>
      </c>
      <c r="D10" s="23">
        <f>'Points de l''expert'!D10</f>
        <v>0.57999999999999996</v>
      </c>
      <c r="E10" s="24">
        <f t="shared" si="0"/>
        <v>0.59453447085482569</v>
      </c>
      <c r="F10" s="7">
        <f t="shared" si="2"/>
        <v>2.1125084302977865E-4</v>
      </c>
    </row>
    <row r="11" spans="2:6" x14ac:dyDescent="0.25">
      <c r="B11" s="12">
        <v>6</v>
      </c>
      <c r="C11" s="12">
        <f>'Points de l''expert'!C11</f>
        <v>225</v>
      </c>
      <c r="D11" s="23">
        <f>'Points de l''expert'!D11</f>
        <v>0.66500000000000004</v>
      </c>
      <c r="E11" s="24">
        <f t="shared" si="0"/>
        <v>0.69961974108910097</v>
      </c>
      <c r="F11" s="7">
        <f t="shared" si="2"/>
        <v>1.1985264730763833E-3</v>
      </c>
    </row>
    <row r="12" spans="2:6" x14ac:dyDescent="0.25">
      <c r="B12" s="12">
        <v>7</v>
      </c>
      <c r="C12" s="12">
        <f>'Points de l''expert'!C12</f>
        <v>250</v>
      </c>
      <c r="D12" s="23">
        <f>'Points de l''expert'!D12</f>
        <v>0.75</v>
      </c>
      <c r="E12" s="24">
        <f t="shared" si="0"/>
        <v>0.78763943021581251</v>
      </c>
      <c r="F12" s="7">
        <f t="shared" si="2"/>
        <v>1.4167267069710196E-3</v>
      </c>
    </row>
    <row r="13" spans="2:6" x14ac:dyDescent="0.25">
      <c r="B13" s="12">
        <v>8</v>
      </c>
      <c r="C13" s="12">
        <f>'Points de l''expert'!C13</f>
        <v>275</v>
      </c>
      <c r="D13" s="23">
        <f>'Points de l''expert'!D13</f>
        <v>0.875</v>
      </c>
      <c r="E13" s="24">
        <f t="shared" si="0"/>
        <v>0.85914423164370335</v>
      </c>
      <c r="F13" s="7">
        <f t="shared" si="2"/>
        <v>2.5140539016853822E-4</v>
      </c>
    </row>
    <row r="14" spans="2:6" x14ac:dyDescent="0.25">
      <c r="B14" s="12">
        <v>9</v>
      </c>
      <c r="C14" s="12">
        <f>'Points de l''expert'!C14</f>
        <v>300</v>
      </c>
      <c r="D14" s="23">
        <f>'Points de l''expert'!D14</f>
        <v>1</v>
      </c>
      <c r="E14" s="24">
        <f t="shared" si="0"/>
        <v>0.91481222029475284</v>
      </c>
      <c r="F14" s="7">
        <f t="shared" si="2"/>
        <v>7.2569578111097198E-3</v>
      </c>
    </row>
    <row r="15" spans="2:6" x14ac:dyDescent="0.25">
      <c r="E15" t="s">
        <v>31</v>
      </c>
      <c r="F15" s="16">
        <f>SUM(F6:F14)</f>
        <v>1.1182492068912069E-2</v>
      </c>
    </row>
    <row r="16" spans="2:6" x14ac:dyDescent="0.25">
      <c r="B16" t="s">
        <v>26</v>
      </c>
    </row>
    <row r="17" spans="2:5" x14ac:dyDescent="0.25">
      <c r="B17" t="s">
        <v>27</v>
      </c>
      <c r="C17" s="17">
        <v>1.0140909674457799</v>
      </c>
    </row>
    <row r="18" spans="2:5" x14ac:dyDescent="0.25">
      <c r="B18" t="s">
        <v>28</v>
      </c>
      <c r="C18" s="17">
        <v>2.2587711834560955</v>
      </c>
    </row>
    <row r="27" spans="2:5" x14ac:dyDescent="0.25">
      <c r="B27" s="26" t="s">
        <v>17</v>
      </c>
      <c r="C27" s="27"/>
      <c r="D27" s="27"/>
      <c r="E27" s="28"/>
    </row>
    <row r="28" spans="2:5" x14ac:dyDescent="0.25">
      <c r="B28" s="7" t="s">
        <v>22</v>
      </c>
      <c r="C28" s="7">
        <f>C6</f>
        <v>100</v>
      </c>
      <c r="D28" s="7" t="s">
        <v>23</v>
      </c>
      <c r="E28" s="7">
        <f>C14</f>
        <v>300</v>
      </c>
    </row>
    <row r="29" spans="2:5" ht="34.5" customHeight="1" x14ac:dyDescent="0.25">
      <c r="B29" s="5" t="s">
        <v>24</v>
      </c>
      <c r="C29" s="5" t="s">
        <v>18</v>
      </c>
      <c r="D29" s="5" t="s">
        <v>19</v>
      </c>
      <c r="E29" s="15" t="s">
        <v>38</v>
      </c>
    </row>
    <row r="30" spans="2:5" x14ac:dyDescent="0.25">
      <c r="B30" s="7">
        <v>0</v>
      </c>
      <c r="C30" s="18">
        <f>C6</f>
        <v>100</v>
      </c>
      <c r="D30" s="7">
        <f>_xlfn.BETA.DIST((C30-$C$30)/$C$50,'Estimation par Fit (Bêta)'!$C$17,'Estimation par Fit (Bêta)'!$C$18,TRUE)</f>
        <v>0</v>
      </c>
      <c r="E30" s="7">
        <f>_xlfn.BETA.DIST(C30/$C$50,'Estimation par Fit (Bêta)'!$C$17,'Estimation par Fit (Bêta)'!$C$18,FALSE)/_xlfn.BETA.DIST(0.5,'Estimation par Fit (Bêta)'!$C$17,'Estimation par Fit (Bêta)'!$C$18,FALSE)/2</f>
        <v>0.71409828403947562</v>
      </c>
    </row>
    <row r="31" spans="2:5" x14ac:dyDescent="0.25">
      <c r="B31" s="7">
        <f t="shared" ref="B31:B50" si="3">B30+1</f>
        <v>1</v>
      </c>
      <c r="C31" s="7">
        <f>C30+($C$50-$C$30)/$B$50</f>
        <v>110</v>
      </c>
      <c r="D31" s="7">
        <f>_xlfn.BETA.DIST((C31-$C$30)/$C$50,'Estimation par Fit (Bêta)'!$C$17,'Estimation par Fit (Bêta)'!$C$18,TRUE)</f>
        <v>7.0849057816508743E-2</v>
      </c>
      <c r="E31" s="7">
        <f>_xlfn.BETA.DIST(C31/$C$50,'Estimation par Fit (Bêta)'!$C$17,'Estimation par Fit (Bêta)'!$C$18,FALSE)/_xlfn.BETA.DIST(0.5,'Estimation par Fit (Bêta)'!$C$17,'Estimation par Fit (Bêta)'!$C$18,FALSE)/2</f>
        <v>0.67034807830799348</v>
      </c>
    </row>
    <row r="32" spans="2:5" x14ac:dyDescent="0.25">
      <c r="B32" s="7">
        <f t="shared" si="3"/>
        <v>2</v>
      </c>
      <c r="C32" s="7">
        <f t="shared" ref="C32:C49" si="4">C31+($C$50-$C$30)/$B$50</f>
        <v>120</v>
      </c>
      <c r="D32" s="7">
        <f>_xlfn.BETA.DIST((C32-$C$30)/$C$50,'Estimation par Fit (Bêta)'!$C$17,'Estimation par Fit (Bêta)'!$C$18,TRUE)</f>
        <v>0.14002798502839608</v>
      </c>
      <c r="E32" s="7">
        <f>_xlfn.BETA.DIST(C32/$C$50,'Estimation par Fit (Bêta)'!$C$17,'Estimation par Fit (Bêta)'!$C$18,FALSE)/_xlfn.BETA.DIST(0.5,'Estimation par Fit (Bêta)'!$C$17,'Estimation par Fit (Bêta)'!$C$18,FALSE)/2</f>
        <v>0.62701151877738703</v>
      </c>
    </row>
    <row r="33" spans="2:5" x14ac:dyDescent="0.25">
      <c r="B33" s="7">
        <f t="shared" si="3"/>
        <v>3</v>
      </c>
      <c r="C33" s="7">
        <f t="shared" si="4"/>
        <v>130</v>
      </c>
      <c r="D33" s="7">
        <f>_xlfn.BETA.DIST((C33-$C$30)/$C$50,'Estimation par Fit (Bêta)'!$C$17,'Estimation par Fit (Bêta)'!$C$18,TRUE)</f>
        <v>0.20665571694370091</v>
      </c>
      <c r="E33" s="7">
        <f>_xlfn.BETA.DIST(C33/$C$50,'Estimation par Fit (Bêta)'!$C$17,'Estimation par Fit (Bêta)'!$C$18,FALSE)/_xlfn.BETA.DIST(0.5,'Estimation par Fit (Bêta)'!$C$17,'Estimation par Fit (Bêta)'!$C$18,FALSE)/2</f>
        <v>0.58414160437095897</v>
      </c>
    </row>
    <row r="34" spans="2:5" x14ac:dyDescent="0.25">
      <c r="B34" s="7">
        <f t="shared" si="3"/>
        <v>4</v>
      </c>
      <c r="C34" s="7">
        <f t="shared" si="4"/>
        <v>140</v>
      </c>
      <c r="D34" s="7">
        <f>_xlfn.BETA.DIST((C34-$C$30)/$C$50,'Estimation par Fit (Bêta)'!$C$17,'Estimation par Fit (Bêta)'!$C$18,TRUE)</f>
        <v>0.27055376853826085</v>
      </c>
      <c r="E34" s="7">
        <f>_xlfn.BETA.DIST(C34/$C$50,'Estimation par Fit (Bêta)'!$C$17,'Estimation par Fit (Bêta)'!$C$18,FALSE)/_xlfn.BETA.DIST(0.5,'Estimation par Fit (Bêta)'!$C$17,'Estimation par Fit (Bêta)'!$C$18,FALSE)/2</f>
        <v>0.54178820140184447</v>
      </c>
    </row>
    <row r="35" spans="2:5" x14ac:dyDescent="0.25">
      <c r="B35" s="7">
        <f t="shared" si="3"/>
        <v>5</v>
      </c>
      <c r="C35" s="7">
        <f t="shared" si="4"/>
        <v>150</v>
      </c>
      <c r="D35" s="7">
        <f>_xlfn.BETA.DIST((C35-$C$30)/$C$50,'Estimation par Fit (Bêta)'!$C$17,'Estimation par Fit (Bêta)'!$C$18,TRUE)</f>
        <v>0.33164897283176553</v>
      </c>
      <c r="E35" s="7">
        <f>_xlfn.BETA.DIST(C35/$C$50,'Estimation par Fit (Bêta)'!$C$17,'Estimation par Fit (Bêta)'!$C$18,FALSE)/_xlfn.BETA.DIST(0.5,'Estimation par Fit (Bêta)'!$C$17,'Estimation par Fit (Bêta)'!$C$18,FALSE)/2</f>
        <v>0.5</v>
      </c>
    </row>
    <row r="36" spans="2:5" x14ac:dyDescent="0.25">
      <c r="B36" s="7">
        <f t="shared" si="3"/>
        <v>6</v>
      </c>
      <c r="C36" s="7">
        <f t="shared" si="4"/>
        <v>160</v>
      </c>
      <c r="D36" s="7">
        <f>_xlfn.BETA.DIST((C36-$C$30)/$C$50,'Estimation par Fit (Bêta)'!$C$17,'Estimation par Fit (Bêta)'!$C$18,TRUE)</f>
        <v>0.38990902388597232</v>
      </c>
      <c r="E36" s="7">
        <f>_xlfn.BETA.DIST(C36/$C$50,'Estimation par Fit (Bêta)'!$C$17,'Estimation par Fit (Bêta)'!$C$18,FALSE)/_xlfn.BETA.DIST(0.5,'Estimation par Fit (Bêta)'!$C$17,'Estimation par Fit (Bêta)'!$C$18,FALSE)/2</f>
        <v>0.45882609952328002</v>
      </c>
    </row>
    <row r="37" spans="2:5" x14ac:dyDescent="0.25">
      <c r="B37" s="7">
        <f t="shared" si="3"/>
        <v>7</v>
      </c>
      <c r="C37" s="7">
        <f t="shared" si="4"/>
        <v>170</v>
      </c>
      <c r="D37" s="7">
        <f>_xlfn.BETA.DIST((C37-$C$30)/$C$50,'Estimation par Fit (Bêta)'!$C$17,'Estimation par Fit (Bêta)'!$C$18,TRUE)</f>
        <v>0.44532250551465441</v>
      </c>
      <c r="E37" s="7">
        <f>_xlfn.BETA.DIST(C37/$C$50,'Estimation par Fit (Bêta)'!$C$17,'Estimation par Fit (Bêta)'!$C$18,FALSE)/_xlfn.BETA.DIST(0.5,'Estimation par Fit (Bêta)'!$C$17,'Estimation par Fit (Bêta)'!$C$18,FALSE)/2</f>
        <v>0.41831743152808731</v>
      </c>
    </row>
    <row r="38" spans="2:5" x14ac:dyDescent="0.25">
      <c r="B38" s="7">
        <f t="shared" si="3"/>
        <v>8</v>
      </c>
      <c r="C38" s="7">
        <f t="shared" si="4"/>
        <v>180</v>
      </c>
      <c r="D38" s="7">
        <f>_xlfn.BETA.DIST((C38-$C$30)/$C$50,'Estimation par Fit (Bêta)'!$C$17,'Estimation par Fit (Bêta)'!$C$18,TRUE)</f>
        <v>0.49789053409135997</v>
      </c>
      <c r="E38" s="7">
        <f>_xlfn.BETA.DIST(C38/$C$50,'Estimation par Fit (Bêta)'!$C$17,'Estimation par Fit (Bêta)'!$C$18,FALSE)/_xlfn.BETA.DIST(0.5,'Estimation par Fit (Bêta)'!$C$17,'Estimation par Fit (Bêta)'!$C$18,FALSE)/2</f>
        <v>0.37852817677713296</v>
      </c>
    </row>
    <row r="39" spans="2:5" x14ac:dyDescent="0.25">
      <c r="B39" s="7">
        <f t="shared" si="3"/>
        <v>9</v>
      </c>
      <c r="C39" s="7">
        <f t="shared" si="4"/>
        <v>190</v>
      </c>
      <c r="D39" s="7">
        <f>_xlfn.BETA.DIST((C39-$C$30)/$C$50,'Estimation par Fit (Bêta)'!$C$17,'Estimation par Fit (Bêta)'!$C$18,TRUE)</f>
        <v>0.54762263241042752</v>
      </c>
      <c r="E39" s="7">
        <f>_xlfn.BETA.DIST(C39/$C$50,'Estimation par Fit (Bêta)'!$C$17,'Estimation par Fit (Bêta)'!$C$18,FALSE)/_xlfn.BETA.DIST(0.5,'Estimation par Fit (Bêta)'!$C$17,'Estimation par Fit (Bêta)'!$C$18,FALSE)/2</f>
        <v>0.33951731896274578</v>
      </c>
    </row>
    <row r="40" spans="2:5" x14ac:dyDescent="0.25">
      <c r="B40" s="7">
        <f t="shared" si="3"/>
        <v>10</v>
      </c>
      <c r="C40" s="7">
        <f t="shared" si="4"/>
        <v>200</v>
      </c>
      <c r="D40" s="7">
        <f>_xlfn.BETA.DIST((C40-$C$30)/$C$50,'Estimation par Fit (Bêta)'!$C$17,'Estimation par Fit (Bêta)'!$C$18,TRUE)</f>
        <v>0.59453447085482569</v>
      </c>
      <c r="E40" s="7">
        <f>_xlfn.BETA.DIST(C40/$C$50,'Estimation par Fit (Bêta)'!$C$17,'Estimation par Fit (Bêta)'!$C$18,FALSE)/_xlfn.BETA.DIST(0.5,'Estimation par Fit (Bêta)'!$C$17,'Estimation par Fit (Bêta)'!$C$18,FALSE)/2</f>
        <v>0.30135049518696089</v>
      </c>
    </row>
    <row r="41" spans="2:5" x14ac:dyDescent="0.25">
      <c r="B41" s="7">
        <f t="shared" si="3"/>
        <v>11</v>
      </c>
      <c r="C41" s="7">
        <f t="shared" si="4"/>
        <v>210</v>
      </c>
      <c r="D41" s="7">
        <f>_xlfn.BETA.DIST((C41-$C$30)/$C$50,'Estimation par Fit (Bêta)'!$C$17,'Estimation par Fit (Bêta)'!$C$18,TRUE)</f>
        <v>0.63864654756598893</v>
      </c>
      <c r="E41" s="7">
        <f>_xlfn.BETA.DIST(C41/$C$50,'Estimation par Fit (Bêta)'!$C$17,'Estimation par Fit (Bêta)'!$C$18,FALSE)/_xlfn.BETA.DIST(0.5,'Estimation par Fit (Bêta)'!$C$17,'Estimation par Fit (Bêta)'!$C$18,FALSE)/2</f>
        <v>0.26410235670267357</v>
      </c>
    </row>
    <row r="42" spans="2:5" x14ac:dyDescent="0.25">
      <c r="B42" s="7">
        <f t="shared" si="3"/>
        <v>12</v>
      </c>
      <c r="C42" s="7">
        <f t="shared" si="4"/>
        <v>220</v>
      </c>
      <c r="D42" s="7">
        <f>_xlfn.BETA.DIST((C42-$C$30)/$C$50,'Estimation par Fit (Bêta)'!$C$17,'Estimation par Fit (Bêta)'!$C$18,TRUE)</f>
        <v>0.67998338991055696</v>
      </c>
      <c r="E42" s="7">
        <f>_xlfn.BETA.DIST(C42/$C$50,'Estimation par Fit (Bêta)'!$C$17,'Estimation par Fit (Bêta)'!$C$18,FALSE)/_xlfn.BETA.DIST(0.5,'Estimation par Fit (Bêta)'!$C$17,'Estimation par Fit (Bêta)'!$C$18,FALSE)/2</f>
        <v>0.22785976265178212</v>
      </c>
    </row>
    <row r="43" spans="2:5" x14ac:dyDescent="0.25">
      <c r="B43" s="7">
        <f t="shared" si="3"/>
        <v>13</v>
      </c>
      <c r="C43" s="7">
        <f t="shared" si="4"/>
        <v>230</v>
      </c>
      <c r="D43" s="7">
        <f>_xlfn.BETA.DIST((C43-$C$30)/$C$50,'Estimation par Fit (Bêta)'!$C$17,'Estimation par Fit (Bêta)'!$C$18,TRUE)</f>
        <v>0.71857307036267515</v>
      </c>
      <c r="E43" s="7">
        <f>_xlfn.BETA.DIST(C43/$C$50,'Estimation par Fit (Bêta)'!$C$17,'Estimation par Fit (Bêta)'!$C$18,FALSE)/_xlfn.BETA.DIST(0.5,'Estimation par Fit (Bêta)'!$C$17,'Estimation par Fit (Bêta)'!$C$18,FALSE)/2</f>
        <v>0.19272634146709347</v>
      </c>
    </row>
    <row r="44" spans="2:5" x14ac:dyDescent="0.25">
      <c r="B44" s="7">
        <f t="shared" si="3"/>
        <v>14</v>
      </c>
      <c r="C44" s="7">
        <f t="shared" si="4"/>
        <v>240</v>
      </c>
      <c r="D44" s="7">
        <f>_xlfn.BETA.DIST((C44-$C$30)/$C$50,'Estimation par Fit (Bêta)'!$C$17,'Estimation par Fit (Bêta)'!$C$18,TRUE)</f>
        <v>0.75444692726661866</v>
      </c>
      <c r="E44" s="7">
        <f>_xlfn.BETA.DIST(C44/$C$50,'Estimation par Fit (Bêta)'!$C$17,'Estimation par Fit (Bêta)'!$C$18,FALSE)/_xlfn.BETA.DIST(0.5,'Estimation par Fit (Bêta)'!$C$17,'Estimation par Fit (Bêta)'!$C$18,FALSE)/2</f>
        <v>0.15882937857298723</v>
      </c>
    </row>
    <row r="45" spans="2:5" x14ac:dyDescent="0.25">
      <c r="B45" s="7">
        <f t="shared" si="3"/>
        <v>15</v>
      </c>
      <c r="C45" s="7">
        <f t="shared" si="4"/>
        <v>250</v>
      </c>
      <c r="D45" s="7">
        <f>_xlfn.BETA.DIST((C45-$C$30)/$C$50,'Estimation par Fit (Bêta)'!$C$17,'Estimation par Fit (Bêta)'!$C$18,TRUE)</f>
        <v>0.78763943021581251</v>
      </c>
      <c r="E45" s="7">
        <f>_xlfn.BETA.DIST(C45/$C$50,'Estimation par Fit (Bêta)'!$C$17,'Estimation par Fit (Bêta)'!$C$18,FALSE)/_xlfn.BETA.DIST(0.5,'Estimation par Fit (Bêta)'!$C$17,'Estimation par Fit (Bêta)'!$C$18,FALSE)/2</f>
        <v>0.12633089745770251</v>
      </c>
    </row>
    <row r="46" spans="2:5" x14ac:dyDescent="0.25">
      <c r="B46" s="7">
        <f t="shared" si="3"/>
        <v>16</v>
      </c>
      <c r="C46" s="7">
        <f t="shared" si="4"/>
        <v>260</v>
      </c>
      <c r="D46" s="7">
        <f>_xlfn.BETA.DIST((C46-$C$30)/$C$50,'Estimation par Fit (Bêta)'!$C$17,'Estimation par Fit (Bêta)'!$C$18,TRUE)</f>
        <v>0.81818815695705327</v>
      </c>
      <c r="E46" s="7">
        <f>_xlfn.BETA.DIST(C46/$C$50,'Estimation par Fit (Bêta)'!$C$17,'Estimation par Fit (Bêta)'!$C$18,FALSE)/_xlfn.BETA.DIST(0.5,'Estimation par Fit (Bêta)'!$C$17,'Estimation par Fit (Bêta)'!$C$18,FALSE)/2</f>
        <v>9.5446952362902765E-2</v>
      </c>
    </row>
    <row r="47" spans="2:5" x14ac:dyDescent="0.25">
      <c r="B47" s="7">
        <f t="shared" si="3"/>
        <v>17</v>
      </c>
      <c r="C47" s="7">
        <f t="shared" si="4"/>
        <v>270</v>
      </c>
      <c r="D47" s="7">
        <f>_xlfn.BETA.DIST((C47-$C$30)/$C$50,'Estimation par Fit (Bêta)'!$C$17,'Estimation par Fit (Bêta)'!$C$18,TRUE)</f>
        <v>0.84613386522935952</v>
      </c>
      <c r="E47" s="7">
        <f>_xlfn.BETA.DIST(C47/$C$50,'Estimation par Fit (Bêta)'!$C$17,'Estimation par Fit (Bêta)'!$C$18,FALSE)/_xlfn.BETA.DIST(0.5,'Estimation par Fit (Bêta)'!$C$17,'Estimation par Fit (Bêta)'!$C$18,FALSE)/2</f>
        <v>6.648501044744981E-2</v>
      </c>
    </row>
    <row r="48" spans="2:5" x14ac:dyDescent="0.25">
      <c r="B48" s="7">
        <f t="shared" si="3"/>
        <v>18</v>
      </c>
      <c r="C48" s="7">
        <f t="shared" si="4"/>
        <v>280</v>
      </c>
      <c r="D48" s="7">
        <f>_xlfn.BETA.DIST((C48-$C$30)/$C$50,'Estimation par Fit (Bêta)'!$C$17,'Estimation par Fit (Bêta)'!$C$18,TRUE)</f>
        <v>0.87152065433304005</v>
      </c>
      <c r="E48" s="7">
        <f>_xlfn.BETA.DIST(C48/$C$50,'Estimation par Fit (Bêta)'!$C$17,'Estimation par Fit (Bêta)'!$C$18,FALSE)/_xlfn.BETA.DIST(0.5,'Estimation par Fit (Bêta)'!$C$17,'Estimation par Fit (Bêta)'!$C$18,FALSE)/2</f>
        <v>3.9928932113586564E-2</v>
      </c>
    </row>
    <row r="49" spans="2:5" x14ac:dyDescent="0.25">
      <c r="B49" s="7">
        <f t="shared" si="3"/>
        <v>19</v>
      </c>
      <c r="C49" s="7">
        <f t="shared" si="4"/>
        <v>290</v>
      </c>
      <c r="D49" s="7">
        <f>_xlfn.BETA.DIST((C49-$C$30)/$C$50,'Estimation par Fit (Bêta)'!$C$17,'Estimation par Fit (Bêta)'!$C$18,TRUE)</f>
        <v>0.89439622058494783</v>
      </c>
      <c r="E49" s="7">
        <f>_xlfn.BETA.DIST(C49/$C$50,'Estimation par Fit (Bêta)'!$C$17,'Estimation par Fit (Bêta)'!$C$18,FALSE)/_xlfn.BETA.DIST(0.5,'Estimation par Fit (Bêta)'!$C$17,'Estimation par Fit (Bêta)'!$C$18,FALSE)/2</f>
        <v>1.6694543852453062E-2</v>
      </c>
    </row>
    <row r="50" spans="2:5" x14ac:dyDescent="0.25">
      <c r="B50" s="7">
        <f t="shared" si="3"/>
        <v>20</v>
      </c>
      <c r="C50" s="7">
        <f>C14</f>
        <v>300</v>
      </c>
      <c r="D50" s="7">
        <f>_xlfn.BETA.DIST((C50-$C$30)/$C$50,'Estimation par Fit (Bêta)'!$C$17,'Estimation par Fit (Bêta)'!$C$18,TRUE)</f>
        <v>0.91481222029475284</v>
      </c>
      <c r="E50" s="7">
        <f>_xlfn.BETA.DIST(C50/$C$50,'Estimation par Fit (Bêta)'!$C$17,'Estimation par Fit (Bêta)'!$C$18,FALSE)/_xlfn.BETA.DIST(0.5,'Estimation par Fit (Bêta)'!$C$17,'Estimation par Fit (Bêta)'!$C$18,FALSE)/2</f>
        <v>0</v>
      </c>
    </row>
    <row r="51" spans="2:5" x14ac:dyDescent="0.25">
      <c r="B51" s="9" t="s">
        <v>20</v>
      </c>
      <c r="C51" s="10"/>
      <c r="D51" s="11">
        <f>C28+'Estimation par Fit (Bêta)'!C17/('Estimation par Fit (Bêta)'!C17+'Estimation par Fit (Bêta)'!C18)*(E28-C28)</f>
        <v>161.96967184617506</v>
      </c>
    </row>
  </sheetData>
  <sheetProtection selectLockedCells="1"/>
  <mergeCells count="1">
    <mergeCell ref="B27:E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I21"/>
  <sheetViews>
    <sheetView tabSelected="1" workbookViewId="0">
      <selection activeCell="E21" sqref="E21"/>
    </sheetView>
  </sheetViews>
  <sheetFormatPr baseColWidth="10" defaultColWidth="9.140625" defaultRowHeight="15" x14ac:dyDescent="0.25"/>
  <cols>
    <col min="4" max="4" width="14.28515625" customWidth="1"/>
    <col min="6" max="6" width="10.7109375" customWidth="1"/>
  </cols>
  <sheetData>
    <row r="2" spans="2:9" ht="21" x14ac:dyDescent="0.35">
      <c r="B2" s="3" t="s">
        <v>0</v>
      </c>
    </row>
    <row r="5" spans="2:9" ht="60" x14ac:dyDescent="0.25">
      <c r="B5" s="5" t="s">
        <v>16</v>
      </c>
      <c r="C5" s="6" t="s">
        <v>36</v>
      </c>
      <c r="D5" s="6" t="s">
        <v>37</v>
      </c>
      <c r="E5" s="6" t="s">
        <v>32</v>
      </c>
      <c r="F5" s="6" t="s">
        <v>33</v>
      </c>
    </row>
    <row r="6" spans="2:9" x14ac:dyDescent="0.25">
      <c r="B6" s="12">
        <v>1</v>
      </c>
      <c r="C6" s="12">
        <f>'Points de l''expert'!C6</f>
        <v>100</v>
      </c>
      <c r="D6" s="12">
        <f>'Points de l''expert'!D6</f>
        <v>0</v>
      </c>
      <c r="E6" s="7"/>
      <c r="F6" s="7"/>
      <c r="H6">
        <f>C6</f>
        <v>100</v>
      </c>
      <c r="I6">
        <f>F7/(C7-C6)/(1/($C$14-$C$6))/2</f>
        <v>0.72</v>
      </c>
    </row>
    <row r="7" spans="2:9" x14ac:dyDescent="0.25">
      <c r="B7" s="12">
        <v>2</v>
      </c>
      <c r="C7" s="12">
        <f>'Points de l''expert'!C7</f>
        <v>125</v>
      </c>
      <c r="D7" s="12">
        <f>'Points de l''expert'!D7</f>
        <v>0.18</v>
      </c>
      <c r="E7" s="7">
        <f>(C7+C6)/2</f>
        <v>112.5</v>
      </c>
      <c r="F7" s="7">
        <f>D7-D6</f>
        <v>0.18</v>
      </c>
      <c r="H7">
        <f>C7</f>
        <v>125</v>
      </c>
      <c r="I7">
        <f>I6</f>
        <v>0.72</v>
      </c>
    </row>
    <row r="8" spans="2:9" x14ac:dyDescent="0.25">
      <c r="B8" s="12">
        <v>3</v>
      </c>
      <c r="C8" s="12">
        <f>'Points de l''expert'!C8</f>
        <v>150</v>
      </c>
      <c r="D8" s="12">
        <f>'Points de l''expert'!D8</f>
        <v>0.36</v>
      </c>
      <c r="E8" s="7">
        <f t="shared" ref="E8:E14" si="0">(C8+C7)/2</f>
        <v>137.5</v>
      </c>
      <c r="F8" s="7">
        <f t="shared" ref="F8:F14" si="1">D8-D7</f>
        <v>0.18</v>
      </c>
      <c r="H8">
        <f>C7</f>
        <v>125</v>
      </c>
      <c r="I8">
        <f>F8/(C8-C7)/(1/($C$14-$C$6))/2</f>
        <v>0.72</v>
      </c>
    </row>
    <row r="9" spans="2:9" x14ac:dyDescent="0.25">
      <c r="B9" s="12">
        <v>4</v>
      </c>
      <c r="C9" s="12">
        <f>'Points de l''expert'!C9</f>
        <v>175</v>
      </c>
      <c r="D9" s="12">
        <f>'Points de l''expert'!D9</f>
        <v>0.47</v>
      </c>
      <c r="E9" s="7">
        <f t="shared" si="0"/>
        <v>162.5</v>
      </c>
      <c r="F9" s="7">
        <f t="shared" si="1"/>
        <v>0.10999999999999999</v>
      </c>
      <c r="H9">
        <f>C8</f>
        <v>150</v>
      </c>
      <c r="I9">
        <f>I8</f>
        <v>0.72</v>
      </c>
    </row>
    <row r="10" spans="2:9" x14ac:dyDescent="0.25">
      <c r="B10" s="12">
        <v>5</v>
      </c>
      <c r="C10" s="12">
        <f>'Points de l''expert'!C10</f>
        <v>200</v>
      </c>
      <c r="D10" s="12">
        <f>'Points de l''expert'!D10</f>
        <v>0.57999999999999996</v>
      </c>
      <c r="E10" s="7">
        <f t="shared" si="0"/>
        <v>187.5</v>
      </c>
      <c r="F10" s="7">
        <f t="shared" si="1"/>
        <v>0.10999999999999999</v>
      </c>
      <c r="H10">
        <f>C8</f>
        <v>150</v>
      </c>
      <c r="I10">
        <f>F9/(C9-C8)/(1/($C$14-$C$6))/2</f>
        <v>0.43999999999999995</v>
      </c>
    </row>
    <row r="11" spans="2:9" x14ac:dyDescent="0.25">
      <c r="B11" s="12">
        <v>6</v>
      </c>
      <c r="C11" s="12">
        <f>'Points de l''expert'!C11</f>
        <v>225</v>
      </c>
      <c r="D11" s="12">
        <f>'Points de l''expert'!D11</f>
        <v>0.66500000000000004</v>
      </c>
      <c r="E11" s="7">
        <f t="shared" si="0"/>
        <v>212.5</v>
      </c>
      <c r="F11" s="7">
        <f t="shared" si="1"/>
        <v>8.5000000000000075E-2</v>
      </c>
      <c r="H11">
        <f>C9</f>
        <v>175</v>
      </c>
      <c r="I11">
        <f>I10</f>
        <v>0.43999999999999995</v>
      </c>
    </row>
    <row r="12" spans="2:9" x14ac:dyDescent="0.25">
      <c r="B12" s="12">
        <v>7</v>
      </c>
      <c r="C12" s="12">
        <f>'Points de l''expert'!C12</f>
        <v>250</v>
      </c>
      <c r="D12" s="12">
        <f>'Points de l''expert'!D12</f>
        <v>0.75</v>
      </c>
      <c r="E12" s="7">
        <f t="shared" si="0"/>
        <v>237.5</v>
      </c>
      <c r="F12" s="7">
        <f t="shared" si="1"/>
        <v>8.4999999999999964E-2</v>
      </c>
      <c r="H12">
        <f>C9</f>
        <v>175</v>
      </c>
      <c r="I12">
        <f>F10/(C10-C9)/(1/($C$14-$C$6))/2</f>
        <v>0.43999999999999995</v>
      </c>
    </row>
    <row r="13" spans="2:9" x14ac:dyDescent="0.25">
      <c r="B13" s="12">
        <v>8</v>
      </c>
      <c r="C13" s="12">
        <f>'Points de l''expert'!C13</f>
        <v>275</v>
      </c>
      <c r="D13" s="12">
        <f>'Points de l''expert'!D13</f>
        <v>0.875</v>
      </c>
      <c r="E13" s="7">
        <f t="shared" si="0"/>
        <v>262.5</v>
      </c>
      <c r="F13" s="7">
        <f t="shared" si="1"/>
        <v>0.125</v>
      </c>
      <c r="H13">
        <f>C10</f>
        <v>200</v>
      </c>
      <c r="I13">
        <f>I12</f>
        <v>0.43999999999999995</v>
      </c>
    </row>
    <row r="14" spans="2:9" x14ac:dyDescent="0.25">
      <c r="B14" s="12">
        <v>9</v>
      </c>
      <c r="C14" s="12">
        <f>'Points de l''expert'!C14</f>
        <v>300</v>
      </c>
      <c r="D14" s="12">
        <f>'Points de l''expert'!D14</f>
        <v>1</v>
      </c>
      <c r="E14" s="7">
        <f t="shared" si="0"/>
        <v>287.5</v>
      </c>
      <c r="F14" s="7">
        <f t="shared" si="1"/>
        <v>0.125</v>
      </c>
      <c r="H14">
        <f>C10</f>
        <v>200</v>
      </c>
      <c r="I14">
        <f>F11/(C11-C10)/(1/($C$14-$C$6))/2</f>
        <v>0.3400000000000003</v>
      </c>
    </row>
    <row r="15" spans="2:9" x14ac:dyDescent="0.25">
      <c r="H15">
        <f>C11</f>
        <v>225</v>
      </c>
      <c r="I15">
        <f>I14</f>
        <v>0.3400000000000003</v>
      </c>
    </row>
    <row r="16" spans="2:9" x14ac:dyDescent="0.25">
      <c r="H16">
        <f>C11</f>
        <v>225</v>
      </c>
      <c r="I16">
        <f>F12/(C12-C11)/(1/($C$14-$C$6))/2</f>
        <v>0.33999999999999986</v>
      </c>
    </row>
    <row r="17" spans="2:9" x14ac:dyDescent="0.25">
      <c r="B17" t="s">
        <v>29</v>
      </c>
      <c r="H17">
        <f>C12</f>
        <v>250</v>
      </c>
      <c r="I17">
        <f>I16</f>
        <v>0.33999999999999986</v>
      </c>
    </row>
    <row r="18" spans="2:9" x14ac:dyDescent="0.25">
      <c r="B18" s="16">
        <f>SUMPRODUCT(E7:E14,F7:F14)</f>
        <v>190.5</v>
      </c>
      <c r="H18">
        <f>C12</f>
        <v>250</v>
      </c>
      <c r="I18">
        <f>F13/(C13-C12)/(1/($C$14-$C$6))/2</f>
        <v>0.5</v>
      </c>
    </row>
    <row r="19" spans="2:9" x14ac:dyDescent="0.25">
      <c r="H19">
        <f>C13</f>
        <v>275</v>
      </c>
      <c r="I19">
        <f>I18</f>
        <v>0.5</v>
      </c>
    </row>
    <row r="20" spans="2:9" x14ac:dyDescent="0.25">
      <c r="H20">
        <f>C13</f>
        <v>275</v>
      </c>
      <c r="I20">
        <f>F14/(C14-C13)/(1/($C$14-$C$6))/2</f>
        <v>0.5</v>
      </c>
    </row>
    <row r="21" spans="2:9" x14ac:dyDescent="0.25">
      <c r="H21">
        <f>C14</f>
        <v>300</v>
      </c>
      <c r="I21">
        <f>I20</f>
        <v>0.5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Roue de fortune</vt:lpstr>
      <vt:lpstr>Points de l'expert</vt:lpstr>
      <vt:lpstr>Estimation par Fit (Bêta)</vt:lpstr>
      <vt:lpstr>Estimation par Fit (PWL)</vt:lpstr>
    </vt:vector>
  </TitlesOfParts>
  <Company>HEC Montréal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clihec3</dc:creator>
  <cp:lastModifiedBy>Prof</cp:lastModifiedBy>
  <dcterms:created xsi:type="dcterms:W3CDTF">2011-08-11T15:18:22Z</dcterms:created>
  <dcterms:modified xsi:type="dcterms:W3CDTF">2024-09-10T20:37:32Z</dcterms:modified>
</cp:coreProperties>
</file>