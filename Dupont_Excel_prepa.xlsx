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/>
  <mc:AlternateContent xmlns:mc="http://schemas.openxmlformats.org/markup-compatibility/2006">
    <mc:Choice Requires="x15">
      <x15ac:absPath xmlns:x15ac="http://schemas.microsoft.com/office/spreadsheetml/2010/11/ac" url="/Users/erickdelage/OneDrive - HEC Montréal/My Documents/My Classes/MSc_AnalyseDecisions/AD_Automne2019/Lectures/Seance_1/fr/source/CasDupont/"/>
    </mc:Choice>
  </mc:AlternateContent>
  <xr:revisionPtr revIDLastSave="0" documentId="13_ncr:1_{2225AB1A-1C7B-FD4B-8CAC-57F297D56186}" xr6:coauthVersionLast="36" xr6:coauthVersionMax="36" xr10:uidLastSave="{00000000-0000-0000-0000-000000000000}"/>
  <bookViews>
    <workbookView xWindow="30400" yWindow="-5140" windowWidth="33600" windowHeight="19160" activeTab="1" xr2:uid="{00000000-000D-0000-FFFF-FFFF00000000}"/>
  </bookViews>
  <sheets>
    <sheet name="Modèle" sheetId="76" r:id="rId1"/>
    <sheet name="References" sheetId="5" r:id="rId2"/>
    <sheet name="Sensibilité" sheetId="73" r:id="rId3"/>
    <sheet name="Arc_en_ciel1" sheetId="74" r:id="rId4"/>
    <sheet name="Arc_en_ciel2" sheetId="75" r:id="rId5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256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CBWorkbookPriority" hidden="1">-1474084343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Pal_Workbook_GUID" hidden="1">"I8Z52SP3TZ9KWJ27RWK4V8C9"</definedName>
    <definedName name="PTree_PolicySuggestion_IncludeDecisionTable" hidden="1">TRUE</definedName>
    <definedName name="PTree_PolicySuggestion_IncludeOptimalDecisionTree" hidden="1">TRUE</definedName>
    <definedName name="PTree_PolicySuggestion_Model" localSheetId="0" hidden="1">PTreeObjectReference(PTDecisionTree_1,#REF!)</definedName>
    <definedName name="PTree_PolicySuggestion_Model" hidden="1">PTreeObjectReference(PTDecisionTree_1,#REF!)</definedName>
    <definedName name="PTree_PolicySuggestion_StartingNode" localSheetId="0" hidden="1">PTreeObjectReference(NULL,NULL)</definedName>
    <definedName name="PTree_PolicySuggestion_StartingNode" hidden="1">PTreeObjectReference(NULL,NULL)</definedName>
    <definedName name="PTree_RiskProfile_IncludeCumulativeChart" hidden="1">FALSE</definedName>
    <definedName name="PTree_RiskProfile_IncludeProbabilityChart" hidden="1">TRUE</definedName>
    <definedName name="PTree_RiskProfile_IncludeStatisticalSummary" hidden="1">FALSE</definedName>
    <definedName name="PTree_RiskProfile_Model" localSheetId="0" hidden="1">PTreeObjectReference(PTInfluenceDiagram_2,#REF!)</definedName>
    <definedName name="PTree_RiskProfile_Model" hidden="1">PTreeObjectReference(PTInfluenceDiagram_2,#REF!)</definedName>
    <definedName name="PTree_RiskProfile_PathsToAnalyze" hidden="1">1</definedName>
    <definedName name="PTree_RiskProfile_StartingNode" localSheetId="0" hidden="1">PTreeObjectReference(NULL,NULL)</definedName>
    <definedName name="PTree_RiskProfile_StartingNode" hidden="1">PTreeObjectReference(NULL,NULL)</definedName>
    <definedName name="PTree_SensitivityAnalysis_AnalysisType" hidden="1">0</definedName>
    <definedName name="PTree_SensitivityAnalysis_GraphsDisplayPercentageChange" hidden="1">FALSE</definedName>
    <definedName name="PTree_SensitivityAnalysis_IncludeSensitivityGraph" hidden="1">TRUE</definedName>
    <definedName name="PTree_SensitivityAnalysis_IncludeSpiderGraph" hidden="1">TRUE</definedName>
    <definedName name="PTree_SensitivityAnalysis_IncludeStrategyRegion" hidden="1">TRUE</definedName>
    <definedName name="PTree_SensitivityAnalysis_IncludeTornadoGraph" hidden="1">TRUE</definedName>
    <definedName name="PTree_SensitivityAnalysis_Inputs_1_AlternateCellLabel" hidden="1">""</definedName>
    <definedName name="PTree_SensitivityAnalysis_Inputs_1_BaseValueIsAutomatic" hidden="1">TRUE</definedName>
    <definedName name="PTree_SensitivityAnalysis_Inputs_1_MaintainProbabilityNormalization" hidden="1">FALSE</definedName>
    <definedName name="PTree_SensitivityAnalysis_Inputs_1_ManualBaseValue" hidden="1">0</definedName>
    <definedName name="PTree_SensitivityAnalysis_Inputs_1_Maximum" hidden="1">1.2</definedName>
    <definedName name="PTree_SensitivityAnalysis_Inputs_1_Minimum" hidden="1">0</definedName>
    <definedName name="PTree_SensitivityAnalysis_Inputs_1_OneWayAnalysis" hidden="1">1</definedName>
    <definedName name="PTree_SensitivityAnalysis_Inputs_1_Steps" hidden="1">10</definedName>
    <definedName name="PTree_SensitivityAnalysis_Inputs_1_TwoWayAnalysis" hidden="1">1</definedName>
    <definedName name="PTree_SensitivityAnalysis_Inputs_1_VariationMethod" hidden="1">2</definedName>
    <definedName name="PTree_SensitivityAnalysis_Inputs_1_VaryCell" localSheetId="0" hidden="1">Modèle!$B$4</definedName>
    <definedName name="PTree_SensitivityAnalysis_Inputs_1_VaryCell" hidden="1">References!$B$4</definedName>
    <definedName name="PTree_SensitivityAnalysis_Inputs_2_AlternateCellLabel" hidden="1">""</definedName>
    <definedName name="PTree_SensitivityAnalysis_Inputs_2_BaseValueIsAutomatic" hidden="1">TRUE</definedName>
    <definedName name="PTree_SensitivityAnalysis_Inputs_2_MaintainProbabilityNormalization" hidden="1">FALSE</definedName>
    <definedName name="PTree_SensitivityAnalysis_Inputs_2_ManualBaseValue" hidden="1">0</definedName>
    <definedName name="PTree_SensitivityAnalysis_Inputs_2_Maximum" hidden="1">11</definedName>
    <definedName name="PTree_SensitivityAnalysis_Inputs_2_Minimum" hidden="1">9</definedName>
    <definedName name="PTree_SensitivityAnalysis_Inputs_2_OneWayAnalysis" hidden="1">1</definedName>
    <definedName name="PTree_SensitivityAnalysis_Inputs_2_Steps" hidden="1">10</definedName>
    <definedName name="PTree_SensitivityAnalysis_Inputs_2_TwoWayAnalysis" hidden="1">0</definedName>
    <definedName name="PTree_SensitivityAnalysis_Inputs_2_VariationMethod" hidden="1">2</definedName>
    <definedName name="PTree_SensitivityAnalysis_Inputs_2_VaryCell" localSheetId="0" hidden="1">Modèle!$B$6</definedName>
    <definedName name="PTree_SensitivityAnalysis_Inputs_2_VaryCell" hidden="1">References!$B$6</definedName>
    <definedName name="PTree_SensitivityAnalysis_Inputs_3_AlternateCellLabel" hidden="1">""</definedName>
    <definedName name="PTree_SensitivityAnalysis_Inputs_3_BaseValueIsAutomatic" hidden="1">TRUE</definedName>
    <definedName name="PTree_SensitivityAnalysis_Inputs_3_MaintainProbabilityNormalization" hidden="1">FALSE</definedName>
    <definedName name="PTree_SensitivityAnalysis_Inputs_3_ManualBaseValue" hidden="1">0</definedName>
    <definedName name="PTree_SensitivityAnalysis_Inputs_3_Maximum" hidden="1">12</definedName>
    <definedName name="PTree_SensitivityAnalysis_Inputs_3_Minimum" hidden="1">10</definedName>
    <definedName name="PTree_SensitivityAnalysis_Inputs_3_OneWayAnalysis" hidden="1">1</definedName>
    <definedName name="PTree_SensitivityAnalysis_Inputs_3_Steps" hidden="1">10</definedName>
    <definedName name="PTree_SensitivityAnalysis_Inputs_3_TwoWayAnalysis" hidden="1">0</definedName>
    <definedName name="PTree_SensitivityAnalysis_Inputs_3_VariationMethod" hidden="1">2</definedName>
    <definedName name="PTree_SensitivityAnalysis_Inputs_3_VaryCell" localSheetId="0" hidden="1">Modèle!$B$7</definedName>
    <definedName name="PTree_SensitivityAnalysis_Inputs_3_VaryCell" hidden="1">References!$B$7</definedName>
    <definedName name="PTree_SensitivityAnalysis_Inputs_4_AlternateCellLabel" hidden="1">""</definedName>
    <definedName name="PTree_SensitivityAnalysis_Inputs_4_BaseValueIsAutomatic" hidden="1">TRUE</definedName>
    <definedName name="PTree_SensitivityAnalysis_Inputs_4_MaintainProbabilityNormalization" hidden="1">FALSE</definedName>
    <definedName name="PTree_SensitivityAnalysis_Inputs_4_ManualBaseValue" hidden="1">0</definedName>
    <definedName name="PTree_SensitivityAnalysis_Inputs_4_Maximum" hidden="1">22</definedName>
    <definedName name="PTree_SensitivityAnalysis_Inputs_4_Minimum" hidden="1">18</definedName>
    <definedName name="PTree_SensitivityAnalysis_Inputs_4_OneWayAnalysis" hidden="1">1</definedName>
    <definedName name="PTree_SensitivityAnalysis_Inputs_4_Steps" hidden="1">10</definedName>
    <definedName name="PTree_SensitivityAnalysis_Inputs_4_TwoWayAnalysis" hidden="1">0</definedName>
    <definedName name="PTree_SensitivityAnalysis_Inputs_4_VariationMethod" hidden="1">2</definedName>
    <definedName name="PTree_SensitivityAnalysis_Inputs_4_VaryCell" localSheetId="0" hidden="1">Modèle!$B$9</definedName>
    <definedName name="PTree_SensitivityAnalysis_Inputs_4_VaryCell" hidden="1">References!$B$9</definedName>
    <definedName name="PTree_SensitivityAnalysis_Inputs_5_AlternateCellLabel" hidden="1">""</definedName>
    <definedName name="PTree_SensitivityAnalysis_Inputs_5_BaseValueIsAutomatic" hidden="1">TRUE</definedName>
    <definedName name="PTree_SensitivityAnalysis_Inputs_5_MaintainProbabilityNormalization" hidden="1">FALSE</definedName>
    <definedName name="PTree_SensitivityAnalysis_Inputs_5_ManualBaseValue" hidden="1">0</definedName>
    <definedName name="PTree_SensitivityAnalysis_Inputs_5_Maximum" hidden="1">1</definedName>
    <definedName name="PTree_SensitivityAnalysis_Inputs_5_Minimum" hidden="1">0</definedName>
    <definedName name="PTree_SensitivityAnalysis_Inputs_5_OneWayAnalysis" hidden="1">1</definedName>
    <definedName name="PTree_SensitivityAnalysis_Inputs_5_Steps" hidden="1">10</definedName>
    <definedName name="PTree_SensitivityAnalysis_Inputs_5_TwoWayAnalysis" hidden="1">2</definedName>
    <definedName name="PTree_SensitivityAnalysis_Inputs_5_VariationMethod" hidden="1">2</definedName>
    <definedName name="PTree_SensitivityAnalysis_Inputs_5_VaryCell" localSheetId="0" hidden="1">Modèle!$B$10</definedName>
    <definedName name="PTree_SensitivityAnalysis_Inputs_5_VaryCell" hidden="1">References!$B$10</definedName>
    <definedName name="PTree_SensitivityAnalysis_Inputs_6_AlternateCellLabel" hidden="1">""</definedName>
    <definedName name="PTree_SensitivityAnalysis_Inputs_6_BaseValueIsAutomatic" hidden="1">TRUE</definedName>
    <definedName name="PTree_SensitivityAnalysis_Inputs_6_MaintainProbabilityNormalization" hidden="1">FALSE</definedName>
    <definedName name="PTree_SensitivityAnalysis_Inputs_6_ManualBaseValue" hidden="1">0</definedName>
    <definedName name="PTree_SensitivityAnalysis_Inputs_6_Maximum" hidden="1">1</definedName>
    <definedName name="PTree_SensitivityAnalysis_Inputs_6_Minimum" hidden="1">0</definedName>
    <definedName name="PTree_SensitivityAnalysis_Inputs_6_OneWayAnalysis" hidden="1">1</definedName>
    <definedName name="PTree_SensitivityAnalysis_Inputs_6_Steps" hidden="1">2</definedName>
    <definedName name="PTree_SensitivityAnalysis_Inputs_6_TwoWayAnalysis" hidden="1">0</definedName>
    <definedName name="PTree_SensitivityAnalysis_Inputs_6_VariationMethod" hidden="1">2</definedName>
    <definedName name="PTree_SensitivityAnalysis_Inputs_6_VaryCell" localSheetId="0" hidden="1">Modèle!$B$8</definedName>
    <definedName name="PTree_SensitivityAnalysis_Inputs_6_VaryCell" hidden="1">References!$B$8</definedName>
    <definedName name="PTree_SensitivityAnalysis_Inputs_Count" hidden="1">6</definedName>
    <definedName name="PTree_SensitivityAnalysis_Output_AlternateCellLabel" hidden="1">""</definedName>
    <definedName name="PTree_SensitivityAnalysis_Output_Model" localSheetId="0" hidden="1">PTreeObjectReference(PTDecisionTree_1,#REF!)</definedName>
    <definedName name="PTree_SensitivityAnalysis_Output_Model" hidden="1">PTreeObjectReference(PTDecisionTree_1,#REF!)</definedName>
    <definedName name="PTree_SensitivityAnalysis_Output_OutputType" hidden="1">1</definedName>
    <definedName name="PTree_SensitivityAnalysis_Output_StartingNode" localSheetId="0" hidden="1">PTreeObjectReference(NULL,NULL)</definedName>
    <definedName name="PTree_SensitivityAnalysis_Output_StartingNode" hidden="1">PTreeObjectReference(NULL,NULL)</definedName>
    <definedName name="PTree_SensitivityAnalysis_UpdateDisplay" hidden="1">FALSE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olver_corr" hidden="1">1</definedName>
    <definedName name="solver_ctp1" hidden="1">0</definedName>
    <definedName name="solver_ctp2" hidden="1">0</definedName>
    <definedName name="solver_disp" hidden="1">4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10000</definedName>
    <definedName name="solver_rgen" hidden="1">1</definedName>
    <definedName name="solver_rsmp" hidden="1">2</definedName>
    <definedName name="solver_seed" hidden="1">0</definedName>
    <definedName name="solver_strm" hidden="1">0</definedName>
    <definedName name="solver_ucens" hidden="1">1E+30</definedName>
    <definedName name="solver_ucut" hidden="1">1E+30</definedName>
    <definedName name="solvero_CRMax" hidden="1">"System.Double:Infinity"</definedName>
    <definedName name="solvero_CRMin" hidden="1">"System.Double:-Infinity"</definedName>
    <definedName name="solvero_OSpPars" hidden="1">"RiskSolver.UI.Charts.OutDlgPars:-1000001;29;28;42;42;0;1;90;80;0;0;0;0;1;"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2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FALSE</definedName>
    <definedName name="TopRankPrecedentScanType" hidden="1">0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reeList" hidden="1">"00000000000000000000000000000000000000000000000000000000000000000000000000000000000000000000000000000000000000000000000000000000000000000000000000000000000000000000000000000000000000000000000000000000"</definedName>
  </definedName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" i="5" l="1"/>
  <c r="C21" i="5" s="1"/>
  <c r="B7" i="5"/>
  <c r="B8" i="5"/>
  <c r="B9" i="5"/>
  <c r="B10" i="5"/>
  <c r="B4" i="5"/>
  <c r="E65" i="5"/>
  <c r="C26" i="73" s="1"/>
  <c r="D24" i="5"/>
  <c r="D23" i="5"/>
  <c r="B24" i="76"/>
  <c r="B21" i="76"/>
  <c r="B27" i="76"/>
  <c r="B23" i="76"/>
  <c r="D27" i="5"/>
  <c r="D29" i="5" s="1"/>
  <c r="B143" i="5"/>
  <c r="A58" i="75"/>
  <c r="B129" i="5"/>
  <c r="A44" i="75" s="1"/>
  <c r="B115" i="5"/>
  <c r="A30" i="75"/>
  <c r="B101" i="5"/>
  <c r="A16" i="75" s="1"/>
  <c r="B87" i="5"/>
  <c r="A2" i="75"/>
  <c r="O70" i="75"/>
  <c r="N70" i="75"/>
  <c r="M70" i="75"/>
  <c r="L70" i="75"/>
  <c r="K70" i="75"/>
  <c r="J70" i="75"/>
  <c r="I70" i="75"/>
  <c r="H70" i="75"/>
  <c r="G70" i="75"/>
  <c r="F70" i="75"/>
  <c r="E70" i="75"/>
  <c r="O69" i="75"/>
  <c r="N69" i="75"/>
  <c r="M69" i="75"/>
  <c r="L69" i="75"/>
  <c r="K69" i="75"/>
  <c r="J69" i="75"/>
  <c r="I69" i="75"/>
  <c r="H69" i="75"/>
  <c r="G69" i="75"/>
  <c r="F69" i="75"/>
  <c r="E69" i="75"/>
  <c r="O68" i="75"/>
  <c r="N68" i="75"/>
  <c r="M68" i="75"/>
  <c r="L68" i="75"/>
  <c r="K68" i="75"/>
  <c r="J68" i="75"/>
  <c r="I68" i="75"/>
  <c r="H68" i="75"/>
  <c r="G68" i="75"/>
  <c r="F68" i="75"/>
  <c r="E68" i="75"/>
  <c r="O67" i="75"/>
  <c r="N67" i="75"/>
  <c r="M67" i="75"/>
  <c r="L67" i="75"/>
  <c r="K67" i="75"/>
  <c r="J67" i="75"/>
  <c r="I67" i="75"/>
  <c r="H67" i="75"/>
  <c r="G67" i="75"/>
  <c r="F67" i="75"/>
  <c r="E67" i="75"/>
  <c r="O66" i="75"/>
  <c r="N66" i="75"/>
  <c r="M66" i="75"/>
  <c r="L66" i="75"/>
  <c r="K66" i="75"/>
  <c r="J66" i="75"/>
  <c r="I66" i="75"/>
  <c r="H66" i="75"/>
  <c r="G66" i="75"/>
  <c r="F66" i="75"/>
  <c r="E66" i="75"/>
  <c r="O65" i="75"/>
  <c r="N65" i="75"/>
  <c r="M65" i="75"/>
  <c r="L65" i="75"/>
  <c r="K65" i="75"/>
  <c r="J65" i="75"/>
  <c r="I65" i="75"/>
  <c r="H65" i="75"/>
  <c r="G65" i="75"/>
  <c r="F65" i="75"/>
  <c r="E65" i="75"/>
  <c r="O64" i="75"/>
  <c r="N64" i="75"/>
  <c r="M64" i="75"/>
  <c r="L64" i="75"/>
  <c r="K64" i="75"/>
  <c r="J64" i="75"/>
  <c r="I64" i="75"/>
  <c r="H64" i="75"/>
  <c r="G64" i="75"/>
  <c r="F64" i="75"/>
  <c r="E64" i="75"/>
  <c r="O63" i="75"/>
  <c r="N63" i="75"/>
  <c r="M63" i="75"/>
  <c r="L63" i="75"/>
  <c r="K63" i="75"/>
  <c r="J63" i="75"/>
  <c r="I63" i="75"/>
  <c r="H63" i="75"/>
  <c r="G63" i="75"/>
  <c r="F63" i="75"/>
  <c r="E63" i="75"/>
  <c r="O62" i="75"/>
  <c r="N62" i="75"/>
  <c r="M62" i="75"/>
  <c r="L62" i="75"/>
  <c r="K62" i="75"/>
  <c r="J62" i="75"/>
  <c r="I62" i="75"/>
  <c r="H62" i="75"/>
  <c r="G62" i="75"/>
  <c r="F62" i="75"/>
  <c r="E62" i="75"/>
  <c r="O61" i="75"/>
  <c r="N61" i="75"/>
  <c r="M61" i="75"/>
  <c r="L61" i="75"/>
  <c r="K61" i="75"/>
  <c r="J61" i="75"/>
  <c r="I61" i="75"/>
  <c r="H61" i="75"/>
  <c r="G61" i="75"/>
  <c r="F61" i="75"/>
  <c r="E61" i="75"/>
  <c r="O60" i="75"/>
  <c r="N60" i="75"/>
  <c r="M60" i="75"/>
  <c r="L60" i="75"/>
  <c r="K60" i="75"/>
  <c r="J60" i="75"/>
  <c r="I60" i="75"/>
  <c r="H60" i="75"/>
  <c r="G60" i="75"/>
  <c r="F60" i="75"/>
  <c r="E60" i="75"/>
  <c r="O56" i="75"/>
  <c r="N56" i="75"/>
  <c r="M56" i="75"/>
  <c r="L56" i="75"/>
  <c r="K56" i="75"/>
  <c r="J56" i="75"/>
  <c r="I56" i="75"/>
  <c r="H56" i="75"/>
  <c r="G56" i="75"/>
  <c r="F56" i="75"/>
  <c r="E56" i="75"/>
  <c r="O55" i="75"/>
  <c r="N55" i="75"/>
  <c r="M55" i="75"/>
  <c r="L55" i="75"/>
  <c r="K55" i="75"/>
  <c r="J55" i="75"/>
  <c r="I55" i="75"/>
  <c r="H55" i="75"/>
  <c r="G55" i="75"/>
  <c r="F55" i="75"/>
  <c r="E55" i="75"/>
  <c r="O54" i="75"/>
  <c r="N54" i="75"/>
  <c r="M54" i="75"/>
  <c r="L54" i="75"/>
  <c r="K54" i="75"/>
  <c r="J54" i="75"/>
  <c r="I54" i="75"/>
  <c r="H54" i="75"/>
  <c r="G54" i="75"/>
  <c r="F54" i="75"/>
  <c r="E54" i="75"/>
  <c r="O53" i="75"/>
  <c r="N53" i="75"/>
  <c r="M53" i="75"/>
  <c r="L53" i="75"/>
  <c r="K53" i="75"/>
  <c r="J53" i="75"/>
  <c r="I53" i="75"/>
  <c r="H53" i="75"/>
  <c r="G53" i="75"/>
  <c r="F53" i="75"/>
  <c r="E53" i="75"/>
  <c r="O52" i="75"/>
  <c r="N52" i="75"/>
  <c r="M52" i="75"/>
  <c r="L52" i="75"/>
  <c r="K52" i="75"/>
  <c r="J52" i="75"/>
  <c r="I52" i="75"/>
  <c r="H52" i="75"/>
  <c r="G52" i="75"/>
  <c r="F52" i="75"/>
  <c r="E52" i="75"/>
  <c r="O51" i="75"/>
  <c r="N51" i="75"/>
  <c r="M51" i="75"/>
  <c r="L51" i="75"/>
  <c r="K51" i="75"/>
  <c r="J51" i="75"/>
  <c r="I51" i="75"/>
  <c r="H51" i="75"/>
  <c r="G51" i="75"/>
  <c r="F51" i="75"/>
  <c r="E51" i="75"/>
  <c r="O50" i="75"/>
  <c r="N50" i="75"/>
  <c r="M50" i="75"/>
  <c r="L50" i="75"/>
  <c r="K50" i="75"/>
  <c r="J50" i="75"/>
  <c r="I50" i="75"/>
  <c r="H50" i="75"/>
  <c r="G50" i="75"/>
  <c r="F50" i="75"/>
  <c r="E50" i="75"/>
  <c r="O49" i="75"/>
  <c r="N49" i="75"/>
  <c r="M49" i="75"/>
  <c r="L49" i="75"/>
  <c r="K49" i="75"/>
  <c r="J49" i="75"/>
  <c r="I49" i="75"/>
  <c r="H49" i="75"/>
  <c r="G49" i="75"/>
  <c r="F49" i="75"/>
  <c r="E49" i="75"/>
  <c r="O48" i="75"/>
  <c r="N48" i="75"/>
  <c r="M48" i="75"/>
  <c r="L48" i="75"/>
  <c r="K48" i="75"/>
  <c r="J48" i="75"/>
  <c r="I48" i="75"/>
  <c r="H48" i="75"/>
  <c r="G48" i="75"/>
  <c r="F48" i="75"/>
  <c r="E48" i="75"/>
  <c r="O47" i="75"/>
  <c r="N47" i="75"/>
  <c r="M47" i="75"/>
  <c r="L47" i="75"/>
  <c r="K47" i="75"/>
  <c r="J47" i="75"/>
  <c r="I47" i="75"/>
  <c r="H47" i="75"/>
  <c r="G47" i="75"/>
  <c r="F47" i="75"/>
  <c r="E47" i="75"/>
  <c r="O46" i="75"/>
  <c r="N46" i="75"/>
  <c r="M46" i="75"/>
  <c r="L46" i="75"/>
  <c r="K46" i="75"/>
  <c r="J46" i="75"/>
  <c r="I46" i="75"/>
  <c r="H46" i="75"/>
  <c r="G46" i="75"/>
  <c r="F46" i="75"/>
  <c r="E46" i="75"/>
  <c r="O42" i="75"/>
  <c r="N42" i="75"/>
  <c r="M42" i="75"/>
  <c r="L42" i="75"/>
  <c r="K42" i="75"/>
  <c r="J42" i="75"/>
  <c r="I42" i="75"/>
  <c r="H42" i="75"/>
  <c r="G42" i="75"/>
  <c r="F42" i="75"/>
  <c r="E42" i="75"/>
  <c r="O41" i="75"/>
  <c r="N41" i="75"/>
  <c r="M41" i="75"/>
  <c r="L41" i="75"/>
  <c r="K41" i="75"/>
  <c r="J41" i="75"/>
  <c r="I41" i="75"/>
  <c r="H41" i="75"/>
  <c r="G41" i="75"/>
  <c r="F41" i="75"/>
  <c r="E41" i="75"/>
  <c r="O40" i="75"/>
  <c r="N40" i="75"/>
  <c r="M40" i="75"/>
  <c r="L40" i="75"/>
  <c r="K40" i="75"/>
  <c r="J40" i="75"/>
  <c r="I40" i="75"/>
  <c r="H40" i="75"/>
  <c r="G40" i="75"/>
  <c r="F40" i="75"/>
  <c r="E40" i="75"/>
  <c r="O39" i="75"/>
  <c r="N39" i="75"/>
  <c r="M39" i="75"/>
  <c r="L39" i="75"/>
  <c r="K39" i="75"/>
  <c r="J39" i="75"/>
  <c r="I39" i="75"/>
  <c r="H39" i="75"/>
  <c r="G39" i="75"/>
  <c r="F39" i="75"/>
  <c r="E39" i="75"/>
  <c r="O38" i="75"/>
  <c r="N38" i="75"/>
  <c r="M38" i="75"/>
  <c r="L38" i="75"/>
  <c r="K38" i="75"/>
  <c r="J38" i="75"/>
  <c r="I38" i="75"/>
  <c r="H38" i="75"/>
  <c r="G38" i="75"/>
  <c r="F38" i="75"/>
  <c r="E38" i="75"/>
  <c r="O37" i="75"/>
  <c r="N37" i="75"/>
  <c r="M37" i="75"/>
  <c r="L37" i="75"/>
  <c r="K37" i="75"/>
  <c r="J37" i="75"/>
  <c r="I37" i="75"/>
  <c r="H37" i="75"/>
  <c r="G37" i="75"/>
  <c r="F37" i="75"/>
  <c r="E37" i="75"/>
  <c r="O36" i="75"/>
  <c r="N36" i="75"/>
  <c r="M36" i="75"/>
  <c r="L36" i="75"/>
  <c r="K36" i="75"/>
  <c r="J36" i="75"/>
  <c r="I36" i="75"/>
  <c r="H36" i="75"/>
  <c r="G36" i="75"/>
  <c r="F36" i="75"/>
  <c r="E36" i="75"/>
  <c r="O35" i="75"/>
  <c r="N35" i="75"/>
  <c r="M35" i="75"/>
  <c r="L35" i="75"/>
  <c r="K35" i="75"/>
  <c r="J35" i="75"/>
  <c r="I35" i="75"/>
  <c r="H35" i="75"/>
  <c r="G35" i="75"/>
  <c r="F35" i="75"/>
  <c r="E35" i="75"/>
  <c r="O34" i="75"/>
  <c r="N34" i="75"/>
  <c r="M34" i="75"/>
  <c r="L34" i="75"/>
  <c r="K34" i="75"/>
  <c r="J34" i="75"/>
  <c r="I34" i="75"/>
  <c r="H34" i="75"/>
  <c r="G34" i="75"/>
  <c r="F34" i="75"/>
  <c r="E34" i="75"/>
  <c r="O33" i="75"/>
  <c r="N33" i="75"/>
  <c r="M33" i="75"/>
  <c r="L33" i="75"/>
  <c r="K33" i="75"/>
  <c r="J33" i="75"/>
  <c r="I33" i="75"/>
  <c r="H33" i="75"/>
  <c r="G33" i="75"/>
  <c r="F33" i="75"/>
  <c r="E33" i="75"/>
  <c r="O32" i="75"/>
  <c r="N32" i="75"/>
  <c r="M32" i="75"/>
  <c r="L32" i="75"/>
  <c r="K32" i="75"/>
  <c r="J32" i="75"/>
  <c r="I32" i="75"/>
  <c r="H32" i="75"/>
  <c r="G32" i="75"/>
  <c r="F32" i="75"/>
  <c r="E32" i="75"/>
  <c r="O28" i="75"/>
  <c r="N28" i="75"/>
  <c r="M28" i="75"/>
  <c r="L28" i="75"/>
  <c r="K28" i="75"/>
  <c r="J28" i="75"/>
  <c r="I28" i="75"/>
  <c r="H28" i="75"/>
  <c r="G28" i="75"/>
  <c r="F28" i="75"/>
  <c r="E28" i="75"/>
  <c r="O27" i="75"/>
  <c r="N27" i="75"/>
  <c r="M27" i="75"/>
  <c r="L27" i="75"/>
  <c r="K27" i="75"/>
  <c r="J27" i="75"/>
  <c r="I27" i="75"/>
  <c r="H27" i="75"/>
  <c r="G27" i="75"/>
  <c r="F27" i="75"/>
  <c r="E27" i="75"/>
  <c r="O26" i="75"/>
  <c r="N26" i="75"/>
  <c r="M26" i="75"/>
  <c r="L26" i="75"/>
  <c r="K26" i="75"/>
  <c r="J26" i="75"/>
  <c r="I26" i="75"/>
  <c r="H26" i="75"/>
  <c r="G26" i="75"/>
  <c r="F26" i="75"/>
  <c r="E26" i="75"/>
  <c r="O25" i="75"/>
  <c r="N25" i="75"/>
  <c r="M25" i="75"/>
  <c r="L25" i="75"/>
  <c r="K25" i="75"/>
  <c r="J25" i="75"/>
  <c r="I25" i="75"/>
  <c r="H25" i="75"/>
  <c r="G25" i="75"/>
  <c r="F25" i="75"/>
  <c r="E25" i="75"/>
  <c r="O24" i="75"/>
  <c r="N24" i="75"/>
  <c r="M24" i="75"/>
  <c r="L24" i="75"/>
  <c r="K24" i="75"/>
  <c r="J24" i="75"/>
  <c r="I24" i="75"/>
  <c r="H24" i="75"/>
  <c r="G24" i="75"/>
  <c r="F24" i="75"/>
  <c r="E24" i="75"/>
  <c r="O23" i="75"/>
  <c r="N23" i="75"/>
  <c r="M23" i="75"/>
  <c r="L23" i="75"/>
  <c r="K23" i="75"/>
  <c r="J23" i="75"/>
  <c r="I23" i="75"/>
  <c r="H23" i="75"/>
  <c r="G23" i="75"/>
  <c r="F23" i="75"/>
  <c r="E23" i="75"/>
  <c r="O22" i="75"/>
  <c r="N22" i="75"/>
  <c r="M22" i="75"/>
  <c r="L22" i="75"/>
  <c r="K22" i="75"/>
  <c r="J22" i="75"/>
  <c r="I22" i="75"/>
  <c r="H22" i="75"/>
  <c r="G22" i="75"/>
  <c r="F22" i="75"/>
  <c r="E22" i="75"/>
  <c r="O21" i="75"/>
  <c r="N21" i="75"/>
  <c r="M21" i="75"/>
  <c r="L21" i="75"/>
  <c r="K21" i="75"/>
  <c r="J21" i="75"/>
  <c r="I21" i="75"/>
  <c r="H21" i="75"/>
  <c r="G21" i="75"/>
  <c r="F21" i="75"/>
  <c r="E21" i="75"/>
  <c r="O20" i="75"/>
  <c r="N20" i="75"/>
  <c r="M20" i="75"/>
  <c r="L20" i="75"/>
  <c r="K20" i="75"/>
  <c r="J20" i="75"/>
  <c r="I20" i="75"/>
  <c r="H20" i="75"/>
  <c r="G20" i="75"/>
  <c r="F20" i="75"/>
  <c r="E20" i="75"/>
  <c r="O19" i="75"/>
  <c r="N19" i="75"/>
  <c r="M19" i="75"/>
  <c r="L19" i="75"/>
  <c r="K19" i="75"/>
  <c r="J19" i="75"/>
  <c r="I19" i="75"/>
  <c r="H19" i="75"/>
  <c r="G19" i="75"/>
  <c r="F19" i="75"/>
  <c r="E19" i="75"/>
  <c r="O18" i="75"/>
  <c r="N18" i="75"/>
  <c r="M18" i="75"/>
  <c r="L18" i="75"/>
  <c r="K18" i="75"/>
  <c r="J18" i="75"/>
  <c r="I18" i="75"/>
  <c r="H18" i="75"/>
  <c r="G18" i="75"/>
  <c r="F18" i="75"/>
  <c r="E18" i="75"/>
  <c r="F4" i="75"/>
  <c r="G4" i="75"/>
  <c r="H4" i="75"/>
  <c r="I4" i="75"/>
  <c r="J4" i="75"/>
  <c r="K4" i="75"/>
  <c r="L4" i="75"/>
  <c r="M4" i="75"/>
  <c r="N4" i="75"/>
  <c r="O4" i="75"/>
  <c r="F5" i="75"/>
  <c r="G5" i="75"/>
  <c r="H5" i="75"/>
  <c r="I5" i="75"/>
  <c r="J5" i="75"/>
  <c r="K5" i="75"/>
  <c r="L5" i="75"/>
  <c r="M5" i="75"/>
  <c r="N5" i="75"/>
  <c r="O5" i="75"/>
  <c r="F6" i="75"/>
  <c r="G6" i="75"/>
  <c r="H6" i="75"/>
  <c r="I6" i="75"/>
  <c r="J6" i="75"/>
  <c r="K6" i="75"/>
  <c r="L6" i="75"/>
  <c r="M6" i="75"/>
  <c r="N6" i="75"/>
  <c r="O6" i="75"/>
  <c r="F7" i="75"/>
  <c r="G7" i="75"/>
  <c r="H7" i="75"/>
  <c r="I7" i="75"/>
  <c r="J7" i="75"/>
  <c r="K7" i="75"/>
  <c r="L7" i="75"/>
  <c r="M7" i="75"/>
  <c r="N7" i="75"/>
  <c r="O7" i="75"/>
  <c r="F8" i="75"/>
  <c r="G8" i="75"/>
  <c r="H8" i="75"/>
  <c r="I8" i="75"/>
  <c r="J8" i="75"/>
  <c r="K8" i="75"/>
  <c r="L8" i="75"/>
  <c r="M8" i="75"/>
  <c r="N8" i="75"/>
  <c r="O8" i="75"/>
  <c r="F9" i="75"/>
  <c r="G9" i="75"/>
  <c r="H9" i="75"/>
  <c r="I9" i="75"/>
  <c r="J9" i="75"/>
  <c r="K9" i="75"/>
  <c r="L9" i="75"/>
  <c r="M9" i="75"/>
  <c r="N9" i="75"/>
  <c r="O9" i="75"/>
  <c r="F10" i="75"/>
  <c r="G10" i="75"/>
  <c r="H10" i="75"/>
  <c r="I10" i="75"/>
  <c r="J10" i="75"/>
  <c r="K10" i="75"/>
  <c r="L10" i="75"/>
  <c r="M10" i="75"/>
  <c r="N10" i="75"/>
  <c r="O10" i="75"/>
  <c r="F11" i="75"/>
  <c r="G11" i="75"/>
  <c r="H11" i="75"/>
  <c r="I11" i="75"/>
  <c r="J11" i="75"/>
  <c r="K11" i="75"/>
  <c r="L11" i="75"/>
  <c r="M11" i="75"/>
  <c r="N11" i="75"/>
  <c r="O11" i="75"/>
  <c r="F12" i="75"/>
  <c r="G12" i="75"/>
  <c r="H12" i="75"/>
  <c r="I12" i="75"/>
  <c r="J12" i="75"/>
  <c r="K12" i="75"/>
  <c r="L12" i="75"/>
  <c r="M12" i="75"/>
  <c r="N12" i="75"/>
  <c r="O12" i="75"/>
  <c r="F13" i="75"/>
  <c r="G13" i="75"/>
  <c r="H13" i="75"/>
  <c r="I13" i="75"/>
  <c r="J13" i="75"/>
  <c r="K13" i="75"/>
  <c r="L13" i="75"/>
  <c r="M13" i="75"/>
  <c r="N13" i="75"/>
  <c r="O13" i="75"/>
  <c r="F14" i="75"/>
  <c r="G14" i="75"/>
  <c r="H14" i="75"/>
  <c r="I14" i="75"/>
  <c r="J14" i="75"/>
  <c r="K14" i="75"/>
  <c r="L14" i="75"/>
  <c r="M14" i="75"/>
  <c r="N14" i="75"/>
  <c r="O14" i="75"/>
  <c r="E5" i="75"/>
  <c r="E6" i="75"/>
  <c r="E7" i="75"/>
  <c r="E8" i="75"/>
  <c r="E9" i="75"/>
  <c r="E10" i="75"/>
  <c r="E11" i="75"/>
  <c r="E12" i="75"/>
  <c r="E13" i="75"/>
  <c r="E14" i="75"/>
  <c r="E4" i="75"/>
  <c r="F144" i="5"/>
  <c r="E59" i="75" s="1"/>
  <c r="E73" i="75"/>
  <c r="F130" i="5"/>
  <c r="E45" i="75" s="1"/>
  <c r="G130" i="5"/>
  <c r="F116" i="5"/>
  <c r="E31" i="75" s="1"/>
  <c r="F102" i="5"/>
  <c r="G102" i="5"/>
  <c r="F17" i="75" s="1"/>
  <c r="H102" i="5"/>
  <c r="I102" i="5" s="1"/>
  <c r="E145" i="5"/>
  <c r="D60" i="75"/>
  <c r="D74" i="75"/>
  <c r="E131" i="5"/>
  <c r="D46" i="75" s="1"/>
  <c r="E117" i="5"/>
  <c r="D32" i="75" s="1"/>
  <c r="E103" i="5"/>
  <c r="D18" i="75" s="1"/>
  <c r="F88" i="5"/>
  <c r="E3" i="75" s="1"/>
  <c r="E88" i="75" s="1"/>
  <c r="E89" i="5"/>
  <c r="E90" i="5"/>
  <c r="G72" i="5"/>
  <c r="F8" i="74" s="1"/>
  <c r="H72" i="5"/>
  <c r="I72" i="5"/>
  <c r="H8" i="74" s="1"/>
  <c r="J72" i="5"/>
  <c r="I8" i="74" s="1"/>
  <c r="F72" i="5"/>
  <c r="E8" i="74"/>
  <c r="E61" i="5"/>
  <c r="C22" i="73" s="1"/>
  <c r="E57" i="5"/>
  <c r="C18" i="73"/>
  <c r="H18" i="73" s="1"/>
  <c r="E53" i="5"/>
  <c r="C14" i="73" s="1"/>
  <c r="E49" i="5"/>
  <c r="C10" i="73"/>
  <c r="F9" i="73" s="1"/>
  <c r="B69" i="5"/>
  <c r="F9" i="74"/>
  <c r="G9" i="74"/>
  <c r="H9" i="74"/>
  <c r="I9" i="74"/>
  <c r="F10" i="74"/>
  <c r="G10" i="74"/>
  <c r="H10" i="74"/>
  <c r="I10" i="74"/>
  <c r="F11" i="74"/>
  <c r="G11" i="74"/>
  <c r="H11" i="74"/>
  <c r="I11" i="74"/>
  <c r="F12" i="74"/>
  <c r="G12" i="74"/>
  <c r="H12" i="74"/>
  <c r="I12" i="74"/>
  <c r="F13" i="74"/>
  <c r="G13" i="74"/>
  <c r="H13" i="74"/>
  <c r="I13" i="74"/>
  <c r="F14" i="74"/>
  <c r="G14" i="74"/>
  <c r="H14" i="74"/>
  <c r="I14" i="74"/>
  <c r="F15" i="74"/>
  <c r="G15" i="74"/>
  <c r="H15" i="74"/>
  <c r="I15" i="74"/>
  <c r="F16" i="74"/>
  <c r="G16" i="74"/>
  <c r="H16" i="74"/>
  <c r="I16" i="74"/>
  <c r="F17" i="74"/>
  <c r="G17" i="74"/>
  <c r="H17" i="74"/>
  <c r="I17" i="74"/>
  <c r="F18" i="74"/>
  <c r="G18" i="74"/>
  <c r="H18" i="74"/>
  <c r="I18" i="74"/>
  <c r="F19" i="74"/>
  <c r="G19" i="74"/>
  <c r="H19" i="74"/>
  <c r="I19" i="74"/>
  <c r="E10" i="74"/>
  <c r="E11" i="74"/>
  <c r="E12" i="74"/>
  <c r="E13" i="74"/>
  <c r="E14" i="74"/>
  <c r="E15" i="74"/>
  <c r="E16" i="74"/>
  <c r="E17" i="74"/>
  <c r="E18" i="74"/>
  <c r="E19" i="74"/>
  <c r="E9" i="74"/>
  <c r="G8" i="74"/>
  <c r="D71" i="5"/>
  <c r="C7" i="74"/>
  <c r="D70" i="5"/>
  <c r="C6" i="74" s="1"/>
  <c r="E7" i="74" s="1"/>
  <c r="A47" i="73"/>
  <c r="J31" i="73" s="1"/>
  <c r="E45" i="5"/>
  <c r="C6" i="73"/>
  <c r="D26" i="73"/>
  <c r="D48" i="73" s="1"/>
  <c r="D27" i="73"/>
  <c r="D49" i="73"/>
  <c r="D25" i="73"/>
  <c r="D22" i="73"/>
  <c r="D45" i="73" s="1"/>
  <c r="D23" i="73"/>
  <c r="D46" i="73" s="1"/>
  <c r="D21" i="73"/>
  <c r="D44" i="73"/>
  <c r="B44" i="73" s="1"/>
  <c r="D18" i="73"/>
  <c r="D42" i="73" s="1"/>
  <c r="D19" i="73"/>
  <c r="D43" i="73" s="1"/>
  <c r="D17" i="73"/>
  <c r="D41" i="73" s="1"/>
  <c r="D14" i="73"/>
  <c r="D39" i="73" s="1"/>
  <c r="D15" i="73"/>
  <c r="D40" i="73" s="1"/>
  <c r="D13" i="73"/>
  <c r="D38" i="73" s="1"/>
  <c r="D10" i="73"/>
  <c r="D36" i="73" s="1"/>
  <c r="D11" i="73"/>
  <c r="D37" i="73" s="1"/>
  <c r="D9" i="73"/>
  <c r="D35" i="73" s="1"/>
  <c r="D6" i="73"/>
  <c r="D33" i="73" s="1"/>
  <c r="D7" i="73"/>
  <c r="D34" i="73" s="1"/>
  <c r="D5" i="73"/>
  <c r="D32" i="73"/>
  <c r="B32" i="73" s="1"/>
  <c r="J3" i="73"/>
  <c r="I3" i="73"/>
  <c r="I31" i="73"/>
  <c r="H3" i="73"/>
  <c r="H31" i="73" s="1"/>
  <c r="G3" i="73"/>
  <c r="G31" i="73"/>
  <c r="F3" i="73"/>
  <c r="E3" i="73"/>
  <c r="E66" i="5"/>
  <c r="C27" i="73"/>
  <c r="E64" i="5"/>
  <c r="C25" i="73" s="1"/>
  <c r="E62" i="5"/>
  <c r="C23" i="73"/>
  <c r="E60" i="5"/>
  <c r="C21" i="73" s="1"/>
  <c r="E58" i="5"/>
  <c r="C19" i="73"/>
  <c r="E56" i="5"/>
  <c r="C17" i="73" s="1"/>
  <c r="E54" i="5"/>
  <c r="C15" i="73"/>
  <c r="G15" i="73" s="1"/>
  <c r="E52" i="5"/>
  <c r="C13" i="73" s="1"/>
  <c r="G13" i="73" s="1"/>
  <c r="E46" i="5"/>
  <c r="C7" i="73"/>
  <c r="E44" i="5"/>
  <c r="C5" i="73" s="1"/>
  <c r="E5" i="73" s="1"/>
  <c r="E50" i="5"/>
  <c r="C11" i="73"/>
  <c r="E48" i="5"/>
  <c r="C9" i="73" s="1"/>
  <c r="A44" i="73"/>
  <c r="A41" i="73"/>
  <c r="A38" i="73"/>
  <c r="A35" i="73"/>
  <c r="A32" i="73"/>
  <c r="F31" i="73"/>
  <c r="E31" i="73"/>
  <c r="B29" i="76"/>
  <c r="B31" i="76" s="1"/>
  <c r="B35" i="76"/>
  <c r="B30" i="76"/>
  <c r="B32" i="76" s="1"/>
  <c r="B33" i="76" s="1"/>
  <c r="B36" i="76" s="1"/>
  <c r="E146" i="5"/>
  <c r="E147" i="5"/>
  <c r="D62" i="75" s="1"/>
  <c r="D76" i="75" s="1"/>
  <c r="E148" i="5"/>
  <c r="E149" i="5" s="1"/>
  <c r="E132" i="5"/>
  <c r="E133" i="5"/>
  <c r="D48" i="75" s="1"/>
  <c r="E134" i="5"/>
  <c r="D4" i="75"/>
  <c r="D89" i="75" s="1"/>
  <c r="D47" i="75"/>
  <c r="G144" i="5"/>
  <c r="G17" i="75"/>
  <c r="E17" i="75"/>
  <c r="C23" i="5"/>
  <c r="E27" i="5"/>
  <c r="E29" i="5"/>
  <c r="E31" i="5"/>
  <c r="C27" i="5"/>
  <c r="C30" i="5" s="1"/>
  <c r="C32" i="5" s="1"/>
  <c r="F27" i="5"/>
  <c r="F29" i="5"/>
  <c r="B27" i="5"/>
  <c r="B29" i="5" s="1"/>
  <c r="B31" i="5" s="1"/>
  <c r="E24" i="5"/>
  <c r="E23" i="5"/>
  <c r="B23" i="5"/>
  <c r="D30" i="5"/>
  <c r="D32" i="5" s="1"/>
  <c r="F21" i="5"/>
  <c r="E21" i="5"/>
  <c r="D21" i="5"/>
  <c r="B21" i="5"/>
  <c r="E104" i="5"/>
  <c r="C24" i="5"/>
  <c r="F71" i="5"/>
  <c r="E74" i="5"/>
  <c r="D47" i="73"/>
  <c r="B47" i="73" s="1"/>
  <c r="I21" i="73"/>
  <c r="I22" i="73"/>
  <c r="I23" i="73"/>
  <c r="H19" i="73"/>
  <c r="H17" i="73"/>
  <c r="G14" i="73"/>
  <c r="F10" i="73"/>
  <c r="F11" i="73"/>
  <c r="E7" i="73"/>
  <c r="E6" i="73"/>
  <c r="D63" i="75"/>
  <c r="D77" i="75"/>
  <c r="D61" i="75"/>
  <c r="D75" i="75"/>
  <c r="E30" i="5"/>
  <c r="E32" i="5"/>
  <c r="G116" i="5"/>
  <c r="F31" i="75" s="1"/>
  <c r="F30" i="5"/>
  <c r="F32" i="5"/>
  <c r="B30" i="5"/>
  <c r="B32" i="5" s="1"/>
  <c r="H116" i="5"/>
  <c r="I116" i="5"/>
  <c r="G31" i="75"/>
  <c r="E118" i="5"/>
  <c r="E119" i="5" s="1"/>
  <c r="D33" i="75"/>
  <c r="J116" i="5"/>
  <c r="I31" i="75" s="1"/>
  <c r="H31" i="75"/>
  <c r="K116" i="5"/>
  <c r="J31" i="75" s="1"/>
  <c r="L116" i="5"/>
  <c r="K31" i="75" s="1"/>
  <c r="B38" i="73" l="1"/>
  <c r="B41" i="73"/>
  <c r="K80" i="75"/>
  <c r="K95" i="75" s="1"/>
  <c r="G74" i="75"/>
  <c r="G89" i="75" s="1"/>
  <c r="H75" i="75"/>
  <c r="E76" i="75"/>
  <c r="E91" i="75" s="1"/>
  <c r="K78" i="75"/>
  <c r="K93" i="75" s="1"/>
  <c r="O78" i="75"/>
  <c r="O93" i="75" s="1"/>
  <c r="E80" i="75"/>
  <c r="E95" i="75" s="1"/>
  <c r="F81" i="75"/>
  <c r="F96" i="75" s="1"/>
  <c r="J81" i="75"/>
  <c r="J96" i="75" s="1"/>
  <c r="N81" i="75"/>
  <c r="N96" i="75" s="1"/>
  <c r="K82" i="75"/>
  <c r="K97" i="75" s="1"/>
  <c r="H83" i="75"/>
  <c r="E84" i="75"/>
  <c r="I84" i="75"/>
  <c r="I99" i="75" s="1"/>
  <c r="J75" i="75"/>
  <c r="J90" i="75" s="1"/>
  <c r="I78" i="75"/>
  <c r="I93" i="75" s="1"/>
  <c r="I82" i="75"/>
  <c r="I97" i="75" s="1"/>
  <c r="J83" i="75"/>
  <c r="J98" i="75" s="1"/>
  <c r="N84" i="75"/>
  <c r="M75" i="75"/>
  <c r="M90" i="75" s="1"/>
  <c r="E79" i="75"/>
  <c r="E94" i="75" s="1"/>
  <c r="N76" i="75"/>
  <c r="N91" i="75" s="1"/>
  <c r="L78" i="75"/>
  <c r="L93" i="75" s="1"/>
  <c r="N80" i="75"/>
  <c r="N95" i="75" s="1"/>
  <c r="E83" i="75"/>
  <c r="E98" i="75" s="1"/>
  <c r="M79" i="75"/>
  <c r="M94" i="75" s="1"/>
  <c r="E75" i="75"/>
  <c r="E90" i="75" s="1"/>
  <c r="O77" i="75"/>
  <c r="O92" i="75" s="1"/>
  <c r="F80" i="75"/>
  <c r="F95" i="75" s="1"/>
  <c r="O81" i="75"/>
  <c r="F84" i="75"/>
  <c r="F99" i="75" s="1"/>
  <c r="M74" i="75"/>
  <c r="M89" i="75" s="1"/>
  <c r="K76" i="75"/>
  <c r="K91" i="75" s="1"/>
  <c r="E78" i="75"/>
  <c r="E93" i="75" s="1"/>
  <c r="J79" i="75"/>
  <c r="J94" i="75" s="1"/>
  <c r="G80" i="75"/>
  <c r="G95" i="75" s="1"/>
  <c r="O80" i="75"/>
  <c r="O95" i="75" s="1"/>
  <c r="E82" i="75"/>
  <c r="E97" i="75" s="1"/>
  <c r="M82" i="75"/>
  <c r="M97" i="75" s="1"/>
  <c r="N83" i="75"/>
  <c r="N98" i="75" s="1"/>
  <c r="G84" i="75"/>
  <c r="G99" i="75" s="1"/>
  <c r="K84" i="75"/>
  <c r="K99" i="75" s="1"/>
  <c r="O84" i="75"/>
  <c r="O99" i="75" s="1"/>
  <c r="F75" i="75"/>
  <c r="F90" i="75" s="1"/>
  <c r="G76" i="75"/>
  <c r="G91" i="75" s="1"/>
  <c r="L77" i="75"/>
  <c r="L92" i="75" s="1"/>
  <c r="F79" i="75"/>
  <c r="F94" i="75" s="1"/>
  <c r="N79" i="75"/>
  <c r="N94" i="75" s="1"/>
  <c r="I74" i="75"/>
  <c r="I89" i="75" s="1"/>
  <c r="N75" i="75"/>
  <c r="N90" i="75" s="1"/>
  <c r="O76" i="75"/>
  <c r="O91" i="75" s="1"/>
  <c r="M78" i="75"/>
  <c r="M93" i="75" s="1"/>
  <c r="F83" i="75"/>
  <c r="F98" i="75" s="1"/>
  <c r="L80" i="75"/>
  <c r="L95" i="75" s="1"/>
  <c r="E81" i="75"/>
  <c r="E96" i="75" s="1"/>
  <c r="F82" i="75"/>
  <c r="F97" i="75" s="1"/>
  <c r="B35" i="5"/>
  <c r="B24" i="5"/>
  <c r="B25" i="5" s="1"/>
  <c r="E35" i="5"/>
  <c r="F24" i="5"/>
  <c r="K79" i="75"/>
  <c r="K94" i="75" s="1"/>
  <c r="K83" i="75"/>
  <c r="L76" i="75"/>
  <c r="L91" i="75" s="1"/>
  <c r="F78" i="75"/>
  <c r="F93" i="75" s="1"/>
  <c r="N82" i="75"/>
  <c r="N97" i="75" s="1"/>
  <c r="L84" i="75"/>
  <c r="L99" i="75" s="1"/>
  <c r="E25" i="5"/>
  <c r="J26" i="73"/>
  <c r="J27" i="73"/>
  <c r="E33" i="5"/>
  <c r="C29" i="5"/>
  <c r="F23" i="5"/>
  <c r="D25" i="5"/>
  <c r="C25" i="5"/>
  <c r="C32" i="73"/>
  <c r="E32" i="73" s="1"/>
  <c r="E33" i="73" s="1"/>
  <c r="E34" i="73" s="1"/>
  <c r="B35" i="73"/>
  <c r="E120" i="5"/>
  <c r="D34" i="75"/>
  <c r="M116" i="5"/>
  <c r="H90" i="75"/>
  <c r="E75" i="5"/>
  <c r="D9" i="74"/>
  <c r="E105" i="5"/>
  <c r="D19" i="75"/>
  <c r="C35" i="73"/>
  <c r="F35" i="73" s="1"/>
  <c r="F36" i="73" s="1"/>
  <c r="F37" i="73" s="1"/>
  <c r="C38" i="73"/>
  <c r="G38" i="73" s="1"/>
  <c r="C41" i="73"/>
  <c r="H41" i="73" s="1"/>
  <c r="H42" i="73" s="1"/>
  <c r="H43" i="73" s="1"/>
  <c r="B33" i="5"/>
  <c r="E135" i="5"/>
  <c r="D49" i="75"/>
  <c r="D31" i="5"/>
  <c r="D35" i="5" s="1"/>
  <c r="F31" i="5"/>
  <c r="C31" i="5"/>
  <c r="C35" i="5" s="1"/>
  <c r="E150" i="5"/>
  <c r="D64" i="75"/>
  <c r="D78" i="75" s="1"/>
  <c r="J25" i="73"/>
  <c r="H130" i="5"/>
  <c r="F45" i="75"/>
  <c r="N99" i="75"/>
  <c r="H98" i="75"/>
  <c r="J80" i="75"/>
  <c r="J95" i="75" s="1"/>
  <c r="J84" i="75"/>
  <c r="J99" i="75" s="1"/>
  <c r="F74" i="75"/>
  <c r="F89" i="75" s="1"/>
  <c r="E77" i="75"/>
  <c r="E92" i="75" s="1"/>
  <c r="N78" i="75"/>
  <c r="N93" i="75" s="1"/>
  <c r="J82" i="75"/>
  <c r="J97" i="75" s="1"/>
  <c r="E74" i="75"/>
  <c r="E89" i="75" s="1"/>
  <c r="H77" i="75"/>
  <c r="H92" i="75" s="1"/>
  <c r="H81" i="75"/>
  <c r="H96" i="75" s="1"/>
  <c r="L81" i="75"/>
  <c r="L96" i="75" s="1"/>
  <c r="C47" i="73"/>
  <c r="J47" i="73" s="1"/>
  <c r="J48" i="73" s="1"/>
  <c r="J49" i="73" s="1"/>
  <c r="G88" i="5"/>
  <c r="J102" i="5"/>
  <c r="H17" i="75"/>
  <c r="E99" i="75"/>
  <c r="K98" i="75"/>
  <c r="F76" i="75"/>
  <c r="F91" i="75" s="1"/>
  <c r="G77" i="75"/>
  <c r="G92" i="75" s="1"/>
  <c r="I83" i="75"/>
  <c r="I98" i="75" s="1"/>
  <c r="M83" i="75"/>
  <c r="M98" i="75" s="1"/>
  <c r="O74" i="75"/>
  <c r="O89" i="75" s="1"/>
  <c r="I76" i="75"/>
  <c r="I91" i="75" s="1"/>
  <c r="L79" i="75"/>
  <c r="L94" i="75" s="1"/>
  <c r="H144" i="5"/>
  <c r="F59" i="75"/>
  <c r="F73" i="75" s="1"/>
  <c r="C44" i="73"/>
  <c r="I44" i="73" s="1"/>
  <c r="E91" i="5"/>
  <c r="D5" i="75"/>
  <c r="D90" i="75" s="1"/>
  <c r="L74" i="75"/>
  <c r="L89" i="75" s="1"/>
  <c r="I75" i="75"/>
  <c r="I90" i="75" s="1"/>
  <c r="I79" i="75"/>
  <c r="I94" i="75" s="1"/>
  <c r="G81" i="75"/>
  <c r="G96" i="75" s="1"/>
  <c r="L82" i="75"/>
  <c r="L97" i="75" s="1"/>
  <c r="K74" i="75"/>
  <c r="K89" i="75" s="1"/>
  <c r="L75" i="75"/>
  <c r="L90" i="75" s="1"/>
  <c r="M76" i="75"/>
  <c r="M91" i="75" s="1"/>
  <c r="F77" i="75"/>
  <c r="F92" i="75" s="1"/>
  <c r="J77" i="75"/>
  <c r="J92" i="75" s="1"/>
  <c r="N77" i="75"/>
  <c r="N92" i="75" s="1"/>
  <c r="G78" i="75"/>
  <c r="G93" i="75" s="1"/>
  <c r="H79" i="75"/>
  <c r="H94" i="75" s="1"/>
  <c r="I80" i="75"/>
  <c r="I95" i="75" s="1"/>
  <c r="M80" i="75"/>
  <c r="M95" i="75" s="1"/>
  <c r="G82" i="75"/>
  <c r="G97" i="75" s="1"/>
  <c r="O82" i="75"/>
  <c r="O97" i="75" s="1"/>
  <c r="L83" i="75"/>
  <c r="L98" i="75" s="1"/>
  <c r="M84" i="75"/>
  <c r="M99" i="75" s="1"/>
  <c r="J74" i="75"/>
  <c r="J89" i="75" s="1"/>
  <c r="N74" i="75"/>
  <c r="N89" i="75" s="1"/>
  <c r="G75" i="75"/>
  <c r="G90" i="75" s="1"/>
  <c r="K75" i="75"/>
  <c r="K90" i="75" s="1"/>
  <c r="O75" i="75"/>
  <c r="O90" i="75" s="1"/>
  <c r="H76" i="75"/>
  <c r="H91" i="75" s="1"/>
  <c r="I77" i="75"/>
  <c r="I92" i="75" s="1"/>
  <c r="M77" i="75"/>
  <c r="M92" i="75" s="1"/>
  <c r="J78" i="75"/>
  <c r="J93" i="75" s="1"/>
  <c r="G79" i="75"/>
  <c r="G94" i="75" s="1"/>
  <c r="O79" i="75"/>
  <c r="O94" i="75" s="1"/>
  <c r="H80" i="75"/>
  <c r="H95" i="75" s="1"/>
  <c r="I81" i="75"/>
  <c r="I96" i="75" s="1"/>
  <c r="M81" i="75"/>
  <c r="M96" i="75" s="1"/>
  <c r="G83" i="75"/>
  <c r="G98" i="75" s="1"/>
  <c r="O83" i="75"/>
  <c r="O98" i="75" s="1"/>
  <c r="H84" i="75"/>
  <c r="H99" i="75" s="1"/>
  <c r="O96" i="75"/>
  <c r="H74" i="75"/>
  <c r="H89" i="75" s="1"/>
  <c r="J76" i="75"/>
  <c r="J91" i="75" s="1"/>
  <c r="K77" i="75"/>
  <c r="K92" i="75" s="1"/>
  <c r="H78" i="75"/>
  <c r="H93" i="75" s="1"/>
  <c r="K81" i="75"/>
  <c r="K96" i="75" s="1"/>
  <c r="H82" i="75"/>
  <c r="H97" i="75" s="1"/>
  <c r="B25" i="76"/>
  <c r="B38" i="76" s="1"/>
  <c r="F25" i="5" l="1"/>
  <c r="E36" i="5"/>
  <c r="E38" i="5" s="1"/>
  <c r="I73" i="5" s="1"/>
  <c r="B36" i="5"/>
  <c r="B38" i="5" s="1"/>
  <c r="I144" i="5"/>
  <c r="G59" i="75"/>
  <c r="G73" i="75" s="1"/>
  <c r="H88" i="5"/>
  <c r="F3" i="75"/>
  <c r="F88" i="75" s="1"/>
  <c r="D33" i="5"/>
  <c r="D36" i="5" s="1"/>
  <c r="D38" i="5" s="1"/>
  <c r="E121" i="5"/>
  <c r="D35" i="75"/>
  <c r="E92" i="5"/>
  <c r="D6" i="75"/>
  <c r="D91" i="75" s="1"/>
  <c r="D65" i="75"/>
  <c r="D79" i="75" s="1"/>
  <c r="E151" i="5"/>
  <c r="G39" i="73"/>
  <c r="G40" i="73"/>
  <c r="E106" i="5"/>
  <c r="D20" i="75"/>
  <c r="I45" i="73"/>
  <c r="I46" i="73"/>
  <c r="I130" i="5"/>
  <c r="G45" i="75"/>
  <c r="E136" i="5"/>
  <c r="D50" i="75"/>
  <c r="N116" i="5"/>
  <c r="L31" i="75"/>
  <c r="I17" i="75"/>
  <c r="K102" i="5"/>
  <c r="F35" i="5"/>
  <c r="F33" i="5"/>
  <c r="C33" i="5"/>
  <c r="C36" i="5" s="1"/>
  <c r="C38" i="5" s="1"/>
  <c r="E76" i="5"/>
  <c r="D10" i="74"/>
  <c r="F47" i="5" l="1"/>
  <c r="F59" i="5"/>
  <c r="F73" i="5"/>
  <c r="F63" i="5"/>
  <c r="F55" i="5"/>
  <c r="E130" i="5"/>
  <c r="F51" i="5"/>
  <c r="F36" i="5"/>
  <c r="F38" i="5" s="1"/>
  <c r="J73" i="5" s="1"/>
  <c r="E77" i="5"/>
  <c r="D11" i="74"/>
  <c r="J17" i="75"/>
  <c r="L102" i="5"/>
  <c r="E152" i="5"/>
  <c r="D66" i="75"/>
  <c r="D80" i="75" s="1"/>
  <c r="I88" i="5"/>
  <c r="G3" i="75"/>
  <c r="G88" i="75" s="1"/>
  <c r="G73" i="5"/>
  <c r="E102" i="5"/>
  <c r="E137" i="5"/>
  <c r="D51" i="75"/>
  <c r="E107" i="5"/>
  <c r="D21" i="75"/>
  <c r="D36" i="75"/>
  <c r="E122" i="5"/>
  <c r="E116" i="5"/>
  <c r="H73" i="5"/>
  <c r="J144" i="5"/>
  <c r="H59" i="75"/>
  <c r="H73" i="75" s="1"/>
  <c r="M31" i="75"/>
  <c r="O116" i="5"/>
  <c r="H45" i="75"/>
  <c r="J130" i="5"/>
  <c r="E93" i="5"/>
  <c r="D7" i="75"/>
  <c r="D92" i="75" s="1"/>
  <c r="E144" i="5" l="1"/>
  <c r="I45" i="75"/>
  <c r="K130" i="5"/>
  <c r="K144" i="5"/>
  <c r="I59" i="75"/>
  <c r="I73" i="75" s="1"/>
  <c r="E108" i="5"/>
  <c r="D22" i="75"/>
  <c r="E153" i="5"/>
  <c r="D67" i="75"/>
  <c r="D81" i="75" s="1"/>
  <c r="D12" i="74"/>
  <c r="E78" i="5"/>
  <c r="N31" i="75"/>
  <c r="P116" i="5"/>
  <c r="O31" i="75" s="1"/>
  <c r="E123" i="5"/>
  <c r="D37" i="75"/>
  <c r="K17" i="75"/>
  <c r="M102" i="5"/>
  <c r="D8" i="75"/>
  <c r="D93" i="75" s="1"/>
  <c r="E94" i="5"/>
  <c r="D52" i="75"/>
  <c r="E138" i="5"/>
  <c r="J88" i="5"/>
  <c r="H3" i="75"/>
  <c r="H88" i="75" s="1"/>
  <c r="D68" i="75" l="1"/>
  <c r="D82" i="75" s="1"/>
  <c r="E154" i="5"/>
  <c r="L144" i="5"/>
  <c r="J59" i="75"/>
  <c r="J73" i="75" s="1"/>
  <c r="D9" i="75"/>
  <c r="D94" i="75" s="1"/>
  <c r="E95" i="5"/>
  <c r="D13" i="74"/>
  <c r="E79" i="5"/>
  <c r="L130" i="5"/>
  <c r="J45" i="75"/>
  <c r="I3" i="75"/>
  <c r="I88" i="75" s="1"/>
  <c r="K88" i="5"/>
  <c r="E124" i="5"/>
  <c r="D38" i="75"/>
  <c r="E109" i="5"/>
  <c r="D23" i="75"/>
  <c r="E139" i="5"/>
  <c r="D53" i="75"/>
  <c r="N102" i="5"/>
  <c r="L17" i="75"/>
  <c r="E96" i="5" l="1"/>
  <c r="D10" i="75"/>
  <c r="D95" i="75" s="1"/>
  <c r="E155" i="5"/>
  <c r="D70" i="75" s="1"/>
  <c r="D84" i="75" s="1"/>
  <c r="D69" i="75"/>
  <c r="D83" i="75" s="1"/>
  <c r="E140" i="5"/>
  <c r="D54" i="75"/>
  <c r="D39" i="75"/>
  <c r="E125" i="5"/>
  <c r="M130" i="5"/>
  <c r="K45" i="75"/>
  <c r="J3" i="75"/>
  <c r="J88" i="75" s="1"/>
  <c r="L88" i="5"/>
  <c r="E80" i="5"/>
  <c r="D14" i="74"/>
  <c r="O102" i="5"/>
  <c r="M17" i="75"/>
  <c r="D24" i="75"/>
  <c r="E110" i="5"/>
  <c r="M144" i="5"/>
  <c r="K59" i="75"/>
  <c r="K73" i="75" s="1"/>
  <c r="N144" i="5" l="1"/>
  <c r="L59" i="75"/>
  <c r="L73" i="75" s="1"/>
  <c r="N17" i="75"/>
  <c r="P102" i="5"/>
  <c r="O17" i="75" s="1"/>
  <c r="D25" i="75"/>
  <c r="E111" i="5"/>
  <c r="D15" i="74"/>
  <c r="E81" i="5"/>
  <c r="N130" i="5"/>
  <c r="L45" i="75"/>
  <c r="E141" i="5"/>
  <c r="D56" i="75" s="1"/>
  <c r="D55" i="75"/>
  <c r="E97" i="5"/>
  <c r="D11" i="75"/>
  <c r="D96" i="75" s="1"/>
  <c r="M88" i="5"/>
  <c r="K3" i="75"/>
  <c r="K88" i="75" s="1"/>
  <c r="D40" i="75"/>
  <c r="E126" i="5"/>
  <c r="E127" i="5" l="1"/>
  <c r="D42" i="75" s="1"/>
  <c r="D41" i="75"/>
  <c r="D26" i="75"/>
  <c r="E112" i="5"/>
  <c r="E98" i="5"/>
  <c r="D12" i="75"/>
  <c r="D97" i="75" s="1"/>
  <c r="M45" i="75"/>
  <c r="O130" i="5"/>
  <c r="M59" i="75"/>
  <c r="M73" i="75" s="1"/>
  <c r="O144" i="5"/>
  <c r="E82" i="5"/>
  <c r="D16" i="74"/>
  <c r="L3" i="75"/>
  <c r="L88" i="75" s="1"/>
  <c r="N88" i="5"/>
  <c r="E83" i="5" l="1"/>
  <c r="D17" i="74"/>
  <c r="O88" i="5"/>
  <c r="M3" i="75"/>
  <c r="M88" i="75" s="1"/>
  <c r="N59" i="75"/>
  <c r="N73" i="75" s="1"/>
  <c r="P144" i="5"/>
  <c r="O59" i="75" s="1"/>
  <c r="O73" i="75" s="1"/>
  <c r="D13" i="75"/>
  <c r="D98" i="75" s="1"/>
  <c r="E99" i="5"/>
  <c r="D14" i="75" s="1"/>
  <c r="D99" i="75" s="1"/>
  <c r="P130" i="5"/>
  <c r="O45" i="75" s="1"/>
  <c r="N45" i="75"/>
  <c r="D27" i="75"/>
  <c r="E113" i="5"/>
  <c r="D28" i="75" s="1"/>
  <c r="E84" i="5" l="1"/>
  <c r="D19" i="74" s="1"/>
  <c r="D18" i="74"/>
  <c r="P88" i="5"/>
  <c r="O3" i="75" s="1"/>
  <c r="O88" i="75" s="1"/>
  <c r="N3" i="75"/>
  <c r="N88" i="7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clihec3</author>
    <author>Utilisateur de Microsoft Office</author>
  </authors>
  <commentList>
    <comment ref="A4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 xml:space="preserve">On peut utiliser l'outil "table de données" (dans Données-&gt;Table de données) pour mesurer la performance sous différentes valeurs d'un paramètre. Ainsi, il est possible de mesurer la sensibilité de la performance par rapport à des changements de ce paramète.
</t>
        </r>
      </text>
    </comment>
    <comment ref="E43" authorId="1" shapeId="0" xr:uid="{00000000-0006-0000-0100-000002000000}">
      <text>
        <r>
          <rPr>
            <sz val="10"/>
            <color indexed="81"/>
            <rFont val="Calibri"/>
          </rPr>
          <t>1) Écrire "=B38" dans la cellule F43
2) Selectionner les cellules E43:F46
3) àactiver la fonctionnalité Table de données (Données-&gt;Table de données)
4) Choisir la cellule B4 comme "cellule d'entrée en colonne"</t>
        </r>
      </text>
    </comment>
    <comment ref="E88" authorId="1" shapeId="0" xr:uid="{00000000-0006-0000-0100-000003000000}">
      <text>
        <r>
          <rPr>
            <b/>
            <sz val="10"/>
            <color indexed="81"/>
            <rFont val="Calibri"/>
          </rPr>
          <t>1) Écrire "=B38" dans la cellule E87
2) Sélectionner les cellules E88:P99
3) Activer la fonctionnalité "Table de données"
4) Sélectionner la cellule B4 comme "cellule d'entrée en ligne" et B10 comme "cellule d'entrée en colonne"</t>
        </r>
      </text>
    </comment>
  </commentList>
</comments>
</file>

<file path=xl/sharedStrings.xml><?xml version="1.0" encoding="utf-8"?>
<sst xmlns="http://schemas.openxmlformats.org/spreadsheetml/2006/main" count="164" uniqueCount="62">
  <si>
    <t>Maximum</t>
  </si>
  <si>
    <t>Valeurs</t>
  </si>
  <si>
    <t>Borne Inf</t>
  </si>
  <si>
    <t>Borne Sup</t>
  </si>
  <si>
    <t>Frais de compensation environnemental</t>
  </si>
  <si>
    <t>($/g de CFC déversé)</t>
  </si>
  <si>
    <t>Coût de recherche (en millions de dollars)</t>
  </si>
  <si>
    <t>Entreprendre recherche</t>
  </si>
  <si>
    <t>Profits des ventes (en millions de dollars)</t>
  </si>
  <si>
    <t>assumant 1$/g de profit</t>
  </si>
  <si>
    <t>Coûts recherche (en millions de dollars)</t>
  </si>
  <si>
    <t>Coûts environnementaux (en millions de dollars)</t>
  </si>
  <si>
    <t>Profits (en millions de dollars)</t>
  </si>
  <si>
    <t>Dupont découvre alternative</t>
  </si>
  <si>
    <t>Marché en phase 2 (en tonnes)</t>
  </si>
  <si>
    <t xml:space="preserve">Part du marché CFC selon loi </t>
  </si>
  <si>
    <t>Production CFC</t>
  </si>
  <si>
    <t>Profit Total (en millions de dollars)</t>
  </si>
  <si>
    <t xml:space="preserve">Succès si recherche : Valeur </t>
  </si>
  <si>
    <t>Vente CFC</t>
  </si>
  <si>
    <t>Vente alternative</t>
  </si>
  <si>
    <t>Production Phase 2</t>
  </si>
  <si>
    <t>Production alternative</t>
  </si>
  <si>
    <t>Produire Phase I</t>
  </si>
  <si>
    <t>probable</t>
  </si>
  <si>
    <t>min</t>
  </si>
  <si>
    <t>max</t>
  </si>
  <si>
    <t>élevé</t>
  </si>
  <si>
    <t>bas</t>
  </si>
  <si>
    <t>Marché Phase 1</t>
  </si>
  <si>
    <t>Coût de recherche</t>
  </si>
  <si>
    <t>Succès si recherche</t>
  </si>
  <si>
    <t>Marché Phase 2</t>
  </si>
  <si>
    <t>Part du marché Phase 2</t>
  </si>
  <si>
    <t>Nominal</t>
  </si>
  <si>
    <t>Arrêter tout</t>
  </si>
  <si>
    <t>Recherche + Produire Phase 1 et 2</t>
  </si>
  <si>
    <t>Paramètres</t>
  </si>
  <si>
    <t>Décisions</t>
  </si>
  <si>
    <t>Conséquences</t>
  </si>
  <si>
    <t>Phase I</t>
  </si>
  <si>
    <t>Phase I --&gt; II</t>
  </si>
  <si>
    <t>Phase II</t>
  </si>
  <si>
    <t>Marché en phase 1 (en tonnes)</t>
  </si>
  <si>
    <t>Rech. + Prod. Phase 1 &amp; 2</t>
  </si>
  <si>
    <t>Rech. + Prod. Phase 2</t>
  </si>
  <si>
    <t>Prod. CFC Phase 1 et 2</t>
  </si>
  <si>
    <t>Prod. CFC Phase 1</t>
  </si>
  <si>
    <t>Frais de compensation environnementale</t>
  </si>
  <si>
    <t>Analyse de sensibilité</t>
  </si>
  <si>
    <t>Sensibilité de la performance</t>
  </si>
  <si>
    <t>Sensibilité de la décision (1 paramètre)</t>
  </si>
  <si>
    <t>Sensibilité de la décision (2 paramètres)</t>
  </si>
  <si>
    <t>Paramètre</t>
  </si>
  <si>
    <t>Profit total</t>
  </si>
  <si>
    <t>taille des pas</t>
  </si>
  <si>
    <t>Table de sensibilité</t>
  </si>
  <si>
    <t>Diagramme Tornade</t>
  </si>
  <si>
    <t>Diagramme Araignée</t>
  </si>
  <si>
    <t>nb de pas</t>
  </si>
  <si>
    <t>Profit</t>
  </si>
  <si>
    <t>Décision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</si>
</sst>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0\ &quot;$&quot;_-;[Red]#,##0.00\ &quot;$&quot;\-"/>
    <numFmt numFmtId="166" formatCode="0.00_ ;[Red]\-0.00\ "/>
    <numFmt numFmtId="167" formatCode="0.0%"/>
    <numFmt numFmtId="168" formatCode="0.0_ ;[Red]\-0.0\ "/>
  </numFmts>
  <fonts count="8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  <font>
      <b/>
      <sz val="8"/>
      <color indexed="81"/>
      <name val="Tahoma"/>
      <family val="2"/>
    </font>
    <font>
      <sz val="10"/>
      <color indexed="81"/>
      <name val="Calibri"/>
    </font>
    <font>
      <b/>
      <sz val="10"/>
      <color indexed="8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</cellStyleXfs>
  <cellXfs count="60">
    <xf numFmtId="0" fontId="0" fillId="0" borderId="0" xfId="0"/>
    <xf numFmtId="0" fontId="0" fillId="0" borderId="0" xfId="0" applyAlignment="1">
      <alignment horizontal="right" vertical="center"/>
    </xf>
    <xf numFmtId="0" fontId="0" fillId="2" borderId="0" xfId="0" applyNumberFormat="1" applyFill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ill="1"/>
    <xf numFmtId="0" fontId="3" fillId="0" borderId="0" xfId="2"/>
    <xf numFmtId="0" fontId="3" fillId="5" borderId="0" xfId="2" applyFill="1"/>
    <xf numFmtId="9" fontId="0" fillId="0" borderId="0" xfId="3" applyFont="1"/>
    <xf numFmtId="2" fontId="3" fillId="5" borderId="0" xfId="2" applyNumberFormat="1" applyFill="1"/>
    <xf numFmtId="0" fontId="3" fillId="6" borderId="0" xfId="2" applyFill="1"/>
    <xf numFmtId="2" fontId="3" fillId="6" borderId="0" xfId="2" applyNumberFormat="1" applyFill="1"/>
    <xf numFmtId="9" fontId="3" fillId="6" borderId="0" xfId="2" applyNumberFormat="1" applyFill="1"/>
    <xf numFmtId="164" fontId="3" fillId="0" borderId="0" xfId="2" applyNumberFormat="1"/>
    <xf numFmtId="0" fontId="3" fillId="6" borderId="0" xfId="2" applyFont="1" applyFill="1"/>
    <xf numFmtId="0" fontId="3" fillId="6" borderId="1" xfId="2" applyFill="1" applyBorder="1"/>
    <xf numFmtId="0" fontId="3" fillId="0" borderId="0" xfId="2" applyFont="1"/>
    <xf numFmtId="0" fontId="3" fillId="0" borderId="1" xfId="2" applyFont="1" applyBorder="1" applyAlignment="1">
      <alignment horizontal="center"/>
    </xf>
    <xf numFmtId="0" fontId="3" fillId="0" borderId="1" xfId="2" applyBorder="1"/>
    <xf numFmtId="9" fontId="0" fillId="0" borderId="1" xfId="3" applyFont="1" applyBorder="1"/>
    <xf numFmtId="0" fontId="3" fillId="0" borderId="1" xfId="2" applyBorder="1" applyAlignment="1">
      <alignment horizontal="center"/>
    </xf>
    <xf numFmtId="0" fontId="3" fillId="0" borderId="0" xfId="0" applyFont="1"/>
    <xf numFmtId="165" fontId="0" fillId="0" borderId="0" xfId="0" applyNumberFormat="1"/>
    <xf numFmtId="0" fontId="3" fillId="0" borderId="0" xfId="4"/>
    <xf numFmtId="0" fontId="4" fillId="0" borderId="0" xfId="0" applyFont="1"/>
    <xf numFmtId="0" fontId="0" fillId="5" borderId="0" xfId="0" applyFill="1"/>
    <xf numFmtId="166" fontId="0" fillId="5" borderId="0" xfId="0" applyNumberFormat="1" applyFill="1"/>
    <xf numFmtId="0" fontId="0" fillId="5" borderId="0" xfId="0" applyFill="1" applyAlignment="1">
      <alignment horizontal="right"/>
    </xf>
    <xf numFmtId="0" fontId="0" fillId="6" borderId="0" xfId="0" applyFill="1"/>
    <xf numFmtId="0" fontId="0" fillId="6" borderId="0" xfId="0" applyFill="1" applyAlignment="1">
      <alignment horizontal="right"/>
    </xf>
    <xf numFmtId="9" fontId="0" fillId="6" borderId="0" xfId="3" applyFont="1" applyFill="1"/>
    <xf numFmtId="166" fontId="0" fillId="6" borderId="0" xfId="0" applyNumberFormat="1" applyFill="1"/>
    <xf numFmtId="9" fontId="0" fillId="5" borderId="0" xfId="3" applyFont="1" applyFill="1"/>
    <xf numFmtId="9" fontId="0" fillId="5" borderId="0" xfId="0" applyNumberFormat="1" applyFill="1"/>
    <xf numFmtId="0" fontId="3" fillId="5" borderId="0" xfId="0" applyFont="1" applyFill="1"/>
    <xf numFmtId="0" fontId="4" fillId="0" borderId="0" xfId="4" applyFont="1"/>
    <xf numFmtId="0" fontId="3" fillId="6" borderId="0" xfId="0" applyFont="1" applyFill="1"/>
    <xf numFmtId="0" fontId="3" fillId="7" borderId="0" xfId="4" applyFill="1"/>
    <xf numFmtId="0" fontId="3" fillId="7" borderId="0" xfId="4" applyFill="1" applyAlignment="1">
      <alignment horizontal="right"/>
    </xf>
    <xf numFmtId="166" fontId="3" fillId="7" borderId="1" xfId="4" applyNumberFormat="1" applyFill="1" applyBorder="1"/>
    <xf numFmtId="0" fontId="3" fillId="7" borderId="1" xfId="4" applyFill="1" applyBorder="1"/>
    <xf numFmtId="167" fontId="3" fillId="0" borderId="0" xfId="4" applyNumberFormat="1"/>
    <xf numFmtId="9" fontId="3" fillId="7" borderId="1" xfId="4" applyNumberFormat="1" applyFill="1" applyBorder="1"/>
    <xf numFmtId="168" fontId="3" fillId="7" borderId="1" xfId="4" applyNumberFormat="1" applyFill="1" applyBorder="1"/>
    <xf numFmtId="167" fontId="3" fillId="7" borderId="1" xfId="4" applyNumberFormat="1" applyFill="1" applyBorder="1"/>
    <xf numFmtId="9" fontId="0" fillId="6" borderId="0" xfId="3" applyFont="1" applyFill="1" applyAlignment="1">
      <alignment horizontal="right"/>
    </xf>
    <xf numFmtId="9" fontId="0" fillId="6" borderId="0" xfId="1" applyFont="1" applyFill="1"/>
    <xf numFmtId="11" fontId="0" fillId="6" borderId="0" xfId="0" applyNumberFormat="1" applyFill="1"/>
    <xf numFmtId="0" fontId="0" fillId="4" borderId="0" xfId="0" applyNumberFormat="1" applyFill="1"/>
    <xf numFmtId="0" fontId="0" fillId="0" borderId="0" xfId="0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3" fillId="6" borderId="0" xfId="0" applyFont="1" applyFill="1" applyAlignment="1">
      <alignment horizontal="right"/>
    </xf>
    <xf numFmtId="0" fontId="3" fillId="0" borderId="0" xfId="2" applyAlignment="1">
      <alignment horizontal="right"/>
    </xf>
    <xf numFmtId="164" fontId="0" fillId="0" borderId="0" xfId="0" applyNumberFormat="1"/>
  </cellXfs>
  <cellStyles count="5">
    <cellStyle name="Normal" xfId="0" builtinId="0"/>
    <cellStyle name="Normal 2" xfId="2" xr:uid="{00000000-0005-0000-0000-000001000000}"/>
    <cellStyle name="Normal 3" xfId="4" xr:uid="{00000000-0005-0000-0000-000002000000}"/>
    <cellStyle name="Pourcentage" xfId="1" builtinId="5"/>
    <cellStyle name="Pourcentage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949058693244703E-2"/>
          <c:y val="7.9928428301301105E-2"/>
          <c:w val="0.882059800664452"/>
          <c:h val="0.71523178807946997"/>
        </c:manualLayout>
      </c:layout>
      <c:scatterChart>
        <c:scatterStyle val="lineMarker"/>
        <c:varyColors val="0"/>
        <c:ser>
          <c:idx val="0"/>
          <c:order val="0"/>
          <c:tx>
            <c:strRef>
              <c:f>Sensibilité!$E$3</c:f>
              <c:strCache>
                <c:ptCount val="1"/>
                <c:pt idx="0">
                  <c:v>Frais de compensation environnementale</c:v>
                </c:pt>
              </c:strCache>
            </c:strRef>
          </c:tx>
          <c:marker>
            <c:symbol val="none"/>
          </c:marker>
          <c:xVal>
            <c:numRef>
              <c:f>Sensibilité!$D$5:$D$27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14.75</c:v>
                </c:pt>
                <c:pt idx="5">
                  <c:v>14.5</c:v>
                </c:pt>
                <c:pt idx="6">
                  <c:v>13.75</c:v>
                </c:pt>
                <c:pt idx="8">
                  <c:v>10.5</c:v>
                </c:pt>
                <c:pt idx="9">
                  <c:v>14.5</c:v>
                </c:pt>
                <c:pt idx="10">
                  <c:v>16.5</c:v>
                </c:pt>
                <c:pt idx="12">
                  <c:v>14.5</c:v>
                </c:pt>
                <c:pt idx="13">
                  <c:v>14.5</c:v>
                </c:pt>
                <c:pt idx="14">
                  <c:v>-9.3000000000000007</c:v>
                </c:pt>
                <c:pt idx="16">
                  <c:v>16.5</c:v>
                </c:pt>
                <c:pt idx="17">
                  <c:v>14.5</c:v>
                </c:pt>
                <c:pt idx="18">
                  <c:v>6.5</c:v>
                </c:pt>
                <c:pt idx="20">
                  <c:v>14.5</c:v>
                </c:pt>
                <c:pt idx="21">
                  <c:v>14.5</c:v>
                </c:pt>
                <c:pt idx="22">
                  <c:v>14.5</c:v>
                </c:pt>
              </c:numCache>
            </c:numRef>
          </c:xVal>
          <c:yVal>
            <c:numRef>
              <c:f>Sensibilité!$E$5:$E$27</c:f>
              <c:numCache>
                <c:formatCode>0%</c:formatCode>
                <c:ptCount val="23"/>
                <c:pt idx="0">
                  <c:v>1</c:v>
                </c:pt>
                <c:pt idx="1">
                  <c:v>0</c:v>
                </c:pt>
                <c:pt idx="2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27-9448-B12D-2E5982F71455}"/>
            </c:ext>
          </c:extLst>
        </c:ser>
        <c:ser>
          <c:idx val="1"/>
          <c:order val="1"/>
          <c:tx>
            <c:strRef>
              <c:f>Sensibilité!$F$3</c:f>
              <c:strCache>
                <c:ptCount val="1"/>
                <c:pt idx="0">
                  <c:v>Marché Phase 1</c:v>
                </c:pt>
              </c:strCache>
            </c:strRef>
          </c:tx>
          <c:marker>
            <c:symbol val="none"/>
          </c:marker>
          <c:xVal>
            <c:numRef>
              <c:f>Sensibilité!$D$5:$D$27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14.75</c:v>
                </c:pt>
                <c:pt idx="5">
                  <c:v>14.5</c:v>
                </c:pt>
                <c:pt idx="6">
                  <c:v>13.75</c:v>
                </c:pt>
                <c:pt idx="8">
                  <c:v>10.5</c:v>
                </c:pt>
                <c:pt idx="9">
                  <c:v>14.5</c:v>
                </c:pt>
                <c:pt idx="10">
                  <c:v>16.5</c:v>
                </c:pt>
                <c:pt idx="12">
                  <c:v>14.5</c:v>
                </c:pt>
                <c:pt idx="13">
                  <c:v>14.5</c:v>
                </c:pt>
                <c:pt idx="14">
                  <c:v>-9.3000000000000007</c:v>
                </c:pt>
                <c:pt idx="16">
                  <c:v>16.5</c:v>
                </c:pt>
                <c:pt idx="17">
                  <c:v>14.5</c:v>
                </c:pt>
                <c:pt idx="18">
                  <c:v>6.5</c:v>
                </c:pt>
                <c:pt idx="20">
                  <c:v>14.5</c:v>
                </c:pt>
                <c:pt idx="21">
                  <c:v>14.5</c:v>
                </c:pt>
                <c:pt idx="22">
                  <c:v>14.5</c:v>
                </c:pt>
              </c:numCache>
            </c:numRef>
          </c:xVal>
          <c:yVal>
            <c:numRef>
              <c:f>Sensibilité!$F$5:$F$27</c:f>
              <c:numCache>
                <c:formatCode>0%</c:formatCode>
                <c:ptCount val="23"/>
                <c:pt idx="4">
                  <c:v>0.1</c:v>
                </c:pt>
                <c:pt idx="5">
                  <c:v>0</c:v>
                </c:pt>
                <c:pt idx="6">
                  <c:v>-0.3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27-9448-B12D-2E5982F71455}"/>
            </c:ext>
          </c:extLst>
        </c:ser>
        <c:ser>
          <c:idx val="2"/>
          <c:order val="2"/>
          <c:tx>
            <c:strRef>
              <c:f>Sensibilité!$G$3</c:f>
              <c:strCache>
                <c:ptCount val="1"/>
                <c:pt idx="0">
                  <c:v>Coût de recherche</c:v>
                </c:pt>
              </c:strCache>
            </c:strRef>
          </c:tx>
          <c:marker>
            <c:symbol val="none"/>
          </c:marker>
          <c:xVal>
            <c:numRef>
              <c:f>Sensibilité!$D$5:$D$27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14.75</c:v>
                </c:pt>
                <c:pt idx="5">
                  <c:v>14.5</c:v>
                </c:pt>
                <c:pt idx="6">
                  <c:v>13.75</c:v>
                </c:pt>
                <c:pt idx="8">
                  <c:v>10.5</c:v>
                </c:pt>
                <c:pt idx="9">
                  <c:v>14.5</c:v>
                </c:pt>
                <c:pt idx="10">
                  <c:v>16.5</c:v>
                </c:pt>
                <c:pt idx="12">
                  <c:v>14.5</c:v>
                </c:pt>
                <c:pt idx="13">
                  <c:v>14.5</c:v>
                </c:pt>
                <c:pt idx="14">
                  <c:v>-9.3000000000000007</c:v>
                </c:pt>
                <c:pt idx="16">
                  <c:v>16.5</c:v>
                </c:pt>
                <c:pt idx="17">
                  <c:v>14.5</c:v>
                </c:pt>
                <c:pt idx="18">
                  <c:v>6.5</c:v>
                </c:pt>
                <c:pt idx="20">
                  <c:v>14.5</c:v>
                </c:pt>
                <c:pt idx="21">
                  <c:v>14.5</c:v>
                </c:pt>
                <c:pt idx="22">
                  <c:v>14.5</c:v>
                </c:pt>
              </c:numCache>
            </c:numRef>
          </c:xVal>
          <c:yVal>
            <c:numRef>
              <c:f>Sensibilité!$G$5:$G$27</c:f>
              <c:numCache>
                <c:formatCode>0%</c:formatCode>
                <c:ptCount val="23"/>
                <c:pt idx="8">
                  <c:v>0.25</c:v>
                </c:pt>
                <c:pt idx="9">
                  <c:v>0</c:v>
                </c:pt>
                <c:pt idx="10">
                  <c:v>-0.125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27-9448-B12D-2E5982F71455}"/>
            </c:ext>
          </c:extLst>
        </c:ser>
        <c:ser>
          <c:idx val="3"/>
          <c:order val="3"/>
          <c:tx>
            <c:strRef>
              <c:f>Sensibilité!$H$3</c:f>
              <c:strCache>
                <c:ptCount val="1"/>
                <c:pt idx="0">
                  <c:v>Succès si recherche</c:v>
                </c:pt>
              </c:strCache>
            </c:strRef>
          </c:tx>
          <c:marker>
            <c:symbol val="none"/>
          </c:marker>
          <c:xVal>
            <c:numRef>
              <c:f>Sensibilité!$D$5:$D$27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14.75</c:v>
                </c:pt>
                <c:pt idx="5">
                  <c:v>14.5</c:v>
                </c:pt>
                <c:pt idx="6">
                  <c:v>13.75</c:v>
                </c:pt>
                <c:pt idx="8">
                  <c:v>10.5</c:v>
                </c:pt>
                <c:pt idx="9">
                  <c:v>14.5</c:v>
                </c:pt>
                <c:pt idx="10">
                  <c:v>16.5</c:v>
                </c:pt>
                <c:pt idx="12">
                  <c:v>14.5</c:v>
                </c:pt>
                <c:pt idx="13">
                  <c:v>14.5</c:v>
                </c:pt>
                <c:pt idx="14">
                  <c:v>-9.3000000000000007</c:v>
                </c:pt>
                <c:pt idx="16">
                  <c:v>16.5</c:v>
                </c:pt>
                <c:pt idx="17">
                  <c:v>14.5</c:v>
                </c:pt>
                <c:pt idx="18">
                  <c:v>6.5</c:v>
                </c:pt>
                <c:pt idx="20">
                  <c:v>14.5</c:v>
                </c:pt>
                <c:pt idx="21">
                  <c:v>14.5</c:v>
                </c:pt>
                <c:pt idx="22">
                  <c:v>14.5</c:v>
                </c:pt>
              </c:numCache>
            </c:numRef>
          </c:xVal>
          <c:yVal>
            <c:numRef>
              <c:f>Sensibilité!$H$5:$H$27</c:f>
              <c:numCache>
                <c:formatCode>0%</c:formatCode>
                <c:ptCount val="23"/>
                <c:pt idx="12">
                  <c:v>0</c:v>
                </c:pt>
                <c:pt idx="13">
                  <c:v>0</c:v>
                </c:pt>
                <c:pt idx="14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27-9448-B12D-2E5982F71455}"/>
            </c:ext>
          </c:extLst>
        </c:ser>
        <c:ser>
          <c:idx val="4"/>
          <c:order val="4"/>
          <c:tx>
            <c:strRef>
              <c:f>Sensibilité!$I$3</c:f>
              <c:strCache>
                <c:ptCount val="1"/>
                <c:pt idx="0">
                  <c:v>Marché Phase 2</c:v>
                </c:pt>
              </c:strCache>
            </c:strRef>
          </c:tx>
          <c:marker>
            <c:symbol val="none"/>
          </c:marker>
          <c:xVal>
            <c:numRef>
              <c:f>Sensibilité!$D$5:$D$27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14.75</c:v>
                </c:pt>
                <c:pt idx="5">
                  <c:v>14.5</c:v>
                </c:pt>
                <c:pt idx="6">
                  <c:v>13.75</c:v>
                </c:pt>
                <c:pt idx="8">
                  <c:v>10.5</c:v>
                </c:pt>
                <c:pt idx="9">
                  <c:v>14.5</c:v>
                </c:pt>
                <c:pt idx="10">
                  <c:v>16.5</c:v>
                </c:pt>
                <c:pt idx="12">
                  <c:v>14.5</c:v>
                </c:pt>
                <c:pt idx="13">
                  <c:v>14.5</c:v>
                </c:pt>
                <c:pt idx="14">
                  <c:v>-9.3000000000000007</c:v>
                </c:pt>
                <c:pt idx="16">
                  <c:v>16.5</c:v>
                </c:pt>
                <c:pt idx="17">
                  <c:v>14.5</c:v>
                </c:pt>
                <c:pt idx="18">
                  <c:v>6.5</c:v>
                </c:pt>
                <c:pt idx="20">
                  <c:v>14.5</c:v>
                </c:pt>
                <c:pt idx="21">
                  <c:v>14.5</c:v>
                </c:pt>
                <c:pt idx="22">
                  <c:v>14.5</c:v>
                </c:pt>
              </c:numCache>
            </c:numRef>
          </c:xVal>
          <c:yVal>
            <c:numRef>
              <c:f>Sensibilité!$I$5:$I$27</c:f>
              <c:numCache>
                <c:formatCode>0%</c:formatCode>
                <c:ptCount val="23"/>
                <c:pt idx="16">
                  <c:v>7.1428571428571425E-2</c:v>
                </c:pt>
                <c:pt idx="17">
                  <c:v>0</c:v>
                </c:pt>
                <c:pt idx="18">
                  <c:v>-0.2857142857142857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27-9448-B12D-2E5982F71455}"/>
            </c:ext>
          </c:extLst>
        </c:ser>
        <c:ser>
          <c:idx val="5"/>
          <c:order val="5"/>
          <c:tx>
            <c:strRef>
              <c:f>Sensibilité!$J$3</c:f>
              <c:strCache>
                <c:ptCount val="1"/>
                <c:pt idx="0">
                  <c:v>Part du marché Phase 2</c:v>
                </c:pt>
              </c:strCache>
            </c:strRef>
          </c:tx>
          <c:marker>
            <c:symbol val="none"/>
          </c:marker>
          <c:xVal>
            <c:numRef>
              <c:f>Sensibilité!$D$5:$D$27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14.75</c:v>
                </c:pt>
                <c:pt idx="5">
                  <c:v>14.5</c:v>
                </c:pt>
                <c:pt idx="6">
                  <c:v>13.75</c:v>
                </c:pt>
                <c:pt idx="8">
                  <c:v>10.5</c:v>
                </c:pt>
                <c:pt idx="9">
                  <c:v>14.5</c:v>
                </c:pt>
                <c:pt idx="10">
                  <c:v>16.5</c:v>
                </c:pt>
                <c:pt idx="12">
                  <c:v>14.5</c:v>
                </c:pt>
                <c:pt idx="13">
                  <c:v>14.5</c:v>
                </c:pt>
                <c:pt idx="14">
                  <c:v>-9.3000000000000007</c:v>
                </c:pt>
                <c:pt idx="16">
                  <c:v>16.5</c:v>
                </c:pt>
                <c:pt idx="17">
                  <c:v>14.5</c:v>
                </c:pt>
                <c:pt idx="18">
                  <c:v>6.5</c:v>
                </c:pt>
                <c:pt idx="20">
                  <c:v>14.5</c:v>
                </c:pt>
                <c:pt idx="21">
                  <c:v>14.5</c:v>
                </c:pt>
                <c:pt idx="22">
                  <c:v>14.5</c:v>
                </c:pt>
              </c:numCache>
            </c:numRef>
          </c:xVal>
          <c:yVal>
            <c:numRef>
              <c:f>Sensibilité!$J$5:$J$27</c:f>
              <c:numCache>
                <c:formatCode>General</c:formatCode>
                <c:ptCount val="23"/>
                <c:pt idx="20" formatCode="0%">
                  <c:v>0.66666666666666674</c:v>
                </c:pt>
                <c:pt idx="21" formatCode="0%">
                  <c:v>0</c:v>
                </c:pt>
                <c:pt idx="22" formatCode="0%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27-9448-B12D-2E5982F71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49200"/>
        <c:axId val="140486768"/>
      </c:scatterChart>
      <c:valAx>
        <c:axId val="14104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Profits (M$)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fr-FR"/>
          </a:p>
        </c:txPr>
        <c:crossAx val="140486768"/>
        <c:crosses val="autoZero"/>
        <c:crossBetween val="midCat"/>
      </c:valAx>
      <c:valAx>
        <c:axId val="14048676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Changement</a:t>
                </a:r>
                <a:r>
                  <a:rPr lang="en-US" baseline="0"/>
                  <a:t> des paramètres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1694264961065898E-2"/>
              <c:y val="0.32446619848194702"/>
            </c:manualLayout>
          </c:layout>
          <c:overlay val="0"/>
        </c:title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fr-FR"/>
          </a:p>
        </c:txPr>
        <c:crossAx val="141049200"/>
        <c:crosses val="autoZero"/>
        <c:crossBetween val="midCat"/>
        <c:majorUnit val="0.1"/>
        <c:minorUnit val="0.01"/>
      </c:valAx>
    </c:plotArea>
    <c:legend>
      <c:legendPos val="b"/>
      <c:layout>
        <c:manualLayout>
          <c:xMode val="edge"/>
          <c:yMode val="edge"/>
          <c:x val="2.2702104097452901E-2"/>
          <c:y val="0.83580436316428197"/>
          <c:w val="0.93413486104934496"/>
          <c:h val="0.144123952247904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136503285926501E-2"/>
          <c:y val="3.81010848220244E-2"/>
          <c:w val="0.87576374745417596"/>
          <c:h val="0.66283772912823702"/>
        </c:manualLayout>
      </c:layout>
      <c:scatterChart>
        <c:scatterStyle val="lineMarker"/>
        <c:varyColors val="0"/>
        <c:ser>
          <c:idx val="0"/>
          <c:order val="0"/>
          <c:tx>
            <c:strRef>
              <c:f>Sensibilité!$E$31</c:f>
              <c:strCache>
                <c:ptCount val="1"/>
                <c:pt idx="0">
                  <c:v>Frais de compensation environnementale</c:v>
                </c:pt>
              </c:strCache>
            </c:strRef>
          </c:tx>
          <c:marker>
            <c:symbol val="none"/>
          </c:marker>
          <c:xVal>
            <c:numRef>
              <c:f>Sensibilité!$D$32:$D$49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14.75</c:v>
                </c:pt>
                <c:pt idx="4">
                  <c:v>14.5</c:v>
                </c:pt>
                <c:pt idx="5">
                  <c:v>13.75</c:v>
                </c:pt>
                <c:pt idx="6">
                  <c:v>10.5</c:v>
                </c:pt>
                <c:pt idx="7">
                  <c:v>14.5</c:v>
                </c:pt>
                <c:pt idx="8">
                  <c:v>16.5</c:v>
                </c:pt>
                <c:pt idx="9">
                  <c:v>14.5</c:v>
                </c:pt>
                <c:pt idx="10">
                  <c:v>14.5</c:v>
                </c:pt>
                <c:pt idx="11">
                  <c:v>-9.3000000000000007</c:v>
                </c:pt>
                <c:pt idx="12">
                  <c:v>16.5</c:v>
                </c:pt>
                <c:pt idx="13">
                  <c:v>14.5</c:v>
                </c:pt>
                <c:pt idx="14">
                  <c:v>6.5</c:v>
                </c:pt>
                <c:pt idx="15">
                  <c:v>14.5</c:v>
                </c:pt>
                <c:pt idx="16">
                  <c:v>14.5</c:v>
                </c:pt>
                <c:pt idx="17">
                  <c:v>14.5</c:v>
                </c:pt>
              </c:numCache>
            </c:numRef>
          </c:xVal>
          <c:yVal>
            <c:numRef>
              <c:f>Sensibilité!$E$32:$E$49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71-5E42-BCEB-83A331908A72}"/>
            </c:ext>
          </c:extLst>
        </c:ser>
        <c:ser>
          <c:idx val="1"/>
          <c:order val="1"/>
          <c:tx>
            <c:strRef>
              <c:f>Sensibilité!$F$31</c:f>
              <c:strCache>
                <c:ptCount val="1"/>
                <c:pt idx="0">
                  <c:v>Marché Phase 1</c:v>
                </c:pt>
              </c:strCache>
            </c:strRef>
          </c:tx>
          <c:marker>
            <c:symbol val="none"/>
          </c:marker>
          <c:xVal>
            <c:numRef>
              <c:f>Sensibilité!$D$32:$D$49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14.75</c:v>
                </c:pt>
                <c:pt idx="4">
                  <c:v>14.5</c:v>
                </c:pt>
                <c:pt idx="5">
                  <c:v>13.75</c:v>
                </c:pt>
                <c:pt idx="6">
                  <c:v>10.5</c:v>
                </c:pt>
                <c:pt idx="7">
                  <c:v>14.5</c:v>
                </c:pt>
                <c:pt idx="8">
                  <c:v>16.5</c:v>
                </c:pt>
                <c:pt idx="9">
                  <c:v>14.5</c:v>
                </c:pt>
                <c:pt idx="10">
                  <c:v>14.5</c:v>
                </c:pt>
                <c:pt idx="11">
                  <c:v>-9.3000000000000007</c:v>
                </c:pt>
                <c:pt idx="12">
                  <c:v>16.5</c:v>
                </c:pt>
                <c:pt idx="13">
                  <c:v>14.5</c:v>
                </c:pt>
                <c:pt idx="14">
                  <c:v>6.5</c:v>
                </c:pt>
                <c:pt idx="15">
                  <c:v>14.5</c:v>
                </c:pt>
                <c:pt idx="16">
                  <c:v>14.5</c:v>
                </c:pt>
                <c:pt idx="17">
                  <c:v>14.5</c:v>
                </c:pt>
              </c:numCache>
            </c:numRef>
          </c:xVal>
          <c:yVal>
            <c:numRef>
              <c:f>Sensibilité!$F$32:$F$49</c:f>
              <c:numCache>
                <c:formatCode>General</c:formatCode>
                <c:ptCount val="18"/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71-5E42-BCEB-83A331908A72}"/>
            </c:ext>
          </c:extLst>
        </c:ser>
        <c:ser>
          <c:idx val="2"/>
          <c:order val="2"/>
          <c:tx>
            <c:strRef>
              <c:f>Sensibilité!$G$31</c:f>
              <c:strCache>
                <c:ptCount val="1"/>
                <c:pt idx="0">
                  <c:v>Coût de recherche</c:v>
                </c:pt>
              </c:strCache>
            </c:strRef>
          </c:tx>
          <c:marker>
            <c:symbol val="none"/>
          </c:marker>
          <c:xVal>
            <c:numRef>
              <c:f>Sensibilité!$D$32:$D$49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14.75</c:v>
                </c:pt>
                <c:pt idx="4">
                  <c:v>14.5</c:v>
                </c:pt>
                <c:pt idx="5">
                  <c:v>13.75</c:v>
                </c:pt>
                <c:pt idx="6">
                  <c:v>10.5</c:v>
                </c:pt>
                <c:pt idx="7">
                  <c:v>14.5</c:v>
                </c:pt>
                <c:pt idx="8">
                  <c:v>16.5</c:v>
                </c:pt>
                <c:pt idx="9">
                  <c:v>14.5</c:v>
                </c:pt>
                <c:pt idx="10">
                  <c:v>14.5</c:v>
                </c:pt>
                <c:pt idx="11">
                  <c:v>-9.3000000000000007</c:v>
                </c:pt>
                <c:pt idx="12">
                  <c:v>16.5</c:v>
                </c:pt>
                <c:pt idx="13">
                  <c:v>14.5</c:v>
                </c:pt>
                <c:pt idx="14">
                  <c:v>6.5</c:v>
                </c:pt>
                <c:pt idx="15">
                  <c:v>14.5</c:v>
                </c:pt>
                <c:pt idx="16">
                  <c:v>14.5</c:v>
                </c:pt>
                <c:pt idx="17">
                  <c:v>14.5</c:v>
                </c:pt>
              </c:numCache>
            </c:numRef>
          </c:xVal>
          <c:yVal>
            <c:numRef>
              <c:f>Sensibilité!$G$32:$G$49</c:f>
              <c:numCache>
                <c:formatCode>General</c:formatCode>
                <c:ptCount val="18"/>
                <c:pt idx="6">
                  <c:v>4</c:v>
                </c:pt>
                <c:pt idx="7">
                  <c:v>4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71-5E42-BCEB-83A331908A72}"/>
            </c:ext>
          </c:extLst>
        </c:ser>
        <c:ser>
          <c:idx val="3"/>
          <c:order val="3"/>
          <c:tx>
            <c:strRef>
              <c:f>Sensibilité!$H$31</c:f>
              <c:strCache>
                <c:ptCount val="1"/>
                <c:pt idx="0">
                  <c:v>Succès si recherche</c:v>
                </c:pt>
              </c:strCache>
            </c:strRef>
          </c:tx>
          <c:marker>
            <c:symbol val="none"/>
          </c:marker>
          <c:xVal>
            <c:numRef>
              <c:f>Sensibilité!$D$32:$D$49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14.75</c:v>
                </c:pt>
                <c:pt idx="4">
                  <c:v>14.5</c:v>
                </c:pt>
                <c:pt idx="5">
                  <c:v>13.75</c:v>
                </c:pt>
                <c:pt idx="6">
                  <c:v>10.5</c:v>
                </c:pt>
                <c:pt idx="7">
                  <c:v>14.5</c:v>
                </c:pt>
                <c:pt idx="8">
                  <c:v>16.5</c:v>
                </c:pt>
                <c:pt idx="9">
                  <c:v>14.5</c:v>
                </c:pt>
                <c:pt idx="10">
                  <c:v>14.5</c:v>
                </c:pt>
                <c:pt idx="11">
                  <c:v>-9.3000000000000007</c:v>
                </c:pt>
                <c:pt idx="12">
                  <c:v>16.5</c:v>
                </c:pt>
                <c:pt idx="13">
                  <c:v>14.5</c:v>
                </c:pt>
                <c:pt idx="14">
                  <c:v>6.5</c:v>
                </c:pt>
                <c:pt idx="15">
                  <c:v>14.5</c:v>
                </c:pt>
                <c:pt idx="16">
                  <c:v>14.5</c:v>
                </c:pt>
                <c:pt idx="17">
                  <c:v>14.5</c:v>
                </c:pt>
              </c:numCache>
            </c:numRef>
          </c:xVal>
          <c:yVal>
            <c:numRef>
              <c:f>Sensibilité!$H$32:$H$49</c:f>
              <c:numCache>
                <c:formatCode>General</c:formatCode>
                <c:ptCount val="18"/>
                <c:pt idx="9">
                  <c:v>6</c:v>
                </c:pt>
                <c:pt idx="10">
                  <c:v>6</c:v>
                </c:pt>
                <c:pt idx="1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71-5E42-BCEB-83A331908A72}"/>
            </c:ext>
          </c:extLst>
        </c:ser>
        <c:ser>
          <c:idx val="4"/>
          <c:order val="4"/>
          <c:tx>
            <c:strRef>
              <c:f>Sensibilité!$I$31</c:f>
              <c:strCache>
                <c:ptCount val="1"/>
                <c:pt idx="0">
                  <c:v>Marché Phase 2</c:v>
                </c:pt>
              </c:strCache>
            </c:strRef>
          </c:tx>
          <c:marker>
            <c:symbol val="none"/>
          </c:marker>
          <c:xVal>
            <c:numRef>
              <c:f>Sensibilité!$D$32:$D$49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14.75</c:v>
                </c:pt>
                <c:pt idx="4">
                  <c:v>14.5</c:v>
                </c:pt>
                <c:pt idx="5">
                  <c:v>13.75</c:v>
                </c:pt>
                <c:pt idx="6">
                  <c:v>10.5</c:v>
                </c:pt>
                <c:pt idx="7">
                  <c:v>14.5</c:v>
                </c:pt>
                <c:pt idx="8">
                  <c:v>16.5</c:v>
                </c:pt>
                <c:pt idx="9">
                  <c:v>14.5</c:v>
                </c:pt>
                <c:pt idx="10">
                  <c:v>14.5</c:v>
                </c:pt>
                <c:pt idx="11">
                  <c:v>-9.3000000000000007</c:v>
                </c:pt>
                <c:pt idx="12">
                  <c:v>16.5</c:v>
                </c:pt>
                <c:pt idx="13">
                  <c:v>14.5</c:v>
                </c:pt>
                <c:pt idx="14">
                  <c:v>6.5</c:v>
                </c:pt>
                <c:pt idx="15">
                  <c:v>14.5</c:v>
                </c:pt>
                <c:pt idx="16">
                  <c:v>14.5</c:v>
                </c:pt>
                <c:pt idx="17">
                  <c:v>14.5</c:v>
                </c:pt>
              </c:numCache>
            </c:numRef>
          </c:xVal>
          <c:yVal>
            <c:numRef>
              <c:f>Sensibilité!$I$32:$I$49</c:f>
              <c:numCache>
                <c:formatCode>General</c:formatCode>
                <c:ptCount val="18"/>
                <c:pt idx="12">
                  <c:v>5</c:v>
                </c:pt>
                <c:pt idx="13">
                  <c:v>5</c:v>
                </c:pt>
                <c:pt idx="1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271-5E42-BCEB-83A331908A72}"/>
            </c:ext>
          </c:extLst>
        </c:ser>
        <c:ser>
          <c:idx val="5"/>
          <c:order val="5"/>
          <c:tx>
            <c:strRef>
              <c:f>Sensibilité!$J$31</c:f>
              <c:strCache>
                <c:ptCount val="1"/>
                <c:pt idx="0">
                  <c:v>Part du marché Phase 2</c:v>
                </c:pt>
              </c:strCache>
            </c:strRef>
          </c:tx>
          <c:marker>
            <c:symbol val="none"/>
          </c:marker>
          <c:xVal>
            <c:numRef>
              <c:f>Sensibilité!$D$32:$D$49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14.75</c:v>
                </c:pt>
                <c:pt idx="4">
                  <c:v>14.5</c:v>
                </c:pt>
                <c:pt idx="5">
                  <c:v>13.75</c:v>
                </c:pt>
                <c:pt idx="6">
                  <c:v>10.5</c:v>
                </c:pt>
                <c:pt idx="7">
                  <c:v>14.5</c:v>
                </c:pt>
                <c:pt idx="8">
                  <c:v>16.5</c:v>
                </c:pt>
                <c:pt idx="9">
                  <c:v>14.5</c:v>
                </c:pt>
                <c:pt idx="10">
                  <c:v>14.5</c:v>
                </c:pt>
                <c:pt idx="11">
                  <c:v>-9.3000000000000007</c:v>
                </c:pt>
                <c:pt idx="12">
                  <c:v>16.5</c:v>
                </c:pt>
                <c:pt idx="13">
                  <c:v>14.5</c:v>
                </c:pt>
                <c:pt idx="14">
                  <c:v>6.5</c:v>
                </c:pt>
                <c:pt idx="15">
                  <c:v>14.5</c:v>
                </c:pt>
                <c:pt idx="16">
                  <c:v>14.5</c:v>
                </c:pt>
                <c:pt idx="17">
                  <c:v>14.5</c:v>
                </c:pt>
              </c:numCache>
            </c:numRef>
          </c:xVal>
          <c:yVal>
            <c:numRef>
              <c:f>Sensibilité!$J$32:$J$49</c:f>
              <c:numCache>
                <c:formatCode>General</c:formatCode>
                <c:ptCount val="18"/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271-5E42-BCEB-83A331908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78096"/>
        <c:axId val="139855216"/>
      </c:scatterChart>
      <c:valAx>
        <c:axId val="194378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CA"/>
                  <a:t>Profits (M$)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fr-FR"/>
          </a:p>
        </c:txPr>
        <c:crossAx val="139855216"/>
        <c:crosses val="autoZero"/>
        <c:crossBetween val="midCat"/>
      </c:valAx>
      <c:valAx>
        <c:axId val="139855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crossAx val="194378096"/>
        <c:crosses val="autoZero"/>
        <c:crossBetween val="midCat"/>
        <c:majorUnit val="1"/>
        <c:minorUnit val="0.2"/>
      </c:valAx>
    </c:plotArea>
    <c:legend>
      <c:legendPos val="b"/>
      <c:overlay val="0"/>
    </c:legend>
    <c:plotVisOnly val="1"/>
    <c:dispBlanksAs val="gap"/>
    <c:showDLblsOverMax val="0"/>
  </c:chart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Arc_en_ciel1!$E$8</c:f>
              <c:strCache>
                <c:ptCount val="1"/>
                <c:pt idx="0">
                  <c:v>Rech. + Prod. Phase 1 &amp; 2</c:v>
                </c:pt>
              </c:strCache>
            </c:strRef>
          </c:tx>
          <c:marker>
            <c:symbol val="none"/>
          </c:marker>
          <c:xVal>
            <c:numRef>
              <c:f>Arc_en_ciel1!$D$9:$D$19</c:f>
              <c:numCache>
                <c:formatCode>General</c:formatCode>
                <c:ptCount val="11"/>
                <c:pt idx="0">
                  <c:v>1.5</c:v>
                </c:pt>
                <c:pt idx="1">
                  <c:v>1.35</c:v>
                </c:pt>
                <c:pt idx="2">
                  <c:v>1.2000000000000002</c:v>
                </c:pt>
                <c:pt idx="3">
                  <c:v>1.0500000000000003</c:v>
                </c:pt>
                <c:pt idx="4">
                  <c:v>0.90000000000000024</c:v>
                </c:pt>
                <c:pt idx="5">
                  <c:v>0.75000000000000022</c:v>
                </c:pt>
                <c:pt idx="6">
                  <c:v>0.6000000000000002</c:v>
                </c:pt>
                <c:pt idx="7">
                  <c:v>0.45000000000000018</c:v>
                </c:pt>
                <c:pt idx="8">
                  <c:v>0.30000000000000016</c:v>
                </c:pt>
                <c:pt idx="9">
                  <c:v>0.15000000000000016</c:v>
                </c:pt>
                <c:pt idx="10">
                  <c:v>0</c:v>
                </c:pt>
              </c:numCache>
            </c:numRef>
          </c:xVal>
          <c:yVal>
            <c:numRef>
              <c:f>Arc_en_ciel1!$E$9:$E$19</c:f>
              <c:numCache>
                <c:formatCode>General</c:formatCode>
                <c:ptCount val="11"/>
                <c:pt idx="0">
                  <c:v>7</c:v>
                </c:pt>
                <c:pt idx="1">
                  <c:v>8.5</c:v>
                </c:pt>
                <c:pt idx="2">
                  <c:v>10</c:v>
                </c:pt>
                <c:pt idx="3">
                  <c:v>11.499999999999996</c:v>
                </c:pt>
                <c:pt idx="4">
                  <c:v>12.999999999999998</c:v>
                </c:pt>
                <c:pt idx="5">
                  <c:v>14.499999999999998</c:v>
                </c:pt>
                <c:pt idx="6">
                  <c:v>15.999999999999998</c:v>
                </c:pt>
                <c:pt idx="7">
                  <c:v>17.5</c:v>
                </c:pt>
                <c:pt idx="8">
                  <c:v>19</c:v>
                </c:pt>
                <c:pt idx="9">
                  <c:v>20.5</c:v>
                </c:pt>
                <c:pt idx="10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F3-1E4B-8463-A88AF154E804}"/>
            </c:ext>
          </c:extLst>
        </c:ser>
        <c:ser>
          <c:idx val="1"/>
          <c:order val="1"/>
          <c:tx>
            <c:strRef>
              <c:f>Arc_en_ciel1!$F$8</c:f>
              <c:strCache>
                <c:ptCount val="1"/>
                <c:pt idx="0">
                  <c:v>Rech. + Prod. Phase 2</c:v>
                </c:pt>
              </c:strCache>
            </c:strRef>
          </c:tx>
          <c:marker>
            <c:symbol val="none"/>
          </c:marker>
          <c:xVal>
            <c:numRef>
              <c:f>Arc_en_ciel1!$D$9:$D$19</c:f>
              <c:numCache>
                <c:formatCode>General</c:formatCode>
                <c:ptCount val="11"/>
                <c:pt idx="0">
                  <c:v>1.5</c:v>
                </c:pt>
                <c:pt idx="1">
                  <c:v>1.35</c:v>
                </c:pt>
                <c:pt idx="2">
                  <c:v>1.2000000000000002</c:v>
                </c:pt>
                <c:pt idx="3">
                  <c:v>1.0500000000000003</c:v>
                </c:pt>
                <c:pt idx="4">
                  <c:v>0.90000000000000024</c:v>
                </c:pt>
                <c:pt idx="5">
                  <c:v>0.75000000000000022</c:v>
                </c:pt>
                <c:pt idx="6">
                  <c:v>0.6000000000000002</c:v>
                </c:pt>
                <c:pt idx="7">
                  <c:v>0.45000000000000018</c:v>
                </c:pt>
                <c:pt idx="8">
                  <c:v>0.30000000000000016</c:v>
                </c:pt>
                <c:pt idx="9">
                  <c:v>0.15000000000000016</c:v>
                </c:pt>
                <c:pt idx="10">
                  <c:v>0</c:v>
                </c:pt>
              </c:numCache>
            </c:numRef>
          </c:xVal>
          <c:yVal>
            <c:numRef>
              <c:f>Arc_en_ciel1!$F$9:$F$19</c:f>
              <c:numCache>
                <c:formatCode>General</c:formatCode>
                <c:ptCount val="1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F3-1E4B-8463-A88AF154E804}"/>
            </c:ext>
          </c:extLst>
        </c:ser>
        <c:ser>
          <c:idx val="2"/>
          <c:order val="2"/>
          <c:tx>
            <c:strRef>
              <c:f>Arc_en_ciel1!$G$8</c:f>
              <c:strCache>
                <c:ptCount val="1"/>
                <c:pt idx="0">
                  <c:v>Prod. CFC Phase 1 et 2</c:v>
                </c:pt>
              </c:strCache>
            </c:strRef>
          </c:tx>
          <c:marker>
            <c:symbol val="none"/>
          </c:marker>
          <c:xVal>
            <c:numRef>
              <c:f>Arc_en_ciel1!$D$9:$D$19</c:f>
              <c:numCache>
                <c:formatCode>General</c:formatCode>
                <c:ptCount val="11"/>
                <c:pt idx="0">
                  <c:v>1.5</c:v>
                </c:pt>
                <c:pt idx="1">
                  <c:v>1.35</c:v>
                </c:pt>
                <c:pt idx="2">
                  <c:v>1.2000000000000002</c:v>
                </c:pt>
                <c:pt idx="3">
                  <c:v>1.0500000000000003</c:v>
                </c:pt>
                <c:pt idx="4">
                  <c:v>0.90000000000000024</c:v>
                </c:pt>
                <c:pt idx="5">
                  <c:v>0.75000000000000022</c:v>
                </c:pt>
                <c:pt idx="6">
                  <c:v>0.6000000000000002</c:v>
                </c:pt>
                <c:pt idx="7">
                  <c:v>0.45000000000000018</c:v>
                </c:pt>
                <c:pt idx="8">
                  <c:v>0.30000000000000016</c:v>
                </c:pt>
                <c:pt idx="9">
                  <c:v>0.15000000000000016</c:v>
                </c:pt>
                <c:pt idx="10">
                  <c:v>0</c:v>
                </c:pt>
              </c:numCache>
            </c:numRef>
          </c:xVal>
          <c:yVal>
            <c:numRef>
              <c:f>Arc_en_ciel1!$G$9:$G$19</c:f>
              <c:numCache>
                <c:formatCode>General</c:formatCode>
                <c:ptCount val="11"/>
                <c:pt idx="0">
                  <c:v>-13.400000000000002</c:v>
                </c:pt>
                <c:pt idx="1">
                  <c:v>-9.3800000000000026</c:v>
                </c:pt>
                <c:pt idx="2">
                  <c:v>-5.3600000000000048</c:v>
                </c:pt>
                <c:pt idx="3">
                  <c:v>-1.340000000000007</c:v>
                </c:pt>
                <c:pt idx="4">
                  <c:v>2.6799999999999944</c:v>
                </c:pt>
                <c:pt idx="5">
                  <c:v>6.699999999999994</c:v>
                </c:pt>
                <c:pt idx="6">
                  <c:v>10.719999999999995</c:v>
                </c:pt>
                <c:pt idx="7">
                  <c:v>14.739999999999997</c:v>
                </c:pt>
                <c:pt idx="8">
                  <c:v>18.759999999999998</c:v>
                </c:pt>
                <c:pt idx="9">
                  <c:v>22.779999999999994</c:v>
                </c:pt>
                <c:pt idx="10">
                  <c:v>26.8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F3-1E4B-8463-A88AF154E804}"/>
            </c:ext>
          </c:extLst>
        </c:ser>
        <c:ser>
          <c:idx val="3"/>
          <c:order val="3"/>
          <c:tx>
            <c:strRef>
              <c:f>Arc_en_ciel1!$H$8</c:f>
              <c:strCache>
                <c:ptCount val="1"/>
                <c:pt idx="0">
                  <c:v>Prod. CFC Phase 1</c:v>
                </c:pt>
              </c:strCache>
            </c:strRef>
          </c:tx>
          <c:marker>
            <c:symbol val="none"/>
          </c:marker>
          <c:xVal>
            <c:numRef>
              <c:f>Arc_en_ciel1!$D$9:$D$19</c:f>
              <c:numCache>
                <c:formatCode>General</c:formatCode>
                <c:ptCount val="11"/>
                <c:pt idx="0">
                  <c:v>1.5</c:v>
                </c:pt>
                <c:pt idx="1">
                  <c:v>1.35</c:v>
                </c:pt>
                <c:pt idx="2">
                  <c:v>1.2000000000000002</c:v>
                </c:pt>
                <c:pt idx="3">
                  <c:v>1.0500000000000003</c:v>
                </c:pt>
                <c:pt idx="4">
                  <c:v>0.90000000000000024</c:v>
                </c:pt>
                <c:pt idx="5">
                  <c:v>0.75000000000000022</c:v>
                </c:pt>
                <c:pt idx="6">
                  <c:v>0.6000000000000002</c:v>
                </c:pt>
                <c:pt idx="7">
                  <c:v>0.45000000000000018</c:v>
                </c:pt>
                <c:pt idx="8">
                  <c:v>0.30000000000000016</c:v>
                </c:pt>
                <c:pt idx="9">
                  <c:v>0.15000000000000016</c:v>
                </c:pt>
                <c:pt idx="10">
                  <c:v>0</c:v>
                </c:pt>
              </c:numCache>
            </c:numRef>
          </c:xVal>
          <c:yVal>
            <c:numRef>
              <c:f>Arc_en_ciel1!$H$9:$H$19</c:f>
              <c:numCache>
                <c:formatCode>General</c:formatCode>
                <c:ptCount val="11"/>
                <c:pt idx="0">
                  <c:v>-5</c:v>
                </c:pt>
                <c:pt idx="1">
                  <c:v>-3.5</c:v>
                </c:pt>
                <c:pt idx="2">
                  <c:v>-2.0000000000000018</c:v>
                </c:pt>
                <c:pt idx="3">
                  <c:v>-0.50000000000000355</c:v>
                </c:pt>
                <c:pt idx="4">
                  <c:v>0.99999999999999822</c:v>
                </c:pt>
                <c:pt idx="5">
                  <c:v>2.4999999999999982</c:v>
                </c:pt>
                <c:pt idx="6">
                  <c:v>3.9999999999999982</c:v>
                </c:pt>
                <c:pt idx="7">
                  <c:v>5.4999999999999982</c:v>
                </c:pt>
                <c:pt idx="8">
                  <c:v>6.9999999999999982</c:v>
                </c:pt>
                <c:pt idx="9">
                  <c:v>8.4999999999999982</c:v>
                </c:pt>
                <c:pt idx="1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F3-1E4B-8463-A88AF154E804}"/>
            </c:ext>
          </c:extLst>
        </c:ser>
        <c:ser>
          <c:idx val="4"/>
          <c:order val="4"/>
          <c:tx>
            <c:strRef>
              <c:f>Arc_en_ciel1!$I$8</c:f>
              <c:strCache>
                <c:ptCount val="1"/>
                <c:pt idx="0">
                  <c:v>Arrêter tout</c:v>
                </c:pt>
              </c:strCache>
            </c:strRef>
          </c:tx>
          <c:marker>
            <c:symbol val="none"/>
          </c:marker>
          <c:xVal>
            <c:numRef>
              <c:f>Arc_en_ciel1!$D$9:$D$19</c:f>
              <c:numCache>
                <c:formatCode>General</c:formatCode>
                <c:ptCount val="11"/>
                <c:pt idx="0">
                  <c:v>1.5</c:v>
                </c:pt>
                <c:pt idx="1">
                  <c:v>1.35</c:v>
                </c:pt>
                <c:pt idx="2">
                  <c:v>1.2000000000000002</c:v>
                </c:pt>
                <c:pt idx="3">
                  <c:v>1.0500000000000003</c:v>
                </c:pt>
                <c:pt idx="4">
                  <c:v>0.90000000000000024</c:v>
                </c:pt>
                <c:pt idx="5">
                  <c:v>0.75000000000000022</c:v>
                </c:pt>
                <c:pt idx="6">
                  <c:v>0.6000000000000002</c:v>
                </c:pt>
                <c:pt idx="7">
                  <c:v>0.45000000000000018</c:v>
                </c:pt>
                <c:pt idx="8">
                  <c:v>0.30000000000000016</c:v>
                </c:pt>
                <c:pt idx="9">
                  <c:v>0.15000000000000016</c:v>
                </c:pt>
                <c:pt idx="10">
                  <c:v>0</c:v>
                </c:pt>
              </c:numCache>
            </c:numRef>
          </c:xVal>
          <c:yVal>
            <c:numRef>
              <c:f>Arc_en_ciel1!$I$9:$I$19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7F3-1E4B-8463-A88AF154E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5776"/>
        <c:axId val="194753504"/>
      </c:scatterChart>
      <c:valAx>
        <c:axId val="194565776"/>
        <c:scaling>
          <c:orientation val="minMax"/>
          <c:max val="1.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CA" sz="1000" b="0" i="0" u="none" strike="noStrike" baseline="0">
                    <a:effectLst/>
                  </a:rPr>
                  <a:t>Frais de compensation environnementale</a:t>
                </a:r>
                <a:r>
                  <a:rPr lang="fr-CA" sz="1000" b="1" i="0" u="none" strike="noStrike" baseline="0"/>
                  <a:t>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4471981627296601"/>
              <c:y val="0.9048770442156269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4753504"/>
        <c:crosses val="autoZero"/>
        <c:crossBetween val="midCat"/>
        <c:majorUnit val="0.25"/>
      </c:valAx>
      <c:valAx>
        <c:axId val="194753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Profits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5657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356962485312296"/>
          <c:y val="0.190606743387846"/>
          <c:w val="0.34305715454596702"/>
          <c:h val="0.6187861901877650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90"/>
      <c:rotY val="0"/>
      <c:rAngAx val="0"/>
      <c:perspective val="0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surfaceChart>
        <c:wireframe val="0"/>
        <c:ser>
          <c:idx val="0"/>
          <c:order val="0"/>
          <c:tx>
            <c:strRef>
              <c:f>Arc_en_ciel2!$D$89</c:f>
              <c:strCache>
                <c:ptCount val="1"/>
                <c:pt idx="0">
                  <c:v>0%</c:v>
                </c:pt>
              </c:strCache>
            </c:strRef>
          </c:tx>
          <c:spPr>
            <a:ln w="28575">
              <a:noFill/>
            </a:ln>
          </c:spPr>
          <c:cat>
            <c:numRef>
              <c:f>Arc_en_ciel2!$E$88:$O$88</c:f>
              <c:numCache>
                <c:formatCode>General</c:formatCode>
                <c:ptCount val="11"/>
                <c:pt idx="0">
                  <c:v>1.5</c:v>
                </c:pt>
                <c:pt idx="1">
                  <c:v>1.35</c:v>
                </c:pt>
                <c:pt idx="2">
                  <c:v>1.2000000000000002</c:v>
                </c:pt>
                <c:pt idx="3">
                  <c:v>1.0500000000000003</c:v>
                </c:pt>
                <c:pt idx="4">
                  <c:v>0.90000000000000024</c:v>
                </c:pt>
                <c:pt idx="5">
                  <c:v>0.75000000000000022</c:v>
                </c:pt>
                <c:pt idx="6">
                  <c:v>0.6000000000000002</c:v>
                </c:pt>
                <c:pt idx="7">
                  <c:v>0.45000000000000018</c:v>
                </c:pt>
                <c:pt idx="8">
                  <c:v>0.30000000000000016</c:v>
                </c:pt>
                <c:pt idx="9">
                  <c:v>0.15000000000000016</c:v>
                </c:pt>
                <c:pt idx="10">
                  <c:v>0</c:v>
                </c:pt>
              </c:numCache>
            </c:numRef>
          </c:cat>
          <c:val>
            <c:numRef>
              <c:f>Arc_en_ciel2!$E$89:$O$89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C-8D4C-A91E-B217292259EF}"/>
            </c:ext>
          </c:extLst>
        </c:ser>
        <c:ser>
          <c:idx val="1"/>
          <c:order val="1"/>
          <c:tx>
            <c:strRef>
              <c:f>Arc_en_ciel2!$D$90</c:f>
              <c:strCache>
                <c:ptCount val="1"/>
                <c:pt idx="0">
                  <c:v>10%</c:v>
                </c:pt>
              </c:strCache>
            </c:strRef>
          </c:tx>
          <c:spPr>
            <a:ln w="28575">
              <a:noFill/>
            </a:ln>
          </c:spPr>
          <c:cat>
            <c:numRef>
              <c:f>Arc_en_ciel2!$E$88:$O$88</c:f>
              <c:numCache>
                <c:formatCode>General</c:formatCode>
                <c:ptCount val="11"/>
                <c:pt idx="0">
                  <c:v>1.5</c:v>
                </c:pt>
                <c:pt idx="1">
                  <c:v>1.35</c:v>
                </c:pt>
                <c:pt idx="2">
                  <c:v>1.2000000000000002</c:v>
                </c:pt>
                <c:pt idx="3">
                  <c:v>1.0500000000000003</c:v>
                </c:pt>
                <c:pt idx="4">
                  <c:v>0.90000000000000024</c:v>
                </c:pt>
                <c:pt idx="5">
                  <c:v>0.75000000000000022</c:v>
                </c:pt>
                <c:pt idx="6">
                  <c:v>0.6000000000000002</c:v>
                </c:pt>
                <c:pt idx="7">
                  <c:v>0.45000000000000018</c:v>
                </c:pt>
                <c:pt idx="8">
                  <c:v>0.30000000000000016</c:v>
                </c:pt>
                <c:pt idx="9">
                  <c:v>0.15000000000000016</c:v>
                </c:pt>
                <c:pt idx="10">
                  <c:v>0</c:v>
                </c:pt>
              </c:numCache>
            </c:numRef>
          </c:cat>
          <c:val>
            <c:numRef>
              <c:f>Arc_en_ciel2!$E$90:$O$90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8C-8D4C-A91E-B217292259EF}"/>
            </c:ext>
          </c:extLst>
        </c:ser>
        <c:ser>
          <c:idx val="2"/>
          <c:order val="2"/>
          <c:tx>
            <c:strRef>
              <c:f>Arc_en_ciel2!$D$91</c:f>
              <c:strCache>
                <c:ptCount val="1"/>
                <c:pt idx="0">
                  <c:v>20%</c:v>
                </c:pt>
              </c:strCache>
            </c:strRef>
          </c:tx>
          <c:spPr>
            <a:ln w="28575">
              <a:noFill/>
            </a:ln>
          </c:spPr>
          <c:cat>
            <c:numRef>
              <c:f>Arc_en_ciel2!$E$88:$O$88</c:f>
              <c:numCache>
                <c:formatCode>General</c:formatCode>
                <c:ptCount val="11"/>
                <c:pt idx="0">
                  <c:v>1.5</c:v>
                </c:pt>
                <c:pt idx="1">
                  <c:v>1.35</c:v>
                </c:pt>
                <c:pt idx="2">
                  <c:v>1.2000000000000002</c:v>
                </c:pt>
                <c:pt idx="3">
                  <c:v>1.0500000000000003</c:v>
                </c:pt>
                <c:pt idx="4">
                  <c:v>0.90000000000000024</c:v>
                </c:pt>
                <c:pt idx="5">
                  <c:v>0.75000000000000022</c:v>
                </c:pt>
                <c:pt idx="6">
                  <c:v>0.6000000000000002</c:v>
                </c:pt>
                <c:pt idx="7">
                  <c:v>0.45000000000000018</c:v>
                </c:pt>
                <c:pt idx="8">
                  <c:v>0.30000000000000016</c:v>
                </c:pt>
                <c:pt idx="9">
                  <c:v>0.15000000000000016</c:v>
                </c:pt>
                <c:pt idx="10">
                  <c:v>0</c:v>
                </c:pt>
              </c:numCache>
            </c:numRef>
          </c:cat>
          <c:val>
            <c:numRef>
              <c:f>Arc_en_ciel2!$E$91:$O$91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8C-8D4C-A91E-B217292259EF}"/>
            </c:ext>
          </c:extLst>
        </c:ser>
        <c:ser>
          <c:idx val="3"/>
          <c:order val="3"/>
          <c:tx>
            <c:strRef>
              <c:f>Arc_en_ciel2!$D$92</c:f>
              <c:strCache>
                <c:ptCount val="1"/>
                <c:pt idx="0">
                  <c:v>30%</c:v>
                </c:pt>
              </c:strCache>
            </c:strRef>
          </c:tx>
          <c:spPr>
            <a:ln w="28575">
              <a:noFill/>
            </a:ln>
          </c:spPr>
          <c:cat>
            <c:numRef>
              <c:f>Arc_en_ciel2!$E$88:$O$88</c:f>
              <c:numCache>
                <c:formatCode>General</c:formatCode>
                <c:ptCount val="11"/>
                <c:pt idx="0">
                  <c:v>1.5</c:v>
                </c:pt>
                <c:pt idx="1">
                  <c:v>1.35</c:v>
                </c:pt>
                <c:pt idx="2">
                  <c:v>1.2000000000000002</c:v>
                </c:pt>
                <c:pt idx="3">
                  <c:v>1.0500000000000003</c:v>
                </c:pt>
                <c:pt idx="4">
                  <c:v>0.90000000000000024</c:v>
                </c:pt>
                <c:pt idx="5">
                  <c:v>0.75000000000000022</c:v>
                </c:pt>
                <c:pt idx="6">
                  <c:v>0.6000000000000002</c:v>
                </c:pt>
                <c:pt idx="7">
                  <c:v>0.45000000000000018</c:v>
                </c:pt>
                <c:pt idx="8">
                  <c:v>0.30000000000000016</c:v>
                </c:pt>
                <c:pt idx="9">
                  <c:v>0.15000000000000016</c:v>
                </c:pt>
                <c:pt idx="10">
                  <c:v>0</c:v>
                </c:pt>
              </c:numCache>
            </c:numRef>
          </c:cat>
          <c:val>
            <c:numRef>
              <c:f>Arc_en_ciel2!$E$92:$O$92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8C-8D4C-A91E-B217292259EF}"/>
            </c:ext>
          </c:extLst>
        </c:ser>
        <c:ser>
          <c:idx val="4"/>
          <c:order val="4"/>
          <c:tx>
            <c:strRef>
              <c:f>Arc_en_ciel2!$D$93</c:f>
              <c:strCache>
                <c:ptCount val="1"/>
                <c:pt idx="0">
                  <c:v>40%</c:v>
                </c:pt>
              </c:strCache>
            </c:strRef>
          </c:tx>
          <c:spPr>
            <a:ln w="28575">
              <a:noFill/>
            </a:ln>
          </c:spPr>
          <c:cat>
            <c:numRef>
              <c:f>Arc_en_ciel2!$E$88:$O$88</c:f>
              <c:numCache>
                <c:formatCode>General</c:formatCode>
                <c:ptCount val="11"/>
                <c:pt idx="0">
                  <c:v>1.5</c:v>
                </c:pt>
                <c:pt idx="1">
                  <c:v>1.35</c:v>
                </c:pt>
                <c:pt idx="2">
                  <c:v>1.2000000000000002</c:v>
                </c:pt>
                <c:pt idx="3">
                  <c:v>1.0500000000000003</c:v>
                </c:pt>
                <c:pt idx="4">
                  <c:v>0.90000000000000024</c:v>
                </c:pt>
                <c:pt idx="5">
                  <c:v>0.75000000000000022</c:v>
                </c:pt>
                <c:pt idx="6">
                  <c:v>0.6000000000000002</c:v>
                </c:pt>
                <c:pt idx="7">
                  <c:v>0.45000000000000018</c:v>
                </c:pt>
                <c:pt idx="8">
                  <c:v>0.30000000000000016</c:v>
                </c:pt>
                <c:pt idx="9">
                  <c:v>0.15000000000000016</c:v>
                </c:pt>
                <c:pt idx="10">
                  <c:v>0</c:v>
                </c:pt>
              </c:numCache>
            </c:numRef>
          </c:cat>
          <c:val>
            <c:numRef>
              <c:f>Arc_en_ciel2!$E$93:$O$93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8C-8D4C-A91E-B217292259EF}"/>
            </c:ext>
          </c:extLst>
        </c:ser>
        <c:ser>
          <c:idx val="5"/>
          <c:order val="5"/>
          <c:tx>
            <c:strRef>
              <c:f>Arc_en_ciel2!$D$94</c:f>
              <c:strCache>
                <c:ptCount val="1"/>
                <c:pt idx="0">
                  <c:v>50%</c:v>
                </c:pt>
              </c:strCache>
            </c:strRef>
          </c:tx>
          <c:spPr>
            <a:ln w="28575">
              <a:noFill/>
            </a:ln>
          </c:spPr>
          <c:cat>
            <c:numRef>
              <c:f>Arc_en_ciel2!$E$88:$O$88</c:f>
              <c:numCache>
                <c:formatCode>General</c:formatCode>
                <c:ptCount val="11"/>
                <c:pt idx="0">
                  <c:v>1.5</c:v>
                </c:pt>
                <c:pt idx="1">
                  <c:v>1.35</c:v>
                </c:pt>
                <c:pt idx="2">
                  <c:v>1.2000000000000002</c:v>
                </c:pt>
                <c:pt idx="3">
                  <c:v>1.0500000000000003</c:v>
                </c:pt>
                <c:pt idx="4">
                  <c:v>0.90000000000000024</c:v>
                </c:pt>
                <c:pt idx="5">
                  <c:v>0.75000000000000022</c:v>
                </c:pt>
                <c:pt idx="6">
                  <c:v>0.6000000000000002</c:v>
                </c:pt>
                <c:pt idx="7">
                  <c:v>0.45000000000000018</c:v>
                </c:pt>
                <c:pt idx="8">
                  <c:v>0.30000000000000016</c:v>
                </c:pt>
                <c:pt idx="9">
                  <c:v>0.15000000000000016</c:v>
                </c:pt>
                <c:pt idx="10">
                  <c:v>0</c:v>
                </c:pt>
              </c:numCache>
            </c:numRef>
          </c:cat>
          <c:val>
            <c:numRef>
              <c:f>Arc_en_ciel2!$E$94:$O$94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8C-8D4C-A91E-B217292259EF}"/>
            </c:ext>
          </c:extLst>
        </c:ser>
        <c:ser>
          <c:idx val="6"/>
          <c:order val="6"/>
          <c:tx>
            <c:strRef>
              <c:f>Arc_en_ciel2!$D$95</c:f>
              <c:strCache>
                <c:ptCount val="1"/>
                <c:pt idx="0">
                  <c:v>60%</c:v>
                </c:pt>
              </c:strCache>
            </c:strRef>
          </c:tx>
          <c:spPr>
            <a:ln w="28575">
              <a:noFill/>
            </a:ln>
          </c:spPr>
          <c:cat>
            <c:numRef>
              <c:f>Arc_en_ciel2!$E$88:$O$88</c:f>
              <c:numCache>
                <c:formatCode>General</c:formatCode>
                <c:ptCount val="11"/>
                <c:pt idx="0">
                  <c:v>1.5</c:v>
                </c:pt>
                <c:pt idx="1">
                  <c:v>1.35</c:v>
                </c:pt>
                <c:pt idx="2">
                  <c:v>1.2000000000000002</c:v>
                </c:pt>
                <c:pt idx="3">
                  <c:v>1.0500000000000003</c:v>
                </c:pt>
                <c:pt idx="4">
                  <c:v>0.90000000000000024</c:v>
                </c:pt>
                <c:pt idx="5">
                  <c:v>0.75000000000000022</c:v>
                </c:pt>
                <c:pt idx="6">
                  <c:v>0.6000000000000002</c:v>
                </c:pt>
                <c:pt idx="7">
                  <c:v>0.45000000000000018</c:v>
                </c:pt>
                <c:pt idx="8">
                  <c:v>0.30000000000000016</c:v>
                </c:pt>
                <c:pt idx="9">
                  <c:v>0.15000000000000016</c:v>
                </c:pt>
                <c:pt idx="10">
                  <c:v>0</c:v>
                </c:pt>
              </c:numCache>
            </c:numRef>
          </c:cat>
          <c:val>
            <c:numRef>
              <c:f>Arc_en_ciel2!$E$95:$O$95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8C-8D4C-A91E-B217292259EF}"/>
            </c:ext>
          </c:extLst>
        </c:ser>
        <c:ser>
          <c:idx val="7"/>
          <c:order val="7"/>
          <c:tx>
            <c:strRef>
              <c:f>Arc_en_ciel2!$D$96</c:f>
              <c:strCache>
                <c:ptCount val="1"/>
                <c:pt idx="0">
                  <c:v>70%</c:v>
                </c:pt>
              </c:strCache>
            </c:strRef>
          </c:tx>
          <c:spPr>
            <a:ln w="28575">
              <a:noFill/>
            </a:ln>
          </c:spPr>
          <c:cat>
            <c:numRef>
              <c:f>Arc_en_ciel2!$E$88:$O$88</c:f>
              <c:numCache>
                <c:formatCode>General</c:formatCode>
                <c:ptCount val="11"/>
                <c:pt idx="0">
                  <c:v>1.5</c:v>
                </c:pt>
                <c:pt idx="1">
                  <c:v>1.35</c:v>
                </c:pt>
                <c:pt idx="2">
                  <c:v>1.2000000000000002</c:v>
                </c:pt>
                <c:pt idx="3">
                  <c:v>1.0500000000000003</c:v>
                </c:pt>
                <c:pt idx="4">
                  <c:v>0.90000000000000024</c:v>
                </c:pt>
                <c:pt idx="5">
                  <c:v>0.75000000000000022</c:v>
                </c:pt>
                <c:pt idx="6">
                  <c:v>0.6000000000000002</c:v>
                </c:pt>
                <c:pt idx="7">
                  <c:v>0.45000000000000018</c:v>
                </c:pt>
                <c:pt idx="8">
                  <c:v>0.30000000000000016</c:v>
                </c:pt>
                <c:pt idx="9">
                  <c:v>0.15000000000000016</c:v>
                </c:pt>
                <c:pt idx="10">
                  <c:v>0</c:v>
                </c:pt>
              </c:numCache>
            </c:numRef>
          </c:cat>
          <c:val>
            <c:numRef>
              <c:f>Arc_en_ciel2!$E$96:$O$96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8C-8D4C-A91E-B217292259EF}"/>
            </c:ext>
          </c:extLst>
        </c:ser>
        <c:ser>
          <c:idx val="8"/>
          <c:order val="8"/>
          <c:tx>
            <c:strRef>
              <c:f>Arc_en_ciel2!$D$97</c:f>
              <c:strCache>
                <c:ptCount val="1"/>
                <c:pt idx="0">
                  <c:v>80%</c:v>
                </c:pt>
              </c:strCache>
            </c:strRef>
          </c:tx>
          <c:spPr>
            <a:ln w="28575">
              <a:noFill/>
            </a:ln>
          </c:spPr>
          <c:cat>
            <c:numRef>
              <c:f>Arc_en_ciel2!$E$88:$O$88</c:f>
              <c:numCache>
                <c:formatCode>General</c:formatCode>
                <c:ptCount val="11"/>
                <c:pt idx="0">
                  <c:v>1.5</c:v>
                </c:pt>
                <c:pt idx="1">
                  <c:v>1.35</c:v>
                </c:pt>
                <c:pt idx="2">
                  <c:v>1.2000000000000002</c:v>
                </c:pt>
                <c:pt idx="3">
                  <c:v>1.0500000000000003</c:v>
                </c:pt>
                <c:pt idx="4">
                  <c:v>0.90000000000000024</c:v>
                </c:pt>
                <c:pt idx="5">
                  <c:v>0.75000000000000022</c:v>
                </c:pt>
                <c:pt idx="6">
                  <c:v>0.6000000000000002</c:v>
                </c:pt>
                <c:pt idx="7">
                  <c:v>0.45000000000000018</c:v>
                </c:pt>
                <c:pt idx="8">
                  <c:v>0.30000000000000016</c:v>
                </c:pt>
                <c:pt idx="9">
                  <c:v>0.15000000000000016</c:v>
                </c:pt>
                <c:pt idx="10">
                  <c:v>0</c:v>
                </c:pt>
              </c:numCache>
            </c:numRef>
          </c:cat>
          <c:val>
            <c:numRef>
              <c:f>Arc_en_ciel2!$E$97:$O$97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8C-8D4C-A91E-B217292259EF}"/>
            </c:ext>
          </c:extLst>
        </c:ser>
        <c:ser>
          <c:idx val="9"/>
          <c:order val="9"/>
          <c:tx>
            <c:strRef>
              <c:f>Arc_en_ciel2!$D$98</c:f>
              <c:strCache>
                <c:ptCount val="1"/>
                <c:pt idx="0">
                  <c:v>90%</c:v>
                </c:pt>
              </c:strCache>
            </c:strRef>
          </c:tx>
          <c:spPr>
            <a:ln w="28575">
              <a:noFill/>
            </a:ln>
          </c:spPr>
          <c:cat>
            <c:numRef>
              <c:f>Arc_en_ciel2!$E$88:$O$88</c:f>
              <c:numCache>
                <c:formatCode>General</c:formatCode>
                <c:ptCount val="11"/>
                <c:pt idx="0">
                  <c:v>1.5</c:v>
                </c:pt>
                <c:pt idx="1">
                  <c:v>1.35</c:v>
                </c:pt>
                <c:pt idx="2">
                  <c:v>1.2000000000000002</c:v>
                </c:pt>
                <c:pt idx="3">
                  <c:v>1.0500000000000003</c:v>
                </c:pt>
                <c:pt idx="4">
                  <c:v>0.90000000000000024</c:v>
                </c:pt>
                <c:pt idx="5">
                  <c:v>0.75000000000000022</c:v>
                </c:pt>
                <c:pt idx="6">
                  <c:v>0.6000000000000002</c:v>
                </c:pt>
                <c:pt idx="7">
                  <c:v>0.45000000000000018</c:v>
                </c:pt>
                <c:pt idx="8">
                  <c:v>0.30000000000000016</c:v>
                </c:pt>
                <c:pt idx="9">
                  <c:v>0.15000000000000016</c:v>
                </c:pt>
                <c:pt idx="10">
                  <c:v>0</c:v>
                </c:pt>
              </c:numCache>
            </c:numRef>
          </c:cat>
          <c:val>
            <c:numRef>
              <c:f>Arc_en_ciel2!$E$98:$O$98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78C-8D4C-A91E-B217292259EF}"/>
            </c:ext>
          </c:extLst>
        </c:ser>
        <c:ser>
          <c:idx val="10"/>
          <c:order val="10"/>
          <c:tx>
            <c:strRef>
              <c:f>Arc_en_ciel2!$D$99</c:f>
              <c:strCache>
                <c:ptCount val="1"/>
                <c:pt idx="0">
                  <c:v>100%</c:v>
                </c:pt>
              </c:strCache>
            </c:strRef>
          </c:tx>
          <c:spPr>
            <a:ln w="28575">
              <a:noFill/>
            </a:ln>
          </c:spPr>
          <c:cat>
            <c:numRef>
              <c:f>Arc_en_ciel2!$E$88:$O$88</c:f>
              <c:numCache>
                <c:formatCode>General</c:formatCode>
                <c:ptCount val="11"/>
                <c:pt idx="0">
                  <c:v>1.5</c:v>
                </c:pt>
                <c:pt idx="1">
                  <c:v>1.35</c:v>
                </c:pt>
                <c:pt idx="2">
                  <c:v>1.2000000000000002</c:v>
                </c:pt>
                <c:pt idx="3">
                  <c:v>1.0500000000000003</c:v>
                </c:pt>
                <c:pt idx="4">
                  <c:v>0.90000000000000024</c:v>
                </c:pt>
                <c:pt idx="5">
                  <c:v>0.75000000000000022</c:v>
                </c:pt>
                <c:pt idx="6">
                  <c:v>0.6000000000000002</c:v>
                </c:pt>
                <c:pt idx="7">
                  <c:v>0.45000000000000018</c:v>
                </c:pt>
                <c:pt idx="8">
                  <c:v>0.30000000000000016</c:v>
                </c:pt>
                <c:pt idx="9">
                  <c:v>0.15000000000000016</c:v>
                </c:pt>
                <c:pt idx="10">
                  <c:v>0</c:v>
                </c:pt>
              </c:numCache>
            </c:numRef>
          </c:cat>
          <c:val>
            <c:numRef>
              <c:f>Arc_en_ciel2!$E$99:$O$99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78C-8D4C-A91E-B217292259EF}"/>
            </c:ext>
          </c:extLst>
        </c:ser>
        <c:bandFmts/>
        <c:axId val="194482368"/>
        <c:axId val="194386208"/>
        <c:axId val="140653696"/>
      </c:surfaceChart>
      <c:catAx>
        <c:axId val="194482368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Frais de compensation environnementale ($/g)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386208"/>
        <c:crosses val="autoZero"/>
        <c:auto val="1"/>
        <c:lblAlgn val="ctr"/>
        <c:lblOffset val="100"/>
        <c:noMultiLvlLbl val="0"/>
      </c:catAx>
      <c:valAx>
        <c:axId val="1943862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</c:spPr>
        <c:crossAx val="194482368"/>
        <c:crosses val="autoZero"/>
        <c:crossBetween val="midCat"/>
        <c:majorUnit val="1"/>
      </c:valAx>
      <c:serAx>
        <c:axId val="140653696"/>
        <c:scaling>
          <c:orientation val="minMax"/>
        </c:scaling>
        <c:delete val="0"/>
        <c:axPos val="b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Part du marché Phase 2</a:t>
                </a:r>
              </a:p>
            </c:rich>
          </c:tx>
          <c:overlay val="0"/>
        </c:title>
        <c:majorTickMark val="out"/>
        <c:minorTickMark val="none"/>
        <c:tickLblPos val="nextTo"/>
        <c:crossAx val="194386208"/>
        <c:crosses val="autoZero"/>
      </c:serAx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939800</xdr:colOff>
      <xdr:row>47</xdr:row>
      <xdr:rowOff>76200</xdr:rowOff>
    </xdr:from>
    <xdr:to>
      <xdr:col>12</xdr:col>
      <xdr:colOff>177800</xdr:colOff>
      <xdr:row>57</xdr:row>
      <xdr:rowOff>127000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0800" y="9448800"/>
          <a:ext cx="4445000" cy="1955800"/>
        </a:xfrm>
        <a:prstGeom prst="rect">
          <a:avLst/>
        </a:prstGeom>
      </xdr:spPr>
    </xdr:pic>
    <xdr:clientData/>
  </xdr:twoCellAnchor>
  <xdr:twoCellAnchor editAs="oneCell">
    <xdr:from>
      <xdr:col>16</xdr:col>
      <xdr:colOff>165100</xdr:colOff>
      <xdr:row>96</xdr:row>
      <xdr:rowOff>76200</xdr:rowOff>
    </xdr:from>
    <xdr:to>
      <xdr:col>22</xdr:col>
      <xdr:colOff>406400</xdr:colOff>
      <xdr:row>106</xdr:row>
      <xdr:rowOff>114300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67100" y="18656300"/>
          <a:ext cx="4432300" cy="1943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1</xdr:row>
      <xdr:rowOff>76200</xdr:rowOff>
    </xdr:from>
    <xdr:to>
      <xdr:col>18</xdr:col>
      <xdr:colOff>419100</xdr:colOff>
      <xdr:row>24</xdr:row>
      <xdr:rowOff>180975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740229</xdr:colOff>
      <xdr:row>25</xdr:row>
      <xdr:rowOff>176894</xdr:rowOff>
    </xdr:from>
    <xdr:to>
      <xdr:col>18</xdr:col>
      <xdr:colOff>435428</xdr:colOff>
      <xdr:row>52</xdr:row>
      <xdr:rowOff>108857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500060</xdr:colOff>
      <xdr:row>20</xdr:row>
      <xdr:rowOff>76200</xdr:rowOff>
    </xdr:from>
    <xdr:to>
      <xdr:col>11</xdr:col>
      <xdr:colOff>619125</xdr:colOff>
      <xdr:row>39</xdr:row>
      <xdr:rowOff>95250</xdr:rowOff>
    </xdr:to>
    <xdr:grpSp>
      <xdr:nvGrpSpPr>
        <xdr:cNvPr id="6" name="Group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3117364" y="3389243"/>
          <a:ext cx="7098544" cy="3166442"/>
          <a:chOff x="2786060" y="3389243"/>
          <a:chExt cx="6215065" cy="3166442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GraphicFramePr>
            <a:graphicFrameLocks/>
          </xdr:cNvGraphicFramePr>
        </xdr:nvGraphicFramePr>
        <xdr:xfrm>
          <a:off x="2786060" y="3389243"/>
          <a:ext cx="6215065" cy="316644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Freeform 3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/>
        </xdr:nvSpPr>
        <xdr:spPr>
          <a:xfrm>
            <a:off x="3363484" y="3711023"/>
            <a:ext cx="686500" cy="2498703"/>
          </a:xfrm>
          <a:custGeom>
            <a:avLst/>
            <a:gdLst>
              <a:gd name="connsiteX0" fmla="*/ 0 w 1419225"/>
              <a:gd name="connsiteY0" fmla="*/ 0 h 1914525"/>
              <a:gd name="connsiteX1" fmla="*/ 1409700 w 1419225"/>
              <a:gd name="connsiteY1" fmla="*/ 600075 h 1914525"/>
              <a:gd name="connsiteX2" fmla="*/ 1419225 w 1419225"/>
              <a:gd name="connsiteY2" fmla="*/ 1914525 h 1914525"/>
              <a:gd name="connsiteX3" fmla="*/ 19050 w 1419225"/>
              <a:gd name="connsiteY3" fmla="*/ 1914525 h 1914525"/>
              <a:gd name="connsiteX4" fmla="*/ 0 w 1419225"/>
              <a:gd name="connsiteY4" fmla="*/ 0 h 1914525"/>
              <a:gd name="connsiteX0" fmla="*/ 0 w 1419225"/>
              <a:gd name="connsiteY0" fmla="*/ 0 h 1914525"/>
              <a:gd name="connsiteX1" fmla="*/ 1261423 w 1419225"/>
              <a:gd name="connsiteY1" fmla="*/ 372606 h 1914525"/>
              <a:gd name="connsiteX2" fmla="*/ 1419225 w 1419225"/>
              <a:gd name="connsiteY2" fmla="*/ 1914525 h 1914525"/>
              <a:gd name="connsiteX3" fmla="*/ 19050 w 1419225"/>
              <a:gd name="connsiteY3" fmla="*/ 1914525 h 1914525"/>
              <a:gd name="connsiteX4" fmla="*/ 0 w 1419225"/>
              <a:gd name="connsiteY4" fmla="*/ 0 h 1914525"/>
              <a:gd name="connsiteX0" fmla="*/ 0 w 1261423"/>
              <a:gd name="connsiteY0" fmla="*/ 0 h 1914525"/>
              <a:gd name="connsiteX1" fmla="*/ 1261423 w 1261423"/>
              <a:gd name="connsiteY1" fmla="*/ 372606 h 1914525"/>
              <a:gd name="connsiteX2" fmla="*/ 1228583 w 1261423"/>
              <a:gd name="connsiteY2" fmla="*/ 1914525 h 1914525"/>
              <a:gd name="connsiteX3" fmla="*/ 19050 w 1261423"/>
              <a:gd name="connsiteY3" fmla="*/ 1914525 h 1914525"/>
              <a:gd name="connsiteX4" fmla="*/ 0 w 1261423"/>
              <a:gd name="connsiteY4" fmla="*/ 0 h 1914525"/>
              <a:gd name="connsiteX0" fmla="*/ 0 w 1292130"/>
              <a:gd name="connsiteY0" fmla="*/ 0 h 1914525"/>
              <a:gd name="connsiteX1" fmla="*/ 1261423 w 1292130"/>
              <a:gd name="connsiteY1" fmla="*/ 372606 h 1914525"/>
              <a:gd name="connsiteX2" fmla="*/ 1292130 w 1292130"/>
              <a:gd name="connsiteY2" fmla="*/ 1914525 h 1914525"/>
              <a:gd name="connsiteX3" fmla="*/ 19050 w 1292130"/>
              <a:gd name="connsiteY3" fmla="*/ 1914525 h 1914525"/>
              <a:gd name="connsiteX4" fmla="*/ 0 w 1292130"/>
              <a:gd name="connsiteY4" fmla="*/ 0 h 1914525"/>
              <a:gd name="connsiteX0" fmla="*/ 0 w 1261423"/>
              <a:gd name="connsiteY0" fmla="*/ 0 h 1914525"/>
              <a:gd name="connsiteX1" fmla="*/ 1261423 w 1261423"/>
              <a:gd name="connsiteY1" fmla="*/ 372606 h 1914525"/>
              <a:gd name="connsiteX2" fmla="*/ 1228583 w 1261423"/>
              <a:gd name="connsiteY2" fmla="*/ 1914525 h 1914525"/>
              <a:gd name="connsiteX3" fmla="*/ 19050 w 1261423"/>
              <a:gd name="connsiteY3" fmla="*/ 1914525 h 1914525"/>
              <a:gd name="connsiteX4" fmla="*/ 0 w 1261423"/>
              <a:gd name="connsiteY4" fmla="*/ 0 h 1914525"/>
              <a:gd name="connsiteX0" fmla="*/ 0 w 1313313"/>
              <a:gd name="connsiteY0" fmla="*/ 0 h 1924003"/>
              <a:gd name="connsiteX1" fmla="*/ 1261423 w 1313313"/>
              <a:gd name="connsiteY1" fmla="*/ 372606 h 1924003"/>
              <a:gd name="connsiteX2" fmla="*/ 1313313 w 1313313"/>
              <a:gd name="connsiteY2" fmla="*/ 1924003 h 1924003"/>
              <a:gd name="connsiteX3" fmla="*/ 19050 w 1313313"/>
              <a:gd name="connsiteY3" fmla="*/ 1914525 h 1924003"/>
              <a:gd name="connsiteX4" fmla="*/ 0 w 1313313"/>
              <a:gd name="connsiteY4" fmla="*/ 0 h 1924003"/>
              <a:gd name="connsiteX0" fmla="*/ 0 w 1280724"/>
              <a:gd name="connsiteY0" fmla="*/ 0 h 1914525"/>
              <a:gd name="connsiteX1" fmla="*/ 1261423 w 1280724"/>
              <a:gd name="connsiteY1" fmla="*/ 372606 h 1914525"/>
              <a:gd name="connsiteX2" fmla="*/ 1280724 w 1280724"/>
              <a:gd name="connsiteY2" fmla="*/ 1902031 h 1914525"/>
              <a:gd name="connsiteX3" fmla="*/ 19050 w 1280724"/>
              <a:gd name="connsiteY3" fmla="*/ 1914525 h 1914525"/>
              <a:gd name="connsiteX4" fmla="*/ 0 w 1280724"/>
              <a:gd name="connsiteY4" fmla="*/ 0 h 1914525"/>
              <a:gd name="connsiteX0" fmla="*/ 0 w 1264432"/>
              <a:gd name="connsiteY0" fmla="*/ 0 h 1914525"/>
              <a:gd name="connsiteX1" fmla="*/ 1261423 w 1264432"/>
              <a:gd name="connsiteY1" fmla="*/ 372606 h 1914525"/>
              <a:gd name="connsiteX2" fmla="*/ 1264432 w 1264432"/>
              <a:gd name="connsiteY2" fmla="*/ 1902031 h 1914525"/>
              <a:gd name="connsiteX3" fmla="*/ 19050 w 1264432"/>
              <a:gd name="connsiteY3" fmla="*/ 1914525 h 1914525"/>
              <a:gd name="connsiteX4" fmla="*/ 0 w 1264432"/>
              <a:gd name="connsiteY4" fmla="*/ 0 h 1914525"/>
              <a:gd name="connsiteX0" fmla="*/ 0 w 1294012"/>
              <a:gd name="connsiteY0" fmla="*/ 0 h 1914525"/>
              <a:gd name="connsiteX1" fmla="*/ 1294012 w 1294012"/>
              <a:gd name="connsiteY1" fmla="*/ 280311 h 1914525"/>
              <a:gd name="connsiteX2" fmla="*/ 1264432 w 1294012"/>
              <a:gd name="connsiteY2" fmla="*/ 1902031 h 1914525"/>
              <a:gd name="connsiteX3" fmla="*/ 19050 w 1294012"/>
              <a:gd name="connsiteY3" fmla="*/ 1914525 h 1914525"/>
              <a:gd name="connsiteX4" fmla="*/ 0 w 1294012"/>
              <a:gd name="connsiteY4" fmla="*/ 0 h 19145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94012" h="1914525">
                <a:moveTo>
                  <a:pt x="0" y="0"/>
                </a:moveTo>
                <a:lnTo>
                  <a:pt x="1294012" y="280311"/>
                </a:lnTo>
                <a:lnTo>
                  <a:pt x="1264432" y="1902031"/>
                </a:lnTo>
                <a:lnTo>
                  <a:pt x="19050" y="1914525"/>
                </a:lnTo>
                <a:lnTo>
                  <a:pt x="0" y="0"/>
                </a:lnTo>
                <a:close/>
              </a:path>
            </a:pathLst>
          </a:custGeom>
          <a:solidFill>
            <a:schemeClr val="accent3">
              <a:lumMod val="75000"/>
              <a:alpha val="3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4020976" y="4104606"/>
            <a:ext cx="1837114" cy="2097061"/>
          </a:xfrm>
          <a:custGeom>
            <a:avLst/>
            <a:gdLst>
              <a:gd name="connsiteX0" fmla="*/ 2219325 w 2219325"/>
              <a:gd name="connsiteY0" fmla="*/ 19050 h 1314450"/>
              <a:gd name="connsiteX1" fmla="*/ 2219325 w 2219325"/>
              <a:gd name="connsiteY1" fmla="*/ 1314450 h 1314450"/>
              <a:gd name="connsiteX2" fmla="*/ 0 w 2219325"/>
              <a:gd name="connsiteY2" fmla="*/ 1304925 h 1314450"/>
              <a:gd name="connsiteX3" fmla="*/ 0 w 2219325"/>
              <a:gd name="connsiteY3" fmla="*/ 0 h 1314450"/>
              <a:gd name="connsiteX4" fmla="*/ 2219325 w 2219325"/>
              <a:gd name="connsiteY4" fmla="*/ 19050 h 1314450"/>
              <a:gd name="connsiteX0" fmla="*/ 2177431 w 2219325"/>
              <a:gd name="connsiteY0" fmla="*/ 374908 h 1314450"/>
              <a:gd name="connsiteX1" fmla="*/ 2219325 w 2219325"/>
              <a:gd name="connsiteY1" fmla="*/ 1314450 h 1314450"/>
              <a:gd name="connsiteX2" fmla="*/ 0 w 2219325"/>
              <a:gd name="connsiteY2" fmla="*/ 1304925 h 1314450"/>
              <a:gd name="connsiteX3" fmla="*/ 0 w 2219325"/>
              <a:gd name="connsiteY3" fmla="*/ 0 h 1314450"/>
              <a:gd name="connsiteX4" fmla="*/ 2177431 w 2219325"/>
              <a:gd name="connsiteY4" fmla="*/ 374908 h 1314450"/>
              <a:gd name="connsiteX0" fmla="*/ 2177431 w 2198378"/>
              <a:gd name="connsiteY0" fmla="*/ 374908 h 2063235"/>
              <a:gd name="connsiteX1" fmla="*/ 2198378 w 2198378"/>
              <a:gd name="connsiteY1" fmla="*/ 2063235 h 2063235"/>
              <a:gd name="connsiteX2" fmla="*/ 0 w 2198378"/>
              <a:gd name="connsiteY2" fmla="*/ 1304925 h 2063235"/>
              <a:gd name="connsiteX3" fmla="*/ 0 w 2198378"/>
              <a:gd name="connsiteY3" fmla="*/ 0 h 2063235"/>
              <a:gd name="connsiteX4" fmla="*/ 2177431 w 2198378"/>
              <a:gd name="connsiteY4" fmla="*/ 374908 h 2063235"/>
              <a:gd name="connsiteX0" fmla="*/ 2187905 w 2208852"/>
              <a:gd name="connsiteY0" fmla="*/ 374908 h 2063235"/>
              <a:gd name="connsiteX1" fmla="*/ 2208852 w 2208852"/>
              <a:gd name="connsiteY1" fmla="*/ 2063235 h 2063235"/>
              <a:gd name="connsiteX2" fmla="*/ 0 w 2208852"/>
              <a:gd name="connsiteY2" fmla="*/ 2053709 h 2063235"/>
              <a:gd name="connsiteX3" fmla="*/ 10474 w 2208852"/>
              <a:gd name="connsiteY3" fmla="*/ 0 h 2063235"/>
              <a:gd name="connsiteX4" fmla="*/ 2187905 w 2208852"/>
              <a:gd name="connsiteY4" fmla="*/ 374908 h 206323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208852" h="2063235">
                <a:moveTo>
                  <a:pt x="2187905" y="374908"/>
                </a:moveTo>
                <a:lnTo>
                  <a:pt x="2208852" y="2063235"/>
                </a:lnTo>
                <a:lnTo>
                  <a:pt x="0" y="2053709"/>
                </a:lnTo>
                <a:cubicBezTo>
                  <a:pt x="3491" y="1369139"/>
                  <a:pt x="6983" y="684570"/>
                  <a:pt x="10474" y="0"/>
                </a:cubicBezTo>
                <a:lnTo>
                  <a:pt x="2187905" y="374908"/>
                </a:lnTo>
                <a:close/>
              </a:path>
            </a:pathLst>
          </a:custGeom>
          <a:solidFill>
            <a:schemeClr val="tx2">
              <a:lumMod val="60000"/>
              <a:lumOff val="40000"/>
              <a:alpha val="3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5" name="Freeform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5841667" y="4490194"/>
            <a:ext cx="1341077" cy="1722574"/>
          </a:xfrm>
          <a:custGeom>
            <a:avLst/>
            <a:gdLst>
              <a:gd name="connsiteX0" fmla="*/ 2219325 w 2219325"/>
              <a:gd name="connsiteY0" fmla="*/ 19050 h 1314450"/>
              <a:gd name="connsiteX1" fmla="*/ 2219325 w 2219325"/>
              <a:gd name="connsiteY1" fmla="*/ 1314450 h 1314450"/>
              <a:gd name="connsiteX2" fmla="*/ 0 w 2219325"/>
              <a:gd name="connsiteY2" fmla="*/ 1304925 h 1314450"/>
              <a:gd name="connsiteX3" fmla="*/ 0 w 2219325"/>
              <a:gd name="connsiteY3" fmla="*/ 0 h 1314450"/>
              <a:gd name="connsiteX4" fmla="*/ 2219325 w 2219325"/>
              <a:gd name="connsiteY4" fmla="*/ 19050 h 1314450"/>
              <a:gd name="connsiteX0" fmla="*/ 2177431 w 2219325"/>
              <a:gd name="connsiteY0" fmla="*/ 374908 h 1314450"/>
              <a:gd name="connsiteX1" fmla="*/ 2219325 w 2219325"/>
              <a:gd name="connsiteY1" fmla="*/ 1314450 h 1314450"/>
              <a:gd name="connsiteX2" fmla="*/ 0 w 2219325"/>
              <a:gd name="connsiteY2" fmla="*/ 1304925 h 1314450"/>
              <a:gd name="connsiteX3" fmla="*/ 0 w 2219325"/>
              <a:gd name="connsiteY3" fmla="*/ 0 h 1314450"/>
              <a:gd name="connsiteX4" fmla="*/ 2177431 w 2219325"/>
              <a:gd name="connsiteY4" fmla="*/ 374908 h 1314450"/>
              <a:gd name="connsiteX0" fmla="*/ 2177431 w 2198378"/>
              <a:gd name="connsiteY0" fmla="*/ 374908 h 2063235"/>
              <a:gd name="connsiteX1" fmla="*/ 2198378 w 2198378"/>
              <a:gd name="connsiteY1" fmla="*/ 2063235 h 2063235"/>
              <a:gd name="connsiteX2" fmla="*/ 0 w 2198378"/>
              <a:gd name="connsiteY2" fmla="*/ 1304925 h 2063235"/>
              <a:gd name="connsiteX3" fmla="*/ 0 w 2198378"/>
              <a:gd name="connsiteY3" fmla="*/ 0 h 2063235"/>
              <a:gd name="connsiteX4" fmla="*/ 2177431 w 2198378"/>
              <a:gd name="connsiteY4" fmla="*/ 374908 h 2063235"/>
              <a:gd name="connsiteX0" fmla="*/ 2187905 w 2208852"/>
              <a:gd name="connsiteY0" fmla="*/ 374908 h 2063235"/>
              <a:gd name="connsiteX1" fmla="*/ 2208852 w 2208852"/>
              <a:gd name="connsiteY1" fmla="*/ 2063235 h 2063235"/>
              <a:gd name="connsiteX2" fmla="*/ 0 w 2208852"/>
              <a:gd name="connsiteY2" fmla="*/ 2053709 h 2063235"/>
              <a:gd name="connsiteX3" fmla="*/ 10474 w 2208852"/>
              <a:gd name="connsiteY3" fmla="*/ 0 h 2063235"/>
              <a:gd name="connsiteX4" fmla="*/ 2187905 w 2208852"/>
              <a:gd name="connsiteY4" fmla="*/ 374908 h 2063235"/>
              <a:gd name="connsiteX0" fmla="*/ 2160103 w 2208852"/>
              <a:gd name="connsiteY0" fmla="*/ 11636 h 2063235"/>
              <a:gd name="connsiteX1" fmla="*/ 2208852 w 2208852"/>
              <a:gd name="connsiteY1" fmla="*/ 2063235 h 2063235"/>
              <a:gd name="connsiteX2" fmla="*/ 0 w 2208852"/>
              <a:gd name="connsiteY2" fmla="*/ 2053709 h 2063235"/>
              <a:gd name="connsiteX3" fmla="*/ 10474 w 2208852"/>
              <a:gd name="connsiteY3" fmla="*/ 0 h 2063235"/>
              <a:gd name="connsiteX4" fmla="*/ 2160103 w 2208852"/>
              <a:gd name="connsiteY4" fmla="*/ 11636 h 2063235"/>
              <a:gd name="connsiteX0" fmla="*/ 2160103 w 2194951"/>
              <a:gd name="connsiteY0" fmla="*/ 11636 h 2053709"/>
              <a:gd name="connsiteX1" fmla="*/ 2194951 w 2194951"/>
              <a:gd name="connsiteY1" fmla="*/ 1670308 h 2053709"/>
              <a:gd name="connsiteX2" fmla="*/ 0 w 2194951"/>
              <a:gd name="connsiteY2" fmla="*/ 2053709 h 2053709"/>
              <a:gd name="connsiteX3" fmla="*/ 10474 w 2194951"/>
              <a:gd name="connsiteY3" fmla="*/ 0 h 2053709"/>
              <a:gd name="connsiteX4" fmla="*/ 2160103 w 2194951"/>
              <a:gd name="connsiteY4" fmla="*/ 11636 h 2053709"/>
              <a:gd name="connsiteX0" fmla="*/ 2160103 w 2194951"/>
              <a:gd name="connsiteY0" fmla="*/ 11636 h 1697850"/>
              <a:gd name="connsiteX1" fmla="*/ 2194951 w 2194951"/>
              <a:gd name="connsiteY1" fmla="*/ 1670308 h 1697850"/>
              <a:gd name="connsiteX2" fmla="*/ 0 w 2194951"/>
              <a:gd name="connsiteY2" fmla="*/ 1697850 h 1697850"/>
              <a:gd name="connsiteX3" fmla="*/ 10474 w 2194951"/>
              <a:gd name="connsiteY3" fmla="*/ 0 h 1697850"/>
              <a:gd name="connsiteX4" fmla="*/ 2160103 w 2194951"/>
              <a:gd name="connsiteY4" fmla="*/ 11636 h 1697850"/>
              <a:gd name="connsiteX0" fmla="*/ 2160103 w 2160103"/>
              <a:gd name="connsiteY0" fmla="*/ 11636 h 1697850"/>
              <a:gd name="connsiteX1" fmla="*/ 2153248 w 2160103"/>
              <a:gd name="connsiteY1" fmla="*/ 1692548 h 1697850"/>
              <a:gd name="connsiteX2" fmla="*/ 0 w 2160103"/>
              <a:gd name="connsiteY2" fmla="*/ 1697850 h 1697850"/>
              <a:gd name="connsiteX3" fmla="*/ 10474 w 2160103"/>
              <a:gd name="connsiteY3" fmla="*/ 0 h 1697850"/>
              <a:gd name="connsiteX4" fmla="*/ 2160103 w 2160103"/>
              <a:gd name="connsiteY4" fmla="*/ 11636 h 16978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160103" h="1697850">
                <a:moveTo>
                  <a:pt x="2160103" y="11636"/>
                </a:moveTo>
                <a:lnTo>
                  <a:pt x="2153248" y="1692548"/>
                </a:lnTo>
                <a:lnTo>
                  <a:pt x="0" y="1697850"/>
                </a:lnTo>
                <a:cubicBezTo>
                  <a:pt x="3491" y="1013280"/>
                  <a:pt x="6983" y="684570"/>
                  <a:pt x="10474" y="0"/>
                </a:cubicBezTo>
                <a:lnTo>
                  <a:pt x="2160103" y="11636"/>
                </a:lnTo>
                <a:close/>
              </a:path>
            </a:pathLst>
          </a:custGeom>
          <a:solidFill>
            <a:srgbClr val="FF0000">
              <a:alpha val="3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585787</xdr:colOff>
      <xdr:row>99</xdr:row>
      <xdr:rowOff>123825</xdr:rowOff>
    </xdr:from>
    <xdr:to>
      <xdr:col>12</xdr:col>
      <xdr:colOff>564173</xdr:colOff>
      <xdr:row>127</xdr:row>
      <xdr:rowOff>142875</xdr:rowOff>
    </xdr:to>
    <xdr:graphicFrame macro="">
      <xdr:nvGraphicFramePr>
        <xdr:cNvPr id="2" name="Chart 1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0.56519</cdr:x>
      <cdr:y>0.56111</cdr:y>
    </cdr:from>
    <cdr:to>
      <cdr:x>0.72326</cdr:x>
      <cdr:y>0.71147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424900" y="2543175"/>
          <a:ext cx="957862" cy="68151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alpha val="88000"/>
          </a:schemeClr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>
              <a:effectLst/>
              <a:latin typeface="+mn-lt"/>
              <a:ea typeface="+mn-ea"/>
              <a:cs typeface="+mn-cs"/>
            </a:rPr>
            <a:t>Recherche + Produire Phase 2</a:t>
          </a:r>
          <a:endParaRPr lang="en-CA">
            <a:effectLst/>
          </a:endParaRPr>
        </a:p>
        <a:p xmlns:a="http://schemas.openxmlformats.org/drawingml/2006/main">
          <a:pPr algn="ctr"/>
          <a:endParaRPr lang="en-CA" sz="1100"/>
        </a:p>
      </cdr:txBody>
    </cdr:sp>
  </cdr:relSizeAnchor>
  <cdr:relSizeAnchor xmlns:cdr="http://schemas.openxmlformats.org/drawingml/2006/chartDrawing">
    <cdr:from>
      <cdr:x>0.21489</cdr:x>
      <cdr:y>0.04336</cdr:y>
    </cdr:from>
    <cdr:to>
      <cdr:x>0.37818</cdr:x>
      <cdr:y>0.17415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566864" y="197430"/>
          <a:ext cx="1190624" cy="59548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alpha val="88000"/>
          </a:schemeClr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>
              <a:effectLst/>
              <a:latin typeface="+mn-lt"/>
              <a:ea typeface="+mn-ea"/>
              <a:cs typeface="+mn-cs"/>
            </a:rPr>
            <a:t>Produire CFC Phase 1 et 2</a:t>
          </a:r>
          <a:endParaRPr lang="en-CA" sz="1100"/>
        </a:p>
      </cdr:txBody>
    </cdr:sp>
  </cdr:relSizeAnchor>
  <cdr:relSizeAnchor xmlns:cdr="http://schemas.openxmlformats.org/drawingml/2006/chartDrawing">
    <cdr:from>
      <cdr:x>0.22534</cdr:x>
      <cdr:y>0.65272</cdr:y>
    </cdr:from>
    <cdr:to>
      <cdr:x>0.43954</cdr:x>
      <cdr:y>0.78211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1643063" y="2971800"/>
          <a:ext cx="1561761" cy="5891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alpha val="88000"/>
          </a:schemeClr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Recherche +</a:t>
          </a:r>
        </a:p>
        <a:p xmlns:a="http://schemas.openxmlformats.org/drawingml/2006/main">
          <a:pPr algn="ctr"/>
          <a:r>
            <a:rPr lang="en-CA" sz="1100"/>
            <a:t>Produire Phase 1 et 2</a:t>
          </a: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38"/>
  <sheetViews>
    <sheetView workbookViewId="0">
      <selection activeCell="B35" sqref="B35:B36"/>
    </sheetView>
  </sheetViews>
  <sheetFormatPr baseColWidth="10" defaultColWidth="9.1640625" defaultRowHeight="15" x14ac:dyDescent="0.2"/>
  <cols>
    <col min="1" max="1" width="45.83203125" customWidth="1"/>
    <col min="2" max="2" width="15.33203125" customWidth="1"/>
  </cols>
  <sheetData>
    <row r="2" spans="1:3" x14ac:dyDescent="0.2">
      <c r="A2" t="s">
        <v>37</v>
      </c>
    </row>
    <row r="3" spans="1:3" x14ac:dyDescent="0.2">
      <c r="B3" t="s">
        <v>1</v>
      </c>
      <c r="C3" s="1"/>
    </row>
    <row r="4" spans="1:3" x14ac:dyDescent="0.2">
      <c r="A4" t="s">
        <v>48</v>
      </c>
      <c r="B4" s="2">
        <v>0.75</v>
      </c>
      <c r="C4" s="3"/>
    </row>
    <row r="5" spans="1:3" x14ac:dyDescent="0.2">
      <c r="A5" s="4" t="s">
        <v>5</v>
      </c>
      <c r="C5" s="3"/>
    </row>
    <row r="6" spans="1:3" x14ac:dyDescent="0.2">
      <c r="A6" t="s">
        <v>43</v>
      </c>
      <c r="B6" s="7">
        <v>10</v>
      </c>
      <c r="C6" s="3"/>
    </row>
    <row r="7" spans="1:3" x14ac:dyDescent="0.2">
      <c r="A7" t="s">
        <v>6</v>
      </c>
      <c r="B7" s="7">
        <v>16</v>
      </c>
      <c r="C7" s="3"/>
    </row>
    <row r="8" spans="1:3" x14ac:dyDescent="0.2">
      <c r="A8" t="s">
        <v>18</v>
      </c>
      <c r="B8" s="7">
        <v>1</v>
      </c>
    </row>
    <row r="9" spans="1:3" x14ac:dyDescent="0.2">
      <c r="A9" t="s">
        <v>14</v>
      </c>
      <c r="B9" s="7">
        <v>28</v>
      </c>
    </row>
    <row r="10" spans="1:3" x14ac:dyDescent="0.2">
      <c r="A10" t="s">
        <v>15</v>
      </c>
      <c r="B10" s="7">
        <v>0.6</v>
      </c>
    </row>
    <row r="13" spans="1:3" x14ac:dyDescent="0.2">
      <c r="A13" s="5" t="s">
        <v>38</v>
      </c>
      <c r="C13" s="3"/>
    </row>
    <row r="14" spans="1:3" ht="45.75" customHeight="1" x14ac:dyDescent="0.2">
      <c r="B14" s="55" t="s">
        <v>36</v>
      </c>
    </row>
    <row r="15" spans="1:3" x14ac:dyDescent="0.2">
      <c r="A15" t="s">
        <v>7</v>
      </c>
      <c r="B15" s="8">
        <v>1</v>
      </c>
    </row>
    <row r="16" spans="1:3" x14ac:dyDescent="0.2">
      <c r="A16" t="s">
        <v>23</v>
      </c>
      <c r="B16" s="8">
        <v>1</v>
      </c>
    </row>
    <row r="17" spans="1:5" x14ac:dyDescent="0.2">
      <c r="A17" t="s">
        <v>21</v>
      </c>
      <c r="B17" s="8">
        <v>1</v>
      </c>
    </row>
    <row r="19" spans="1:5" x14ac:dyDescent="0.2">
      <c r="A19" s="10" t="s">
        <v>39</v>
      </c>
    </row>
    <row r="20" spans="1:5" x14ac:dyDescent="0.2">
      <c r="A20" s="5" t="s">
        <v>40</v>
      </c>
      <c r="C20" s="3"/>
      <c r="D20" s="6"/>
      <c r="E20" s="6"/>
    </row>
    <row r="21" spans="1:5" x14ac:dyDescent="0.2">
      <c r="A21" t="s">
        <v>8</v>
      </c>
      <c r="B21">
        <f>B16*$B$6</f>
        <v>10</v>
      </c>
    </row>
    <row r="22" spans="1:5" x14ac:dyDescent="0.2">
      <c r="A22" s="9" t="s">
        <v>9</v>
      </c>
    </row>
    <row r="23" spans="1:5" x14ac:dyDescent="0.2">
      <c r="A23" t="s">
        <v>10</v>
      </c>
      <c r="B23">
        <f>B15*$B$7</f>
        <v>16</v>
      </c>
    </row>
    <row r="24" spans="1:5" x14ac:dyDescent="0.2">
      <c r="A24" t="s">
        <v>11</v>
      </c>
      <c r="B24">
        <f>B16*$B$6*$B$4</f>
        <v>7.5</v>
      </c>
    </row>
    <row r="25" spans="1:5" x14ac:dyDescent="0.2">
      <c r="A25" t="s">
        <v>12</v>
      </c>
      <c r="B25" s="59">
        <f>B21-B23-B24</f>
        <v>-13.5</v>
      </c>
    </row>
    <row r="26" spans="1:5" x14ac:dyDescent="0.2">
      <c r="A26" s="10" t="s">
        <v>41</v>
      </c>
    </row>
    <row r="27" spans="1:5" x14ac:dyDescent="0.2">
      <c r="A27" t="s">
        <v>13</v>
      </c>
      <c r="B27" s="11">
        <f>$B$8*B15</f>
        <v>1</v>
      </c>
    </row>
    <row r="28" spans="1:5" x14ac:dyDescent="0.2">
      <c r="A28" s="10" t="s">
        <v>42</v>
      </c>
    </row>
    <row r="29" spans="1:5" x14ac:dyDescent="0.2">
      <c r="A29" t="s">
        <v>16</v>
      </c>
      <c r="B29">
        <f>B17*(1-B27)</f>
        <v>0</v>
      </c>
    </row>
    <row r="30" spans="1:5" x14ac:dyDescent="0.2">
      <c r="A30" t="s">
        <v>22</v>
      </c>
      <c r="B30">
        <f>B17*B27</f>
        <v>1</v>
      </c>
    </row>
    <row r="31" spans="1:5" x14ac:dyDescent="0.2">
      <c r="A31" t="s">
        <v>19</v>
      </c>
      <c r="B31">
        <f>$B$10*B29*$B$9</f>
        <v>0</v>
      </c>
    </row>
    <row r="32" spans="1:5" x14ac:dyDescent="0.2">
      <c r="A32" t="s">
        <v>20</v>
      </c>
      <c r="B32">
        <f>B30*$B$9</f>
        <v>28</v>
      </c>
    </row>
    <row r="33" spans="1:2" x14ac:dyDescent="0.2">
      <c r="A33" t="s">
        <v>8</v>
      </c>
      <c r="B33">
        <f>B32+B31</f>
        <v>28</v>
      </c>
    </row>
    <row r="34" spans="1:2" x14ac:dyDescent="0.2">
      <c r="A34" s="9" t="s">
        <v>9</v>
      </c>
    </row>
    <row r="35" spans="1:2" x14ac:dyDescent="0.2">
      <c r="A35" t="s">
        <v>11</v>
      </c>
      <c r="B35" s="59">
        <f>$B$4*B31</f>
        <v>0</v>
      </c>
    </row>
    <row r="36" spans="1:2" x14ac:dyDescent="0.2">
      <c r="A36" t="s">
        <v>12</v>
      </c>
      <c r="B36" s="59">
        <f>B33-B35</f>
        <v>28</v>
      </c>
    </row>
    <row r="38" spans="1:2" x14ac:dyDescent="0.2">
      <c r="A38" t="s">
        <v>17</v>
      </c>
      <c r="B38" s="54">
        <f>B25+B36</f>
        <v>14.5</v>
      </c>
    </row>
  </sheetData>
  <pageMargins left="0.7" right="0.7" top="0.75" bottom="0.75" header="0.3" footer="0.3"/>
  <pageSetup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Q155"/>
  <sheetViews>
    <sheetView tabSelected="1" workbookViewId="0"/>
  </sheetViews>
  <sheetFormatPr baseColWidth="10" defaultColWidth="9.1640625" defaultRowHeight="15" x14ac:dyDescent="0.2"/>
  <cols>
    <col min="1" max="1" width="45.83203125" customWidth="1"/>
    <col min="2" max="5" width="11.6640625" customWidth="1"/>
    <col min="6" max="10" width="12.5" customWidth="1"/>
  </cols>
  <sheetData>
    <row r="2" spans="1:7" x14ac:dyDescent="0.2">
      <c r="A2" t="s">
        <v>37</v>
      </c>
    </row>
    <row r="3" spans="1:7" x14ac:dyDescent="0.2">
      <c r="B3" t="s">
        <v>1</v>
      </c>
      <c r="C3" t="s">
        <v>34</v>
      </c>
      <c r="D3" t="s">
        <v>2</v>
      </c>
      <c r="E3" t="s">
        <v>3</v>
      </c>
      <c r="G3" s="1"/>
    </row>
    <row r="4" spans="1:7" x14ac:dyDescent="0.2">
      <c r="A4" t="s">
        <v>48</v>
      </c>
      <c r="B4" s="2">
        <f>C4</f>
        <v>0.75</v>
      </c>
      <c r="C4" s="2">
        <v>0.75</v>
      </c>
      <c r="D4" s="2">
        <v>0</v>
      </c>
      <c r="E4" s="2">
        <v>1.5</v>
      </c>
      <c r="G4" s="3"/>
    </row>
    <row r="5" spans="1:7" x14ac:dyDescent="0.2">
      <c r="A5" s="4" t="s">
        <v>5</v>
      </c>
      <c r="G5" s="3"/>
    </row>
    <row r="6" spans="1:7" x14ac:dyDescent="0.2">
      <c r="A6" t="s">
        <v>43</v>
      </c>
      <c r="B6" s="7">
        <f>C6</f>
        <v>10</v>
      </c>
      <c r="C6" s="7">
        <v>10</v>
      </c>
      <c r="D6" s="7">
        <v>7</v>
      </c>
      <c r="E6" s="7">
        <v>11</v>
      </c>
      <c r="G6" s="3"/>
    </row>
    <row r="7" spans="1:7" x14ac:dyDescent="0.2">
      <c r="A7" t="s">
        <v>6</v>
      </c>
      <c r="B7" s="7">
        <f>C7</f>
        <v>16</v>
      </c>
      <c r="C7" s="7">
        <v>16</v>
      </c>
      <c r="D7" s="7">
        <v>14</v>
      </c>
      <c r="E7" s="7">
        <v>20</v>
      </c>
      <c r="G7" s="3"/>
    </row>
    <row r="8" spans="1:7" x14ac:dyDescent="0.2">
      <c r="A8" t="s">
        <v>18</v>
      </c>
      <c r="B8" s="7">
        <f>C8</f>
        <v>1</v>
      </c>
      <c r="C8" s="7">
        <v>1</v>
      </c>
      <c r="D8" s="7">
        <v>0</v>
      </c>
      <c r="E8" s="7">
        <v>1</v>
      </c>
    </row>
    <row r="9" spans="1:7" x14ac:dyDescent="0.2">
      <c r="A9" t="s">
        <v>14</v>
      </c>
      <c r="B9" s="7">
        <f>C9</f>
        <v>28</v>
      </c>
      <c r="C9" s="7">
        <v>28</v>
      </c>
      <c r="D9" s="7">
        <v>20</v>
      </c>
      <c r="E9" s="7">
        <v>30</v>
      </c>
    </row>
    <row r="10" spans="1:7" x14ac:dyDescent="0.2">
      <c r="A10" t="s">
        <v>15</v>
      </c>
      <c r="B10" s="7">
        <f>C10</f>
        <v>0.6</v>
      </c>
      <c r="C10" s="7">
        <v>0.6</v>
      </c>
      <c r="D10" s="7">
        <v>0</v>
      </c>
      <c r="E10" s="7">
        <v>1</v>
      </c>
    </row>
    <row r="13" spans="1:7" x14ac:dyDescent="0.2">
      <c r="A13" s="5" t="s">
        <v>38</v>
      </c>
      <c r="G13" s="3"/>
    </row>
    <row r="14" spans="1:7" ht="48" customHeight="1" x14ac:dyDescent="0.2">
      <c r="B14" s="55" t="s">
        <v>44</v>
      </c>
      <c r="C14" s="55" t="s">
        <v>45</v>
      </c>
      <c r="D14" s="55" t="s">
        <v>46</v>
      </c>
      <c r="E14" s="55" t="s">
        <v>47</v>
      </c>
      <c r="F14" s="55" t="s">
        <v>35</v>
      </c>
    </row>
    <row r="15" spans="1:7" x14ac:dyDescent="0.2">
      <c r="A15" t="s">
        <v>7</v>
      </c>
      <c r="B15" s="8">
        <v>1</v>
      </c>
      <c r="C15" s="8">
        <v>1</v>
      </c>
      <c r="D15" s="8">
        <v>0</v>
      </c>
      <c r="E15" s="8">
        <v>0</v>
      </c>
      <c r="F15" s="8">
        <v>0</v>
      </c>
    </row>
    <row r="16" spans="1:7" x14ac:dyDescent="0.2">
      <c r="A16" t="s">
        <v>23</v>
      </c>
      <c r="B16" s="8">
        <v>1</v>
      </c>
      <c r="C16" s="8">
        <v>0</v>
      </c>
      <c r="D16" s="8">
        <v>1</v>
      </c>
      <c r="E16" s="8">
        <v>1</v>
      </c>
      <c r="F16" s="8">
        <v>0</v>
      </c>
    </row>
    <row r="17" spans="1:9" x14ac:dyDescent="0.2">
      <c r="A17" t="s">
        <v>21</v>
      </c>
      <c r="B17" s="8">
        <v>1</v>
      </c>
      <c r="C17" s="8">
        <v>1</v>
      </c>
      <c r="D17" s="8">
        <v>1</v>
      </c>
      <c r="E17" s="8">
        <v>0</v>
      </c>
      <c r="F17" s="8">
        <v>0</v>
      </c>
    </row>
    <row r="19" spans="1:9" x14ac:dyDescent="0.2">
      <c r="A19" s="10" t="s">
        <v>39</v>
      </c>
    </row>
    <row r="20" spans="1:9" x14ac:dyDescent="0.2">
      <c r="A20" s="5" t="s">
        <v>40</v>
      </c>
      <c r="G20" s="3"/>
      <c r="H20" s="6"/>
      <c r="I20" s="6"/>
    </row>
    <row r="21" spans="1:9" x14ac:dyDescent="0.2">
      <c r="A21" t="s">
        <v>8</v>
      </c>
      <c r="B21">
        <f>B16*$B$6</f>
        <v>10</v>
      </c>
      <c r="C21">
        <f t="shared" ref="C21:F21" si="0">C16*$B$6</f>
        <v>0</v>
      </c>
      <c r="D21">
        <f t="shared" si="0"/>
        <v>10</v>
      </c>
      <c r="E21">
        <f t="shared" si="0"/>
        <v>10</v>
      </c>
      <c r="F21">
        <f t="shared" si="0"/>
        <v>0</v>
      </c>
    </row>
    <row r="22" spans="1:9" x14ac:dyDescent="0.2">
      <c r="A22" s="9" t="s">
        <v>9</v>
      </c>
    </row>
    <row r="23" spans="1:9" x14ac:dyDescent="0.2">
      <c r="A23" t="s">
        <v>10</v>
      </c>
      <c r="B23">
        <f>B15*$B$7</f>
        <v>16</v>
      </c>
      <c r="C23">
        <f t="shared" ref="C23:F23" si="1">C15*$B$7</f>
        <v>16</v>
      </c>
      <c r="D23">
        <f t="shared" si="1"/>
        <v>0</v>
      </c>
      <c r="E23">
        <f t="shared" si="1"/>
        <v>0</v>
      </c>
      <c r="F23">
        <f t="shared" si="1"/>
        <v>0</v>
      </c>
    </row>
    <row r="24" spans="1:9" x14ac:dyDescent="0.2">
      <c r="A24" t="s">
        <v>11</v>
      </c>
      <c r="B24">
        <f>B16*$B$6*$B$4</f>
        <v>7.5</v>
      </c>
      <c r="C24">
        <f t="shared" ref="C24:F24" si="2">C16*$B$6*$B$4</f>
        <v>0</v>
      </c>
      <c r="D24">
        <f t="shared" si="2"/>
        <v>7.5</v>
      </c>
      <c r="E24">
        <f t="shared" si="2"/>
        <v>7.5</v>
      </c>
      <c r="F24">
        <f t="shared" si="2"/>
        <v>0</v>
      </c>
    </row>
    <row r="25" spans="1:9" x14ac:dyDescent="0.2">
      <c r="A25" t="s">
        <v>12</v>
      </c>
      <c r="B25" s="59">
        <f>B21-B23-B24</f>
        <v>-13.5</v>
      </c>
      <c r="C25" s="59">
        <f t="shared" ref="C25:F25" si="3">C21-C23-C24</f>
        <v>-16</v>
      </c>
      <c r="D25" s="59">
        <f t="shared" si="3"/>
        <v>2.5</v>
      </c>
      <c r="E25" s="59">
        <f t="shared" si="3"/>
        <v>2.5</v>
      </c>
      <c r="F25" s="59">
        <f t="shared" si="3"/>
        <v>0</v>
      </c>
    </row>
    <row r="26" spans="1:9" x14ac:dyDescent="0.2">
      <c r="A26" s="10" t="s">
        <v>41</v>
      </c>
    </row>
    <row r="27" spans="1:9" x14ac:dyDescent="0.2">
      <c r="A27" t="s">
        <v>13</v>
      </c>
      <c r="B27" s="11">
        <f>$B$8*B15</f>
        <v>1</v>
      </c>
      <c r="C27" s="11">
        <f t="shared" ref="C27:F27" si="4">$B$8*C15</f>
        <v>1</v>
      </c>
      <c r="D27" s="11">
        <f t="shared" si="4"/>
        <v>0</v>
      </c>
      <c r="E27" s="11">
        <f t="shared" si="4"/>
        <v>0</v>
      </c>
      <c r="F27" s="11">
        <f t="shared" si="4"/>
        <v>0</v>
      </c>
    </row>
    <row r="28" spans="1:9" x14ac:dyDescent="0.2">
      <c r="A28" s="10" t="s">
        <v>42</v>
      </c>
    </row>
    <row r="29" spans="1:9" x14ac:dyDescent="0.2">
      <c r="A29" t="s">
        <v>16</v>
      </c>
      <c r="B29">
        <f>B17*(1-B27)</f>
        <v>0</v>
      </c>
      <c r="C29">
        <f t="shared" ref="C29:F29" si="5">C17*(1-C27)</f>
        <v>0</v>
      </c>
      <c r="D29">
        <f t="shared" si="5"/>
        <v>1</v>
      </c>
      <c r="E29">
        <f t="shared" si="5"/>
        <v>0</v>
      </c>
      <c r="F29">
        <f t="shared" si="5"/>
        <v>0</v>
      </c>
    </row>
    <row r="30" spans="1:9" x14ac:dyDescent="0.2">
      <c r="A30" t="s">
        <v>22</v>
      </c>
      <c r="B30">
        <f>B17*B27</f>
        <v>1</v>
      </c>
      <c r="C30">
        <f t="shared" ref="C30:F30" si="6">C17*C27</f>
        <v>1</v>
      </c>
      <c r="D30">
        <f t="shared" si="6"/>
        <v>0</v>
      </c>
      <c r="E30">
        <f t="shared" si="6"/>
        <v>0</v>
      </c>
      <c r="F30">
        <f t="shared" si="6"/>
        <v>0</v>
      </c>
    </row>
    <row r="31" spans="1:9" x14ac:dyDescent="0.2">
      <c r="A31" t="s">
        <v>19</v>
      </c>
      <c r="B31">
        <f>$B$10*B29*$B$9</f>
        <v>0</v>
      </c>
      <c r="C31">
        <f t="shared" ref="C31:F31" si="7">$B$10*C29*$B$9</f>
        <v>0</v>
      </c>
      <c r="D31">
        <f t="shared" si="7"/>
        <v>16.8</v>
      </c>
      <c r="E31">
        <f t="shared" si="7"/>
        <v>0</v>
      </c>
      <c r="F31">
        <f t="shared" si="7"/>
        <v>0</v>
      </c>
    </row>
    <row r="32" spans="1:9" x14ac:dyDescent="0.2">
      <c r="A32" t="s">
        <v>20</v>
      </c>
      <c r="B32">
        <f>B30*$B$9</f>
        <v>28</v>
      </c>
      <c r="C32">
        <f t="shared" ref="C32:F32" si="8">C30*$B$9</f>
        <v>28</v>
      </c>
      <c r="D32">
        <f t="shared" si="8"/>
        <v>0</v>
      </c>
      <c r="E32">
        <f t="shared" si="8"/>
        <v>0</v>
      </c>
      <c r="F32">
        <f t="shared" si="8"/>
        <v>0</v>
      </c>
    </row>
    <row r="33" spans="1:6" x14ac:dyDescent="0.2">
      <c r="A33" t="s">
        <v>8</v>
      </c>
      <c r="B33">
        <f>B32+B31</f>
        <v>28</v>
      </c>
      <c r="C33">
        <f t="shared" ref="C33:F33" si="9">C32+C31</f>
        <v>28</v>
      </c>
      <c r="D33">
        <f t="shared" si="9"/>
        <v>16.8</v>
      </c>
      <c r="E33">
        <f t="shared" si="9"/>
        <v>0</v>
      </c>
      <c r="F33">
        <f t="shared" si="9"/>
        <v>0</v>
      </c>
    </row>
    <row r="34" spans="1:6" x14ac:dyDescent="0.2">
      <c r="A34" s="9" t="s">
        <v>9</v>
      </c>
    </row>
    <row r="35" spans="1:6" x14ac:dyDescent="0.2">
      <c r="A35" t="s">
        <v>11</v>
      </c>
      <c r="B35" s="59">
        <f>$B$4*B31</f>
        <v>0</v>
      </c>
      <c r="C35" s="59">
        <f t="shared" ref="C35:F35" si="10">$B$4*C31</f>
        <v>0</v>
      </c>
      <c r="D35" s="59">
        <f t="shared" si="10"/>
        <v>12.600000000000001</v>
      </c>
      <c r="E35" s="59">
        <f t="shared" si="10"/>
        <v>0</v>
      </c>
      <c r="F35" s="59">
        <f t="shared" si="10"/>
        <v>0</v>
      </c>
    </row>
    <row r="36" spans="1:6" x14ac:dyDescent="0.2">
      <c r="A36" t="s">
        <v>12</v>
      </c>
      <c r="B36" s="59">
        <f>B33-B35</f>
        <v>28</v>
      </c>
      <c r="C36" s="59">
        <f t="shared" ref="C36:F36" si="11">C33-C35</f>
        <v>28</v>
      </c>
      <c r="D36" s="59">
        <f t="shared" si="11"/>
        <v>4.1999999999999993</v>
      </c>
      <c r="E36" s="59">
        <f t="shared" si="11"/>
        <v>0</v>
      </c>
      <c r="F36" s="59">
        <f t="shared" si="11"/>
        <v>0</v>
      </c>
    </row>
    <row r="38" spans="1:6" x14ac:dyDescent="0.2">
      <c r="A38" t="s">
        <v>17</v>
      </c>
      <c r="B38" s="54">
        <f>B25+B36</f>
        <v>14.5</v>
      </c>
      <c r="C38" s="54">
        <f t="shared" ref="C38:F38" si="12">C25+C36</f>
        <v>12</v>
      </c>
      <c r="D38" s="54">
        <f t="shared" si="12"/>
        <v>6.6999999999999993</v>
      </c>
      <c r="E38" s="54">
        <f t="shared" si="12"/>
        <v>2.5</v>
      </c>
      <c r="F38" s="54">
        <f t="shared" si="12"/>
        <v>0</v>
      </c>
    </row>
    <row r="41" spans="1:6" s="29" customFormat="1" x14ac:dyDescent="0.2">
      <c r="A41" s="27" t="s">
        <v>49</v>
      </c>
      <c r="B41" s="28"/>
      <c r="C41"/>
      <c r="D41"/>
      <c r="E41"/>
    </row>
    <row r="42" spans="1:6" s="29" customFormat="1" x14ac:dyDescent="0.2">
      <c r="B42" s="30" t="s">
        <v>50</v>
      </c>
      <c r="C42" s="28"/>
      <c r="D42"/>
      <c r="E42" s="27" t="s">
        <v>53</v>
      </c>
      <c r="F42" s="27" t="s">
        <v>54</v>
      </c>
    </row>
    <row r="43" spans="1:6" s="29" customFormat="1" x14ac:dyDescent="0.2">
      <c r="B43" s="31" t="s">
        <v>48</v>
      </c>
      <c r="C43" s="31"/>
      <c r="D43" s="31"/>
      <c r="E43" s="31"/>
      <c r="F43" s="32"/>
    </row>
    <row r="44" spans="1:6" s="29" customFormat="1" x14ac:dyDescent="0.2">
      <c r="B44" s="31"/>
      <c r="C44" s="33" t="s">
        <v>27</v>
      </c>
      <c r="D44" s="31"/>
      <c r="E44" s="31">
        <f>E4</f>
        <v>1.5</v>
      </c>
      <c r="F44" s="31"/>
    </row>
    <row r="45" spans="1:6" s="29" customFormat="1" x14ac:dyDescent="0.2">
      <c r="B45" s="31"/>
      <c r="C45" s="33" t="s">
        <v>24</v>
      </c>
      <c r="D45" s="31"/>
      <c r="E45" s="31">
        <f>C4</f>
        <v>0.75</v>
      </c>
      <c r="F45" s="31"/>
    </row>
    <row r="46" spans="1:6" s="29" customFormat="1" x14ac:dyDescent="0.2">
      <c r="B46" s="31"/>
      <c r="C46" s="33" t="s">
        <v>28</v>
      </c>
      <c r="D46" s="31"/>
      <c r="E46" s="31">
        <f>D4</f>
        <v>0</v>
      </c>
      <c r="F46" s="31"/>
    </row>
    <row r="47" spans="1:6" s="29" customFormat="1" x14ac:dyDescent="0.2">
      <c r="B47" s="34" t="s">
        <v>29</v>
      </c>
      <c r="C47" s="35"/>
      <c r="D47" s="34"/>
      <c r="E47" s="34"/>
      <c r="F47" s="37">
        <f>B38</f>
        <v>14.5</v>
      </c>
    </row>
    <row r="48" spans="1:6" s="29" customFormat="1" x14ac:dyDescent="0.2">
      <c r="B48" s="34"/>
      <c r="C48" s="51" t="s">
        <v>27</v>
      </c>
      <c r="D48" s="36"/>
      <c r="E48" s="34">
        <f>E6</f>
        <v>11</v>
      </c>
      <c r="F48" s="34">
        <f t="dataTable" ref="F48:F50" dt2D="0" dtr="0" r1="B6"/>
        <v>14.75</v>
      </c>
    </row>
    <row r="49" spans="2:6" s="29" customFormat="1" x14ac:dyDescent="0.2">
      <c r="B49" s="34"/>
      <c r="C49" s="51" t="s">
        <v>24</v>
      </c>
      <c r="D49" s="36"/>
      <c r="E49" s="34">
        <f>C6</f>
        <v>10</v>
      </c>
      <c r="F49" s="34">
        <v>14.5</v>
      </c>
    </row>
    <row r="50" spans="2:6" s="29" customFormat="1" x14ac:dyDescent="0.2">
      <c r="B50" s="34"/>
      <c r="C50" s="51" t="s">
        <v>28</v>
      </c>
      <c r="D50" s="36"/>
      <c r="E50" s="34">
        <f>D6</f>
        <v>7</v>
      </c>
      <c r="F50" s="34">
        <v>13.75</v>
      </c>
    </row>
    <row r="51" spans="2:6" s="29" customFormat="1" x14ac:dyDescent="0.2">
      <c r="B51" s="31" t="s">
        <v>30</v>
      </c>
      <c r="C51" s="33"/>
      <c r="D51" s="31"/>
      <c r="E51" s="38"/>
      <c r="F51" s="32">
        <f>B38</f>
        <v>14.5</v>
      </c>
    </row>
    <row r="52" spans="2:6" s="29" customFormat="1" x14ac:dyDescent="0.2">
      <c r="B52" s="31"/>
      <c r="C52" s="33" t="s">
        <v>27</v>
      </c>
      <c r="D52" s="39"/>
      <c r="E52" s="31">
        <f>E7</f>
        <v>20</v>
      </c>
      <c r="F52" s="31">
        <f t="dataTable" ref="F52:F54" dt2D="0" dtr="0" r1="B7" ca="1"/>
        <v>10.5</v>
      </c>
    </row>
    <row r="53" spans="2:6" s="29" customFormat="1" x14ac:dyDescent="0.2">
      <c r="B53" s="31"/>
      <c r="C53" s="33" t="s">
        <v>24</v>
      </c>
      <c r="D53" s="39"/>
      <c r="E53" s="31">
        <f>C7</f>
        <v>16</v>
      </c>
      <c r="F53" s="31">
        <v>14.5</v>
      </c>
    </row>
    <row r="54" spans="2:6" s="29" customFormat="1" x14ac:dyDescent="0.2">
      <c r="B54" s="31"/>
      <c r="C54" s="33" t="s">
        <v>28</v>
      </c>
      <c r="D54" s="39"/>
      <c r="E54" s="31">
        <f>D7</f>
        <v>14</v>
      </c>
      <c r="F54" s="31">
        <v>16.5</v>
      </c>
    </row>
    <row r="55" spans="2:6" s="29" customFormat="1" x14ac:dyDescent="0.2">
      <c r="B55" s="34" t="s">
        <v>31</v>
      </c>
      <c r="C55" s="35"/>
      <c r="D55" s="34"/>
      <c r="E55" s="34"/>
      <c r="F55" s="37">
        <f>B38</f>
        <v>14.5</v>
      </c>
    </row>
    <row r="56" spans="2:6" s="29" customFormat="1" x14ac:dyDescent="0.2">
      <c r="B56" s="34"/>
      <c r="C56" s="51" t="s">
        <v>27</v>
      </c>
      <c r="D56" s="34"/>
      <c r="E56" s="34">
        <f>E8</f>
        <v>1</v>
      </c>
      <c r="F56" s="34">
        <f t="dataTable" ref="F56:F58" dt2D="0" dtr="0" r1="B8" ca="1"/>
        <v>14.5</v>
      </c>
    </row>
    <row r="57" spans="2:6" s="29" customFormat="1" x14ac:dyDescent="0.2">
      <c r="B57" s="34"/>
      <c r="C57" s="51" t="s">
        <v>24</v>
      </c>
      <c r="D57" s="34"/>
      <c r="E57" s="34">
        <f>C8</f>
        <v>1</v>
      </c>
      <c r="F57" s="34">
        <v>14.5</v>
      </c>
    </row>
    <row r="58" spans="2:6" s="29" customFormat="1" x14ac:dyDescent="0.2">
      <c r="B58" s="34"/>
      <c r="C58" s="51" t="s">
        <v>28</v>
      </c>
      <c r="D58" s="34"/>
      <c r="E58" s="34">
        <f>D8</f>
        <v>0</v>
      </c>
      <c r="F58" s="34">
        <v>-9.3000000000000007</v>
      </c>
    </row>
    <row r="59" spans="2:6" s="29" customFormat="1" x14ac:dyDescent="0.2">
      <c r="B59" s="40" t="s">
        <v>32</v>
      </c>
      <c r="C59" s="33"/>
      <c r="D59" s="31"/>
      <c r="E59" s="31"/>
      <c r="F59" s="32">
        <f>B38</f>
        <v>14.5</v>
      </c>
    </row>
    <row r="60" spans="2:6" s="29" customFormat="1" x14ac:dyDescent="0.2">
      <c r="B60" s="31"/>
      <c r="C60" s="33" t="s">
        <v>27</v>
      </c>
      <c r="D60" s="31"/>
      <c r="E60" s="31">
        <f>E9</f>
        <v>30</v>
      </c>
      <c r="F60" s="31">
        <f t="dataTable" ref="F60:F62" dt2D="0" dtr="0" r1="B9" ca="1"/>
        <v>16.5</v>
      </c>
    </row>
    <row r="61" spans="2:6" s="29" customFormat="1" x14ac:dyDescent="0.2">
      <c r="B61" s="31"/>
      <c r="C61" s="33" t="s">
        <v>24</v>
      </c>
      <c r="D61" s="31"/>
      <c r="E61" s="31">
        <f>C9</f>
        <v>28</v>
      </c>
      <c r="F61" s="31">
        <v>14.5</v>
      </c>
    </row>
    <row r="62" spans="2:6" s="29" customFormat="1" x14ac:dyDescent="0.2">
      <c r="B62" s="31"/>
      <c r="C62" s="33" t="s">
        <v>28</v>
      </c>
      <c r="D62" s="31"/>
      <c r="E62" s="31">
        <f>D9</f>
        <v>20</v>
      </c>
      <c r="F62" s="31">
        <v>6.5</v>
      </c>
    </row>
    <row r="63" spans="2:6" s="29" customFormat="1" x14ac:dyDescent="0.2">
      <c r="B63" s="34" t="s">
        <v>33</v>
      </c>
      <c r="C63" s="35"/>
      <c r="D63" s="34"/>
      <c r="E63" s="34"/>
      <c r="F63" s="37">
        <f>B38</f>
        <v>14.5</v>
      </c>
    </row>
    <row r="64" spans="2:6" s="29" customFormat="1" x14ac:dyDescent="0.2">
      <c r="B64" s="34"/>
      <c r="C64" s="51" t="s">
        <v>27</v>
      </c>
      <c r="D64" s="34"/>
      <c r="E64" s="52">
        <f>E10</f>
        <v>1</v>
      </c>
      <c r="F64" s="34">
        <f t="dataTable" ref="F64:F66" dt2D="0" dtr="0" r1="B10" ca="1"/>
        <v>14.5</v>
      </c>
    </row>
    <row r="65" spans="2:10" s="29" customFormat="1" x14ac:dyDescent="0.2">
      <c r="B65" s="34"/>
      <c r="C65" s="51" t="s">
        <v>24</v>
      </c>
      <c r="D65" s="34"/>
      <c r="E65" s="52">
        <f>B10</f>
        <v>0.6</v>
      </c>
      <c r="F65" s="34">
        <v>14.5</v>
      </c>
    </row>
    <row r="66" spans="2:10" s="29" customFormat="1" x14ac:dyDescent="0.2">
      <c r="B66" s="34"/>
      <c r="C66" s="51" t="s">
        <v>28</v>
      </c>
      <c r="D66" s="34"/>
      <c r="E66" s="52">
        <f>D10</f>
        <v>0</v>
      </c>
      <c r="F66" s="34">
        <v>14.5</v>
      </c>
    </row>
    <row r="67" spans="2:10" s="29" customFormat="1" ht="13" x14ac:dyDescent="0.15"/>
    <row r="68" spans="2:10" s="29" customFormat="1" ht="13" x14ac:dyDescent="0.15">
      <c r="B68" s="41" t="s">
        <v>51</v>
      </c>
    </row>
    <row r="69" spans="2:10" s="29" customFormat="1" x14ac:dyDescent="0.2">
      <c r="B69" s="34" t="str">
        <f>B43</f>
        <v>Frais de compensation environnementale</v>
      </c>
      <c r="C69" s="34"/>
      <c r="D69" s="34"/>
      <c r="E69" s="34"/>
      <c r="F69" s="34"/>
      <c r="G69" s="34"/>
      <c r="H69" s="34"/>
      <c r="I69" s="34"/>
      <c r="J69" s="34"/>
    </row>
    <row r="70" spans="2:10" s="29" customFormat="1" x14ac:dyDescent="0.2">
      <c r="B70" s="34"/>
      <c r="C70" s="57" t="s">
        <v>25</v>
      </c>
      <c r="D70" s="34">
        <f>D4</f>
        <v>0</v>
      </c>
      <c r="E70" s="57" t="s">
        <v>59</v>
      </c>
      <c r="F70" s="34">
        <v>10</v>
      </c>
      <c r="G70" s="34"/>
      <c r="H70" s="34"/>
      <c r="I70" s="34"/>
      <c r="J70" s="34"/>
    </row>
    <row r="71" spans="2:10" s="29" customFormat="1" x14ac:dyDescent="0.2">
      <c r="B71" s="34"/>
      <c r="C71" s="57" t="s">
        <v>26</v>
      </c>
      <c r="D71" s="34">
        <f>E4</f>
        <v>1.5</v>
      </c>
      <c r="E71" s="57" t="s">
        <v>55</v>
      </c>
      <c r="F71" s="34">
        <f>(D71-D70)/F70</f>
        <v>0.15</v>
      </c>
      <c r="G71" s="34"/>
      <c r="H71" s="34"/>
      <c r="I71" s="34"/>
      <c r="J71" s="34"/>
    </row>
    <row r="72" spans="2:10" s="29" customFormat="1" ht="31.5" customHeight="1" x14ac:dyDescent="0.2">
      <c r="B72" s="34"/>
      <c r="C72" s="42"/>
      <c r="D72" s="34"/>
      <c r="E72" s="42"/>
      <c r="F72" s="56" t="str">
        <f>B14</f>
        <v>Rech. + Prod. Phase 1 &amp; 2</v>
      </c>
      <c r="G72" s="56" t="str">
        <f t="shared" ref="G72:J72" si="13">C14</f>
        <v>Rech. + Prod. Phase 2</v>
      </c>
      <c r="H72" s="56" t="str">
        <f t="shared" si="13"/>
        <v>Prod. CFC Phase 1 et 2</v>
      </c>
      <c r="I72" s="56" t="str">
        <f t="shared" si="13"/>
        <v>Prod. CFC Phase 1</v>
      </c>
      <c r="J72" s="56" t="str">
        <f t="shared" si="13"/>
        <v>Arrêter tout</v>
      </c>
    </row>
    <row r="73" spans="2:10" s="29" customFormat="1" x14ac:dyDescent="0.2">
      <c r="B73" s="34"/>
      <c r="C73" s="34"/>
      <c r="D73" s="34"/>
      <c r="E73" s="37"/>
      <c r="F73" s="53">
        <f>B38</f>
        <v>14.5</v>
      </c>
      <c r="G73" s="53">
        <f>C38</f>
        <v>12</v>
      </c>
      <c r="H73" s="53">
        <f t="shared" ref="H73:J73" si="14">D38</f>
        <v>6.6999999999999993</v>
      </c>
      <c r="I73" s="53">
        <f t="shared" si="14"/>
        <v>2.5</v>
      </c>
      <c r="J73" s="53">
        <f t="shared" si="14"/>
        <v>0</v>
      </c>
    </row>
    <row r="74" spans="2:10" s="29" customFormat="1" x14ac:dyDescent="0.2">
      <c r="B74" s="34"/>
      <c r="C74" s="34"/>
      <c r="D74" s="34" t="s">
        <v>27</v>
      </c>
      <c r="E74" s="34">
        <f>D71</f>
        <v>1.5</v>
      </c>
      <c r="F74" s="34">
        <f t="dataTable" ref="F74:J84" dt2D="0" dtr="0" r1="B4" ca="1"/>
        <v>7</v>
      </c>
      <c r="G74" s="34">
        <v>12</v>
      </c>
      <c r="H74" s="34">
        <v>-13.400000000000002</v>
      </c>
      <c r="I74" s="34">
        <v>-5</v>
      </c>
      <c r="J74" s="34">
        <v>0</v>
      </c>
    </row>
    <row r="75" spans="2:10" s="29" customFormat="1" x14ac:dyDescent="0.2">
      <c r="B75" s="34"/>
      <c r="C75" s="34"/>
      <c r="D75" s="34"/>
      <c r="E75" s="34">
        <f>E74-F$71</f>
        <v>1.35</v>
      </c>
      <c r="F75" s="34">
        <v>8.5</v>
      </c>
      <c r="G75" s="34">
        <v>12</v>
      </c>
      <c r="H75" s="34">
        <v>-9.3800000000000026</v>
      </c>
      <c r="I75" s="34">
        <v>-3.5</v>
      </c>
      <c r="J75" s="34">
        <v>0</v>
      </c>
    </row>
    <row r="76" spans="2:10" s="29" customFormat="1" x14ac:dyDescent="0.2">
      <c r="B76" s="34"/>
      <c r="C76" s="34"/>
      <c r="D76" s="34"/>
      <c r="E76" s="34">
        <f t="shared" ref="E76:E84" si="15">E75-F$71</f>
        <v>1.2000000000000002</v>
      </c>
      <c r="F76" s="34">
        <v>10</v>
      </c>
      <c r="G76" s="34">
        <v>12</v>
      </c>
      <c r="H76" s="34">
        <v>-5.3600000000000048</v>
      </c>
      <c r="I76" s="34">
        <v>-2.0000000000000018</v>
      </c>
      <c r="J76" s="34">
        <v>0</v>
      </c>
    </row>
    <row r="77" spans="2:10" s="29" customFormat="1" x14ac:dyDescent="0.2">
      <c r="B77" s="34"/>
      <c r="C77" s="34"/>
      <c r="D77" s="34"/>
      <c r="E77" s="34">
        <f t="shared" si="15"/>
        <v>1.0500000000000003</v>
      </c>
      <c r="F77" s="34">
        <v>11.499999999999996</v>
      </c>
      <c r="G77" s="34">
        <v>12</v>
      </c>
      <c r="H77" s="34">
        <v>-1.340000000000007</v>
      </c>
      <c r="I77" s="34">
        <v>-0.50000000000000355</v>
      </c>
      <c r="J77" s="34">
        <v>0</v>
      </c>
    </row>
    <row r="78" spans="2:10" s="29" customFormat="1" x14ac:dyDescent="0.2">
      <c r="B78" s="34"/>
      <c r="C78" s="34"/>
      <c r="D78" s="34"/>
      <c r="E78" s="34">
        <f t="shared" si="15"/>
        <v>0.90000000000000024</v>
      </c>
      <c r="F78" s="34">
        <v>12.999999999999998</v>
      </c>
      <c r="G78" s="34">
        <v>12</v>
      </c>
      <c r="H78" s="34">
        <v>2.6799999999999944</v>
      </c>
      <c r="I78" s="34">
        <v>0.99999999999999822</v>
      </c>
      <c r="J78" s="34">
        <v>0</v>
      </c>
    </row>
    <row r="79" spans="2:10" s="29" customFormat="1" x14ac:dyDescent="0.2">
      <c r="B79" s="34"/>
      <c r="C79" s="34"/>
      <c r="D79" s="34"/>
      <c r="E79" s="34">
        <f t="shared" si="15"/>
        <v>0.75000000000000022</v>
      </c>
      <c r="F79" s="34">
        <v>14.499999999999998</v>
      </c>
      <c r="G79" s="34">
        <v>12</v>
      </c>
      <c r="H79" s="34">
        <v>6.699999999999994</v>
      </c>
      <c r="I79" s="34">
        <v>2.4999999999999982</v>
      </c>
      <c r="J79" s="34">
        <v>0</v>
      </c>
    </row>
    <row r="80" spans="2:10" s="29" customFormat="1" x14ac:dyDescent="0.2">
      <c r="B80" s="34"/>
      <c r="C80" s="34"/>
      <c r="D80" s="34"/>
      <c r="E80" s="34">
        <f t="shared" si="15"/>
        <v>0.6000000000000002</v>
      </c>
      <c r="F80" s="34">
        <v>15.999999999999998</v>
      </c>
      <c r="G80" s="34">
        <v>12</v>
      </c>
      <c r="H80" s="34">
        <v>10.719999999999995</v>
      </c>
      <c r="I80" s="34">
        <v>3.9999999999999982</v>
      </c>
      <c r="J80" s="34">
        <v>0</v>
      </c>
    </row>
    <row r="81" spans="2:17" s="29" customFormat="1" x14ac:dyDescent="0.2">
      <c r="B81" s="34"/>
      <c r="C81" s="34"/>
      <c r="D81" s="34"/>
      <c r="E81" s="34">
        <f t="shared" si="15"/>
        <v>0.45000000000000018</v>
      </c>
      <c r="F81" s="34">
        <v>17.5</v>
      </c>
      <c r="G81" s="34">
        <v>12</v>
      </c>
      <c r="H81" s="34">
        <v>14.739999999999997</v>
      </c>
      <c r="I81" s="34">
        <v>5.4999999999999982</v>
      </c>
      <c r="J81" s="34">
        <v>0</v>
      </c>
    </row>
    <row r="82" spans="2:17" s="29" customFormat="1" x14ac:dyDescent="0.2">
      <c r="B82" s="34"/>
      <c r="C82" s="34"/>
      <c r="D82" s="34"/>
      <c r="E82" s="34">
        <f t="shared" si="15"/>
        <v>0.30000000000000016</v>
      </c>
      <c r="F82" s="34">
        <v>19</v>
      </c>
      <c r="G82" s="34">
        <v>12</v>
      </c>
      <c r="H82" s="34">
        <v>18.759999999999998</v>
      </c>
      <c r="I82" s="34">
        <v>6.9999999999999982</v>
      </c>
      <c r="J82" s="34">
        <v>0</v>
      </c>
    </row>
    <row r="83" spans="2:17" s="29" customFormat="1" x14ac:dyDescent="0.2">
      <c r="B83" s="34"/>
      <c r="C83" s="34"/>
      <c r="D83" s="34"/>
      <c r="E83" s="34">
        <f t="shared" si="15"/>
        <v>0.15000000000000016</v>
      </c>
      <c r="F83" s="34">
        <v>20.5</v>
      </c>
      <c r="G83" s="34">
        <v>12</v>
      </c>
      <c r="H83" s="34">
        <v>22.779999999999994</v>
      </c>
      <c r="I83" s="34">
        <v>8.4999999999999982</v>
      </c>
      <c r="J83" s="34">
        <v>0</v>
      </c>
    </row>
    <row r="84" spans="2:17" s="29" customFormat="1" x14ac:dyDescent="0.2">
      <c r="B84" s="34"/>
      <c r="C84" s="34"/>
      <c r="D84" s="42" t="s">
        <v>28</v>
      </c>
      <c r="E84" s="34">
        <f t="shared" si="15"/>
        <v>0</v>
      </c>
      <c r="F84" s="34">
        <v>22</v>
      </c>
      <c r="G84" s="34">
        <v>12</v>
      </c>
      <c r="H84" s="34">
        <v>26.8</v>
      </c>
      <c r="I84" s="34">
        <v>10</v>
      </c>
      <c r="J84" s="34">
        <v>0</v>
      </c>
      <c r="Q84" s="47"/>
    </row>
    <row r="85" spans="2:17" s="29" customFormat="1" ht="13" x14ac:dyDescent="0.15"/>
    <row r="86" spans="2:17" s="29" customFormat="1" ht="13" x14ac:dyDescent="0.15">
      <c r="B86" s="41" t="s">
        <v>52</v>
      </c>
    </row>
    <row r="87" spans="2:17" s="29" customFormat="1" x14ac:dyDescent="0.2">
      <c r="B87" s="43" t="str">
        <f>B14</f>
        <v>Rech. + Prod. Phase 1 &amp; 2</v>
      </c>
      <c r="C87" s="43"/>
      <c r="D87" s="43"/>
      <c r="E87" s="43"/>
      <c r="F87" s="31" t="s">
        <v>4</v>
      </c>
      <c r="G87" s="43"/>
      <c r="H87" s="43"/>
      <c r="I87" s="43"/>
      <c r="J87" s="43"/>
      <c r="K87" s="43"/>
      <c r="L87" s="43"/>
      <c r="M87" s="43"/>
      <c r="N87" s="43"/>
      <c r="O87" s="43"/>
      <c r="P87" s="43"/>
    </row>
    <row r="88" spans="2:17" s="29" customFormat="1" ht="13" x14ac:dyDescent="0.15">
      <c r="B88" s="43"/>
      <c r="C88" s="43"/>
      <c r="D88" s="43"/>
      <c r="E88" s="45"/>
      <c r="F88" s="46">
        <f>$E$4</f>
        <v>1.5</v>
      </c>
      <c r="G88" s="46">
        <f>F88-($E$4-$D$4)/10</f>
        <v>1.35</v>
      </c>
      <c r="H88" s="46">
        <f t="shared" ref="H88:P88" si="16">G88-($E$4-$D$4)/10</f>
        <v>1.2000000000000002</v>
      </c>
      <c r="I88" s="46">
        <f t="shared" si="16"/>
        <v>1.0500000000000003</v>
      </c>
      <c r="J88" s="46">
        <f t="shared" si="16"/>
        <v>0.90000000000000024</v>
      </c>
      <c r="K88" s="46">
        <f t="shared" si="16"/>
        <v>0.75000000000000022</v>
      </c>
      <c r="L88" s="46">
        <f t="shared" si="16"/>
        <v>0.6000000000000002</v>
      </c>
      <c r="M88" s="46">
        <f t="shared" si="16"/>
        <v>0.45000000000000018</v>
      </c>
      <c r="N88" s="46">
        <f t="shared" si="16"/>
        <v>0.30000000000000016</v>
      </c>
      <c r="O88" s="46">
        <f t="shared" si="16"/>
        <v>0.15000000000000016</v>
      </c>
      <c r="P88" s="46">
        <f t="shared" si="16"/>
        <v>0</v>
      </c>
    </row>
    <row r="89" spans="2:17" s="29" customFormat="1" ht="13" x14ac:dyDescent="0.15">
      <c r="B89" s="43"/>
      <c r="C89" s="43"/>
      <c r="D89" s="44" t="s">
        <v>33</v>
      </c>
      <c r="E89" s="48">
        <f>$D$10</f>
        <v>0</v>
      </c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</row>
    <row r="90" spans="2:17" s="29" customFormat="1" ht="13" x14ac:dyDescent="0.15">
      <c r="B90" s="43"/>
      <c r="C90" s="43"/>
      <c r="D90" s="43"/>
      <c r="E90" s="50">
        <f t="shared" ref="E90:E99" si="17">E89+($E$10-$D$10)/10</f>
        <v>0.1</v>
      </c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</row>
    <row r="91" spans="2:17" s="29" customFormat="1" ht="13" x14ac:dyDescent="0.15">
      <c r="B91" s="43"/>
      <c r="C91" s="43"/>
      <c r="D91" s="43"/>
      <c r="E91" s="50">
        <f t="shared" si="17"/>
        <v>0.2</v>
      </c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</row>
    <row r="92" spans="2:17" s="29" customFormat="1" ht="13" x14ac:dyDescent="0.15">
      <c r="B92" s="43"/>
      <c r="C92" s="43"/>
      <c r="D92" s="43"/>
      <c r="E92" s="50">
        <f t="shared" si="17"/>
        <v>0.30000000000000004</v>
      </c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</row>
    <row r="93" spans="2:17" s="29" customFormat="1" ht="13" x14ac:dyDescent="0.15">
      <c r="B93" s="43"/>
      <c r="C93" s="43"/>
      <c r="D93" s="43"/>
      <c r="E93" s="50">
        <f t="shared" si="17"/>
        <v>0.4</v>
      </c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</row>
    <row r="94" spans="2:17" s="29" customFormat="1" ht="13" x14ac:dyDescent="0.15">
      <c r="B94" s="43"/>
      <c r="C94" s="43"/>
      <c r="D94" s="43"/>
      <c r="E94" s="50">
        <f t="shared" si="17"/>
        <v>0.5</v>
      </c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</row>
    <row r="95" spans="2:17" s="29" customFormat="1" ht="13" x14ac:dyDescent="0.15">
      <c r="B95" s="43"/>
      <c r="C95" s="43"/>
      <c r="D95" s="43"/>
      <c r="E95" s="50">
        <f t="shared" si="17"/>
        <v>0.6</v>
      </c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</row>
    <row r="96" spans="2:17" s="29" customFormat="1" ht="13" x14ac:dyDescent="0.15">
      <c r="B96" s="43"/>
      <c r="C96" s="43"/>
      <c r="D96" s="43"/>
      <c r="E96" s="50">
        <f t="shared" si="17"/>
        <v>0.7</v>
      </c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</row>
    <row r="97" spans="2:16" x14ac:dyDescent="0.2">
      <c r="B97" s="43"/>
      <c r="C97" s="43"/>
      <c r="D97" s="43"/>
      <c r="E97" s="50">
        <f t="shared" si="17"/>
        <v>0.79999999999999993</v>
      </c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</row>
    <row r="98" spans="2:16" x14ac:dyDescent="0.2">
      <c r="B98" s="43"/>
      <c r="C98" s="43"/>
      <c r="D98" s="43"/>
      <c r="E98" s="50">
        <f t="shared" si="17"/>
        <v>0.89999999999999991</v>
      </c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</row>
    <row r="99" spans="2:16" x14ac:dyDescent="0.2">
      <c r="B99" s="43"/>
      <c r="C99" s="43"/>
      <c r="D99" s="43"/>
      <c r="E99" s="50">
        <f t="shared" si="17"/>
        <v>0.99999999999999989</v>
      </c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</row>
    <row r="100" spans="2:16" x14ac:dyDescent="0.2">
      <c r="B100" s="29"/>
      <c r="C100" s="29"/>
      <c r="D100" s="29"/>
      <c r="E100" s="29"/>
      <c r="F100" s="29"/>
    </row>
    <row r="101" spans="2:16" x14ac:dyDescent="0.2">
      <c r="B101" s="43" t="str">
        <f>C14</f>
        <v>Rech. + Prod. Phase 2</v>
      </c>
      <c r="C101" s="43"/>
      <c r="D101" s="43"/>
      <c r="E101" s="43"/>
      <c r="F101" s="31" t="s">
        <v>4</v>
      </c>
      <c r="G101" s="43"/>
      <c r="H101" s="43"/>
      <c r="I101" s="43"/>
      <c r="J101" s="43"/>
      <c r="K101" s="43"/>
      <c r="L101" s="43"/>
      <c r="M101" s="43"/>
      <c r="N101" s="43"/>
      <c r="O101" s="43"/>
      <c r="P101" s="43"/>
    </row>
    <row r="102" spans="2:16" x14ac:dyDescent="0.2">
      <c r="B102" s="43"/>
      <c r="C102" s="43"/>
      <c r="D102" s="43"/>
      <c r="E102" s="45">
        <f>C38</f>
        <v>12</v>
      </c>
      <c r="F102" s="46">
        <f>$E$4</f>
        <v>1.5</v>
      </c>
      <c r="G102" s="46">
        <f>F102-($E$4-$D$4)/10</f>
        <v>1.35</v>
      </c>
      <c r="H102" s="46">
        <f t="shared" ref="H102:P102" si="18">G102-($E$4-$D$4)/10</f>
        <v>1.2000000000000002</v>
      </c>
      <c r="I102" s="46">
        <f t="shared" si="18"/>
        <v>1.0500000000000003</v>
      </c>
      <c r="J102" s="46">
        <f t="shared" si="18"/>
        <v>0.90000000000000024</v>
      </c>
      <c r="K102" s="46">
        <f t="shared" si="18"/>
        <v>0.75000000000000022</v>
      </c>
      <c r="L102" s="46">
        <f t="shared" si="18"/>
        <v>0.6000000000000002</v>
      </c>
      <c r="M102" s="46">
        <f t="shared" si="18"/>
        <v>0.45000000000000018</v>
      </c>
      <c r="N102" s="46">
        <f t="shared" si="18"/>
        <v>0.30000000000000016</v>
      </c>
      <c r="O102" s="46">
        <f t="shared" si="18"/>
        <v>0.15000000000000016</v>
      </c>
      <c r="P102" s="46">
        <f t="shared" si="18"/>
        <v>0</v>
      </c>
    </row>
    <row r="103" spans="2:16" x14ac:dyDescent="0.2">
      <c r="B103" s="43"/>
      <c r="C103" s="43"/>
      <c r="D103" s="44" t="s">
        <v>33</v>
      </c>
      <c r="E103" s="48">
        <f>$D$10</f>
        <v>0</v>
      </c>
      <c r="F103" s="49">
        <f t="dataTable" ref="F103:P113" dt2D="1" dtr="1" r1="B4" r2="B10" ca="1"/>
        <v>12</v>
      </c>
      <c r="G103" s="49">
        <v>12</v>
      </c>
      <c r="H103" s="49">
        <v>12</v>
      </c>
      <c r="I103" s="49">
        <v>12</v>
      </c>
      <c r="J103" s="49">
        <v>12</v>
      </c>
      <c r="K103" s="49">
        <v>12</v>
      </c>
      <c r="L103" s="49">
        <v>12</v>
      </c>
      <c r="M103" s="49">
        <v>12</v>
      </c>
      <c r="N103" s="49">
        <v>12</v>
      </c>
      <c r="O103" s="49">
        <v>12</v>
      </c>
      <c r="P103" s="49">
        <v>12</v>
      </c>
    </row>
    <row r="104" spans="2:16" x14ac:dyDescent="0.2">
      <c r="B104" s="43"/>
      <c r="C104" s="43"/>
      <c r="D104" s="43"/>
      <c r="E104" s="50">
        <f t="shared" ref="E104:E113" si="19">E103+($E$10-$D$10)/10</f>
        <v>0.1</v>
      </c>
      <c r="F104" s="49">
        <v>12</v>
      </c>
      <c r="G104" s="49">
        <v>12</v>
      </c>
      <c r="H104" s="49">
        <v>12</v>
      </c>
      <c r="I104" s="49">
        <v>12</v>
      </c>
      <c r="J104" s="49">
        <v>12</v>
      </c>
      <c r="K104" s="49">
        <v>12</v>
      </c>
      <c r="L104" s="49">
        <v>12</v>
      </c>
      <c r="M104" s="49">
        <v>12</v>
      </c>
      <c r="N104" s="49">
        <v>12</v>
      </c>
      <c r="O104" s="49">
        <v>12</v>
      </c>
      <c r="P104" s="49">
        <v>12</v>
      </c>
    </row>
    <row r="105" spans="2:16" x14ac:dyDescent="0.2">
      <c r="B105" s="43"/>
      <c r="C105" s="43"/>
      <c r="D105" s="43"/>
      <c r="E105" s="50">
        <f t="shared" si="19"/>
        <v>0.2</v>
      </c>
      <c r="F105" s="49">
        <v>12</v>
      </c>
      <c r="G105" s="49">
        <v>12</v>
      </c>
      <c r="H105" s="49">
        <v>12</v>
      </c>
      <c r="I105" s="49">
        <v>12</v>
      </c>
      <c r="J105" s="49">
        <v>12</v>
      </c>
      <c r="K105" s="49">
        <v>12</v>
      </c>
      <c r="L105" s="49">
        <v>12</v>
      </c>
      <c r="M105" s="49">
        <v>12</v>
      </c>
      <c r="N105" s="49">
        <v>12</v>
      </c>
      <c r="O105" s="49">
        <v>12</v>
      </c>
      <c r="P105" s="49">
        <v>12</v>
      </c>
    </row>
    <row r="106" spans="2:16" x14ac:dyDescent="0.2">
      <c r="B106" s="43"/>
      <c r="C106" s="43"/>
      <c r="D106" s="43"/>
      <c r="E106" s="50">
        <f t="shared" si="19"/>
        <v>0.30000000000000004</v>
      </c>
      <c r="F106" s="49">
        <v>12</v>
      </c>
      <c r="G106" s="49">
        <v>12</v>
      </c>
      <c r="H106" s="49">
        <v>12</v>
      </c>
      <c r="I106" s="49">
        <v>12</v>
      </c>
      <c r="J106" s="49">
        <v>12</v>
      </c>
      <c r="K106" s="49">
        <v>12</v>
      </c>
      <c r="L106" s="49">
        <v>12</v>
      </c>
      <c r="M106" s="49">
        <v>12</v>
      </c>
      <c r="N106" s="49">
        <v>12</v>
      </c>
      <c r="O106" s="49">
        <v>12</v>
      </c>
      <c r="P106" s="49">
        <v>12</v>
      </c>
    </row>
    <row r="107" spans="2:16" x14ac:dyDescent="0.2">
      <c r="B107" s="43"/>
      <c r="C107" s="43"/>
      <c r="D107" s="43"/>
      <c r="E107" s="50">
        <f t="shared" si="19"/>
        <v>0.4</v>
      </c>
      <c r="F107" s="49">
        <v>12</v>
      </c>
      <c r="G107" s="49">
        <v>12</v>
      </c>
      <c r="H107" s="49">
        <v>12</v>
      </c>
      <c r="I107" s="49">
        <v>12</v>
      </c>
      <c r="J107" s="49">
        <v>12</v>
      </c>
      <c r="K107" s="49">
        <v>12</v>
      </c>
      <c r="L107" s="49">
        <v>12</v>
      </c>
      <c r="M107" s="49">
        <v>12</v>
      </c>
      <c r="N107" s="49">
        <v>12</v>
      </c>
      <c r="O107" s="49">
        <v>12</v>
      </c>
      <c r="P107" s="49">
        <v>12</v>
      </c>
    </row>
    <row r="108" spans="2:16" x14ac:dyDescent="0.2">
      <c r="B108" s="43"/>
      <c r="C108" s="43"/>
      <c r="D108" s="43"/>
      <c r="E108" s="50">
        <f t="shared" si="19"/>
        <v>0.5</v>
      </c>
      <c r="F108" s="49">
        <v>12</v>
      </c>
      <c r="G108" s="49">
        <v>12</v>
      </c>
      <c r="H108" s="49">
        <v>12</v>
      </c>
      <c r="I108" s="49">
        <v>12</v>
      </c>
      <c r="J108" s="49">
        <v>12</v>
      </c>
      <c r="K108" s="49">
        <v>12</v>
      </c>
      <c r="L108" s="49">
        <v>12</v>
      </c>
      <c r="M108" s="49">
        <v>12</v>
      </c>
      <c r="N108" s="49">
        <v>12</v>
      </c>
      <c r="O108" s="49">
        <v>12</v>
      </c>
      <c r="P108" s="49">
        <v>12</v>
      </c>
    </row>
    <row r="109" spans="2:16" x14ac:dyDescent="0.2">
      <c r="B109" s="43"/>
      <c r="C109" s="43"/>
      <c r="D109" s="43"/>
      <c r="E109" s="50">
        <f t="shared" si="19"/>
        <v>0.6</v>
      </c>
      <c r="F109" s="49">
        <v>12</v>
      </c>
      <c r="G109" s="49">
        <v>12</v>
      </c>
      <c r="H109" s="49">
        <v>12</v>
      </c>
      <c r="I109" s="49">
        <v>12</v>
      </c>
      <c r="J109" s="49">
        <v>12</v>
      </c>
      <c r="K109" s="49">
        <v>12</v>
      </c>
      <c r="L109" s="49">
        <v>12</v>
      </c>
      <c r="M109" s="49">
        <v>12</v>
      </c>
      <c r="N109" s="49">
        <v>12</v>
      </c>
      <c r="O109" s="49">
        <v>12</v>
      </c>
      <c r="P109" s="49">
        <v>12</v>
      </c>
    </row>
    <row r="110" spans="2:16" x14ac:dyDescent="0.2">
      <c r="B110" s="43"/>
      <c r="C110" s="43"/>
      <c r="D110" s="43"/>
      <c r="E110" s="50">
        <f t="shared" si="19"/>
        <v>0.7</v>
      </c>
      <c r="F110" s="49">
        <v>12</v>
      </c>
      <c r="G110" s="49">
        <v>12</v>
      </c>
      <c r="H110" s="49">
        <v>12</v>
      </c>
      <c r="I110" s="49">
        <v>12</v>
      </c>
      <c r="J110" s="49">
        <v>12</v>
      </c>
      <c r="K110" s="49">
        <v>12</v>
      </c>
      <c r="L110" s="49">
        <v>12</v>
      </c>
      <c r="M110" s="49">
        <v>12</v>
      </c>
      <c r="N110" s="49">
        <v>12</v>
      </c>
      <c r="O110" s="49">
        <v>12</v>
      </c>
      <c r="P110" s="49">
        <v>12</v>
      </c>
    </row>
    <row r="111" spans="2:16" x14ac:dyDescent="0.2">
      <c r="B111" s="43"/>
      <c r="C111" s="43"/>
      <c r="D111" s="43"/>
      <c r="E111" s="50">
        <f t="shared" si="19"/>
        <v>0.79999999999999993</v>
      </c>
      <c r="F111" s="49">
        <v>12</v>
      </c>
      <c r="G111" s="49">
        <v>12</v>
      </c>
      <c r="H111" s="49">
        <v>12</v>
      </c>
      <c r="I111" s="49">
        <v>12</v>
      </c>
      <c r="J111" s="49">
        <v>12</v>
      </c>
      <c r="K111" s="49">
        <v>12</v>
      </c>
      <c r="L111" s="49">
        <v>12</v>
      </c>
      <c r="M111" s="49">
        <v>12</v>
      </c>
      <c r="N111" s="49">
        <v>12</v>
      </c>
      <c r="O111" s="49">
        <v>12</v>
      </c>
      <c r="P111" s="49">
        <v>12</v>
      </c>
    </row>
    <row r="112" spans="2:16" x14ac:dyDescent="0.2">
      <c r="B112" s="43"/>
      <c r="C112" s="43"/>
      <c r="D112" s="43"/>
      <c r="E112" s="50">
        <f t="shared" si="19"/>
        <v>0.89999999999999991</v>
      </c>
      <c r="F112" s="49">
        <v>12</v>
      </c>
      <c r="G112" s="49">
        <v>12</v>
      </c>
      <c r="H112" s="49">
        <v>12</v>
      </c>
      <c r="I112" s="49">
        <v>12</v>
      </c>
      <c r="J112" s="49">
        <v>12</v>
      </c>
      <c r="K112" s="49">
        <v>12</v>
      </c>
      <c r="L112" s="49">
        <v>12</v>
      </c>
      <c r="M112" s="49">
        <v>12</v>
      </c>
      <c r="N112" s="49">
        <v>12</v>
      </c>
      <c r="O112" s="49">
        <v>12</v>
      </c>
      <c r="P112" s="49">
        <v>12</v>
      </c>
    </row>
    <row r="113" spans="2:16" x14ac:dyDescent="0.2">
      <c r="B113" s="43"/>
      <c r="C113" s="43"/>
      <c r="D113" s="43"/>
      <c r="E113" s="50">
        <f t="shared" si="19"/>
        <v>0.99999999999999989</v>
      </c>
      <c r="F113" s="49">
        <v>12</v>
      </c>
      <c r="G113" s="49">
        <v>12</v>
      </c>
      <c r="H113" s="49">
        <v>12</v>
      </c>
      <c r="I113" s="49">
        <v>12</v>
      </c>
      <c r="J113" s="49">
        <v>12</v>
      </c>
      <c r="K113" s="49">
        <v>12</v>
      </c>
      <c r="L113" s="49">
        <v>12</v>
      </c>
      <c r="M113" s="49">
        <v>12</v>
      </c>
      <c r="N113" s="49">
        <v>12</v>
      </c>
      <c r="O113" s="49">
        <v>12</v>
      </c>
      <c r="P113" s="49">
        <v>12</v>
      </c>
    </row>
    <row r="115" spans="2:16" x14ac:dyDescent="0.2">
      <c r="B115" s="43" t="str">
        <f>D14</f>
        <v>Prod. CFC Phase 1 et 2</v>
      </c>
      <c r="C115" s="43"/>
      <c r="D115" s="43"/>
      <c r="E115" s="43"/>
      <c r="F115" s="31" t="s">
        <v>4</v>
      </c>
      <c r="G115" s="43"/>
      <c r="H115" s="43"/>
      <c r="I115" s="43"/>
      <c r="J115" s="43"/>
      <c r="K115" s="43"/>
      <c r="L115" s="43"/>
      <c r="M115" s="43"/>
      <c r="N115" s="43"/>
      <c r="O115" s="43"/>
      <c r="P115" s="43"/>
    </row>
    <row r="116" spans="2:16" x14ac:dyDescent="0.2">
      <c r="B116" s="43"/>
      <c r="C116" s="43"/>
      <c r="D116" s="43"/>
      <c r="E116" s="45">
        <f>D38</f>
        <v>6.6999999999999993</v>
      </c>
      <c r="F116" s="46">
        <f>$E$4</f>
        <v>1.5</v>
      </c>
      <c r="G116" s="46">
        <f>F116-($E$4-$D$4)/10</f>
        <v>1.35</v>
      </c>
      <c r="H116" s="46">
        <f t="shared" ref="H116:P116" si="20">G116-($E$4-$D$4)/10</f>
        <v>1.2000000000000002</v>
      </c>
      <c r="I116" s="46">
        <f t="shared" si="20"/>
        <v>1.0500000000000003</v>
      </c>
      <c r="J116" s="46">
        <f t="shared" si="20"/>
        <v>0.90000000000000024</v>
      </c>
      <c r="K116" s="46">
        <f t="shared" si="20"/>
        <v>0.75000000000000022</v>
      </c>
      <c r="L116" s="46">
        <f t="shared" si="20"/>
        <v>0.6000000000000002</v>
      </c>
      <c r="M116" s="46">
        <f t="shared" si="20"/>
        <v>0.45000000000000018</v>
      </c>
      <c r="N116" s="46">
        <f t="shared" si="20"/>
        <v>0.30000000000000016</v>
      </c>
      <c r="O116" s="46">
        <f t="shared" si="20"/>
        <v>0.15000000000000016</v>
      </c>
      <c r="P116" s="46">
        <f t="shared" si="20"/>
        <v>0</v>
      </c>
    </row>
    <row r="117" spans="2:16" x14ac:dyDescent="0.2">
      <c r="B117" s="43"/>
      <c r="C117" s="43"/>
      <c r="D117" s="44" t="s">
        <v>33</v>
      </c>
      <c r="E117" s="48">
        <f>$D$10</f>
        <v>0</v>
      </c>
      <c r="F117" s="49">
        <f t="dataTable" ref="F117:P127" dt2D="1" dtr="1" r1="B4" r2="B10" ca="1"/>
        <v>-5</v>
      </c>
      <c r="G117" s="49">
        <v>-3.5</v>
      </c>
      <c r="H117" s="49">
        <v>-2.0000000000000018</v>
      </c>
      <c r="I117" s="49">
        <v>-0.50000000000000355</v>
      </c>
      <c r="J117" s="49">
        <v>0.99999999999999822</v>
      </c>
      <c r="K117" s="49">
        <v>2.4999999999999982</v>
      </c>
      <c r="L117" s="49">
        <v>3.9999999999999982</v>
      </c>
      <c r="M117" s="49">
        <v>5.4999999999999982</v>
      </c>
      <c r="N117" s="49">
        <v>6.9999999999999982</v>
      </c>
      <c r="O117" s="49">
        <v>8.4999999999999982</v>
      </c>
      <c r="P117" s="49">
        <v>10</v>
      </c>
    </row>
    <row r="118" spans="2:16" x14ac:dyDescent="0.2">
      <c r="B118" s="43"/>
      <c r="C118" s="43"/>
      <c r="D118" s="43"/>
      <c r="E118" s="50">
        <f t="shared" ref="E118:E127" si="21">E117+($E$10-$D$10)/10</f>
        <v>0.1</v>
      </c>
      <c r="F118" s="49">
        <v>-6.4</v>
      </c>
      <c r="G118" s="49">
        <v>-4.4800000000000004</v>
      </c>
      <c r="H118" s="49">
        <v>-2.5600000000000023</v>
      </c>
      <c r="I118" s="49">
        <v>-0.64000000000000412</v>
      </c>
      <c r="J118" s="49">
        <v>1.2799999999999976</v>
      </c>
      <c r="K118" s="49">
        <v>3.1999999999999975</v>
      </c>
      <c r="L118" s="49">
        <v>5.1199999999999974</v>
      </c>
      <c r="M118" s="49">
        <v>7.0399999999999974</v>
      </c>
      <c r="N118" s="49">
        <v>8.9599999999999973</v>
      </c>
      <c r="O118" s="49">
        <v>10.879999999999999</v>
      </c>
      <c r="P118" s="49">
        <v>12.8</v>
      </c>
    </row>
    <row r="119" spans="2:16" x14ac:dyDescent="0.2">
      <c r="B119" s="43"/>
      <c r="C119" s="43"/>
      <c r="D119" s="43"/>
      <c r="E119" s="50">
        <f t="shared" si="21"/>
        <v>0.2</v>
      </c>
      <c r="F119" s="49">
        <v>-7.8</v>
      </c>
      <c r="G119" s="49">
        <v>-5.4600000000000009</v>
      </c>
      <c r="H119" s="49">
        <v>-3.1200000000000028</v>
      </c>
      <c r="I119" s="49">
        <v>-0.78000000000000469</v>
      </c>
      <c r="J119" s="49">
        <v>1.5599999999999969</v>
      </c>
      <c r="K119" s="49">
        <v>3.8999999999999968</v>
      </c>
      <c r="L119" s="49">
        <v>6.2399999999999967</v>
      </c>
      <c r="M119" s="49">
        <v>8.5799999999999983</v>
      </c>
      <c r="N119" s="49">
        <v>10.919999999999998</v>
      </c>
      <c r="O119" s="49">
        <v>13.259999999999998</v>
      </c>
      <c r="P119" s="49">
        <v>15.600000000000001</v>
      </c>
    </row>
    <row r="120" spans="2:16" x14ac:dyDescent="0.2">
      <c r="B120" s="43"/>
      <c r="C120" s="43"/>
      <c r="D120" s="43"/>
      <c r="E120" s="50">
        <f t="shared" si="21"/>
        <v>0.30000000000000004</v>
      </c>
      <c r="F120" s="49">
        <v>-9.2000000000000011</v>
      </c>
      <c r="G120" s="49">
        <v>-6.4400000000000013</v>
      </c>
      <c r="H120" s="49">
        <v>-3.6800000000000033</v>
      </c>
      <c r="I120" s="49">
        <v>-0.92000000000000526</v>
      </c>
      <c r="J120" s="49">
        <v>1.8399999999999963</v>
      </c>
      <c r="K120" s="49">
        <v>4.599999999999997</v>
      </c>
      <c r="L120" s="49">
        <v>7.3599999999999977</v>
      </c>
      <c r="M120" s="49">
        <v>10.119999999999997</v>
      </c>
      <c r="N120" s="49">
        <v>12.879999999999999</v>
      </c>
      <c r="O120" s="49">
        <v>15.639999999999999</v>
      </c>
      <c r="P120" s="49">
        <v>18.400000000000002</v>
      </c>
    </row>
    <row r="121" spans="2:16" x14ac:dyDescent="0.2">
      <c r="B121" s="43"/>
      <c r="C121" s="43"/>
      <c r="D121" s="43"/>
      <c r="E121" s="50">
        <f t="shared" si="21"/>
        <v>0.4</v>
      </c>
      <c r="F121" s="49">
        <v>-10.6</v>
      </c>
      <c r="G121" s="49">
        <v>-7.4200000000000017</v>
      </c>
      <c r="H121" s="49">
        <v>-4.2400000000000038</v>
      </c>
      <c r="I121" s="49">
        <v>-1.0600000000000058</v>
      </c>
      <c r="J121" s="49">
        <v>2.1199999999999957</v>
      </c>
      <c r="K121" s="49">
        <v>5.2999999999999954</v>
      </c>
      <c r="L121" s="49">
        <v>8.4799999999999969</v>
      </c>
      <c r="M121" s="49">
        <v>11.659999999999997</v>
      </c>
      <c r="N121" s="49">
        <v>14.839999999999996</v>
      </c>
      <c r="O121" s="49">
        <v>18.019999999999996</v>
      </c>
      <c r="P121" s="49">
        <v>21.200000000000003</v>
      </c>
    </row>
    <row r="122" spans="2:16" x14ac:dyDescent="0.2">
      <c r="B122" s="43"/>
      <c r="C122" s="43"/>
      <c r="D122" s="43"/>
      <c r="E122" s="50">
        <f t="shared" si="21"/>
        <v>0.5</v>
      </c>
      <c r="F122" s="49">
        <v>-12</v>
      </c>
      <c r="G122" s="49">
        <v>-8.4000000000000021</v>
      </c>
      <c r="H122" s="49">
        <v>-4.800000000000006</v>
      </c>
      <c r="I122" s="49">
        <v>-1.2000000000000064</v>
      </c>
      <c r="J122" s="49">
        <v>2.399999999999995</v>
      </c>
      <c r="K122" s="49">
        <v>5.9999999999999947</v>
      </c>
      <c r="L122" s="49">
        <v>9.5999999999999961</v>
      </c>
      <c r="M122" s="49">
        <v>13.199999999999996</v>
      </c>
      <c r="N122" s="49">
        <v>16.799999999999997</v>
      </c>
      <c r="O122" s="49">
        <v>20.399999999999999</v>
      </c>
      <c r="P122" s="49">
        <v>24</v>
      </c>
    </row>
    <row r="123" spans="2:16" x14ac:dyDescent="0.2">
      <c r="B123" s="43"/>
      <c r="C123" s="43"/>
      <c r="D123" s="43"/>
      <c r="E123" s="50">
        <f t="shared" si="21"/>
        <v>0.6</v>
      </c>
      <c r="F123" s="49">
        <v>-13.400000000000002</v>
      </c>
      <c r="G123" s="49">
        <v>-9.3800000000000026</v>
      </c>
      <c r="H123" s="49">
        <v>-5.3600000000000048</v>
      </c>
      <c r="I123" s="49">
        <v>-1.340000000000007</v>
      </c>
      <c r="J123" s="49">
        <v>2.6799999999999944</v>
      </c>
      <c r="K123" s="49">
        <v>6.699999999999994</v>
      </c>
      <c r="L123" s="49">
        <v>10.719999999999995</v>
      </c>
      <c r="M123" s="49">
        <v>14.739999999999997</v>
      </c>
      <c r="N123" s="49">
        <v>18.759999999999998</v>
      </c>
      <c r="O123" s="49">
        <v>22.779999999999994</v>
      </c>
      <c r="P123" s="49">
        <v>26.8</v>
      </c>
    </row>
    <row r="124" spans="2:16" x14ac:dyDescent="0.2">
      <c r="B124" s="43"/>
      <c r="C124" s="43"/>
      <c r="D124" s="43"/>
      <c r="E124" s="50">
        <f t="shared" si="21"/>
        <v>0.7</v>
      </c>
      <c r="F124" s="49">
        <v>-14.8</v>
      </c>
      <c r="G124" s="49">
        <v>-10.36</v>
      </c>
      <c r="H124" s="49">
        <v>-5.9200000000000035</v>
      </c>
      <c r="I124" s="49">
        <v>-1.4800000000000075</v>
      </c>
      <c r="J124" s="49">
        <v>2.959999999999992</v>
      </c>
      <c r="K124" s="49">
        <v>7.3999999999999932</v>
      </c>
      <c r="L124" s="49">
        <v>11.839999999999993</v>
      </c>
      <c r="M124" s="49">
        <v>16.279999999999994</v>
      </c>
      <c r="N124" s="49">
        <v>20.719999999999992</v>
      </c>
      <c r="O124" s="49">
        <v>25.159999999999997</v>
      </c>
      <c r="P124" s="49">
        <v>29.599999999999998</v>
      </c>
    </row>
    <row r="125" spans="2:16" x14ac:dyDescent="0.2">
      <c r="B125" s="43"/>
      <c r="C125" s="43"/>
      <c r="D125" s="43"/>
      <c r="E125" s="50">
        <f t="shared" si="21"/>
        <v>0.79999999999999993</v>
      </c>
      <c r="F125" s="49">
        <v>-16.199999999999996</v>
      </c>
      <c r="G125" s="49">
        <v>-11.34</v>
      </c>
      <c r="H125" s="49">
        <v>-6.4800000000000058</v>
      </c>
      <c r="I125" s="49">
        <v>-1.6200000000000081</v>
      </c>
      <c r="J125" s="49">
        <v>3.2399999999999931</v>
      </c>
      <c r="K125" s="49">
        <v>8.0999999999999925</v>
      </c>
      <c r="L125" s="49">
        <v>12.959999999999994</v>
      </c>
      <c r="M125" s="49">
        <v>17.819999999999993</v>
      </c>
      <c r="N125" s="49">
        <v>22.679999999999993</v>
      </c>
      <c r="O125" s="49">
        <v>27.539999999999992</v>
      </c>
      <c r="P125" s="49">
        <v>32.4</v>
      </c>
    </row>
    <row r="126" spans="2:16" x14ac:dyDescent="0.2">
      <c r="B126" s="43"/>
      <c r="C126" s="43"/>
      <c r="D126" s="43"/>
      <c r="E126" s="50">
        <f t="shared" si="21"/>
        <v>0.89999999999999991</v>
      </c>
      <c r="F126" s="49">
        <v>-17.600000000000001</v>
      </c>
      <c r="G126" s="49">
        <v>-12.32</v>
      </c>
      <c r="H126" s="49">
        <v>-7.0400000000000045</v>
      </c>
      <c r="I126" s="49">
        <v>-1.7600000000000087</v>
      </c>
      <c r="J126" s="49">
        <v>3.5199999999999907</v>
      </c>
      <c r="K126" s="49">
        <v>8.7999999999999918</v>
      </c>
      <c r="L126" s="49">
        <v>14.079999999999991</v>
      </c>
      <c r="M126" s="49">
        <v>19.359999999999992</v>
      </c>
      <c r="N126" s="49">
        <v>24.639999999999993</v>
      </c>
      <c r="O126" s="49">
        <v>29.919999999999987</v>
      </c>
      <c r="P126" s="49">
        <v>35.199999999999996</v>
      </c>
    </row>
    <row r="127" spans="2:16" x14ac:dyDescent="0.2">
      <c r="B127" s="43"/>
      <c r="C127" s="43"/>
      <c r="D127" s="43"/>
      <c r="E127" s="50">
        <f t="shared" si="21"/>
        <v>0.99999999999999989</v>
      </c>
      <c r="F127" s="49">
        <v>-18.999999999999996</v>
      </c>
      <c r="G127" s="49">
        <v>-13.3</v>
      </c>
      <c r="H127" s="49">
        <v>-7.6000000000000068</v>
      </c>
      <c r="I127" s="49">
        <v>-1.9000000000000092</v>
      </c>
      <c r="J127" s="49">
        <v>3.7999999999999918</v>
      </c>
      <c r="K127" s="49">
        <v>9.4999999999999911</v>
      </c>
      <c r="L127" s="49">
        <v>15.19999999999999</v>
      </c>
      <c r="M127" s="49">
        <v>20.899999999999991</v>
      </c>
      <c r="N127" s="49">
        <v>26.599999999999994</v>
      </c>
      <c r="O127" s="49">
        <v>32.29999999999999</v>
      </c>
      <c r="P127" s="49">
        <v>38</v>
      </c>
    </row>
    <row r="129" spans="2:16" x14ac:dyDescent="0.2">
      <c r="B129" s="43" t="str">
        <f>E14</f>
        <v>Prod. CFC Phase 1</v>
      </c>
      <c r="C129" s="43"/>
      <c r="D129" s="43"/>
      <c r="E129" s="43"/>
      <c r="F129" s="31" t="s">
        <v>4</v>
      </c>
      <c r="G129" s="43"/>
      <c r="H129" s="43"/>
      <c r="I129" s="43"/>
      <c r="J129" s="43"/>
      <c r="K129" s="43"/>
      <c r="L129" s="43"/>
      <c r="M129" s="43"/>
      <c r="N129" s="43"/>
      <c r="O129" s="43"/>
      <c r="P129" s="43"/>
    </row>
    <row r="130" spans="2:16" x14ac:dyDescent="0.2">
      <c r="B130" s="43"/>
      <c r="C130" s="43"/>
      <c r="D130" s="43"/>
      <c r="E130" s="45">
        <f>E38</f>
        <v>2.5</v>
      </c>
      <c r="F130" s="46">
        <f>$E$4</f>
        <v>1.5</v>
      </c>
      <c r="G130" s="46">
        <f>F130-($E$4-$D$4)/10</f>
        <v>1.35</v>
      </c>
      <c r="H130" s="46">
        <f t="shared" ref="H130:P130" si="22">G130-($E$4-$D$4)/10</f>
        <v>1.2000000000000002</v>
      </c>
      <c r="I130" s="46">
        <f t="shared" si="22"/>
        <v>1.0500000000000003</v>
      </c>
      <c r="J130" s="46">
        <f t="shared" si="22"/>
        <v>0.90000000000000024</v>
      </c>
      <c r="K130" s="46">
        <f t="shared" si="22"/>
        <v>0.75000000000000022</v>
      </c>
      <c r="L130" s="46">
        <f t="shared" si="22"/>
        <v>0.6000000000000002</v>
      </c>
      <c r="M130" s="46">
        <f t="shared" si="22"/>
        <v>0.45000000000000018</v>
      </c>
      <c r="N130" s="46">
        <f t="shared" si="22"/>
        <v>0.30000000000000016</v>
      </c>
      <c r="O130" s="46">
        <f t="shared" si="22"/>
        <v>0.15000000000000016</v>
      </c>
      <c r="P130" s="46">
        <f t="shared" si="22"/>
        <v>0</v>
      </c>
    </row>
    <row r="131" spans="2:16" x14ac:dyDescent="0.2">
      <c r="B131" s="43"/>
      <c r="C131" s="43"/>
      <c r="D131" s="44" t="s">
        <v>33</v>
      </c>
      <c r="E131" s="48">
        <f>$D$10</f>
        <v>0</v>
      </c>
      <c r="F131" s="49">
        <f t="dataTable" ref="F131:P141" dt2D="1" dtr="1" r1="B4" r2="B10" ca="1"/>
        <v>-5</v>
      </c>
      <c r="G131" s="49">
        <v>-3.5</v>
      </c>
      <c r="H131" s="49">
        <v>-2.0000000000000018</v>
      </c>
      <c r="I131" s="49">
        <v>-0.50000000000000355</v>
      </c>
      <c r="J131" s="49">
        <v>0.99999999999999822</v>
      </c>
      <c r="K131" s="49">
        <v>2.4999999999999982</v>
      </c>
      <c r="L131" s="49">
        <v>3.9999999999999982</v>
      </c>
      <c r="M131" s="49">
        <v>5.4999999999999982</v>
      </c>
      <c r="N131" s="49">
        <v>6.9999999999999982</v>
      </c>
      <c r="O131" s="49">
        <v>8.4999999999999982</v>
      </c>
      <c r="P131" s="49">
        <v>10</v>
      </c>
    </row>
    <row r="132" spans="2:16" x14ac:dyDescent="0.2">
      <c r="B132" s="43"/>
      <c r="C132" s="43"/>
      <c r="D132" s="43"/>
      <c r="E132" s="50">
        <f t="shared" ref="E132:E141" si="23">E131+($E$10-$D$10)/10</f>
        <v>0.1</v>
      </c>
      <c r="F132" s="49">
        <v>-5</v>
      </c>
      <c r="G132" s="49">
        <v>-3.5</v>
      </c>
      <c r="H132" s="49">
        <v>-2.0000000000000018</v>
      </c>
      <c r="I132" s="49">
        <v>-0.50000000000000355</v>
      </c>
      <c r="J132" s="49">
        <v>0.99999999999999822</v>
      </c>
      <c r="K132" s="49">
        <v>2.4999999999999982</v>
      </c>
      <c r="L132" s="49">
        <v>3.9999999999999982</v>
      </c>
      <c r="M132" s="49">
        <v>5.4999999999999982</v>
      </c>
      <c r="N132" s="49">
        <v>6.9999999999999982</v>
      </c>
      <c r="O132" s="49">
        <v>8.4999999999999982</v>
      </c>
      <c r="P132" s="49">
        <v>10</v>
      </c>
    </row>
    <row r="133" spans="2:16" x14ac:dyDescent="0.2">
      <c r="B133" s="43"/>
      <c r="C133" s="43"/>
      <c r="D133" s="43"/>
      <c r="E133" s="50">
        <f t="shared" si="23"/>
        <v>0.2</v>
      </c>
      <c r="F133" s="49">
        <v>-5</v>
      </c>
      <c r="G133" s="49">
        <v>-3.5</v>
      </c>
      <c r="H133" s="49">
        <v>-2.0000000000000018</v>
      </c>
      <c r="I133" s="49">
        <v>-0.50000000000000355</v>
      </c>
      <c r="J133" s="49">
        <v>0.99999999999999822</v>
      </c>
      <c r="K133" s="49">
        <v>2.4999999999999982</v>
      </c>
      <c r="L133" s="49">
        <v>3.9999999999999982</v>
      </c>
      <c r="M133" s="49">
        <v>5.4999999999999982</v>
      </c>
      <c r="N133" s="49">
        <v>6.9999999999999982</v>
      </c>
      <c r="O133" s="49">
        <v>8.4999999999999982</v>
      </c>
      <c r="P133" s="49">
        <v>10</v>
      </c>
    </row>
    <row r="134" spans="2:16" x14ac:dyDescent="0.2">
      <c r="B134" s="43"/>
      <c r="C134" s="43"/>
      <c r="D134" s="43"/>
      <c r="E134" s="50">
        <f t="shared" si="23"/>
        <v>0.30000000000000004</v>
      </c>
      <c r="F134" s="49">
        <v>-5</v>
      </c>
      <c r="G134" s="49">
        <v>-3.5</v>
      </c>
      <c r="H134" s="49">
        <v>-2.0000000000000018</v>
      </c>
      <c r="I134" s="49">
        <v>-0.50000000000000355</v>
      </c>
      <c r="J134" s="49">
        <v>0.99999999999999822</v>
      </c>
      <c r="K134" s="49">
        <v>2.4999999999999982</v>
      </c>
      <c r="L134" s="49">
        <v>3.9999999999999982</v>
      </c>
      <c r="M134" s="49">
        <v>5.4999999999999982</v>
      </c>
      <c r="N134" s="49">
        <v>6.9999999999999982</v>
      </c>
      <c r="O134" s="49">
        <v>8.4999999999999982</v>
      </c>
      <c r="P134" s="49">
        <v>10</v>
      </c>
    </row>
    <row r="135" spans="2:16" x14ac:dyDescent="0.2">
      <c r="B135" s="43"/>
      <c r="C135" s="43"/>
      <c r="D135" s="43"/>
      <c r="E135" s="50">
        <f t="shared" si="23"/>
        <v>0.4</v>
      </c>
      <c r="F135" s="49">
        <v>-5</v>
      </c>
      <c r="G135" s="49">
        <v>-3.5</v>
      </c>
      <c r="H135" s="49">
        <v>-2.0000000000000018</v>
      </c>
      <c r="I135" s="49">
        <v>-0.50000000000000355</v>
      </c>
      <c r="J135" s="49">
        <v>0.99999999999999822</v>
      </c>
      <c r="K135" s="49">
        <v>2.4999999999999982</v>
      </c>
      <c r="L135" s="49">
        <v>3.9999999999999982</v>
      </c>
      <c r="M135" s="49">
        <v>5.4999999999999982</v>
      </c>
      <c r="N135" s="49">
        <v>6.9999999999999982</v>
      </c>
      <c r="O135" s="49">
        <v>8.4999999999999982</v>
      </c>
      <c r="P135" s="49">
        <v>10</v>
      </c>
    </row>
    <row r="136" spans="2:16" x14ac:dyDescent="0.2">
      <c r="B136" s="43"/>
      <c r="C136" s="43"/>
      <c r="D136" s="43"/>
      <c r="E136" s="50">
        <f t="shared" si="23"/>
        <v>0.5</v>
      </c>
      <c r="F136" s="49">
        <v>-5</v>
      </c>
      <c r="G136" s="49">
        <v>-3.5</v>
      </c>
      <c r="H136" s="49">
        <v>-2.0000000000000018</v>
      </c>
      <c r="I136" s="49">
        <v>-0.50000000000000355</v>
      </c>
      <c r="J136" s="49">
        <v>0.99999999999999822</v>
      </c>
      <c r="K136" s="49">
        <v>2.4999999999999982</v>
      </c>
      <c r="L136" s="49">
        <v>3.9999999999999982</v>
      </c>
      <c r="M136" s="49">
        <v>5.4999999999999982</v>
      </c>
      <c r="N136" s="49">
        <v>6.9999999999999982</v>
      </c>
      <c r="O136" s="49">
        <v>8.4999999999999982</v>
      </c>
      <c r="P136" s="49">
        <v>10</v>
      </c>
    </row>
    <row r="137" spans="2:16" x14ac:dyDescent="0.2">
      <c r="B137" s="43"/>
      <c r="C137" s="43"/>
      <c r="D137" s="43"/>
      <c r="E137" s="50">
        <f t="shared" si="23"/>
        <v>0.6</v>
      </c>
      <c r="F137" s="49">
        <v>-5</v>
      </c>
      <c r="G137" s="49">
        <v>-3.5</v>
      </c>
      <c r="H137" s="49">
        <v>-2.0000000000000018</v>
      </c>
      <c r="I137" s="49">
        <v>-0.50000000000000355</v>
      </c>
      <c r="J137" s="49">
        <v>0.99999999999999822</v>
      </c>
      <c r="K137" s="49">
        <v>2.4999999999999982</v>
      </c>
      <c r="L137" s="49">
        <v>3.9999999999999982</v>
      </c>
      <c r="M137" s="49">
        <v>5.4999999999999982</v>
      </c>
      <c r="N137" s="49">
        <v>6.9999999999999982</v>
      </c>
      <c r="O137" s="49">
        <v>8.4999999999999982</v>
      </c>
      <c r="P137" s="49">
        <v>10</v>
      </c>
    </row>
    <row r="138" spans="2:16" x14ac:dyDescent="0.2">
      <c r="B138" s="43"/>
      <c r="C138" s="43"/>
      <c r="D138" s="43"/>
      <c r="E138" s="50">
        <f t="shared" si="23"/>
        <v>0.7</v>
      </c>
      <c r="F138" s="49">
        <v>-5</v>
      </c>
      <c r="G138" s="49">
        <v>-3.5</v>
      </c>
      <c r="H138" s="49">
        <v>-2.0000000000000018</v>
      </c>
      <c r="I138" s="49">
        <v>-0.50000000000000355</v>
      </c>
      <c r="J138" s="49">
        <v>0.99999999999999822</v>
      </c>
      <c r="K138" s="49">
        <v>2.4999999999999982</v>
      </c>
      <c r="L138" s="49">
        <v>3.9999999999999982</v>
      </c>
      <c r="M138" s="49">
        <v>5.4999999999999982</v>
      </c>
      <c r="N138" s="49">
        <v>6.9999999999999982</v>
      </c>
      <c r="O138" s="49">
        <v>8.4999999999999982</v>
      </c>
      <c r="P138" s="49">
        <v>10</v>
      </c>
    </row>
    <row r="139" spans="2:16" x14ac:dyDescent="0.2">
      <c r="B139" s="43"/>
      <c r="C139" s="43"/>
      <c r="D139" s="43"/>
      <c r="E139" s="50">
        <f t="shared" si="23"/>
        <v>0.79999999999999993</v>
      </c>
      <c r="F139" s="49">
        <v>-5</v>
      </c>
      <c r="G139" s="49">
        <v>-3.5</v>
      </c>
      <c r="H139" s="49">
        <v>-2.0000000000000018</v>
      </c>
      <c r="I139" s="49">
        <v>-0.50000000000000355</v>
      </c>
      <c r="J139" s="49">
        <v>0.99999999999999822</v>
      </c>
      <c r="K139" s="49">
        <v>2.4999999999999982</v>
      </c>
      <c r="L139" s="49">
        <v>3.9999999999999982</v>
      </c>
      <c r="M139" s="49">
        <v>5.4999999999999982</v>
      </c>
      <c r="N139" s="49">
        <v>6.9999999999999982</v>
      </c>
      <c r="O139" s="49">
        <v>8.4999999999999982</v>
      </c>
      <c r="P139" s="49">
        <v>10</v>
      </c>
    </row>
    <row r="140" spans="2:16" x14ac:dyDescent="0.2">
      <c r="B140" s="43"/>
      <c r="C140" s="43"/>
      <c r="D140" s="43"/>
      <c r="E140" s="50">
        <f t="shared" si="23"/>
        <v>0.89999999999999991</v>
      </c>
      <c r="F140" s="49">
        <v>-5</v>
      </c>
      <c r="G140" s="49">
        <v>-3.5</v>
      </c>
      <c r="H140" s="49">
        <v>-2.0000000000000018</v>
      </c>
      <c r="I140" s="49">
        <v>-0.50000000000000355</v>
      </c>
      <c r="J140" s="49">
        <v>0.99999999999999822</v>
      </c>
      <c r="K140" s="49">
        <v>2.4999999999999982</v>
      </c>
      <c r="L140" s="49">
        <v>3.9999999999999982</v>
      </c>
      <c r="M140" s="49">
        <v>5.4999999999999982</v>
      </c>
      <c r="N140" s="49">
        <v>6.9999999999999982</v>
      </c>
      <c r="O140" s="49">
        <v>8.4999999999999982</v>
      </c>
      <c r="P140" s="49">
        <v>10</v>
      </c>
    </row>
    <row r="141" spans="2:16" x14ac:dyDescent="0.2">
      <c r="B141" s="43"/>
      <c r="C141" s="43"/>
      <c r="D141" s="43"/>
      <c r="E141" s="50">
        <f t="shared" si="23"/>
        <v>0.99999999999999989</v>
      </c>
      <c r="F141" s="49">
        <v>-5</v>
      </c>
      <c r="G141" s="49">
        <v>-3.5</v>
      </c>
      <c r="H141" s="49">
        <v>-2.0000000000000018</v>
      </c>
      <c r="I141" s="49">
        <v>-0.50000000000000355</v>
      </c>
      <c r="J141" s="49">
        <v>0.99999999999999822</v>
      </c>
      <c r="K141" s="49">
        <v>2.4999999999999982</v>
      </c>
      <c r="L141" s="49">
        <v>3.9999999999999982</v>
      </c>
      <c r="M141" s="49">
        <v>5.4999999999999982</v>
      </c>
      <c r="N141" s="49">
        <v>6.9999999999999982</v>
      </c>
      <c r="O141" s="49">
        <v>8.4999999999999982</v>
      </c>
      <c r="P141" s="49">
        <v>10</v>
      </c>
    </row>
    <row r="143" spans="2:16" x14ac:dyDescent="0.2">
      <c r="B143" s="43" t="str">
        <f>F14</f>
        <v>Arrêter tout</v>
      </c>
      <c r="C143" s="43"/>
      <c r="D143" s="43"/>
      <c r="E143" s="43"/>
      <c r="F143" s="31" t="s">
        <v>4</v>
      </c>
      <c r="G143" s="43"/>
      <c r="H143" s="43"/>
      <c r="I143" s="43"/>
      <c r="J143" s="43"/>
      <c r="K143" s="43"/>
      <c r="L143" s="43"/>
      <c r="M143" s="43"/>
      <c r="N143" s="43"/>
      <c r="O143" s="43"/>
      <c r="P143" s="43"/>
    </row>
    <row r="144" spans="2:16" x14ac:dyDescent="0.2">
      <c r="B144" s="43"/>
      <c r="C144" s="43"/>
      <c r="D144" s="43"/>
      <c r="E144" s="45">
        <f>F38</f>
        <v>0</v>
      </c>
      <c r="F144" s="46">
        <f>$E$4</f>
        <v>1.5</v>
      </c>
      <c r="G144" s="46">
        <f>F144-($E$4-$D$4)/10</f>
        <v>1.35</v>
      </c>
      <c r="H144" s="46">
        <f t="shared" ref="H144:P144" si="24">G144-($E$4-$D$4)/10</f>
        <v>1.2000000000000002</v>
      </c>
      <c r="I144" s="46">
        <f t="shared" si="24"/>
        <v>1.0500000000000003</v>
      </c>
      <c r="J144" s="46">
        <f t="shared" si="24"/>
        <v>0.90000000000000024</v>
      </c>
      <c r="K144" s="46">
        <f t="shared" si="24"/>
        <v>0.75000000000000022</v>
      </c>
      <c r="L144" s="46">
        <f t="shared" si="24"/>
        <v>0.6000000000000002</v>
      </c>
      <c r="M144" s="46">
        <f t="shared" si="24"/>
        <v>0.45000000000000018</v>
      </c>
      <c r="N144" s="46">
        <f t="shared" si="24"/>
        <v>0.30000000000000016</v>
      </c>
      <c r="O144" s="46">
        <f t="shared" si="24"/>
        <v>0.15000000000000016</v>
      </c>
      <c r="P144" s="46">
        <f t="shared" si="24"/>
        <v>0</v>
      </c>
    </row>
    <row r="145" spans="2:16" x14ac:dyDescent="0.2">
      <c r="B145" s="43"/>
      <c r="C145" s="43"/>
      <c r="D145" s="44" t="s">
        <v>33</v>
      </c>
      <c r="E145" s="48">
        <f>$D$10</f>
        <v>0</v>
      </c>
      <c r="F145" s="49">
        <f t="dataTable" ref="F145:P155" dt2D="1" dtr="1" r1="B4" r2="B10" ca="1"/>
        <v>0</v>
      </c>
      <c r="G145" s="49">
        <v>0</v>
      </c>
      <c r="H145" s="49">
        <v>0</v>
      </c>
      <c r="I145" s="49">
        <v>0</v>
      </c>
      <c r="J145" s="49">
        <v>0</v>
      </c>
      <c r="K145" s="49">
        <v>0</v>
      </c>
      <c r="L145" s="49">
        <v>0</v>
      </c>
      <c r="M145" s="49">
        <v>0</v>
      </c>
      <c r="N145" s="49">
        <v>0</v>
      </c>
      <c r="O145" s="49">
        <v>0</v>
      </c>
      <c r="P145" s="49">
        <v>0</v>
      </c>
    </row>
    <row r="146" spans="2:16" x14ac:dyDescent="0.2">
      <c r="B146" s="43"/>
      <c r="C146" s="43"/>
      <c r="D146" s="43"/>
      <c r="E146" s="50">
        <f t="shared" ref="E146:E155" si="25">E145+($E$10-$D$10)/10</f>
        <v>0.1</v>
      </c>
      <c r="F146" s="49">
        <v>0</v>
      </c>
      <c r="G146" s="49">
        <v>0</v>
      </c>
      <c r="H146" s="49">
        <v>0</v>
      </c>
      <c r="I146" s="49">
        <v>0</v>
      </c>
      <c r="J146" s="49">
        <v>0</v>
      </c>
      <c r="K146" s="49">
        <v>0</v>
      </c>
      <c r="L146" s="49">
        <v>0</v>
      </c>
      <c r="M146" s="49">
        <v>0</v>
      </c>
      <c r="N146" s="49">
        <v>0</v>
      </c>
      <c r="O146" s="49">
        <v>0</v>
      </c>
      <c r="P146" s="49">
        <v>0</v>
      </c>
    </row>
    <row r="147" spans="2:16" x14ac:dyDescent="0.2">
      <c r="B147" s="43"/>
      <c r="C147" s="43"/>
      <c r="D147" s="43"/>
      <c r="E147" s="50">
        <f t="shared" si="25"/>
        <v>0.2</v>
      </c>
      <c r="F147" s="49">
        <v>0</v>
      </c>
      <c r="G147" s="49">
        <v>0</v>
      </c>
      <c r="H147" s="49">
        <v>0</v>
      </c>
      <c r="I147" s="49">
        <v>0</v>
      </c>
      <c r="J147" s="49">
        <v>0</v>
      </c>
      <c r="K147" s="49">
        <v>0</v>
      </c>
      <c r="L147" s="49">
        <v>0</v>
      </c>
      <c r="M147" s="49">
        <v>0</v>
      </c>
      <c r="N147" s="49">
        <v>0</v>
      </c>
      <c r="O147" s="49">
        <v>0</v>
      </c>
      <c r="P147" s="49">
        <v>0</v>
      </c>
    </row>
    <row r="148" spans="2:16" x14ac:dyDescent="0.2">
      <c r="B148" s="43"/>
      <c r="C148" s="43"/>
      <c r="D148" s="43"/>
      <c r="E148" s="50">
        <f t="shared" si="25"/>
        <v>0.30000000000000004</v>
      </c>
      <c r="F148" s="49">
        <v>0</v>
      </c>
      <c r="G148" s="49">
        <v>0</v>
      </c>
      <c r="H148" s="49">
        <v>0</v>
      </c>
      <c r="I148" s="49">
        <v>0</v>
      </c>
      <c r="J148" s="49">
        <v>0</v>
      </c>
      <c r="K148" s="49">
        <v>0</v>
      </c>
      <c r="L148" s="49">
        <v>0</v>
      </c>
      <c r="M148" s="49">
        <v>0</v>
      </c>
      <c r="N148" s="49">
        <v>0</v>
      </c>
      <c r="O148" s="49">
        <v>0</v>
      </c>
      <c r="P148" s="49">
        <v>0</v>
      </c>
    </row>
    <row r="149" spans="2:16" x14ac:dyDescent="0.2">
      <c r="B149" s="43"/>
      <c r="C149" s="43"/>
      <c r="D149" s="43"/>
      <c r="E149" s="50">
        <f t="shared" si="25"/>
        <v>0.4</v>
      </c>
      <c r="F149" s="49">
        <v>0</v>
      </c>
      <c r="G149" s="49">
        <v>0</v>
      </c>
      <c r="H149" s="49">
        <v>0</v>
      </c>
      <c r="I149" s="49">
        <v>0</v>
      </c>
      <c r="J149" s="49">
        <v>0</v>
      </c>
      <c r="K149" s="49">
        <v>0</v>
      </c>
      <c r="L149" s="49">
        <v>0</v>
      </c>
      <c r="M149" s="49">
        <v>0</v>
      </c>
      <c r="N149" s="49">
        <v>0</v>
      </c>
      <c r="O149" s="49">
        <v>0</v>
      </c>
      <c r="P149" s="49">
        <v>0</v>
      </c>
    </row>
    <row r="150" spans="2:16" x14ac:dyDescent="0.2">
      <c r="B150" s="43"/>
      <c r="C150" s="43"/>
      <c r="D150" s="43"/>
      <c r="E150" s="50">
        <f t="shared" si="25"/>
        <v>0.5</v>
      </c>
      <c r="F150" s="49">
        <v>0</v>
      </c>
      <c r="G150" s="49">
        <v>0</v>
      </c>
      <c r="H150" s="49">
        <v>0</v>
      </c>
      <c r="I150" s="49">
        <v>0</v>
      </c>
      <c r="J150" s="49">
        <v>0</v>
      </c>
      <c r="K150" s="49">
        <v>0</v>
      </c>
      <c r="L150" s="49">
        <v>0</v>
      </c>
      <c r="M150" s="49">
        <v>0</v>
      </c>
      <c r="N150" s="49">
        <v>0</v>
      </c>
      <c r="O150" s="49">
        <v>0</v>
      </c>
      <c r="P150" s="49">
        <v>0</v>
      </c>
    </row>
    <row r="151" spans="2:16" x14ac:dyDescent="0.2">
      <c r="B151" s="43"/>
      <c r="C151" s="43"/>
      <c r="D151" s="43"/>
      <c r="E151" s="50">
        <f t="shared" si="25"/>
        <v>0.6</v>
      </c>
      <c r="F151" s="49">
        <v>0</v>
      </c>
      <c r="G151" s="49">
        <v>0</v>
      </c>
      <c r="H151" s="49">
        <v>0</v>
      </c>
      <c r="I151" s="49">
        <v>0</v>
      </c>
      <c r="J151" s="49">
        <v>0</v>
      </c>
      <c r="K151" s="49">
        <v>0</v>
      </c>
      <c r="L151" s="49">
        <v>0</v>
      </c>
      <c r="M151" s="49">
        <v>0</v>
      </c>
      <c r="N151" s="49">
        <v>0</v>
      </c>
      <c r="O151" s="49">
        <v>0</v>
      </c>
      <c r="P151" s="49">
        <v>0</v>
      </c>
    </row>
    <row r="152" spans="2:16" x14ac:dyDescent="0.2">
      <c r="B152" s="43"/>
      <c r="C152" s="43"/>
      <c r="D152" s="43"/>
      <c r="E152" s="50">
        <f t="shared" si="25"/>
        <v>0.7</v>
      </c>
      <c r="F152" s="49">
        <v>0</v>
      </c>
      <c r="G152" s="49">
        <v>0</v>
      </c>
      <c r="H152" s="49">
        <v>0</v>
      </c>
      <c r="I152" s="49">
        <v>0</v>
      </c>
      <c r="J152" s="49">
        <v>0</v>
      </c>
      <c r="K152" s="49">
        <v>0</v>
      </c>
      <c r="L152" s="49">
        <v>0</v>
      </c>
      <c r="M152" s="49">
        <v>0</v>
      </c>
      <c r="N152" s="49">
        <v>0</v>
      </c>
      <c r="O152" s="49">
        <v>0</v>
      </c>
      <c r="P152" s="49">
        <v>0</v>
      </c>
    </row>
    <row r="153" spans="2:16" x14ac:dyDescent="0.2">
      <c r="B153" s="43"/>
      <c r="C153" s="43"/>
      <c r="D153" s="43"/>
      <c r="E153" s="50">
        <f t="shared" si="25"/>
        <v>0.79999999999999993</v>
      </c>
      <c r="F153" s="49">
        <v>0</v>
      </c>
      <c r="G153" s="49">
        <v>0</v>
      </c>
      <c r="H153" s="49">
        <v>0</v>
      </c>
      <c r="I153" s="49">
        <v>0</v>
      </c>
      <c r="J153" s="49">
        <v>0</v>
      </c>
      <c r="K153" s="49">
        <v>0</v>
      </c>
      <c r="L153" s="49">
        <v>0</v>
      </c>
      <c r="M153" s="49">
        <v>0</v>
      </c>
      <c r="N153" s="49">
        <v>0</v>
      </c>
      <c r="O153" s="49">
        <v>0</v>
      </c>
      <c r="P153" s="49">
        <v>0</v>
      </c>
    </row>
    <row r="154" spans="2:16" x14ac:dyDescent="0.2">
      <c r="B154" s="43"/>
      <c r="C154" s="43"/>
      <c r="D154" s="43"/>
      <c r="E154" s="50">
        <f t="shared" si="25"/>
        <v>0.89999999999999991</v>
      </c>
      <c r="F154" s="49">
        <v>0</v>
      </c>
      <c r="G154" s="49">
        <v>0</v>
      </c>
      <c r="H154" s="49">
        <v>0</v>
      </c>
      <c r="I154" s="49">
        <v>0</v>
      </c>
      <c r="J154" s="49">
        <v>0</v>
      </c>
      <c r="K154" s="49">
        <v>0</v>
      </c>
      <c r="L154" s="49">
        <v>0</v>
      </c>
      <c r="M154" s="49">
        <v>0</v>
      </c>
      <c r="N154" s="49">
        <v>0</v>
      </c>
      <c r="O154" s="49">
        <v>0</v>
      </c>
      <c r="P154" s="49">
        <v>0</v>
      </c>
    </row>
    <row r="155" spans="2:16" x14ac:dyDescent="0.2">
      <c r="B155" s="43"/>
      <c r="C155" s="43"/>
      <c r="D155" s="43"/>
      <c r="E155" s="50">
        <f t="shared" si="25"/>
        <v>0.99999999999999989</v>
      </c>
      <c r="F155" s="49">
        <v>0</v>
      </c>
      <c r="G155" s="49">
        <v>0</v>
      </c>
      <c r="H155" s="49">
        <v>0</v>
      </c>
      <c r="I155" s="49">
        <v>0</v>
      </c>
      <c r="J155" s="49">
        <v>0</v>
      </c>
      <c r="K155" s="49">
        <v>0</v>
      </c>
      <c r="L155" s="49">
        <v>0</v>
      </c>
      <c r="M155" s="49">
        <v>0</v>
      </c>
      <c r="N155" s="49">
        <v>0</v>
      </c>
      <c r="O155" s="49">
        <v>0</v>
      </c>
      <c r="P155" s="49">
        <v>0</v>
      </c>
    </row>
  </sheetData>
  <pageMargins left="0.7" right="0.7" top="0.75" bottom="0.75" header="0.3" footer="0.3"/>
  <pageSetup scale="31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9"/>
  <sheetViews>
    <sheetView zoomScale="96" zoomScaleNormal="96" zoomScalePageLayoutView="96" workbookViewId="0"/>
  </sheetViews>
  <sheetFormatPr baseColWidth="10" defaultColWidth="11.5" defaultRowHeight="13" x14ac:dyDescent="0.15"/>
  <cols>
    <col min="1" max="1" width="16.5" style="12" customWidth="1"/>
    <col min="2" max="3" width="7.83203125" style="12" customWidth="1"/>
    <col min="4" max="4" width="13.1640625" style="12" bestFit="1" customWidth="1"/>
    <col min="5" max="5" width="7.5" style="12" customWidth="1"/>
    <col min="6" max="6" width="7.33203125" style="12" customWidth="1"/>
    <col min="7" max="7" width="8.5" style="12" customWidth="1"/>
    <col min="8" max="8" width="10.5" style="12" customWidth="1"/>
    <col min="9" max="16384" width="11.5" style="12"/>
  </cols>
  <sheetData>
    <row r="1" spans="1:10" x14ac:dyDescent="0.15">
      <c r="A1" s="12" t="s">
        <v>56</v>
      </c>
      <c r="E1" s="12" t="s">
        <v>58</v>
      </c>
    </row>
    <row r="3" spans="1:10" x14ac:dyDescent="0.15">
      <c r="E3" s="12" t="str">
        <f>A4</f>
        <v>Frais de compensation environnementale</v>
      </c>
      <c r="F3" s="12" t="str">
        <f>A8</f>
        <v>Marché Phase 1</v>
      </c>
      <c r="G3" s="12" t="str">
        <f>A12</f>
        <v>Coût de recherche</v>
      </c>
      <c r="H3" s="12" t="str">
        <f>A16</f>
        <v>Succès si recherche</v>
      </c>
      <c r="I3" s="12" t="str">
        <f>A20</f>
        <v>Marché Phase 2</v>
      </c>
      <c r="J3" s="12" t="str">
        <f>A24</f>
        <v>Part du marché Phase 2</v>
      </c>
    </row>
    <row r="4" spans="1:10" ht="15" x14ac:dyDescent="0.2">
      <c r="A4" s="31" t="s">
        <v>48</v>
      </c>
      <c r="B4" s="13"/>
      <c r="C4" s="13"/>
      <c r="D4" s="13"/>
      <c r="E4" s="14"/>
      <c r="F4" s="14"/>
      <c r="G4" s="14"/>
      <c r="H4" s="14"/>
      <c r="I4" s="14"/>
    </row>
    <row r="5" spans="1:10" ht="15" x14ac:dyDescent="0.2">
      <c r="A5" s="13"/>
      <c r="B5" s="13" t="s">
        <v>27</v>
      </c>
      <c r="C5" s="13">
        <f>References!E44</f>
        <v>1.5</v>
      </c>
      <c r="D5" s="13">
        <f>References!F44</f>
        <v>0</v>
      </c>
      <c r="E5" s="14">
        <f>(C5-$C$6)/$C$6</f>
        <v>1</v>
      </c>
      <c r="F5" s="14"/>
      <c r="G5" s="14"/>
      <c r="H5" s="14"/>
      <c r="I5" s="14"/>
    </row>
    <row r="6" spans="1:10" ht="15" x14ac:dyDescent="0.2">
      <c r="A6" s="13"/>
      <c r="B6" s="13" t="s">
        <v>24</v>
      </c>
      <c r="C6" s="13">
        <f>References!E45</f>
        <v>0.75</v>
      </c>
      <c r="D6" s="13">
        <f>References!F45</f>
        <v>0</v>
      </c>
      <c r="E6" s="14">
        <f t="shared" ref="E6:E7" si="0">(C6-$C$6)/$C$6</f>
        <v>0</v>
      </c>
      <c r="F6" s="14"/>
      <c r="G6" s="14"/>
      <c r="H6" s="14"/>
      <c r="I6" s="14"/>
    </row>
    <row r="7" spans="1:10" ht="15" x14ac:dyDescent="0.2">
      <c r="A7" s="13"/>
      <c r="B7" s="13" t="s">
        <v>28</v>
      </c>
      <c r="C7" s="13">
        <f>References!E46</f>
        <v>0</v>
      </c>
      <c r="D7" s="13">
        <f>References!F46</f>
        <v>0</v>
      </c>
      <c r="E7" s="14">
        <f t="shared" si="0"/>
        <v>-1</v>
      </c>
      <c r="F7" s="14"/>
      <c r="G7" s="14"/>
      <c r="H7" s="14"/>
      <c r="I7" s="14"/>
    </row>
    <row r="8" spans="1:10" ht="15" x14ac:dyDescent="0.2">
      <c r="A8" s="34" t="s">
        <v>29</v>
      </c>
      <c r="B8" s="16"/>
      <c r="C8" s="16"/>
      <c r="D8" s="17"/>
      <c r="E8" s="14"/>
      <c r="F8" s="14"/>
      <c r="G8" s="14"/>
      <c r="H8" s="14"/>
      <c r="I8" s="14"/>
    </row>
    <row r="9" spans="1:10" ht="15" x14ac:dyDescent="0.2">
      <c r="A9" s="16"/>
      <c r="B9" s="18" t="s">
        <v>27</v>
      </c>
      <c r="C9" s="16">
        <f>References!E48</f>
        <v>11</v>
      </c>
      <c r="D9" s="16">
        <f>References!F48</f>
        <v>14.75</v>
      </c>
      <c r="E9" s="14"/>
      <c r="F9" s="14">
        <f>(C9-$C$10)/$C$10</f>
        <v>0.1</v>
      </c>
      <c r="G9" s="14"/>
      <c r="H9" s="14"/>
      <c r="I9" s="14"/>
    </row>
    <row r="10" spans="1:10" ht="15" x14ac:dyDescent="0.2">
      <c r="A10" s="16"/>
      <c r="B10" s="16" t="s">
        <v>24</v>
      </c>
      <c r="C10" s="16">
        <f>References!E49</f>
        <v>10</v>
      </c>
      <c r="D10" s="16">
        <f>References!F49</f>
        <v>14.5</v>
      </c>
      <c r="E10" s="14"/>
      <c r="F10" s="14">
        <f t="shared" ref="F10:F11" si="1">(C10-$C$10)/$C$10</f>
        <v>0</v>
      </c>
      <c r="G10" s="14"/>
      <c r="H10" s="14"/>
      <c r="I10" s="14"/>
    </row>
    <row r="11" spans="1:10" ht="15" x14ac:dyDescent="0.2">
      <c r="A11" s="16"/>
      <c r="B11" s="16" t="s">
        <v>28</v>
      </c>
      <c r="C11" s="16">
        <f>References!E50</f>
        <v>7</v>
      </c>
      <c r="D11" s="16">
        <f>References!F50</f>
        <v>13.75</v>
      </c>
      <c r="E11" s="14"/>
      <c r="F11" s="14">
        <f t="shared" si="1"/>
        <v>-0.3</v>
      </c>
      <c r="G11" s="14"/>
      <c r="H11" s="14"/>
      <c r="I11" s="14"/>
    </row>
    <row r="12" spans="1:10" ht="15" x14ac:dyDescent="0.2">
      <c r="A12" s="31" t="s">
        <v>30</v>
      </c>
      <c r="B12" s="13"/>
      <c r="C12" s="13"/>
      <c r="D12" s="15"/>
      <c r="E12" s="14"/>
      <c r="F12" s="14"/>
      <c r="G12" s="14"/>
      <c r="H12" s="14"/>
      <c r="I12" s="14"/>
    </row>
    <row r="13" spans="1:10" ht="15" x14ac:dyDescent="0.2">
      <c r="A13" s="13"/>
      <c r="B13" s="13" t="s">
        <v>27</v>
      </c>
      <c r="C13" s="13">
        <f>References!E52</f>
        <v>20</v>
      </c>
      <c r="D13" s="13">
        <f>References!F52</f>
        <v>10.5</v>
      </c>
      <c r="E13" s="14"/>
      <c r="F13" s="14"/>
      <c r="G13" s="14">
        <f>(C13-$C$14)/$C$14</f>
        <v>0.25</v>
      </c>
      <c r="H13" s="14"/>
      <c r="I13" s="14"/>
    </row>
    <row r="14" spans="1:10" ht="15" x14ac:dyDescent="0.2">
      <c r="A14" s="13"/>
      <c r="B14" s="13" t="s">
        <v>24</v>
      </c>
      <c r="C14" s="13">
        <f>References!E53</f>
        <v>16</v>
      </c>
      <c r="D14" s="13">
        <f>References!F53</f>
        <v>14.5</v>
      </c>
      <c r="E14" s="14"/>
      <c r="F14" s="14"/>
      <c r="G14" s="14">
        <f t="shared" ref="G14:G15" si="2">(C14-$C$14)/$C$14</f>
        <v>0</v>
      </c>
      <c r="H14" s="14"/>
      <c r="I14" s="14"/>
    </row>
    <row r="15" spans="1:10" ht="15" x14ac:dyDescent="0.2">
      <c r="A15" s="13"/>
      <c r="B15" s="13" t="s">
        <v>28</v>
      </c>
      <c r="C15" s="13">
        <f>References!E54</f>
        <v>14</v>
      </c>
      <c r="D15" s="13">
        <f>References!F54</f>
        <v>16.5</v>
      </c>
      <c r="E15" s="14"/>
      <c r="F15" s="14"/>
      <c r="G15" s="14">
        <f t="shared" si="2"/>
        <v>-0.125</v>
      </c>
      <c r="H15" s="14"/>
      <c r="I15" s="14"/>
    </row>
    <row r="16" spans="1:10" ht="15" x14ac:dyDescent="0.2">
      <c r="A16" s="34" t="s">
        <v>31</v>
      </c>
      <c r="B16" s="16"/>
      <c r="C16" s="16"/>
      <c r="D16" s="17"/>
      <c r="E16" s="14"/>
      <c r="F16" s="14"/>
      <c r="G16" s="14"/>
      <c r="H16" s="14"/>
      <c r="I16" s="14"/>
    </row>
    <row r="17" spans="1:10" ht="15" x14ac:dyDescent="0.2">
      <c r="A17" s="16"/>
      <c r="B17" s="16" t="s">
        <v>27</v>
      </c>
      <c r="C17" s="16">
        <f>References!E56</f>
        <v>1</v>
      </c>
      <c r="D17" s="16">
        <f>References!F56</f>
        <v>14.5</v>
      </c>
      <c r="E17" s="14"/>
      <c r="F17" s="14"/>
      <c r="G17" s="14"/>
      <c r="H17" s="14">
        <f>(C17-$C$18)/$C$18</f>
        <v>0</v>
      </c>
      <c r="I17" s="14"/>
    </row>
    <row r="18" spans="1:10" ht="15" x14ac:dyDescent="0.2">
      <c r="A18" s="16"/>
      <c r="B18" s="16" t="s">
        <v>24</v>
      </c>
      <c r="C18" s="16">
        <f>References!E57</f>
        <v>1</v>
      </c>
      <c r="D18" s="16">
        <f>References!F57</f>
        <v>14.5</v>
      </c>
      <c r="E18" s="14"/>
      <c r="F18" s="14"/>
      <c r="G18" s="14"/>
      <c r="H18" s="14">
        <f t="shared" ref="H18:H19" si="3">(C18-$C$18)/$C$18</f>
        <v>0</v>
      </c>
      <c r="I18" s="14"/>
    </row>
    <row r="19" spans="1:10" ht="15" x14ac:dyDescent="0.2">
      <c r="A19" s="16"/>
      <c r="B19" s="16" t="s">
        <v>28</v>
      </c>
      <c r="C19" s="16">
        <f>References!E58</f>
        <v>0</v>
      </c>
      <c r="D19" s="16">
        <f>References!F58</f>
        <v>-9.3000000000000007</v>
      </c>
      <c r="E19" s="14"/>
      <c r="F19" s="14"/>
      <c r="G19" s="14"/>
      <c r="H19" s="14">
        <f t="shared" si="3"/>
        <v>-1</v>
      </c>
      <c r="I19" s="14"/>
    </row>
    <row r="20" spans="1:10" ht="15" x14ac:dyDescent="0.2">
      <c r="A20" s="40" t="s">
        <v>32</v>
      </c>
      <c r="B20" s="13"/>
      <c r="C20" s="13"/>
      <c r="D20" s="15"/>
      <c r="E20" s="14"/>
      <c r="F20" s="14"/>
      <c r="G20" s="14"/>
      <c r="H20" s="14"/>
      <c r="I20" s="14"/>
    </row>
    <row r="21" spans="1:10" ht="15" x14ac:dyDescent="0.2">
      <c r="A21" s="13"/>
      <c r="B21" s="13" t="s">
        <v>27</v>
      </c>
      <c r="C21" s="13">
        <f>References!E60</f>
        <v>30</v>
      </c>
      <c r="D21" s="13">
        <f>References!F60</f>
        <v>16.5</v>
      </c>
      <c r="E21" s="14"/>
      <c r="F21" s="14"/>
      <c r="G21" s="14"/>
      <c r="H21" s="14"/>
      <c r="I21" s="14">
        <f>(C21-$C$22)/$C$22</f>
        <v>7.1428571428571425E-2</v>
      </c>
    </row>
    <row r="22" spans="1:10" ht="15" x14ac:dyDescent="0.2">
      <c r="A22" s="13"/>
      <c r="B22" s="13" t="s">
        <v>24</v>
      </c>
      <c r="C22" s="13">
        <f>References!E61</f>
        <v>28</v>
      </c>
      <c r="D22" s="13">
        <f>References!F61</f>
        <v>14.5</v>
      </c>
      <c r="E22" s="14"/>
      <c r="F22" s="14"/>
      <c r="G22" s="14"/>
      <c r="H22" s="14"/>
      <c r="I22" s="14">
        <f t="shared" ref="I22:I23" si="4">(C22-$C$22)/$C$22</f>
        <v>0</v>
      </c>
    </row>
    <row r="23" spans="1:10" ht="15" x14ac:dyDescent="0.2">
      <c r="A23" s="13"/>
      <c r="B23" s="13" t="s">
        <v>28</v>
      </c>
      <c r="C23" s="13">
        <f>References!E62</f>
        <v>20</v>
      </c>
      <c r="D23" s="13">
        <f>References!F62</f>
        <v>6.5</v>
      </c>
      <c r="E23" s="14"/>
      <c r="F23" s="14"/>
      <c r="G23" s="14"/>
      <c r="H23" s="14"/>
      <c r="I23" s="14">
        <f t="shared" si="4"/>
        <v>-0.2857142857142857</v>
      </c>
    </row>
    <row r="24" spans="1:10" ht="15" x14ac:dyDescent="0.2">
      <c r="A24" s="34" t="s">
        <v>33</v>
      </c>
      <c r="B24" s="16"/>
      <c r="C24" s="16"/>
      <c r="D24" s="17"/>
      <c r="E24" s="14"/>
      <c r="F24" s="14"/>
      <c r="G24" s="14"/>
      <c r="H24" s="14"/>
      <c r="I24" s="14"/>
    </row>
    <row r="25" spans="1:10" ht="15" x14ac:dyDescent="0.2">
      <c r="A25" s="16"/>
      <c r="B25" s="16" t="s">
        <v>27</v>
      </c>
      <c r="C25" s="18">
        <f>References!E64</f>
        <v>1</v>
      </c>
      <c r="D25" s="16">
        <f>References!F64</f>
        <v>14.5</v>
      </c>
      <c r="E25" s="14"/>
      <c r="F25" s="14"/>
      <c r="G25" s="14"/>
      <c r="H25" s="14"/>
      <c r="I25" s="14"/>
      <c r="J25" s="14">
        <f>(C25-$C$26)/$C$26</f>
        <v>0.66666666666666674</v>
      </c>
    </row>
    <row r="26" spans="1:10" ht="15" x14ac:dyDescent="0.2">
      <c r="A26" s="16"/>
      <c r="B26" s="16" t="s">
        <v>24</v>
      </c>
      <c r="C26" s="18">
        <f>References!E65</f>
        <v>0.6</v>
      </c>
      <c r="D26" s="16">
        <f>References!F65</f>
        <v>14.5</v>
      </c>
      <c r="E26" s="14"/>
      <c r="F26" s="14"/>
      <c r="G26" s="14"/>
      <c r="H26" s="14"/>
      <c r="I26" s="14"/>
      <c r="J26" s="14">
        <f t="shared" ref="J26:J27" si="5">(C26-$C$26)/$C$26</f>
        <v>0</v>
      </c>
    </row>
    <row r="27" spans="1:10" ht="15" x14ac:dyDescent="0.2">
      <c r="A27" s="16"/>
      <c r="B27" s="16" t="s">
        <v>28</v>
      </c>
      <c r="C27" s="18">
        <f>References!E66</f>
        <v>0</v>
      </c>
      <c r="D27" s="16">
        <f>References!F66</f>
        <v>14.5</v>
      </c>
      <c r="E27" s="14"/>
      <c r="F27" s="14"/>
      <c r="G27" s="14"/>
      <c r="H27" s="14"/>
      <c r="I27" s="14"/>
      <c r="J27" s="14">
        <f t="shared" si="5"/>
        <v>-1</v>
      </c>
    </row>
    <row r="29" spans="1:10" x14ac:dyDescent="0.15">
      <c r="E29" s="12" t="s">
        <v>57</v>
      </c>
    </row>
    <row r="31" spans="1:10" x14ac:dyDescent="0.15">
      <c r="E31" s="12" t="str">
        <f>E3</f>
        <v>Frais de compensation environnementale</v>
      </c>
      <c r="F31" s="12" t="str">
        <f>F3</f>
        <v>Marché Phase 1</v>
      </c>
      <c r="G31" s="12" t="str">
        <f>G3</f>
        <v>Coût de recherche</v>
      </c>
      <c r="H31" s="12" t="str">
        <f>H3</f>
        <v>Succès si recherche</v>
      </c>
      <c r="I31" s="12" t="str">
        <f>I3</f>
        <v>Marché Phase 2</v>
      </c>
      <c r="J31" s="12" t="str">
        <f>A47</f>
        <v>Part du marché Phase 2</v>
      </c>
    </row>
    <row r="32" spans="1:10" x14ac:dyDescent="0.15">
      <c r="A32" s="12" t="str">
        <f>A4</f>
        <v>Frais de compensation environnementale</v>
      </c>
      <c r="B32" s="12">
        <f>ABS(D32-D34)</f>
        <v>0</v>
      </c>
      <c r="C32" s="12">
        <f>RANK(B32,$B$32:$B$47,1)</f>
        <v>1</v>
      </c>
      <c r="D32" s="19">
        <f>D5</f>
        <v>0</v>
      </c>
      <c r="E32" s="12">
        <f>C32</f>
        <v>1</v>
      </c>
    </row>
    <row r="33" spans="1:10" x14ac:dyDescent="0.15">
      <c r="D33" s="19">
        <f>D6</f>
        <v>0</v>
      </c>
      <c r="E33" s="12">
        <f>E32</f>
        <v>1</v>
      </c>
    </row>
    <row r="34" spans="1:10" x14ac:dyDescent="0.15">
      <c r="D34" s="19">
        <f>D7</f>
        <v>0</v>
      </c>
      <c r="E34" s="12">
        <f>E33</f>
        <v>1</v>
      </c>
    </row>
    <row r="35" spans="1:10" x14ac:dyDescent="0.15">
      <c r="A35" s="12" t="str">
        <f>A8</f>
        <v>Marché Phase 1</v>
      </c>
      <c r="B35" s="12">
        <f>ABS(D35-D37)</f>
        <v>1</v>
      </c>
      <c r="C35" s="12">
        <f>RANK(B35,$B$32:$B$47,1)</f>
        <v>3</v>
      </c>
      <c r="D35" s="19">
        <f>D9</f>
        <v>14.75</v>
      </c>
      <c r="F35" s="12">
        <f>C35</f>
        <v>3</v>
      </c>
    </row>
    <row r="36" spans="1:10" x14ac:dyDescent="0.15">
      <c r="D36" s="19">
        <f>D10</f>
        <v>14.5</v>
      </c>
      <c r="F36" s="12">
        <f>F35</f>
        <v>3</v>
      </c>
    </row>
    <row r="37" spans="1:10" x14ac:dyDescent="0.15">
      <c r="D37" s="19">
        <f>D11</f>
        <v>13.75</v>
      </c>
      <c r="F37" s="12">
        <f>F36</f>
        <v>3</v>
      </c>
    </row>
    <row r="38" spans="1:10" x14ac:dyDescent="0.15">
      <c r="A38" s="12" t="str">
        <f>A12</f>
        <v>Coût de recherche</v>
      </c>
      <c r="B38" s="12">
        <f>ABS(D38-D40)</f>
        <v>6</v>
      </c>
      <c r="C38" s="12">
        <f>RANK(B38,$B$32:$B$47,1)</f>
        <v>4</v>
      </c>
      <c r="D38" s="19">
        <f>D13</f>
        <v>10.5</v>
      </c>
      <c r="G38" s="12">
        <f>C38</f>
        <v>4</v>
      </c>
    </row>
    <row r="39" spans="1:10" x14ac:dyDescent="0.15">
      <c r="D39" s="19">
        <f>D14</f>
        <v>14.5</v>
      </c>
      <c r="G39" s="12">
        <f>G38</f>
        <v>4</v>
      </c>
    </row>
    <row r="40" spans="1:10" x14ac:dyDescent="0.15">
      <c r="D40" s="19">
        <f>D15</f>
        <v>16.5</v>
      </c>
      <c r="G40" s="12">
        <f>G38</f>
        <v>4</v>
      </c>
    </row>
    <row r="41" spans="1:10" x14ac:dyDescent="0.15">
      <c r="A41" s="12" t="str">
        <f>A16</f>
        <v>Succès si recherche</v>
      </c>
      <c r="B41" s="12">
        <f>ABS(D41-D43)</f>
        <v>23.8</v>
      </c>
      <c r="C41" s="12">
        <f>RANK(B41,$B$32:$B$47,1)</f>
        <v>6</v>
      </c>
      <c r="D41" s="19">
        <f>D17</f>
        <v>14.5</v>
      </c>
      <c r="H41" s="12">
        <f>C41</f>
        <v>6</v>
      </c>
    </row>
    <row r="42" spans="1:10" x14ac:dyDescent="0.15">
      <c r="D42" s="19">
        <f>D18</f>
        <v>14.5</v>
      </c>
      <c r="H42" s="12">
        <f>H41</f>
        <v>6</v>
      </c>
    </row>
    <row r="43" spans="1:10" x14ac:dyDescent="0.15">
      <c r="D43" s="19">
        <f>D19</f>
        <v>-9.3000000000000007</v>
      </c>
      <c r="H43" s="12">
        <f>H42</f>
        <v>6</v>
      </c>
    </row>
    <row r="44" spans="1:10" x14ac:dyDescent="0.15">
      <c r="A44" s="12" t="str">
        <f>A20</f>
        <v>Marché Phase 2</v>
      </c>
      <c r="B44" s="12">
        <f>ABS(D44-D46)</f>
        <v>10</v>
      </c>
      <c r="C44" s="12">
        <f>RANK(B44,$B$32:$B$47,1)</f>
        <v>5</v>
      </c>
      <c r="D44" s="19">
        <f>D21</f>
        <v>16.5</v>
      </c>
      <c r="I44" s="12">
        <f>C44</f>
        <v>5</v>
      </c>
    </row>
    <row r="45" spans="1:10" x14ac:dyDescent="0.15">
      <c r="D45" s="19">
        <f>D22</f>
        <v>14.5</v>
      </c>
      <c r="I45" s="12">
        <f>I44</f>
        <v>5</v>
      </c>
    </row>
    <row r="46" spans="1:10" x14ac:dyDescent="0.15">
      <c r="D46" s="19">
        <f>D23</f>
        <v>6.5</v>
      </c>
      <c r="I46" s="12">
        <f>I44</f>
        <v>5</v>
      </c>
    </row>
    <row r="47" spans="1:10" x14ac:dyDescent="0.15">
      <c r="A47" s="12" t="str">
        <f>A24</f>
        <v>Part du marché Phase 2</v>
      </c>
      <c r="B47" s="12">
        <f>ABS(D47-D49)</f>
        <v>0</v>
      </c>
      <c r="C47" s="12">
        <f>RANK(B47,$B$32:$B$47,1)</f>
        <v>1</v>
      </c>
      <c r="D47" s="19">
        <f>D25</f>
        <v>14.5</v>
      </c>
      <c r="J47" s="12">
        <f>C47</f>
        <v>1</v>
      </c>
    </row>
    <row r="48" spans="1:10" x14ac:dyDescent="0.15">
      <c r="D48" s="19">
        <f t="shared" ref="D48:D49" si="6">D26</f>
        <v>14.5</v>
      </c>
      <c r="J48" s="12">
        <f>J47</f>
        <v>1</v>
      </c>
    </row>
    <row r="49" spans="4:10" x14ac:dyDescent="0.15">
      <c r="D49" s="19">
        <f t="shared" si="6"/>
        <v>14.5</v>
      </c>
      <c r="J49" s="12">
        <f>J48</f>
        <v>1</v>
      </c>
    </row>
  </sheetData>
  <pageMargins left="0.78740157499999996" right="0.78740157499999996" top="0.984251969" bottom="0.984251969" header="0.4921259845" footer="0.4921259845"/>
  <pageSetup paperSize="9" scale="68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5:I19"/>
  <sheetViews>
    <sheetView zoomScale="115" zoomScaleNormal="115" zoomScalePageLayoutView="115" workbookViewId="0"/>
  </sheetViews>
  <sheetFormatPr baseColWidth="10" defaultColWidth="11.5" defaultRowHeight="13" x14ac:dyDescent="0.15"/>
  <cols>
    <col min="1" max="16384" width="11.5" style="12"/>
  </cols>
  <sheetData>
    <row r="5" spans="1:9" x14ac:dyDescent="0.15">
      <c r="A5" s="16" t="s">
        <v>48</v>
      </c>
      <c r="B5" s="16"/>
      <c r="C5" s="16"/>
      <c r="D5" s="16"/>
      <c r="E5" s="16"/>
      <c r="F5" s="16"/>
      <c r="G5" s="16"/>
      <c r="H5" s="16"/>
      <c r="I5" s="16"/>
    </row>
    <row r="6" spans="1:9" x14ac:dyDescent="0.15">
      <c r="A6" s="16"/>
      <c r="B6" s="20" t="s">
        <v>25</v>
      </c>
      <c r="C6" s="16">
        <f>References!D70</f>
        <v>0</v>
      </c>
      <c r="D6" s="57" t="s">
        <v>59</v>
      </c>
      <c r="E6" s="16">
        <v>10</v>
      </c>
      <c r="F6" s="16"/>
      <c r="G6" s="16"/>
      <c r="H6" s="16"/>
      <c r="I6" s="16"/>
    </row>
    <row r="7" spans="1:9" x14ac:dyDescent="0.15">
      <c r="A7" s="16"/>
      <c r="B7" s="20" t="s">
        <v>26</v>
      </c>
      <c r="C7" s="16">
        <f>References!D71</f>
        <v>1.5</v>
      </c>
      <c r="D7" s="57" t="s">
        <v>55</v>
      </c>
      <c r="E7" s="16">
        <f>(C7-C6)/E6</f>
        <v>0.15</v>
      </c>
      <c r="F7" s="16"/>
      <c r="G7" s="16"/>
      <c r="H7" s="16"/>
      <c r="I7" s="16"/>
    </row>
    <row r="8" spans="1:9" x14ac:dyDescent="0.15">
      <c r="A8" s="16"/>
      <c r="B8" s="16"/>
      <c r="C8" s="16"/>
      <c r="D8" s="21"/>
      <c r="E8" s="21" t="str">
        <f>References!F72</f>
        <v>Rech. + Prod. Phase 1 &amp; 2</v>
      </c>
      <c r="F8" s="21" t="str">
        <f>References!G72</f>
        <v>Rech. + Prod. Phase 2</v>
      </c>
      <c r="G8" s="21" t="str">
        <f>References!H72</f>
        <v>Prod. CFC Phase 1 et 2</v>
      </c>
      <c r="H8" s="21" t="str">
        <f>References!I72</f>
        <v>Prod. CFC Phase 1</v>
      </c>
      <c r="I8" s="21" t="str">
        <f>References!J72</f>
        <v>Arrêter tout</v>
      </c>
    </row>
    <row r="9" spans="1:9" x14ac:dyDescent="0.15">
      <c r="A9" s="16"/>
      <c r="B9" s="16"/>
      <c r="C9" s="16" t="s">
        <v>27</v>
      </c>
      <c r="D9" s="21">
        <f>References!E74</f>
        <v>1.5</v>
      </c>
      <c r="E9" s="21">
        <f>References!F74</f>
        <v>7</v>
      </c>
      <c r="F9" s="21">
        <f>References!G74</f>
        <v>12</v>
      </c>
      <c r="G9" s="21">
        <f>References!H74</f>
        <v>-13.400000000000002</v>
      </c>
      <c r="H9" s="21">
        <f>References!I74</f>
        <v>-5</v>
      </c>
      <c r="I9" s="21">
        <f>References!J74</f>
        <v>0</v>
      </c>
    </row>
    <row r="10" spans="1:9" x14ac:dyDescent="0.15">
      <c r="A10" s="20"/>
      <c r="B10" s="16"/>
      <c r="C10" s="16"/>
      <c r="D10" s="21">
        <f>References!E75</f>
        <v>1.35</v>
      </c>
      <c r="E10" s="21">
        <f>References!F75</f>
        <v>8.5</v>
      </c>
      <c r="F10" s="21">
        <f>References!G75</f>
        <v>12</v>
      </c>
      <c r="G10" s="21">
        <f>References!H75</f>
        <v>-9.3800000000000026</v>
      </c>
      <c r="H10" s="21">
        <f>References!I75</f>
        <v>-3.5</v>
      </c>
      <c r="I10" s="21">
        <f>References!J75</f>
        <v>0</v>
      </c>
    </row>
    <row r="11" spans="1:9" x14ac:dyDescent="0.15">
      <c r="A11" s="16"/>
      <c r="B11" s="16"/>
      <c r="C11" s="16"/>
      <c r="D11" s="21">
        <f>References!E76</f>
        <v>1.2000000000000002</v>
      </c>
      <c r="E11" s="21">
        <f>References!F76</f>
        <v>10</v>
      </c>
      <c r="F11" s="21">
        <f>References!G76</f>
        <v>12</v>
      </c>
      <c r="G11" s="21">
        <f>References!H76</f>
        <v>-5.3600000000000048</v>
      </c>
      <c r="H11" s="21">
        <f>References!I76</f>
        <v>-2.0000000000000018</v>
      </c>
      <c r="I11" s="21">
        <f>References!J76</f>
        <v>0</v>
      </c>
    </row>
    <row r="12" spans="1:9" x14ac:dyDescent="0.15">
      <c r="A12" s="16"/>
      <c r="B12" s="16"/>
      <c r="C12" s="16"/>
      <c r="D12" s="21">
        <f>References!E77</f>
        <v>1.0500000000000003</v>
      </c>
      <c r="E12" s="21">
        <f>References!F77</f>
        <v>11.499999999999996</v>
      </c>
      <c r="F12" s="21">
        <f>References!G77</f>
        <v>12</v>
      </c>
      <c r="G12" s="21">
        <f>References!H77</f>
        <v>-1.340000000000007</v>
      </c>
      <c r="H12" s="21">
        <f>References!I77</f>
        <v>-0.50000000000000355</v>
      </c>
      <c r="I12" s="21">
        <f>References!J77</f>
        <v>0</v>
      </c>
    </row>
    <row r="13" spans="1:9" x14ac:dyDescent="0.15">
      <c r="A13" s="16"/>
      <c r="B13" s="16"/>
      <c r="C13" s="16"/>
      <c r="D13" s="21">
        <f>References!E78</f>
        <v>0.90000000000000024</v>
      </c>
      <c r="E13" s="21">
        <f>References!F78</f>
        <v>12.999999999999998</v>
      </c>
      <c r="F13" s="21">
        <f>References!G78</f>
        <v>12</v>
      </c>
      <c r="G13" s="21">
        <f>References!H78</f>
        <v>2.6799999999999944</v>
      </c>
      <c r="H13" s="21">
        <f>References!I78</f>
        <v>0.99999999999999822</v>
      </c>
      <c r="I13" s="21">
        <f>References!J78</f>
        <v>0</v>
      </c>
    </row>
    <row r="14" spans="1:9" x14ac:dyDescent="0.15">
      <c r="A14" s="16"/>
      <c r="B14" s="16"/>
      <c r="C14" s="16"/>
      <c r="D14" s="21">
        <f>References!E79</f>
        <v>0.75000000000000022</v>
      </c>
      <c r="E14" s="21">
        <f>References!F79</f>
        <v>14.499999999999998</v>
      </c>
      <c r="F14" s="21">
        <f>References!G79</f>
        <v>12</v>
      </c>
      <c r="G14" s="21">
        <f>References!H79</f>
        <v>6.699999999999994</v>
      </c>
      <c r="H14" s="21">
        <f>References!I79</f>
        <v>2.4999999999999982</v>
      </c>
      <c r="I14" s="21">
        <f>References!J79</f>
        <v>0</v>
      </c>
    </row>
    <row r="15" spans="1:9" x14ac:dyDescent="0.15">
      <c r="A15" s="16"/>
      <c r="B15" s="16"/>
      <c r="C15" s="16"/>
      <c r="D15" s="21">
        <f>References!E80</f>
        <v>0.6000000000000002</v>
      </c>
      <c r="E15" s="21">
        <f>References!F80</f>
        <v>15.999999999999998</v>
      </c>
      <c r="F15" s="21">
        <f>References!G80</f>
        <v>12</v>
      </c>
      <c r="G15" s="21">
        <f>References!H80</f>
        <v>10.719999999999995</v>
      </c>
      <c r="H15" s="21">
        <f>References!I80</f>
        <v>3.9999999999999982</v>
      </c>
      <c r="I15" s="21">
        <f>References!J80</f>
        <v>0</v>
      </c>
    </row>
    <row r="16" spans="1:9" x14ac:dyDescent="0.15">
      <c r="A16" s="16"/>
      <c r="B16" s="16"/>
      <c r="C16" s="16"/>
      <c r="D16" s="21">
        <f>References!E81</f>
        <v>0.45000000000000018</v>
      </c>
      <c r="E16" s="21">
        <f>References!F81</f>
        <v>17.5</v>
      </c>
      <c r="F16" s="21">
        <f>References!G81</f>
        <v>12</v>
      </c>
      <c r="G16" s="21">
        <f>References!H81</f>
        <v>14.739999999999997</v>
      </c>
      <c r="H16" s="21">
        <f>References!I81</f>
        <v>5.4999999999999982</v>
      </c>
      <c r="I16" s="21">
        <f>References!J81</f>
        <v>0</v>
      </c>
    </row>
    <row r="17" spans="1:9" x14ac:dyDescent="0.15">
      <c r="A17" s="16"/>
      <c r="B17" s="16"/>
      <c r="C17" s="16"/>
      <c r="D17" s="21">
        <f>References!E82</f>
        <v>0.30000000000000016</v>
      </c>
      <c r="E17" s="21">
        <f>References!F82</f>
        <v>19</v>
      </c>
      <c r="F17" s="21">
        <f>References!G82</f>
        <v>12</v>
      </c>
      <c r="G17" s="21">
        <f>References!H82</f>
        <v>18.759999999999998</v>
      </c>
      <c r="H17" s="21">
        <f>References!I82</f>
        <v>6.9999999999999982</v>
      </c>
      <c r="I17" s="21">
        <f>References!J82</f>
        <v>0</v>
      </c>
    </row>
    <row r="18" spans="1:9" x14ac:dyDescent="0.15">
      <c r="A18" s="16"/>
      <c r="B18" s="16"/>
      <c r="C18" s="16"/>
      <c r="D18" s="21">
        <f>References!E83</f>
        <v>0.15000000000000016</v>
      </c>
      <c r="E18" s="21">
        <f>References!F83</f>
        <v>20.5</v>
      </c>
      <c r="F18" s="21">
        <f>References!G83</f>
        <v>12</v>
      </c>
      <c r="G18" s="21">
        <f>References!H83</f>
        <v>22.779999999999994</v>
      </c>
      <c r="H18" s="21">
        <f>References!I83</f>
        <v>8.4999999999999982</v>
      </c>
      <c r="I18" s="21">
        <f>References!J83</f>
        <v>0</v>
      </c>
    </row>
    <row r="19" spans="1:9" x14ac:dyDescent="0.15">
      <c r="A19" s="16"/>
      <c r="B19" s="20"/>
      <c r="C19" s="16" t="s">
        <v>28</v>
      </c>
      <c r="D19" s="21">
        <f>References!E84</f>
        <v>0</v>
      </c>
      <c r="E19" s="21">
        <f>References!F84</f>
        <v>22</v>
      </c>
      <c r="F19" s="21">
        <f>References!G84</f>
        <v>12</v>
      </c>
      <c r="G19" s="21">
        <f>References!H84</f>
        <v>26.8</v>
      </c>
      <c r="H19" s="21">
        <f>References!I84</f>
        <v>10</v>
      </c>
      <c r="I19" s="21">
        <f>References!J84</f>
        <v>0</v>
      </c>
    </row>
  </sheetData>
  <pageMargins left="0.7" right="0.7" top="0.75" bottom="0.75" header="0.3" footer="0.3"/>
  <pageSetup scale="8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99"/>
  <sheetViews>
    <sheetView zoomScale="130" zoomScaleNormal="130" zoomScalePageLayoutView="130" workbookViewId="0"/>
  </sheetViews>
  <sheetFormatPr baseColWidth="10" defaultColWidth="9.1640625" defaultRowHeight="13" x14ac:dyDescent="0.15"/>
  <cols>
    <col min="1" max="3" width="9.1640625" style="12"/>
    <col min="4" max="4" width="9.1640625" style="12" customWidth="1"/>
    <col min="5" max="16384" width="9.1640625" style="12"/>
  </cols>
  <sheetData>
    <row r="1" spans="1:15" x14ac:dyDescent="0.15">
      <c r="A1" s="12" t="s">
        <v>52</v>
      </c>
    </row>
    <row r="2" spans="1:15" x14ac:dyDescent="0.15">
      <c r="A2" s="12" t="str">
        <f>References!B87</f>
        <v>Rech. + Prod. Phase 1 &amp; 2</v>
      </c>
      <c r="E2" s="12" t="s">
        <v>48</v>
      </c>
    </row>
    <row r="3" spans="1:15" x14ac:dyDescent="0.15">
      <c r="A3" s="22"/>
      <c r="D3" s="23" t="s">
        <v>60</v>
      </c>
      <c r="E3" s="24">
        <f>References!F88</f>
        <v>1.5</v>
      </c>
      <c r="F3" s="24">
        <f>References!G88</f>
        <v>1.35</v>
      </c>
      <c r="G3" s="24">
        <f>References!H88</f>
        <v>1.2000000000000002</v>
      </c>
      <c r="H3" s="24">
        <f>References!I88</f>
        <v>1.0500000000000003</v>
      </c>
      <c r="I3" s="24">
        <f>References!J88</f>
        <v>0.90000000000000024</v>
      </c>
      <c r="J3" s="24">
        <f>References!K88</f>
        <v>0.75000000000000022</v>
      </c>
      <c r="K3" s="24">
        <f>References!L88</f>
        <v>0.6000000000000002</v>
      </c>
      <c r="L3" s="24">
        <f>References!M88</f>
        <v>0.45000000000000018</v>
      </c>
      <c r="M3" s="24">
        <f>References!N88</f>
        <v>0.30000000000000016</v>
      </c>
      <c r="N3" s="24">
        <f>References!O88</f>
        <v>0.15000000000000016</v>
      </c>
      <c r="O3" s="24">
        <f>References!P88</f>
        <v>0</v>
      </c>
    </row>
    <row r="4" spans="1:15" ht="15" x14ac:dyDescent="0.2">
      <c r="C4" s="58" t="s">
        <v>33</v>
      </c>
      <c r="D4" s="25">
        <f>References!E89</f>
        <v>0</v>
      </c>
      <c r="E4" s="24">
        <f>References!F89</f>
        <v>0</v>
      </c>
      <c r="F4" s="24">
        <f>References!G89</f>
        <v>0</v>
      </c>
      <c r="G4" s="24">
        <f>References!H89</f>
        <v>0</v>
      </c>
      <c r="H4" s="24">
        <f>References!I89</f>
        <v>0</v>
      </c>
      <c r="I4" s="24">
        <f>References!J89</f>
        <v>0</v>
      </c>
      <c r="J4" s="24">
        <f>References!K89</f>
        <v>0</v>
      </c>
      <c r="K4" s="24">
        <f>References!L89</f>
        <v>0</v>
      </c>
      <c r="L4" s="24">
        <f>References!M89</f>
        <v>0</v>
      </c>
      <c r="M4" s="24">
        <f>References!N89</f>
        <v>0</v>
      </c>
      <c r="N4" s="24">
        <f>References!O89</f>
        <v>0</v>
      </c>
      <c r="O4" s="24">
        <f>References!P89</f>
        <v>0</v>
      </c>
    </row>
    <row r="5" spans="1:15" ht="15" x14ac:dyDescent="0.2">
      <c r="D5" s="25">
        <f>References!E90</f>
        <v>0.1</v>
      </c>
      <c r="E5" s="24">
        <f>References!F90</f>
        <v>0</v>
      </c>
      <c r="F5" s="24">
        <f>References!G90</f>
        <v>0</v>
      </c>
      <c r="G5" s="24">
        <f>References!H90</f>
        <v>0</v>
      </c>
      <c r="H5" s="24">
        <f>References!I90</f>
        <v>0</v>
      </c>
      <c r="I5" s="24">
        <f>References!J90</f>
        <v>0</v>
      </c>
      <c r="J5" s="24">
        <f>References!K90</f>
        <v>0</v>
      </c>
      <c r="K5" s="24">
        <f>References!L90</f>
        <v>0</v>
      </c>
      <c r="L5" s="24">
        <f>References!M90</f>
        <v>0</v>
      </c>
      <c r="M5" s="24">
        <f>References!N90</f>
        <v>0</v>
      </c>
      <c r="N5" s="24">
        <f>References!O90</f>
        <v>0</v>
      </c>
      <c r="O5" s="24">
        <f>References!P90</f>
        <v>0</v>
      </c>
    </row>
    <row r="6" spans="1:15" ht="15" x14ac:dyDescent="0.2">
      <c r="D6" s="25">
        <f>References!E91</f>
        <v>0.2</v>
      </c>
      <c r="E6" s="24">
        <f>References!F91</f>
        <v>0</v>
      </c>
      <c r="F6" s="24">
        <f>References!G91</f>
        <v>0</v>
      </c>
      <c r="G6" s="24">
        <f>References!H91</f>
        <v>0</v>
      </c>
      <c r="H6" s="24">
        <f>References!I91</f>
        <v>0</v>
      </c>
      <c r="I6" s="24">
        <f>References!J91</f>
        <v>0</v>
      </c>
      <c r="J6" s="24">
        <f>References!K91</f>
        <v>0</v>
      </c>
      <c r="K6" s="24">
        <f>References!L91</f>
        <v>0</v>
      </c>
      <c r="L6" s="24">
        <f>References!M91</f>
        <v>0</v>
      </c>
      <c r="M6" s="24">
        <f>References!N91</f>
        <v>0</v>
      </c>
      <c r="N6" s="24">
        <f>References!O91</f>
        <v>0</v>
      </c>
      <c r="O6" s="24">
        <f>References!P91</f>
        <v>0</v>
      </c>
    </row>
    <row r="7" spans="1:15" ht="15" x14ac:dyDescent="0.2">
      <c r="D7" s="25">
        <f>References!E92</f>
        <v>0.30000000000000004</v>
      </c>
      <c r="E7" s="24">
        <f>References!F92</f>
        <v>0</v>
      </c>
      <c r="F7" s="24">
        <f>References!G92</f>
        <v>0</v>
      </c>
      <c r="G7" s="24">
        <f>References!H92</f>
        <v>0</v>
      </c>
      <c r="H7" s="24">
        <f>References!I92</f>
        <v>0</v>
      </c>
      <c r="I7" s="24">
        <f>References!J92</f>
        <v>0</v>
      </c>
      <c r="J7" s="24">
        <f>References!K92</f>
        <v>0</v>
      </c>
      <c r="K7" s="24">
        <f>References!L92</f>
        <v>0</v>
      </c>
      <c r="L7" s="24">
        <f>References!M92</f>
        <v>0</v>
      </c>
      <c r="M7" s="24">
        <f>References!N92</f>
        <v>0</v>
      </c>
      <c r="N7" s="24">
        <f>References!O92</f>
        <v>0</v>
      </c>
      <c r="O7" s="24">
        <f>References!P92</f>
        <v>0</v>
      </c>
    </row>
    <row r="8" spans="1:15" ht="15" x14ac:dyDescent="0.2">
      <c r="D8" s="25">
        <f>References!E93</f>
        <v>0.4</v>
      </c>
      <c r="E8" s="24">
        <f>References!F93</f>
        <v>0</v>
      </c>
      <c r="F8" s="24">
        <f>References!G93</f>
        <v>0</v>
      </c>
      <c r="G8" s="24">
        <f>References!H93</f>
        <v>0</v>
      </c>
      <c r="H8" s="24">
        <f>References!I93</f>
        <v>0</v>
      </c>
      <c r="I8" s="24">
        <f>References!J93</f>
        <v>0</v>
      </c>
      <c r="J8" s="24">
        <f>References!K93</f>
        <v>0</v>
      </c>
      <c r="K8" s="24">
        <f>References!L93</f>
        <v>0</v>
      </c>
      <c r="L8" s="24">
        <f>References!M93</f>
        <v>0</v>
      </c>
      <c r="M8" s="24">
        <f>References!N93</f>
        <v>0</v>
      </c>
      <c r="N8" s="24">
        <f>References!O93</f>
        <v>0</v>
      </c>
      <c r="O8" s="24">
        <f>References!P93</f>
        <v>0</v>
      </c>
    </row>
    <row r="9" spans="1:15" ht="15" x14ac:dyDescent="0.2">
      <c r="D9" s="25">
        <f>References!E94</f>
        <v>0.5</v>
      </c>
      <c r="E9" s="24">
        <f>References!F94</f>
        <v>0</v>
      </c>
      <c r="F9" s="24">
        <f>References!G94</f>
        <v>0</v>
      </c>
      <c r="G9" s="24">
        <f>References!H94</f>
        <v>0</v>
      </c>
      <c r="H9" s="24">
        <f>References!I94</f>
        <v>0</v>
      </c>
      <c r="I9" s="24">
        <f>References!J94</f>
        <v>0</v>
      </c>
      <c r="J9" s="24">
        <f>References!K94</f>
        <v>0</v>
      </c>
      <c r="K9" s="24">
        <f>References!L94</f>
        <v>0</v>
      </c>
      <c r="L9" s="24">
        <f>References!M94</f>
        <v>0</v>
      </c>
      <c r="M9" s="24">
        <f>References!N94</f>
        <v>0</v>
      </c>
      <c r="N9" s="24">
        <f>References!O94</f>
        <v>0</v>
      </c>
      <c r="O9" s="24">
        <f>References!P94</f>
        <v>0</v>
      </c>
    </row>
    <row r="10" spans="1:15" ht="15" x14ac:dyDescent="0.2">
      <c r="D10" s="25">
        <f>References!E95</f>
        <v>0.6</v>
      </c>
      <c r="E10" s="24">
        <f>References!F95</f>
        <v>0</v>
      </c>
      <c r="F10" s="24">
        <f>References!G95</f>
        <v>0</v>
      </c>
      <c r="G10" s="24">
        <f>References!H95</f>
        <v>0</v>
      </c>
      <c r="H10" s="24">
        <f>References!I95</f>
        <v>0</v>
      </c>
      <c r="I10" s="24">
        <f>References!J95</f>
        <v>0</v>
      </c>
      <c r="J10" s="24">
        <f>References!K95</f>
        <v>0</v>
      </c>
      <c r="K10" s="24">
        <f>References!L95</f>
        <v>0</v>
      </c>
      <c r="L10" s="24">
        <f>References!M95</f>
        <v>0</v>
      </c>
      <c r="M10" s="24">
        <f>References!N95</f>
        <v>0</v>
      </c>
      <c r="N10" s="24">
        <f>References!O95</f>
        <v>0</v>
      </c>
      <c r="O10" s="24">
        <f>References!P95</f>
        <v>0</v>
      </c>
    </row>
    <row r="11" spans="1:15" ht="15" x14ac:dyDescent="0.2">
      <c r="D11" s="25">
        <f>References!E96</f>
        <v>0.7</v>
      </c>
      <c r="E11" s="24">
        <f>References!F96</f>
        <v>0</v>
      </c>
      <c r="F11" s="24">
        <f>References!G96</f>
        <v>0</v>
      </c>
      <c r="G11" s="24">
        <f>References!H96</f>
        <v>0</v>
      </c>
      <c r="H11" s="24">
        <f>References!I96</f>
        <v>0</v>
      </c>
      <c r="I11" s="24">
        <f>References!J96</f>
        <v>0</v>
      </c>
      <c r="J11" s="24">
        <f>References!K96</f>
        <v>0</v>
      </c>
      <c r="K11" s="24">
        <f>References!L96</f>
        <v>0</v>
      </c>
      <c r="L11" s="24">
        <f>References!M96</f>
        <v>0</v>
      </c>
      <c r="M11" s="24">
        <f>References!N96</f>
        <v>0</v>
      </c>
      <c r="N11" s="24">
        <f>References!O96</f>
        <v>0</v>
      </c>
      <c r="O11" s="24">
        <f>References!P96</f>
        <v>0</v>
      </c>
    </row>
    <row r="12" spans="1:15" ht="15" x14ac:dyDescent="0.2">
      <c r="D12" s="25">
        <f>References!E97</f>
        <v>0.79999999999999993</v>
      </c>
      <c r="E12" s="24">
        <f>References!F97</f>
        <v>0</v>
      </c>
      <c r="F12" s="24">
        <f>References!G97</f>
        <v>0</v>
      </c>
      <c r="G12" s="24">
        <f>References!H97</f>
        <v>0</v>
      </c>
      <c r="H12" s="24">
        <f>References!I97</f>
        <v>0</v>
      </c>
      <c r="I12" s="24">
        <f>References!J97</f>
        <v>0</v>
      </c>
      <c r="J12" s="24">
        <f>References!K97</f>
        <v>0</v>
      </c>
      <c r="K12" s="24">
        <f>References!L97</f>
        <v>0</v>
      </c>
      <c r="L12" s="24">
        <f>References!M97</f>
        <v>0</v>
      </c>
      <c r="M12" s="24">
        <f>References!N97</f>
        <v>0</v>
      </c>
      <c r="N12" s="24">
        <f>References!O97</f>
        <v>0</v>
      </c>
      <c r="O12" s="24">
        <f>References!P97</f>
        <v>0</v>
      </c>
    </row>
    <row r="13" spans="1:15" ht="15" x14ac:dyDescent="0.2">
      <c r="D13" s="25">
        <f>References!E98</f>
        <v>0.89999999999999991</v>
      </c>
      <c r="E13" s="24">
        <f>References!F98</f>
        <v>0</v>
      </c>
      <c r="F13" s="24">
        <f>References!G98</f>
        <v>0</v>
      </c>
      <c r="G13" s="24">
        <f>References!H98</f>
        <v>0</v>
      </c>
      <c r="H13" s="24">
        <f>References!I98</f>
        <v>0</v>
      </c>
      <c r="I13" s="24">
        <f>References!J98</f>
        <v>0</v>
      </c>
      <c r="J13" s="24">
        <f>References!K98</f>
        <v>0</v>
      </c>
      <c r="K13" s="24">
        <f>References!L98</f>
        <v>0</v>
      </c>
      <c r="L13" s="24">
        <f>References!M98</f>
        <v>0</v>
      </c>
      <c r="M13" s="24">
        <f>References!N98</f>
        <v>0</v>
      </c>
      <c r="N13" s="24">
        <f>References!O98</f>
        <v>0</v>
      </c>
      <c r="O13" s="24">
        <f>References!P98</f>
        <v>0</v>
      </c>
    </row>
    <row r="14" spans="1:15" ht="15" x14ac:dyDescent="0.2">
      <c r="D14" s="25">
        <f>References!E99</f>
        <v>0.99999999999999989</v>
      </c>
      <c r="E14" s="24">
        <f>References!F99</f>
        <v>0</v>
      </c>
      <c r="F14" s="24">
        <f>References!G99</f>
        <v>0</v>
      </c>
      <c r="G14" s="24">
        <f>References!H99</f>
        <v>0</v>
      </c>
      <c r="H14" s="24">
        <f>References!I99</f>
        <v>0</v>
      </c>
      <c r="I14" s="24">
        <f>References!J99</f>
        <v>0</v>
      </c>
      <c r="J14" s="24">
        <f>References!K99</f>
        <v>0</v>
      </c>
      <c r="K14" s="24">
        <f>References!L99</f>
        <v>0</v>
      </c>
      <c r="L14" s="24">
        <f>References!M99</f>
        <v>0</v>
      </c>
      <c r="M14" s="24">
        <f>References!N99</f>
        <v>0</v>
      </c>
      <c r="N14" s="24">
        <f>References!O99</f>
        <v>0</v>
      </c>
      <c r="O14" s="24">
        <f>References!P99</f>
        <v>0</v>
      </c>
    </row>
    <row r="16" spans="1:15" x14ac:dyDescent="0.15">
      <c r="A16" s="12" t="str">
        <f>References!B101</f>
        <v>Rech. + Prod. Phase 2</v>
      </c>
      <c r="D16" s="22"/>
      <c r="F16" s="22"/>
    </row>
    <row r="17" spans="1:15" x14ac:dyDescent="0.15">
      <c r="D17" s="23" t="s">
        <v>60</v>
      </c>
      <c r="E17" s="24">
        <f>References!F102</f>
        <v>1.5</v>
      </c>
      <c r="F17" s="24">
        <f>References!G102</f>
        <v>1.35</v>
      </c>
      <c r="G17" s="24">
        <f>References!H102</f>
        <v>1.2000000000000002</v>
      </c>
      <c r="H17" s="24">
        <f>References!I102</f>
        <v>1.0500000000000003</v>
      </c>
      <c r="I17" s="24">
        <f>References!J102</f>
        <v>0.90000000000000024</v>
      </c>
      <c r="J17" s="24">
        <f>References!K102</f>
        <v>0.75000000000000022</v>
      </c>
      <c r="K17" s="24">
        <f>References!L102</f>
        <v>0.6000000000000002</v>
      </c>
      <c r="L17" s="24">
        <f>References!M102</f>
        <v>0.45000000000000018</v>
      </c>
      <c r="M17" s="24">
        <f>References!N102</f>
        <v>0.30000000000000016</v>
      </c>
      <c r="N17" s="24">
        <f>References!O102</f>
        <v>0.15000000000000016</v>
      </c>
      <c r="O17" s="24">
        <f>References!P102</f>
        <v>0</v>
      </c>
    </row>
    <row r="18" spans="1:15" ht="15" x14ac:dyDescent="0.2">
      <c r="D18" s="25">
        <f>References!E103</f>
        <v>0</v>
      </c>
      <c r="E18" s="24">
        <f>References!F103</f>
        <v>12</v>
      </c>
      <c r="F18" s="24">
        <f>References!G103</f>
        <v>12</v>
      </c>
      <c r="G18" s="24">
        <f>References!H103</f>
        <v>12</v>
      </c>
      <c r="H18" s="24">
        <f>References!I103</f>
        <v>12</v>
      </c>
      <c r="I18" s="24">
        <f>References!J103</f>
        <v>12</v>
      </c>
      <c r="J18" s="24">
        <f>References!K103</f>
        <v>12</v>
      </c>
      <c r="K18" s="24">
        <f>References!L103</f>
        <v>12</v>
      </c>
      <c r="L18" s="24">
        <f>References!M103</f>
        <v>12</v>
      </c>
      <c r="M18" s="24">
        <f>References!N103</f>
        <v>12</v>
      </c>
      <c r="N18" s="24">
        <f>References!O103</f>
        <v>12</v>
      </c>
      <c r="O18" s="24">
        <f>References!P103</f>
        <v>12</v>
      </c>
    </row>
    <row r="19" spans="1:15" ht="15" x14ac:dyDescent="0.2">
      <c r="D19" s="25">
        <f>References!E104</f>
        <v>0.1</v>
      </c>
      <c r="E19" s="24">
        <f>References!F104</f>
        <v>12</v>
      </c>
      <c r="F19" s="24">
        <f>References!G104</f>
        <v>12</v>
      </c>
      <c r="G19" s="24">
        <f>References!H104</f>
        <v>12</v>
      </c>
      <c r="H19" s="24">
        <f>References!I104</f>
        <v>12</v>
      </c>
      <c r="I19" s="24">
        <f>References!J104</f>
        <v>12</v>
      </c>
      <c r="J19" s="24">
        <f>References!K104</f>
        <v>12</v>
      </c>
      <c r="K19" s="24">
        <f>References!L104</f>
        <v>12</v>
      </c>
      <c r="L19" s="24">
        <f>References!M104</f>
        <v>12</v>
      </c>
      <c r="M19" s="24">
        <f>References!N104</f>
        <v>12</v>
      </c>
      <c r="N19" s="24">
        <f>References!O104</f>
        <v>12</v>
      </c>
      <c r="O19" s="24">
        <f>References!P104</f>
        <v>12</v>
      </c>
    </row>
    <row r="20" spans="1:15" ht="15" x14ac:dyDescent="0.2">
      <c r="D20" s="25">
        <f>References!E105</f>
        <v>0.2</v>
      </c>
      <c r="E20" s="24">
        <f>References!F105</f>
        <v>12</v>
      </c>
      <c r="F20" s="24">
        <f>References!G105</f>
        <v>12</v>
      </c>
      <c r="G20" s="24">
        <f>References!H105</f>
        <v>12</v>
      </c>
      <c r="H20" s="24">
        <f>References!I105</f>
        <v>12</v>
      </c>
      <c r="I20" s="24">
        <f>References!J105</f>
        <v>12</v>
      </c>
      <c r="J20" s="24">
        <f>References!K105</f>
        <v>12</v>
      </c>
      <c r="K20" s="24">
        <f>References!L105</f>
        <v>12</v>
      </c>
      <c r="L20" s="24">
        <f>References!M105</f>
        <v>12</v>
      </c>
      <c r="M20" s="24">
        <f>References!N105</f>
        <v>12</v>
      </c>
      <c r="N20" s="24">
        <f>References!O105</f>
        <v>12</v>
      </c>
      <c r="O20" s="24">
        <f>References!P105</f>
        <v>12</v>
      </c>
    </row>
    <row r="21" spans="1:15" ht="15" x14ac:dyDescent="0.2">
      <c r="D21" s="25">
        <f>References!E106</f>
        <v>0.30000000000000004</v>
      </c>
      <c r="E21" s="24">
        <f>References!F106</f>
        <v>12</v>
      </c>
      <c r="F21" s="24">
        <f>References!G106</f>
        <v>12</v>
      </c>
      <c r="G21" s="24">
        <f>References!H106</f>
        <v>12</v>
      </c>
      <c r="H21" s="24">
        <f>References!I106</f>
        <v>12</v>
      </c>
      <c r="I21" s="24">
        <f>References!J106</f>
        <v>12</v>
      </c>
      <c r="J21" s="24">
        <f>References!K106</f>
        <v>12</v>
      </c>
      <c r="K21" s="24">
        <f>References!L106</f>
        <v>12</v>
      </c>
      <c r="L21" s="24">
        <f>References!M106</f>
        <v>12</v>
      </c>
      <c r="M21" s="24">
        <f>References!N106</f>
        <v>12</v>
      </c>
      <c r="N21" s="24">
        <f>References!O106</f>
        <v>12</v>
      </c>
      <c r="O21" s="24">
        <f>References!P106</f>
        <v>12</v>
      </c>
    </row>
    <row r="22" spans="1:15" ht="15" x14ac:dyDescent="0.2">
      <c r="D22" s="25">
        <f>References!E107</f>
        <v>0.4</v>
      </c>
      <c r="E22" s="24">
        <f>References!F107</f>
        <v>12</v>
      </c>
      <c r="F22" s="24">
        <f>References!G107</f>
        <v>12</v>
      </c>
      <c r="G22" s="24">
        <f>References!H107</f>
        <v>12</v>
      </c>
      <c r="H22" s="24">
        <f>References!I107</f>
        <v>12</v>
      </c>
      <c r="I22" s="24">
        <f>References!J107</f>
        <v>12</v>
      </c>
      <c r="J22" s="24">
        <f>References!K107</f>
        <v>12</v>
      </c>
      <c r="K22" s="24">
        <f>References!L107</f>
        <v>12</v>
      </c>
      <c r="L22" s="24">
        <f>References!M107</f>
        <v>12</v>
      </c>
      <c r="M22" s="24">
        <f>References!N107</f>
        <v>12</v>
      </c>
      <c r="N22" s="24">
        <f>References!O107</f>
        <v>12</v>
      </c>
      <c r="O22" s="24">
        <f>References!P107</f>
        <v>12</v>
      </c>
    </row>
    <row r="23" spans="1:15" ht="15" x14ac:dyDescent="0.2">
      <c r="D23" s="25">
        <f>References!E108</f>
        <v>0.5</v>
      </c>
      <c r="E23" s="24">
        <f>References!F108</f>
        <v>12</v>
      </c>
      <c r="F23" s="24">
        <f>References!G108</f>
        <v>12</v>
      </c>
      <c r="G23" s="24">
        <f>References!H108</f>
        <v>12</v>
      </c>
      <c r="H23" s="24">
        <f>References!I108</f>
        <v>12</v>
      </c>
      <c r="I23" s="24">
        <f>References!J108</f>
        <v>12</v>
      </c>
      <c r="J23" s="24">
        <f>References!K108</f>
        <v>12</v>
      </c>
      <c r="K23" s="24">
        <f>References!L108</f>
        <v>12</v>
      </c>
      <c r="L23" s="24">
        <f>References!M108</f>
        <v>12</v>
      </c>
      <c r="M23" s="24">
        <f>References!N108</f>
        <v>12</v>
      </c>
      <c r="N23" s="24">
        <f>References!O108</f>
        <v>12</v>
      </c>
      <c r="O23" s="24">
        <f>References!P108</f>
        <v>12</v>
      </c>
    </row>
    <row r="24" spans="1:15" ht="15" x14ac:dyDescent="0.2">
      <c r="D24" s="25">
        <f>References!E109</f>
        <v>0.6</v>
      </c>
      <c r="E24" s="24">
        <f>References!F109</f>
        <v>12</v>
      </c>
      <c r="F24" s="24">
        <f>References!G109</f>
        <v>12</v>
      </c>
      <c r="G24" s="24">
        <f>References!H109</f>
        <v>12</v>
      </c>
      <c r="H24" s="24">
        <f>References!I109</f>
        <v>12</v>
      </c>
      <c r="I24" s="24">
        <f>References!J109</f>
        <v>12</v>
      </c>
      <c r="J24" s="24">
        <f>References!K109</f>
        <v>12</v>
      </c>
      <c r="K24" s="24">
        <f>References!L109</f>
        <v>12</v>
      </c>
      <c r="L24" s="24">
        <f>References!M109</f>
        <v>12</v>
      </c>
      <c r="M24" s="24">
        <f>References!N109</f>
        <v>12</v>
      </c>
      <c r="N24" s="24">
        <f>References!O109</f>
        <v>12</v>
      </c>
      <c r="O24" s="24">
        <f>References!P109</f>
        <v>12</v>
      </c>
    </row>
    <row r="25" spans="1:15" ht="15" x14ac:dyDescent="0.2">
      <c r="D25" s="25">
        <f>References!E110</f>
        <v>0.7</v>
      </c>
      <c r="E25" s="24">
        <f>References!F110</f>
        <v>12</v>
      </c>
      <c r="F25" s="24">
        <f>References!G110</f>
        <v>12</v>
      </c>
      <c r="G25" s="24">
        <f>References!H110</f>
        <v>12</v>
      </c>
      <c r="H25" s="24">
        <f>References!I110</f>
        <v>12</v>
      </c>
      <c r="I25" s="24">
        <f>References!J110</f>
        <v>12</v>
      </c>
      <c r="J25" s="24">
        <f>References!K110</f>
        <v>12</v>
      </c>
      <c r="K25" s="24">
        <f>References!L110</f>
        <v>12</v>
      </c>
      <c r="L25" s="24">
        <f>References!M110</f>
        <v>12</v>
      </c>
      <c r="M25" s="24">
        <f>References!N110</f>
        <v>12</v>
      </c>
      <c r="N25" s="24">
        <f>References!O110</f>
        <v>12</v>
      </c>
      <c r="O25" s="24">
        <f>References!P110</f>
        <v>12</v>
      </c>
    </row>
    <row r="26" spans="1:15" ht="15" x14ac:dyDescent="0.2">
      <c r="D26" s="25">
        <f>References!E111</f>
        <v>0.79999999999999993</v>
      </c>
      <c r="E26" s="24">
        <f>References!F111</f>
        <v>12</v>
      </c>
      <c r="F26" s="24">
        <f>References!G111</f>
        <v>12</v>
      </c>
      <c r="G26" s="24">
        <f>References!H111</f>
        <v>12</v>
      </c>
      <c r="H26" s="24">
        <f>References!I111</f>
        <v>12</v>
      </c>
      <c r="I26" s="24">
        <f>References!J111</f>
        <v>12</v>
      </c>
      <c r="J26" s="24">
        <f>References!K111</f>
        <v>12</v>
      </c>
      <c r="K26" s="24">
        <f>References!L111</f>
        <v>12</v>
      </c>
      <c r="L26" s="24">
        <f>References!M111</f>
        <v>12</v>
      </c>
      <c r="M26" s="24">
        <f>References!N111</f>
        <v>12</v>
      </c>
      <c r="N26" s="24">
        <f>References!O111</f>
        <v>12</v>
      </c>
      <c r="O26" s="24">
        <f>References!P111</f>
        <v>12</v>
      </c>
    </row>
    <row r="27" spans="1:15" ht="15" x14ac:dyDescent="0.2">
      <c r="D27" s="25">
        <f>References!E112</f>
        <v>0.89999999999999991</v>
      </c>
      <c r="E27" s="24">
        <f>References!F112</f>
        <v>12</v>
      </c>
      <c r="F27" s="24">
        <f>References!G112</f>
        <v>12</v>
      </c>
      <c r="G27" s="24">
        <f>References!H112</f>
        <v>12</v>
      </c>
      <c r="H27" s="24">
        <f>References!I112</f>
        <v>12</v>
      </c>
      <c r="I27" s="24">
        <f>References!J112</f>
        <v>12</v>
      </c>
      <c r="J27" s="24">
        <f>References!K112</f>
        <v>12</v>
      </c>
      <c r="K27" s="24">
        <f>References!L112</f>
        <v>12</v>
      </c>
      <c r="L27" s="24">
        <f>References!M112</f>
        <v>12</v>
      </c>
      <c r="M27" s="24">
        <f>References!N112</f>
        <v>12</v>
      </c>
      <c r="N27" s="24">
        <f>References!O112</f>
        <v>12</v>
      </c>
      <c r="O27" s="24">
        <f>References!P112</f>
        <v>12</v>
      </c>
    </row>
    <row r="28" spans="1:15" ht="15" x14ac:dyDescent="0.2">
      <c r="D28" s="25">
        <f>References!E113</f>
        <v>0.99999999999999989</v>
      </c>
      <c r="E28" s="24">
        <f>References!F113</f>
        <v>12</v>
      </c>
      <c r="F28" s="24">
        <f>References!G113</f>
        <v>12</v>
      </c>
      <c r="G28" s="24">
        <f>References!H113</f>
        <v>12</v>
      </c>
      <c r="H28" s="24">
        <f>References!I113</f>
        <v>12</v>
      </c>
      <c r="I28" s="24">
        <f>References!J113</f>
        <v>12</v>
      </c>
      <c r="J28" s="24">
        <f>References!K113</f>
        <v>12</v>
      </c>
      <c r="K28" s="24">
        <f>References!L113</f>
        <v>12</v>
      </c>
      <c r="L28" s="24">
        <f>References!M113</f>
        <v>12</v>
      </c>
      <c r="M28" s="24">
        <f>References!N113</f>
        <v>12</v>
      </c>
      <c r="N28" s="24">
        <f>References!O113</f>
        <v>12</v>
      </c>
      <c r="O28" s="24">
        <f>References!P113</f>
        <v>12</v>
      </c>
    </row>
    <row r="30" spans="1:15" x14ac:dyDescent="0.15">
      <c r="A30" s="12" t="str">
        <f>References!B115</f>
        <v>Prod. CFC Phase 1 et 2</v>
      </c>
      <c r="D30" s="22"/>
      <c r="F30" s="22"/>
    </row>
    <row r="31" spans="1:15" x14ac:dyDescent="0.15">
      <c r="D31" s="23" t="s">
        <v>60</v>
      </c>
      <c r="E31" s="24">
        <f>References!F116</f>
        <v>1.5</v>
      </c>
      <c r="F31" s="24">
        <f>References!G116</f>
        <v>1.35</v>
      </c>
      <c r="G31" s="24">
        <f>References!H116</f>
        <v>1.2000000000000002</v>
      </c>
      <c r="H31" s="24">
        <f>References!I116</f>
        <v>1.0500000000000003</v>
      </c>
      <c r="I31" s="24">
        <f>References!J116</f>
        <v>0.90000000000000024</v>
      </c>
      <c r="J31" s="24">
        <f>References!K116</f>
        <v>0.75000000000000022</v>
      </c>
      <c r="K31" s="24">
        <f>References!L116</f>
        <v>0.6000000000000002</v>
      </c>
      <c r="L31" s="24">
        <f>References!M116</f>
        <v>0.45000000000000018</v>
      </c>
      <c r="M31" s="24">
        <f>References!N116</f>
        <v>0.30000000000000016</v>
      </c>
      <c r="N31" s="24">
        <f>References!O116</f>
        <v>0.15000000000000016</v>
      </c>
      <c r="O31" s="24">
        <f>References!P116</f>
        <v>0</v>
      </c>
    </row>
    <row r="32" spans="1:15" ht="15" x14ac:dyDescent="0.2">
      <c r="D32" s="25">
        <f>References!E117</f>
        <v>0</v>
      </c>
      <c r="E32" s="24">
        <f>References!F117</f>
        <v>-5</v>
      </c>
      <c r="F32" s="24">
        <f>References!G117</f>
        <v>-3.5</v>
      </c>
      <c r="G32" s="24">
        <f>References!H117</f>
        <v>-2.0000000000000018</v>
      </c>
      <c r="H32" s="24">
        <f>References!I117</f>
        <v>-0.50000000000000355</v>
      </c>
      <c r="I32" s="24">
        <f>References!J117</f>
        <v>0.99999999999999822</v>
      </c>
      <c r="J32" s="24">
        <f>References!K117</f>
        <v>2.4999999999999982</v>
      </c>
      <c r="K32" s="24">
        <f>References!L117</f>
        <v>3.9999999999999982</v>
      </c>
      <c r="L32" s="24">
        <f>References!M117</f>
        <v>5.4999999999999982</v>
      </c>
      <c r="M32" s="24">
        <f>References!N117</f>
        <v>6.9999999999999982</v>
      </c>
      <c r="N32" s="24">
        <f>References!O117</f>
        <v>8.4999999999999982</v>
      </c>
      <c r="O32" s="24">
        <f>References!P117</f>
        <v>10</v>
      </c>
    </row>
    <row r="33" spans="1:15" ht="15" x14ac:dyDescent="0.2">
      <c r="D33" s="25">
        <f>References!E118</f>
        <v>0.1</v>
      </c>
      <c r="E33" s="24">
        <f>References!F118</f>
        <v>-6.4</v>
      </c>
      <c r="F33" s="24">
        <f>References!G118</f>
        <v>-4.4800000000000004</v>
      </c>
      <c r="G33" s="24">
        <f>References!H118</f>
        <v>-2.5600000000000023</v>
      </c>
      <c r="H33" s="24">
        <f>References!I118</f>
        <v>-0.64000000000000412</v>
      </c>
      <c r="I33" s="24">
        <f>References!J118</f>
        <v>1.2799999999999976</v>
      </c>
      <c r="J33" s="24">
        <f>References!K118</f>
        <v>3.1999999999999975</v>
      </c>
      <c r="K33" s="24">
        <f>References!L118</f>
        <v>5.1199999999999974</v>
      </c>
      <c r="L33" s="24">
        <f>References!M118</f>
        <v>7.0399999999999974</v>
      </c>
      <c r="M33" s="24">
        <f>References!N118</f>
        <v>8.9599999999999973</v>
      </c>
      <c r="N33" s="24">
        <f>References!O118</f>
        <v>10.879999999999999</v>
      </c>
      <c r="O33" s="24">
        <f>References!P118</f>
        <v>12.8</v>
      </c>
    </row>
    <row r="34" spans="1:15" ht="15" x14ac:dyDescent="0.2">
      <c r="D34" s="25">
        <f>References!E119</f>
        <v>0.2</v>
      </c>
      <c r="E34" s="24">
        <f>References!F119</f>
        <v>-7.8</v>
      </c>
      <c r="F34" s="24">
        <f>References!G119</f>
        <v>-5.4600000000000009</v>
      </c>
      <c r="G34" s="24">
        <f>References!H119</f>
        <v>-3.1200000000000028</v>
      </c>
      <c r="H34" s="24">
        <f>References!I119</f>
        <v>-0.78000000000000469</v>
      </c>
      <c r="I34" s="24">
        <f>References!J119</f>
        <v>1.5599999999999969</v>
      </c>
      <c r="J34" s="24">
        <f>References!K119</f>
        <v>3.8999999999999968</v>
      </c>
      <c r="K34" s="24">
        <f>References!L119</f>
        <v>6.2399999999999967</v>
      </c>
      <c r="L34" s="24">
        <f>References!M119</f>
        <v>8.5799999999999983</v>
      </c>
      <c r="M34" s="24">
        <f>References!N119</f>
        <v>10.919999999999998</v>
      </c>
      <c r="N34" s="24">
        <f>References!O119</f>
        <v>13.259999999999998</v>
      </c>
      <c r="O34" s="24">
        <f>References!P119</f>
        <v>15.600000000000001</v>
      </c>
    </row>
    <row r="35" spans="1:15" ht="15" x14ac:dyDescent="0.2">
      <c r="D35" s="25">
        <f>References!E120</f>
        <v>0.30000000000000004</v>
      </c>
      <c r="E35" s="24">
        <f>References!F120</f>
        <v>-9.2000000000000011</v>
      </c>
      <c r="F35" s="24">
        <f>References!G120</f>
        <v>-6.4400000000000013</v>
      </c>
      <c r="G35" s="24">
        <f>References!H120</f>
        <v>-3.6800000000000033</v>
      </c>
      <c r="H35" s="24">
        <f>References!I120</f>
        <v>-0.92000000000000526</v>
      </c>
      <c r="I35" s="24">
        <f>References!J120</f>
        <v>1.8399999999999963</v>
      </c>
      <c r="J35" s="24">
        <f>References!K120</f>
        <v>4.599999999999997</v>
      </c>
      <c r="K35" s="24">
        <f>References!L120</f>
        <v>7.3599999999999977</v>
      </c>
      <c r="L35" s="24">
        <f>References!M120</f>
        <v>10.119999999999997</v>
      </c>
      <c r="M35" s="24">
        <f>References!N120</f>
        <v>12.879999999999999</v>
      </c>
      <c r="N35" s="24">
        <f>References!O120</f>
        <v>15.639999999999999</v>
      </c>
      <c r="O35" s="24">
        <f>References!P120</f>
        <v>18.400000000000002</v>
      </c>
    </row>
    <row r="36" spans="1:15" ht="15" x14ac:dyDescent="0.2">
      <c r="D36" s="25">
        <f>References!E121</f>
        <v>0.4</v>
      </c>
      <c r="E36" s="24">
        <f>References!F121</f>
        <v>-10.6</v>
      </c>
      <c r="F36" s="24">
        <f>References!G121</f>
        <v>-7.4200000000000017</v>
      </c>
      <c r="G36" s="24">
        <f>References!H121</f>
        <v>-4.2400000000000038</v>
      </c>
      <c r="H36" s="24">
        <f>References!I121</f>
        <v>-1.0600000000000058</v>
      </c>
      <c r="I36" s="24">
        <f>References!J121</f>
        <v>2.1199999999999957</v>
      </c>
      <c r="J36" s="24">
        <f>References!K121</f>
        <v>5.2999999999999954</v>
      </c>
      <c r="K36" s="24">
        <f>References!L121</f>
        <v>8.4799999999999969</v>
      </c>
      <c r="L36" s="24">
        <f>References!M121</f>
        <v>11.659999999999997</v>
      </c>
      <c r="M36" s="24">
        <f>References!N121</f>
        <v>14.839999999999996</v>
      </c>
      <c r="N36" s="24">
        <f>References!O121</f>
        <v>18.019999999999996</v>
      </c>
      <c r="O36" s="24">
        <f>References!P121</f>
        <v>21.200000000000003</v>
      </c>
    </row>
    <row r="37" spans="1:15" ht="15" x14ac:dyDescent="0.2">
      <c r="D37" s="25">
        <f>References!E122</f>
        <v>0.5</v>
      </c>
      <c r="E37" s="24">
        <f>References!F122</f>
        <v>-12</v>
      </c>
      <c r="F37" s="24">
        <f>References!G122</f>
        <v>-8.4000000000000021</v>
      </c>
      <c r="G37" s="24">
        <f>References!H122</f>
        <v>-4.800000000000006</v>
      </c>
      <c r="H37" s="24">
        <f>References!I122</f>
        <v>-1.2000000000000064</v>
      </c>
      <c r="I37" s="24">
        <f>References!J122</f>
        <v>2.399999999999995</v>
      </c>
      <c r="J37" s="24">
        <f>References!K122</f>
        <v>5.9999999999999947</v>
      </c>
      <c r="K37" s="24">
        <f>References!L122</f>
        <v>9.5999999999999961</v>
      </c>
      <c r="L37" s="24">
        <f>References!M122</f>
        <v>13.199999999999996</v>
      </c>
      <c r="M37" s="24">
        <f>References!N122</f>
        <v>16.799999999999997</v>
      </c>
      <c r="N37" s="24">
        <f>References!O122</f>
        <v>20.399999999999999</v>
      </c>
      <c r="O37" s="24">
        <f>References!P122</f>
        <v>24</v>
      </c>
    </row>
    <row r="38" spans="1:15" ht="15" x14ac:dyDescent="0.2">
      <c r="D38" s="25">
        <f>References!E123</f>
        <v>0.6</v>
      </c>
      <c r="E38" s="24">
        <f>References!F123</f>
        <v>-13.400000000000002</v>
      </c>
      <c r="F38" s="24">
        <f>References!G123</f>
        <v>-9.3800000000000026</v>
      </c>
      <c r="G38" s="24">
        <f>References!H123</f>
        <v>-5.3600000000000048</v>
      </c>
      <c r="H38" s="24">
        <f>References!I123</f>
        <v>-1.340000000000007</v>
      </c>
      <c r="I38" s="24">
        <f>References!J123</f>
        <v>2.6799999999999944</v>
      </c>
      <c r="J38" s="24">
        <f>References!K123</f>
        <v>6.699999999999994</v>
      </c>
      <c r="K38" s="24">
        <f>References!L123</f>
        <v>10.719999999999995</v>
      </c>
      <c r="L38" s="24">
        <f>References!M123</f>
        <v>14.739999999999997</v>
      </c>
      <c r="M38" s="24">
        <f>References!N123</f>
        <v>18.759999999999998</v>
      </c>
      <c r="N38" s="24">
        <f>References!O123</f>
        <v>22.779999999999994</v>
      </c>
      <c r="O38" s="24">
        <f>References!P123</f>
        <v>26.8</v>
      </c>
    </row>
    <row r="39" spans="1:15" ht="15" x14ac:dyDescent="0.2">
      <c r="D39" s="25">
        <f>References!E124</f>
        <v>0.7</v>
      </c>
      <c r="E39" s="24">
        <f>References!F124</f>
        <v>-14.8</v>
      </c>
      <c r="F39" s="24">
        <f>References!G124</f>
        <v>-10.36</v>
      </c>
      <c r="G39" s="24">
        <f>References!H124</f>
        <v>-5.9200000000000035</v>
      </c>
      <c r="H39" s="24">
        <f>References!I124</f>
        <v>-1.4800000000000075</v>
      </c>
      <c r="I39" s="24">
        <f>References!J124</f>
        <v>2.959999999999992</v>
      </c>
      <c r="J39" s="24">
        <f>References!K124</f>
        <v>7.3999999999999932</v>
      </c>
      <c r="K39" s="24">
        <f>References!L124</f>
        <v>11.839999999999993</v>
      </c>
      <c r="L39" s="24">
        <f>References!M124</f>
        <v>16.279999999999994</v>
      </c>
      <c r="M39" s="24">
        <f>References!N124</f>
        <v>20.719999999999992</v>
      </c>
      <c r="N39" s="24">
        <f>References!O124</f>
        <v>25.159999999999997</v>
      </c>
      <c r="O39" s="24">
        <f>References!P124</f>
        <v>29.599999999999998</v>
      </c>
    </row>
    <row r="40" spans="1:15" ht="15" x14ac:dyDescent="0.2">
      <c r="D40" s="25">
        <f>References!E125</f>
        <v>0.79999999999999993</v>
      </c>
      <c r="E40" s="24">
        <f>References!F125</f>
        <v>-16.199999999999996</v>
      </c>
      <c r="F40" s="24">
        <f>References!G125</f>
        <v>-11.34</v>
      </c>
      <c r="G40" s="24">
        <f>References!H125</f>
        <v>-6.4800000000000058</v>
      </c>
      <c r="H40" s="24">
        <f>References!I125</f>
        <v>-1.6200000000000081</v>
      </c>
      <c r="I40" s="24">
        <f>References!J125</f>
        <v>3.2399999999999931</v>
      </c>
      <c r="J40" s="24">
        <f>References!K125</f>
        <v>8.0999999999999925</v>
      </c>
      <c r="K40" s="24">
        <f>References!L125</f>
        <v>12.959999999999994</v>
      </c>
      <c r="L40" s="24">
        <f>References!M125</f>
        <v>17.819999999999993</v>
      </c>
      <c r="M40" s="24">
        <f>References!N125</f>
        <v>22.679999999999993</v>
      </c>
      <c r="N40" s="24">
        <f>References!O125</f>
        <v>27.539999999999992</v>
      </c>
      <c r="O40" s="24">
        <f>References!P125</f>
        <v>32.4</v>
      </c>
    </row>
    <row r="41" spans="1:15" ht="15" x14ac:dyDescent="0.2">
      <c r="D41" s="25">
        <f>References!E126</f>
        <v>0.89999999999999991</v>
      </c>
      <c r="E41" s="24">
        <f>References!F126</f>
        <v>-17.600000000000001</v>
      </c>
      <c r="F41" s="24">
        <f>References!G126</f>
        <v>-12.32</v>
      </c>
      <c r="G41" s="24">
        <f>References!H126</f>
        <v>-7.0400000000000045</v>
      </c>
      <c r="H41" s="24">
        <f>References!I126</f>
        <v>-1.7600000000000087</v>
      </c>
      <c r="I41" s="24">
        <f>References!J126</f>
        <v>3.5199999999999907</v>
      </c>
      <c r="J41" s="24">
        <f>References!K126</f>
        <v>8.7999999999999918</v>
      </c>
      <c r="K41" s="24">
        <f>References!L126</f>
        <v>14.079999999999991</v>
      </c>
      <c r="L41" s="24">
        <f>References!M126</f>
        <v>19.359999999999992</v>
      </c>
      <c r="M41" s="24">
        <f>References!N126</f>
        <v>24.639999999999993</v>
      </c>
      <c r="N41" s="24">
        <f>References!O126</f>
        <v>29.919999999999987</v>
      </c>
      <c r="O41" s="24">
        <f>References!P126</f>
        <v>35.199999999999996</v>
      </c>
    </row>
    <row r="42" spans="1:15" ht="15" x14ac:dyDescent="0.2">
      <c r="D42" s="25">
        <f>References!E127</f>
        <v>0.99999999999999989</v>
      </c>
      <c r="E42" s="24">
        <f>References!F127</f>
        <v>-18.999999999999996</v>
      </c>
      <c r="F42" s="24">
        <f>References!G127</f>
        <v>-13.3</v>
      </c>
      <c r="G42" s="24">
        <f>References!H127</f>
        <v>-7.6000000000000068</v>
      </c>
      <c r="H42" s="24">
        <f>References!I127</f>
        <v>-1.9000000000000092</v>
      </c>
      <c r="I42" s="24">
        <f>References!J127</f>
        <v>3.7999999999999918</v>
      </c>
      <c r="J42" s="24">
        <f>References!K127</f>
        <v>9.4999999999999911</v>
      </c>
      <c r="K42" s="24">
        <f>References!L127</f>
        <v>15.19999999999999</v>
      </c>
      <c r="L42" s="24">
        <f>References!M127</f>
        <v>20.899999999999991</v>
      </c>
      <c r="M42" s="24">
        <f>References!N127</f>
        <v>26.599999999999994</v>
      </c>
      <c r="N42" s="24">
        <f>References!O127</f>
        <v>32.29999999999999</v>
      </c>
      <c r="O42" s="24">
        <f>References!P127</f>
        <v>38</v>
      </c>
    </row>
    <row r="44" spans="1:15" x14ac:dyDescent="0.15">
      <c r="A44" s="12" t="str">
        <f>References!B129</f>
        <v>Prod. CFC Phase 1</v>
      </c>
      <c r="D44" s="22"/>
      <c r="F44" s="22"/>
    </row>
    <row r="45" spans="1:15" x14ac:dyDescent="0.15">
      <c r="D45" s="23" t="s">
        <v>60</v>
      </c>
      <c r="E45" s="24">
        <f>References!F130</f>
        <v>1.5</v>
      </c>
      <c r="F45" s="24">
        <f>References!G130</f>
        <v>1.35</v>
      </c>
      <c r="G45" s="24">
        <f>References!H130</f>
        <v>1.2000000000000002</v>
      </c>
      <c r="H45" s="24">
        <f>References!I130</f>
        <v>1.0500000000000003</v>
      </c>
      <c r="I45" s="24">
        <f>References!J130</f>
        <v>0.90000000000000024</v>
      </c>
      <c r="J45" s="24">
        <f>References!K130</f>
        <v>0.75000000000000022</v>
      </c>
      <c r="K45" s="24">
        <f>References!L130</f>
        <v>0.6000000000000002</v>
      </c>
      <c r="L45" s="24">
        <f>References!M130</f>
        <v>0.45000000000000018</v>
      </c>
      <c r="M45" s="24">
        <f>References!N130</f>
        <v>0.30000000000000016</v>
      </c>
      <c r="N45" s="24">
        <f>References!O130</f>
        <v>0.15000000000000016</v>
      </c>
      <c r="O45" s="24">
        <f>References!P130</f>
        <v>0</v>
      </c>
    </row>
    <row r="46" spans="1:15" ht="15" x14ac:dyDescent="0.2">
      <c r="D46" s="25">
        <f>References!E131</f>
        <v>0</v>
      </c>
      <c r="E46" s="24">
        <f>References!F131</f>
        <v>-5</v>
      </c>
      <c r="F46" s="24">
        <f>References!G131</f>
        <v>-3.5</v>
      </c>
      <c r="G46" s="24">
        <f>References!H131</f>
        <v>-2.0000000000000018</v>
      </c>
      <c r="H46" s="24">
        <f>References!I131</f>
        <v>-0.50000000000000355</v>
      </c>
      <c r="I46" s="24">
        <f>References!J131</f>
        <v>0.99999999999999822</v>
      </c>
      <c r="J46" s="24">
        <f>References!K131</f>
        <v>2.4999999999999982</v>
      </c>
      <c r="K46" s="24">
        <f>References!L131</f>
        <v>3.9999999999999982</v>
      </c>
      <c r="L46" s="24">
        <f>References!M131</f>
        <v>5.4999999999999982</v>
      </c>
      <c r="M46" s="24">
        <f>References!N131</f>
        <v>6.9999999999999982</v>
      </c>
      <c r="N46" s="24">
        <f>References!O131</f>
        <v>8.4999999999999982</v>
      </c>
      <c r="O46" s="24">
        <f>References!P131</f>
        <v>10</v>
      </c>
    </row>
    <row r="47" spans="1:15" ht="15" x14ac:dyDescent="0.2">
      <c r="D47" s="25">
        <f>References!E132</f>
        <v>0.1</v>
      </c>
      <c r="E47" s="24">
        <f>References!F132</f>
        <v>-5</v>
      </c>
      <c r="F47" s="24">
        <f>References!G132</f>
        <v>-3.5</v>
      </c>
      <c r="G47" s="24">
        <f>References!H132</f>
        <v>-2.0000000000000018</v>
      </c>
      <c r="H47" s="24">
        <f>References!I132</f>
        <v>-0.50000000000000355</v>
      </c>
      <c r="I47" s="24">
        <f>References!J132</f>
        <v>0.99999999999999822</v>
      </c>
      <c r="J47" s="24">
        <f>References!K132</f>
        <v>2.4999999999999982</v>
      </c>
      <c r="K47" s="24">
        <f>References!L132</f>
        <v>3.9999999999999982</v>
      </c>
      <c r="L47" s="24">
        <f>References!M132</f>
        <v>5.4999999999999982</v>
      </c>
      <c r="M47" s="24">
        <f>References!N132</f>
        <v>6.9999999999999982</v>
      </c>
      <c r="N47" s="24">
        <f>References!O132</f>
        <v>8.4999999999999982</v>
      </c>
      <c r="O47" s="24">
        <f>References!P132</f>
        <v>10</v>
      </c>
    </row>
    <row r="48" spans="1:15" ht="15" x14ac:dyDescent="0.2">
      <c r="D48" s="25">
        <f>References!E133</f>
        <v>0.2</v>
      </c>
      <c r="E48" s="24">
        <f>References!F133</f>
        <v>-5</v>
      </c>
      <c r="F48" s="24">
        <f>References!G133</f>
        <v>-3.5</v>
      </c>
      <c r="G48" s="24">
        <f>References!H133</f>
        <v>-2.0000000000000018</v>
      </c>
      <c r="H48" s="24">
        <f>References!I133</f>
        <v>-0.50000000000000355</v>
      </c>
      <c r="I48" s="24">
        <f>References!J133</f>
        <v>0.99999999999999822</v>
      </c>
      <c r="J48" s="24">
        <f>References!K133</f>
        <v>2.4999999999999982</v>
      </c>
      <c r="K48" s="24">
        <f>References!L133</f>
        <v>3.9999999999999982</v>
      </c>
      <c r="L48" s="24">
        <f>References!M133</f>
        <v>5.4999999999999982</v>
      </c>
      <c r="M48" s="24">
        <f>References!N133</f>
        <v>6.9999999999999982</v>
      </c>
      <c r="N48" s="24">
        <f>References!O133</f>
        <v>8.4999999999999982</v>
      </c>
      <c r="O48" s="24">
        <f>References!P133</f>
        <v>10</v>
      </c>
    </row>
    <row r="49" spans="1:15" ht="15" x14ac:dyDescent="0.2">
      <c r="D49" s="25">
        <f>References!E134</f>
        <v>0.30000000000000004</v>
      </c>
      <c r="E49" s="24">
        <f>References!F134</f>
        <v>-5</v>
      </c>
      <c r="F49" s="24">
        <f>References!G134</f>
        <v>-3.5</v>
      </c>
      <c r="G49" s="24">
        <f>References!H134</f>
        <v>-2.0000000000000018</v>
      </c>
      <c r="H49" s="24">
        <f>References!I134</f>
        <v>-0.50000000000000355</v>
      </c>
      <c r="I49" s="24">
        <f>References!J134</f>
        <v>0.99999999999999822</v>
      </c>
      <c r="J49" s="24">
        <f>References!K134</f>
        <v>2.4999999999999982</v>
      </c>
      <c r="K49" s="24">
        <f>References!L134</f>
        <v>3.9999999999999982</v>
      </c>
      <c r="L49" s="24">
        <f>References!M134</f>
        <v>5.4999999999999982</v>
      </c>
      <c r="M49" s="24">
        <f>References!N134</f>
        <v>6.9999999999999982</v>
      </c>
      <c r="N49" s="24">
        <f>References!O134</f>
        <v>8.4999999999999982</v>
      </c>
      <c r="O49" s="24">
        <f>References!P134</f>
        <v>10</v>
      </c>
    </row>
    <row r="50" spans="1:15" ht="15" x14ac:dyDescent="0.2">
      <c r="D50" s="25">
        <f>References!E135</f>
        <v>0.4</v>
      </c>
      <c r="E50" s="24">
        <f>References!F135</f>
        <v>-5</v>
      </c>
      <c r="F50" s="24">
        <f>References!G135</f>
        <v>-3.5</v>
      </c>
      <c r="G50" s="24">
        <f>References!H135</f>
        <v>-2.0000000000000018</v>
      </c>
      <c r="H50" s="24">
        <f>References!I135</f>
        <v>-0.50000000000000355</v>
      </c>
      <c r="I50" s="24">
        <f>References!J135</f>
        <v>0.99999999999999822</v>
      </c>
      <c r="J50" s="24">
        <f>References!K135</f>
        <v>2.4999999999999982</v>
      </c>
      <c r="K50" s="24">
        <f>References!L135</f>
        <v>3.9999999999999982</v>
      </c>
      <c r="L50" s="24">
        <f>References!M135</f>
        <v>5.4999999999999982</v>
      </c>
      <c r="M50" s="24">
        <f>References!N135</f>
        <v>6.9999999999999982</v>
      </c>
      <c r="N50" s="24">
        <f>References!O135</f>
        <v>8.4999999999999982</v>
      </c>
      <c r="O50" s="24">
        <f>References!P135</f>
        <v>10</v>
      </c>
    </row>
    <row r="51" spans="1:15" ht="15" x14ac:dyDescent="0.2">
      <c r="D51" s="25">
        <f>References!E136</f>
        <v>0.5</v>
      </c>
      <c r="E51" s="24">
        <f>References!F136</f>
        <v>-5</v>
      </c>
      <c r="F51" s="24">
        <f>References!G136</f>
        <v>-3.5</v>
      </c>
      <c r="G51" s="24">
        <f>References!H136</f>
        <v>-2.0000000000000018</v>
      </c>
      <c r="H51" s="24">
        <f>References!I136</f>
        <v>-0.50000000000000355</v>
      </c>
      <c r="I51" s="24">
        <f>References!J136</f>
        <v>0.99999999999999822</v>
      </c>
      <c r="J51" s="24">
        <f>References!K136</f>
        <v>2.4999999999999982</v>
      </c>
      <c r="K51" s="24">
        <f>References!L136</f>
        <v>3.9999999999999982</v>
      </c>
      <c r="L51" s="24">
        <f>References!M136</f>
        <v>5.4999999999999982</v>
      </c>
      <c r="M51" s="24">
        <f>References!N136</f>
        <v>6.9999999999999982</v>
      </c>
      <c r="N51" s="24">
        <f>References!O136</f>
        <v>8.4999999999999982</v>
      </c>
      <c r="O51" s="24">
        <f>References!P136</f>
        <v>10</v>
      </c>
    </row>
    <row r="52" spans="1:15" ht="15" x14ac:dyDescent="0.2">
      <c r="D52" s="25">
        <f>References!E137</f>
        <v>0.6</v>
      </c>
      <c r="E52" s="24">
        <f>References!F137</f>
        <v>-5</v>
      </c>
      <c r="F52" s="24">
        <f>References!G137</f>
        <v>-3.5</v>
      </c>
      <c r="G52" s="24">
        <f>References!H137</f>
        <v>-2.0000000000000018</v>
      </c>
      <c r="H52" s="24">
        <f>References!I137</f>
        <v>-0.50000000000000355</v>
      </c>
      <c r="I52" s="24">
        <f>References!J137</f>
        <v>0.99999999999999822</v>
      </c>
      <c r="J52" s="24">
        <f>References!K137</f>
        <v>2.4999999999999982</v>
      </c>
      <c r="K52" s="24">
        <f>References!L137</f>
        <v>3.9999999999999982</v>
      </c>
      <c r="L52" s="24">
        <f>References!M137</f>
        <v>5.4999999999999982</v>
      </c>
      <c r="M52" s="24">
        <f>References!N137</f>
        <v>6.9999999999999982</v>
      </c>
      <c r="N52" s="24">
        <f>References!O137</f>
        <v>8.4999999999999982</v>
      </c>
      <c r="O52" s="24">
        <f>References!P137</f>
        <v>10</v>
      </c>
    </row>
    <row r="53" spans="1:15" ht="15" x14ac:dyDescent="0.2">
      <c r="D53" s="25">
        <f>References!E138</f>
        <v>0.7</v>
      </c>
      <c r="E53" s="24">
        <f>References!F138</f>
        <v>-5</v>
      </c>
      <c r="F53" s="24">
        <f>References!G138</f>
        <v>-3.5</v>
      </c>
      <c r="G53" s="24">
        <f>References!H138</f>
        <v>-2.0000000000000018</v>
      </c>
      <c r="H53" s="24">
        <f>References!I138</f>
        <v>-0.50000000000000355</v>
      </c>
      <c r="I53" s="24">
        <f>References!J138</f>
        <v>0.99999999999999822</v>
      </c>
      <c r="J53" s="24">
        <f>References!K138</f>
        <v>2.4999999999999982</v>
      </c>
      <c r="K53" s="24">
        <f>References!L138</f>
        <v>3.9999999999999982</v>
      </c>
      <c r="L53" s="24">
        <f>References!M138</f>
        <v>5.4999999999999982</v>
      </c>
      <c r="M53" s="24">
        <f>References!N138</f>
        <v>6.9999999999999982</v>
      </c>
      <c r="N53" s="24">
        <f>References!O138</f>
        <v>8.4999999999999982</v>
      </c>
      <c r="O53" s="24">
        <f>References!P138</f>
        <v>10</v>
      </c>
    </row>
    <row r="54" spans="1:15" ht="15" x14ac:dyDescent="0.2">
      <c r="D54" s="25">
        <f>References!E139</f>
        <v>0.79999999999999993</v>
      </c>
      <c r="E54" s="24">
        <f>References!F139</f>
        <v>-5</v>
      </c>
      <c r="F54" s="24">
        <f>References!G139</f>
        <v>-3.5</v>
      </c>
      <c r="G54" s="24">
        <f>References!H139</f>
        <v>-2.0000000000000018</v>
      </c>
      <c r="H54" s="24">
        <f>References!I139</f>
        <v>-0.50000000000000355</v>
      </c>
      <c r="I54" s="24">
        <f>References!J139</f>
        <v>0.99999999999999822</v>
      </c>
      <c r="J54" s="24">
        <f>References!K139</f>
        <v>2.4999999999999982</v>
      </c>
      <c r="K54" s="24">
        <f>References!L139</f>
        <v>3.9999999999999982</v>
      </c>
      <c r="L54" s="24">
        <f>References!M139</f>
        <v>5.4999999999999982</v>
      </c>
      <c r="M54" s="24">
        <f>References!N139</f>
        <v>6.9999999999999982</v>
      </c>
      <c r="N54" s="24">
        <f>References!O139</f>
        <v>8.4999999999999982</v>
      </c>
      <c r="O54" s="24">
        <f>References!P139</f>
        <v>10</v>
      </c>
    </row>
    <row r="55" spans="1:15" ht="15" x14ac:dyDescent="0.2">
      <c r="D55" s="25">
        <f>References!E140</f>
        <v>0.89999999999999991</v>
      </c>
      <c r="E55" s="24">
        <f>References!F140</f>
        <v>-5</v>
      </c>
      <c r="F55" s="24">
        <f>References!G140</f>
        <v>-3.5</v>
      </c>
      <c r="G55" s="24">
        <f>References!H140</f>
        <v>-2.0000000000000018</v>
      </c>
      <c r="H55" s="24">
        <f>References!I140</f>
        <v>-0.50000000000000355</v>
      </c>
      <c r="I55" s="24">
        <f>References!J140</f>
        <v>0.99999999999999822</v>
      </c>
      <c r="J55" s="24">
        <f>References!K140</f>
        <v>2.4999999999999982</v>
      </c>
      <c r="K55" s="24">
        <f>References!L140</f>
        <v>3.9999999999999982</v>
      </c>
      <c r="L55" s="24">
        <f>References!M140</f>
        <v>5.4999999999999982</v>
      </c>
      <c r="M55" s="24">
        <f>References!N140</f>
        <v>6.9999999999999982</v>
      </c>
      <c r="N55" s="24">
        <f>References!O140</f>
        <v>8.4999999999999982</v>
      </c>
      <c r="O55" s="24">
        <f>References!P140</f>
        <v>10</v>
      </c>
    </row>
    <row r="56" spans="1:15" ht="15" x14ac:dyDescent="0.2">
      <c r="D56" s="25">
        <f>References!E141</f>
        <v>0.99999999999999989</v>
      </c>
      <c r="E56" s="24">
        <f>References!F141</f>
        <v>-5</v>
      </c>
      <c r="F56" s="24">
        <f>References!G141</f>
        <v>-3.5</v>
      </c>
      <c r="G56" s="24">
        <f>References!H141</f>
        <v>-2.0000000000000018</v>
      </c>
      <c r="H56" s="24">
        <f>References!I141</f>
        <v>-0.50000000000000355</v>
      </c>
      <c r="I56" s="24">
        <f>References!J141</f>
        <v>0.99999999999999822</v>
      </c>
      <c r="J56" s="24">
        <f>References!K141</f>
        <v>2.4999999999999982</v>
      </c>
      <c r="K56" s="24">
        <f>References!L141</f>
        <v>3.9999999999999982</v>
      </c>
      <c r="L56" s="24">
        <f>References!M141</f>
        <v>5.4999999999999982</v>
      </c>
      <c r="M56" s="24">
        <f>References!N141</f>
        <v>6.9999999999999982</v>
      </c>
      <c r="N56" s="24">
        <f>References!O141</f>
        <v>8.4999999999999982</v>
      </c>
      <c r="O56" s="24">
        <f>References!P141</f>
        <v>10</v>
      </c>
    </row>
    <row r="58" spans="1:15" x14ac:dyDescent="0.15">
      <c r="A58" s="12" t="str">
        <f>References!B143</f>
        <v>Arrêter tout</v>
      </c>
      <c r="D58" s="22"/>
      <c r="F58" s="22"/>
    </row>
    <row r="59" spans="1:15" x14ac:dyDescent="0.15">
      <c r="D59" s="23" t="s">
        <v>60</v>
      </c>
      <c r="E59" s="24">
        <f>References!F144</f>
        <v>1.5</v>
      </c>
      <c r="F59" s="24">
        <f>References!G144</f>
        <v>1.35</v>
      </c>
      <c r="G59" s="24">
        <f>References!H144</f>
        <v>1.2000000000000002</v>
      </c>
      <c r="H59" s="24">
        <f>References!I144</f>
        <v>1.0500000000000003</v>
      </c>
      <c r="I59" s="24">
        <f>References!J144</f>
        <v>0.90000000000000024</v>
      </c>
      <c r="J59" s="24">
        <f>References!K144</f>
        <v>0.75000000000000022</v>
      </c>
      <c r="K59" s="24">
        <f>References!L144</f>
        <v>0.6000000000000002</v>
      </c>
      <c r="L59" s="24">
        <f>References!M144</f>
        <v>0.45000000000000018</v>
      </c>
      <c r="M59" s="24">
        <f>References!N144</f>
        <v>0.30000000000000016</v>
      </c>
      <c r="N59" s="24">
        <f>References!O144</f>
        <v>0.15000000000000016</v>
      </c>
      <c r="O59" s="24">
        <f>References!P144</f>
        <v>0</v>
      </c>
    </row>
    <row r="60" spans="1:15" ht="15" x14ac:dyDescent="0.2">
      <c r="D60" s="25">
        <f>References!E145</f>
        <v>0</v>
      </c>
      <c r="E60" s="24">
        <f>References!F145</f>
        <v>0</v>
      </c>
      <c r="F60" s="24">
        <f>References!G145</f>
        <v>0</v>
      </c>
      <c r="G60" s="24">
        <f>References!H145</f>
        <v>0</v>
      </c>
      <c r="H60" s="24">
        <f>References!I145</f>
        <v>0</v>
      </c>
      <c r="I60" s="24">
        <f>References!J145</f>
        <v>0</v>
      </c>
      <c r="J60" s="24">
        <f>References!K145</f>
        <v>0</v>
      </c>
      <c r="K60" s="24">
        <f>References!L145</f>
        <v>0</v>
      </c>
      <c r="L60" s="24">
        <f>References!M145</f>
        <v>0</v>
      </c>
      <c r="M60" s="24">
        <f>References!N145</f>
        <v>0</v>
      </c>
      <c r="N60" s="24">
        <f>References!O145</f>
        <v>0</v>
      </c>
      <c r="O60" s="24">
        <f>References!P145</f>
        <v>0</v>
      </c>
    </row>
    <row r="61" spans="1:15" ht="15" x14ac:dyDescent="0.2">
      <c r="D61" s="25">
        <f>References!E146</f>
        <v>0.1</v>
      </c>
      <c r="E61" s="24">
        <f>References!F146</f>
        <v>0</v>
      </c>
      <c r="F61" s="24">
        <f>References!G146</f>
        <v>0</v>
      </c>
      <c r="G61" s="24">
        <f>References!H146</f>
        <v>0</v>
      </c>
      <c r="H61" s="24">
        <f>References!I146</f>
        <v>0</v>
      </c>
      <c r="I61" s="24">
        <f>References!J146</f>
        <v>0</v>
      </c>
      <c r="J61" s="24">
        <f>References!K146</f>
        <v>0</v>
      </c>
      <c r="K61" s="24">
        <f>References!L146</f>
        <v>0</v>
      </c>
      <c r="L61" s="24">
        <f>References!M146</f>
        <v>0</v>
      </c>
      <c r="M61" s="24">
        <f>References!N146</f>
        <v>0</v>
      </c>
      <c r="N61" s="24">
        <f>References!O146</f>
        <v>0</v>
      </c>
      <c r="O61" s="24">
        <f>References!P146</f>
        <v>0</v>
      </c>
    </row>
    <row r="62" spans="1:15" ht="15" x14ac:dyDescent="0.2">
      <c r="D62" s="25">
        <f>References!E147</f>
        <v>0.2</v>
      </c>
      <c r="E62" s="24">
        <f>References!F147</f>
        <v>0</v>
      </c>
      <c r="F62" s="24">
        <f>References!G147</f>
        <v>0</v>
      </c>
      <c r="G62" s="24">
        <f>References!H147</f>
        <v>0</v>
      </c>
      <c r="H62" s="24">
        <f>References!I147</f>
        <v>0</v>
      </c>
      <c r="I62" s="24">
        <f>References!J147</f>
        <v>0</v>
      </c>
      <c r="J62" s="24">
        <f>References!K147</f>
        <v>0</v>
      </c>
      <c r="K62" s="24">
        <f>References!L147</f>
        <v>0</v>
      </c>
      <c r="L62" s="24">
        <f>References!M147</f>
        <v>0</v>
      </c>
      <c r="M62" s="24">
        <f>References!N147</f>
        <v>0</v>
      </c>
      <c r="N62" s="24">
        <f>References!O147</f>
        <v>0</v>
      </c>
      <c r="O62" s="24">
        <f>References!P147</f>
        <v>0</v>
      </c>
    </row>
    <row r="63" spans="1:15" ht="15" x14ac:dyDescent="0.2">
      <c r="D63" s="25">
        <f>References!E148</f>
        <v>0.30000000000000004</v>
      </c>
      <c r="E63" s="24">
        <f>References!F148</f>
        <v>0</v>
      </c>
      <c r="F63" s="24">
        <f>References!G148</f>
        <v>0</v>
      </c>
      <c r="G63" s="24">
        <f>References!H148</f>
        <v>0</v>
      </c>
      <c r="H63" s="24">
        <f>References!I148</f>
        <v>0</v>
      </c>
      <c r="I63" s="24">
        <f>References!J148</f>
        <v>0</v>
      </c>
      <c r="J63" s="24">
        <f>References!K148</f>
        <v>0</v>
      </c>
      <c r="K63" s="24">
        <f>References!L148</f>
        <v>0</v>
      </c>
      <c r="L63" s="24">
        <f>References!M148</f>
        <v>0</v>
      </c>
      <c r="M63" s="24">
        <f>References!N148</f>
        <v>0</v>
      </c>
      <c r="N63" s="24">
        <f>References!O148</f>
        <v>0</v>
      </c>
      <c r="O63" s="24">
        <f>References!P148</f>
        <v>0</v>
      </c>
    </row>
    <row r="64" spans="1:15" ht="15" x14ac:dyDescent="0.2">
      <c r="D64" s="25">
        <f>References!E149</f>
        <v>0.4</v>
      </c>
      <c r="E64" s="24">
        <f>References!F149</f>
        <v>0</v>
      </c>
      <c r="F64" s="24">
        <f>References!G149</f>
        <v>0</v>
      </c>
      <c r="G64" s="24">
        <f>References!H149</f>
        <v>0</v>
      </c>
      <c r="H64" s="24">
        <f>References!I149</f>
        <v>0</v>
      </c>
      <c r="I64" s="24">
        <f>References!J149</f>
        <v>0</v>
      </c>
      <c r="J64" s="24">
        <f>References!K149</f>
        <v>0</v>
      </c>
      <c r="K64" s="24">
        <f>References!L149</f>
        <v>0</v>
      </c>
      <c r="L64" s="24">
        <f>References!M149</f>
        <v>0</v>
      </c>
      <c r="M64" s="24">
        <f>References!N149</f>
        <v>0</v>
      </c>
      <c r="N64" s="24">
        <f>References!O149</f>
        <v>0</v>
      </c>
      <c r="O64" s="24">
        <f>References!P149</f>
        <v>0</v>
      </c>
    </row>
    <row r="65" spans="1:15" ht="15" x14ac:dyDescent="0.2">
      <c r="D65" s="25">
        <f>References!E150</f>
        <v>0.5</v>
      </c>
      <c r="E65" s="24">
        <f>References!F150</f>
        <v>0</v>
      </c>
      <c r="F65" s="24">
        <f>References!G150</f>
        <v>0</v>
      </c>
      <c r="G65" s="24">
        <f>References!H150</f>
        <v>0</v>
      </c>
      <c r="H65" s="24">
        <f>References!I150</f>
        <v>0</v>
      </c>
      <c r="I65" s="24">
        <f>References!J150</f>
        <v>0</v>
      </c>
      <c r="J65" s="24">
        <f>References!K150</f>
        <v>0</v>
      </c>
      <c r="K65" s="24">
        <f>References!L150</f>
        <v>0</v>
      </c>
      <c r="L65" s="24">
        <f>References!M150</f>
        <v>0</v>
      </c>
      <c r="M65" s="24">
        <f>References!N150</f>
        <v>0</v>
      </c>
      <c r="N65" s="24">
        <f>References!O150</f>
        <v>0</v>
      </c>
      <c r="O65" s="24">
        <f>References!P150</f>
        <v>0</v>
      </c>
    </row>
    <row r="66" spans="1:15" ht="15" x14ac:dyDescent="0.2">
      <c r="D66" s="25">
        <f>References!E151</f>
        <v>0.6</v>
      </c>
      <c r="E66" s="24">
        <f>References!F151</f>
        <v>0</v>
      </c>
      <c r="F66" s="24">
        <f>References!G151</f>
        <v>0</v>
      </c>
      <c r="G66" s="24">
        <f>References!H151</f>
        <v>0</v>
      </c>
      <c r="H66" s="24">
        <f>References!I151</f>
        <v>0</v>
      </c>
      <c r="I66" s="24">
        <f>References!J151</f>
        <v>0</v>
      </c>
      <c r="J66" s="24">
        <f>References!K151</f>
        <v>0</v>
      </c>
      <c r="K66" s="24">
        <f>References!L151</f>
        <v>0</v>
      </c>
      <c r="L66" s="24">
        <f>References!M151</f>
        <v>0</v>
      </c>
      <c r="M66" s="24">
        <f>References!N151</f>
        <v>0</v>
      </c>
      <c r="N66" s="24">
        <f>References!O151</f>
        <v>0</v>
      </c>
      <c r="O66" s="24">
        <f>References!P151</f>
        <v>0</v>
      </c>
    </row>
    <row r="67" spans="1:15" ht="15" x14ac:dyDescent="0.2">
      <c r="D67" s="25">
        <f>References!E152</f>
        <v>0.7</v>
      </c>
      <c r="E67" s="24">
        <f>References!F152</f>
        <v>0</v>
      </c>
      <c r="F67" s="24">
        <f>References!G152</f>
        <v>0</v>
      </c>
      <c r="G67" s="24">
        <f>References!H152</f>
        <v>0</v>
      </c>
      <c r="H67" s="24">
        <f>References!I152</f>
        <v>0</v>
      </c>
      <c r="I67" s="24">
        <f>References!J152</f>
        <v>0</v>
      </c>
      <c r="J67" s="24">
        <f>References!K152</f>
        <v>0</v>
      </c>
      <c r="K67" s="24">
        <f>References!L152</f>
        <v>0</v>
      </c>
      <c r="L67" s="24">
        <f>References!M152</f>
        <v>0</v>
      </c>
      <c r="M67" s="24">
        <f>References!N152</f>
        <v>0</v>
      </c>
      <c r="N67" s="24">
        <f>References!O152</f>
        <v>0</v>
      </c>
      <c r="O67" s="24">
        <f>References!P152</f>
        <v>0</v>
      </c>
    </row>
    <row r="68" spans="1:15" ht="15" x14ac:dyDescent="0.2">
      <c r="D68" s="25">
        <f>References!E153</f>
        <v>0.79999999999999993</v>
      </c>
      <c r="E68" s="24">
        <f>References!F153</f>
        <v>0</v>
      </c>
      <c r="F68" s="24">
        <f>References!G153</f>
        <v>0</v>
      </c>
      <c r="G68" s="24">
        <f>References!H153</f>
        <v>0</v>
      </c>
      <c r="H68" s="24">
        <f>References!I153</f>
        <v>0</v>
      </c>
      <c r="I68" s="24">
        <f>References!J153</f>
        <v>0</v>
      </c>
      <c r="J68" s="24">
        <f>References!K153</f>
        <v>0</v>
      </c>
      <c r="K68" s="24">
        <f>References!L153</f>
        <v>0</v>
      </c>
      <c r="L68" s="24">
        <f>References!M153</f>
        <v>0</v>
      </c>
      <c r="M68" s="24">
        <f>References!N153</f>
        <v>0</v>
      </c>
      <c r="N68" s="24">
        <f>References!O153</f>
        <v>0</v>
      </c>
      <c r="O68" s="24">
        <f>References!P153</f>
        <v>0</v>
      </c>
    </row>
    <row r="69" spans="1:15" ht="15" x14ac:dyDescent="0.2">
      <c r="D69" s="25">
        <f>References!E154</f>
        <v>0.89999999999999991</v>
      </c>
      <c r="E69" s="24">
        <f>References!F154</f>
        <v>0</v>
      </c>
      <c r="F69" s="24">
        <f>References!G154</f>
        <v>0</v>
      </c>
      <c r="G69" s="24">
        <f>References!H154</f>
        <v>0</v>
      </c>
      <c r="H69" s="24">
        <f>References!I154</f>
        <v>0</v>
      </c>
      <c r="I69" s="24">
        <f>References!J154</f>
        <v>0</v>
      </c>
      <c r="J69" s="24">
        <f>References!K154</f>
        <v>0</v>
      </c>
      <c r="K69" s="24">
        <f>References!L154</f>
        <v>0</v>
      </c>
      <c r="L69" s="24">
        <f>References!M154</f>
        <v>0</v>
      </c>
      <c r="M69" s="24">
        <f>References!N154</f>
        <v>0</v>
      </c>
      <c r="N69" s="24">
        <f>References!O154</f>
        <v>0</v>
      </c>
      <c r="O69" s="24">
        <f>References!P154</f>
        <v>0</v>
      </c>
    </row>
    <row r="70" spans="1:15" ht="15" x14ac:dyDescent="0.2">
      <c r="D70" s="25">
        <f>References!E155</f>
        <v>0.99999999999999989</v>
      </c>
      <c r="E70" s="24">
        <f>References!F155</f>
        <v>0</v>
      </c>
      <c r="F70" s="24">
        <f>References!G155</f>
        <v>0</v>
      </c>
      <c r="G70" s="24">
        <f>References!H155</f>
        <v>0</v>
      </c>
      <c r="H70" s="24">
        <f>References!I155</f>
        <v>0</v>
      </c>
      <c r="I70" s="24">
        <f>References!J155</f>
        <v>0</v>
      </c>
      <c r="J70" s="24">
        <f>References!K155</f>
        <v>0</v>
      </c>
      <c r="K70" s="24">
        <f>References!L155</f>
        <v>0</v>
      </c>
      <c r="L70" s="24">
        <f>References!M155</f>
        <v>0</v>
      </c>
      <c r="M70" s="24">
        <f>References!N155</f>
        <v>0</v>
      </c>
      <c r="N70" s="24">
        <f>References!O155</f>
        <v>0</v>
      </c>
      <c r="O70" s="24">
        <f>References!P155</f>
        <v>0</v>
      </c>
    </row>
    <row r="72" spans="1:15" x14ac:dyDescent="0.15">
      <c r="A72" s="12" t="s">
        <v>0</v>
      </c>
      <c r="D72" s="22"/>
      <c r="F72" s="22"/>
    </row>
    <row r="73" spans="1:15" x14ac:dyDescent="0.15">
      <c r="D73" s="23" t="s">
        <v>60</v>
      </c>
      <c r="E73" s="24">
        <f>E59</f>
        <v>1.5</v>
      </c>
      <c r="F73" s="24">
        <f t="shared" ref="F73:O73" si="0">F59</f>
        <v>1.35</v>
      </c>
      <c r="G73" s="24">
        <f t="shared" si="0"/>
        <v>1.2000000000000002</v>
      </c>
      <c r="H73" s="24">
        <f t="shared" si="0"/>
        <v>1.0500000000000003</v>
      </c>
      <c r="I73" s="24">
        <f t="shared" si="0"/>
        <v>0.90000000000000024</v>
      </c>
      <c r="J73" s="24">
        <f t="shared" si="0"/>
        <v>0.75000000000000022</v>
      </c>
      <c r="K73" s="24">
        <f t="shared" si="0"/>
        <v>0.6000000000000002</v>
      </c>
      <c r="L73" s="24">
        <f t="shared" si="0"/>
        <v>0.45000000000000018</v>
      </c>
      <c r="M73" s="24">
        <f t="shared" si="0"/>
        <v>0.30000000000000016</v>
      </c>
      <c r="N73" s="24">
        <f t="shared" si="0"/>
        <v>0.15000000000000016</v>
      </c>
      <c r="O73" s="24">
        <f t="shared" si="0"/>
        <v>0</v>
      </c>
    </row>
    <row r="74" spans="1:15" ht="15" x14ac:dyDescent="0.2">
      <c r="D74" s="25">
        <f>D60</f>
        <v>0</v>
      </c>
      <c r="E74" s="24">
        <f>MAX(E60,E46,E32,E18,E4)</f>
        <v>12</v>
      </c>
      <c r="F74" s="24">
        <f t="shared" ref="F74:O74" si="1">MAX(F60,F46,F32,F18,F4)</f>
        <v>12</v>
      </c>
      <c r="G74" s="24">
        <f t="shared" si="1"/>
        <v>12</v>
      </c>
      <c r="H74" s="24">
        <f t="shared" si="1"/>
        <v>12</v>
      </c>
      <c r="I74" s="24">
        <f t="shared" si="1"/>
        <v>12</v>
      </c>
      <c r="J74" s="24">
        <f t="shared" si="1"/>
        <v>12</v>
      </c>
      <c r="K74" s="24">
        <f t="shared" si="1"/>
        <v>12</v>
      </c>
      <c r="L74" s="24">
        <f t="shared" si="1"/>
        <v>12</v>
      </c>
      <c r="M74" s="24">
        <f t="shared" si="1"/>
        <v>12</v>
      </c>
      <c r="N74" s="24">
        <f t="shared" si="1"/>
        <v>12</v>
      </c>
      <c r="O74" s="24">
        <f t="shared" si="1"/>
        <v>12</v>
      </c>
    </row>
    <row r="75" spans="1:15" ht="15" x14ac:dyDescent="0.2">
      <c r="D75" s="25">
        <f t="shared" ref="D75:D84" si="2">D61</f>
        <v>0.1</v>
      </c>
      <c r="E75" s="24">
        <f t="shared" ref="E75:O84" si="3">MAX(E61,E47,E33,E19,E5)</f>
        <v>12</v>
      </c>
      <c r="F75" s="24">
        <f t="shared" si="3"/>
        <v>12</v>
      </c>
      <c r="G75" s="24">
        <f t="shared" si="3"/>
        <v>12</v>
      </c>
      <c r="H75" s="24">
        <f t="shared" si="3"/>
        <v>12</v>
      </c>
      <c r="I75" s="24">
        <f t="shared" si="3"/>
        <v>12</v>
      </c>
      <c r="J75" s="24">
        <f t="shared" si="3"/>
        <v>12</v>
      </c>
      <c r="K75" s="24">
        <f t="shared" si="3"/>
        <v>12</v>
      </c>
      <c r="L75" s="24">
        <f t="shared" si="3"/>
        <v>12</v>
      </c>
      <c r="M75" s="24">
        <f t="shared" si="3"/>
        <v>12</v>
      </c>
      <c r="N75" s="24">
        <f t="shared" si="3"/>
        <v>12</v>
      </c>
      <c r="O75" s="24">
        <f t="shared" si="3"/>
        <v>12.8</v>
      </c>
    </row>
    <row r="76" spans="1:15" ht="15" x14ac:dyDescent="0.2">
      <c r="D76" s="25">
        <f t="shared" si="2"/>
        <v>0.2</v>
      </c>
      <c r="E76" s="24">
        <f t="shared" si="3"/>
        <v>12</v>
      </c>
      <c r="F76" s="24">
        <f t="shared" si="3"/>
        <v>12</v>
      </c>
      <c r="G76" s="24">
        <f t="shared" si="3"/>
        <v>12</v>
      </c>
      <c r="H76" s="24">
        <f t="shared" si="3"/>
        <v>12</v>
      </c>
      <c r="I76" s="24">
        <f t="shared" si="3"/>
        <v>12</v>
      </c>
      <c r="J76" s="24">
        <f t="shared" si="3"/>
        <v>12</v>
      </c>
      <c r="K76" s="24">
        <f t="shared" si="3"/>
        <v>12</v>
      </c>
      <c r="L76" s="24">
        <f t="shared" si="3"/>
        <v>12</v>
      </c>
      <c r="M76" s="24">
        <f t="shared" si="3"/>
        <v>12</v>
      </c>
      <c r="N76" s="24">
        <f t="shared" si="3"/>
        <v>13.259999999999998</v>
      </c>
      <c r="O76" s="24">
        <f t="shared" si="3"/>
        <v>15.600000000000001</v>
      </c>
    </row>
    <row r="77" spans="1:15" ht="15" x14ac:dyDescent="0.2">
      <c r="D77" s="25">
        <f t="shared" si="2"/>
        <v>0.30000000000000004</v>
      </c>
      <c r="E77" s="24">
        <f t="shared" si="3"/>
        <v>12</v>
      </c>
      <c r="F77" s="24">
        <f t="shared" si="3"/>
        <v>12</v>
      </c>
      <c r="G77" s="24">
        <f t="shared" si="3"/>
        <v>12</v>
      </c>
      <c r="H77" s="24">
        <f t="shared" si="3"/>
        <v>12</v>
      </c>
      <c r="I77" s="24">
        <f t="shared" si="3"/>
        <v>12</v>
      </c>
      <c r="J77" s="24">
        <f t="shared" si="3"/>
        <v>12</v>
      </c>
      <c r="K77" s="24">
        <f t="shared" si="3"/>
        <v>12</v>
      </c>
      <c r="L77" s="24">
        <f t="shared" si="3"/>
        <v>12</v>
      </c>
      <c r="M77" s="24">
        <f t="shared" si="3"/>
        <v>12.879999999999999</v>
      </c>
      <c r="N77" s="24">
        <f t="shared" si="3"/>
        <v>15.639999999999999</v>
      </c>
      <c r="O77" s="24">
        <f t="shared" si="3"/>
        <v>18.400000000000002</v>
      </c>
    </row>
    <row r="78" spans="1:15" ht="15" x14ac:dyDescent="0.2">
      <c r="D78" s="25">
        <f t="shared" si="2"/>
        <v>0.4</v>
      </c>
      <c r="E78" s="24">
        <f t="shared" si="3"/>
        <v>12</v>
      </c>
      <c r="F78" s="24">
        <f t="shared" si="3"/>
        <v>12</v>
      </c>
      <c r="G78" s="24">
        <f t="shared" si="3"/>
        <v>12</v>
      </c>
      <c r="H78" s="24">
        <f t="shared" si="3"/>
        <v>12</v>
      </c>
      <c r="I78" s="24">
        <f t="shared" si="3"/>
        <v>12</v>
      </c>
      <c r="J78" s="24">
        <f t="shared" si="3"/>
        <v>12</v>
      </c>
      <c r="K78" s="24">
        <f t="shared" si="3"/>
        <v>12</v>
      </c>
      <c r="L78" s="24">
        <f t="shared" si="3"/>
        <v>12</v>
      </c>
      <c r="M78" s="24">
        <f t="shared" si="3"/>
        <v>14.839999999999996</v>
      </c>
      <c r="N78" s="24">
        <f t="shared" si="3"/>
        <v>18.019999999999996</v>
      </c>
      <c r="O78" s="24">
        <f t="shared" si="3"/>
        <v>21.200000000000003</v>
      </c>
    </row>
    <row r="79" spans="1:15" ht="15" x14ac:dyDescent="0.2">
      <c r="D79" s="25">
        <f t="shared" si="2"/>
        <v>0.5</v>
      </c>
      <c r="E79" s="24">
        <f t="shared" si="3"/>
        <v>12</v>
      </c>
      <c r="F79" s="24">
        <f t="shared" si="3"/>
        <v>12</v>
      </c>
      <c r="G79" s="24">
        <f t="shared" si="3"/>
        <v>12</v>
      </c>
      <c r="H79" s="24">
        <f t="shared" si="3"/>
        <v>12</v>
      </c>
      <c r="I79" s="24">
        <f t="shared" si="3"/>
        <v>12</v>
      </c>
      <c r="J79" s="24">
        <f t="shared" si="3"/>
        <v>12</v>
      </c>
      <c r="K79" s="24">
        <f t="shared" si="3"/>
        <v>12</v>
      </c>
      <c r="L79" s="24">
        <f t="shared" si="3"/>
        <v>13.199999999999996</v>
      </c>
      <c r="M79" s="24">
        <f t="shared" si="3"/>
        <v>16.799999999999997</v>
      </c>
      <c r="N79" s="24">
        <f t="shared" si="3"/>
        <v>20.399999999999999</v>
      </c>
      <c r="O79" s="24">
        <f t="shared" si="3"/>
        <v>24</v>
      </c>
    </row>
    <row r="80" spans="1:15" ht="15" x14ac:dyDescent="0.2">
      <c r="D80" s="25">
        <f t="shared" si="2"/>
        <v>0.6</v>
      </c>
      <c r="E80" s="24">
        <f t="shared" si="3"/>
        <v>12</v>
      </c>
      <c r="F80" s="24">
        <f t="shared" si="3"/>
        <v>12</v>
      </c>
      <c r="G80" s="24">
        <f t="shared" si="3"/>
        <v>12</v>
      </c>
      <c r="H80" s="24">
        <f t="shared" si="3"/>
        <v>12</v>
      </c>
      <c r="I80" s="24">
        <f t="shared" si="3"/>
        <v>12</v>
      </c>
      <c r="J80" s="24">
        <f t="shared" si="3"/>
        <v>12</v>
      </c>
      <c r="K80" s="24">
        <f t="shared" si="3"/>
        <v>12</v>
      </c>
      <c r="L80" s="24">
        <f t="shared" si="3"/>
        <v>14.739999999999997</v>
      </c>
      <c r="M80" s="24">
        <f t="shared" si="3"/>
        <v>18.759999999999998</v>
      </c>
      <c r="N80" s="24">
        <f t="shared" si="3"/>
        <v>22.779999999999994</v>
      </c>
      <c r="O80" s="24">
        <f t="shared" si="3"/>
        <v>26.8</v>
      </c>
    </row>
    <row r="81" spans="4:15" ht="15" x14ac:dyDescent="0.2">
      <c r="D81" s="25">
        <f t="shared" si="2"/>
        <v>0.7</v>
      </c>
      <c r="E81" s="24">
        <f t="shared" si="3"/>
        <v>12</v>
      </c>
      <c r="F81" s="24">
        <f t="shared" si="3"/>
        <v>12</v>
      </c>
      <c r="G81" s="24">
        <f t="shared" si="3"/>
        <v>12</v>
      </c>
      <c r="H81" s="24">
        <f t="shared" si="3"/>
        <v>12</v>
      </c>
      <c r="I81" s="24">
        <f t="shared" si="3"/>
        <v>12</v>
      </c>
      <c r="J81" s="24">
        <f t="shared" si="3"/>
        <v>12</v>
      </c>
      <c r="K81" s="24">
        <f t="shared" si="3"/>
        <v>12</v>
      </c>
      <c r="L81" s="24">
        <f t="shared" si="3"/>
        <v>16.279999999999994</v>
      </c>
      <c r="M81" s="24">
        <f t="shared" si="3"/>
        <v>20.719999999999992</v>
      </c>
      <c r="N81" s="24">
        <f t="shared" si="3"/>
        <v>25.159999999999997</v>
      </c>
      <c r="O81" s="24">
        <f t="shared" si="3"/>
        <v>29.599999999999998</v>
      </c>
    </row>
    <row r="82" spans="4:15" ht="15" x14ac:dyDescent="0.2">
      <c r="D82" s="25">
        <f t="shared" si="2"/>
        <v>0.79999999999999993</v>
      </c>
      <c r="E82" s="24">
        <f t="shared" si="3"/>
        <v>12</v>
      </c>
      <c r="F82" s="24">
        <f t="shared" si="3"/>
        <v>12</v>
      </c>
      <c r="G82" s="24">
        <f t="shared" si="3"/>
        <v>12</v>
      </c>
      <c r="H82" s="24">
        <f t="shared" si="3"/>
        <v>12</v>
      </c>
      <c r="I82" s="24">
        <f t="shared" si="3"/>
        <v>12</v>
      </c>
      <c r="J82" s="24">
        <f t="shared" si="3"/>
        <v>12</v>
      </c>
      <c r="K82" s="24">
        <f t="shared" si="3"/>
        <v>12.959999999999994</v>
      </c>
      <c r="L82" s="24">
        <f t="shared" si="3"/>
        <v>17.819999999999993</v>
      </c>
      <c r="M82" s="24">
        <f t="shared" si="3"/>
        <v>22.679999999999993</v>
      </c>
      <c r="N82" s="24">
        <f t="shared" si="3"/>
        <v>27.539999999999992</v>
      </c>
      <c r="O82" s="24">
        <f t="shared" si="3"/>
        <v>32.4</v>
      </c>
    </row>
    <row r="83" spans="4:15" ht="15" x14ac:dyDescent="0.2">
      <c r="D83" s="25">
        <f t="shared" si="2"/>
        <v>0.89999999999999991</v>
      </c>
      <c r="E83" s="24">
        <f t="shared" si="3"/>
        <v>12</v>
      </c>
      <c r="F83" s="24">
        <f t="shared" si="3"/>
        <v>12</v>
      </c>
      <c r="G83" s="24">
        <f t="shared" si="3"/>
        <v>12</v>
      </c>
      <c r="H83" s="24">
        <f t="shared" si="3"/>
        <v>12</v>
      </c>
      <c r="I83" s="24">
        <f t="shared" si="3"/>
        <v>12</v>
      </c>
      <c r="J83" s="24">
        <f t="shared" si="3"/>
        <v>12</v>
      </c>
      <c r="K83" s="24">
        <f t="shared" si="3"/>
        <v>14.079999999999991</v>
      </c>
      <c r="L83" s="24">
        <f t="shared" si="3"/>
        <v>19.359999999999992</v>
      </c>
      <c r="M83" s="24">
        <f t="shared" si="3"/>
        <v>24.639999999999993</v>
      </c>
      <c r="N83" s="24">
        <f t="shared" si="3"/>
        <v>29.919999999999987</v>
      </c>
      <c r="O83" s="24">
        <f t="shared" si="3"/>
        <v>35.199999999999996</v>
      </c>
    </row>
    <row r="84" spans="4:15" ht="15" x14ac:dyDescent="0.2">
      <c r="D84" s="25">
        <f t="shared" si="2"/>
        <v>0.99999999999999989</v>
      </c>
      <c r="E84" s="24">
        <f t="shared" si="3"/>
        <v>12</v>
      </c>
      <c r="F84" s="24">
        <f t="shared" si="3"/>
        <v>12</v>
      </c>
      <c r="G84" s="24">
        <f t="shared" si="3"/>
        <v>12</v>
      </c>
      <c r="H84" s="24">
        <f t="shared" si="3"/>
        <v>12</v>
      </c>
      <c r="I84" s="24">
        <f t="shared" si="3"/>
        <v>12</v>
      </c>
      <c r="J84" s="24">
        <f t="shared" si="3"/>
        <v>12</v>
      </c>
      <c r="K84" s="24">
        <f t="shared" si="3"/>
        <v>15.19999999999999</v>
      </c>
      <c r="L84" s="24">
        <f t="shared" si="3"/>
        <v>20.899999999999991</v>
      </c>
      <c r="M84" s="24">
        <f t="shared" si="3"/>
        <v>26.599999999999994</v>
      </c>
      <c r="N84" s="24">
        <f t="shared" si="3"/>
        <v>32.29999999999999</v>
      </c>
      <c r="O84" s="24">
        <f t="shared" si="3"/>
        <v>38</v>
      </c>
    </row>
    <row r="88" spans="4:15" x14ac:dyDescent="0.15">
      <c r="D88" s="26" t="s">
        <v>61</v>
      </c>
      <c r="E88" s="24">
        <f t="shared" ref="D88:O99" si="4">E3</f>
        <v>1.5</v>
      </c>
      <c r="F88" s="24">
        <f t="shared" si="4"/>
        <v>1.35</v>
      </c>
      <c r="G88" s="24">
        <f t="shared" si="4"/>
        <v>1.2000000000000002</v>
      </c>
      <c r="H88" s="24">
        <f t="shared" si="4"/>
        <v>1.0500000000000003</v>
      </c>
      <c r="I88" s="24">
        <f t="shared" si="4"/>
        <v>0.90000000000000024</v>
      </c>
      <c r="J88" s="24">
        <f t="shared" si="4"/>
        <v>0.75000000000000022</v>
      </c>
      <c r="K88" s="24">
        <f t="shared" si="4"/>
        <v>0.6000000000000002</v>
      </c>
      <c r="L88" s="24">
        <f t="shared" si="4"/>
        <v>0.45000000000000018</v>
      </c>
      <c r="M88" s="24">
        <f t="shared" si="4"/>
        <v>0.30000000000000016</v>
      </c>
      <c r="N88" s="24">
        <f t="shared" si="4"/>
        <v>0.15000000000000016</v>
      </c>
      <c r="O88" s="24">
        <f t="shared" si="4"/>
        <v>0</v>
      </c>
    </row>
    <row r="89" spans="4:15" ht="15" x14ac:dyDescent="0.2">
      <c r="D89" s="25">
        <f t="shared" si="4"/>
        <v>0</v>
      </c>
      <c r="E89" s="24">
        <f>IF(E4&gt;=E74,1,IF(E18&gt;=E74,2,IF(E32&gt;=E74,3,IF(E46&gt;=E74,4,5))))</f>
        <v>2</v>
      </c>
      <c r="F89" s="24">
        <f t="shared" ref="F89:O89" si="5">IF(F4&gt;=F74,1,IF(F18&gt;=F74,2,IF(F32&gt;=F74,3,IF(F46&gt;=F74,4,5))))</f>
        <v>2</v>
      </c>
      <c r="G89" s="24">
        <f t="shared" si="5"/>
        <v>2</v>
      </c>
      <c r="H89" s="24">
        <f t="shared" si="5"/>
        <v>2</v>
      </c>
      <c r="I89" s="24">
        <f t="shared" si="5"/>
        <v>2</v>
      </c>
      <c r="J89" s="24">
        <f t="shared" si="5"/>
        <v>2</v>
      </c>
      <c r="K89" s="24">
        <f t="shared" si="5"/>
        <v>2</v>
      </c>
      <c r="L89" s="24">
        <f t="shared" si="5"/>
        <v>2</v>
      </c>
      <c r="M89" s="24">
        <f t="shared" si="5"/>
        <v>2</v>
      </c>
      <c r="N89" s="24">
        <f t="shared" si="5"/>
        <v>2</v>
      </c>
      <c r="O89" s="24">
        <f t="shared" si="5"/>
        <v>2</v>
      </c>
    </row>
    <row r="90" spans="4:15" ht="15" x14ac:dyDescent="0.2">
      <c r="D90" s="25">
        <f t="shared" si="4"/>
        <v>0.1</v>
      </c>
      <c r="E90" s="24">
        <f t="shared" ref="E90:O99" si="6">IF(E5&gt;=E75,1,IF(E19&gt;=E75,2,IF(E33&gt;=E75,3,IF(E47&gt;=E75,4,5))))</f>
        <v>2</v>
      </c>
      <c r="F90" s="24">
        <f t="shared" si="6"/>
        <v>2</v>
      </c>
      <c r="G90" s="24">
        <f t="shared" si="6"/>
        <v>2</v>
      </c>
      <c r="H90" s="24">
        <f t="shared" si="6"/>
        <v>2</v>
      </c>
      <c r="I90" s="24">
        <f t="shared" si="6"/>
        <v>2</v>
      </c>
      <c r="J90" s="24">
        <f t="shared" si="6"/>
        <v>2</v>
      </c>
      <c r="K90" s="24">
        <f t="shared" si="6"/>
        <v>2</v>
      </c>
      <c r="L90" s="24">
        <f t="shared" si="6"/>
        <v>2</v>
      </c>
      <c r="M90" s="24">
        <f t="shared" si="6"/>
        <v>2</v>
      </c>
      <c r="N90" s="24">
        <f t="shared" si="6"/>
        <v>2</v>
      </c>
      <c r="O90" s="24">
        <f t="shared" si="6"/>
        <v>3</v>
      </c>
    </row>
    <row r="91" spans="4:15" ht="15" x14ac:dyDescent="0.2">
      <c r="D91" s="25">
        <f t="shared" si="4"/>
        <v>0.2</v>
      </c>
      <c r="E91" s="24">
        <f t="shared" si="6"/>
        <v>2</v>
      </c>
      <c r="F91" s="24">
        <f t="shared" si="6"/>
        <v>2</v>
      </c>
      <c r="G91" s="24">
        <f t="shared" si="6"/>
        <v>2</v>
      </c>
      <c r="H91" s="24">
        <f t="shared" si="6"/>
        <v>2</v>
      </c>
      <c r="I91" s="24">
        <f t="shared" si="6"/>
        <v>2</v>
      </c>
      <c r="J91" s="24">
        <f t="shared" si="6"/>
        <v>2</v>
      </c>
      <c r="K91" s="24">
        <f t="shared" si="6"/>
        <v>2</v>
      </c>
      <c r="L91" s="24">
        <f t="shared" si="6"/>
        <v>2</v>
      </c>
      <c r="M91" s="24">
        <f t="shared" si="6"/>
        <v>2</v>
      </c>
      <c r="N91" s="24">
        <f t="shared" si="6"/>
        <v>3</v>
      </c>
      <c r="O91" s="24">
        <f t="shared" si="6"/>
        <v>3</v>
      </c>
    </row>
    <row r="92" spans="4:15" ht="15" x14ac:dyDescent="0.2">
      <c r="D92" s="25">
        <f t="shared" si="4"/>
        <v>0.30000000000000004</v>
      </c>
      <c r="E92" s="24">
        <f t="shared" si="6"/>
        <v>2</v>
      </c>
      <c r="F92" s="24">
        <f t="shared" si="6"/>
        <v>2</v>
      </c>
      <c r="G92" s="24">
        <f t="shared" si="6"/>
        <v>2</v>
      </c>
      <c r="H92" s="24">
        <f t="shared" si="6"/>
        <v>2</v>
      </c>
      <c r="I92" s="24">
        <f t="shared" si="6"/>
        <v>2</v>
      </c>
      <c r="J92" s="24">
        <f t="shared" si="6"/>
        <v>2</v>
      </c>
      <c r="K92" s="24">
        <f t="shared" si="6"/>
        <v>2</v>
      </c>
      <c r="L92" s="24">
        <f t="shared" si="6"/>
        <v>2</v>
      </c>
      <c r="M92" s="24">
        <f t="shared" si="6"/>
        <v>3</v>
      </c>
      <c r="N92" s="24">
        <f t="shared" si="6"/>
        <v>3</v>
      </c>
      <c r="O92" s="24">
        <f t="shared" si="6"/>
        <v>3</v>
      </c>
    </row>
    <row r="93" spans="4:15" ht="15" x14ac:dyDescent="0.2">
      <c r="D93" s="25">
        <f t="shared" si="4"/>
        <v>0.4</v>
      </c>
      <c r="E93" s="24">
        <f t="shared" si="6"/>
        <v>2</v>
      </c>
      <c r="F93" s="24">
        <f t="shared" si="6"/>
        <v>2</v>
      </c>
      <c r="G93" s="24">
        <f t="shared" si="6"/>
        <v>2</v>
      </c>
      <c r="H93" s="24">
        <f t="shared" si="6"/>
        <v>2</v>
      </c>
      <c r="I93" s="24">
        <f t="shared" si="6"/>
        <v>2</v>
      </c>
      <c r="J93" s="24">
        <f t="shared" si="6"/>
        <v>2</v>
      </c>
      <c r="K93" s="24">
        <f t="shared" si="6"/>
        <v>2</v>
      </c>
      <c r="L93" s="24">
        <f t="shared" si="6"/>
        <v>2</v>
      </c>
      <c r="M93" s="24">
        <f t="shared" si="6"/>
        <v>3</v>
      </c>
      <c r="N93" s="24">
        <f t="shared" si="6"/>
        <v>3</v>
      </c>
      <c r="O93" s="24">
        <f t="shared" si="6"/>
        <v>3</v>
      </c>
    </row>
    <row r="94" spans="4:15" ht="15" x14ac:dyDescent="0.2">
      <c r="D94" s="25">
        <f t="shared" si="4"/>
        <v>0.5</v>
      </c>
      <c r="E94" s="24">
        <f t="shared" si="6"/>
        <v>2</v>
      </c>
      <c r="F94" s="24">
        <f t="shared" si="6"/>
        <v>2</v>
      </c>
      <c r="G94" s="24">
        <f t="shared" si="6"/>
        <v>2</v>
      </c>
      <c r="H94" s="24">
        <f t="shared" si="6"/>
        <v>2</v>
      </c>
      <c r="I94" s="24">
        <f t="shared" si="6"/>
        <v>2</v>
      </c>
      <c r="J94" s="24">
        <f t="shared" si="6"/>
        <v>2</v>
      </c>
      <c r="K94" s="24">
        <f t="shared" si="6"/>
        <v>2</v>
      </c>
      <c r="L94" s="24">
        <f t="shared" si="6"/>
        <v>3</v>
      </c>
      <c r="M94" s="24">
        <f t="shared" si="6"/>
        <v>3</v>
      </c>
      <c r="N94" s="24">
        <f t="shared" si="6"/>
        <v>3</v>
      </c>
      <c r="O94" s="24">
        <f t="shared" si="6"/>
        <v>3</v>
      </c>
    </row>
    <row r="95" spans="4:15" ht="15" x14ac:dyDescent="0.2">
      <c r="D95" s="25">
        <f t="shared" si="4"/>
        <v>0.6</v>
      </c>
      <c r="E95" s="24">
        <f t="shared" si="6"/>
        <v>2</v>
      </c>
      <c r="F95" s="24">
        <f t="shared" si="6"/>
        <v>2</v>
      </c>
      <c r="G95" s="24">
        <f t="shared" si="6"/>
        <v>2</v>
      </c>
      <c r="H95" s="24">
        <f t="shared" si="6"/>
        <v>2</v>
      </c>
      <c r="I95" s="24">
        <f t="shared" si="6"/>
        <v>2</v>
      </c>
      <c r="J95" s="24">
        <f t="shared" si="6"/>
        <v>2</v>
      </c>
      <c r="K95" s="24">
        <f t="shared" si="6"/>
        <v>2</v>
      </c>
      <c r="L95" s="24">
        <f t="shared" si="6"/>
        <v>3</v>
      </c>
      <c r="M95" s="24">
        <f t="shared" si="6"/>
        <v>3</v>
      </c>
      <c r="N95" s="24">
        <f t="shared" si="6"/>
        <v>3</v>
      </c>
      <c r="O95" s="24">
        <f t="shared" si="6"/>
        <v>3</v>
      </c>
    </row>
    <row r="96" spans="4:15" ht="15" x14ac:dyDescent="0.2">
      <c r="D96" s="25">
        <f t="shared" si="4"/>
        <v>0.7</v>
      </c>
      <c r="E96" s="24">
        <f t="shared" si="6"/>
        <v>2</v>
      </c>
      <c r="F96" s="24">
        <f t="shared" si="6"/>
        <v>2</v>
      </c>
      <c r="G96" s="24">
        <f t="shared" si="6"/>
        <v>2</v>
      </c>
      <c r="H96" s="24">
        <f t="shared" si="6"/>
        <v>2</v>
      </c>
      <c r="I96" s="24">
        <f t="shared" si="6"/>
        <v>2</v>
      </c>
      <c r="J96" s="24">
        <f t="shared" si="6"/>
        <v>2</v>
      </c>
      <c r="K96" s="24">
        <f t="shared" si="6"/>
        <v>2</v>
      </c>
      <c r="L96" s="24">
        <f t="shared" si="6"/>
        <v>3</v>
      </c>
      <c r="M96" s="24">
        <f t="shared" si="6"/>
        <v>3</v>
      </c>
      <c r="N96" s="24">
        <f t="shared" si="6"/>
        <v>3</v>
      </c>
      <c r="O96" s="24">
        <f t="shared" si="6"/>
        <v>3</v>
      </c>
    </row>
    <row r="97" spans="4:15" ht="15" x14ac:dyDescent="0.2">
      <c r="D97" s="25">
        <f t="shared" si="4"/>
        <v>0.79999999999999993</v>
      </c>
      <c r="E97" s="24">
        <f t="shared" si="6"/>
        <v>2</v>
      </c>
      <c r="F97" s="24">
        <f t="shared" si="6"/>
        <v>2</v>
      </c>
      <c r="G97" s="24">
        <f t="shared" si="6"/>
        <v>2</v>
      </c>
      <c r="H97" s="24">
        <f t="shared" si="6"/>
        <v>2</v>
      </c>
      <c r="I97" s="24">
        <f t="shared" si="6"/>
        <v>2</v>
      </c>
      <c r="J97" s="24">
        <f t="shared" si="6"/>
        <v>2</v>
      </c>
      <c r="K97" s="24">
        <f t="shared" si="6"/>
        <v>3</v>
      </c>
      <c r="L97" s="24">
        <f t="shared" si="6"/>
        <v>3</v>
      </c>
      <c r="M97" s="24">
        <f t="shared" si="6"/>
        <v>3</v>
      </c>
      <c r="N97" s="24">
        <f t="shared" si="6"/>
        <v>3</v>
      </c>
      <c r="O97" s="24">
        <f t="shared" si="6"/>
        <v>3</v>
      </c>
    </row>
    <row r="98" spans="4:15" ht="15" x14ac:dyDescent="0.2">
      <c r="D98" s="25">
        <f t="shared" si="4"/>
        <v>0.89999999999999991</v>
      </c>
      <c r="E98" s="24">
        <f t="shared" si="6"/>
        <v>2</v>
      </c>
      <c r="F98" s="24">
        <f t="shared" si="6"/>
        <v>2</v>
      </c>
      <c r="G98" s="24">
        <f t="shared" si="6"/>
        <v>2</v>
      </c>
      <c r="H98" s="24">
        <f t="shared" si="6"/>
        <v>2</v>
      </c>
      <c r="I98" s="24">
        <f t="shared" si="6"/>
        <v>2</v>
      </c>
      <c r="J98" s="24">
        <f t="shared" si="6"/>
        <v>2</v>
      </c>
      <c r="K98" s="24">
        <f t="shared" si="6"/>
        <v>3</v>
      </c>
      <c r="L98" s="24">
        <f t="shared" si="6"/>
        <v>3</v>
      </c>
      <c r="M98" s="24">
        <f t="shared" si="6"/>
        <v>3</v>
      </c>
      <c r="N98" s="24">
        <f t="shared" si="6"/>
        <v>3</v>
      </c>
      <c r="O98" s="24">
        <f t="shared" si="6"/>
        <v>3</v>
      </c>
    </row>
    <row r="99" spans="4:15" ht="15" x14ac:dyDescent="0.2">
      <c r="D99" s="25">
        <f t="shared" si="4"/>
        <v>0.99999999999999989</v>
      </c>
      <c r="E99" s="24">
        <f t="shared" si="6"/>
        <v>2</v>
      </c>
      <c r="F99" s="24">
        <f t="shared" si="6"/>
        <v>2</v>
      </c>
      <c r="G99" s="24">
        <f t="shared" si="6"/>
        <v>2</v>
      </c>
      <c r="H99" s="24">
        <f t="shared" si="6"/>
        <v>2</v>
      </c>
      <c r="I99" s="24">
        <f t="shared" si="6"/>
        <v>2</v>
      </c>
      <c r="J99" s="24">
        <f t="shared" si="6"/>
        <v>2</v>
      </c>
      <c r="K99" s="24">
        <f t="shared" si="6"/>
        <v>3</v>
      </c>
      <c r="L99" s="24">
        <f t="shared" si="6"/>
        <v>3</v>
      </c>
      <c r="M99" s="24">
        <f t="shared" si="6"/>
        <v>3</v>
      </c>
      <c r="N99" s="24">
        <f t="shared" si="6"/>
        <v>3</v>
      </c>
      <c r="O99" s="24">
        <f t="shared" si="6"/>
        <v>3</v>
      </c>
    </row>
  </sheetData>
  <pageMargins left="0.7" right="0.7" top="0.75" bottom="0.75" header="0.3" footer="0.3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Modèle</vt:lpstr>
      <vt:lpstr>References</vt:lpstr>
      <vt:lpstr>Sensibilité</vt:lpstr>
      <vt:lpstr>Arc_en_ciel1</vt:lpstr>
      <vt:lpstr>Arc_en_ciel2</vt:lpstr>
    </vt:vector>
  </TitlesOfParts>
  <Company>HEC Montréal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clihec3</dc:creator>
  <cp:lastModifiedBy>Erick Delage</cp:lastModifiedBy>
  <cp:lastPrinted>2012-08-13T19:00:45Z</cp:lastPrinted>
  <dcterms:created xsi:type="dcterms:W3CDTF">2011-08-09T22:41:11Z</dcterms:created>
  <dcterms:modified xsi:type="dcterms:W3CDTF">2019-08-27T12:43:09Z</dcterms:modified>
</cp:coreProperties>
</file>